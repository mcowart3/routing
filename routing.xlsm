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cai\2340\GitHub\space_traders_master\routing\"/>
    </mc:Choice>
  </mc:AlternateContent>
  <xr:revisionPtr revIDLastSave="0" documentId="13_ncr:1_{B0BB9506-9222-4D06-AF3B-9034B3B8BC48}" xr6:coauthVersionLast="47" xr6:coauthVersionMax="47" xr10:uidLastSave="{00000000-0000-0000-0000-000000000000}"/>
  <bookViews>
    <workbookView xWindow="-108" yWindow="-108" windowWidth="23256" windowHeight="13176" firstSheet="1" activeTab="8" xr2:uid="{00000000-000D-0000-FFFF-FFFF00000000}"/>
  </bookViews>
  <sheets>
    <sheet name="All Accounts List" sheetId="1" state="hidden" r:id="rId1"/>
    <sheet name="Sheet1" sheetId="2" r:id="rId2"/>
    <sheet name="times" sheetId="12" r:id="rId3"/>
    <sheet name="Sheet2" sheetId="3" r:id="rId4"/>
    <sheet name="addresses" sheetId="10" state="hidden" r:id="rId5"/>
    <sheet name="distances" sheetId="4" r:id="rId6"/>
    <sheet name="realdists" sheetId="6" state="hidden" r:id="rId7"/>
    <sheet name="unit_entry" sheetId="5" r:id="rId8"/>
    <sheet name="output" sheetId="7" r:id="rId9"/>
    <sheet name="Next Steps" sheetId="11" r:id="rId10"/>
  </sheets>
  <functionGroups builtInGroupCount="19"/>
  <externalReferences>
    <externalReference r:id="rId11"/>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7" l="1"/>
  <c r="I12" i="7" s="1" a="1"/>
  <c r="I12" i="7" s="1"/>
  <c r="A12" i="7"/>
  <c r="AR4" i="7"/>
  <c r="AR5" i="7"/>
  <c r="AR6" i="7"/>
  <c r="AR7" i="7"/>
  <c r="AR8" i="7"/>
  <c r="AR9" i="7"/>
  <c r="AR10" i="7"/>
  <c r="AR11" i="7"/>
  <c r="AR12" i="7"/>
  <c r="AR13" i="7"/>
  <c r="AR14" i="7"/>
  <c r="AR3" i="7"/>
  <c r="AP4" i="7"/>
  <c r="AP5" i="7"/>
  <c r="AP6" i="7"/>
  <c r="AP7" i="7"/>
  <c r="AP8" i="7"/>
  <c r="AP9" i="7"/>
  <c r="AP10" i="7"/>
  <c r="AP11" i="7"/>
  <c r="AP12" i="7"/>
  <c r="AP13" i="7"/>
  <c r="AP14" i="7"/>
  <c r="AP3" i="7"/>
  <c r="AO4" i="7"/>
  <c r="AO5" i="7"/>
  <c r="AO6" i="7"/>
  <c r="AO7" i="7"/>
  <c r="AO8" i="7"/>
  <c r="AO9" i="7"/>
  <c r="AO10" i="7"/>
  <c r="AO11" i="7"/>
  <c r="AO12" i="7"/>
  <c r="AO13" i="7"/>
  <c r="AO14" i="7"/>
  <c r="AQ14" i="7" s="1"/>
  <c r="AO3" i="7"/>
  <c r="AN4" i="7"/>
  <c r="AN5" i="7"/>
  <c r="AN6" i="7"/>
  <c r="AN7" i="7"/>
  <c r="AN8" i="7"/>
  <c r="AN9" i="7"/>
  <c r="AN10" i="7"/>
  <c r="AN11" i="7"/>
  <c r="AN12" i="7"/>
  <c r="AN13" i="7"/>
  <c r="AN14" i="7"/>
  <c r="AN3" i="7"/>
  <c r="AM4" i="7"/>
  <c r="AQ4" i="7" s="1"/>
  <c r="AM5" i="7"/>
  <c r="AM6" i="7"/>
  <c r="AM7" i="7"/>
  <c r="AM8" i="7"/>
  <c r="AM9" i="7"/>
  <c r="AM10" i="7"/>
  <c r="AM11" i="7"/>
  <c r="AM12" i="7"/>
  <c r="AQ12" i="7" s="1"/>
  <c r="AM13" i="7"/>
  <c r="AM14" i="7"/>
  <c r="AM3" i="7"/>
  <c r="AL4" i="7"/>
  <c r="AS4" i="7" s="1" a="1"/>
  <c r="AS4" i="7" s="1"/>
  <c r="AL5" i="7"/>
  <c r="AS5" i="7" s="1" a="1"/>
  <c r="AS5" i="7" s="1"/>
  <c r="AL6" i="7"/>
  <c r="AS6" i="7" s="1" a="1"/>
  <c r="AS6" i="7" s="1"/>
  <c r="AL7" i="7"/>
  <c r="AS7" i="7" s="1" a="1"/>
  <c r="AS7" i="7" s="1"/>
  <c r="AL8" i="7"/>
  <c r="AS8" i="7" s="1" a="1"/>
  <c r="AS8" i="7" s="1"/>
  <c r="AL9" i="7"/>
  <c r="AS9" i="7" s="1" a="1"/>
  <c r="AS9" i="7" s="1"/>
  <c r="AL10" i="7"/>
  <c r="AS10" i="7" s="1" a="1"/>
  <c r="AS10" i="7" s="1"/>
  <c r="AL11" i="7"/>
  <c r="AS11" i="7" s="1" a="1"/>
  <c r="AS11" i="7" s="1"/>
  <c r="AL12" i="7"/>
  <c r="AS12" i="7" s="1" a="1"/>
  <c r="AS12" i="7" s="1"/>
  <c r="AL13" i="7"/>
  <c r="AS13" i="7" s="1" a="1"/>
  <c r="AS13" i="7" s="1"/>
  <c r="AL14" i="7"/>
  <c r="AS14" i="7" s="1" a="1"/>
  <c r="AS14" i="7" s="1"/>
  <c r="AL3" i="7"/>
  <c r="AS3" i="7" s="1" a="1"/>
  <c r="AS3" i="7" s="1"/>
  <c r="AK4" i="7"/>
  <c r="AK5" i="7"/>
  <c r="AK6" i="7"/>
  <c r="AK7" i="7"/>
  <c r="AK8" i="7"/>
  <c r="AK9" i="7"/>
  <c r="AK10" i="7"/>
  <c r="AK11" i="7"/>
  <c r="AK12" i="7"/>
  <c r="AK13" i="7"/>
  <c r="AK14" i="7"/>
  <c r="AK3" i="7"/>
  <c r="AQ9" i="7"/>
  <c r="AQ5" i="7"/>
  <c r="AI4" i="7"/>
  <c r="AI5" i="7"/>
  <c r="AI6" i="7"/>
  <c r="AI7" i="7"/>
  <c r="AI8" i="7"/>
  <c r="AI9" i="7"/>
  <c r="AI10" i="7"/>
  <c r="AI11" i="7"/>
  <c r="AI12" i="7"/>
  <c r="AI13" i="7"/>
  <c r="AI14" i="7"/>
  <c r="AI3" i="7"/>
  <c r="AG4" i="7"/>
  <c r="AG5" i="7"/>
  <c r="AG6" i="7"/>
  <c r="AG7" i="7"/>
  <c r="AG8" i="7"/>
  <c r="AG9" i="7"/>
  <c r="AG10" i="7"/>
  <c r="AG11" i="7"/>
  <c r="AG12" i="7"/>
  <c r="AG13" i="7"/>
  <c r="AG14" i="7"/>
  <c r="AG15" i="7"/>
  <c r="AG3" i="7"/>
  <c r="AF4" i="7"/>
  <c r="AF5" i="7"/>
  <c r="AF6" i="7"/>
  <c r="AF7" i="7"/>
  <c r="AF8" i="7"/>
  <c r="AF9" i="7"/>
  <c r="AF10" i="7"/>
  <c r="AF11" i="7"/>
  <c r="AF12" i="7"/>
  <c r="AF13" i="7"/>
  <c r="AF14" i="7"/>
  <c r="AF15" i="7"/>
  <c r="AF3" i="7"/>
  <c r="AE4" i="7"/>
  <c r="AE5" i="7"/>
  <c r="AE6" i="7"/>
  <c r="AE7" i="7"/>
  <c r="AE8" i="7"/>
  <c r="AE9" i="7"/>
  <c r="AE10" i="7"/>
  <c r="AE11" i="7"/>
  <c r="AE12" i="7"/>
  <c r="AE13" i="7"/>
  <c r="AE14" i="7"/>
  <c r="AE15" i="7"/>
  <c r="AE3" i="7"/>
  <c r="AD4" i="7"/>
  <c r="AD5" i="7"/>
  <c r="AD6" i="7"/>
  <c r="AD7" i="7"/>
  <c r="AD8" i="7"/>
  <c r="AD9" i="7"/>
  <c r="AD10" i="7"/>
  <c r="AD11" i="7"/>
  <c r="AD12" i="7"/>
  <c r="AD13" i="7"/>
  <c r="AD14" i="7"/>
  <c r="AD15" i="7"/>
  <c r="AD16" i="7"/>
  <c r="AD17" i="7"/>
  <c r="AD18" i="7"/>
  <c r="AD3" i="7"/>
  <c r="AC4" i="7"/>
  <c r="AJ4" i="7" s="1" a="1"/>
  <c r="AJ4" i="7" s="1"/>
  <c r="AC5" i="7"/>
  <c r="AJ5" i="7" s="1" a="1"/>
  <c r="AJ5" i="7" s="1"/>
  <c r="AC6" i="7"/>
  <c r="AJ6" i="7" s="1" a="1"/>
  <c r="AJ6" i="7" s="1"/>
  <c r="AC7" i="7"/>
  <c r="AJ7" i="7" s="1" a="1"/>
  <c r="AJ7" i="7" s="1"/>
  <c r="AC8" i="7"/>
  <c r="AJ8" i="7" s="1" a="1"/>
  <c r="AJ8" i="7" s="1"/>
  <c r="AC9" i="7"/>
  <c r="AJ9" i="7" s="1" a="1"/>
  <c r="AJ9" i="7" s="1"/>
  <c r="AC10" i="7"/>
  <c r="AJ10" i="7" s="1" a="1"/>
  <c r="AJ10" i="7" s="1"/>
  <c r="AC11" i="7"/>
  <c r="AJ11" i="7" s="1" a="1"/>
  <c r="AJ11" i="7" s="1"/>
  <c r="AC12" i="7"/>
  <c r="AJ12" i="7" s="1" a="1"/>
  <c r="AJ12" i="7" s="1"/>
  <c r="AC13" i="7"/>
  <c r="AJ13" i="7" s="1" a="1"/>
  <c r="AJ13" i="7" s="1"/>
  <c r="AC14" i="7"/>
  <c r="AJ14" i="7" s="1" a="1"/>
  <c r="AJ14" i="7" s="1"/>
  <c r="AC3" i="7"/>
  <c r="AJ3" i="7" s="1" a="1"/>
  <c r="AJ3" i="7" s="1"/>
  <c r="AB4" i="7"/>
  <c r="AB5" i="7"/>
  <c r="AB6" i="7"/>
  <c r="AB7" i="7"/>
  <c r="AB8" i="7"/>
  <c r="AB9" i="7"/>
  <c r="AB10" i="7"/>
  <c r="AB11" i="7"/>
  <c r="AB12" i="7"/>
  <c r="AB13" i="7"/>
  <c r="AB14" i="7"/>
  <c r="AB3" i="7"/>
  <c r="AA16" i="7" a="1"/>
  <c r="AA16" i="7" s="1"/>
  <c r="AA17" i="7" a="1"/>
  <c r="AA17" i="7" s="1"/>
  <c r="AA18" i="7" a="1"/>
  <c r="AA18" i="7" s="1"/>
  <c r="AA19" i="7" a="1"/>
  <c r="AA19" i="7" s="1"/>
  <c r="AA20" i="7" a="1"/>
  <c r="AA20" i="7" s="1"/>
  <c r="AA21" i="7" a="1"/>
  <c r="AA21" i="7" s="1"/>
  <c r="AA22" i="7" a="1"/>
  <c r="AA22" i="7" s="1"/>
  <c r="AA23" i="7" a="1"/>
  <c r="AA23" i="7" s="1"/>
  <c r="AA24" i="7" a="1"/>
  <c r="AA24" i="7" s="1"/>
  <c r="AA25" i="7" a="1"/>
  <c r="AA25" i="7" s="1"/>
  <c r="AA26" i="7" a="1"/>
  <c r="AA26" i="7" s="1"/>
  <c r="AA27" i="7" a="1"/>
  <c r="AA27" i="7" s="1"/>
  <c r="AA28" i="7" a="1"/>
  <c r="AA28" i="7" s="1"/>
  <c r="AA29" i="7" a="1"/>
  <c r="AA29" i="7" s="1"/>
  <c r="AA30" i="7" a="1"/>
  <c r="AA30" i="7" s="1"/>
  <c r="AA31" i="7" a="1"/>
  <c r="AA31" i="7" s="1"/>
  <c r="AA32" i="7" a="1"/>
  <c r="AA32" i="7" s="1"/>
  <c r="AA33" i="7" a="1"/>
  <c r="AA33" i="7" s="1"/>
  <c r="AA34" i="7" a="1"/>
  <c r="AA34" i="7" s="1"/>
  <c r="Z4" i="7"/>
  <c r="Z5" i="7"/>
  <c r="Z6" i="7"/>
  <c r="Z7" i="7"/>
  <c r="Z8" i="7"/>
  <c r="Z9" i="7"/>
  <c r="Z10" i="7"/>
  <c r="Z11" i="7"/>
  <c r="Z12" i="7"/>
  <c r="Z13" i="7"/>
  <c r="Z14" i="7"/>
  <c r="Z15" i="7"/>
  <c r="Z16" i="7"/>
  <c r="Z17" i="7"/>
  <c r="Z18" i="7"/>
  <c r="Z19" i="7"/>
  <c r="Z3" i="7"/>
  <c r="X4" i="7"/>
  <c r="X5" i="7"/>
  <c r="X6" i="7"/>
  <c r="X7" i="7"/>
  <c r="X8" i="7"/>
  <c r="X9" i="7"/>
  <c r="X10" i="7"/>
  <c r="X11" i="7"/>
  <c r="X12" i="7"/>
  <c r="X13" i="7"/>
  <c r="X14" i="7"/>
  <c r="X15" i="7"/>
  <c r="X16" i="7"/>
  <c r="X17" i="7"/>
  <c r="X18" i="7"/>
  <c r="X3" i="7"/>
  <c r="W4" i="7"/>
  <c r="W5" i="7"/>
  <c r="W6" i="7"/>
  <c r="W7" i="7"/>
  <c r="W8" i="7"/>
  <c r="W9" i="7"/>
  <c r="W10" i="7"/>
  <c r="W11" i="7"/>
  <c r="W12" i="7"/>
  <c r="W13" i="7"/>
  <c r="W14" i="7"/>
  <c r="W15" i="7"/>
  <c r="W16" i="7"/>
  <c r="W17" i="7"/>
  <c r="W18" i="7"/>
  <c r="W3" i="7"/>
  <c r="V4" i="7"/>
  <c r="V5" i="7"/>
  <c r="V6" i="7"/>
  <c r="V7" i="7"/>
  <c r="V8" i="7"/>
  <c r="V9" i="7"/>
  <c r="V10" i="7"/>
  <c r="V11" i="7"/>
  <c r="V12" i="7"/>
  <c r="V13" i="7"/>
  <c r="V14" i="7"/>
  <c r="V15" i="7"/>
  <c r="V16" i="7"/>
  <c r="V17" i="7"/>
  <c r="V18" i="7"/>
  <c r="V3" i="7"/>
  <c r="U4" i="7"/>
  <c r="U5" i="7"/>
  <c r="U6" i="7"/>
  <c r="Y6" i="7" s="1"/>
  <c r="U7" i="7"/>
  <c r="U8" i="7"/>
  <c r="Y8" i="7" s="1"/>
  <c r="U9" i="7"/>
  <c r="U10" i="7"/>
  <c r="Y10" i="7" s="1"/>
  <c r="U11" i="7"/>
  <c r="U12" i="7"/>
  <c r="U13" i="7"/>
  <c r="U14" i="7"/>
  <c r="U15" i="7"/>
  <c r="U16" i="7"/>
  <c r="U17" i="7"/>
  <c r="U18" i="7"/>
  <c r="U3" i="7"/>
  <c r="T4" i="7"/>
  <c r="AA4" i="7" s="1" a="1"/>
  <c r="AA4" i="7" s="1"/>
  <c r="T5" i="7"/>
  <c r="AA5" i="7" s="1" a="1"/>
  <c r="AA5" i="7" s="1"/>
  <c r="T6" i="7"/>
  <c r="AA6" i="7" s="1" a="1"/>
  <c r="AA6" i="7" s="1"/>
  <c r="T7" i="7"/>
  <c r="AA7" i="7" s="1" a="1"/>
  <c r="AA7" i="7" s="1"/>
  <c r="T8" i="7"/>
  <c r="AA8" i="7" s="1" a="1"/>
  <c r="AA8" i="7" s="1"/>
  <c r="T9" i="7"/>
  <c r="AA9" i="7" s="1" a="1"/>
  <c r="AA9" i="7" s="1"/>
  <c r="T10" i="7"/>
  <c r="AA10" i="7" s="1" a="1"/>
  <c r="AA10" i="7" s="1"/>
  <c r="T11" i="7"/>
  <c r="AA11" i="7" s="1" a="1"/>
  <c r="AA11" i="7" s="1"/>
  <c r="T12" i="7"/>
  <c r="AA12" i="7" s="1" a="1"/>
  <c r="AA12" i="7" s="1"/>
  <c r="T13" i="7"/>
  <c r="AA13" i="7" s="1" a="1"/>
  <c r="AA13" i="7" s="1"/>
  <c r="T14" i="7"/>
  <c r="AA14" i="7" s="1" a="1"/>
  <c r="AA14" i="7" s="1"/>
  <c r="T15" i="7"/>
  <c r="AA15" i="7" s="1" a="1"/>
  <c r="AA15" i="7" s="1"/>
  <c r="T3" i="7"/>
  <c r="AA3" i="7" s="1" a="1"/>
  <c r="AA3" i="7" s="1"/>
  <c r="S4" i="7"/>
  <c r="S5" i="7"/>
  <c r="S6" i="7"/>
  <c r="S7" i="7"/>
  <c r="S8" i="7"/>
  <c r="S9" i="7"/>
  <c r="S10" i="7"/>
  <c r="S11" i="7"/>
  <c r="S12" i="7"/>
  <c r="S13" i="7"/>
  <c r="S14" i="7"/>
  <c r="S3" i="7"/>
  <c r="Q4" i="7"/>
  <c r="Q5" i="7"/>
  <c r="Q6" i="7"/>
  <c r="Q7" i="7"/>
  <c r="Q8" i="7"/>
  <c r="Q9" i="7"/>
  <c r="Q10" i="7"/>
  <c r="Q11" i="7"/>
  <c r="Q12" i="7"/>
  <c r="Q13" i="7"/>
  <c r="Q14" i="7"/>
  <c r="Q3" i="7"/>
  <c r="N4" i="7"/>
  <c r="N5" i="7"/>
  <c r="N6" i="7"/>
  <c r="N7" i="7"/>
  <c r="N8" i="7"/>
  <c r="N9" i="7"/>
  <c r="N10" i="7"/>
  <c r="N11" i="7"/>
  <c r="N12" i="7"/>
  <c r="N13" i="7"/>
  <c r="N14" i="7"/>
  <c r="N3" i="7"/>
  <c r="M4" i="7"/>
  <c r="M5" i="7"/>
  <c r="M6" i="7"/>
  <c r="M7" i="7"/>
  <c r="M8" i="7"/>
  <c r="M9" i="7"/>
  <c r="M10" i="7"/>
  <c r="M11" i="7"/>
  <c r="M12" i="7"/>
  <c r="M13" i="7"/>
  <c r="M14" i="7"/>
  <c r="M3" i="7"/>
  <c r="L4" i="7"/>
  <c r="L5" i="7"/>
  <c r="L6" i="7"/>
  <c r="L7" i="7"/>
  <c r="L8" i="7"/>
  <c r="L9" i="7"/>
  <c r="L10" i="7"/>
  <c r="P10" i="7" s="1"/>
  <c r="L11" i="7"/>
  <c r="L12" i="7"/>
  <c r="L13" i="7"/>
  <c r="L14" i="7"/>
  <c r="L3" i="7"/>
  <c r="K4" i="7"/>
  <c r="R4" i="7" s="1" a="1"/>
  <c r="R4" i="7" s="1"/>
  <c r="K5" i="7"/>
  <c r="R5" i="7" s="1" a="1"/>
  <c r="R5" i="7" s="1"/>
  <c r="K6" i="7"/>
  <c r="R6" i="7" s="1" a="1"/>
  <c r="R6" i="7" s="1"/>
  <c r="K7" i="7"/>
  <c r="R7" i="7" s="1" a="1"/>
  <c r="R7" i="7" s="1"/>
  <c r="K8" i="7"/>
  <c r="R8" i="7" s="1" a="1"/>
  <c r="R8" i="7" s="1"/>
  <c r="K9" i="7"/>
  <c r="R9" i="7" s="1" a="1"/>
  <c r="R9" i="7" s="1"/>
  <c r="K10" i="7"/>
  <c r="R10" i="7" s="1" a="1"/>
  <c r="R10" i="7" s="1"/>
  <c r="K11" i="7"/>
  <c r="R11" i="7" s="1" a="1"/>
  <c r="R11" i="7" s="1"/>
  <c r="K12" i="7"/>
  <c r="R12" i="7" s="1" a="1"/>
  <c r="R12" i="7" s="1"/>
  <c r="K13" i="7"/>
  <c r="R13" i="7" s="1" a="1"/>
  <c r="R13" i="7" s="1"/>
  <c r="K14" i="7"/>
  <c r="R14" i="7" s="1" a="1"/>
  <c r="R14" i="7" s="1"/>
  <c r="K3" i="7"/>
  <c r="R3" i="7" s="1" a="1"/>
  <c r="R3" i="7" s="1"/>
  <c r="O4" i="7"/>
  <c r="O5" i="7"/>
  <c r="O6" i="7"/>
  <c r="O7" i="7"/>
  <c r="O8" i="7"/>
  <c r="O9" i="7"/>
  <c r="O10" i="7"/>
  <c r="O11" i="7"/>
  <c r="O12" i="7"/>
  <c r="O13" i="7"/>
  <c r="O14" i="7"/>
  <c r="O3" i="7"/>
  <c r="J4" i="7"/>
  <c r="J5" i="7"/>
  <c r="J6" i="7"/>
  <c r="J7" i="7"/>
  <c r="J8" i="7"/>
  <c r="J9" i="7"/>
  <c r="J10" i="7"/>
  <c r="J11" i="7"/>
  <c r="J12" i="7"/>
  <c r="J13" i="7"/>
  <c r="J14" i="7"/>
  <c r="J3" i="7"/>
  <c r="H4" i="7"/>
  <c r="H5" i="7"/>
  <c r="H6" i="7"/>
  <c r="H7" i="7"/>
  <c r="H8" i="7"/>
  <c r="H9" i="7"/>
  <c r="H10" i="7"/>
  <c r="H11" i="7"/>
  <c r="H12" i="7"/>
  <c r="H13" i="7"/>
  <c r="H14" i="7"/>
  <c r="H15" i="7"/>
  <c r="H16" i="7"/>
  <c r="H17" i="7"/>
  <c r="H18" i="7"/>
  <c r="H3" i="7"/>
  <c r="F3" i="7"/>
  <c r="E4" i="7"/>
  <c r="E5" i="7"/>
  <c r="E6" i="7"/>
  <c r="E7" i="7"/>
  <c r="E8" i="7"/>
  <c r="E9" i="7"/>
  <c r="E10" i="7"/>
  <c r="E11" i="7"/>
  <c r="E12" i="7"/>
  <c r="E13" i="7"/>
  <c r="E14" i="7"/>
  <c r="E15" i="7"/>
  <c r="E16" i="7"/>
  <c r="E17" i="7"/>
  <c r="E18" i="7"/>
  <c r="E3" i="7"/>
  <c r="Y4" i="2"/>
  <c r="Y5" i="2"/>
  <c r="Y6" i="2"/>
  <c r="Y7" i="2"/>
  <c r="Y8" i="2"/>
  <c r="Y9" i="2"/>
  <c r="Y10" i="2"/>
  <c r="Y11" i="2"/>
  <c r="Y12" i="2"/>
  <c r="Y13" i="2"/>
  <c r="Y14" i="2"/>
  <c r="Y15" i="2"/>
  <c r="Y16" i="2"/>
  <c r="Y17" i="2"/>
  <c r="Y18" i="2"/>
  <c r="Y19" i="2"/>
  <c r="Y20" i="2"/>
  <c r="Y21" i="2"/>
  <c r="Y22" i="2"/>
  <c r="Y23" i="2"/>
  <c r="Y24" i="2"/>
  <c r="Y3" i="2"/>
  <c r="F14" i="7"/>
  <c r="F15" i="7"/>
  <c r="F16" i="7"/>
  <c r="F17" i="7"/>
  <c r="F18" i="7"/>
  <c r="B3" i="7"/>
  <c r="I3" i="7" s="1" a="1"/>
  <c r="I3" i="7" s="1"/>
  <c r="B50" i="2"/>
  <c r="E53" i="2"/>
  <c r="F4" i="7"/>
  <c r="F5" i="7"/>
  <c r="F6" i="7"/>
  <c r="F7" i="7"/>
  <c r="F8" i="7"/>
  <c r="F9" i="7"/>
  <c r="F10" i="7"/>
  <c r="F11" i="7"/>
  <c r="F12" i="7"/>
  <c r="F13" i="7"/>
  <c r="D4" i="7"/>
  <c r="D5" i="7"/>
  <c r="D6" i="7"/>
  <c r="D7" i="7"/>
  <c r="D8" i="7"/>
  <c r="D9" i="7"/>
  <c r="D10" i="7"/>
  <c r="D11" i="7"/>
  <c r="D12" i="7"/>
  <c r="D13" i="7"/>
  <c r="D14" i="7"/>
  <c r="D15" i="7"/>
  <c r="D16" i="7"/>
  <c r="D17" i="7"/>
  <c r="D18" i="7"/>
  <c r="D3" i="7"/>
  <c r="A11" i="7"/>
  <c r="B11" i="7"/>
  <c r="I11" i="7" s="1" a="1"/>
  <c r="I11" i="7" s="1"/>
  <c r="C11" i="7"/>
  <c r="C12" i="7"/>
  <c r="A13" i="7"/>
  <c r="B13" i="7"/>
  <c r="I13" i="7" s="1" a="1"/>
  <c r="I13" i="7" s="1"/>
  <c r="C13" i="7"/>
  <c r="A14" i="7"/>
  <c r="B14" i="7"/>
  <c r="I14" i="7" s="1" a="1"/>
  <c r="I14" i="7" s="1"/>
  <c r="C14" i="7"/>
  <c r="A15" i="7"/>
  <c r="B15" i="7"/>
  <c r="I15" i="7" s="1" a="1"/>
  <c r="I15" i="7" s="1"/>
  <c r="C15" i="7"/>
  <c r="A16" i="7"/>
  <c r="B16" i="7"/>
  <c r="I16" i="7" s="1" a="1"/>
  <c r="I16" i="7" s="1"/>
  <c r="C16" i="7"/>
  <c r="A17" i="7"/>
  <c r="B17" i="7"/>
  <c r="I17" i="7" s="1" a="1"/>
  <c r="I17" i="7" s="1"/>
  <c r="C17" i="7"/>
  <c r="A18" i="7"/>
  <c r="B18" i="7"/>
  <c r="I18" i="7" s="1" a="1"/>
  <c r="I18" i="7" s="1"/>
  <c r="C18" i="7"/>
  <c r="A10" i="7"/>
  <c r="B10" i="7"/>
  <c r="I10" i="7" s="1" a="1"/>
  <c r="I10" i="7" s="1"/>
  <c r="C10" i="7"/>
  <c r="C4" i="7"/>
  <c r="C5" i="7"/>
  <c r="C6" i="7"/>
  <c r="C7" i="7"/>
  <c r="C8" i="7"/>
  <c r="C9" i="7"/>
  <c r="C3" i="7"/>
  <c r="B4" i="7"/>
  <c r="I4" i="7" s="1" a="1"/>
  <c r="I4" i="7" s="1"/>
  <c r="B5" i="7"/>
  <c r="I5" i="7" s="1" a="1"/>
  <c r="I5" i="7" s="1"/>
  <c r="B6" i="7"/>
  <c r="I6" i="7" s="1" a="1"/>
  <c r="I6" i="7" s="1"/>
  <c r="B7" i="7"/>
  <c r="I7" i="7" s="1" a="1"/>
  <c r="I7" i="7" s="1"/>
  <c r="B8" i="7"/>
  <c r="I8" i="7" s="1" a="1"/>
  <c r="I8" i="7" s="1"/>
  <c r="B9" i="7"/>
  <c r="I9" i="7" s="1" a="1"/>
  <c r="I9" i="7" s="1"/>
  <c r="A4" i="7"/>
  <c r="A5" i="7"/>
  <c r="A6" i="7"/>
  <c r="A7" i="7"/>
  <c r="A8" i="7"/>
  <c r="A9" i="7"/>
  <c r="A3" i="7"/>
  <c r="AC4" i="2"/>
  <c r="AC5" i="2"/>
  <c r="AC6" i="2"/>
  <c r="AC7" i="2"/>
  <c r="AC8" i="2"/>
  <c r="AC9" i="2"/>
  <c r="AC10" i="2"/>
  <c r="AC3" i="2"/>
  <c r="AD4" i="2"/>
  <c r="AD5" i="2"/>
  <c r="AD6" i="2"/>
  <c r="AD7" i="2"/>
  <c r="AD8" i="2"/>
  <c r="AD9" i="2"/>
  <c r="AD10" i="2"/>
  <c r="AD3" i="2"/>
  <c r="AB3" i="2"/>
  <c r="AB4" i="2"/>
  <c r="AB5" i="2"/>
  <c r="AB6" i="2"/>
  <c r="AB7" i="2"/>
  <c r="AB8" i="2"/>
  <c r="AB9" i="2"/>
  <c r="AB10" i="2"/>
  <c r="AA10" i="2"/>
  <c r="AA4" i="2"/>
  <c r="AA5" i="2"/>
  <c r="AA6" i="2"/>
  <c r="AA7" i="2"/>
  <c r="AA8" i="2"/>
  <c r="AA9" i="2"/>
  <c r="AA3" i="2"/>
  <c r="C141" i="1" a="1"/>
  <c r="F54" i="2" a="1"/>
  <c r="F56" i="2" a="1"/>
  <c r="F58" i="2" a="1"/>
  <c r="F60" i="2" a="1"/>
  <c r="F62" i="2" a="1"/>
  <c r="F64" i="2" a="1"/>
  <c r="F66" i="2" a="1"/>
  <c r="F68" i="2" a="1"/>
  <c r="F70" i="2" a="1"/>
  <c r="F72" i="2" a="1"/>
  <c r="F74" i="2" a="1"/>
  <c r="H67" i="2" a="1"/>
  <c r="I71" i="2" a="1"/>
  <c r="G56" i="2" a="1"/>
  <c r="G60" i="2" a="1"/>
  <c r="G64" i="2" a="1"/>
  <c r="G68" i="2" a="1"/>
  <c r="G72" i="2" a="1"/>
  <c r="H68" i="2" a="1"/>
  <c r="H72" i="2" a="1"/>
  <c r="F67" i="2" a="1"/>
  <c r="G75" i="2" a="1"/>
  <c r="H73" i="2" a="1"/>
  <c r="I63" i="2" a="1"/>
  <c r="G54" i="2" a="1"/>
  <c r="G58" i="2" a="1"/>
  <c r="G62" i="2" a="1"/>
  <c r="G66" i="2" a="1"/>
  <c r="G70" i="2" a="1"/>
  <c r="G74" i="2" a="1"/>
  <c r="F69" i="2" a="1"/>
  <c r="G63" i="2" a="1"/>
  <c r="H61" i="2" a="1"/>
  <c r="H60" i="2" a="1"/>
  <c r="F73" i="2" a="1"/>
  <c r="G71" i="2" a="1"/>
  <c r="H55" i="2" a="1"/>
  <c r="H54" i="2" a="1"/>
  <c r="H56" i="2" a="1"/>
  <c r="H58" i="2" a="1"/>
  <c r="H62" i="2" a="1"/>
  <c r="H64" i="2" a="1"/>
  <c r="H66" i="2" a="1"/>
  <c r="H70" i="2" a="1"/>
  <c r="H74" i="2" a="1"/>
  <c r="G61" i="2" a="1"/>
  <c r="H75" i="2" a="1"/>
  <c r="I67" i="2" a="1"/>
  <c r="I56" i="2" a="1"/>
  <c r="I58" i="2" a="1"/>
  <c r="I62" i="2" a="1"/>
  <c r="I66" i="2" a="1"/>
  <c r="I70" i="2" a="1"/>
  <c r="I74" i="2" a="1"/>
  <c r="F59" i="2" a="1"/>
  <c r="F75" i="2" a="1"/>
  <c r="G73" i="2" a="1"/>
  <c r="H59" i="2" a="1"/>
  <c r="I61" i="2" a="1"/>
  <c r="I54" i="2" a="1"/>
  <c r="I60" i="2" a="1"/>
  <c r="I64" i="2" a="1"/>
  <c r="I68" i="2" a="1"/>
  <c r="I72" i="2" a="1"/>
  <c r="F63" i="2" a="1"/>
  <c r="G67" i="2" a="1"/>
  <c r="H57" i="2" a="1"/>
  <c r="I59" i="2" a="1"/>
  <c r="F57" i="2" a="1"/>
  <c r="H71" i="2" a="1"/>
  <c r="I65" i="2" a="1"/>
  <c r="F55" i="2" a="1"/>
  <c r="F61" i="2" a="1"/>
  <c r="F65" i="2" a="1"/>
  <c r="F71" i="2" a="1"/>
  <c r="G69" i="2" a="1"/>
  <c r="H69" i="2" a="1"/>
  <c r="G57" i="2" a="1"/>
  <c r="H63" i="2" a="1"/>
  <c r="G55" i="2" a="1"/>
  <c r="G59" i="2" a="1"/>
  <c r="G65" i="2" a="1"/>
  <c r="H65" i="2" a="1"/>
  <c r="I73" i="2" a="1"/>
  <c r="I69" i="2" a="1"/>
  <c r="I55" i="2" a="1"/>
  <c r="I57" i="2" a="1"/>
  <c r="I75" i="2" a="1"/>
  <c r="E54" i="2" a="1"/>
  <c r="E62" i="2" a="1"/>
  <c r="E70" i="2" a="1"/>
  <c r="E59" i="2" a="1"/>
  <c r="E60" i="2" a="1"/>
  <c r="E64" i="2" a="1"/>
  <c r="E55" i="2" a="1"/>
  <c r="E63" i="2" a="1"/>
  <c r="E71" i="2" a="1"/>
  <c r="E72" i="2" a="1"/>
  <c r="E65" i="2" a="1"/>
  <c r="E73" i="2" a="1"/>
  <c r="E75" i="2" a="1"/>
  <c r="E68" i="2" a="1"/>
  <c r="E66" i="2" a="1"/>
  <c r="E56" i="2" a="1"/>
  <c r="E74" i="2" a="1"/>
  <c r="E58" i="2" a="1"/>
  <c r="E57" i="2" a="1"/>
  <c r="E69" i="2" a="1"/>
  <c r="E67" i="2" a="1"/>
  <c r="E61" i="2" a="1"/>
  <c r="D54" i="2" a="1"/>
  <c r="D62" i="2" a="1"/>
  <c r="D70" i="2" a="1"/>
  <c r="D72" i="2" a="1"/>
  <c r="D74" i="2" a="1"/>
  <c r="D59" i="2" a="1"/>
  <c r="D60" i="2" a="1"/>
  <c r="D55" i="2" a="1"/>
  <c r="D63" i="2" a="1"/>
  <c r="D71" i="2" a="1"/>
  <c r="D57" i="2" a="1"/>
  <c r="D73" i="2" a="1"/>
  <c r="D58" i="2" a="1"/>
  <c r="D75" i="2" a="1"/>
  <c r="D68" i="2" a="1"/>
  <c r="D64" i="2" a="1"/>
  <c r="D65" i="2" a="1"/>
  <c r="D66" i="2" a="1"/>
  <c r="D67" i="2" a="1"/>
  <c r="D69" i="2" a="1"/>
  <c r="D56" i="2" a="1"/>
  <c r="D61" i="2" a="1"/>
  <c r="C75" i="2" a="1"/>
  <c r="C55" i="2" a="1"/>
  <c r="C63" i="2" a="1"/>
  <c r="C71" i="2" a="1"/>
  <c r="C64" i="2" a="1"/>
  <c r="C60" i="2" a="1"/>
  <c r="C56" i="2" a="1"/>
  <c r="C72" i="2" a="1"/>
  <c r="C62" i="2" a="1"/>
  <c r="C57" i="2" a="1"/>
  <c r="C65" i="2" a="1"/>
  <c r="C73" i="2" a="1"/>
  <c r="C74" i="2" a="1"/>
  <c r="C69" i="2" a="1"/>
  <c r="C58" i="2" a="1"/>
  <c r="C66" i="2" a="1"/>
  <c r="C68" i="2" a="1"/>
  <c r="C70" i="2" a="1"/>
  <c r="C59" i="2" a="1"/>
  <c r="C61" i="2" a="1"/>
  <c r="C67" i="2" a="1"/>
  <c r="C54" i="2" a="1"/>
  <c r="O54" i="2" a="1"/>
  <c r="W54" i="2" a="1"/>
  <c r="U55" i="2" a="1"/>
  <c r="S56" i="2" a="1"/>
  <c r="Q57" i="2" a="1"/>
  <c r="O58" i="2" a="1"/>
  <c r="W58" i="2" a="1"/>
  <c r="U59" i="2" a="1"/>
  <c r="S60" i="2" a="1"/>
  <c r="Q61" i="2" a="1"/>
  <c r="O62" i="2" a="1"/>
  <c r="W62" i="2" a="1"/>
  <c r="U63" i="2" a="1"/>
  <c r="S64" i="2" a="1"/>
  <c r="Q65" i="2" a="1"/>
  <c r="O66" i="2" a="1"/>
  <c r="W66" i="2" a="1"/>
  <c r="U67" i="2" a="1"/>
  <c r="S68" i="2" a="1"/>
  <c r="Q69" i="2" a="1"/>
  <c r="O70" i="2" a="1"/>
  <c r="W70" i="2" a="1"/>
  <c r="U71" i="2" a="1"/>
  <c r="S72" i="2" a="1"/>
  <c r="Q73" i="2" a="1"/>
  <c r="O74" i="2" a="1"/>
  <c r="W74" i="2" a="1"/>
  <c r="U75" i="2" a="1"/>
  <c r="R75" i="2" a="1"/>
  <c r="P54" i="2" a="1"/>
  <c r="X54" i="2" a="1"/>
  <c r="V55" i="2" a="1"/>
  <c r="T56" i="2" a="1"/>
  <c r="R57" i="2" a="1"/>
  <c r="P58" i="2" a="1"/>
  <c r="X58" i="2" a="1"/>
  <c r="V59" i="2" a="1"/>
  <c r="T60" i="2" a="1"/>
  <c r="R61" i="2" a="1"/>
  <c r="P62" i="2" a="1"/>
  <c r="X62" i="2" a="1"/>
  <c r="V63" i="2" a="1"/>
  <c r="T64" i="2" a="1"/>
  <c r="R65" i="2" a="1"/>
  <c r="P66" i="2" a="1"/>
  <c r="X66" i="2" a="1"/>
  <c r="V67" i="2" a="1"/>
  <c r="T68" i="2" a="1"/>
  <c r="R69" i="2" a="1"/>
  <c r="P70" i="2" a="1"/>
  <c r="X70" i="2" a="1"/>
  <c r="V71" i="2" a="1"/>
  <c r="T72" i="2" a="1"/>
  <c r="R73" i="2" a="1"/>
  <c r="P74" i="2" a="1"/>
  <c r="X74" i="2" a="1"/>
  <c r="V75" i="2" a="1"/>
  <c r="S75" i="2" a="1"/>
  <c r="W73" i="2" a="1"/>
  <c r="T75" i="2" a="1"/>
  <c r="Q54" i="2" a="1"/>
  <c r="O55" i="2" a="1"/>
  <c r="W55" i="2" a="1"/>
  <c r="U56" i="2" a="1"/>
  <c r="S57" i="2" a="1"/>
  <c r="Q58" i="2" a="1"/>
  <c r="O59" i="2" a="1"/>
  <c r="W59" i="2" a="1"/>
  <c r="U60" i="2" a="1"/>
  <c r="S61" i="2" a="1"/>
  <c r="Q62" i="2" a="1"/>
  <c r="O63" i="2" a="1"/>
  <c r="W63" i="2" a="1"/>
  <c r="U64" i="2" a="1"/>
  <c r="S65" i="2" a="1"/>
  <c r="Q66" i="2" a="1"/>
  <c r="O67" i="2" a="1"/>
  <c r="W67" i="2" a="1"/>
  <c r="U68" i="2" a="1"/>
  <c r="S69" i="2" a="1"/>
  <c r="Q70" i="2" a="1"/>
  <c r="O71" i="2" a="1"/>
  <c r="W71" i="2" a="1"/>
  <c r="U72" i="2" a="1"/>
  <c r="S73" i="2" a="1"/>
  <c r="Q74" i="2" a="1"/>
  <c r="O75" i="2" a="1"/>
  <c r="W75" i="2" a="1"/>
  <c r="Q75" i="2" a="1"/>
  <c r="Q72" i="2" a="1"/>
  <c r="T71" i="2" a="1"/>
  <c r="P75" i="2" a="1"/>
  <c r="S71" i="2" a="1"/>
  <c r="R54" i="2" a="1"/>
  <c r="P55" i="2" a="1"/>
  <c r="X55" i="2" a="1"/>
  <c r="V56" i="2" a="1"/>
  <c r="T57" i="2" a="1"/>
  <c r="R58" i="2" a="1"/>
  <c r="P59" i="2" a="1"/>
  <c r="X59" i="2" a="1"/>
  <c r="V60" i="2" a="1"/>
  <c r="T61" i="2" a="1"/>
  <c r="R62" i="2" a="1"/>
  <c r="P63" i="2" a="1"/>
  <c r="X63" i="2" a="1"/>
  <c r="V64" i="2" a="1"/>
  <c r="T65" i="2" a="1"/>
  <c r="R66" i="2" a="1"/>
  <c r="P67" i="2" a="1"/>
  <c r="X67" i="2" a="1"/>
  <c r="V68" i="2" a="1"/>
  <c r="T69" i="2" a="1"/>
  <c r="R70" i="2" a="1"/>
  <c r="P71" i="2" a="1"/>
  <c r="X71" i="2" a="1"/>
  <c r="V72" i="2" a="1"/>
  <c r="T73" i="2" a="1"/>
  <c r="R74" i="2" a="1"/>
  <c r="X75" i="2" a="1"/>
  <c r="T74" i="2" a="1"/>
  <c r="U73" i="2" a="1"/>
  <c r="R72" i="2" a="1"/>
  <c r="S54" i="2" a="1"/>
  <c r="Q55" i="2" a="1"/>
  <c r="O56" i="2" a="1"/>
  <c r="W56" i="2" a="1"/>
  <c r="U57" i="2" a="1"/>
  <c r="S58" i="2" a="1"/>
  <c r="Q59" i="2" a="1"/>
  <c r="O60" i="2" a="1"/>
  <c r="W60" i="2" a="1"/>
  <c r="U61" i="2" a="1"/>
  <c r="S62" i="2" a="1"/>
  <c r="Q63" i="2" a="1"/>
  <c r="O64" i="2" a="1"/>
  <c r="W64" i="2" a="1"/>
  <c r="U65" i="2" a="1"/>
  <c r="S66" i="2" a="1"/>
  <c r="Q67" i="2" a="1"/>
  <c r="O68" i="2" a="1"/>
  <c r="W68" i="2" a="1"/>
  <c r="U69" i="2" a="1"/>
  <c r="S70" i="2" a="1"/>
  <c r="Q71" i="2" a="1"/>
  <c r="O72" i="2" a="1"/>
  <c r="W72" i="2" a="1"/>
  <c r="S74" i="2" a="1"/>
  <c r="O73" i="2" a="1"/>
  <c r="X68" i="2" a="1"/>
  <c r="X73" i="2" a="1"/>
  <c r="T54" i="2" a="1"/>
  <c r="R55" i="2" a="1"/>
  <c r="P56" i="2" a="1"/>
  <c r="X56" i="2" a="1"/>
  <c r="V57" i="2" a="1"/>
  <c r="T58" i="2" a="1"/>
  <c r="R59" i="2" a="1"/>
  <c r="P60" i="2" a="1"/>
  <c r="X60" i="2" a="1"/>
  <c r="V61" i="2" a="1"/>
  <c r="T62" i="2" a="1"/>
  <c r="R63" i="2" a="1"/>
  <c r="P64" i="2" a="1"/>
  <c r="X64" i="2" a="1"/>
  <c r="V65" i="2" a="1"/>
  <c r="T66" i="2" a="1"/>
  <c r="R67" i="2" a="1"/>
  <c r="P68" i="2" a="1"/>
  <c r="V69" i="2" a="1"/>
  <c r="T70" i="2" a="1"/>
  <c r="R71" i="2" a="1"/>
  <c r="P72" i="2" a="1"/>
  <c r="X72" i="2" a="1"/>
  <c r="V73" i="2" a="1"/>
  <c r="O65" i="2" a="1"/>
  <c r="U70" i="2" a="1"/>
  <c r="V74" i="2" a="1"/>
  <c r="U54" i="2" a="1"/>
  <c r="S55" i="2" a="1"/>
  <c r="Q56" i="2" a="1"/>
  <c r="O57" i="2" a="1"/>
  <c r="W57" i="2" a="1"/>
  <c r="U58" i="2" a="1"/>
  <c r="S59" i="2" a="1"/>
  <c r="Q60" i="2" a="1"/>
  <c r="O61" i="2" a="1"/>
  <c r="W61" i="2" a="1"/>
  <c r="U62" i="2" a="1"/>
  <c r="S63" i="2" a="1"/>
  <c r="Q64" i="2" a="1"/>
  <c r="W65" i="2" a="1"/>
  <c r="U66" i="2" a="1"/>
  <c r="S67" i="2" a="1"/>
  <c r="Q68" i="2" a="1"/>
  <c r="O69" i="2" a="1"/>
  <c r="W69" i="2" a="1"/>
  <c r="V54" i="2" a="1"/>
  <c r="T55" i="2" a="1"/>
  <c r="R56" i="2" a="1"/>
  <c r="P57" i="2" a="1"/>
  <c r="X57" i="2" a="1"/>
  <c r="V58" i="2" a="1"/>
  <c r="T59" i="2" a="1"/>
  <c r="R60" i="2" a="1"/>
  <c r="P61" i="2" a="1"/>
  <c r="X61" i="2" a="1"/>
  <c r="V62" i="2" a="1"/>
  <c r="T63" i="2" a="1"/>
  <c r="R64" i="2" a="1"/>
  <c r="P65" i="2" a="1"/>
  <c r="X65" i="2" a="1"/>
  <c r="V66" i="2" a="1"/>
  <c r="T67" i="2" a="1"/>
  <c r="R68" i="2" a="1"/>
  <c r="P69" i="2" a="1"/>
  <c r="X69" i="2" a="1"/>
  <c r="V70" i="2" a="1"/>
  <c r="P73" i="2" a="1"/>
  <c r="U74" i="2" a="1"/>
  <c r="J54" i="2" a="1"/>
  <c r="K57" i="2" a="1"/>
  <c r="N58" i="2" a="1"/>
  <c r="J62" i="2" a="1"/>
  <c r="M63" i="2" a="1"/>
  <c r="N66" i="2" a="1"/>
  <c r="J70" i="2" a="1"/>
  <c r="K73" i="2" a="1"/>
  <c r="N71" i="2" a="1"/>
  <c r="N55" i="2" a="1"/>
  <c r="L57" i="2" a="1"/>
  <c r="J59" i="2" a="1"/>
  <c r="M60" i="2" a="1"/>
  <c r="K62" i="2" a="1"/>
  <c r="N63" i="2" a="1"/>
  <c r="L65" i="2" a="1"/>
  <c r="J67" i="2" a="1"/>
  <c r="M68" i="2" a="1"/>
  <c r="K70" i="2" a="1"/>
  <c r="L73" i="2" a="1"/>
  <c r="K54" i="2" a="1"/>
  <c r="J56" i="2" a="1"/>
  <c r="M57" i="2" a="1"/>
  <c r="K59" i="2" a="1"/>
  <c r="N60" i="2" a="1"/>
  <c r="L62" i="2" a="1"/>
  <c r="J64" i="2" a="1"/>
  <c r="M65" i="2" a="1"/>
  <c r="N68" i="2" a="1"/>
  <c r="L70" i="2" a="1"/>
  <c r="M73" i="2" a="1"/>
  <c r="L54" i="2" a="1"/>
  <c r="K67" i="2" a="1"/>
  <c r="J72" i="2" a="1"/>
  <c r="K75" i="2" a="1"/>
  <c r="K56" i="2" a="1"/>
  <c r="N57" i="2" a="1"/>
  <c r="J61" i="2" a="1"/>
  <c r="M62" i="2" a="1"/>
  <c r="K64" i="2" a="1"/>
  <c r="L67" i="2" a="1"/>
  <c r="K72" i="2" a="1"/>
  <c r="J74" i="2" a="1"/>
  <c r="M54" i="2" a="1"/>
  <c r="L59" i="2" a="1"/>
  <c r="N65" i="2" a="1"/>
  <c r="J69" i="2" a="1"/>
  <c r="M70" i="2" a="1"/>
  <c r="N73" i="2" a="1"/>
  <c r="L75" i="2" a="1"/>
  <c r="M75" i="2" a="1"/>
  <c r="L74" i="2" a="1"/>
  <c r="L56" i="2" a="1"/>
  <c r="J58" i="2" a="1"/>
  <c r="K61" i="2" a="1"/>
  <c r="J66" i="2" a="1"/>
  <c r="K69" i="2" a="1"/>
  <c r="L72" i="2" a="1"/>
  <c r="N54" i="2" a="1"/>
  <c r="M59" i="2" a="1"/>
  <c r="N62" i="2" a="1"/>
  <c r="L64" i="2" a="1"/>
  <c r="M67" i="2" a="1"/>
  <c r="N70" i="2" a="1"/>
  <c r="J55" i="2" a="1"/>
  <c r="K58" i="2" a="1"/>
  <c r="N59" i="2" a="1"/>
  <c r="L61" i="2" a="1"/>
  <c r="J63" i="2" a="1"/>
  <c r="M64" i="2" a="1"/>
  <c r="K66" i="2" a="1"/>
  <c r="N67" i="2" a="1"/>
  <c r="L69" i="2" a="1"/>
  <c r="J71" i="2" a="1"/>
  <c r="M72" i="2" a="1"/>
  <c r="K74" i="2" a="1"/>
  <c r="N75" i="2" a="1"/>
  <c r="K71" i="2" a="1"/>
  <c r="M56" i="2" a="1"/>
  <c r="N56" i="2" a="1"/>
  <c r="K55" i="2" a="1"/>
  <c r="L58" i="2" a="1"/>
  <c r="J60" i="2" a="1"/>
  <c r="M61" i="2" a="1"/>
  <c r="K63" i="2" a="1"/>
  <c r="N64" i="2" a="1"/>
  <c r="L66" i="2" a="1"/>
  <c r="J68" i="2" a="1"/>
  <c r="M69" i="2" a="1"/>
  <c r="N72" i="2" a="1"/>
  <c r="J57" i="2" a="1"/>
  <c r="M58" i="2" a="1"/>
  <c r="K60" i="2" a="1"/>
  <c r="N61" i="2" a="1"/>
  <c r="L63" i="2" a="1"/>
  <c r="J65" i="2" a="1"/>
  <c r="M66" i="2" a="1"/>
  <c r="K68" i="2" a="1"/>
  <c r="N69" i="2" a="1"/>
  <c r="L71" i="2" a="1"/>
  <c r="J73" i="2" a="1"/>
  <c r="M74" i="2" a="1"/>
  <c r="L55" i="2" a="1"/>
  <c r="M55" i="2" a="1"/>
  <c r="L60" i="2" a="1"/>
  <c r="K65" i="2" a="1"/>
  <c r="L68" i="2" a="1"/>
  <c r="M71" i="2" a="1"/>
  <c r="N74" i="2" a="1"/>
  <c r="J75" i="2" a="1"/>
  <c r="P6" i="7" l="1"/>
  <c r="AH9" i="7"/>
  <c r="C25" i="2" a="1"/>
  <c r="C25" i="2" s="1"/>
  <c r="P13" i="7"/>
  <c r="AQ6" i="7"/>
  <c r="P5" i="7"/>
  <c r="P14" i="7"/>
  <c r="P12" i="7"/>
  <c r="P4" i="7"/>
  <c r="AH8" i="7"/>
  <c r="AH6" i="7"/>
  <c r="P8" i="7"/>
  <c r="Y14" i="7"/>
  <c r="AH13" i="7"/>
  <c r="AH5" i="7"/>
  <c r="Y12" i="7"/>
  <c r="Y4" i="7"/>
  <c r="AH7" i="7"/>
  <c r="Y13" i="7"/>
  <c r="Y5" i="7"/>
  <c r="P7" i="7"/>
  <c r="AH12" i="7"/>
  <c r="AH4" i="7"/>
  <c r="Y9" i="7"/>
  <c r="AQ3" i="7"/>
  <c r="AQ7" i="7"/>
  <c r="AH10" i="7"/>
  <c r="AH14" i="7"/>
  <c r="AQ13" i="7"/>
  <c r="P3" i="7"/>
  <c r="AQ11" i="7"/>
  <c r="Y7" i="7"/>
  <c r="AQ8" i="7"/>
  <c r="AQ10" i="7"/>
  <c r="AH11" i="7"/>
  <c r="AH3" i="7"/>
  <c r="Y11" i="7"/>
  <c r="Y3" i="7"/>
  <c r="P11" i="7"/>
  <c r="P9" i="7"/>
  <c r="U74" i="2"/>
  <c r="P73" i="2"/>
  <c r="V70" i="2"/>
  <c r="X69" i="2"/>
  <c r="P69" i="2"/>
  <c r="R68" i="2"/>
  <c r="T67" i="2"/>
  <c r="V66" i="2"/>
  <c r="X65" i="2"/>
  <c r="P65" i="2"/>
  <c r="R64" i="2"/>
  <c r="T63" i="2"/>
  <c r="V62" i="2"/>
  <c r="X61" i="2"/>
  <c r="P61" i="2"/>
  <c r="R60" i="2"/>
  <c r="T59" i="2"/>
  <c r="V58" i="2"/>
  <c r="X57" i="2"/>
  <c r="P57" i="2"/>
  <c r="R56" i="2"/>
  <c r="T55" i="2"/>
  <c r="V54" i="2"/>
  <c r="W69" i="2"/>
  <c r="O69" i="2"/>
  <c r="Q68" i="2"/>
  <c r="S67" i="2"/>
  <c r="U66" i="2"/>
  <c r="W65" i="2"/>
  <c r="Q64" i="2"/>
  <c r="S63" i="2"/>
  <c r="U62" i="2"/>
  <c r="W61" i="2"/>
  <c r="O61" i="2"/>
  <c r="Q60" i="2"/>
  <c r="S59" i="2"/>
  <c r="U58" i="2"/>
  <c r="W57" i="2"/>
  <c r="O57" i="2"/>
  <c r="Q56" i="2"/>
  <c r="S55" i="2"/>
  <c r="U54" i="2"/>
  <c r="V74" i="2"/>
  <c r="U70" i="2"/>
  <c r="O65" i="2"/>
  <c r="V73" i="2"/>
  <c r="X72" i="2"/>
  <c r="P72" i="2"/>
  <c r="R71" i="2"/>
  <c r="T70" i="2"/>
  <c r="V69" i="2"/>
  <c r="P68" i="2"/>
  <c r="R67" i="2"/>
  <c r="T66" i="2"/>
  <c r="V65" i="2"/>
  <c r="X64" i="2"/>
  <c r="P64" i="2"/>
  <c r="R63" i="2"/>
  <c r="T62" i="2"/>
  <c r="V61" i="2"/>
  <c r="X60" i="2"/>
  <c r="P60" i="2"/>
  <c r="R59" i="2"/>
  <c r="T58" i="2"/>
  <c r="V57" i="2"/>
  <c r="X56" i="2"/>
  <c r="P56" i="2"/>
  <c r="R55" i="2"/>
  <c r="T54" i="2"/>
  <c r="X73" i="2"/>
  <c r="X68" i="2"/>
  <c r="O73" i="2"/>
  <c r="S74" i="2"/>
  <c r="W72" i="2"/>
  <c r="O72" i="2"/>
  <c r="Q71" i="2"/>
  <c r="S70" i="2"/>
  <c r="U69" i="2"/>
  <c r="W68" i="2"/>
  <c r="O68" i="2"/>
  <c r="Q67" i="2"/>
  <c r="S66" i="2"/>
  <c r="U65" i="2"/>
  <c r="W64" i="2"/>
  <c r="O64" i="2"/>
  <c r="Q63" i="2"/>
  <c r="S62" i="2"/>
  <c r="U61" i="2"/>
  <c r="W60" i="2"/>
  <c r="O60" i="2"/>
  <c r="Q59" i="2"/>
  <c r="S58" i="2"/>
  <c r="U57" i="2"/>
  <c r="W56" i="2"/>
  <c r="O56" i="2"/>
  <c r="Q55" i="2"/>
  <c r="S54" i="2"/>
  <c r="R72" i="2"/>
  <c r="U73" i="2"/>
  <c r="T74" i="2"/>
  <c r="X75" i="2"/>
  <c r="R74" i="2"/>
  <c r="T73" i="2"/>
  <c r="V72" i="2"/>
  <c r="X71" i="2"/>
  <c r="P71" i="2"/>
  <c r="R70" i="2"/>
  <c r="T69" i="2"/>
  <c r="V68" i="2"/>
  <c r="X67" i="2"/>
  <c r="P67" i="2"/>
  <c r="R66" i="2"/>
  <c r="T65" i="2"/>
  <c r="V64" i="2"/>
  <c r="X63" i="2"/>
  <c r="P63" i="2"/>
  <c r="R62" i="2"/>
  <c r="T61" i="2"/>
  <c r="V60" i="2"/>
  <c r="X59" i="2"/>
  <c r="P59" i="2"/>
  <c r="R58" i="2"/>
  <c r="T57" i="2"/>
  <c r="V56" i="2"/>
  <c r="X55" i="2"/>
  <c r="P55" i="2"/>
  <c r="R54" i="2"/>
  <c r="S71" i="2"/>
  <c r="P75" i="2"/>
  <c r="T71" i="2"/>
  <c r="Q72" i="2"/>
  <c r="Q75" i="2"/>
  <c r="W75" i="2"/>
  <c r="O75" i="2"/>
  <c r="Q74" i="2"/>
  <c r="S73" i="2"/>
  <c r="U72" i="2"/>
  <c r="W71" i="2"/>
  <c r="O71" i="2"/>
  <c r="Q70" i="2"/>
  <c r="S69" i="2"/>
  <c r="U68" i="2"/>
  <c r="W67" i="2"/>
  <c r="O67" i="2"/>
  <c r="Q66" i="2"/>
  <c r="S65" i="2"/>
  <c r="U64" i="2"/>
  <c r="W63" i="2"/>
  <c r="O63" i="2"/>
  <c r="Q62" i="2"/>
  <c r="S61" i="2"/>
  <c r="U60" i="2"/>
  <c r="W59" i="2"/>
  <c r="O59" i="2"/>
  <c r="Q58" i="2"/>
  <c r="S57" i="2"/>
  <c r="U56" i="2"/>
  <c r="W55" i="2"/>
  <c r="O55" i="2"/>
  <c r="Q54" i="2"/>
  <c r="T75" i="2"/>
  <c r="W73" i="2"/>
  <c r="S75" i="2"/>
  <c r="V75" i="2"/>
  <c r="X74" i="2"/>
  <c r="P74" i="2"/>
  <c r="R73" i="2"/>
  <c r="T72" i="2"/>
  <c r="V71" i="2"/>
  <c r="X70" i="2"/>
  <c r="P70" i="2"/>
  <c r="R69" i="2"/>
  <c r="T68" i="2"/>
  <c r="V67" i="2"/>
  <c r="X66" i="2"/>
  <c r="P66" i="2"/>
  <c r="R65" i="2"/>
  <c r="T64" i="2"/>
  <c r="V63" i="2"/>
  <c r="X62" i="2"/>
  <c r="P62" i="2"/>
  <c r="R61" i="2"/>
  <c r="T60" i="2"/>
  <c r="V59" i="2"/>
  <c r="X58" i="2"/>
  <c r="P58" i="2"/>
  <c r="R57" i="2"/>
  <c r="T56" i="2"/>
  <c r="V55" i="2"/>
  <c r="X54" i="2"/>
  <c r="P54" i="2"/>
  <c r="R75" i="2"/>
  <c r="U75" i="2"/>
  <c r="W74" i="2"/>
  <c r="O74" i="2"/>
  <c r="Q73" i="2"/>
  <c r="S72" i="2"/>
  <c r="U71" i="2"/>
  <c r="W70" i="2"/>
  <c r="O70" i="2"/>
  <c r="Q69" i="2"/>
  <c r="S68" i="2"/>
  <c r="U67" i="2"/>
  <c r="W66" i="2"/>
  <c r="O66" i="2"/>
  <c r="Q65" i="2"/>
  <c r="S64" i="2"/>
  <c r="U63" i="2"/>
  <c r="W62" i="2"/>
  <c r="O62" i="2"/>
  <c r="Q61" i="2"/>
  <c r="S60" i="2"/>
  <c r="U59" i="2"/>
  <c r="W58" i="2"/>
  <c r="O58" i="2"/>
  <c r="Q57" i="2"/>
  <c r="S56" i="2"/>
  <c r="U55" i="2"/>
  <c r="W54" i="2"/>
  <c r="O54" i="2"/>
  <c r="J75" i="2"/>
  <c r="N74" i="2"/>
  <c r="M71" i="2"/>
  <c r="L68" i="2"/>
  <c r="K65" i="2"/>
  <c r="L60" i="2"/>
  <c r="M55" i="2"/>
  <c r="L55" i="2"/>
  <c r="M74" i="2"/>
  <c r="J73" i="2"/>
  <c r="L71" i="2"/>
  <c r="N69" i="2"/>
  <c r="K68" i="2"/>
  <c r="M66" i="2"/>
  <c r="J65" i="2"/>
  <c r="L63" i="2"/>
  <c r="N61" i="2"/>
  <c r="K60" i="2"/>
  <c r="M58" i="2"/>
  <c r="J57" i="2"/>
  <c r="N72" i="2"/>
  <c r="M69" i="2"/>
  <c r="J68" i="2"/>
  <c r="L66" i="2"/>
  <c r="N64" i="2"/>
  <c r="K63" i="2"/>
  <c r="M61" i="2"/>
  <c r="J60" i="2"/>
  <c r="L58" i="2"/>
  <c r="K55" i="2"/>
  <c r="N56" i="2"/>
  <c r="M56" i="2"/>
  <c r="K71" i="2"/>
  <c r="N75" i="2"/>
  <c r="K74" i="2"/>
  <c r="M72" i="2"/>
  <c r="J71" i="2"/>
  <c r="L69" i="2"/>
  <c r="N67" i="2"/>
  <c r="K66" i="2"/>
  <c r="M64" i="2"/>
  <c r="J63" i="2"/>
  <c r="L61" i="2"/>
  <c r="N59" i="2"/>
  <c r="K58" i="2"/>
  <c r="J55" i="2"/>
  <c r="N70" i="2"/>
  <c r="M67" i="2"/>
  <c r="L64" i="2"/>
  <c r="N62" i="2"/>
  <c r="M59" i="2"/>
  <c r="N54" i="2"/>
  <c r="L72" i="2"/>
  <c r="K69" i="2"/>
  <c r="J66" i="2"/>
  <c r="K61" i="2"/>
  <c r="J58" i="2"/>
  <c r="L56" i="2"/>
  <c r="L74" i="2"/>
  <c r="M75" i="2"/>
  <c r="L75" i="2"/>
  <c r="N73" i="2"/>
  <c r="M70" i="2"/>
  <c r="J69" i="2"/>
  <c r="N65" i="2"/>
  <c r="L59" i="2"/>
  <c r="M54" i="2"/>
  <c r="J74" i="2"/>
  <c r="K72" i="2"/>
  <c r="L67" i="2"/>
  <c r="K64" i="2"/>
  <c r="M62" i="2"/>
  <c r="J61" i="2"/>
  <c r="N57" i="2"/>
  <c r="K56" i="2"/>
  <c r="K75" i="2"/>
  <c r="J72" i="2"/>
  <c r="K67" i="2"/>
  <c r="L54" i="2"/>
  <c r="M73" i="2"/>
  <c r="L70" i="2"/>
  <c r="N68" i="2"/>
  <c r="M65" i="2"/>
  <c r="J64" i="2"/>
  <c r="L62" i="2"/>
  <c r="N60" i="2"/>
  <c r="K59" i="2"/>
  <c r="M57" i="2"/>
  <c r="J56" i="2"/>
  <c r="K54" i="2"/>
  <c r="L73" i="2"/>
  <c r="K70" i="2"/>
  <c r="M68" i="2"/>
  <c r="J67" i="2"/>
  <c r="L65" i="2"/>
  <c r="N63" i="2"/>
  <c r="K62" i="2"/>
  <c r="M60" i="2"/>
  <c r="J59" i="2"/>
  <c r="L57" i="2"/>
  <c r="N55" i="2"/>
  <c r="N71" i="2"/>
  <c r="K73" i="2"/>
  <c r="J70" i="2"/>
  <c r="N66" i="2"/>
  <c r="M63" i="2"/>
  <c r="J62" i="2"/>
  <c r="N58" i="2"/>
  <c r="K57" i="2"/>
  <c r="J54" i="2"/>
  <c r="I75" i="2"/>
  <c r="I57" i="2"/>
  <c r="I55" i="2"/>
  <c r="I69" i="2"/>
  <c r="I73" i="2"/>
  <c r="H65" i="2"/>
  <c r="G65" i="2"/>
  <c r="G59" i="2"/>
  <c r="G55" i="2"/>
  <c r="H63" i="2"/>
  <c r="G57" i="2"/>
  <c r="H69" i="2"/>
  <c r="G69" i="2"/>
  <c r="F71" i="2"/>
  <c r="F65" i="2"/>
  <c r="F61" i="2"/>
  <c r="F55" i="2"/>
  <c r="I65" i="2"/>
  <c r="H71" i="2"/>
  <c r="F57" i="2"/>
  <c r="I59" i="2"/>
  <c r="H57" i="2"/>
  <c r="G67" i="2"/>
  <c r="F63" i="2"/>
  <c r="I72" i="2"/>
  <c r="I68" i="2"/>
  <c r="I64" i="2"/>
  <c r="I60" i="2"/>
  <c r="I54" i="2"/>
  <c r="I61" i="2"/>
  <c r="H59" i="2"/>
  <c r="G73" i="2"/>
  <c r="F75" i="2"/>
  <c r="F59" i="2"/>
  <c r="I74" i="2"/>
  <c r="I70" i="2"/>
  <c r="I66" i="2"/>
  <c r="I62" i="2"/>
  <c r="I58" i="2"/>
  <c r="I56" i="2"/>
  <c r="I67" i="2"/>
  <c r="H75" i="2"/>
  <c r="G61" i="2"/>
  <c r="H74" i="2"/>
  <c r="H70" i="2"/>
  <c r="H66" i="2"/>
  <c r="H64" i="2"/>
  <c r="H62" i="2"/>
  <c r="H58" i="2"/>
  <c r="H56" i="2"/>
  <c r="H54" i="2"/>
  <c r="H55" i="2"/>
  <c r="G71" i="2"/>
  <c r="F73" i="2"/>
  <c r="H60" i="2"/>
  <c r="H61" i="2"/>
  <c r="G63" i="2"/>
  <c r="F69" i="2"/>
  <c r="G74" i="2"/>
  <c r="G70" i="2"/>
  <c r="G66" i="2"/>
  <c r="G62" i="2"/>
  <c r="G58" i="2"/>
  <c r="G54" i="2"/>
  <c r="I63" i="2"/>
  <c r="H73" i="2"/>
  <c r="G75" i="2"/>
  <c r="F67" i="2"/>
  <c r="H72" i="2"/>
  <c r="H68" i="2"/>
  <c r="G72" i="2"/>
  <c r="G68" i="2"/>
  <c r="G64" i="2"/>
  <c r="G60" i="2"/>
  <c r="G56" i="2"/>
  <c r="I71" i="2"/>
  <c r="H67" i="2"/>
  <c r="F74" i="2"/>
  <c r="F72" i="2"/>
  <c r="F70" i="2"/>
  <c r="F68" i="2"/>
  <c r="F66" i="2"/>
  <c r="F64" i="2"/>
  <c r="F62" i="2"/>
  <c r="F60" i="2"/>
  <c r="F58" i="2"/>
  <c r="F56" i="2"/>
  <c r="F54" i="2"/>
  <c r="E61" i="2"/>
  <c r="E67" i="2"/>
  <c r="E69" i="2"/>
  <c r="E57" i="2"/>
  <c r="E58" i="2"/>
  <c r="E74" i="2"/>
  <c r="E56" i="2"/>
  <c r="E66" i="2"/>
  <c r="E68" i="2"/>
  <c r="E75" i="2"/>
  <c r="E73" i="2"/>
  <c r="E65" i="2"/>
  <c r="E72" i="2"/>
  <c r="E71" i="2"/>
  <c r="E63" i="2"/>
  <c r="E55" i="2"/>
  <c r="E64" i="2"/>
  <c r="E60" i="2"/>
  <c r="E59" i="2"/>
  <c r="E70" i="2"/>
  <c r="E62" i="2"/>
  <c r="E54" i="2"/>
  <c r="D61" i="2"/>
  <c r="D56" i="2"/>
  <c r="D69" i="2"/>
  <c r="D67" i="2"/>
  <c r="D66" i="2"/>
  <c r="D65" i="2"/>
  <c r="D64" i="2"/>
  <c r="D68" i="2"/>
  <c r="D75" i="2"/>
  <c r="D58" i="2"/>
  <c r="D73" i="2"/>
  <c r="D57" i="2"/>
  <c r="D71" i="2"/>
  <c r="D63" i="2"/>
  <c r="D55" i="2"/>
  <c r="D60" i="2"/>
  <c r="D59" i="2"/>
  <c r="D74" i="2"/>
  <c r="D72" i="2"/>
  <c r="D70" i="2"/>
  <c r="D62" i="2"/>
  <c r="D54" i="2"/>
  <c r="C75" i="2"/>
  <c r="C67" i="2"/>
  <c r="C61" i="2"/>
  <c r="C59" i="2"/>
  <c r="C70" i="2"/>
  <c r="C68" i="2"/>
  <c r="C66" i="2"/>
  <c r="C58" i="2"/>
  <c r="C69" i="2"/>
  <c r="C74" i="2"/>
  <c r="C73" i="2"/>
  <c r="C65" i="2"/>
  <c r="C57" i="2"/>
  <c r="C62" i="2"/>
  <c r="C72" i="2"/>
  <c r="C56" i="2"/>
  <c r="C60" i="2"/>
  <c r="C64" i="2"/>
  <c r="C71" i="2"/>
  <c r="C63" i="2"/>
  <c r="C55" i="2"/>
  <c r="C54" i="2"/>
  <c r="B51" i="2"/>
  <c r="G14" i="7"/>
  <c r="G12" i="7"/>
  <c r="G11" i="7"/>
  <c r="G16" i="7"/>
  <c r="G13" i="7"/>
  <c r="G18" i="7"/>
  <c r="G17" i="7"/>
  <c r="G15" i="7"/>
  <c r="G10" i="7"/>
  <c r="G7" i="7"/>
  <c r="G9" i="7"/>
  <c r="G8" i="7"/>
  <c r="G5" i="7"/>
  <c r="G6" i="7"/>
  <c r="G4" i="7"/>
  <c r="C141" i="1"/>
  <c r="G3" i="7"/>
  <c r="E27" i="2"/>
  <c r="C3" i="4" s="1"/>
  <c r="F27" i="2"/>
  <c r="D3" i="4" s="1"/>
  <c r="G27" i="2"/>
  <c r="E3" i="4" s="1"/>
  <c r="H27" i="2"/>
  <c r="F3" i="4" s="1"/>
  <c r="I27" i="2"/>
  <c r="G3" i="4" s="1"/>
  <c r="J27" i="2"/>
  <c r="H3" i="4" s="1"/>
  <c r="K27" i="2"/>
  <c r="I3" i="4" s="1"/>
  <c r="L27" i="2"/>
  <c r="J3" i="4" s="1"/>
  <c r="M27" i="2"/>
  <c r="K3" i="4" s="1"/>
  <c r="N27" i="2"/>
  <c r="L3" i="4" s="1"/>
  <c r="O27" i="2"/>
  <c r="M3" i="4" s="1"/>
  <c r="P27" i="2"/>
  <c r="N3" i="4" s="1"/>
  <c r="Q27" i="2"/>
  <c r="O3" i="4" s="1"/>
  <c r="R27" i="2"/>
  <c r="P3" i="4" s="1"/>
  <c r="S27" i="2"/>
  <c r="Q3" i="4" s="1"/>
  <c r="T27" i="2"/>
  <c r="R3" i="4" s="1"/>
  <c r="U27" i="2"/>
  <c r="S3" i="4" s="1"/>
  <c r="V27" i="2"/>
  <c r="T3" i="4" s="1"/>
  <c r="W27" i="2"/>
  <c r="U3" i="4" s="1"/>
  <c r="E28" i="2"/>
  <c r="C4" i="4" s="1"/>
  <c r="F28" i="2"/>
  <c r="D4" i="4" s="1"/>
  <c r="G28" i="2"/>
  <c r="E4" i="4" s="1"/>
  <c r="H28" i="2"/>
  <c r="F4" i="4" s="1"/>
  <c r="I28" i="2"/>
  <c r="G4" i="4" s="1"/>
  <c r="J28" i="2"/>
  <c r="H4" i="4" s="1"/>
  <c r="K28" i="2"/>
  <c r="I4" i="4" s="1"/>
  <c r="L28" i="2"/>
  <c r="J4" i="4" s="1"/>
  <c r="M28" i="2"/>
  <c r="K4" i="4" s="1"/>
  <c r="N28" i="2"/>
  <c r="L4" i="4" s="1"/>
  <c r="O28" i="2"/>
  <c r="M4" i="4" s="1"/>
  <c r="P28" i="2"/>
  <c r="N4" i="4" s="1"/>
  <c r="Q28" i="2"/>
  <c r="O4" i="4" s="1"/>
  <c r="R28" i="2"/>
  <c r="P4" i="4" s="1"/>
  <c r="S28" i="2"/>
  <c r="Q4" i="4" s="1"/>
  <c r="T28" i="2"/>
  <c r="R4" i="4" s="1"/>
  <c r="U28" i="2"/>
  <c r="S4" i="4" s="1"/>
  <c r="V28" i="2"/>
  <c r="T4" i="4" s="1"/>
  <c r="W28" i="2"/>
  <c r="U4" i="4" s="1"/>
  <c r="E29" i="2"/>
  <c r="C5" i="4" s="1"/>
  <c r="F29" i="2"/>
  <c r="D5" i="4" s="1"/>
  <c r="G29" i="2"/>
  <c r="E5" i="4" s="1"/>
  <c r="H29" i="2"/>
  <c r="F5" i="4" s="1"/>
  <c r="I29" i="2"/>
  <c r="G5" i="4" s="1"/>
  <c r="J29" i="2"/>
  <c r="H5" i="4" s="1"/>
  <c r="K29" i="2"/>
  <c r="I5" i="4" s="1"/>
  <c r="L29" i="2"/>
  <c r="J5" i="4" s="1"/>
  <c r="M29" i="2"/>
  <c r="K5" i="4" s="1"/>
  <c r="N29" i="2"/>
  <c r="L5" i="4" s="1"/>
  <c r="O29" i="2"/>
  <c r="M5" i="4" s="1"/>
  <c r="P29" i="2"/>
  <c r="N5" i="4" s="1"/>
  <c r="Q29" i="2"/>
  <c r="O5" i="4" s="1"/>
  <c r="R29" i="2"/>
  <c r="P5" i="4" s="1"/>
  <c r="S29" i="2"/>
  <c r="Q5" i="4" s="1"/>
  <c r="T29" i="2"/>
  <c r="R5" i="4" s="1"/>
  <c r="U29" i="2"/>
  <c r="S5" i="4" s="1"/>
  <c r="V29" i="2"/>
  <c r="T5" i="4" s="1"/>
  <c r="W29" i="2"/>
  <c r="U5" i="4" s="1"/>
  <c r="E30" i="2"/>
  <c r="C6" i="4" s="1"/>
  <c r="F30" i="2"/>
  <c r="D6" i="4" s="1"/>
  <c r="G30" i="2"/>
  <c r="E6" i="4" s="1"/>
  <c r="H30" i="2"/>
  <c r="F6" i="4" s="1"/>
  <c r="I30" i="2"/>
  <c r="G6" i="4" s="1"/>
  <c r="J30" i="2"/>
  <c r="H6" i="4" s="1"/>
  <c r="K30" i="2"/>
  <c r="I6" i="4" s="1"/>
  <c r="L30" i="2"/>
  <c r="J6" i="4" s="1"/>
  <c r="M30" i="2"/>
  <c r="K6" i="4" s="1"/>
  <c r="N30" i="2"/>
  <c r="L6" i="4" s="1"/>
  <c r="O30" i="2"/>
  <c r="M6" i="4" s="1"/>
  <c r="P30" i="2"/>
  <c r="N6" i="4" s="1"/>
  <c r="Q30" i="2"/>
  <c r="O6" i="4" s="1"/>
  <c r="R30" i="2"/>
  <c r="P6" i="4" s="1"/>
  <c r="S30" i="2"/>
  <c r="Q6" i="4" s="1"/>
  <c r="T30" i="2"/>
  <c r="R6" i="4" s="1"/>
  <c r="U30" i="2"/>
  <c r="S6" i="4" s="1"/>
  <c r="V30" i="2"/>
  <c r="T6" i="4" s="1"/>
  <c r="W30" i="2"/>
  <c r="U6" i="4" s="1"/>
  <c r="E31" i="2"/>
  <c r="C7" i="4" s="1"/>
  <c r="F31" i="2"/>
  <c r="D7" i="4" s="1"/>
  <c r="G31" i="2"/>
  <c r="E7" i="4" s="1"/>
  <c r="H31" i="2"/>
  <c r="F7" i="4" s="1"/>
  <c r="I31" i="2"/>
  <c r="G7" i="4" s="1"/>
  <c r="J31" i="2"/>
  <c r="H7" i="4" s="1"/>
  <c r="K31" i="2"/>
  <c r="I7" i="4" s="1"/>
  <c r="L31" i="2"/>
  <c r="J7" i="4" s="1"/>
  <c r="M31" i="2"/>
  <c r="K7" i="4" s="1"/>
  <c r="N31" i="2"/>
  <c r="L7" i="4" s="1"/>
  <c r="O31" i="2"/>
  <c r="M7" i="4" s="1"/>
  <c r="P31" i="2"/>
  <c r="N7" i="4" s="1"/>
  <c r="Q31" i="2"/>
  <c r="O7" i="4" s="1"/>
  <c r="R31" i="2"/>
  <c r="P7" i="4" s="1"/>
  <c r="S31" i="2"/>
  <c r="Q7" i="4" s="1"/>
  <c r="T31" i="2"/>
  <c r="R7" i="4" s="1"/>
  <c r="U31" i="2"/>
  <c r="S7" i="4" s="1"/>
  <c r="V31" i="2"/>
  <c r="T7" i="4" s="1"/>
  <c r="W31" i="2"/>
  <c r="U7" i="4" s="1"/>
  <c r="E32" i="2"/>
  <c r="C8" i="4" s="1"/>
  <c r="F32" i="2"/>
  <c r="D8" i="4" s="1"/>
  <c r="G32" i="2"/>
  <c r="E8" i="4" s="1"/>
  <c r="H32" i="2"/>
  <c r="F8" i="4" s="1"/>
  <c r="I32" i="2"/>
  <c r="G8" i="4" s="1"/>
  <c r="J32" i="2"/>
  <c r="H8" i="4" s="1"/>
  <c r="K32" i="2"/>
  <c r="I8" i="4" s="1"/>
  <c r="L32" i="2"/>
  <c r="J8" i="4" s="1"/>
  <c r="M32" i="2"/>
  <c r="K8" i="4" s="1"/>
  <c r="N32" i="2"/>
  <c r="L8" i="4" s="1"/>
  <c r="O32" i="2"/>
  <c r="M8" i="4" s="1"/>
  <c r="P32" i="2"/>
  <c r="N8" i="4" s="1"/>
  <c r="Q32" i="2"/>
  <c r="O8" i="4" s="1"/>
  <c r="R32" i="2"/>
  <c r="P8" i="4" s="1"/>
  <c r="S32" i="2"/>
  <c r="Q8" i="4" s="1"/>
  <c r="T32" i="2"/>
  <c r="R8" i="4" s="1"/>
  <c r="U32" i="2"/>
  <c r="S8" i="4" s="1"/>
  <c r="V32" i="2"/>
  <c r="T8" i="4" s="1"/>
  <c r="W32" i="2"/>
  <c r="U8" i="4" s="1"/>
  <c r="E33" i="2"/>
  <c r="C9" i="4" s="1"/>
  <c r="F33" i="2"/>
  <c r="D9" i="4" s="1"/>
  <c r="G33" i="2"/>
  <c r="E9" i="4" s="1"/>
  <c r="H33" i="2"/>
  <c r="F9" i="4" s="1"/>
  <c r="I33" i="2"/>
  <c r="G9" i="4" s="1"/>
  <c r="J33" i="2"/>
  <c r="H9" i="4" s="1"/>
  <c r="K33" i="2"/>
  <c r="I9" i="4" s="1"/>
  <c r="L33" i="2"/>
  <c r="J9" i="4" s="1"/>
  <c r="M33" i="2"/>
  <c r="K9" i="4" s="1"/>
  <c r="N33" i="2"/>
  <c r="L9" i="4" s="1"/>
  <c r="O33" i="2"/>
  <c r="M9" i="4" s="1"/>
  <c r="P33" i="2"/>
  <c r="N9" i="4" s="1"/>
  <c r="Q33" i="2"/>
  <c r="O9" i="4" s="1"/>
  <c r="R33" i="2"/>
  <c r="P9" i="4" s="1"/>
  <c r="S33" i="2"/>
  <c r="Q9" i="4" s="1"/>
  <c r="T33" i="2"/>
  <c r="R9" i="4" s="1"/>
  <c r="U33" i="2"/>
  <c r="S9" i="4" s="1"/>
  <c r="V33" i="2"/>
  <c r="T9" i="4" s="1"/>
  <c r="W33" i="2"/>
  <c r="U9" i="4" s="1"/>
  <c r="E34" i="2"/>
  <c r="C10" i="4" s="1"/>
  <c r="F34" i="2"/>
  <c r="D10" i="4" s="1"/>
  <c r="G34" i="2"/>
  <c r="E10" i="4" s="1"/>
  <c r="H34" i="2"/>
  <c r="F10" i="4" s="1"/>
  <c r="I34" i="2"/>
  <c r="G10" i="4" s="1"/>
  <c r="J34" i="2"/>
  <c r="H10" i="4" s="1"/>
  <c r="K34" i="2"/>
  <c r="I10" i="4" s="1"/>
  <c r="L34" i="2"/>
  <c r="J10" i="4" s="1"/>
  <c r="M34" i="2"/>
  <c r="K10" i="4" s="1"/>
  <c r="N34" i="2"/>
  <c r="L10" i="4" s="1"/>
  <c r="O34" i="2"/>
  <c r="M10" i="4" s="1"/>
  <c r="P34" i="2"/>
  <c r="N10" i="4" s="1"/>
  <c r="Q34" i="2"/>
  <c r="O10" i="4" s="1"/>
  <c r="R34" i="2"/>
  <c r="P10" i="4" s="1"/>
  <c r="S34" i="2"/>
  <c r="Q10" i="4" s="1"/>
  <c r="T34" i="2"/>
  <c r="R10" i="4" s="1"/>
  <c r="U34" i="2"/>
  <c r="S10" i="4" s="1"/>
  <c r="V34" i="2"/>
  <c r="T10" i="4" s="1"/>
  <c r="W34" i="2"/>
  <c r="U10" i="4" s="1"/>
  <c r="E35" i="2"/>
  <c r="C11" i="4" s="1"/>
  <c r="F35" i="2"/>
  <c r="D11" i="4" s="1"/>
  <c r="G35" i="2"/>
  <c r="E11" i="4" s="1"/>
  <c r="H35" i="2"/>
  <c r="F11" i="4" s="1"/>
  <c r="I35" i="2"/>
  <c r="G11" i="4" s="1"/>
  <c r="J35" i="2"/>
  <c r="H11" i="4" s="1"/>
  <c r="K35" i="2"/>
  <c r="I11" i="4" s="1"/>
  <c r="L35" i="2"/>
  <c r="J11" i="4" s="1"/>
  <c r="M35" i="2"/>
  <c r="K11" i="4" s="1"/>
  <c r="N35" i="2"/>
  <c r="L11" i="4" s="1"/>
  <c r="O35" i="2"/>
  <c r="M11" i="4" s="1"/>
  <c r="P35" i="2"/>
  <c r="N11" i="4" s="1"/>
  <c r="Q35" i="2"/>
  <c r="O11" i="4" s="1"/>
  <c r="R35" i="2"/>
  <c r="P11" i="4" s="1"/>
  <c r="S35" i="2"/>
  <c r="Q11" i="4" s="1"/>
  <c r="T35" i="2"/>
  <c r="R11" i="4" s="1"/>
  <c r="U35" i="2"/>
  <c r="S11" i="4" s="1"/>
  <c r="V35" i="2"/>
  <c r="T11" i="4" s="1"/>
  <c r="W35" i="2"/>
  <c r="U11" i="4" s="1"/>
  <c r="E36" i="2"/>
  <c r="C12" i="4" s="1"/>
  <c r="F36" i="2"/>
  <c r="D12" i="4" s="1"/>
  <c r="G36" i="2"/>
  <c r="E12" i="4" s="1"/>
  <c r="H36" i="2"/>
  <c r="F12" i="4" s="1"/>
  <c r="I36" i="2"/>
  <c r="G12" i="4" s="1"/>
  <c r="J36" i="2"/>
  <c r="H12" i="4" s="1"/>
  <c r="K36" i="2"/>
  <c r="I12" i="4" s="1"/>
  <c r="L36" i="2"/>
  <c r="J12" i="4" s="1"/>
  <c r="M36" i="2"/>
  <c r="K12" i="4" s="1"/>
  <c r="N36" i="2"/>
  <c r="L12" i="4" s="1"/>
  <c r="O36" i="2"/>
  <c r="M12" i="4" s="1"/>
  <c r="P36" i="2"/>
  <c r="N12" i="4" s="1"/>
  <c r="Q36" i="2"/>
  <c r="O12" i="4" s="1"/>
  <c r="R36" i="2"/>
  <c r="P12" i="4" s="1"/>
  <c r="S36" i="2"/>
  <c r="Q12" i="4" s="1"/>
  <c r="T36" i="2"/>
  <c r="R12" i="4" s="1"/>
  <c r="U36" i="2"/>
  <c r="S12" i="4" s="1"/>
  <c r="V36" i="2"/>
  <c r="T12" i="4" s="1"/>
  <c r="W36" i="2"/>
  <c r="U12" i="4" s="1"/>
  <c r="E37" i="2"/>
  <c r="C13" i="4" s="1"/>
  <c r="F37" i="2"/>
  <c r="D13" i="4" s="1"/>
  <c r="G37" i="2"/>
  <c r="E13" i="4" s="1"/>
  <c r="H37" i="2"/>
  <c r="F13" i="4" s="1"/>
  <c r="I37" i="2"/>
  <c r="G13" i="4" s="1"/>
  <c r="J37" i="2"/>
  <c r="H13" i="4" s="1"/>
  <c r="K37" i="2"/>
  <c r="I13" i="4" s="1"/>
  <c r="L37" i="2"/>
  <c r="J13" i="4" s="1"/>
  <c r="M37" i="2"/>
  <c r="K13" i="4" s="1"/>
  <c r="N37" i="2"/>
  <c r="L13" i="4" s="1"/>
  <c r="O37" i="2"/>
  <c r="M13" i="4" s="1"/>
  <c r="P37" i="2"/>
  <c r="N13" i="4" s="1"/>
  <c r="Q37" i="2"/>
  <c r="O13" i="4" s="1"/>
  <c r="R37" i="2"/>
  <c r="P13" i="4" s="1"/>
  <c r="S37" i="2"/>
  <c r="Q13" i="4" s="1"/>
  <c r="T37" i="2"/>
  <c r="R13" i="4" s="1"/>
  <c r="U37" i="2"/>
  <c r="S13" i="4" s="1"/>
  <c r="V37" i="2"/>
  <c r="T13" i="4" s="1"/>
  <c r="W37" i="2"/>
  <c r="U13" i="4" s="1"/>
  <c r="E38" i="2"/>
  <c r="C14" i="4" s="1"/>
  <c r="F38" i="2"/>
  <c r="D14" i="4" s="1"/>
  <c r="G38" i="2"/>
  <c r="E14" i="4" s="1"/>
  <c r="H38" i="2"/>
  <c r="F14" i="4" s="1"/>
  <c r="I38" i="2"/>
  <c r="G14" i="4" s="1"/>
  <c r="J38" i="2"/>
  <c r="H14" i="4" s="1"/>
  <c r="K38" i="2"/>
  <c r="I14" i="4" s="1"/>
  <c r="L38" i="2"/>
  <c r="J14" i="4" s="1"/>
  <c r="M38" i="2"/>
  <c r="K14" i="4" s="1"/>
  <c r="N38" i="2"/>
  <c r="L14" i="4" s="1"/>
  <c r="O38" i="2"/>
  <c r="M14" i="4" s="1"/>
  <c r="P38" i="2"/>
  <c r="N14" i="4" s="1"/>
  <c r="Q38" i="2"/>
  <c r="O14" i="4" s="1"/>
  <c r="R38" i="2"/>
  <c r="P14" i="4" s="1"/>
  <c r="S38" i="2"/>
  <c r="Q14" i="4" s="1"/>
  <c r="T38" i="2"/>
  <c r="R14" i="4" s="1"/>
  <c r="U38" i="2"/>
  <c r="S14" i="4" s="1"/>
  <c r="V38" i="2"/>
  <c r="T14" i="4" s="1"/>
  <c r="W38" i="2"/>
  <c r="U14" i="4" s="1"/>
  <c r="E39" i="2"/>
  <c r="C15" i="4" s="1"/>
  <c r="F39" i="2"/>
  <c r="D15" i="4" s="1"/>
  <c r="G39" i="2"/>
  <c r="E15" i="4" s="1"/>
  <c r="H39" i="2"/>
  <c r="F15" i="4" s="1"/>
  <c r="I39" i="2"/>
  <c r="G15" i="4" s="1"/>
  <c r="J39" i="2"/>
  <c r="H15" i="4" s="1"/>
  <c r="K39" i="2"/>
  <c r="I15" i="4" s="1"/>
  <c r="L39" i="2"/>
  <c r="J15" i="4" s="1"/>
  <c r="M39" i="2"/>
  <c r="K15" i="4" s="1"/>
  <c r="N39" i="2"/>
  <c r="L15" i="4" s="1"/>
  <c r="O39" i="2"/>
  <c r="M15" i="4" s="1"/>
  <c r="P39" i="2"/>
  <c r="N15" i="4" s="1"/>
  <c r="Q39" i="2"/>
  <c r="O15" i="4" s="1"/>
  <c r="R39" i="2"/>
  <c r="P15" i="4" s="1"/>
  <c r="S39" i="2"/>
  <c r="Q15" i="4" s="1"/>
  <c r="T39" i="2"/>
  <c r="R15" i="4" s="1"/>
  <c r="U39" i="2"/>
  <c r="S15" i="4" s="1"/>
  <c r="V39" i="2"/>
  <c r="T15" i="4" s="1"/>
  <c r="W39" i="2"/>
  <c r="U15" i="4" s="1"/>
  <c r="E40" i="2"/>
  <c r="C16" i="4" s="1"/>
  <c r="F40" i="2"/>
  <c r="D16" i="4" s="1"/>
  <c r="G40" i="2"/>
  <c r="E16" i="4" s="1"/>
  <c r="H40" i="2"/>
  <c r="F16" i="4" s="1"/>
  <c r="I40" i="2"/>
  <c r="G16" i="4" s="1"/>
  <c r="J40" i="2"/>
  <c r="H16" i="4" s="1"/>
  <c r="K40" i="2"/>
  <c r="I16" i="4" s="1"/>
  <c r="L40" i="2"/>
  <c r="J16" i="4" s="1"/>
  <c r="M40" i="2"/>
  <c r="K16" i="4" s="1"/>
  <c r="N40" i="2"/>
  <c r="L16" i="4" s="1"/>
  <c r="O40" i="2"/>
  <c r="M16" i="4" s="1"/>
  <c r="P40" i="2"/>
  <c r="N16" i="4" s="1"/>
  <c r="Q40" i="2"/>
  <c r="O16" i="4" s="1"/>
  <c r="R40" i="2"/>
  <c r="P16" i="4" s="1"/>
  <c r="S40" i="2"/>
  <c r="Q16" i="4" s="1"/>
  <c r="T40" i="2"/>
  <c r="R16" i="4" s="1"/>
  <c r="U40" i="2"/>
  <c r="S16" i="4" s="1"/>
  <c r="V40" i="2"/>
  <c r="T16" i="4" s="1"/>
  <c r="W40" i="2"/>
  <c r="U16" i="4" s="1"/>
  <c r="E41" i="2"/>
  <c r="C17" i="4" s="1"/>
  <c r="F41" i="2"/>
  <c r="D17" i="4" s="1"/>
  <c r="G41" i="2"/>
  <c r="E17" i="4" s="1"/>
  <c r="H41" i="2"/>
  <c r="F17" i="4" s="1"/>
  <c r="I41" i="2"/>
  <c r="G17" i="4" s="1"/>
  <c r="J41" i="2"/>
  <c r="H17" i="4" s="1"/>
  <c r="K41" i="2"/>
  <c r="I17" i="4" s="1"/>
  <c r="L41" i="2"/>
  <c r="J17" i="4" s="1"/>
  <c r="M41" i="2"/>
  <c r="K17" i="4" s="1"/>
  <c r="N41" i="2"/>
  <c r="L17" i="4" s="1"/>
  <c r="O41" i="2"/>
  <c r="M17" i="4" s="1"/>
  <c r="P41" i="2"/>
  <c r="N17" i="4" s="1"/>
  <c r="Q41" i="2"/>
  <c r="O17" i="4" s="1"/>
  <c r="R41" i="2"/>
  <c r="P17" i="4" s="1"/>
  <c r="S41" i="2"/>
  <c r="Q17" i="4" s="1"/>
  <c r="T41" i="2"/>
  <c r="R17" i="4" s="1"/>
  <c r="U41" i="2"/>
  <c r="S17" i="4" s="1"/>
  <c r="V41" i="2"/>
  <c r="T17" i="4" s="1"/>
  <c r="W41" i="2"/>
  <c r="U17" i="4" s="1"/>
  <c r="E42" i="2"/>
  <c r="C18" i="4" s="1"/>
  <c r="F42" i="2"/>
  <c r="D18" i="4" s="1"/>
  <c r="G42" i="2"/>
  <c r="E18" i="4" s="1"/>
  <c r="H42" i="2"/>
  <c r="F18" i="4" s="1"/>
  <c r="I42" i="2"/>
  <c r="G18" i="4" s="1"/>
  <c r="J42" i="2"/>
  <c r="H18" i="4" s="1"/>
  <c r="K42" i="2"/>
  <c r="I18" i="4" s="1"/>
  <c r="L42" i="2"/>
  <c r="J18" i="4" s="1"/>
  <c r="M42" i="2"/>
  <c r="K18" i="4" s="1"/>
  <c r="N42" i="2"/>
  <c r="L18" i="4" s="1"/>
  <c r="O42" i="2"/>
  <c r="M18" i="4" s="1"/>
  <c r="P42" i="2"/>
  <c r="N18" i="4" s="1"/>
  <c r="Q42" i="2"/>
  <c r="O18" i="4" s="1"/>
  <c r="R42" i="2"/>
  <c r="P18" i="4" s="1"/>
  <c r="S42" i="2"/>
  <c r="Q18" i="4" s="1"/>
  <c r="T42" i="2"/>
  <c r="R18" i="4" s="1"/>
  <c r="U42" i="2"/>
  <c r="S18" i="4" s="1"/>
  <c r="V42" i="2"/>
  <c r="T18" i="4" s="1"/>
  <c r="W42" i="2"/>
  <c r="U18" i="4" s="1"/>
  <c r="E43" i="2"/>
  <c r="C19" i="4" s="1"/>
  <c r="F43" i="2"/>
  <c r="D19" i="4" s="1"/>
  <c r="G43" i="2"/>
  <c r="E19" i="4" s="1"/>
  <c r="H43" i="2"/>
  <c r="F19" i="4" s="1"/>
  <c r="I43" i="2"/>
  <c r="G19" i="4" s="1"/>
  <c r="J43" i="2"/>
  <c r="H19" i="4" s="1"/>
  <c r="K43" i="2"/>
  <c r="I19" i="4" s="1"/>
  <c r="L43" i="2"/>
  <c r="J19" i="4" s="1"/>
  <c r="M43" i="2"/>
  <c r="K19" i="4" s="1"/>
  <c r="N43" i="2"/>
  <c r="L19" i="4" s="1"/>
  <c r="O43" i="2"/>
  <c r="M19" i="4" s="1"/>
  <c r="P43" i="2"/>
  <c r="N19" i="4" s="1"/>
  <c r="Q43" i="2"/>
  <c r="O19" i="4" s="1"/>
  <c r="R43" i="2"/>
  <c r="P19" i="4" s="1"/>
  <c r="S43" i="2"/>
  <c r="Q19" i="4" s="1"/>
  <c r="T43" i="2"/>
  <c r="R19" i="4" s="1"/>
  <c r="U43" i="2"/>
  <c r="S19" i="4" s="1"/>
  <c r="V43" i="2"/>
  <c r="T19" i="4" s="1"/>
  <c r="W43" i="2"/>
  <c r="U19" i="4" s="1"/>
  <c r="E44" i="2"/>
  <c r="C20" i="4" s="1"/>
  <c r="F44" i="2"/>
  <c r="D20" i="4" s="1"/>
  <c r="G44" i="2"/>
  <c r="E20" i="4" s="1"/>
  <c r="H44" i="2"/>
  <c r="F20" i="4" s="1"/>
  <c r="I44" i="2"/>
  <c r="G20" i="4" s="1"/>
  <c r="J44" i="2"/>
  <c r="H20" i="4" s="1"/>
  <c r="K44" i="2"/>
  <c r="I20" i="4" s="1"/>
  <c r="L44" i="2"/>
  <c r="J20" i="4" s="1"/>
  <c r="M44" i="2"/>
  <c r="K20" i="4" s="1"/>
  <c r="N44" i="2"/>
  <c r="L20" i="4" s="1"/>
  <c r="O44" i="2"/>
  <c r="M20" i="4" s="1"/>
  <c r="P44" i="2"/>
  <c r="N20" i="4" s="1"/>
  <c r="Q44" i="2"/>
  <c r="O20" i="4" s="1"/>
  <c r="R44" i="2"/>
  <c r="P20" i="4" s="1"/>
  <c r="S44" i="2"/>
  <c r="Q20" i="4" s="1"/>
  <c r="T44" i="2"/>
  <c r="R20" i="4" s="1"/>
  <c r="U44" i="2"/>
  <c r="S20" i="4" s="1"/>
  <c r="V44" i="2"/>
  <c r="T20" i="4" s="1"/>
  <c r="W44" i="2"/>
  <c r="U20" i="4" s="1"/>
  <c r="E45" i="2"/>
  <c r="C21" i="4" s="1"/>
  <c r="F45" i="2"/>
  <c r="D21" i="4" s="1"/>
  <c r="G45" i="2"/>
  <c r="E21" i="4" s="1"/>
  <c r="H45" i="2"/>
  <c r="F21" i="4" s="1"/>
  <c r="I45" i="2"/>
  <c r="G21" i="4" s="1"/>
  <c r="J45" i="2"/>
  <c r="H21" i="4" s="1"/>
  <c r="K45" i="2"/>
  <c r="I21" i="4" s="1"/>
  <c r="L45" i="2"/>
  <c r="J21" i="4" s="1"/>
  <c r="M45" i="2"/>
  <c r="K21" i="4" s="1"/>
  <c r="N45" i="2"/>
  <c r="L21" i="4" s="1"/>
  <c r="O45" i="2"/>
  <c r="M21" i="4" s="1"/>
  <c r="P45" i="2"/>
  <c r="N21" i="4" s="1"/>
  <c r="Q45" i="2"/>
  <c r="O21" i="4" s="1"/>
  <c r="R45" i="2"/>
  <c r="P21" i="4" s="1"/>
  <c r="S45" i="2"/>
  <c r="Q21" i="4" s="1"/>
  <c r="T45" i="2"/>
  <c r="R21" i="4" s="1"/>
  <c r="U45" i="2"/>
  <c r="S21" i="4" s="1"/>
  <c r="V45" i="2"/>
  <c r="T21" i="4" s="1"/>
  <c r="W45" i="2"/>
  <c r="U21" i="4" s="1"/>
  <c r="E46" i="2"/>
  <c r="C22" i="4" s="1"/>
  <c r="F46" i="2"/>
  <c r="D22" i="4" s="1"/>
  <c r="G46" i="2"/>
  <c r="E22" i="4" s="1"/>
  <c r="H46" i="2"/>
  <c r="F22" i="4" s="1"/>
  <c r="I46" i="2"/>
  <c r="G22" i="4" s="1"/>
  <c r="J46" i="2"/>
  <c r="H22" i="4" s="1"/>
  <c r="K46" i="2"/>
  <c r="I22" i="4" s="1"/>
  <c r="L46" i="2"/>
  <c r="J22" i="4" s="1"/>
  <c r="M46" i="2"/>
  <c r="K22" i="4" s="1"/>
  <c r="N46" i="2"/>
  <c r="L22" i="4" s="1"/>
  <c r="O46" i="2"/>
  <c r="M22" i="4" s="1"/>
  <c r="P46" i="2"/>
  <c r="N22" i="4" s="1"/>
  <c r="Q46" i="2"/>
  <c r="O22" i="4" s="1"/>
  <c r="R46" i="2"/>
  <c r="P22" i="4" s="1"/>
  <c r="S46" i="2"/>
  <c r="Q22" i="4" s="1"/>
  <c r="T46" i="2"/>
  <c r="R22" i="4" s="1"/>
  <c r="U46" i="2"/>
  <c r="S22" i="4" s="1"/>
  <c r="V46" i="2"/>
  <c r="T22" i="4" s="1"/>
  <c r="W46" i="2"/>
  <c r="U22" i="4" s="1"/>
  <c r="D27" i="2"/>
  <c r="B3" i="4" s="1"/>
  <c r="D28" i="2"/>
  <c r="B4" i="4" s="1"/>
  <c r="D29" i="2"/>
  <c r="B5" i="4" s="1"/>
  <c r="D30" i="2"/>
  <c r="B6" i="4" s="1"/>
  <c r="D31" i="2"/>
  <c r="B7" i="4" s="1"/>
  <c r="D32" i="2"/>
  <c r="B8" i="4" s="1"/>
  <c r="D33" i="2"/>
  <c r="B9" i="4" s="1"/>
  <c r="D34" i="2"/>
  <c r="B10" i="4" s="1"/>
  <c r="D35" i="2"/>
  <c r="B11" i="4" s="1"/>
  <c r="D36" i="2"/>
  <c r="B12" i="4" s="1"/>
  <c r="D37" i="2"/>
  <c r="B13" i="4" s="1"/>
  <c r="D38" i="2"/>
  <c r="B14" i="4" s="1"/>
  <c r="D39" i="2"/>
  <c r="B15" i="4" s="1"/>
  <c r="D40" i="2"/>
  <c r="B16" i="4" s="1"/>
  <c r="D41" i="2"/>
  <c r="B17" i="4" s="1"/>
  <c r="D42" i="2"/>
  <c r="B18" i="4" s="1"/>
  <c r="D43" i="2"/>
  <c r="B19" i="4" s="1"/>
  <c r="D44" i="2"/>
  <c r="B20" i="4" s="1"/>
  <c r="D45" i="2"/>
  <c r="B21" i="4" s="1"/>
  <c r="D46" i="2"/>
  <c r="B22" i="4" s="1"/>
  <c r="AF3" i="2" a="1"/>
  <c r="AF3" i="2" s="1"/>
  <c r="AD24" i="2"/>
  <c r="AF4" i="2" a="1"/>
  <c r="AF4" i="2" s="1"/>
  <c r="AF5" i="2" a="1"/>
  <c r="AF5" i="2" s="1"/>
  <c r="AF6" i="2" a="1"/>
  <c r="AF6" i="2" s="1"/>
  <c r="AF7" i="2" a="1"/>
  <c r="AF7" i="2" s="1"/>
  <c r="AF8" i="2" a="1"/>
  <c r="AF8" i="2" s="1"/>
  <c r="AF9" i="2" a="1"/>
  <c r="AF9" i="2" s="1"/>
  <c r="AF10" i="2" a="1"/>
  <c r="AF10" i="2" s="1"/>
  <c r="AF11" i="2" a="1"/>
  <c r="AF11" i="2" s="1"/>
  <c r="AF12" i="2" a="1"/>
  <c r="AF12" i="2" s="1"/>
  <c r="AF13" i="2" a="1"/>
  <c r="AF13" i="2" s="1"/>
  <c r="AF14" i="2" a="1"/>
  <c r="AF14" i="2" s="1"/>
  <c r="AF15" i="2" a="1"/>
  <c r="AF15" i="2" s="1"/>
  <c r="AF16" i="2" a="1"/>
  <c r="AF16" i="2" s="1"/>
  <c r="AF17" i="2" a="1"/>
  <c r="AF17" i="2" s="1"/>
  <c r="AF18" i="2" a="1"/>
  <c r="AF18" i="2" s="1"/>
  <c r="AF19" i="2" a="1"/>
  <c r="AF19" i="2" s="1"/>
  <c r="AF20" i="2" a="1"/>
  <c r="AF20" i="2" s="1"/>
  <c r="AF21" i="2" a="1"/>
  <c r="AF21" i="2" s="1"/>
  <c r="AF22" i="2" a="1"/>
  <c r="AF22" i="2" s="1"/>
  <c r="AF23" i="2" a="1"/>
  <c r="AF23" i="2" s="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F140" i="1" a="1"/>
  <c r="F114" i="1" a="1"/>
  <c r="F138" i="1" a="1"/>
  <c r="F5" i="1" a="1"/>
  <c r="F137" i="1" a="1"/>
  <c r="F99" i="1" a="1"/>
  <c r="F15" i="1" a="1"/>
  <c r="F14" i="1" a="1"/>
  <c r="F94" i="1" a="1"/>
  <c r="F116" i="1" a="1"/>
  <c r="F100" i="1" a="1"/>
  <c r="F77" i="1" a="1"/>
  <c r="F18" i="1" a="1"/>
  <c r="F7" i="1" a="1"/>
  <c r="F136" i="1" a="1"/>
  <c r="F25" i="1" a="1"/>
  <c r="F23" i="1" a="1"/>
  <c r="F95" i="1" a="1"/>
  <c r="F16" i="1" a="1"/>
  <c r="F97" i="1" a="1"/>
  <c r="F6" i="1" a="1"/>
  <c r="F96" i="1" a="1"/>
  <c r="I4" i="2" a="1"/>
  <c r="M8" i="2" a="1"/>
  <c r="O5" i="2" a="1"/>
  <c r="P15" i="2" a="1"/>
  <c r="Q10" i="2" a="1"/>
  <c r="S4" i="2" a="1"/>
  <c r="T12" i="2" a="1"/>
  <c r="U12" i="2" a="1"/>
  <c r="V4" i="2" a="1"/>
  <c r="V11" i="2" a="1"/>
  <c r="W17" i="2" a="1"/>
  <c r="Q19" i="2" a="1"/>
  <c r="O23" i="2" a="1"/>
  <c r="N18" i="2" a="1"/>
  <c r="L12" i="2" a="1"/>
  <c r="K7" i="2" a="1"/>
  <c r="J6" i="2" a="1"/>
  <c r="J20" i="2" a="1"/>
  <c r="I11" i="2" a="1"/>
  <c r="H17" i="2" a="1"/>
  <c r="G16" i="2" a="1"/>
  <c r="F15" i="2" a="1"/>
  <c r="E13" i="2" a="1"/>
  <c r="E19" i="2" a="1"/>
  <c r="D16" i="2" a="1"/>
  <c r="J7" i="2" a="1"/>
  <c r="G17" i="2" a="1"/>
  <c r="D17" i="2" a="1"/>
  <c r="G10" i="2" a="1"/>
  <c r="G18" i="2" a="1"/>
  <c r="J4" i="2" a="1"/>
  <c r="M9" i="2" a="1"/>
  <c r="O13" i="2" a="1"/>
  <c r="P8" i="2" a="1"/>
  <c r="Q11" i="2" a="1"/>
  <c r="S12" i="2" a="1"/>
  <c r="T5" i="2" a="1"/>
  <c r="U20" i="2" a="1"/>
  <c r="V12" i="2" a="1"/>
  <c r="V19" i="2" a="1"/>
  <c r="W10" i="2" a="1"/>
  <c r="S19" i="2" a="1"/>
  <c r="Q20" i="2" a="1"/>
  <c r="O16" i="2" a="1"/>
  <c r="N19" i="2" a="1"/>
  <c r="L20" i="2" a="1"/>
  <c r="K15" i="2" a="1"/>
  <c r="J14" i="2" a="1"/>
  <c r="J13" i="2" a="1"/>
  <c r="I19" i="2" a="1"/>
  <c r="H10" i="2" a="1"/>
  <c r="F23" i="2" a="1"/>
  <c r="E21" i="2" a="1"/>
  <c r="E12" i="2" a="1"/>
  <c r="L21" i="2" a="1"/>
  <c r="E14" i="2" a="1"/>
  <c r="I13" i="2" a="1"/>
  <c r="D12" i="2" a="1"/>
  <c r="E7" i="2" a="1"/>
  <c r="D7" i="2" a="1"/>
  <c r="V10" i="2" a="1"/>
  <c r="K13" i="2" a="1"/>
  <c r="K4" i="2" a="1"/>
  <c r="M10" i="2" a="1"/>
  <c r="O6" i="2" a="1"/>
  <c r="P9" i="2" a="1"/>
  <c r="R4" i="2" a="1"/>
  <c r="S5" i="2" a="1"/>
  <c r="T13" i="2" a="1"/>
  <c r="U5" i="2" a="1"/>
  <c r="V20" i="2" a="1"/>
  <c r="W4" i="2" a="1"/>
  <c r="W18" i="2" a="1"/>
  <c r="S20" i="2" a="1"/>
  <c r="Q21" i="2" a="1"/>
  <c r="N20" i="2" a="1"/>
  <c r="L13" i="2" a="1"/>
  <c r="K23" i="2" a="1"/>
  <c r="J22" i="2" a="1"/>
  <c r="J21" i="2" a="1"/>
  <c r="I12" i="2" a="1"/>
  <c r="H18" i="2" a="1"/>
  <c r="G9" i="2" a="1"/>
  <c r="F8" i="2" a="1"/>
  <c r="E6" i="2" a="1"/>
  <c r="E20" i="2" a="1"/>
  <c r="D9" i="2" a="1"/>
  <c r="I6" i="2" a="1"/>
  <c r="H11" i="2" a="1"/>
  <c r="D4" i="2" a="1"/>
  <c r="I14" i="2" a="1"/>
  <c r="E22" i="2" a="1"/>
  <c r="H12" i="2" a="1"/>
  <c r="F20" i="2" a="1"/>
  <c r="W16" i="2" a="1"/>
  <c r="M19" i="2" a="1"/>
  <c r="L4" i="2" a="1"/>
  <c r="M11" i="2" a="1"/>
  <c r="O14" i="2" a="1"/>
  <c r="P10" i="2" a="1"/>
  <c r="R12" i="2" a="1"/>
  <c r="S13" i="2" a="1"/>
  <c r="T6" i="2" a="1"/>
  <c r="U13" i="2" a="1"/>
  <c r="V5" i="2" a="1"/>
  <c r="W12" i="2" a="1"/>
  <c r="W11" i="2" a="1"/>
  <c r="W23" i="2" a="1"/>
  <c r="S21" i="2" a="1"/>
  <c r="Q22" i="2" a="1"/>
  <c r="O17" i="2" a="1"/>
  <c r="N21" i="2" a="1"/>
  <c r="I20" i="2" a="1"/>
  <c r="L5" i="2" a="1"/>
  <c r="N4" i="2" a="1"/>
  <c r="O7" i="2" a="1"/>
  <c r="P11" i="2" a="1"/>
  <c r="R5" i="2" a="1"/>
  <c r="S6" i="2" a="1"/>
  <c r="T14" i="2" a="1"/>
  <c r="U6" i="2" a="1"/>
  <c r="V13" i="2" a="1"/>
  <c r="W20" i="2" a="1"/>
  <c r="W19" i="2" a="1"/>
  <c r="S22" i="2" a="1"/>
  <c r="Q23" i="2" a="1"/>
  <c r="O18" i="2" a="1"/>
  <c r="M13" i="2" a="1"/>
  <c r="L14" i="2" a="1"/>
  <c r="K16" i="2" a="1"/>
  <c r="J15" i="2" a="1"/>
  <c r="L6" i="2" a="1"/>
  <c r="N12" i="2" a="1"/>
  <c r="O8" i="2" a="1"/>
  <c r="Q4" i="2" a="1"/>
  <c r="R13" i="2" a="1"/>
  <c r="S14" i="2" a="1"/>
  <c r="T7" i="2" a="1"/>
  <c r="U14" i="2" a="1"/>
  <c r="V21" i="2" a="1"/>
  <c r="W5" i="2" a="1"/>
  <c r="V22" i="2" a="1"/>
  <c r="S23" i="2" a="1"/>
  <c r="O19" i="2" a="1"/>
  <c r="M21" i="2" a="1"/>
  <c r="L22" i="2" a="1"/>
  <c r="J23" i="2" a="1"/>
  <c r="I22" i="2" a="1"/>
  <c r="I21" i="2" a="1"/>
  <c r="D20" i="2" a="1"/>
  <c r="F5" i="2" a="1"/>
  <c r="L7" i="2" a="1"/>
  <c r="N5" i="2" a="1"/>
  <c r="O9" i="2" a="1"/>
  <c r="Q12" i="2" a="1"/>
  <c r="R6" i="2" a="1"/>
  <c r="S7" i="2" a="1"/>
  <c r="T15" i="2" a="1"/>
  <c r="U7" i="2" a="1"/>
  <c r="V6" i="2" a="1"/>
  <c r="W13" i="2" a="1"/>
  <c r="V23" i="2" a="1"/>
  <c r="P16" i="2" a="1"/>
  <c r="O20" i="2" a="1"/>
  <c r="M14" i="2" a="1"/>
  <c r="L15" i="2" a="1"/>
  <c r="K9" i="2" a="1"/>
  <c r="J8" i="2" a="1"/>
  <c r="I7" i="2" a="1"/>
  <c r="H6" i="2" a="1"/>
  <c r="H20" i="2" a="1"/>
  <c r="G11" i="2" a="1"/>
  <c r="F17" i="2" a="1"/>
  <c r="E15" i="2" a="1"/>
  <c r="D5" i="2" a="1"/>
  <c r="D11" i="2" a="1"/>
  <c r="L16" i="2" a="1"/>
  <c r="H22" i="2" a="1"/>
  <c r="G12" i="2" a="1"/>
  <c r="E8" i="2" a="1"/>
  <c r="G21" i="2" a="1"/>
  <c r="R10" i="2" a="1"/>
  <c r="I10" i="2" a="1"/>
  <c r="G5" i="2" a="1"/>
  <c r="L8" i="2" a="1"/>
  <c r="N13" i="2" a="1"/>
  <c r="O10" i="2" a="1"/>
  <c r="Q5" i="2" a="1"/>
  <c r="R14" i="2" a="1"/>
  <c r="S15" i="2" a="1"/>
  <c r="T8" i="2" a="1"/>
  <c r="U15" i="2" a="1"/>
  <c r="V14" i="2" a="1"/>
  <c r="W21" i="2" a="1"/>
  <c r="R18" i="2" a="1"/>
  <c r="O21" i="2" a="1"/>
  <c r="M22" i="2" a="1"/>
  <c r="L23" i="2" a="1"/>
  <c r="K17" i="2" a="1"/>
  <c r="J16" i="2" a="1"/>
  <c r="I15" i="2" a="1"/>
  <c r="H14" i="2" a="1"/>
  <c r="H13" i="2" a="1"/>
  <c r="G19" i="2" a="1"/>
  <c r="F10" i="2" a="1"/>
  <c r="E23" i="2" a="1"/>
  <c r="D13" i="2" a="1"/>
  <c r="D19" i="2" a="1"/>
  <c r="K10" i="2" a="1"/>
  <c r="I23" i="2" a="1"/>
  <c r="H21" i="2" a="1"/>
  <c r="F18" i="2" a="1"/>
  <c r="D14" i="2" a="1"/>
  <c r="E9" i="2" a="1"/>
  <c r="E17" i="2" a="1"/>
  <c r="P23" i="2" a="1"/>
  <c r="G23" i="2" a="1"/>
  <c r="H5" i="2" a="1"/>
  <c r="L9" i="2" a="1"/>
  <c r="N6" i="2" a="1"/>
  <c r="O11" i="2" a="1"/>
  <c r="Q13" i="2" a="1"/>
  <c r="R7" i="2" a="1"/>
  <c r="S8" i="2" a="1"/>
  <c r="T16" i="2" a="1"/>
  <c r="U8" i="2" a="1"/>
  <c r="V7" i="2" a="1"/>
  <c r="W6" i="2" a="1"/>
  <c r="U21" i="2" a="1"/>
  <c r="R19" i="2" a="1"/>
  <c r="P17" i="2" a="1"/>
  <c r="O22" i="2" a="1"/>
  <c r="M15" i="2" a="1"/>
  <c r="D21" i="2" a="1"/>
  <c r="D23" i="2" a="1"/>
  <c r="I5" i="2" a="1"/>
  <c r="L10" i="2" a="1"/>
  <c r="N7" i="2" a="1"/>
  <c r="P4" i="2" a="1"/>
  <c r="Q6" i="2" a="1"/>
  <c r="R15" i="2" a="1"/>
  <c r="S16" i="2" a="1"/>
  <c r="T9" i="2" a="1"/>
  <c r="U16" i="2" a="1"/>
  <c r="V15" i="2" a="1"/>
  <c r="W14" i="2" a="1"/>
  <c r="U22" i="2" a="1"/>
  <c r="R20" i="2" a="1"/>
  <c r="P18" i="2" a="1"/>
  <c r="N14" i="2" a="1"/>
  <c r="M23" i="2" a="1"/>
  <c r="K18" i="2" a="1"/>
  <c r="J9" i="2" a="1"/>
  <c r="I8" i="2" a="1"/>
  <c r="H7" i="2" a="1"/>
  <c r="G6" i="2" a="1"/>
  <c r="G20" i="2" a="1"/>
  <c r="F11" i="2" a="1"/>
  <c r="E16" i="2" a="1"/>
  <c r="D6" i="2" a="1"/>
  <c r="K11" i="2" a="1"/>
  <c r="I16" i="2" a="1"/>
  <c r="H15" i="2" a="1"/>
  <c r="G14" i="2" a="1"/>
  <c r="F19" i="2" a="1"/>
  <c r="F12" i="2" a="1"/>
  <c r="S11" i="2" a="1"/>
  <c r="Q17" i="2" a="1"/>
  <c r="J5" i="2" a="1"/>
  <c r="L11" i="2" a="1"/>
  <c r="N8" i="2" a="1"/>
  <c r="P12" i="2" a="1"/>
  <c r="Q14" i="2" a="1"/>
  <c r="R8" i="2" a="1"/>
  <c r="S9" i="2" a="1"/>
  <c r="T17" i="2" a="1"/>
  <c r="U9" i="2" a="1"/>
  <c r="V8" i="2" a="1"/>
  <c r="W22" i="2" a="1"/>
  <c r="U23" i="2" a="1"/>
  <c r="R21" i="2" a="1"/>
  <c r="P19" i="2" a="1"/>
  <c r="N22" i="2" a="1"/>
  <c r="M16" i="2" a="1"/>
  <c r="L17" i="2" a="1"/>
  <c r="J17" i="2" a="1"/>
  <c r="G13" i="2" a="1"/>
  <c r="F21" i="2" a="1"/>
  <c r="K5" i="2" a="1"/>
  <c r="M4" i="2" a="1"/>
  <c r="N9" i="2" a="1"/>
  <c r="P5" i="2" a="1"/>
  <c r="Q7" i="2" a="1"/>
  <c r="R16" i="2" a="1"/>
  <c r="S17" i="2" a="1"/>
  <c r="T10" i="2" a="1"/>
  <c r="U17" i="2" a="1"/>
  <c r="V16" i="2" a="1"/>
  <c r="W7" i="2" a="1"/>
  <c r="R22" i="2" a="1"/>
  <c r="P20" i="2" a="1"/>
  <c r="N15" i="2" a="1"/>
  <c r="L18" i="2" a="1"/>
  <c r="K19" i="2" a="1"/>
  <c r="J10" i="2" a="1"/>
  <c r="H23" i="2" a="1"/>
  <c r="G22" i="2" a="1"/>
  <c r="D22" i="2" a="1"/>
  <c r="F22" i="2" a="1"/>
  <c r="E4" i="2" a="1"/>
  <c r="M12" i="2" a="1"/>
  <c r="N10" i="2" a="1"/>
  <c r="P13" i="2" a="1"/>
  <c r="Q15" i="2" a="1"/>
  <c r="R9" i="2" a="1"/>
  <c r="S10" i="2" a="1"/>
  <c r="T18" i="2" a="1"/>
  <c r="U10" i="2" a="1"/>
  <c r="V9" i="2" a="1"/>
  <c r="W15" i="2" a="1"/>
  <c r="T20" i="2" a="1"/>
  <c r="R23" i="2" a="1"/>
  <c r="P21" i="2" a="1"/>
  <c r="N23" i="2" a="1"/>
  <c r="M17" i="2" a="1"/>
  <c r="L19" i="2" a="1"/>
  <c r="K12" i="2" a="1"/>
  <c r="J18" i="2" a="1"/>
  <c r="I9" i="2" a="1"/>
  <c r="H8" i="2" a="1"/>
  <c r="G7" i="2" a="1"/>
  <c r="F6" i="2" a="1"/>
  <c r="E18" i="2" a="1"/>
  <c r="F4" i="2" a="1"/>
  <c r="M5" i="2" a="1"/>
  <c r="N11" i="2" a="1"/>
  <c r="P6" i="2" a="1"/>
  <c r="Q8" i="2" a="1"/>
  <c r="R17" i="2" a="1"/>
  <c r="S18" i="2" a="1"/>
  <c r="T11" i="2" a="1"/>
  <c r="U18" i="2" a="1"/>
  <c r="V17" i="2" a="1"/>
  <c r="W8" i="2" a="1"/>
  <c r="T21" i="2" a="1"/>
  <c r="P22" i="2" a="1"/>
  <c r="N16" i="2" a="1"/>
  <c r="M18" i="2" a="1"/>
  <c r="K6" i="2" a="1"/>
  <c r="K20" i="2" a="1"/>
  <c r="J11" i="2" a="1"/>
  <c r="I17" i="2" a="1"/>
  <c r="H16" i="2" a="1"/>
  <c r="G15" i="2" a="1"/>
  <c r="F14" i="2" a="1"/>
  <c r="F13" i="2" a="1"/>
  <c r="E10" i="2" a="1"/>
  <c r="D15" i="2" a="1"/>
  <c r="M6" i="2" a="1"/>
  <c r="O4" i="2" a="1"/>
  <c r="P14" i="2" a="1"/>
  <c r="Q16" i="2" a="1"/>
  <c r="T19" i="2" a="1"/>
  <c r="T22" i="2" a="1"/>
  <c r="K14" i="2" a="1"/>
  <c r="G4" i="2" a="1"/>
  <c r="H4" i="2" a="1"/>
  <c r="M7" i="2" a="1"/>
  <c r="O12" i="2" a="1"/>
  <c r="P7" i="2" a="1"/>
  <c r="Q9" i="2" a="1"/>
  <c r="R11" i="2" a="1"/>
  <c r="T4" i="2" a="1"/>
  <c r="U4" i="2" a="1"/>
  <c r="U19" i="2" a="1"/>
  <c r="V18" i="2" a="1"/>
  <c r="W9" i="2" a="1"/>
  <c r="T23" i="2" a="1"/>
  <c r="Q18" i="2" a="1"/>
  <c r="O15" i="2" a="1"/>
  <c r="N17" i="2" a="1"/>
  <c r="M20" i="2" a="1"/>
  <c r="K22" i="2" a="1"/>
  <c r="K21" i="2" a="1"/>
  <c r="J12" i="2" a="1"/>
  <c r="I18" i="2" a="1"/>
  <c r="H9" i="2" a="1"/>
  <c r="G8" i="2" a="1"/>
  <c r="F7" i="2" a="1"/>
  <c r="E5" i="2" a="1"/>
  <c r="E11" i="2" a="1"/>
  <c r="D8" i="2" a="1"/>
  <c r="K8" i="2" a="1"/>
  <c r="F16" i="2" a="1"/>
  <c r="H19" i="2" a="1"/>
  <c r="D10" i="2" a="1"/>
  <c r="F9" i="2" a="1"/>
  <c r="D18" i="2" a="1"/>
  <c r="U11" i="2" a="1"/>
  <c r="J19" i="2" a="1"/>
  <c r="X12" i="2" a="1"/>
  <c r="X22" i="2" a="1"/>
  <c r="X18" i="2" a="1"/>
  <c r="X23" i="2" a="1"/>
  <c r="X8" i="2" a="1"/>
  <c r="X6" i="2" a="1"/>
  <c r="X15" i="2" a="1"/>
  <c r="X16" i="2" a="1"/>
  <c r="X20" i="2" a="1"/>
  <c r="X11" i="2" a="1"/>
  <c r="X7" i="2" a="1"/>
  <c r="X9" i="2" a="1"/>
  <c r="X5" i="2" a="1"/>
  <c r="X10" i="2" a="1"/>
  <c r="X17" i="2" a="1"/>
  <c r="X19" i="2" a="1"/>
  <c r="X14" i="2" a="1"/>
  <c r="X4" i="2" a="1"/>
  <c r="X13" i="2" a="1"/>
  <c r="X21" i="2" a="1"/>
  <c r="O24" i="2" a="1"/>
  <c r="L24" i="2" a="1"/>
  <c r="J24" i="2" a="1"/>
  <c r="I24" i="2" a="1"/>
  <c r="X24" i="2" a="1"/>
  <c r="S24" i="2" a="1"/>
  <c r="G24" i="2" a="1"/>
  <c r="E24" i="2" a="1"/>
  <c r="W24" i="2" a="1"/>
  <c r="V24" i="2" a="1"/>
  <c r="H24" i="2" a="1"/>
  <c r="P24" i="2" a="1"/>
  <c r="M24" i="2" a="1"/>
  <c r="T24" i="2" a="1"/>
  <c r="D24" i="2" a="1"/>
  <c r="U24" i="2" a="1"/>
  <c r="Q24" i="2" a="1"/>
  <c r="F24" i="2" a="1"/>
  <c r="R24" i="2" a="1"/>
  <c r="N24" i="2" a="1"/>
  <c r="K24" i="2" a="1"/>
  <c r="C6" i="2" a="1"/>
  <c r="C18" i="2" a="1"/>
  <c r="C11" i="2" a="1"/>
  <c r="C7" i="2" a="1"/>
  <c r="C24" i="2" a="1"/>
  <c r="C16" i="2" a="1"/>
  <c r="C21" i="2" a="1"/>
  <c r="C17" i="2" a="1"/>
  <c r="C4" i="2" a="1"/>
  <c r="C19" i="2" a="1"/>
  <c r="C5" i="2" a="1"/>
  <c r="C23" i="2" a="1"/>
  <c r="C12" i="2" a="1"/>
  <c r="C15" i="2" a="1"/>
  <c r="C10" i="2" a="1"/>
  <c r="C22" i="2" a="1"/>
  <c r="C9" i="2" a="1"/>
  <c r="C13" i="2" a="1"/>
  <c r="C20" i="2" a="1"/>
  <c r="C8" i="2" a="1"/>
  <c r="C14" i="2" a="1"/>
  <c r="S3" i="2" a="1"/>
  <c r="E3" i="2" a="1"/>
  <c r="G3" i="2" a="1"/>
  <c r="U3" i="2" a="1"/>
  <c r="H3" i="2" a="1"/>
  <c r="X3" i="2" a="1"/>
  <c r="O3" i="2" a="1"/>
  <c r="C3" i="2" a="1"/>
  <c r="T3" i="2" a="1"/>
  <c r="N3" i="2" a="1"/>
  <c r="D3" i="2" a="1"/>
  <c r="P3" i="2" a="1"/>
  <c r="J3" i="2" a="1"/>
  <c r="I3" i="2" a="1"/>
  <c r="L3" i="2" a="1"/>
  <c r="M3" i="2" a="1"/>
  <c r="K3" i="2" a="1"/>
  <c r="W3" i="2" a="1"/>
  <c r="V3" i="2" a="1"/>
  <c r="F3" i="2" a="1"/>
  <c r="Q3" i="2" a="1"/>
  <c r="R3" i="2" a="1"/>
  <c r="X24" i="2" l="1"/>
  <c r="X47" i="2" s="1"/>
  <c r="V23" i="4" s="1"/>
  <c r="F140" i="1"/>
  <c r="K5" i="2"/>
  <c r="J5" i="2"/>
  <c r="I5" i="2"/>
  <c r="H5" i="2"/>
  <c r="G5" i="2"/>
  <c r="F5" i="2"/>
  <c r="K4" i="2"/>
  <c r="J4" i="2"/>
  <c r="I4" i="2"/>
  <c r="H4" i="2"/>
  <c r="G4" i="2"/>
  <c r="F4" i="2"/>
  <c r="E4" i="2"/>
  <c r="L11" i="2"/>
  <c r="L10" i="2"/>
  <c r="L9" i="2"/>
  <c r="L8" i="2"/>
  <c r="L7" i="2"/>
  <c r="L6" i="2"/>
  <c r="L5" i="2"/>
  <c r="L4" i="2"/>
  <c r="M11" i="2"/>
  <c r="M10" i="2"/>
  <c r="M9" i="2"/>
  <c r="M8" i="2"/>
  <c r="M7" i="2"/>
  <c r="M6" i="2"/>
  <c r="M5" i="2"/>
  <c r="M12" i="2"/>
  <c r="M4" i="2"/>
  <c r="N11" i="2"/>
  <c r="N10" i="2"/>
  <c r="N9" i="2"/>
  <c r="N8" i="2"/>
  <c r="N7" i="2"/>
  <c r="N6" i="2"/>
  <c r="N13" i="2"/>
  <c r="N5" i="2"/>
  <c r="N12" i="2"/>
  <c r="N4" i="2"/>
  <c r="O11" i="2"/>
  <c r="O10" i="2"/>
  <c r="O9" i="2"/>
  <c r="O8" i="2"/>
  <c r="O7" i="2"/>
  <c r="O14" i="2"/>
  <c r="O6" i="2"/>
  <c r="O13" i="2"/>
  <c r="O5" i="2"/>
  <c r="O12" i="2"/>
  <c r="O4" i="2"/>
  <c r="P11" i="2"/>
  <c r="P10" i="2"/>
  <c r="P9" i="2"/>
  <c r="P8" i="2"/>
  <c r="P15" i="2"/>
  <c r="P7" i="2"/>
  <c r="P14" i="2"/>
  <c r="P6" i="2"/>
  <c r="P13" i="2"/>
  <c r="P5" i="2"/>
  <c r="P12" i="2"/>
  <c r="P4" i="2"/>
  <c r="Q11" i="2"/>
  <c r="Q10" i="2"/>
  <c r="Q9" i="2"/>
  <c r="Q16" i="2"/>
  <c r="Q8" i="2"/>
  <c r="Q15" i="2"/>
  <c r="Q7" i="2"/>
  <c r="Q14" i="2"/>
  <c r="Q6" i="2"/>
  <c r="Q13" i="2"/>
  <c r="Q5" i="2"/>
  <c r="Q12" i="2"/>
  <c r="Q4" i="2"/>
  <c r="R11" i="2"/>
  <c r="R10" i="2"/>
  <c r="R17" i="2"/>
  <c r="R9" i="2"/>
  <c r="R16" i="2"/>
  <c r="R8" i="2"/>
  <c r="R15" i="2"/>
  <c r="R7" i="2"/>
  <c r="R14" i="2"/>
  <c r="R6" i="2"/>
  <c r="R13" i="2"/>
  <c r="R5" i="2"/>
  <c r="R12" i="2"/>
  <c r="R4" i="2"/>
  <c r="S11" i="2"/>
  <c r="S18" i="2"/>
  <c r="S10" i="2"/>
  <c r="S17" i="2"/>
  <c r="S9" i="2"/>
  <c r="S16" i="2"/>
  <c r="S8" i="2"/>
  <c r="S15" i="2"/>
  <c r="S7" i="2"/>
  <c r="S14" i="2"/>
  <c r="S6" i="2"/>
  <c r="S13" i="2"/>
  <c r="S5" i="2"/>
  <c r="S12" i="2"/>
  <c r="S4" i="2"/>
  <c r="T19" i="2"/>
  <c r="T11" i="2"/>
  <c r="T18" i="2"/>
  <c r="T10" i="2"/>
  <c r="T17" i="2"/>
  <c r="T9" i="2"/>
  <c r="T16" i="2"/>
  <c r="T8" i="2"/>
  <c r="T15" i="2"/>
  <c r="T7" i="2"/>
  <c r="T14" i="2"/>
  <c r="T6" i="2"/>
  <c r="T13" i="2"/>
  <c r="T5" i="2"/>
  <c r="T12" i="2"/>
  <c r="T4" i="2"/>
  <c r="U19" i="2"/>
  <c r="U11" i="2"/>
  <c r="U18" i="2"/>
  <c r="U10" i="2"/>
  <c r="U17" i="2"/>
  <c r="U9" i="2"/>
  <c r="U16" i="2"/>
  <c r="U8" i="2"/>
  <c r="U15" i="2"/>
  <c r="U7" i="2"/>
  <c r="U14" i="2"/>
  <c r="U6" i="2"/>
  <c r="U13" i="2"/>
  <c r="U5" i="2"/>
  <c r="U20" i="2"/>
  <c r="U12" i="2"/>
  <c r="U4" i="2"/>
  <c r="V19" i="2"/>
  <c r="V11" i="2"/>
  <c r="V18" i="2"/>
  <c r="V10" i="2"/>
  <c r="V17" i="2"/>
  <c r="V9" i="2"/>
  <c r="V16" i="2"/>
  <c r="V8" i="2"/>
  <c r="V15" i="2"/>
  <c r="V7" i="2"/>
  <c r="V14" i="2"/>
  <c r="V6" i="2"/>
  <c r="V21" i="2"/>
  <c r="V13" i="2"/>
  <c r="V5" i="2"/>
  <c r="V20" i="2"/>
  <c r="V12" i="2"/>
  <c r="V4" i="2"/>
  <c r="W19" i="2"/>
  <c r="W11" i="2"/>
  <c r="W18" i="2"/>
  <c r="W10" i="2"/>
  <c r="W17" i="2"/>
  <c r="W9" i="2"/>
  <c r="W16" i="2"/>
  <c r="W8" i="2"/>
  <c r="W15" i="2"/>
  <c r="W7" i="2"/>
  <c r="W22" i="2"/>
  <c r="W14" i="2"/>
  <c r="W6" i="2"/>
  <c r="W21" i="2"/>
  <c r="W13" i="2"/>
  <c r="W5" i="2"/>
  <c r="W20" i="2"/>
  <c r="W12" i="2"/>
  <c r="W4" i="2"/>
  <c r="X19" i="2"/>
  <c r="X42" i="2" s="1"/>
  <c r="V18" i="4" s="1"/>
  <c r="X11" i="2"/>
  <c r="X34" i="2" s="1"/>
  <c r="V10" i="4" s="1"/>
  <c r="X18" i="2"/>
  <c r="X41" i="2" s="1"/>
  <c r="V17" i="4" s="1"/>
  <c r="X10" i="2"/>
  <c r="X33" i="2" s="1"/>
  <c r="V9" i="4" s="1"/>
  <c r="X17" i="2"/>
  <c r="X40" i="2" s="1"/>
  <c r="V16" i="4" s="1"/>
  <c r="X9" i="2"/>
  <c r="X32" i="2" s="1"/>
  <c r="V8" i="4" s="1"/>
  <c r="X16" i="2"/>
  <c r="X39" i="2" s="1"/>
  <c r="V15" i="4" s="1"/>
  <c r="X8" i="2"/>
  <c r="X31" i="2" s="1"/>
  <c r="V7" i="4" s="1"/>
  <c r="X23" i="2"/>
  <c r="X46" i="2" s="1"/>
  <c r="V22" i="4" s="1"/>
  <c r="X15" i="2"/>
  <c r="X38" i="2" s="1"/>
  <c r="V14" i="4" s="1"/>
  <c r="X7" i="2"/>
  <c r="X30" i="2" s="1"/>
  <c r="V6" i="4" s="1"/>
  <c r="X22" i="2"/>
  <c r="X45" i="2" s="1"/>
  <c r="V21" i="4" s="1"/>
  <c r="X14" i="2"/>
  <c r="X37" i="2" s="1"/>
  <c r="V13" i="4" s="1"/>
  <c r="X6" i="2"/>
  <c r="X29" i="2" s="1"/>
  <c r="V5" i="4" s="1"/>
  <c r="X21" i="2"/>
  <c r="X44" i="2" s="1"/>
  <c r="V20" i="4" s="1"/>
  <c r="X13" i="2"/>
  <c r="X36" i="2" s="1"/>
  <c r="V12" i="4" s="1"/>
  <c r="X5" i="2"/>
  <c r="X28" i="2" s="1"/>
  <c r="V4" i="4" s="1"/>
  <c r="X20" i="2"/>
  <c r="X43" i="2" s="1"/>
  <c r="V19" i="4" s="1"/>
  <c r="X12" i="2"/>
  <c r="X35" i="2" s="1"/>
  <c r="V11" i="4" s="1"/>
  <c r="X4" i="2"/>
  <c r="X27" i="2" s="1"/>
  <c r="V3" i="4" s="1"/>
  <c r="X3" i="2"/>
  <c r="X26" i="2" s="1"/>
  <c r="V2" i="4" s="1"/>
  <c r="S3" i="2"/>
  <c r="S26" i="2" s="1"/>
  <c r="Q2" i="4" s="1"/>
  <c r="K3" i="2"/>
  <c r="K26" i="2" s="1"/>
  <c r="I2" i="4" s="1"/>
  <c r="R3" i="2"/>
  <c r="R26" i="2" s="1"/>
  <c r="P2" i="4" s="1"/>
  <c r="J3" i="2"/>
  <c r="J26" i="2" s="1"/>
  <c r="H2" i="4" s="1"/>
  <c r="Q3" i="2"/>
  <c r="Q26" i="2" s="1"/>
  <c r="O2" i="4" s="1"/>
  <c r="I3" i="2"/>
  <c r="I26" i="2" s="1"/>
  <c r="G2" i="4" s="1"/>
  <c r="P3" i="2"/>
  <c r="P26" i="2" s="1"/>
  <c r="N2" i="4" s="1"/>
  <c r="H3" i="2"/>
  <c r="H26" i="2" s="1"/>
  <c r="F2" i="4" s="1"/>
  <c r="W3" i="2"/>
  <c r="W26" i="2" s="1"/>
  <c r="U2" i="4" s="1"/>
  <c r="O3" i="2"/>
  <c r="G3" i="2"/>
  <c r="G26" i="2" s="1"/>
  <c r="E2" i="4" s="1"/>
  <c r="V3" i="2"/>
  <c r="V26" i="2" s="1"/>
  <c r="T2" i="4" s="1"/>
  <c r="N3" i="2"/>
  <c r="N26" i="2" s="1"/>
  <c r="L2" i="4" s="1"/>
  <c r="F3" i="2"/>
  <c r="F26" i="2" s="1"/>
  <c r="D2" i="4" s="1"/>
  <c r="U3" i="2"/>
  <c r="U26" i="2" s="1"/>
  <c r="S2" i="4" s="1"/>
  <c r="M3" i="2"/>
  <c r="M26" i="2" s="1"/>
  <c r="K2" i="4" s="1"/>
  <c r="E3" i="2"/>
  <c r="E26" i="2" s="1"/>
  <c r="C2" i="4" s="1"/>
  <c r="T3" i="2"/>
  <c r="T26" i="2" s="1"/>
  <c r="R2" i="4" s="1"/>
  <c r="L3" i="2"/>
  <c r="L26" i="2" s="1"/>
  <c r="J2" i="4" s="1"/>
  <c r="D3" i="2"/>
  <c r="D26" i="2" s="1"/>
  <c r="B2" i="4" s="1"/>
  <c r="W24" i="2"/>
  <c r="W47" i="2" s="1"/>
  <c r="U23" i="4" s="1"/>
  <c r="W23" i="2"/>
  <c r="V24" i="2"/>
  <c r="V47" i="2" s="1"/>
  <c r="T23" i="4" s="1"/>
  <c r="V23" i="2"/>
  <c r="V22" i="2"/>
  <c r="U24" i="2"/>
  <c r="U47" i="2" s="1"/>
  <c r="S23" i="4" s="1"/>
  <c r="U23" i="2"/>
  <c r="U22" i="2"/>
  <c r="U21" i="2"/>
  <c r="T24" i="2"/>
  <c r="T47" i="2" s="1"/>
  <c r="R23" i="4" s="1"/>
  <c r="T23" i="2"/>
  <c r="T22" i="2"/>
  <c r="T21" i="2"/>
  <c r="T20" i="2"/>
  <c r="S24" i="2"/>
  <c r="S47" i="2" s="1"/>
  <c r="Q23" i="4" s="1"/>
  <c r="S23" i="2"/>
  <c r="S22" i="2"/>
  <c r="S21" i="2"/>
  <c r="S20" i="2"/>
  <c r="S19" i="2"/>
  <c r="R24" i="2"/>
  <c r="R47" i="2" s="1"/>
  <c r="P23" i="4" s="1"/>
  <c r="R23" i="2"/>
  <c r="R22" i="2"/>
  <c r="R21" i="2"/>
  <c r="R20" i="2"/>
  <c r="R19" i="2"/>
  <c r="R18" i="2"/>
  <c r="Q24" i="2"/>
  <c r="Q47" i="2" s="1"/>
  <c r="O23" i="4" s="1"/>
  <c r="Q23" i="2"/>
  <c r="Q22" i="2"/>
  <c r="Q21" i="2"/>
  <c r="Q20" i="2"/>
  <c r="Q19" i="2"/>
  <c r="Q18" i="2"/>
  <c r="Q17" i="2"/>
  <c r="P23" i="2"/>
  <c r="P22" i="2"/>
  <c r="P21" i="2"/>
  <c r="P20" i="2"/>
  <c r="P19" i="2"/>
  <c r="P18" i="2"/>
  <c r="P17" i="2"/>
  <c r="P24" i="2"/>
  <c r="P47" i="2" s="1"/>
  <c r="N23" i="4" s="1"/>
  <c r="P16" i="2"/>
  <c r="O22" i="2"/>
  <c r="O21" i="2"/>
  <c r="O20" i="2"/>
  <c r="O19" i="2"/>
  <c r="O18" i="2"/>
  <c r="O17" i="2"/>
  <c r="O24" i="2"/>
  <c r="O47" i="2" s="1"/>
  <c r="M23" i="4" s="1"/>
  <c r="O16" i="2"/>
  <c r="O23" i="2"/>
  <c r="O15" i="2"/>
  <c r="N21" i="2"/>
  <c r="N20" i="2"/>
  <c r="N19" i="2"/>
  <c r="N18" i="2"/>
  <c r="N17" i="2"/>
  <c r="N24" i="2"/>
  <c r="N47" i="2" s="1"/>
  <c r="L23" i="4" s="1"/>
  <c r="N16" i="2"/>
  <c r="N23" i="2"/>
  <c r="N15" i="2"/>
  <c r="N22" i="2"/>
  <c r="N14" i="2"/>
  <c r="M20" i="2"/>
  <c r="M19" i="2"/>
  <c r="M18" i="2"/>
  <c r="M17" i="2"/>
  <c r="M24" i="2"/>
  <c r="M47" i="2" s="1"/>
  <c r="K23" i="4" s="1"/>
  <c r="M16" i="2"/>
  <c r="M23" i="2"/>
  <c r="M15" i="2"/>
  <c r="M22" i="2"/>
  <c r="M14" i="2"/>
  <c r="M21" i="2"/>
  <c r="M13" i="2"/>
  <c r="L19" i="2"/>
  <c r="L18" i="2"/>
  <c r="L17" i="2"/>
  <c r="L24" i="2"/>
  <c r="L47" i="2" s="1"/>
  <c r="J23" i="4" s="1"/>
  <c r="L16" i="2"/>
  <c r="L23" i="2"/>
  <c r="L15" i="2"/>
  <c r="L22" i="2"/>
  <c r="L14" i="2"/>
  <c r="L21" i="2"/>
  <c r="L13" i="2"/>
  <c r="L20" i="2"/>
  <c r="L12" i="2"/>
  <c r="K21" i="2"/>
  <c r="K13" i="2"/>
  <c r="K20" i="2"/>
  <c r="K12" i="2"/>
  <c r="K19" i="2"/>
  <c r="K11" i="2"/>
  <c r="K18" i="2"/>
  <c r="K10" i="2"/>
  <c r="K17" i="2"/>
  <c r="K9" i="2"/>
  <c r="K24" i="2"/>
  <c r="K47" i="2" s="1"/>
  <c r="I23" i="4" s="1"/>
  <c r="K16" i="2"/>
  <c r="K8" i="2"/>
  <c r="K23" i="2"/>
  <c r="K15" i="2"/>
  <c r="K7" i="2"/>
  <c r="K22" i="2"/>
  <c r="K14" i="2"/>
  <c r="K6" i="2"/>
  <c r="J21" i="2"/>
  <c r="J13" i="2"/>
  <c r="AE8" i="2" s="1"/>
  <c r="J20" i="2"/>
  <c r="J12" i="2"/>
  <c r="J19" i="2"/>
  <c r="J11" i="2"/>
  <c r="J18" i="2"/>
  <c r="J10" i="2"/>
  <c r="J17" i="2"/>
  <c r="J9" i="2"/>
  <c r="J24" i="2"/>
  <c r="J47" i="2" s="1"/>
  <c r="H23" i="4" s="1"/>
  <c r="J16" i="2"/>
  <c r="J8" i="2"/>
  <c r="J23" i="2"/>
  <c r="J15" i="2"/>
  <c r="J7" i="2"/>
  <c r="J22" i="2"/>
  <c r="J14" i="2"/>
  <c r="J6" i="2"/>
  <c r="I21" i="2"/>
  <c r="I13" i="2"/>
  <c r="I20" i="2"/>
  <c r="I12" i="2"/>
  <c r="I19" i="2"/>
  <c r="I11" i="2"/>
  <c r="I18" i="2"/>
  <c r="I10" i="2"/>
  <c r="I17" i="2"/>
  <c r="I9" i="2"/>
  <c r="I24" i="2"/>
  <c r="I47" i="2" s="1"/>
  <c r="G23" i="4" s="1"/>
  <c r="I16" i="2"/>
  <c r="I8" i="2"/>
  <c r="I23" i="2"/>
  <c r="I15" i="2"/>
  <c r="I7" i="2"/>
  <c r="I22" i="2"/>
  <c r="I14" i="2"/>
  <c r="I6" i="2"/>
  <c r="H21" i="2"/>
  <c r="H13" i="2"/>
  <c r="H20" i="2"/>
  <c r="H12" i="2"/>
  <c r="H19" i="2"/>
  <c r="H11" i="2"/>
  <c r="H18" i="2"/>
  <c r="H10" i="2"/>
  <c r="H17" i="2"/>
  <c r="H9" i="2"/>
  <c r="H24" i="2"/>
  <c r="H47" i="2" s="1"/>
  <c r="F23" i="4" s="1"/>
  <c r="H16" i="2"/>
  <c r="H8" i="2"/>
  <c r="H23" i="2"/>
  <c r="H15" i="2"/>
  <c r="H7" i="2"/>
  <c r="H22" i="2"/>
  <c r="H14" i="2"/>
  <c r="H6" i="2"/>
  <c r="G21" i="2"/>
  <c r="G13" i="2"/>
  <c r="G20" i="2"/>
  <c r="G12" i="2"/>
  <c r="G19" i="2"/>
  <c r="G11" i="2"/>
  <c r="G18" i="2"/>
  <c r="G10" i="2"/>
  <c r="G17" i="2"/>
  <c r="G9" i="2"/>
  <c r="G24" i="2"/>
  <c r="G47" i="2" s="1"/>
  <c r="E23" i="4" s="1"/>
  <c r="G16" i="2"/>
  <c r="G8" i="2"/>
  <c r="G23" i="2"/>
  <c r="G15" i="2"/>
  <c r="G7" i="2"/>
  <c r="G22" i="2"/>
  <c r="G14" i="2"/>
  <c r="G6" i="2"/>
  <c r="F21" i="2"/>
  <c r="F13" i="2"/>
  <c r="F20" i="2"/>
  <c r="F12" i="2"/>
  <c r="F19" i="2"/>
  <c r="F11" i="2"/>
  <c r="F18" i="2"/>
  <c r="F10" i="2"/>
  <c r="F17" i="2"/>
  <c r="F9" i="2"/>
  <c r="F24" i="2"/>
  <c r="F47" i="2" s="1"/>
  <c r="D23" i="4" s="1"/>
  <c r="F16" i="2"/>
  <c r="F8" i="2"/>
  <c r="F23" i="2"/>
  <c r="F15" i="2"/>
  <c r="F7" i="2"/>
  <c r="F22" i="2"/>
  <c r="F14" i="2"/>
  <c r="F6" i="2"/>
  <c r="E20" i="2"/>
  <c r="E12" i="2"/>
  <c r="E19" i="2"/>
  <c r="E11" i="2"/>
  <c r="E18" i="2"/>
  <c r="E10" i="2"/>
  <c r="E17" i="2"/>
  <c r="E9" i="2"/>
  <c r="E24" i="2"/>
  <c r="E47" i="2" s="1"/>
  <c r="C23" i="4" s="1"/>
  <c r="E16" i="2"/>
  <c r="E8" i="2"/>
  <c r="E23" i="2"/>
  <c r="E15" i="2"/>
  <c r="E7" i="2"/>
  <c r="E22" i="2"/>
  <c r="E14" i="2"/>
  <c r="E6" i="2"/>
  <c r="E21" i="2"/>
  <c r="E13" i="2"/>
  <c r="E5" i="2"/>
  <c r="D19" i="2"/>
  <c r="D11" i="2"/>
  <c r="D18" i="2"/>
  <c r="D10" i="2"/>
  <c r="D17" i="2"/>
  <c r="D9" i="2"/>
  <c r="D24" i="2"/>
  <c r="D47" i="2" s="1"/>
  <c r="B23" i="4" s="1"/>
  <c r="D16" i="2"/>
  <c r="D8" i="2"/>
  <c r="D23" i="2"/>
  <c r="D15" i="2"/>
  <c r="D7" i="2"/>
  <c r="D22" i="2"/>
  <c r="D14" i="2"/>
  <c r="D6" i="2"/>
  <c r="D21" i="2"/>
  <c r="D13" i="2"/>
  <c r="D5" i="2"/>
  <c r="D20" i="2"/>
  <c r="D12" i="2"/>
  <c r="D4" i="2"/>
  <c r="C20" i="2"/>
  <c r="C43" i="2" s="1"/>
  <c r="A19" i="4" s="1"/>
  <c r="C12" i="2"/>
  <c r="C35" i="2" s="1"/>
  <c r="A11" i="4" s="1"/>
  <c r="C19" i="2"/>
  <c r="C42" i="2" s="1"/>
  <c r="A18" i="4" s="1"/>
  <c r="C11" i="2"/>
  <c r="C34" i="2" s="1"/>
  <c r="A10" i="4" s="1"/>
  <c r="C18" i="2"/>
  <c r="C41" i="2" s="1"/>
  <c r="A17" i="4" s="1"/>
  <c r="C10" i="2"/>
  <c r="C33" i="2" s="1"/>
  <c r="A9" i="4" s="1"/>
  <c r="C17" i="2"/>
  <c r="C40" i="2" s="1"/>
  <c r="A16" i="4" s="1"/>
  <c r="C9" i="2"/>
  <c r="C32" i="2" s="1"/>
  <c r="A8" i="4" s="1"/>
  <c r="C24" i="2"/>
  <c r="C47" i="2" s="1"/>
  <c r="A23" i="4" s="1"/>
  <c r="C16" i="2"/>
  <c r="C39" i="2" s="1"/>
  <c r="A15" i="4" s="1"/>
  <c r="C8" i="2"/>
  <c r="C31" i="2" s="1"/>
  <c r="A7" i="4" s="1"/>
  <c r="C23" i="2"/>
  <c r="C46" i="2" s="1"/>
  <c r="A22" i="4" s="1"/>
  <c r="C15" i="2"/>
  <c r="C38" i="2" s="1"/>
  <c r="A14" i="4" s="1"/>
  <c r="C7" i="2"/>
  <c r="C30" i="2" s="1"/>
  <c r="A6" i="4" s="1"/>
  <c r="C22" i="2"/>
  <c r="C45" i="2" s="1"/>
  <c r="A21" i="4" s="1"/>
  <c r="C14" i="2"/>
  <c r="C37" i="2" s="1"/>
  <c r="A13" i="4" s="1"/>
  <c r="C6" i="2"/>
  <c r="C29" i="2" s="1"/>
  <c r="A5" i="4" s="1"/>
  <c r="C21" i="2"/>
  <c r="C44" i="2" s="1"/>
  <c r="A20" i="4" s="1"/>
  <c r="C13" i="2"/>
  <c r="C36" i="2" s="1"/>
  <c r="A12" i="4" s="1"/>
  <c r="C5" i="2"/>
  <c r="C28" i="2" s="1"/>
  <c r="A4" i="4" s="1"/>
  <c r="C4" i="2"/>
  <c r="C27" i="2" s="1"/>
  <c r="C3" i="2"/>
  <c r="C26" i="2" s="1"/>
  <c r="A2" i="4" s="1"/>
  <c r="F138" i="1"/>
  <c r="F136" i="1"/>
  <c r="F137" i="1"/>
  <c r="F116" i="1"/>
  <c r="F114" i="1"/>
  <c r="F99" i="1"/>
  <c r="F100" i="1"/>
  <c r="F94" i="1"/>
  <c r="F95" i="1"/>
  <c r="F96" i="1"/>
  <c r="F97" i="1"/>
  <c r="F77" i="1"/>
  <c r="F25" i="1"/>
  <c r="F23" i="1"/>
  <c r="F18" i="1"/>
  <c r="F15" i="1"/>
  <c r="F16" i="1"/>
  <c r="F14" i="1"/>
  <c r="F7" i="1"/>
  <c r="F6" i="1"/>
  <c r="F5" i="1"/>
  <c r="C49" i="2" l="1"/>
  <c r="A3" i="4"/>
  <c r="AE3" i="2"/>
  <c r="O26" i="2"/>
  <c r="M2" i="4" s="1"/>
  <c r="AE6" i="2"/>
  <c r="AE9" i="2"/>
  <c r="AC13" i="2" a="1"/>
  <c r="AC13" i="2" s="1"/>
  <c r="AE13" i="2" s="1"/>
  <c r="AC20" i="2" a="1"/>
  <c r="AC20" i="2" s="1"/>
  <c r="AE20" i="2" s="1"/>
  <c r="AC22" i="2" a="1"/>
  <c r="AC22" i="2" s="1"/>
  <c r="AE22" i="2" s="1"/>
  <c r="AC11" i="2" a="1"/>
  <c r="AC11" i="2" s="1"/>
  <c r="AE11" i="2" s="1"/>
  <c r="AC18" i="2" a="1"/>
  <c r="AC18" i="2" s="1"/>
  <c r="AE18" i="2" s="1"/>
  <c r="AC14" i="2" a="1"/>
  <c r="AC14" i="2" s="1"/>
  <c r="AE14" i="2" s="1"/>
  <c r="AC16" i="2" a="1"/>
  <c r="AC16" i="2" s="1"/>
  <c r="AE16" i="2" s="1"/>
  <c r="AC17" i="2" a="1"/>
  <c r="AC17" i="2" s="1"/>
  <c r="AE17" i="2" s="1"/>
  <c r="AE5" i="2"/>
  <c r="AC12" i="2" a="1"/>
  <c r="AC12" i="2" s="1"/>
  <c r="AE12" i="2" s="1"/>
  <c r="AC19" i="2" a="1"/>
  <c r="AC19" i="2" s="1"/>
  <c r="AE19" i="2" s="1"/>
  <c r="AE4" i="2"/>
  <c r="AC15" i="2" a="1"/>
  <c r="AC15" i="2" s="1"/>
  <c r="AE15" i="2" s="1"/>
  <c r="AC21" i="2" a="1"/>
  <c r="AC21" i="2" s="1"/>
  <c r="AE21" i="2" s="1"/>
  <c r="AE7" i="2"/>
  <c r="AC23" i="2" a="1"/>
  <c r="AC23" i="2" s="1"/>
  <c r="AE23" i="2" s="1"/>
  <c r="AE10" i="2"/>
  <c r="AC24" i="2" l="1"/>
  <c r="AE26"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<sst xmlns="http://schemas.openxmlformats.org/spreadsheetml/2006/main" count="34193" uniqueCount="16230">
  <si>
    <t>Account Name</t>
  </si>
  <si>
    <t>Primary Plant</t>
  </si>
  <si>
    <t>Distance</t>
  </si>
  <si>
    <t>Billing Street</t>
  </si>
  <si>
    <t>Billing City</t>
  </si>
  <si>
    <t>Billing State/Province</t>
  </si>
  <si>
    <t>Billing Zip/Postal Code</t>
  </si>
  <si>
    <t>Hannibal Board of Public Works (MO)</t>
  </si>
  <si>
    <t>CFV</t>
  </si>
  <si>
    <t>#3 Industrial Loop Drive</t>
  </si>
  <si>
    <t>Hannibal</t>
  </si>
  <si>
    <t>MO</t>
  </si>
  <si>
    <t>63401</t>
  </si>
  <si>
    <t/>
  </si>
  <si>
    <t>Farmers Electric Coop (MO)</t>
  </si>
  <si>
    <t>201 US-36 BUS</t>
  </si>
  <si>
    <t>Chillicothe</t>
  </si>
  <si>
    <t>64601</t>
  </si>
  <si>
    <t>Grundy Center Municipal Utilities</t>
  </si>
  <si>
    <t>506 7th st</t>
  </si>
  <si>
    <t>Grundy Center</t>
  </si>
  <si>
    <t>IA</t>
  </si>
  <si>
    <t>50638</t>
  </si>
  <si>
    <t>Petranka Contracting, LLC</t>
  </si>
  <si>
    <t>FTI</t>
  </si>
  <si>
    <t>Montgomery</t>
  </si>
  <si>
    <t>AL</t>
  </si>
  <si>
    <t>36104</t>
  </si>
  <si>
    <t>Starkville Utilities</t>
  </si>
  <si>
    <t>605 Mississippi 182</t>
  </si>
  <si>
    <t>Starkville</t>
  </si>
  <si>
    <t>MS</t>
  </si>
  <si>
    <t>39759</t>
  </si>
  <si>
    <t>Steve's Electric</t>
  </si>
  <si>
    <t>116 Terrace Dr</t>
  </si>
  <si>
    <t>Haines City</t>
  </si>
  <si>
    <t>FL</t>
  </si>
  <si>
    <t>33844</t>
  </si>
  <si>
    <t>Sullivan Municipal Utilities (MO)</t>
  </si>
  <si>
    <t>305 N Park St</t>
  </si>
  <si>
    <t>Sullivan</t>
  </si>
  <si>
    <t>63080</t>
  </si>
  <si>
    <t>Anixter - Dublin, OH</t>
  </si>
  <si>
    <t>TWN</t>
  </si>
  <si>
    <t>Dublin,</t>
  </si>
  <si>
    <t>OH</t>
  </si>
  <si>
    <t>43017</t>
  </si>
  <si>
    <t>Parrish-Hare Electrical Supply</t>
  </si>
  <si>
    <t>TGC</t>
  </si>
  <si>
    <t>4921 Conflans Road</t>
  </si>
  <si>
    <t>Irving</t>
  </si>
  <si>
    <t>TX</t>
  </si>
  <si>
    <t>75061</t>
  </si>
  <si>
    <t>ERM</t>
  </si>
  <si>
    <t>LAX</t>
  </si>
  <si>
    <t>1920 Main Street   Suite 300</t>
  </si>
  <si>
    <t>Irvne</t>
  </si>
  <si>
    <t>CA</t>
  </si>
  <si>
    <t>92614</t>
  </si>
  <si>
    <t>CBIONE</t>
  </si>
  <si>
    <t>2490 Grand Ave</t>
  </si>
  <si>
    <t>Vista</t>
  </si>
  <si>
    <t>92081</t>
  </si>
  <si>
    <t>Pacific Gas and Electric</t>
  </si>
  <si>
    <t>3400 Crow Canyon Road</t>
  </si>
  <si>
    <t>San Ramon</t>
  </si>
  <si>
    <t>94583</t>
  </si>
  <si>
    <t>Louisville Electric System (MS)</t>
  </si>
  <si>
    <t>118 South Columbus Avenue</t>
  </si>
  <si>
    <t>Louisville</t>
  </si>
  <si>
    <t>39339</t>
  </si>
  <si>
    <t>Kosciusko Water &amp; Light</t>
  </si>
  <si>
    <t>124 W Washington</t>
  </si>
  <si>
    <t>Kosciusko</t>
  </si>
  <si>
    <t>39090</t>
  </si>
  <si>
    <t>Havana Electric</t>
  </si>
  <si>
    <t>711 N Main St.</t>
  </si>
  <si>
    <t>Havana</t>
  </si>
  <si>
    <t>32333</t>
  </si>
  <si>
    <t>CE Power</t>
  </si>
  <si>
    <t>1200 W. West Maple Road</t>
  </si>
  <si>
    <t>Walled Lake</t>
  </si>
  <si>
    <t>MI</t>
  </si>
  <si>
    <t>48390</t>
  </si>
  <si>
    <t>West Florida Electric</t>
  </si>
  <si>
    <t>5282 Peanut Rd.</t>
  </si>
  <si>
    <t>Graceville</t>
  </si>
  <si>
    <t>32440</t>
  </si>
  <si>
    <t>West Coast Switchgear</t>
  </si>
  <si>
    <t>Silicon Valley Power (City of Santa Clara)</t>
  </si>
  <si>
    <t>1705 Martin Ave</t>
  </si>
  <si>
    <t>Santa Clara</t>
  </si>
  <si>
    <t>95050</t>
  </si>
  <si>
    <t>40 Washington St</t>
  </si>
  <si>
    <t>Westborough</t>
  </si>
  <si>
    <t>MA</t>
  </si>
  <si>
    <t>01581</t>
  </si>
  <si>
    <t>Albany Water &amp; Light</t>
  </si>
  <si>
    <t>ATL</t>
  </si>
  <si>
    <t>1726 Lily Pond Road</t>
  </si>
  <si>
    <t>Albany</t>
  </si>
  <si>
    <t>GA</t>
  </si>
  <si>
    <t>31701</t>
  </si>
  <si>
    <t>Baxter Healthcare</t>
  </si>
  <si>
    <t>Cleveland</t>
  </si>
  <si>
    <t>City of Healdsburg</t>
  </si>
  <si>
    <t>550 Westside Rd.</t>
  </si>
  <si>
    <t>Healdsburg</t>
  </si>
  <si>
    <t>95448</t>
  </si>
  <si>
    <t>Beaches Energy Services</t>
  </si>
  <si>
    <t>1460 Shetter Avenue</t>
  </si>
  <si>
    <t>Jacksonville Beach</t>
  </si>
  <si>
    <t>32250</t>
  </si>
  <si>
    <t>Ukiah, City of</t>
  </si>
  <si>
    <t>1320 Airport Rd.</t>
  </si>
  <si>
    <t>Ukiah</t>
  </si>
  <si>
    <t>95482</t>
  </si>
  <si>
    <t>Silverado Contractors, Inc</t>
  </si>
  <si>
    <t>222 N Mountain Ave, Ste 109B</t>
  </si>
  <si>
    <t>Upland</t>
  </si>
  <si>
    <t>91786</t>
  </si>
  <si>
    <t>NRG</t>
  </si>
  <si>
    <t>696 W. 10th St</t>
  </si>
  <si>
    <t>Pittsburg</t>
  </si>
  <si>
    <t>94565</t>
  </si>
  <si>
    <t>Western Lake Superior Sanitary District (WLSSD)</t>
  </si>
  <si>
    <t>2626 Courtland St</t>
  </si>
  <si>
    <t>Duluth</t>
  </si>
  <si>
    <t>MN</t>
  </si>
  <si>
    <t>55806</t>
  </si>
  <si>
    <t>Village of West Milwaukee</t>
  </si>
  <si>
    <t>4755 W Beloit Rd</t>
  </si>
  <si>
    <t>West Milwaukee</t>
  </si>
  <si>
    <t>WI</t>
  </si>
  <si>
    <t>53214</t>
  </si>
  <si>
    <t>Global Power Supply</t>
  </si>
  <si>
    <t>Master Electric</t>
  </si>
  <si>
    <t>8555 123rd St W #2</t>
  </si>
  <si>
    <t>Savage</t>
  </si>
  <si>
    <t>55378</t>
  </si>
  <si>
    <t>Lassen Municipal Utility District</t>
  </si>
  <si>
    <t>1605 Chestnut St</t>
  </si>
  <si>
    <t>Susanville</t>
  </si>
  <si>
    <t>96130</t>
  </si>
  <si>
    <t>AMT Diversified Construction</t>
  </si>
  <si>
    <t>12157 Copunty Road 3570</t>
  </si>
  <si>
    <t>Ada</t>
  </si>
  <si>
    <t>OK</t>
  </si>
  <si>
    <t>74820</t>
  </si>
  <si>
    <t>John Burns Construction Co</t>
  </si>
  <si>
    <t>17601 SW Hwy</t>
  </si>
  <si>
    <t>Orland Park</t>
  </si>
  <si>
    <t>IL</t>
  </si>
  <si>
    <t>60467</t>
  </si>
  <si>
    <t>City of Le Sueur (MN)</t>
  </si>
  <si>
    <t>505 boright street</t>
  </si>
  <si>
    <t>Le Sueur</t>
  </si>
  <si>
    <t>56058</t>
  </si>
  <si>
    <t>Harris &amp; Associates</t>
  </si>
  <si>
    <t>1401 Willow Pass Road, Suite 5000</t>
  </si>
  <si>
    <t>Concord</t>
  </si>
  <si>
    <t>94250</t>
  </si>
  <si>
    <t>Koontz Electric Company</t>
  </si>
  <si>
    <t>1223 E Broadway St,</t>
  </si>
  <si>
    <t>Morrilton</t>
  </si>
  <si>
    <t>AR</t>
  </si>
  <si>
    <t>72110</t>
  </si>
  <si>
    <t>Polk-Burnett Electric Cooperative</t>
  </si>
  <si>
    <t>1001 State Route 35</t>
  </si>
  <si>
    <t>Centuria</t>
  </si>
  <si>
    <t>54824</t>
  </si>
  <si>
    <t>Belknap Electric, Inc.</t>
  </si>
  <si>
    <t>1513 Belknap St</t>
  </si>
  <si>
    <t>Superior</t>
  </si>
  <si>
    <t>54880</t>
  </si>
  <si>
    <t>Broadway Electric</t>
  </si>
  <si>
    <t>831 Oakton St.</t>
  </si>
  <si>
    <t>Elk Grove Village</t>
  </si>
  <si>
    <t>60007</t>
  </si>
  <si>
    <t>So Cal Ed</t>
  </si>
  <si>
    <t>Trayer Engineering</t>
  </si>
  <si>
    <t>898 Pennsylvania Ave</t>
  </si>
  <si>
    <t>San Francisco</t>
  </si>
  <si>
    <t>94107</t>
  </si>
  <si>
    <t>University of Iowa</t>
  </si>
  <si>
    <t>Iowa City</t>
  </si>
  <si>
    <t>52242</t>
  </si>
  <si>
    <t>RIS Electrical Contractors</t>
  </si>
  <si>
    <t>7330 Sycamore Canyon Blvd. Ste 1</t>
  </si>
  <si>
    <t>Riverside</t>
  </si>
  <si>
    <t>92508</t>
  </si>
  <si>
    <t>Ferma Corporation</t>
  </si>
  <si>
    <t>1265 Montecito Ave</t>
  </si>
  <si>
    <t>Mountain View</t>
  </si>
  <si>
    <t>94043</t>
  </si>
  <si>
    <t>Auburn BD Public Works (NE)</t>
  </si>
  <si>
    <t>1600 O Street</t>
  </si>
  <si>
    <t>Auburn</t>
  </si>
  <si>
    <t>NE</t>
  </si>
  <si>
    <t>68305</t>
  </si>
  <si>
    <t>Material Management Resources - scrap</t>
  </si>
  <si>
    <t>10800 Stockdale Hwy</t>
  </si>
  <si>
    <t>Bakersfield</t>
  </si>
  <si>
    <t>93311</t>
  </si>
  <si>
    <t>Colorado Springs Utilities</t>
  </si>
  <si>
    <t>PHO</t>
  </si>
  <si>
    <t>1521 Hancock Expressway</t>
  </si>
  <si>
    <t>Colorado Springs</t>
  </si>
  <si>
    <t>CO</t>
  </si>
  <si>
    <t>80907</t>
  </si>
  <si>
    <t>Northern Natural Gas</t>
  </si>
  <si>
    <t>1111 South 103rd St</t>
  </si>
  <si>
    <t>Omaha</t>
  </si>
  <si>
    <t>68124</t>
  </si>
  <si>
    <t>WEC Energy Group</t>
  </si>
  <si>
    <t>231 W. Michigan Street</t>
  </si>
  <si>
    <t>Milwaukee</t>
  </si>
  <si>
    <t>53290</t>
  </si>
  <si>
    <t>Longmont Colorado Utility</t>
  </si>
  <si>
    <t>1100 S Sherman</t>
  </si>
  <si>
    <t>Longmont</t>
  </si>
  <si>
    <t>80501</t>
  </si>
  <si>
    <t>New London Utilities</t>
  </si>
  <si>
    <t>400 E North Water St</t>
  </si>
  <si>
    <t>New London</t>
  </si>
  <si>
    <t>54961</t>
  </si>
  <si>
    <t>Black Hills Energy</t>
  </si>
  <si>
    <t>625 9th Street</t>
  </si>
  <si>
    <t>Rapid City</t>
  </si>
  <si>
    <t>SD</t>
  </si>
  <si>
    <t>57701</t>
  </si>
  <si>
    <t>Maddox Industrial Transformer (TGC)</t>
  </si>
  <si>
    <t>201B West Butler Road Ste 123</t>
  </si>
  <si>
    <t>Mauldin</t>
  </si>
  <si>
    <t>SC</t>
  </si>
  <si>
    <t>29662</t>
  </si>
  <si>
    <t>Heartland (formerly United) Rural Electric Membership Corp</t>
  </si>
  <si>
    <t>IN</t>
  </si>
  <si>
    <t>Sunbelt - PA</t>
  </si>
  <si>
    <t>54 South Sharpsville Avenue</t>
  </si>
  <si>
    <t>Sharon</t>
  </si>
  <si>
    <t>PA</t>
  </si>
  <si>
    <t>16146</t>
  </si>
  <si>
    <t>Wabash County Rural Electric Membership Corp (Heartland REMC)</t>
  </si>
  <si>
    <t>Belyea Company Inc (TGC)</t>
  </si>
  <si>
    <t>2200 Northwood Ave</t>
  </si>
  <si>
    <t>Easton</t>
  </si>
  <si>
    <t>18045</t>
  </si>
  <si>
    <t>White County REMC</t>
  </si>
  <si>
    <t>RMS Energy Co. LLC (MN)</t>
  </si>
  <si>
    <t>201 1st St #2210</t>
  </si>
  <si>
    <t>Randall</t>
  </si>
  <si>
    <t>56475</t>
  </si>
  <si>
    <t>Superior Essex</t>
  </si>
  <si>
    <t>Fort Wayne</t>
  </si>
  <si>
    <t>VEIT</t>
  </si>
  <si>
    <t>1400 Viet Place</t>
  </si>
  <si>
    <t>Rogers</t>
  </si>
  <si>
    <t>55374</t>
  </si>
  <si>
    <t>Wabash Valley Power Association (WVPA)</t>
  </si>
  <si>
    <t>722 North High School Road</t>
  </si>
  <si>
    <t>Indianapolis</t>
  </si>
  <si>
    <t>46214</t>
  </si>
  <si>
    <t>Roosevelt County Electric Coop Inc</t>
  </si>
  <si>
    <t>121 N Main Ave,</t>
  </si>
  <si>
    <t>Portales</t>
  </si>
  <si>
    <t>NM</t>
  </si>
  <si>
    <t>88130</t>
  </si>
  <si>
    <t>Ouachita Valley Electric</t>
  </si>
  <si>
    <t>700 Bradley Ferry Road</t>
  </si>
  <si>
    <t>Camden</t>
  </si>
  <si>
    <t>71701</t>
  </si>
  <si>
    <t>Perras Environmental Controls</t>
  </si>
  <si>
    <t>1909 State Highway 420</t>
  </si>
  <si>
    <t>Massena</t>
  </si>
  <si>
    <t>ny</t>
  </si>
  <si>
    <t>13662</t>
  </si>
  <si>
    <t>Rochelle Municipal Utilities [RMU] (IL)</t>
  </si>
  <si>
    <t>333 Lincoln Hey</t>
  </si>
  <si>
    <t>Rochelle</t>
  </si>
  <si>
    <t>61068</t>
  </si>
  <si>
    <t>Alpha Engineering</t>
  </si>
  <si>
    <t>indianapolis</t>
  </si>
  <si>
    <t>RENSSELAER MUNICIPAL UTILITY</t>
  </si>
  <si>
    <t>24 S. Van Rensselaer St P.O. Box 280</t>
  </si>
  <si>
    <t>Rensselaer</t>
  </si>
  <si>
    <t>47978</t>
  </si>
  <si>
    <t>South Whitley Municipal Electric Utility</t>
  </si>
  <si>
    <t>118 E. Front Street</t>
  </si>
  <si>
    <t>South Whitley</t>
  </si>
  <si>
    <t>46787</t>
  </si>
  <si>
    <t>Salisbury Municipal Utilities (MO)</t>
  </si>
  <si>
    <t>PO Box 168</t>
  </si>
  <si>
    <t>Salisbury</t>
  </si>
  <si>
    <t>65281</t>
  </si>
  <si>
    <t>Lebanon Municipal Electric Department (MO)</t>
  </si>
  <si>
    <t>401 S Jefferson St</t>
  </si>
  <si>
    <t>Lebanon</t>
  </si>
  <si>
    <t>65536</t>
  </si>
  <si>
    <t>Carlyle Municipal Utilities (IL)</t>
  </si>
  <si>
    <t>500 1st Street</t>
  </si>
  <si>
    <t>Carlyle</t>
  </si>
  <si>
    <t>62231</t>
  </si>
  <si>
    <t>Fayette Utilities (MO)</t>
  </si>
  <si>
    <t>117 S. Main St.</t>
  </si>
  <si>
    <t>Fayette</t>
  </si>
  <si>
    <t>65248</t>
  </si>
  <si>
    <t>City Of Luverne</t>
  </si>
  <si>
    <t>65 6th Street</t>
  </si>
  <si>
    <t>Luverne</t>
  </si>
  <si>
    <t>36049</t>
  </si>
  <si>
    <t>City Of Anderson</t>
  </si>
  <si>
    <t>MGM Transformer Co.</t>
  </si>
  <si>
    <t>5701 Smithway Street</t>
  </si>
  <si>
    <t>Commerce</t>
  </si>
  <si>
    <t>90040</t>
  </si>
  <si>
    <t>Kingsford Heights Municipal Utilities</t>
  </si>
  <si>
    <t>Sho-Me Power Elec Coop (MO)</t>
  </si>
  <si>
    <t>301 West Jackson</t>
  </si>
  <si>
    <t>Marshfield</t>
  </si>
  <si>
    <t>65706</t>
  </si>
  <si>
    <t>Adler Tank Rental</t>
  </si>
  <si>
    <t>46256</t>
  </si>
  <si>
    <t>Cabool Electric (MO)</t>
  </si>
  <si>
    <t>618 Main St.</t>
  </si>
  <si>
    <t>Cabool</t>
  </si>
  <si>
    <t>65689</t>
  </si>
  <si>
    <t>Farmer City Light and Power (IL)</t>
  </si>
  <si>
    <t>401-405E Allen St</t>
  </si>
  <si>
    <t>Farmer City</t>
  </si>
  <si>
    <t>61842-0049</t>
  </si>
  <si>
    <t>Riverton Electric Light (IL)</t>
  </si>
  <si>
    <t>1200 Riverton Rd.</t>
  </si>
  <si>
    <t>Riverton</t>
  </si>
  <si>
    <t>62561</t>
  </si>
  <si>
    <t>Ritchie Bros. Equipment Broker</t>
  </si>
  <si>
    <t>Elite Environmental</t>
  </si>
  <si>
    <t>2321 Commercial Drive</t>
  </si>
  <si>
    <t>Evansville</t>
  </si>
  <si>
    <t>47719</t>
  </si>
  <si>
    <t>Metrotek Electrical Services</t>
  </si>
  <si>
    <t>2200 Northwood Avenue</t>
  </si>
  <si>
    <t>OC Recycling</t>
  </si>
  <si>
    <t>1601 E. Edinger Ave.</t>
  </si>
  <si>
    <t>Santa Ana</t>
  </si>
  <si>
    <t>92705</t>
  </si>
  <si>
    <t>Western United Electric Supply - Albuquerque</t>
  </si>
  <si>
    <t>7311 La Morada PL NW</t>
  </si>
  <si>
    <t>Albuquerque</t>
  </si>
  <si>
    <t>87120</t>
  </si>
  <si>
    <t>United Pumping Service, Inc</t>
  </si>
  <si>
    <t>14000 Valley Blvd</t>
  </si>
  <si>
    <t>City of Industry</t>
  </si>
  <si>
    <t>91746</t>
  </si>
  <si>
    <t>New Braunfels Utilities</t>
  </si>
  <si>
    <t>355 FM 306</t>
  </si>
  <si>
    <t>New Braunfels</t>
  </si>
  <si>
    <t>78130</t>
  </si>
  <si>
    <t>City of Thomasville</t>
  </si>
  <si>
    <t>326 Fletcher ST</t>
  </si>
  <si>
    <t>Thomasville</t>
  </si>
  <si>
    <t>31799</t>
  </si>
  <si>
    <t>Clarksdale Public Utilities</t>
  </si>
  <si>
    <t>240 Hicks Street</t>
  </si>
  <si>
    <t>Clarksdale</t>
  </si>
  <si>
    <t>38614</t>
  </si>
  <si>
    <t>CertainTeed</t>
  </si>
  <si>
    <t>475 Walnut Gate Rd</t>
  </si>
  <si>
    <t>Russellville</t>
  </si>
  <si>
    <t>35654</t>
  </si>
  <si>
    <t>C&amp;S Maintenance &amp; Installation, Inc.</t>
  </si>
  <si>
    <t>2656 Queenstown Road</t>
  </si>
  <si>
    <t>Birmingham</t>
  </si>
  <si>
    <t>35210</t>
  </si>
  <si>
    <t>Boise Cascade</t>
  </si>
  <si>
    <t>19953 US-31 AL</t>
  </si>
  <si>
    <t>Thorsby</t>
  </si>
  <si>
    <t>35171</t>
  </si>
  <si>
    <t>Knightstown Electric Utility</t>
  </si>
  <si>
    <t>Bayou Mechanical</t>
  </si>
  <si>
    <t>120 John King Rd</t>
  </si>
  <si>
    <t>Crestview</t>
  </si>
  <si>
    <t>32539</t>
  </si>
  <si>
    <t>Alabama State University</t>
  </si>
  <si>
    <t>36101</t>
  </si>
  <si>
    <t>Utility Service Board (Jasper IN)</t>
  </si>
  <si>
    <t>Chemtron Corporation</t>
  </si>
  <si>
    <t>35850 Schneider Court</t>
  </si>
  <si>
    <t>Avon</t>
  </si>
  <si>
    <t>44011</t>
  </si>
  <si>
    <t>Steuben County Rural Electric Membership Corp</t>
  </si>
  <si>
    <t>1385 S Old US 27</t>
  </si>
  <si>
    <t>Angola</t>
  </si>
  <si>
    <t>46703-0359</t>
  </si>
  <si>
    <t>Marine Pollution Control</t>
  </si>
  <si>
    <t>8631 W. Jefferson Avenue</t>
  </si>
  <si>
    <t>Detroit</t>
  </si>
  <si>
    <t>48209</t>
  </si>
  <si>
    <t>SPICELAND MUNICIPAL LIGHT CO</t>
  </si>
  <si>
    <t>Village of Lodi Utilities</t>
  </si>
  <si>
    <t>Higginsville Municipal Utilities</t>
  </si>
  <si>
    <t>Higginsville</t>
  </si>
  <si>
    <t>Seattle City Light</t>
  </si>
  <si>
    <t>700 Fifth Ave Ste 3300</t>
  </si>
  <si>
    <t>Seattle</t>
  </si>
  <si>
    <t>WA</t>
  </si>
  <si>
    <t>34023</t>
  </si>
  <si>
    <t>Pine Bluffs Light and Water</t>
  </si>
  <si>
    <t>220 Main St</t>
  </si>
  <si>
    <t>Pine Bluffs</t>
  </si>
  <si>
    <t>WY</t>
  </si>
  <si>
    <t>82082</t>
  </si>
  <si>
    <t>Julesburg Municipal</t>
  </si>
  <si>
    <t>100 W 2nd St</t>
  </si>
  <si>
    <t>Julesburg</t>
  </si>
  <si>
    <t>80737</t>
  </si>
  <si>
    <t>Springfield Municipal</t>
  </si>
  <si>
    <t>748 Main St</t>
  </si>
  <si>
    <t>Springfield</t>
  </si>
  <si>
    <t>81073</t>
  </si>
  <si>
    <t>Shelby, OH Division of Electricity and Telecommunications</t>
  </si>
  <si>
    <t>73 W. State Street</t>
  </si>
  <si>
    <t>Shelby</t>
  </si>
  <si>
    <t>44875</t>
  </si>
  <si>
    <t>United Power(Longmont)</t>
  </si>
  <si>
    <t>9536 I25 Frontage rd</t>
  </si>
  <si>
    <t>Co</t>
  </si>
  <si>
    <t>80304</t>
  </si>
  <si>
    <t>Ferriera Power Group LLC</t>
  </si>
  <si>
    <t>11780 US Hwy 1 Suite 208N</t>
  </si>
  <si>
    <t>Palm Beach Gardens</t>
  </si>
  <si>
    <t>33408</t>
  </si>
  <si>
    <t>Marathon Transformer Repair</t>
  </si>
  <si>
    <t>4300 W River Park Dr.</t>
  </si>
  <si>
    <t>Oklahoma City</t>
  </si>
  <si>
    <t>73108</t>
  </si>
  <si>
    <t>CED Tuscaloosa</t>
  </si>
  <si>
    <t>3435 Eric Cir E</t>
  </si>
  <si>
    <t>Tuscaloosa</t>
  </si>
  <si>
    <t>35401</t>
  </si>
  <si>
    <t>International Line Builders</t>
  </si>
  <si>
    <t>2520 Rubidoux Blvd</t>
  </si>
  <si>
    <t>92509</t>
  </si>
  <si>
    <t>Guernsey Electric Department</t>
  </si>
  <si>
    <t>P.O. Box 667</t>
  </si>
  <si>
    <t>Guernsey</t>
  </si>
  <si>
    <t>82214</t>
  </si>
  <si>
    <t>Montpelier Municipal Utility</t>
  </si>
  <si>
    <t>1601 Magda Drive</t>
  </si>
  <si>
    <t>Montpelier</t>
  </si>
  <si>
    <t>43543</t>
  </si>
  <si>
    <t>Shelby Electric</t>
  </si>
  <si>
    <t>Piqua Power System</t>
  </si>
  <si>
    <t>201 Hemm Avenue</t>
  </si>
  <si>
    <t>Piqua</t>
  </si>
  <si>
    <t>45356</t>
  </si>
  <si>
    <t>Firelands Electric Coop Inc</t>
  </si>
  <si>
    <t>Forest City Municipal Utilities</t>
  </si>
  <si>
    <t>3340 Quail Ave</t>
  </si>
  <si>
    <t>Forest City</t>
  </si>
  <si>
    <t>50436</t>
  </si>
  <si>
    <t>Guernsey-Muskingum Electric Coop Inc  [GMEC]</t>
  </si>
  <si>
    <t>17 S. Liberty Street</t>
  </si>
  <si>
    <t>New Concord</t>
  </si>
  <si>
    <t>43762</t>
  </si>
  <si>
    <t>Lorain-Medina Rural Electric Coop Inc [LMRE]</t>
  </si>
  <si>
    <t>22898 West Road P.O. Box 158</t>
  </si>
  <si>
    <t>wellington</t>
  </si>
  <si>
    <t>44090</t>
  </si>
  <si>
    <t>Hurricane City Power Department</t>
  </si>
  <si>
    <t>526 W 600 North</t>
  </si>
  <si>
    <t>Hurricane</t>
  </si>
  <si>
    <t>UT</t>
  </si>
  <si>
    <t>84737</t>
  </si>
  <si>
    <t>Association of Illinois Cooperatives</t>
  </si>
  <si>
    <t>GENEVA ELECTRIC DEPT</t>
  </si>
  <si>
    <t>Edison Power Constructors, Inc.</t>
  </si>
  <si>
    <t>3450 N. Higley Rd. Suite 101</t>
  </si>
  <si>
    <t>Mesa</t>
  </si>
  <si>
    <t>AZ</t>
  </si>
  <si>
    <t>85215</t>
  </si>
  <si>
    <t>Center Municipal</t>
  </si>
  <si>
    <t>294 S Worth St</t>
  </si>
  <si>
    <t>Center</t>
  </si>
  <si>
    <t>81125</t>
  </si>
  <si>
    <t>City of Holyoke</t>
  </si>
  <si>
    <t>407 East Denver Street</t>
  </si>
  <si>
    <t>Holyoke</t>
  </si>
  <si>
    <t>80734</t>
  </si>
  <si>
    <t>OSI Environmental</t>
  </si>
  <si>
    <t>308 N. Fonshill Ave. Oklahoma City, OK 73117</t>
  </si>
  <si>
    <t>73117</t>
  </si>
  <si>
    <t>Wray Light &amp; Power</t>
  </si>
  <si>
    <t>150 Ash St</t>
  </si>
  <si>
    <t>Wray</t>
  </si>
  <si>
    <t>80758</t>
  </si>
  <si>
    <t>Garland Light &amp; Power Co</t>
  </si>
  <si>
    <t>755 Highway 14A</t>
  </si>
  <si>
    <t>Powell</t>
  </si>
  <si>
    <t>82435</t>
  </si>
  <si>
    <t>City of Columbia (MO)</t>
  </si>
  <si>
    <t>105 E Ash St.</t>
  </si>
  <si>
    <t>Columbia</t>
  </si>
  <si>
    <t>65205</t>
  </si>
  <si>
    <t>Southern Pine EMC</t>
  </si>
  <si>
    <t>2134 Highway 29 South</t>
  </si>
  <si>
    <t>Brewton</t>
  </si>
  <si>
    <t>36426</t>
  </si>
  <si>
    <t>City of Opp</t>
  </si>
  <si>
    <t>104 Adams Road</t>
  </si>
  <si>
    <t>Opp</t>
  </si>
  <si>
    <t>36467</t>
  </si>
  <si>
    <t>Hartselle Electric Board</t>
  </si>
  <si>
    <t>1010 Sparkman Street</t>
  </si>
  <si>
    <t>Hartselle</t>
  </si>
  <si>
    <t>35640</t>
  </si>
  <si>
    <t>Veolia ES Technical Solutions</t>
  </si>
  <si>
    <t>5736 W Jefferson St</t>
  </si>
  <si>
    <t>Phoenix</t>
  </si>
  <si>
    <t>85043</t>
  </si>
  <si>
    <t>Andalusia Utilities</t>
  </si>
  <si>
    <t>100 Waits Dr</t>
  </si>
  <si>
    <t>Andalusia</t>
  </si>
  <si>
    <t>36421</t>
  </si>
  <si>
    <t>Decatur Utilities</t>
  </si>
  <si>
    <t>Central Parkway</t>
  </si>
  <si>
    <t>Decatur</t>
  </si>
  <si>
    <t>35603</t>
  </si>
  <si>
    <t>BASF</t>
  </si>
  <si>
    <t>1379 Ciba Road</t>
  </si>
  <si>
    <t>McIntosh</t>
  </si>
  <si>
    <t>36553</t>
  </si>
  <si>
    <t>Bessemer Utilities</t>
  </si>
  <si>
    <t>1101 3rd Ave.</t>
  </si>
  <si>
    <t>Bessemer</t>
  </si>
  <si>
    <t>35021</t>
  </si>
  <si>
    <t>Joe Wheeler EMC</t>
  </si>
  <si>
    <t>25700 Highway 24</t>
  </si>
  <si>
    <t>Trinity</t>
  </si>
  <si>
    <t>35673</t>
  </si>
  <si>
    <t>Russell Brand, LLC (Fruit of the Loom)</t>
  </si>
  <si>
    <t>256-500-5038</t>
  </si>
  <si>
    <t>Alexander City</t>
  </si>
  <si>
    <t>City of Evergreen</t>
  </si>
  <si>
    <t>540 Rural Street</t>
  </si>
  <si>
    <t>Evergreen</t>
  </si>
  <si>
    <t>36401</t>
  </si>
  <si>
    <t>AM/NS Calvert</t>
  </si>
  <si>
    <t>1 Steel Dr</t>
  </si>
  <si>
    <t>Calvert</t>
  </si>
  <si>
    <t>36513</t>
  </si>
  <si>
    <t>Pioneer Electric Coop(KS)</t>
  </si>
  <si>
    <t>1850 w Oklahoma</t>
  </si>
  <si>
    <t>Ulysses</t>
  </si>
  <si>
    <t>KS</t>
  </si>
  <si>
    <t>Schneider Electric</t>
  </si>
  <si>
    <t>3433 North Sam Houston Pkwy West</t>
  </si>
  <si>
    <t>Houston</t>
  </si>
  <si>
    <t>77086</t>
  </si>
  <si>
    <t>TST Impreso</t>
  </si>
  <si>
    <t>652 southwestern Blvd</t>
  </si>
  <si>
    <t>Coppell</t>
  </si>
  <si>
    <t>75019</t>
  </si>
  <si>
    <t>Utilities Board of Tuskegee</t>
  </si>
  <si>
    <t>100 Dollar Street</t>
  </si>
  <si>
    <t>Tuskegee</t>
  </si>
  <si>
    <t>36083</t>
  </si>
  <si>
    <t>Holland Industrial Services</t>
  </si>
  <si>
    <t>49191 Rabun Rd</t>
  </si>
  <si>
    <t>Bay Minette</t>
  </si>
  <si>
    <t>36507</t>
  </si>
  <si>
    <t>Emerald Transformer</t>
  </si>
  <si>
    <t>2132 South 5th Avenue</t>
  </si>
  <si>
    <t>85003</t>
  </si>
  <si>
    <t>Beta Engineering</t>
  </si>
  <si>
    <t>4725 Highway 28 East</t>
  </si>
  <si>
    <t>Pineville</t>
  </si>
  <si>
    <t>LA</t>
  </si>
  <si>
    <t>71360</t>
  </si>
  <si>
    <t>Moore Haven Water &amp; Light Department</t>
  </si>
  <si>
    <t>301 2Nd St. Nw.</t>
  </si>
  <si>
    <t>Moore Haven</t>
  </si>
  <si>
    <t>33471</t>
  </si>
  <si>
    <t>Eaton Corp</t>
  </si>
  <si>
    <t>165 Grove street suite 10</t>
  </si>
  <si>
    <t>Franklin</t>
  </si>
  <si>
    <t>ma</t>
  </si>
  <si>
    <t>2038</t>
  </si>
  <si>
    <t>Peachtree Mechanical</t>
  </si>
  <si>
    <t>535 Marksmen Ct</t>
  </si>
  <si>
    <t>Fayetville</t>
  </si>
  <si>
    <t>30214</t>
  </si>
  <si>
    <t>Ava City Utilities (MO)</t>
  </si>
  <si>
    <t>Evans St</t>
  </si>
  <si>
    <t>Ava</t>
  </si>
  <si>
    <t>Lockwood Water and Light (MO)</t>
  </si>
  <si>
    <t>107 E. Eighth St.</t>
  </si>
  <si>
    <t>Lockwood</t>
  </si>
  <si>
    <t>65682</t>
  </si>
  <si>
    <t>City of Newburg (MO)</t>
  </si>
  <si>
    <t>191 Main St</t>
  </si>
  <si>
    <t>Newburg</t>
  </si>
  <si>
    <t>65550</t>
  </si>
  <si>
    <t>Gresco Utility Supply</t>
  </si>
  <si>
    <t>201 Factory Road</t>
  </si>
  <si>
    <t>Mt. Olive</t>
  </si>
  <si>
    <t>39119</t>
  </si>
  <si>
    <t>Lee County Electric Cooperative LCEC</t>
  </si>
  <si>
    <t>4980 Bayline Dr.</t>
  </si>
  <si>
    <t>North Fort Myers</t>
  </si>
  <si>
    <t>33917</t>
  </si>
  <si>
    <t>Bushnell Municipal Light and Power (IL)</t>
  </si>
  <si>
    <t>148 E Hail St.</t>
  </si>
  <si>
    <t>Bushnell</t>
  </si>
  <si>
    <t>61422</t>
  </si>
  <si>
    <t>Fort Pierce Utilities Authority</t>
  </si>
  <si>
    <t>1701 S 37th St</t>
  </si>
  <si>
    <t>Fort Pierce</t>
  </si>
  <si>
    <t>34947</t>
  </si>
  <si>
    <t>City of Quincy</t>
  </si>
  <si>
    <t>404 W. Jefferson St.423 W. Washington St. – Warehouse</t>
  </si>
  <si>
    <t>Quincy</t>
  </si>
  <si>
    <t>32351</t>
  </si>
  <si>
    <t>Jacobs Engineering</t>
  </si>
  <si>
    <t>1999 Bryan St</t>
  </si>
  <si>
    <t>Dallas</t>
  </si>
  <si>
    <t>75201</t>
  </si>
  <si>
    <t>Clay Electric Coop (IL) Inc  [CEC]</t>
  </si>
  <si>
    <t>7784 Old Hwy 50</t>
  </si>
  <si>
    <t>Flora</t>
  </si>
  <si>
    <t>62839</t>
  </si>
  <si>
    <t>CSX Railroad</t>
  </si>
  <si>
    <t>2000 Industrial Canal Road</t>
  </si>
  <si>
    <t>Mobile</t>
  </si>
  <si>
    <t>36601</t>
  </si>
  <si>
    <t>Clarke-Washington EMC(MH)</t>
  </si>
  <si>
    <t>9000 US-43</t>
  </si>
  <si>
    <t>Jackson</t>
  </si>
  <si>
    <t>36545</t>
  </si>
  <si>
    <t>City of Jackson (MO)</t>
  </si>
  <si>
    <t>101 Court Street</t>
  </si>
  <si>
    <t>63755</t>
  </si>
  <si>
    <t>Chatham Electric Utility (IL)</t>
  </si>
  <si>
    <t>116 E. Mulberry St.</t>
  </si>
  <si>
    <t>Chatham</t>
  </si>
  <si>
    <t>62629</t>
  </si>
  <si>
    <t>Jo-Carroll Energy Inc [JEC]</t>
  </si>
  <si>
    <t>793 U.S. 20</t>
  </si>
  <si>
    <t>Elizabeth</t>
  </si>
  <si>
    <t>61028</t>
  </si>
  <si>
    <t>Irby Dothan</t>
  </si>
  <si>
    <t>2341 N Range St</t>
  </si>
  <si>
    <t>Dothan</t>
  </si>
  <si>
    <t>36303</t>
  </si>
  <si>
    <t>South Florida Water Management District</t>
  </si>
  <si>
    <t>3301 Gun Club Rd</t>
  </si>
  <si>
    <t>West Palm Beach</t>
  </si>
  <si>
    <t>33406</t>
  </si>
  <si>
    <t>Sac Osage Electric Coop</t>
  </si>
  <si>
    <t>4815 E Highway 54</t>
  </si>
  <si>
    <t>El Dorado Springs</t>
  </si>
  <si>
    <t>64744</t>
  </si>
  <si>
    <t>Webster Electric Cooperative (MO)</t>
  </si>
  <si>
    <t>120 Vivian Drive, PO Box 87</t>
  </si>
  <si>
    <t>MCDONOUGH POWER COOP</t>
  </si>
  <si>
    <t>1210 W Jackson St</t>
  </si>
  <si>
    <t>Macomb</t>
  </si>
  <si>
    <t>61455</t>
  </si>
  <si>
    <t>Northeast Transformer (TGC)</t>
  </si>
  <si>
    <t>7209 RT 281</t>
  </si>
  <si>
    <t>Preble</t>
  </si>
  <si>
    <t>NY</t>
  </si>
  <si>
    <t>13141</t>
  </si>
  <si>
    <t>Triple E Power &amp; Light Company</t>
  </si>
  <si>
    <t>1500 Campus Drive</t>
  </si>
  <si>
    <t>Vestal</t>
  </si>
  <si>
    <t>13850</t>
  </si>
  <si>
    <t>American Building Company</t>
  </si>
  <si>
    <t>1150 State Docks Road</t>
  </si>
  <si>
    <t>Eufaula</t>
  </si>
  <si>
    <t>36027</t>
  </si>
  <si>
    <t>Southwest Public Service TX</t>
  </si>
  <si>
    <t>790 S Buchanan St</t>
  </si>
  <si>
    <t>Amarillo</t>
  </si>
  <si>
    <t>79101</t>
  </si>
  <si>
    <t>El Paso Electric Company</t>
  </si>
  <si>
    <t>PO Box 982</t>
  </si>
  <si>
    <t>El Paso</t>
  </si>
  <si>
    <t>79960</t>
  </si>
  <si>
    <t>City of Bridgeport (NE)</t>
  </si>
  <si>
    <t>809 Main Street</t>
  </si>
  <si>
    <t>Bridgeport</t>
  </si>
  <si>
    <t>69336</t>
  </si>
  <si>
    <t>Roosevelt Public Power District (NE)</t>
  </si>
  <si>
    <t>190038 Yale Avenue</t>
  </si>
  <si>
    <t>Scottsbluff</t>
  </si>
  <si>
    <t>69361</t>
  </si>
  <si>
    <t>Northwest Rural Public Power District (NE)</t>
  </si>
  <si>
    <t>5613 State Highway 87, Box 249</t>
  </si>
  <si>
    <t>Hay Springs</t>
  </si>
  <si>
    <t>69347</t>
  </si>
  <si>
    <t>Panhandle Rural Electric Membership Association (NE)</t>
  </si>
  <si>
    <t>251 Brayton Road, Box 677</t>
  </si>
  <si>
    <t>Alliance</t>
  </si>
  <si>
    <t>69301</t>
  </si>
  <si>
    <t>Polk County Rural Public Power District (NE)</t>
  </si>
  <si>
    <t>115 West 3rd Street</t>
  </si>
  <si>
    <t>Stromsburg</t>
  </si>
  <si>
    <t>68666-0465</t>
  </si>
  <si>
    <t>T &amp; M Associates</t>
  </si>
  <si>
    <t>4675 Lakehurst Court  Suite 250</t>
  </si>
  <si>
    <t>Columbus</t>
  </si>
  <si>
    <t>43016</t>
  </si>
  <si>
    <t>Graybar Pensacola</t>
  </si>
  <si>
    <t>197 Lurton St</t>
  </si>
  <si>
    <t>Pensacola</t>
  </si>
  <si>
    <t>32505</t>
  </si>
  <si>
    <t>Fortune Metal Recycling</t>
  </si>
  <si>
    <t>900 Leesville ave</t>
  </si>
  <si>
    <t>Rahway</t>
  </si>
  <si>
    <t>NJ</t>
  </si>
  <si>
    <t>7065</t>
  </si>
  <si>
    <t>City of Willow Springs (MO)</t>
  </si>
  <si>
    <t>900 W. Main, PO Box 190</t>
  </si>
  <si>
    <t>Willow Springs</t>
  </si>
  <si>
    <t>65793</t>
  </si>
  <si>
    <t>Sidney City Electric Department (NE)</t>
  </si>
  <si>
    <t>1034 Forrest St</t>
  </si>
  <si>
    <t>Sidney</t>
  </si>
  <si>
    <t>69162</t>
  </si>
  <si>
    <t>McCook Public Power District (NE)</t>
  </si>
  <si>
    <t>1174 McCook</t>
  </si>
  <si>
    <t>McCook</t>
  </si>
  <si>
    <t>69001</t>
  </si>
  <si>
    <t>Alliance Municipal Electric System (NE)</t>
  </si>
  <si>
    <t>1313 W. 1st Street /  P.O. Box D</t>
  </si>
  <si>
    <t>Howard Greeley Rural Public Power District (NE)</t>
  </si>
  <si>
    <t>422 Howard Avenue</t>
  </si>
  <si>
    <t>St. Paul</t>
  </si>
  <si>
    <t>68873-0105</t>
  </si>
  <si>
    <t>Loup Power District (NE)</t>
  </si>
  <si>
    <t>2404 15th Street</t>
  </si>
  <si>
    <t>68601</t>
  </si>
  <si>
    <t>Butler Public Power District (NE)</t>
  </si>
  <si>
    <t>1331 N 4th Street</t>
  </si>
  <si>
    <t>David City</t>
  </si>
  <si>
    <t>68632</t>
  </si>
  <si>
    <t>Southwest Public Power District (NE)</t>
  </si>
  <si>
    <t>221 Main Street</t>
  </si>
  <si>
    <t>Palisade</t>
  </si>
  <si>
    <t>69040</t>
  </si>
  <si>
    <t>The Midwest Electric Cooperative Corporation (NE)</t>
  </si>
  <si>
    <t>104 Washington Ave., Box 970</t>
  </si>
  <si>
    <t>Grant</t>
  </si>
  <si>
    <t>69140</t>
  </si>
  <si>
    <t>Chimney Rock Public Power District (NE)</t>
  </si>
  <si>
    <t>128 West 8th Street</t>
  </si>
  <si>
    <t>Bayard</t>
  </si>
  <si>
    <t>69334</t>
  </si>
  <si>
    <t>Holdrege Municipal Light (NE)</t>
  </si>
  <si>
    <t>502 East Main</t>
  </si>
  <si>
    <t>Holdrege</t>
  </si>
  <si>
    <t>68949-04</t>
  </si>
  <si>
    <t>Perennial Public Power District (NE)</t>
  </si>
  <si>
    <t>2122 SOUTH LINCOLN AVENUE</t>
  </si>
  <si>
    <t>York</t>
  </si>
  <si>
    <t>68467</t>
  </si>
  <si>
    <t>Goldsmith City Government</t>
  </si>
  <si>
    <t>PO Box 629</t>
  </si>
  <si>
    <t>Goldsmith</t>
  </si>
  <si>
    <t>79741</t>
  </si>
  <si>
    <t>Davco Electric</t>
  </si>
  <si>
    <t>4885 Park Ridge Blvd</t>
  </si>
  <si>
    <t>Boynton Beach</t>
  </si>
  <si>
    <t>33426</t>
  </si>
  <si>
    <t>Cedar-Knox Public Power District (NE)</t>
  </si>
  <si>
    <t>Harington</t>
  </si>
  <si>
    <t>68739</t>
  </si>
  <si>
    <t>James D Morrissey, Inc</t>
  </si>
  <si>
    <t>9119 Frankford Ave.</t>
  </si>
  <si>
    <t>Philadelphia</t>
  </si>
  <si>
    <t>pa</t>
  </si>
  <si>
    <t>19114</t>
  </si>
  <si>
    <t>Village of Morrill (NE)</t>
  </si>
  <si>
    <t>118 Center Ave</t>
  </si>
  <si>
    <t>Morrill</t>
  </si>
  <si>
    <t>69358</t>
  </si>
  <si>
    <t>Norris Public Power District</t>
  </si>
  <si>
    <t>606 Irving St, Beatrice, NE 68310</t>
  </si>
  <si>
    <t>Beatrice</t>
  </si>
  <si>
    <t>68310</t>
  </si>
  <si>
    <t>City of Lyons (NE)</t>
  </si>
  <si>
    <t>335 Main Street</t>
  </si>
  <si>
    <t>Lyons</t>
  </si>
  <si>
    <t>68038</t>
  </si>
  <si>
    <t>Village of Lodgepole (NE)</t>
  </si>
  <si>
    <t>814 Sheldon Street</t>
  </si>
  <si>
    <t>Lodgepole</t>
  </si>
  <si>
    <t>69149</t>
  </si>
  <si>
    <t>Dashiell</t>
  </si>
  <si>
    <t>12301 Kurland Dr, Fourth Floor</t>
  </si>
  <si>
    <t>77034</t>
  </si>
  <si>
    <t>Burt County PPD</t>
  </si>
  <si>
    <t>613 N 13th st</t>
  </si>
  <si>
    <t>Tekamah</t>
  </si>
  <si>
    <t>68061</t>
  </si>
  <si>
    <t>South Central Public Power District</t>
  </si>
  <si>
    <t>275 Main St</t>
  </si>
  <si>
    <t>Nelson</t>
  </si>
  <si>
    <t>68961</t>
  </si>
  <si>
    <t>The Reynolds Company</t>
  </si>
  <si>
    <t>1400 Scott Ave</t>
  </si>
  <si>
    <t>Wichita Falls</t>
  </si>
  <si>
    <t>76301</t>
  </si>
  <si>
    <t>Southwest Texas Electric Coop</t>
  </si>
  <si>
    <t>101 E Gillis Ave</t>
  </si>
  <si>
    <t>Eldorado</t>
  </si>
  <si>
    <t>76936</t>
  </si>
  <si>
    <t>Taylor Electric Coop</t>
  </si>
  <si>
    <t>226 Co Rd 287</t>
  </si>
  <si>
    <t>Merkel</t>
  </si>
  <si>
    <t>79536</t>
  </si>
  <si>
    <t>Mayer Electric Supply Sylacauga</t>
  </si>
  <si>
    <t>106 Gene E Stewart Blvd</t>
  </si>
  <si>
    <t>Sylacauga</t>
  </si>
  <si>
    <t>35151</t>
  </si>
  <si>
    <t>Brigham City Public Power</t>
  </si>
  <si>
    <t>1455 East Power Plant Road</t>
  </si>
  <si>
    <t>Brigham City</t>
  </si>
  <si>
    <t>84302</t>
  </si>
  <si>
    <t>City of Indianola (NE)</t>
  </si>
  <si>
    <t>210 North 4th Street</t>
  </si>
  <si>
    <t>Indianola</t>
  </si>
  <si>
    <t>69034</t>
  </si>
  <si>
    <t>Village of Hubble (NE)</t>
  </si>
  <si>
    <t>307 Indiana St</t>
  </si>
  <si>
    <t>Hubble</t>
  </si>
  <si>
    <t>68375</t>
  </si>
  <si>
    <t>Village of Holbrook (NE)</t>
  </si>
  <si>
    <t>418 Center Avenue</t>
  </si>
  <si>
    <t>Holbrook</t>
  </si>
  <si>
    <t>68948</t>
  </si>
  <si>
    <t>High Side Electric</t>
  </si>
  <si>
    <t>12821 186th Ave.</t>
  </si>
  <si>
    <t>Buckeye</t>
  </si>
  <si>
    <t>85326</t>
  </si>
  <si>
    <t>Village of Hildreth (NE)</t>
  </si>
  <si>
    <t>248 Commercial Avenue</t>
  </si>
  <si>
    <t>Hildreth</t>
  </si>
  <si>
    <t>68947</t>
  </si>
  <si>
    <t>Hickman Utilities (NE)</t>
  </si>
  <si>
    <t>115 Locust Street</t>
  </si>
  <si>
    <t>Hickman</t>
  </si>
  <si>
    <t>68372</t>
  </si>
  <si>
    <t>Village of Hampton (NE)</t>
  </si>
  <si>
    <t>126 North 3rd Street</t>
  </si>
  <si>
    <t>Hampton</t>
  </si>
  <si>
    <t>68843</t>
  </si>
  <si>
    <t>City of Greenwood (NE)</t>
  </si>
  <si>
    <t>619 Main Street</t>
  </si>
  <si>
    <t>Greenwood</t>
  </si>
  <si>
    <t>68366</t>
  </si>
  <si>
    <t>City of Grant (NE)</t>
  </si>
  <si>
    <t>342 Central Avenue</t>
  </si>
  <si>
    <t>Salem City Utilities</t>
  </si>
  <si>
    <t>30 W 100 S</t>
  </si>
  <si>
    <t>Salem</t>
  </si>
  <si>
    <t>84653</t>
  </si>
  <si>
    <t>Village of Giltner (NE)</t>
  </si>
  <si>
    <t>32 Dow St</t>
  </si>
  <si>
    <t>Giltner</t>
  </si>
  <si>
    <t>68841</t>
  </si>
  <si>
    <t>City of Las Animas</t>
  </si>
  <si>
    <t>733 Moore ave</t>
  </si>
  <si>
    <t>Las Animas</t>
  </si>
  <si>
    <t>81054</t>
  </si>
  <si>
    <t>Powell Industries</t>
  </si>
  <si>
    <t>North Canton</t>
  </si>
  <si>
    <t>Carey Light and Power Department</t>
  </si>
  <si>
    <t>1127 N. Vance Street</t>
  </si>
  <si>
    <t>Carey</t>
  </si>
  <si>
    <t>43316</t>
  </si>
  <si>
    <t>Arcadia Electric Department</t>
  </si>
  <si>
    <t>104 Gibson Street</t>
  </si>
  <si>
    <t>Arcadia</t>
  </si>
  <si>
    <t>44804</t>
  </si>
  <si>
    <t>Delta Muni Light &amp; Power</t>
  </si>
  <si>
    <t>640 W 4th St</t>
  </si>
  <si>
    <t>Delta</t>
  </si>
  <si>
    <t>81416</t>
  </si>
  <si>
    <t>Seagull Environmental Technologies Inc</t>
  </si>
  <si>
    <t>121 Ne 72Nd St</t>
  </si>
  <si>
    <t>Gladstone</t>
  </si>
  <si>
    <t>64118</t>
  </si>
  <si>
    <t>Roth Environmental Consultants</t>
  </si>
  <si>
    <t>941 W 141St Ter, Suite B</t>
  </si>
  <si>
    <t>Kansas City</t>
  </si>
  <si>
    <t>64145</t>
  </si>
  <si>
    <t>Riverfront Environmental</t>
  </si>
  <si>
    <t>1139 Olive St, Suite 300</t>
  </si>
  <si>
    <t>St Louis</t>
  </si>
  <si>
    <t>63101</t>
  </si>
  <si>
    <t>Npn Environmental Engineers Inc</t>
  </si>
  <si>
    <t>1631 Headland Dr</t>
  </si>
  <si>
    <t>Fenton</t>
  </si>
  <si>
    <t>63026</t>
  </si>
  <si>
    <t>New Horizons Enterprises LLC</t>
  </si>
  <si>
    <t>2316 Troost Ave</t>
  </si>
  <si>
    <t>64108</t>
  </si>
  <si>
    <t>Lion Csg LLC</t>
  </si>
  <si>
    <t>915 Olive St Apt 902</t>
  </si>
  <si>
    <t>Landmarc Environmental Systems LLC</t>
  </si>
  <si>
    <t>424 Nw Business Park Ln</t>
  </si>
  <si>
    <t>64150</t>
  </si>
  <si>
    <t>Lafser &amp; Associates Inc</t>
  </si>
  <si>
    <t>1215 Fern Ridge Pkwy, Suite 110</t>
  </si>
  <si>
    <t>63141</t>
  </si>
  <si>
    <t>Jackson Hunt LLC</t>
  </si>
  <si>
    <t>9909 Manchester Rd</t>
  </si>
  <si>
    <t>63122</t>
  </si>
  <si>
    <t>Industrial And Petroleum Environmental Services Inc</t>
  </si>
  <si>
    <t>16220 N Route U</t>
  </si>
  <si>
    <t>Centralia</t>
  </si>
  <si>
    <t>65240</t>
  </si>
  <si>
    <t>Heritage Environmental Services LLC (MO)</t>
  </si>
  <si>
    <t>8525 Ne 38Th St</t>
  </si>
  <si>
    <t>64161</t>
  </si>
  <si>
    <t>Henderson Holdings LLC</t>
  </si>
  <si>
    <t>3634 Troost Ave</t>
  </si>
  <si>
    <t>64109</t>
  </si>
  <si>
    <t>Genesis Environmental Solutions Inc</t>
  </si>
  <si>
    <t>8422 Sw State Route 7</t>
  </si>
  <si>
    <t>Blue Springs</t>
  </si>
  <si>
    <t>64014</t>
  </si>
  <si>
    <t>Sitex Environmental Inc</t>
  </si>
  <si>
    <t>1525 S Broadway</t>
  </si>
  <si>
    <t>63104</t>
  </si>
  <si>
    <t>Trc Environmental Corporation</t>
  </si>
  <si>
    <t>415 S 18Th St, Suite 105</t>
  </si>
  <si>
    <t>63103</t>
  </si>
  <si>
    <t>Lynches River Electric</t>
  </si>
  <si>
    <t>707 South Arant St</t>
  </si>
  <si>
    <t>Pageland</t>
  </si>
  <si>
    <t>29728</t>
  </si>
  <si>
    <t>Pancoast &amp; Clifford</t>
  </si>
  <si>
    <t>206 Carter Dr</t>
  </si>
  <si>
    <t>West Chester</t>
  </si>
  <si>
    <t>19382</t>
  </si>
  <si>
    <t>Batesville Casket Company</t>
  </si>
  <si>
    <t>687 Warrenton Lane</t>
  </si>
  <si>
    <t>Vicksburg</t>
  </si>
  <si>
    <t>Ms</t>
  </si>
  <si>
    <t>39180</t>
  </si>
  <si>
    <t>Seguin Electric System</t>
  </si>
  <si>
    <t>3027 N. Austin</t>
  </si>
  <si>
    <t>Seguin</t>
  </si>
  <si>
    <t>78156</t>
  </si>
  <si>
    <t>Schulenburg Utilities Dept</t>
  </si>
  <si>
    <t>535 N Main St</t>
  </si>
  <si>
    <t>Schulenburg</t>
  </si>
  <si>
    <t>78956</t>
  </si>
  <si>
    <t>Orangeburg Public Utilities</t>
  </si>
  <si>
    <t>350 Sprinkle Ave</t>
  </si>
  <si>
    <t>Orangeburg</t>
  </si>
  <si>
    <t>29115</t>
  </si>
  <si>
    <t>US Steel - Midwest Plant</t>
  </si>
  <si>
    <t>US Highway 12</t>
  </si>
  <si>
    <t>Portage</t>
  </si>
  <si>
    <t>46368</t>
  </si>
  <si>
    <t>Sanger Electric System</t>
  </si>
  <si>
    <t>202 Railroad Ave</t>
  </si>
  <si>
    <t>Sanger</t>
  </si>
  <si>
    <t>Greenwood Public Works</t>
  </si>
  <si>
    <t>810 Hwy 225 South</t>
  </si>
  <si>
    <t>29646</t>
  </si>
  <si>
    <t>Performance Contracting Inc, Solar Energy-FL</t>
  </si>
  <si>
    <t>1301 S. Capital of Texas Hwy,SteB-315</t>
  </si>
  <si>
    <t>Austin</t>
  </si>
  <si>
    <t>78746</t>
  </si>
  <si>
    <t>United States Navy-Gulfport, MS</t>
  </si>
  <si>
    <t>4201 Mckinney Avenue</t>
  </si>
  <si>
    <t>Gulfport</t>
  </si>
  <si>
    <t>39051</t>
  </si>
  <si>
    <t>City of Anaheim Public Utilities</t>
  </si>
  <si>
    <t>201 S. Anaheim Blvd Suite 601</t>
  </si>
  <si>
    <t>Anaheim</t>
  </si>
  <si>
    <t>92805</t>
  </si>
  <si>
    <t>City of Osceola, AR</t>
  </si>
  <si>
    <t>303 West Hale</t>
  </si>
  <si>
    <t>Osceola</t>
  </si>
  <si>
    <t>72370</t>
  </si>
  <si>
    <t>Clean Harbors, Highland CA Office</t>
  </si>
  <si>
    <t>7979 Palm Ave.</t>
  </si>
  <si>
    <t>Highland</t>
  </si>
  <si>
    <t>92346</t>
  </si>
  <si>
    <t>City of Lafayette, AL</t>
  </si>
  <si>
    <t>291 4th Place SE</t>
  </si>
  <si>
    <t>Lafayette</t>
  </si>
  <si>
    <t>36862</t>
  </si>
  <si>
    <t>Toland Mizell Molnar, LLC</t>
  </si>
  <si>
    <t>590 Means Street NW Suite 200</t>
  </si>
  <si>
    <t>Atlanta</t>
  </si>
  <si>
    <t>30318</t>
  </si>
  <si>
    <t>Arkansas Electric Cooperative</t>
  </si>
  <si>
    <t>2298 US-64</t>
  </si>
  <si>
    <t>Wynne</t>
  </si>
  <si>
    <t>72396</t>
  </si>
  <si>
    <t>City of Hartford</t>
  </si>
  <si>
    <t>203 W. Main</t>
  </si>
  <si>
    <t>Hartford</t>
  </si>
  <si>
    <t>36334</t>
  </si>
  <si>
    <t>Woodruff EC/Jimmy Cook</t>
  </si>
  <si>
    <t>3201 Highway 1 North</t>
  </si>
  <si>
    <t>Forrest City</t>
  </si>
  <si>
    <t>72335</t>
  </si>
  <si>
    <t>White River Valley EC</t>
  </si>
  <si>
    <t>2449 State Highway 76 E</t>
  </si>
  <si>
    <t>Branson</t>
  </si>
  <si>
    <t>65615</t>
  </si>
  <si>
    <t>B &amp; W Custom Truck Beds</t>
  </si>
  <si>
    <t>1216 Hawaii Rd</t>
  </si>
  <si>
    <t>Humboldt</t>
  </si>
  <si>
    <t>66748</t>
  </si>
  <si>
    <t>G&amp;W Electric, Inc.</t>
  </si>
  <si>
    <t>2717 Lee Road 166</t>
  </si>
  <si>
    <t>Opeliika</t>
  </si>
  <si>
    <t>36801</t>
  </si>
  <si>
    <t>Electric South MH</t>
  </si>
  <si>
    <t>17175 John Glenn Ave</t>
  </si>
  <si>
    <t>Robertsdale</t>
  </si>
  <si>
    <t>36567</t>
  </si>
  <si>
    <t>B &amp; H International, LLC</t>
  </si>
  <si>
    <t>4600 Ashe Rd   Suite 311</t>
  </si>
  <si>
    <t>93313</t>
  </si>
  <si>
    <t>Double E Engineering</t>
  </si>
  <si>
    <t>5700 NW Central Dr. Ste 240</t>
  </si>
  <si>
    <t>77092</t>
  </si>
  <si>
    <t>Glendale Light &amp; Power/Glendale CA, City of in TGC Traverse</t>
  </si>
  <si>
    <t>141 N. Glendale Ave</t>
  </si>
  <si>
    <t>Glendale</t>
  </si>
  <si>
    <t>91206</t>
  </si>
  <si>
    <t>Sachs Electric Company</t>
  </si>
  <si>
    <t>1572 Larkin Williams Rd</t>
  </si>
  <si>
    <t>LADWP</t>
  </si>
  <si>
    <t>City of Cairo</t>
  </si>
  <si>
    <t>Cairo</t>
  </si>
  <si>
    <t>Riverside Public Utilities</t>
  </si>
  <si>
    <t>2911 Adams</t>
  </si>
  <si>
    <t>92504</t>
  </si>
  <si>
    <t>Wesco Distribution, Inc.</t>
  </si>
  <si>
    <t>6519 Fairfield Drive</t>
  </si>
  <si>
    <t>Northwood</t>
  </si>
  <si>
    <t>43619</t>
  </si>
  <si>
    <t>Clean Harbors Environmental Services</t>
  </si>
  <si>
    <t>42 Longwater Drive</t>
  </si>
  <si>
    <t>Norwell</t>
  </si>
  <si>
    <t>2061</t>
  </si>
  <si>
    <t>Imperial Irrigation District</t>
  </si>
  <si>
    <t>333 E. Barioni Blvd</t>
  </si>
  <si>
    <t>Imperial</t>
  </si>
  <si>
    <t>92251</t>
  </si>
  <si>
    <t>Corbins Electric</t>
  </si>
  <si>
    <t>4829 S 38th St</t>
  </si>
  <si>
    <t>85040</t>
  </si>
  <si>
    <t>City of Piggott, AR</t>
  </si>
  <si>
    <t>194 W. Court St.</t>
  </si>
  <si>
    <t>PIGGOTT</t>
  </si>
  <si>
    <t>72454</t>
  </si>
  <si>
    <t>Southern Pine Electric Power Association (EPA)</t>
  </si>
  <si>
    <t>Southern Pine Electric, 834 MS-28</t>
  </si>
  <si>
    <t>Taylorsville</t>
  </si>
  <si>
    <t>39168</t>
  </si>
  <si>
    <t>Universtiy of Southern Mississippi - USM</t>
  </si>
  <si>
    <t>3105 West 4th Street</t>
  </si>
  <si>
    <t>Hattiesburg</t>
  </si>
  <si>
    <t>39406</t>
  </si>
  <si>
    <t>City of Redding Electric Department</t>
  </si>
  <si>
    <t>20055 Viking Way Bldg. # 2</t>
  </si>
  <si>
    <t>Redding</t>
  </si>
  <si>
    <t>96049-6071</t>
  </si>
  <si>
    <t>Fischbach &amp; Moore Electric</t>
  </si>
  <si>
    <t>60 Tenean St</t>
  </si>
  <si>
    <t>Boston</t>
  </si>
  <si>
    <t>2122</t>
  </si>
  <si>
    <t>AREA - Alabama Rural Electric Association</t>
  </si>
  <si>
    <t>340 Technacenter Dr</t>
  </si>
  <si>
    <t>36117</t>
  </si>
  <si>
    <t>City of Lodi Electric Utility</t>
  </si>
  <si>
    <t>1331 S. Ham Lane</t>
  </si>
  <si>
    <t>Lodi</t>
  </si>
  <si>
    <t>95242</t>
  </si>
  <si>
    <t>Capital X-Ray</t>
  </si>
  <si>
    <t>2189 Notasulga Rd</t>
  </si>
  <si>
    <t>Tallassee</t>
  </si>
  <si>
    <t>36078</t>
  </si>
  <si>
    <t>Northport Electrical Supply</t>
  </si>
  <si>
    <t>3111 McFarland Blvd</t>
  </si>
  <si>
    <t>Northport</t>
  </si>
  <si>
    <t>35476</t>
  </si>
  <si>
    <t>Crown Eram</t>
  </si>
  <si>
    <t>1201 E. Summit Street</t>
  </si>
  <si>
    <t>Crown Point</t>
  </si>
  <si>
    <t>46307</t>
  </si>
  <si>
    <t>Electrico</t>
  </si>
  <si>
    <t>1300 Racquet Rd</t>
  </si>
  <si>
    <t>Baltimore</t>
  </si>
  <si>
    <t>md</t>
  </si>
  <si>
    <t>21209</t>
  </si>
  <si>
    <t>Palo Alto Utilities, City of</t>
  </si>
  <si>
    <t>3201 E. Bayshore Rd</t>
  </si>
  <si>
    <t>Palo Alto</t>
  </si>
  <si>
    <t>94303</t>
  </si>
  <si>
    <t>Federal Pacific</t>
  </si>
  <si>
    <t>701 Coronet Dr</t>
  </si>
  <si>
    <t>Bristol</t>
  </si>
  <si>
    <t>VA</t>
  </si>
  <si>
    <t>24201</t>
  </si>
  <si>
    <t>Utilities Commission, City of New Smyrna Beach</t>
  </si>
  <si>
    <t>1150 Field St</t>
  </si>
  <si>
    <t>New Smyrna Beach</t>
  </si>
  <si>
    <t>32170</t>
  </si>
  <si>
    <t>Southern California Edison</t>
  </si>
  <si>
    <t>14660 Chestnut St</t>
  </si>
  <si>
    <t>Westminster</t>
  </si>
  <si>
    <t>92683</t>
  </si>
  <si>
    <t>HELT Group, LLC</t>
  </si>
  <si>
    <t>1700 Stinton Rd.</t>
  </si>
  <si>
    <t>Santa Maria</t>
  </si>
  <si>
    <t>93458</t>
  </si>
  <si>
    <t>City of Colton</t>
  </si>
  <si>
    <t>150 S. 10th St.</t>
  </si>
  <si>
    <t>Colton</t>
  </si>
  <si>
    <t>92324</t>
  </si>
  <si>
    <t>Reinhausen Manufacturing, Inc.</t>
  </si>
  <si>
    <t>2549 North 9th Avenue</t>
  </si>
  <si>
    <t>TN</t>
  </si>
  <si>
    <t>38343</t>
  </si>
  <si>
    <t>Roseville Electric Department</t>
  </si>
  <si>
    <t>Electricraft</t>
  </si>
  <si>
    <t>200 Suburban Road Suite A</t>
  </si>
  <si>
    <t>San Luis Obispo</t>
  </si>
  <si>
    <t>93401</t>
  </si>
  <si>
    <t>M &amp; A Electric Power Cooperative (MO)</t>
  </si>
  <si>
    <t>4169 Highway PP</t>
  </si>
  <si>
    <t>Poplar Bluff</t>
  </si>
  <si>
    <t>63902-0670</t>
  </si>
  <si>
    <t>Irby - Odessa</t>
  </si>
  <si>
    <t>300 S Faundree Rd</t>
  </si>
  <si>
    <t>Odessa</t>
  </si>
  <si>
    <t>79765</t>
  </si>
  <si>
    <t>Sacramento Municipal Utility District</t>
  </si>
  <si>
    <t>Tri-M Electrical Consrtuction</t>
  </si>
  <si>
    <t>206 Gale Lane</t>
  </si>
  <si>
    <t>Kennett Square</t>
  </si>
  <si>
    <t>Pa</t>
  </si>
  <si>
    <t>19348</t>
  </si>
  <si>
    <t>San Diego Gas and Electric</t>
  </si>
  <si>
    <t>8315 Century Park Court</t>
  </si>
  <si>
    <t>San Diego</t>
  </si>
  <si>
    <t>92123</t>
  </si>
  <si>
    <t>Surplus Electrical Trading</t>
  </si>
  <si>
    <t>315 S. Anise ST.</t>
  </si>
  <si>
    <t>29808</t>
  </si>
  <si>
    <t>Richland Municipal Utilities (MO)</t>
  </si>
  <si>
    <t>203 E National Street, PO Box 798</t>
  </si>
  <si>
    <t>Richland</t>
  </si>
  <si>
    <t>65556</t>
  </si>
  <si>
    <t>Eastern Group</t>
  </si>
  <si>
    <t>330 Riviera Road</t>
  </si>
  <si>
    <t>Mount Nebo</t>
  </si>
  <si>
    <t>WV</t>
  </si>
  <si>
    <t>26679</t>
  </si>
  <si>
    <t>Marathon Electric Co</t>
  </si>
  <si>
    <t>P.O. Box 271565</t>
  </si>
  <si>
    <t>73137</t>
  </si>
  <si>
    <t>Petrochoice Holdings</t>
  </si>
  <si>
    <t>1009 Schieffelin Rd.</t>
  </si>
  <si>
    <t>Apex</t>
  </si>
  <si>
    <t>NC</t>
  </si>
  <si>
    <t>27502</t>
  </si>
  <si>
    <t>Okefenoke EMC</t>
  </si>
  <si>
    <t>147 E. Cleveland St.</t>
  </si>
  <si>
    <t>Nahunta</t>
  </si>
  <si>
    <t>MARIETTA POWER</t>
  </si>
  <si>
    <t>675 NORTH MARIETTA PARKWAY</t>
  </si>
  <si>
    <t>MARIETTA</t>
  </si>
  <si>
    <t>30060</t>
  </si>
  <si>
    <t>Utility Transformer Brokers (UTB MAIN)</t>
  </si>
  <si>
    <t>PO Box 724</t>
  </si>
  <si>
    <t>Hickman Electric- KY</t>
  </si>
  <si>
    <t>1104 Moscow Ave</t>
  </si>
  <si>
    <t>KY</t>
  </si>
  <si>
    <t>42050</t>
  </si>
  <si>
    <t>City of Norcross</t>
  </si>
  <si>
    <t>345 Lively Avenue</t>
  </si>
  <si>
    <t>Norcross</t>
  </si>
  <si>
    <t>30071</t>
  </si>
  <si>
    <t>Wayne-White Counties Electric Coop [WWCEC]</t>
  </si>
  <si>
    <t>1501 W Main St</t>
  </si>
  <si>
    <t>Fairfield</t>
  </si>
  <si>
    <t>62837</t>
  </si>
  <si>
    <t>Tombigbee EMC, AL</t>
  </si>
  <si>
    <t>3196 Co. Hwy 55</t>
  </si>
  <si>
    <t>Hamilton</t>
  </si>
  <si>
    <t>35570</t>
  </si>
  <si>
    <t>Manitou light dept OK</t>
  </si>
  <si>
    <t>115 E 3rd St</t>
  </si>
  <si>
    <t>Manitou</t>
  </si>
  <si>
    <t>73555</t>
  </si>
  <si>
    <t>Mannford Muni OK</t>
  </si>
  <si>
    <t>300 coonrod dr</t>
  </si>
  <si>
    <t>Mannford</t>
  </si>
  <si>
    <t>74044</t>
  </si>
  <si>
    <t>FORT VALLEY UTILITIES</t>
  </si>
  <si>
    <t>500 ANTHOINE STREET</t>
  </si>
  <si>
    <t>FORT VALLEY</t>
  </si>
  <si>
    <t>31030</t>
  </si>
  <si>
    <t>Canoochee EMC</t>
  </si>
  <si>
    <t>342 E. Brazell St</t>
  </si>
  <si>
    <t>Reidsville</t>
  </si>
  <si>
    <t>Cobb EMC</t>
  </si>
  <si>
    <t>1000 EMC Parkway</t>
  </si>
  <si>
    <t>Marietta</t>
  </si>
  <si>
    <t>30061</t>
  </si>
  <si>
    <t>City of Sylvester</t>
  </si>
  <si>
    <t>105 E. King Street</t>
  </si>
  <si>
    <t>Sylvester</t>
  </si>
  <si>
    <t>31791</t>
  </si>
  <si>
    <t>Olustee Utility</t>
  </si>
  <si>
    <t>Olustee</t>
  </si>
  <si>
    <t>City of East Point, GA</t>
  </si>
  <si>
    <t>1506 Hwy 29</t>
  </si>
  <si>
    <t>West Point</t>
  </si>
  <si>
    <t>Pawhuska Light Dept</t>
  </si>
  <si>
    <t>Pawhuska</t>
  </si>
  <si>
    <t>Pawnee Municipal OK</t>
  </si>
  <si>
    <t>Pawnee</t>
  </si>
  <si>
    <t>Pond Creek Water and Light</t>
  </si>
  <si>
    <t>102 S 2nd St</t>
  </si>
  <si>
    <t>Pond Creek</t>
  </si>
  <si>
    <t>73766</t>
  </si>
  <si>
    <t>City of Prague</t>
  </si>
  <si>
    <t>820 N Jim Thorpe Blvd</t>
  </si>
  <si>
    <t>Prague</t>
  </si>
  <si>
    <t>74864</t>
  </si>
  <si>
    <t>City of College Park</t>
  </si>
  <si>
    <t>1886 W. Harvard Avenue</t>
  </si>
  <si>
    <t>College Park</t>
  </si>
  <si>
    <t>30337</t>
  </si>
  <si>
    <t>Purcell Public Works Authority</t>
  </si>
  <si>
    <t>701 S 6th Ave</t>
  </si>
  <si>
    <t>Purcell</t>
  </si>
  <si>
    <t>73080</t>
  </si>
  <si>
    <t>Thayer Municipal (MO)</t>
  </si>
  <si>
    <t>Second and Market Streets</t>
  </si>
  <si>
    <t>Thayer</t>
  </si>
  <si>
    <t>65791</t>
  </si>
  <si>
    <t>Ozark Border(Poplar Bluff, MO)</t>
  </si>
  <si>
    <t>3281 S Westwood Blvd</t>
  </si>
  <si>
    <t>63901</t>
  </si>
  <si>
    <t>Wetumka Municipal Auth</t>
  </si>
  <si>
    <t>202 N Main</t>
  </si>
  <si>
    <t>Wetumka</t>
  </si>
  <si>
    <t>Duncan Valley Electric Coop</t>
  </si>
  <si>
    <t>379597 AZ 75</t>
  </si>
  <si>
    <t>Duncan</t>
  </si>
  <si>
    <t>85834</t>
  </si>
  <si>
    <t>City of West Point GA</t>
  </si>
  <si>
    <t>Union Utility Department (SC)</t>
  </si>
  <si>
    <t>101 Sharpe Ave</t>
  </si>
  <si>
    <t>Union</t>
  </si>
  <si>
    <t>29379</t>
  </si>
  <si>
    <t>Steele-Waseca Cooperative Electric</t>
  </si>
  <si>
    <t>2411 West Bridge Street</t>
  </si>
  <si>
    <t>Owatona</t>
  </si>
  <si>
    <t>55060</t>
  </si>
  <si>
    <t>Nobles Cooperative Electric</t>
  </si>
  <si>
    <t>22636 U.S. Hwy 59</t>
  </si>
  <si>
    <t>Worthington</t>
  </si>
  <si>
    <t>56187</t>
  </si>
  <si>
    <t>Worthington Public Utilities</t>
  </si>
  <si>
    <t>1300 Diagonal Road</t>
  </si>
  <si>
    <t>Burns &amp; McDonnell</t>
  </si>
  <si>
    <t>1850 N Central Ave ste 800</t>
  </si>
  <si>
    <t>85004</t>
  </si>
  <si>
    <t>Shermco Ind. Inc.</t>
  </si>
  <si>
    <t>1705 Hur Industrial Blvd,</t>
  </si>
  <si>
    <t>Cedar Park</t>
  </si>
  <si>
    <t>8613</t>
  </si>
  <si>
    <t>Southern Rivers Energy Cooperative</t>
  </si>
  <si>
    <t>PO. Box 401367 Highway 341 South</t>
  </si>
  <si>
    <t>Barnesville</t>
  </si>
  <si>
    <t>30204</t>
  </si>
  <si>
    <t>City of Barnesville</t>
  </si>
  <si>
    <t>Entergy Mississippi, Inc.</t>
  </si>
  <si>
    <t>6540 Watkins Drive</t>
  </si>
  <si>
    <t>39213</t>
  </si>
  <si>
    <t>Arrowhead Coop</t>
  </si>
  <si>
    <t>P.O. Box 39</t>
  </si>
  <si>
    <t>Lutsen</t>
  </si>
  <si>
    <t>55612</t>
  </si>
  <si>
    <t>City of Barnsville</t>
  </si>
  <si>
    <t>Barnsville</t>
  </si>
  <si>
    <t>KATV</t>
  </si>
  <si>
    <t>401 Main Street</t>
  </si>
  <si>
    <t>Little Rock</t>
  </si>
  <si>
    <t>72201</t>
  </si>
  <si>
    <t>Environmental Liability Transfer Incorporated</t>
  </si>
  <si>
    <t>1650 Des Peres Road Suite 303</t>
  </si>
  <si>
    <t>St. Louis</t>
  </si>
  <si>
    <t>63131</t>
  </si>
  <si>
    <t>Wymore Water and Light (NE)</t>
  </si>
  <si>
    <t>115 W E St</t>
  </si>
  <si>
    <t>Wymore</t>
  </si>
  <si>
    <t>68466</t>
  </si>
  <si>
    <t>City of Wood River (NE)</t>
  </si>
  <si>
    <t>1002 Main St</t>
  </si>
  <si>
    <t>Wood River</t>
  </si>
  <si>
    <t>68883</t>
  </si>
  <si>
    <t>City of Wisner (NE)</t>
  </si>
  <si>
    <t>1111 Avenue E</t>
  </si>
  <si>
    <t>Wisner</t>
  </si>
  <si>
    <t>68791</t>
  </si>
  <si>
    <t>Marshall Water &amp; Light (IL)</t>
  </si>
  <si>
    <t>201 South Michigan Ave.</t>
  </si>
  <si>
    <t>Marshall</t>
  </si>
  <si>
    <t>62441</t>
  </si>
  <si>
    <t>Village of Winside (NE)</t>
  </si>
  <si>
    <t>424 Main St</t>
  </si>
  <si>
    <t>Winside</t>
  </si>
  <si>
    <t>68790</t>
  </si>
  <si>
    <t>Village of Wilcox (NE)</t>
  </si>
  <si>
    <t>107 W Sapp St</t>
  </si>
  <si>
    <t>Wilcox</t>
  </si>
  <si>
    <t>68982</t>
  </si>
  <si>
    <t>Baker Hughes Transformer</t>
  </si>
  <si>
    <t>3719 W 96th St</t>
  </si>
  <si>
    <t>46268</t>
  </si>
  <si>
    <t>Wilber Utilities (NE)</t>
  </si>
  <si>
    <t>110 W 3rd St</t>
  </si>
  <si>
    <t>Wilber</t>
  </si>
  <si>
    <t>68465</t>
  </si>
  <si>
    <t>Village of Wauneta (NE)</t>
  </si>
  <si>
    <t>319 S Tecumseh Ave</t>
  </si>
  <si>
    <t>Wauneta</t>
  </si>
  <si>
    <t>69045</t>
  </si>
  <si>
    <t>Village of Walthill (NE)</t>
  </si>
  <si>
    <t>224 Main St</t>
  </si>
  <si>
    <t>Walthill</t>
  </si>
  <si>
    <t>68067</t>
  </si>
  <si>
    <t>Village of Trenton (NE)</t>
  </si>
  <si>
    <t>402 Main St</t>
  </si>
  <si>
    <t>Trenton</t>
  </si>
  <si>
    <t>69044</t>
  </si>
  <si>
    <t>City of Sutton (NE)</t>
  </si>
  <si>
    <t>107 W Grove Street</t>
  </si>
  <si>
    <t>Sutton</t>
  </si>
  <si>
    <t>68979</t>
  </si>
  <si>
    <t>Central Nebraska Public Power (NE)</t>
  </si>
  <si>
    <t>415 Lincoln St</t>
  </si>
  <si>
    <t>68949</t>
  </si>
  <si>
    <t>Muska Electric Company</t>
  </si>
  <si>
    <t>1985 Oakcrest Ave.</t>
  </si>
  <si>
    <t>Roseville</t>
  </si>
  <si>
    <t>55113</t>
  </si>
  <si>
    <t>Mendota Hill Wind Farm</t>
  </si>
  <si>
    <t>700 Meadow Lane</t>
  </si>
  <si>
    <t>Minneapolis</t>
  </si>
  <si>
    <t>55422</t>
  </si>
  <si>
    <t>Sullivan Municipal Utilities (IL)</t>
  </si>
  <si>
    <t>Waste Management - Sustainability Services</t>
  </si>
  <si>
    <t>46234</t>
  </si>
  <si>
    <t>Virginia Public Utilities Dept</t>
  </si>
  <si>
    <t>Red Lake Electric Coop</t>
  </si>
  <si>
    <t>412 International Dr SW</t>
  </si>
  <si>
    <t>Red Lake Falls</t>
  </si>
  <si>
    <t>56750</t>
  </si>
  <si>
    <t>Luverne Municipal Utilities</t>
  </si>
  <si>
    <t>Thatcher Municipal Utility</t>
  </si>
  <si>
    <t>3700 W Main Street</t>
  </si>
  <si>
    <t>Thatcher</t>
  </si>
  <si>
    <t>85552</t>
  </si>
  <si>
    <t>Lake City Utilities</t>
  </si>
  <si>
    <t>Lake Country Power</t>
  </si>
  <si>
    <t>Siemens Industry</t>
  </si>
  <si>
    <t>16750 Chicago Avenue</t>
  </si>
  <si>
    <t>Lansing</t>
  </si>
  <si>
    <t>60438</t>
  </si>
  <si>
    <t>San Jose-Santa Clara Regional Wastewater Faciltiy</t>
  </si>
  <si>
    <t>700 Los Esteros Road</t>
  </si>
  <si>
    <t>San Jose</t>
  </si>
  <si>
    <t>95134</t>
  </si>
  <si>
    <t>Board of Public Works - Auburn, NE</t>
  </si>
  <si>
    <t>LAKE REGION ELEC COOP</t>
  </si>
  <si>
    <t>1401 S Broadway</t>
  </si>
  <si>
    <t>Pelican Rapids</t>
  </si>
  <si>
    <t>56572</t>
  </si>
  <si>
    <t>Kinder Morgan</t>
  </si>
  <si>
    <t>6335 Greentree Road</t>
  </si>
  <si>
    <t>Middletown</t>
  </si>
  <si>
    <t>45044</t>
  </si>
  <si>
    <t>NAVFAC Southeast Public Works Department (NAS Panama City)</t>
  </si>
  <si>
    <t>101 Vernon Ave. Bldg. 5</t>
  </si>
  <si>
    <t>Panama City Beach</t>
  </si>
  <si>
    <t>32407</t>
  </si>
  <si>
    <t>Jackson Utility Division</t>
  </si>
  <si>
    <t>Hutchinson Utilities</t>
  </si>
  <si>
    <t>Freeborn-Mower Cooperative Services</t>
  </si>
  <si>
    <t>2501 Main Street East</t>
  </si>
  <si>
    <t>Albert Lea</t>
  </si>
  <si>
    <t>56007</t>
  </si>
  <si>
    <t>Ancon Industrial Services</t>
  </si>
  <si>
    <t>5900 Easy 58th Ave Unit F</t>
  </si>
  <si>
    <t>Commerce City</t>
  </si>
  <si>
    <t>80022</t>
  </si>
  <si>
    <t>East Central Energy</t>
  </si>
  <si>
    <t>Detroit Lakes Municipal Utility</t>
  </si>
  <si>
    <t>Richard Morris, LLC</t>
  </si>
  <si>
    <t>City of St. George</t>
  </si>
  <si>
    <t>811 East Red Hills Parkway</t>
  </si>
  <si>
    <t>St. George</t>
  </si>
  <si>
    <t>84770</t>
  </si>
  <si>
    <t>Hyrum City Power &amp; Light</t>
  </si>
  <si>
    <t>83 West Main Street</t>
  </si>
  <si>
    <t>Hyrum</t>
  </si>
  <si>
    <t>84319</t>
  </si>
  <si>
    <t>Shaw Industries</t>
  </si>
  <si>
    <t>200 Waits Dr</t>
  </si>
  <si>
    <t>Logan City Light &amp; Power</t>
  </si>
  <si>
    <t>530 North 800 West</t>
  </si>
  <si>
    <t>Logan</t>
  </si>
  <si>
    <t>84321</t>
  </si>
  <si>
    <t>Garkane Energy Co-op, Inc.</t>
  </si>
  <si>
    <t>468 U.S. 89</t>
  </si>
  <si>
    <t>Hatch</t>
  </si>
  <si>
    <t>84735</t>
  </si>
  <si>
    <t>Entergy Conroe</t>
  </si>
  <si>
    <t>751 N F.M. 3083</t>
  </si>
  <si>
    <t>Conroe</t>
  </si>
  <si>
    <t>Tx</t>
  </si>
  <si>
    <t>77303</t>
  </si>
  <si>
    <t>Lockhart Power</t>
  </si>
  <si>
    <t>420 River St</t>
  </si>
  <si>
    <t>Lockhart</t>
  </si>
  <si>
    <t>29364</t>
  </si>
  <si>
    <t>American Electric Componets</t>
  </si>
  <si>
    <t>4901 Fruitland Avenue</t>
  </si>
  <si>
    <t>Vernon</t>
  </si>
  <si>
    <t>90058</t>
  </si>
  <si>
    <t>Dixie Power</t>
  </si>
  <si>
    <t>6 North Beryl Highway</t>
  </si>
  <si>
    <t>Beryl</t>
  </si>
  <si>
    <t>84714</t>
  </si>
  <si>
    <t>Nephi City Power</t>
  </si>
  <si>
    <t>344 West 700 North</t>
  </si>
  <si>
    <t>Nephi</t>
  </si>
  <si>
    <t>84648</t>
  </si>
  <si>
    <t>International Paper AL</t>
  </si>
  <si>
    <t>7600 AL-10</t>
  </si>
  <si>
    <t>Pine Hill</t>
  </si>
  <si>
    <t>36769</t>
  </si>
  <si>
    <t>Payson Power</t>
  </si>
  <si>
    <t>9434 3200 West</t>
  </si>
  <si>
    <t>Payson</t>
  </si>
  <si>
    <t>84651</t>
  </si>
  <si>
    <t>Moon Lake Electric</t>
  </si>
  <si>
    <t>800 U.S. 40</t>
  </si>
  <si>
    <t>Roosevelt</t>
  </si>
  <si>
    <t>84066</t>
  </si>
  <si>
    <t>Parissi Electric</t>
  </si>
  <si>
    <t>4945 National St</t>
  </si>
  <si>
    <t>19135</t>
  </si>
  <si>
    <t>Avatar Property management</t>
  </si>
  <si>
    <t>55 lake st</t>
  </si>
  <si>
    <t>Nashua</t>
  </si>
  <si>
    <t>nh</t>
  </si>
  <si>
    <t>3060</t>
  </si>
  <si>
    <t>Wilson Energy (Utilities)</t>
  </si>
  <si>
    <t>1800 Herring Ave</t>
  </si>
  <si>
    <t>Wilson</t>
  </si>
  <si>
    <t>27893</t>
  </si>
  <si>
    <t>Springville City Power Department (UT)</t>
  </si>
  <si>
    <t>777 North 425 West</t>
  </si>
  <si>
    <t>Springville</t>
  </si>
  <si>
    <t>84663</t>
  </si>
  <si>
    <t>metropower</t>
  </si>
  <si>
    <t>798 21st Ave PO Box 5228</t>
  </si>
  <si>
    <t>31706</t>
  </si>
  <si>
    <t>South Utah Valley Electric Service District (SESD)</t>
  </si>
  <si>
    <t>803 North 500 East</t>
  </si>
  <si>
    <t>True Hardware Riverton Utah</t>
  </si>
  <si>
    <t>12773 S. Redwood Rd</t>
  </si>
  <si>
    <t>84065</t>
  </si>
  <si>
    <t>A&amp;B Electric</t>
  </si>
  <si>
    <t>4150 Joe Mallisham Pkwy</t>
  </si>
  <si>
    <t>University of Oklahoma</t>
  </si>
  <si>
    <t>Norman</t>
  </si>
  <si>
    <t>New Mill Capital</t>
  </si>
  <si>
    <t>23480 Park Sorrento Suite 104B</t>
  </si>
  <si>
    <t>Calabasas</t>
  </si>
  <si>
    <t>91302</t>
  </si>
  <si>
    <t>National Recycling Inc - Industrial Division</t>
  </si>
  <si>
    <t>6401 Rogers Road</t>
  </si>
  <si>
    <t>43515</t>
  </si>
  <si>
    <t>Burlington Electric Department</t>
  </si>
  <si>
    <t>VT</t>
  </si>
  <si>
    <t>Vermont Electric Coop Inc.</t>
  </si>
  <si>
    <t>Green Mountain Power Corp [GMP]</t>
  </si>
  <si>
    <t>National Life Group</t>
  </si>
  <si>
    <t>1 National Life Dr.</t>
  </si>
  <si>
    <t>5604</t>
  </si>
  <si>
    <t>Barton Village Electric Department</t>
  </si>
  <si>
    <t>Juno Utilities</t>
  </si>
  <si>
    <t>Juno</t>
  </si>
  <si>
    <t>Central Vermont Public Service Corporation</t>
  </si>
  <si>
    <t>ProLine Electric</t>
  </si>
  <si>
    <t>301 Cedar Hill Road</t>
  </si>
  <si>
    <t>Lancaster</t>
  </si>
  <si>
    <t>43130</t>
  </si>
  <si>
    <t>Keystone Powdered Metal Company</t>
  </si>
  <si>
    <t>251 State Road</t>
  </si>
  <si>
    <t>St. Marys</t>
  </si>
  <si>
    <t>15857</t>
  </si>
  <si>
    <t>3C electric Co</t>
  </si>
  <si>
    <t>Hardwick Electric Dept.</t>
  </si>
  <si>
    <t>123 N. Main St.</t>
  </si>
  <si>
    <t>Hardwick</t>
  </si>
  <si>
    <t>5843</t>
  </si>
  <si>
    <t>Washington Elec Coop</t>
  </si>
  <si>
    <t>Marathon Electrical Contractors FL</t>
  </si>
  <si>
    <t>634 Lovejoy Road</t>
  </si>
  <si>
    <t>Ft. Walton Beach</t>
  </si>
  <si>
    <t>32548</t>
  </si>
  <si>
    <t>MON Power Co.</t>
  </si>
  <si>
    <t>1803 Murdoch Ave</t>
  </si>
  <si>
    <t>Parkersburg</t>
  </si>
  <si>
    <t>26101</t>
  </si>
  <si>
    <t>Green Mountain Power - CVPS</t>
  </si>
  <si>
    <t>296 green Hills Lane</t>
  </si>
  <si>
    <t>Rutland</t>
  </si>
  <si>
    <t>5701</t>
  </si>
  <si>
    <t>Dominion Power</t>
  </si>
  <si>
    <t>707 East Main St Fl-12</t>
  </si>
  <si>
    <t>Richmond</t>
  </si>
  <si>
    <t>23219</t>
  </si>
  <si>
    <t>Southside Electric Coop</t>
  </si>
  <si>
    <t>2000 West Virginia Ave</t>
  </si>
  <si>
    <t>Crewe</t>
  </si>
  <si>
    <t>23930</t>
  </si>
  <si>
    <t>Virginia Transformer</t>
  </si>
  <si>
    <t>Roanoke</t>
  </si>
  <si>
    <t>Northern Virginia Electric Coop [NOVEC]</t>
  </si>
  <si>
    <t>Rappahannock Electric Coop</t>
  </si>
  <si>
    <t>249 Industrial Court</t>
  </si>
  <si>
    <t>Fredericksburg</t>
  </si>
  <si>
    <t>22408</t>
  </si>
  <si>
    <t>A&amp;N Electric Coop</t>
  </si>
  <si>
    <t>21275 Cooperative Way</t>
  </si>
  <si>
    <t>Tansley</t>
  </si>
  <si>
    <t>23441-0290</t>
  </si>
  <si>
    <t>Blackstone Light &amp; Power</t>
  </si>
  <si>
    <t>100 W Elm St</t>
  </si>
  <si>
    <t>Blackstone</t>
  </si>
  <si>
    <t>23824</t>
  </si>
  <si>
    <t>Danville Dept of Power &amp; Light</t>
  </si>
  <si>
    <t>311 Memorial Dr</t>
  </si>
  <si>
    <t>Danville</t>
  </si>
  <si>
    <t>24541</t>
  </si>
  <si>
    <t>Martinsville Municipal Electric Dept</t>
  </si>
  <si>
    <t>55 W Church St</t>
  </si>
  <si>
    <t>Martinsville</t>
  </si>
  <si>
    <t>24112</t>
  </si>
  <si>
    <t>Mecklenburg Electric Coop [MEC]</t>
  </si>
  <si>
    <t>11633 Hwy 92</t>
  </si>
  <si>
    <t>Chase City</t>
  </si>
  <si>
    <t>23924</t>
  </si>
  <si>
    <t>Cargill - Albion</t>
  </si>
  <si>
    <t>2609 260th St</t>
  </si>
  <si>
    <t>Albion</t>
  </si>
  <si>
    <t>68620</t>
  </si>
  <si>
    <t>Cargill - Byers</t>
  </si>
  <si>
    <t>66310 US - 40</t>
  </si>
  <si>
    <t>Byers</t>
  </si>
  <si>
    <t>80103</t>
  </si>
  <si>
    <t>Cargill - Cheyenne Wells</t>
  </si>
  <si>
    <t>935 S 4th St W</t>
  </si>
  <si>
    <t>Cheyenne Wells</t>
  </si>
  <si>
    <t>80810</t>
  </si>
  <si>
    <t>Cargill - Heartwell</t>
  </si>
  <si>
    <t>2117 US - 6</t>
  </si>
  <si>
    <t>Heartwell</t>
  </si>
  <si>
    <t>68945</t>
  </si>
  <si>
    <t>Cargill - Ravenna</t>
  </si>
  <si>
    <t>222 W Utica St</t>
  </si>
  <si>
    <t>Revenna</t>
  </si>
  <si>
    <t>68869</t>
  </si>
  <si>
    <t>Cargill - Topeka</t>
  </si>
  <si>
    <t>5135 US - 24</t>
  </si>
  <si>
    <t>Topeka</t>
  </si>
  <si>
    <t>66618</t>
  </si>
  <si>
    <t>Cargill KC,MO</t>
  </si>
  <si>
    <t>2306 Rochester Ave</t>
  </si>
  <si>
    <t>64120</t>
  </si>
  <si>
    <t>Monarch Cement</t>
  </si>
  <si>
    <t>449 1200th St</t>
  </si>
  <si>
    <t>City of Moran, KS</t>
  </si>
  <si>
    <t>Minneapolis, KS</t>
  </si>
  <si>
    <t>Linden Chip Mill</t>
  </si>
  <si>
    <t>23741 US-43</t>
  </si>
  <si>
    <t>Linden</t>
  </si>
  <si>
    <t>36748</t>
  </si>
  <si>
    <t>Deshler Municipal Utilities</t>
  </si>
  <si>
    <t>101 E. Main Street</t>
  </si>
  <si>
    <t>Deshler</t>
  </si>
  <si>
    <t>43516</t>
  </si>
  <si>
    <t>City of Larkin, KS</t>
  </si>
  <si>
    <t>Cimarex Energy</t>
  </si>
  <si>
    <t>1700 Lincoln St Ste 1800</t>
  </si>
  <si>
    <t>Denver</t>
  </si>
  <si>
    <t>80203</t>
  </si>
  <si>
    <t>El Paso Energy</t>
  </si>
  <si>
    <t>2 N Nevada</t>
  </si>
  <si>
    <t>80903</t>
  </si>
  <si>
    <t>Kansas Gas Service</t>
  </si>
  <si>
    <t>PO Box 219046</t>
  </si>
  <si>
    <t>64121</t>
  </si>
  <si>
    <t>ABB, Inc</t>
  </si>
  <si>
    <t>100 Distribution Circle</t>
  </si>
  <si>
    <t>Mt. Pleasant</t>
  </si>
  <si>
    <t>15666</t>
  </si>
  <si>
    <t>City of Kinston</t>
  </si>
  <si>
    <t>2360 US 258</t>
  </si>
  <si>
    <t>Kinston</t>
  </si>
  <si>
    <t>28504</t>
  </si>
  <si>
    <t>Encana - CO</t>
  </si>
  <si>
    <t>Republic Plz 370 17th St Ste 1700</t>
  </si>
  <si>
    <t>80202</t>
  </si>
  <si>
    <t>Siegel Oil - CO</t>
  </si>
  <si>
    <t>1380 Zuni St</t>
  </si>
  <si>
    <t>80204</t>
  </si>
  <si>
    <t>City of Monoroe Electric Dept</t>
  </si>
  <si>
    <t>300 W Crowell St</t>
  </si>
  <si>
    <t>Monroe</t>
  </si>
  <si>
    <t>28112</t>
  </si>
  <si>
    <t>Boulder Wind Power</t>
  </si>
  <si>
    <t>2845 Wilderness Pl Ste 201</t>
  </si>
  <si>
    <t>Boulder</t>
  </si>
  <si>
    <t>80301</t>
  </si>
  <si>
    <t>Norco Pipeline Company LLC</t>
  </si>
  <si>
    <t>359 Sinclair Street</t>
  </si>
  <si>
    <t>Toledo</t>
  </si>
  <si>
    <t>43605</t>
  </si>
  <si>
    <t>A&amp;B Construction</t>
  </si>
  <si>
    <t>14 Hughes, Suite B104</t>
  </si>
  <si>
    <t>Irvine</t>
  </si>
  <si>
    <t>92618</t>
  </si>
  <si>
    <t>Southeastern Lineman Training Center</t>
  </si>
  <si>
    <t>9481 US 11</t>
  </si>
  <si>
    <t>30752</t>
  </si>
  <si>
    <t>American Industrial Power Service</t>
  </si>
  <si>
    <t>235 W. Oklahoma Avenue</t>
  </si>
  <si>
    <t>53207</t>
  </si>
  <si>
    <t>City of Cherryville Electric Dept</t>
  </si>
  <si>
    <t>301 Allen St</t>
  </si>
  <si>
    <t>Cherryville</t>
  </si>
  <si>
    <t>28021</t>
  </si>
  <si>
    <t>Jones-Onslow EMC</t>
  </si>
  <si>
    <t>259 Western Blvd</t>
  </si>
  <si>
    <t>Jacksonville</t>
  </si>
  <si>
    <t>28546</t>
  </si>
  <si>
    <t>Environmental Contstruction Inc.</t>
  </si>
  <si>
    <t>21550 Oxnard St., Ste. 1060</t>
  </si>
  <si>
    <t>Woodland Hills</t>
  </si>
  <si>
    <t>91367</t>
  </si>
  <si>
    <t>La Grange Electric Dept.</t>
  </si>
  <si>
    <t>203 S. Center Street</t>
  </si>
  <si>
    <t>La Grange</t>
  </si>
  <si>
    <t>28551</t>
  </si>
  <si>
    <t>National Cement Co. of AL, Inc.</t>
  </si>
  <si>
    <t>80 National Cement Dr.</t>
  </si>
  <si>
    <t>Ragland</t>
  </si>
  <si>
    <t>35131</t>
  </si>
  <si>
    <t>City of Iuka, KS</t>
  </si>
  <si>
    <t>McCombs Electrical Company, Inc</t>
  </si>
  <si>
    <t>5217 US-90</t>
  </si>
  <si>
    <t>Milton</t>
  </si>
  <si>
    <t>42571</t>
  </si>
  <si>
    <t>Touchstone Energy Partners</t>
  </si>
  <si>
    <t>4301 Wilson Blvd</t>
  </si>
  <si>
    <t>Arlington</t>
  </si>
  <si>
    <t>22203</t>
  </si>
  <si>
    <t>City of Holyrood, KS</t>
  </si>
  <si>
    <t>Rosendin Electric - Las Vegas</t>
  </si>
  <si>
    <t>7470 Dean Martin Drive</t>
  </si>
  <si>
    <t>Las Vegas</t>
  </si>
  <si>
    <t>NV</t>
  </si>
  <si>
    <t>89139</t>
  </si>
  <si>
    <t>West Rock Paper Mill, Panama City</t>
  </si>
  <si>
    <t>2 S Everitt Ave</t>
  </si>
  <si>
    <t>Panama City</t>
  </si>
  <si>
    <t>32401</t>
  </si>
  <si>
    <t>Mastway Development, LLC</t>
  </si>
  <si>
    <t>72 Burtons Lane</t>
  </si>
  <si>
    <t>Winthrop</t>
  </si>
  <si>
    <t>me</t>
  </si>
  <si>
    <t>4364</t>
  </si>
  <si>
    <t>Frontier Yarns</t>
  </si>
  <si>
    <t>1700 Central Plank Rd</t>
  </si>
  <si>
    <t>Wetumpka</t>
  </si>
  <si>
    <t>36092</t>
  </si>
  <si>
    <t>Plumas-Sierra Rural Electric Co-op</t>
  </si>
  <si>
    <t>73233 State Route 70</t>
  </si>
  <si>
    <t>Portola</t>
  </si>
  <si>
    <t>96122-7069</t>
  </si>
  <si>
    <t>Ambler Waste Water Treatment Plant</t>
  </si>
  <si>
    <t>505 Church St</t>
  </si>
  <si>
    <t>Ambler</t>
  </si>
  <si>
    <t>19002</t>
  </si>
  <si>
    <t>Stergion Electric</t>
  </si>
  <si>
    <t>Englewood</t>
  </si>
  <si>
    <t>Ascension Solutions, Inc</t>
  </si>
  <si>
    <t>1400 Main St Apt 590</t>
  </si>
  <si>
    <t>canonsburg</t>
  </si>
  <si>
    <t>15317</t>
  </si>
  <si>
    <t>City of Brinson</t>
  </si>
  <si>
    <t>Winnsboro Utility Dept</t>
  </si>
  <si>
    <t>207 N Congress St</t>
  </si>
  <si>
    <t>Winnsboro</t>
  </si>
  <si>
    <t>29180</t>
  </si>
  <si>
    <t>Avangrid</t>
  </si>
  <si>
    <t>JJ &amp; J Electric Repair</t>
  </si>
  <si>
    <t>5970 S. Park Ave</t>
  </si>
  <si>
    <t>36301</t>
  </si>
  <si>
    <t>Huntington Ingalls</t>
  </si>
  <si>
    <t>4104 Washington Ave</t>
  </si>
  <si>
    <t>Newport News</t>
  </si>
  <si>
    <t>Va</t>
  </si>
  <si>
    <t>23607</t>
  </si>
  <si>
    <t>Huntington Ingalls Industries - Newport News</t>
  </si>
  <si>
    <t>4101 Washington Ave</t>
  </si>
  <si>
    <t>va</t>
  </si>
  <si>
    <t>23606</t>
  </si>
  <si>
    <t>River Terminal Development</t>
  </si>
  <si>
    <t>100 Central Ave Suite 630</t>
  </si>
  <si>
    <t>Kearny</t>
  </si>
  <si>
    <t>nj</t>
  </si>
  <si>
    <t>7032</t>
  </si>
  <si>
    <t>Flatonia Electric Dept</t>
  </si>
  <si>
    <t>125 E South Main St</t>
  </si>
  <si>
    <t>Flatonia</t>
  </si>
  <si>
    <t>78941</t>
  </si>
  <si>
    <t>Grafton, OH Electric Dept</t>
  </si>
  <si>
    <t>1151 South Main Street</t>
  </si>
  <si>
    <t>Grafton</t>
  </si>
  <si>
    <t>44044</t>
  </si>
  <si>
    <t>Alliance, City of</t>
  </si>
  <si>
    <t>633 S. Union</t>
  </si>
  <si>
    <t>44601</t>
  </si>
  <si>
    <t>Eaton Corporation - City of Industry CA</t>
  </si>
  <si>
    <t>13039 Crossroads Parkway South</t>
  </si>
  <si>
    <t>Brenham Municipal Utility System</t>
  </si>
  <si>
    <t>200 West Vulcan St.</t>
  </si>
  <si>
    <t>Brenham</t>
  </si>
  <si>
    <t>77834</t>
  </si>
  <si>
    <t>Metcor Metal Fabrication</t>
  </si>
  <si>
    <t>2400 W Laurel</t>
  </si>
  <si>
    <t>Independence</t>
  </si>
  <si>
    <t>67301</t>
  </si>
  <si>
    <t>SWS Environmental</t>
  </si>
  <si>
    <t>3820 Ventura Drive</t>
  </si>
  <si>
    <t>Findlay</t>
  </si>
  <si>
    <t>45840</t>
  </si>
  <si>
    <t>REI Electrical Contracting</t>
  </si>
  <si>
    <t>936 E 124th Av Suite C</t>
  </si>
  <si>
    <t>Tampa</t>
  </si>
  <si>
    <t>33612</t>
  </si>
  <si>
    <t>Vision Environmental</t>
  </si>
  <si>
    <t>57 4th Street Unit B</t>
  </si>
  <si>
    <t>Somerville</t>
  </si>
  <si>
    <t>8876</t>
  </si>
  <si>
    <t>C &amp; K Industrial Services, Inc.</t>
  </si>
  <si>
    <t>5617 Schaaf Road</t>
  </si>
  <si>
    <t>44131</t>
  </si>
  <si>
    <t>City of Demoines</t>
  </si>
  <si>
    <t>21630 11th Ave S. Suite A</t>
  </si>
  <si>
    <t>Des Moines</t>
  </si>
  <si>
    <t>98198</t>
  </si>
  <si>
    <t>Heartland Petroleum</t>
  </si>
  <si>
    <t>Lamb County Electric Coop</t>
  </si>
  <si>
    <t>2415 Phelps Avenue</t>
  </si>
  <si>
    <t>Littlefield</t>
  </si>
  <si>
    <t>79339</t>
  </si>
  <si>
    <t>Cuero Electric Utility</t>
  </si>
  <si>
    <t>514 West Sarah</t>
  </si>
  <si>
    <t>Cuero</t>
  </si>
  <si>
    <t>77954</t>
  </si>
  <si>
    <t>Black &amp; McDonald Limited</t>
  </si>
  <si>
    <t>6518 Fremont Rd</t>
  </si>
  <si>
    <t>East Syracuse</t>
  </si>
  <si>
    <t>13057</t>
  </si>
  <si>
    <t>MPS Group</t>
  </si>
  <si>
    <t>38755 Hills Tech Drive</t>
  </si>
  <si>
    <t>Farmington Hills</t>
  </si>
  <si>
    <t>48331</t>
  </si>
  <si>
    <t>University of illinois - Urbana/Champaign</t>
  </si>
  <si>
    <t>1501 S Oak St.</t>
  </si>
  <si>
    <t>Champaign</t>
  </si>
  <si>
    <t>61820</t>
  </si>
  <si>
    <t>Bowie Utilities</t>
  </si>
  <si>
    <t>385 West Clay Street</t>
  </si>
  <si>
    <t>Bowie</t>
  </si>
  <si>
    <t>76230</t>
  </si>
  <si>
    <t>Brownfield Power &amp; Light</t>
  </si>
  <si>
    <t>121 North 7th Street</t>
  </si>
  <si>
    <t>Brownfield</t>
  </si>
  <si>
    <t>79316</t>
  </si>
  <si>
    <t>Bell Weather Mechanical</t>
  </si>
  <si>
    <t>601 W. 1st Street</t>
  </si>
  <si>
    <t>Spokane</t>
  </si>
  <si>
    <t>99201</t>
  </si>
  <si>
    <t>Utilities Plus Energy Services</t>
  </si>
  <si>
    <t>1260 Industrial Park Dr</t>
  </si>
  <si>
    <t>Eveleth</t>
  </si>
  <si>
    <t>55734</t>
  </si>
  <si>
    <t>Electrical Installation &amp; Maintenance</t>
  </si>
  <si>
    <t>1450 Division Street</t>
  </si>
  <si>
    <t>Waite Park</t>
  </si>
  <si>
    <t>56387</t>
  </si>
  <si>
    <t>Luling Utilities</t>
  </si>
  <si>
    <t>Free state electric</t>
  </si>
  <si>
    <t>13335 mid Atlantic Blvd</t>
  </si>
  <si>
    <t>Laurel</t>
  </si>
  <si>
    <t>Md</t>
  </si>
  <si>
    <t>20708</t>
  </si>
  <si>
    <t>Boerne Utilities</t>
  </si>
  <si>
    <t>402 E Blanco Rd</t>
  </si>
  <si>
    <t>Boerne</t>
  </si>
  <si>
    <t>78006</t>
  </si>
  <si>
    <t>Brooks Building Solutions</t>
  </si>
  <si>
    <t>4501 Beverly Ave,</t>
  </si>
  <si>
    <t>32210</t>
  </si>
  <si>
    <t>Livingston Municipal Electric</t>
  </si>
  <si>
    <t>200 W Church Street</t>
  </si>
  <si>
    <t>Livingston</t>
  </si>
  <si>
    <t>77351</t>
  </si>
  <si>
    <t>La Grange Utilities (TX)</t>
  </si>
  <si>
    <t>155 E Colorado St</t>
  </si>
  <si>
    <t>LaGrange</t>
  </si>
  <si>
    <t>78945</t>
  </si>
  <si>
    <t>Oklahoma Municipal Alliance (Municipal Electric Systems of Oklahoma)</t>
  </si>
  <si>
    <t>308 North East 27th Street</t>
  </si>
  <si>
    <t>73105</t>
  </si>
  <si>
    <t>Oklahoma Municipal Power Authority (OMPA)</t>
  </si>
  <si>
    <t>2701 W. I-35 Frontage Road</t>
  </si>
  <si>
    <t>Edmond</t>
  </si>
  <si>
    <t>73013</t>
  </si>
  <si>
    <t>Greenville (TX) Electric Utility Services</t>
  </si>
  <si>
    <t>6000 Joe Ramsey Blvd</t>
  </si>
  <si>
    <t>Greenville</t>
  </si>
  <si>
    <t>75402</t>
  </si>
  <si>
    <t>Fayette Electric Coop Inc</t>
  </si>
  <si>
    <t>357 N Washington St</t>
  </si>
  <si>
    <t>Concho Valley Electric Coop Inc</t>
  </si>
  <si>
    <t>2530 Pulliam St</t>
  </si>
  <si>
    <t>San Angelo</t>
  </si>
  <si>
    <t>76902</t>
  </si>
  <si>
    <t>City of Brookhaven</t>
  </si>
  <si>
    <t>P.O.Box 560</t>
  </si>
  <si>
    <t>Brookhaven</t>
  </si>
  <si>
    <t>39602</t>
  </si>
  <si>
    <t>Floresville Electric Light &amp; Power System</t>
  </si>
  <si>
    <t>1146 Texas Highway 181 South</t>
  </si>
  <si>
    <t>Floresville</t>
  </si>
  <si>
    <t>78114</t>
  </si>
  <si>
    <t>University of Louisiana at Lafayette</t>
  </si>
  <si>
    <t>310 East Lewis Street</t>
  </si>
  <si>
    <t>70503</t>
  </si>
  <si>
    <t>Weaver Electric, Inc.</t>
  </si>
  <si>
    <t>10194 Lorraine RD.</t>
  </si>
  <si>
    <t>39503</t>
  </si>
  <si>
    <t>Electric Services Inc</t>
  </si>
  <si>
    <t>1746 US Hwy 441</t>
  </si>
  <si>
    <t>Leesburg</t>
  </si>
  <si>
    <t>34748</t>
  </si>
  <si>
    <t>Chemical Transportation INC</t>
  </si>
  <si>
    <t>1945 East Jackson</t>
  </si>
  <si>
    <t>85034</t>
  </si>
  <si>
    <t>Navarro County Electric Coop</t>
  </si>
  <si>
    <t>Pen Tex Energy</t>
  </si>
  <si>
    <t>11799 W. US Hwy 82</t>
  </si>
  <si>
    <t>Muenster</t>
  </si>
  <si>
    <t>76252</t>
  </si>
  <si>
    <t>City of Albemarle Electric</t>
  </si>
  <si>
    <t>144 N 2nd St</t>
  </si>
  <si>
    <t>Albemarle</t>
  </si>
  <si>
    <t>28001</t>
  </si>
  <si>
    <t>City of Gastonia Electric Department</t>
  </si>
  <si>
    <t>181 S South St.</t>
  </si>
  <si>
    <t>Gastonia</t>
  </si>
  <si>
    <t>28052</t>
  </si>
  <si>
    <t>Albemarle EMC - NC</t>
  </si>
  <si>
    <t>125 Cooperative Way</t>
  </si>
  <si>
    <t>Hertford</t>
  </si>
  <si>
    <t>27944</t>
  </si>
  <si>
    <t>Mayer Electric Birmingham</t>
  </si>
  <si>
    <t>3405 4th Ave S</t>
  </si>
  <si>
    <t>35222</t>
  </si>
  <si>
    <t>M&amp;M Protection LLC</t>
  </si>
  <si>
    <t>11831 W Fairmont Parkway</t>
  </si>
  <si>
    <t>La Porte</t>
  </si>
  <si>
    <t>77571</t>
  </si>
  <si>
    <t>IRBY Utilities</t>
  </si>
  <si>
    <t>7125 Belton Street</t>
  </si>
  <si>
    <t>Richland Hills</t>
  </si>
  <si>
    <t>76118</t>
  </si>
  <si>
    <t>Comanche Electric Coop Association</t>
  </si>
  <si>
    <t>201 W. Wrights Avenue</t>
  </si>
  <si>
    <t>Comanche</t>
  </si>
  <si>
    <t>Central Wisconsin Electric Cooperative</t>
  </si>
  <si>
    <t>10401 Lystul Rd</t>
  </si>
  <si>
    <t>Rosholt</t>
  </si>
  <si>
    <t>54473</t>
  </si>
  <si>
    <t>Central Virginia Electric Coop</t>
  </si>
  <si>
    <t>31 Cooperative Way</t>
  </si>
  <si>
    <t>Palmyra</t>
  </si>
  <si>
    <t>22963</t>
  </si>
  <si>
    <t>Costera Waste and Environmental</t>
  </si>
  <si>
    <t>Sikeston Board of Municipal Utilities (MO)</t>
  </si>
  <si>
    <t>107 East Malone</t>
  </si>
  <si>
    <t>Sikeston</t>
  </si>
  <si>
    <t>63801</t>
  </si>
  <si>
    <t>West Central Electric Cooperative</t>
  </si>
  <si>
    <t>7867 S. Hwy 13, PO Box 452</t>
  </si>
  <si>
    <t>64037</t>
  </si>
  <si>
    <t>Peru, IL Municipal Electrical Department</t>
  </si>
  <si>
    <t>4005 Plank Road</t>
  </si>
  <si>
    <t>Peru</t>
  </si>
  <si>
    <t>61354</t>
  </si>
  <si>
    <t>Spoon River Electric Coop Inc</t>
  </si>
  <si>
    <t>930 S Fifth Ave</t>
  </si>
  <si>
    <t>Canton</t>
  </si>
  <si>
    <t>61520</t>
  </si>
  <si>
    <t>TeamWork-net</t>
  </si>
  <si>
    <t>6550 New Tampa Hwy</t>
  </si>
  <si>
    <t>Lakeland</t>
  </si>
  <si>
    <t>33815</t>
  </si>
  <si>
    <t>CEMIRT</t>
  </si>
  <si>
    <t>1001 Mississippi Road</t>
  </si>
  <si>
    <t>Tyndall AFB</t>
  </si>
  <si>
    <t>32403</t>
  </si>
  <si>
    <t>White Electrical</t>
  </si>
  <si>
    <t>6825 Phillips Industrial Blvd</t>
  </si>
  <si>
    <t>32256</t>
  </si>
  <si>
    <t>JF Electric</t>
  </si>
  <si>
    <t>100 Lakefront Parkway</t>
  </si>
  <si>
    <t>Edwardsville</t>
  </si>
  <si>
    <t>62025</t>
  </si>
  <si>
    <t>Florida State College</t>
  </si>
  <si>
    <t>2968 Hwy 17N</t>
  </si>
  <si>
    <t>Bowling Green</t>
  </si>
  <si>
    <t>33834</t>
  </si>
  <si>
    <t>Adkins Electric</t>
  </si>
  <si>
    <t>10477 New Kings Rd</t>
  </si>
  <si>
    <t>32218</t>
  </si>
  <si>
    <t>consolidated electrical Distributors</t>
  </si>
  <si>
    <t>801 SW ENTERPRISE WAY</t>
  </si>
  <si>
    <t>STUART</t>
  </si>
  <si>
    <t>34997</t>
  </si>
  <si>
    <t>Paris Combined Utilities</t>
  </si>
  <si>
    <t>525 High Street</t>
  </si>
  <si>
    <t>Paris</t>
  </si>
  <si>
    <t>40361</t>
  </si>
  <si>
    <t>Escambia River EMC</t>
  </si>
  <si>
    <t>3425 HWY 4</t>
  </si>
  <si>
    <t>Jay</t>
  </si>
  <si>
    <t>32565</t>
  </si>
  <si>
    <t>City of Olive Hill-KY</t>
  </si>
  <si>
    <t>225 Roger Patton</t>
  </si>
  <si>
    <t>Olive Hill</t>
  </si>
  <si>
    <t>41164</t>
  </si>
  <si>
    <t>Webb Electric Company of FL, Inc</t>
  </si>
  <si>
    <t>3194 W Nine Mile Road</t>
  </si>
  <si>
    <t>32534</t>
  </si>
  <si>
    <t>Southern Environmental, Inc</t>
  </si>
  <si>
    <t>6690 West Nine Mile Road</t>
  </si>
  <si>
    <t>32526</t>
  </si>
  <si>
    <t>Servoindustrial</t>
  </si>
  <si>
    <t>uno waspan
managua</t>
  </si>
  <si>
    <t>managua</t>
  </si>
  <si>
    <t>11000</t>
  </si>
  <si>
    <t>APR Energy</t>
  </si>
  <si>
    <t>Churchill Downs Racetrack, LLC</t>
  </si>
  <si>
    <t>4520 Poplar Level Road</t>
  </si>
  <si>
    <t>40213</t>
  </si>
  <si>
    <t>Heart Utilities</t>
  </si>
  <si>
    <t>jacksonville</t>
  </si>
  <si>
    <t>City of Fairburn</t>
  </si>
  <si>
    <t>106 Howell Avenue</t>
  </si>
  <si>
    <t>Fairburn</t>
  </si>
  <si>
    <t>30213</t>
  </si>
  <si>
    <t>City of Palmetto</t>
  </si>
  <si>
    <t>509 Toombs Street</t>
  </si>
  <si>
    <t>Palmetto</t>
  </si>
  <si>
    <t>30268</t>
  </si>
  <si>
    <t>CITY OF LAWRENCEVILLE</t>
  </si>
  <si>
    <t>18 SOUTH CLAYTON STREET</t>
  </si>
  <si>
    <t>LAWRENCEVILLE</t>
  </si>
  <si>
    <t>30046</t>
  </si>
  <si>
    <t>City of Sandersville</t>
  </si>
  <si>
    <t>319 N. Smith St.</t>
  </si>
  <si>
    <t>Sandersville</t>
  </si>
  <si>
    <t>Tri-County EMC (GA)</t>
  </si>
  <si>
    <t>Hwy 129 North</t>
  </si>
  <si>
    <t>Gray</t>
  </si>
  <si>
    <t>BHMG Engineers Inc.</t>
  </si>
  <si>
    <t>630 Jeffco Blvd</t>
  </si>
  <si>
    <t>Arnold</t>
  </si>
  <si>
    <t>Missouri</t>
  </si>
  <si>
    <t>63010</t>
  </si>
  <si>
    <t>Savannah River Nuclear Solutions LLC</t>
  </si>
  <si>
    <t>203 LAURENS ST SW</t>
  </si>
  <si>
    <t>Graybar</t>
  </si>
  <si>
    <t>2204 Turner Avenue Northwest</t>
  </si>
  <si>
    <t>Grand Rapids</t>
  </si>
  <si>
    <t>49504</t>
  </si>
  <si>
    <t>AK Tube LLC</t>
  </si>
  <si>
    <t>30400 E Broadway St</t>
  </si>
  <si>
    <t>Walbridge</t>
  </si>
  <si>
    <t>Ohio</t>
  </si>
  <si>
    <t>43465</t>
  </si>
  <si>
    <t>Energy by Native American Design</t>
  </si>
  <si>
    <t>329 W. College St.</t>
  </si>
  <si>
    <t>Ladoga</t>
  </si>
  <si>
    <t>47954</t>
  </si>
  <si>
    <t>Crus Oil Inc.</t>
  </si>
  <si>
    <t>2260 South West Temple</t>
  </si>
  <si>
    <t>South Salt Lake</t>
  </si>
  <si>
    <t>84115</t>
  </si>
  <si>
    <t>Becker Mitchell Services (BMS)</t>
  </si>
  <si>
    <t>Metro Water Reclamation Dist O</t>
  </si>
  <si>
    <t>100 East Erie Street</t>
  </si>
  <si>
    <t>Chicago</t>
  </si>
  <si>
    <t>60611</t>
  </si>
  <si>
    <t>Hemco, Inc</t>
  </si>
  <si>
    <t>215 7th Way</t>
  </si>
  <si>
    <t>35010</t>
  </si>
  <si>
    <t>KT Industries, Inc (Los Angeles)</t>
  </si>
  <si>
    <t>3203 Fletcher Drive</t>
  </si>
  <si>
    <t>Los Angeles</t>
  </si>
  <si>
    <t>90065</t>
  </si>
  <si>
    <t>Westlake Chemical - LA</t>
  </si>
  <si>
    <t>1300 PPG Drive</t>
  </si>
  <si>
    <t>Lake Charles</t>
  </si>
  <si>
    <t>70669</t>
  </si>
  <si>
    <t>Goodyear Tire &amp; Rubber KS</t>
  </si>
  <si>
    <t>Northwest Highway 24 Road</t>
  </si>
  <si>
    <t>66608</t>
  </si>
  <si>
    <t>Metropolis Illinois</t>
  </si>
  <si>
    <t>106 West 5th Street</t>
  </si>
  <si>
    <t>Metropolis</t>
  </si>
  <si>
    <t>62960</t>
  </si>
  <si>
    <t>Village of Georgetown</t>
  </si>
  <si>
    <t>301 S. Main Street</t>
  </si>
  <si>
    <t>Georgetown</t>
  </si>
  <si>
    <t>45121</t>
  </si>
  <si>
    <t>International Paper Valliant</t>
  </si>
  <si>
    <t>IP Lane</t>
  </si>
  <si>
    <t>74764</t>
  </si>
  <si>
    <t>Pole Katz Recovery</t>
  </si>
  <si>
    <t>Arvine Pipe</t>
  </si>
  <si>
    <t>Crawford Environmental Services, LLC</t>
  </si>
  <si>
    <t>20 Cardinal Drive</t>
  </si>
  <si>
    <t>Birdsboro</t>
  </si>
  <si>
    <t>19508</t>
  </si>
  <si>
    <t>Bardwell City Utilities</t>
  </si>
  <si>
    <t>225 Front St</t>
  </si>
  <si>
    <t>Bardwell</t>
  </si>
  <si>
    <t>42023</t>
  </si>
  <si>
    <t>Coffeyville Municipal Light &amp; Power</t>
  </si>
  <si>
    <t>616 Spring St</t>
  </si>
  <si>
    <t>Coffeyville</t>
  </si>
  <si>
    <t>67337</t>
  </si>
  <si>
    <t>Flint Hills Rural Electric Coop Assn</t>
  </si>
  <si>
    <t>1564 S. 1000 Rd</t>
  </si>
  <si>
    <t>Council Grove</t>
  </si>
  <si>
    <t>66846</t>
  </si>
  <si>
    <t>Bluestem Electric Coop</t>
  </si>
  <si>
    <t>614 W US Highway 24</t>
  </si>
  <si>
    <t>Wamego</t>
  </si>
  <si>
    <t>66547</t>
  </si>
  <si>
    <t>City of Timpson Light &amp; Power</t>
  </si>
  <si>
    <t>456 Jacob Street</t>
  </si>
  <si>
    <t>Timpson</t>
  </si>
  <si>
    <t>75975</t>
  </si>
  <si>
    <t>EAM Nelson Holding</t>
  </si>
  <si>
    <t>2001 Timberloch PL</t>
  </si>
  <si>
    <t>Spring</t>
  </si>
  <si>
    <t>77380</t>
  </si>
  <si>
    <t>Lyntegar Electric Coop Inc</t>
  </si>
  <si>
    <t>1807 Main</t>
  </si>
  <si>
    <t>Tahoka</t>
  </si>
  <si>
    <t>79373</t>
  </si>
  <si>
    <t>City of Smithville (TX)</t>
  </si>
  <si>
    <t>317 Main Street</t>
  </si>
  <si>
    <t>Smithville</t>
  </si>
  <si>
    <t>78957</t>
  </si>
  <si>
    <t>San Patricio Electric Coop</t>
  </si>
  <si>
    <t>402 E Sinton St</t>
  </si>
  <si>
    <t>Sinton</t>
  </si>
  <si>
    <t>78387</t>
  </si>
  <si>
    <t>Gardner Municipal Utility System</t>
  </si>
  <si>
    <t>1150 E. Santa Fe St.</t>
  </si>
  <si>
    <t>Gardner</t>
  </si>
  <si>
    <t>66030</t>
  </si>
  <si>
    <t>Seymour Utilities (MO)</t>
  </si>
  <si>
    <t>114 East Washington</t>
  </si>
  <si>
    <t>Seymour</t>
  </si>
  <si>
    <t>65746</t>
  </si>
  <si>
    <t>Burlington Municipal Utility Department</t>
  </si>
  <si>
    <t>P.O. Box 207; 119 S 12th</t>
  </si>
  <si>
    <t>Burlington</t>
  </si>
  <si>
    <t>66839</t>
  </si>
  <si>
    <t>Heartland Rural Electric Coop</t>
  </si>
  <si>
    <t>Ninnescah Rural Electric Cooperative</t>
  </si>
  <si>
    <t>275 NE 20th St</t>
  </si>
  <si>
    <t>Pratt</t>
  </si>
  <si>
    <t>67214</t>
  </si>
  <si>
    <t>Sumner Cowley Electric Coop</t>
  </si>
  <si>
    <t>2223 N A Street</t>
  </si>
  <si>
    <t>Wellington</t>
  </si>
  <si>
    <t>67152</t>
  </si>
  <si>
    <t>Shell Chemical LP - Geismar LA</t>
  </si>
  <si>
    <t>7594-75</t>
  </si>
  <si>
    <t>Geismar</t>
  </si>
  <si>
    <t>70734</t>
  </si>
  <si>
    <t>Steelville Municipal Utilities</t>
  </si>
  <si>
    <t>895 Frisco Street P.O. Box M</t>
  </si>
  <si>
    <t>Steelville</t>
  </si>
  <si>
    <t>65565</t>
  </si>
  <si>
    <t>Caney Valley Electric Cooperative</t>
  </si>
  <si>
    <t>401 Lawrence St,</t>
  </si>
  <si>
    <t>Cedar Vale</t>
  </si>
  <si>
    <t>67024</t>
  </si>
  <si>
    <t>Frank Marshall Electric</t>
  </si>
  <si>
    <t>1043 Oliver Ave</t>
  </si>
  <si>
    <t>Aurora</t>
  </si>
  <si>
    <t>60506</t>
  </si>
  <si>
    <t>River City Demolition</t>
  </si>
  <si>
    <t>2226 W Clark St</t>
  </si>
  <si>
    <t>Peoria</t>
  </si>
  <si>
    <t>61607</t>
  </si>
  <si>
    <t>Triec Electrical Services</t>
  </si>
  <si>
    <t>1630 Progress Drive</t>
  </si>
  <si>
    <t>45505</t>
  </si>
  <si>
    <t>Kaiser Aluminum</t>
  </si>
  <si>
    <t>5205 Kaiser Drive</t>
  </si>
  <si>
    <t>Kalamazoo</t>
  </si>
  <si>
    <t>49048</t>
  </si>
  <si>
    <t>Butler Rural Electric Coop</t>
  </si>
  <si>
    <t>216 S. Vine P.O. Box 1242</t>
  </si>
  <si>
    <t>El Dorado</t>
  </si>
  <si>
    <t>67042</t>
  </si>
  <si>
    <t>Kaw Valley Electric Coop</t>
  </si>
  <si>
    <t>Rolling Hills Electric Coop</t>
  </si>
  <si>
    <t>Prairie Land Electric Coop</t>
  </si>
  <si>
    <t>14935 US-36</t>
  </si>
  <si>
    <t>Norton</t>
  </si>
  <si>
    <t>67654</t>
  </si>
  <si>
    <t>Wheatland Electric Coop</t>
  </si>
  <si>
    <t>101 Main Street  /  PO Box 230</t>
  </si>
  <si>
    <t>Scott City</t>
  </si>
  <si>
    <t>67871</t>
  </si>
  <si>
    <t>City of Kingman Electric Department</t>
  </si>
  <si>
    <t>Kingman</t>
  </si>
  <si>
    <t>67068</t>
  </si>
  <si>
    <t>CMS Electric Coop</t>
  </si>
  <si>
    <t>509 E. Carthage</t>
  </si>
  <si>
    <t>Meade</t>
  </si>
  <si>
    <t>Ks</t>
  </si>
  <si>
    <t>67864</t>
  </si>
  <si>
    <t>Larned Municipal Electric</t>
  </si>
  <si>
    <t>215 W.3rd St</t>
  </si>
  <si>
    <t>Larned</t>
  </si>
  <si>
    <t>67550</t>
  </si>
  <si>
    <t>Horton (KS) Electric Department</t>
  </si>
  <si>
    <t>Horton</t>
  </si>
  <si>
    <t>66439</t>
  </si>
  <si>
    <t>City of Harrisonville (MO) - USE OTHER ACCOUNT</t>
  </si>
  <si>
    <t>300 E. Pearl Street_x000D_
P.O. Box 367</t>
  </si>
  <si>
    <t>Harrisonville</t>
  </si>
  <si>
    <t>64701</t>
  </si>
  <si>
    <t>City of New Madrid (MO)</t>
  </si>
  <si>
    <t>560 Mott St.</t>
  </si>
  <si>
    <t>New Madrid</t>
  </si>
  <si>
    <t>63869</t>
  </si>
  <si>
    <t>Centralia Power and Light (MO)</t>
  </si>
  <si>
    <t>114 S Rollins St</t>
  </si>
  <si>
    <t>Centralia, MO</t>
  </si>
  <si>
    <t>P.S. Demolition</t>
  </si>
  <si>
    <t>40 Prairie Park Dr</t>
  </si>
  <si>
    <t>Wheeling</t>
  </si>
  <si>
    <t>60090</t>
  </si>
  <si>
    <t>Redline Demolition</t>
  </si>
  <si>
    <t>2600 S Throop St</t>
  </si>
  <si>
    <t>60608</t>
  </si>
  <si>
    <t>Patrick Engineering</t>
  </si>
  <si>
    <t>300 W Edwards St # 200</t>
  </si>
  <si>
    <t>62704</t>
  </si>
  <si>
    <t>National Wrecking Company</t>
  </si>
  <si>
    <t>2441 N Leavitt St</t>
  </si>
  <si>
    <t>60647</t>
  </si>
  <si>
    <t>MKD Electric</t>
  </si>
  <si>
    <t>2590 Alft Ln Unit A</t>
  </si>
  <si>
    <t>Elgin</t>
  </si>
  <si>
    <t>60123</t>
  </si>
  <si>
    <t>Milburn Demolition &amp; Dismantling</t>
  </si>
  <si>
    <t>620 28th Ave</t>
  </si>
  <si>
    <t>Bellwood</t>
  </si>
  <si>
    <t>60104</t>
  </si>
  <si>
    <t>dck Worldwide</t>
  </si>
  <si>
    <t>Six PPG Place  Suite 700</t>
  </si>
  <si>
    <t>Pittsburgh</t>
  </si>
  <si>
    <t>15222</t>
  </si>
  <si>
    <t>Dicastal North America, Inc</t>
  </si>
  <si>
    <t>1 Dicastal Drive</t>
  </si>
  <si>
    <t>48838</t>
  </si>
  <si>
    <t>Boudreau Pipeline Corp.</t>
  </si>
  <si>
    <t>463 N. Smith Ave</t>
  </si>
  <si>
    <t>Corona</t>
  </si>
  <si>
    <t>92880</t>
  </si>
  <si>
    <t>Truth or Consequences Electric Utility</t>
  </si>
  <si>
    <t>505 Sims</t>
  </si>
  <si>
    <t>Truth or Consequences</t>
  </si>
  <si>
    <t>87901</t>
  </si>
  <si>
    <t>Ibid County Electric</t>
  </si>
  <si>
    <t>1523 Norton Avenue</t>
  </si>
  <si>
    <t>Benton Harbor</t>
  </si>
  <si>
    <t>49022</t>
  </si>
  <si>
    <t>Midwest Wrecking</t>
  </si>
  <si>
    <t>7N540 Il Route 25</t>
  </si>
  <si>
    <t>60120</t>
  </si>
  <si>
    <t>McDonagh Demolition, Inc.</t>
  </si>
  <si>
    <t>7243 W Touhy Ave</t>
  </si>
  <si>
    <t>60631</t>
  </si>
  <si>
    <t>City of Hillsboro Electric Department</t>
  </si>
  <si>
    <t>118 E Grand Ave</t>
  </si>
  <si>
    <t>Hillsboro</t>
  </si>
  <si>
    <t>67063</t>
  </si>
  <si>
    <t>Integrated Demolition</t>
  </si>
  <si>
    <t>1312 Prospect Avenue</t>
  </si>
  <si>
    <t>60480</t>
  </si>
  <si>
    <t>WEST OREGON Electric COOP</t>
  </si>
  <si>
    <t>652 Rose Ave</t>
  </si>
  <si>
    <t>Vernonia</t>
  </si>
  <si>
    <t>OR</t>
  </si>
  <si>
    <t>97064</t>
  </si>
  <si>
    <t>City of Galt (MO)</t>
  </si>
  <si>
    <t>126 N Main St</t>
  </si>
  <si>
    <t>Galt</t>
  </si>
  <si>
    <t>64641</t>
  </si>
  <si>
    <t>Four R Marketing</t>
  </si>
  <si>
    <t>Smackover</t>
  </si>
  <si>
    <t>DSL Electric, Inc.</t>
  </si>
  <si>
    <t>3601 Fosters Industrial Drive</t>
  </si>
  <si>
    <t>Rutherford EMC</t>
  </si>
  <si>
    <t>186 Hudlow Rd</t>
  </si>
  <si>
    <t>28043</t>
  </si>
  <si>
    <t>Seneca Light &amp; Water</t>
  </si>
  <si>
    <t>250 E North 2nd St</t>
  </si>
  <si>
    <t>Seneca</t>
  </si>
  <si>
    <t>29678</t>
  </si>
  <si>
    <t>Park Ridge Department Utilities</t>
  </si>
  <si>
    <t>53 Park ave</t>
  </si>
  <si>
    <t>Park Ridge</t>
  </si>
  <si>
    <t>7656</t>
  </si>
  <si>
    <t>York Electric</t>
  </si>
  <si>
    <t>1385 Alexander Love Hwy</t>
  </si>
  <si>
    <t>29745</t>
  </si>
  <si>
    <t>City of Kings Mountain Electric Division</t>
  </si>
  <si>
    <t>1013 N Piedmont Ave</t>
  </si>
  <si>
    <t>Kings Mountain</t>
  </si>
  <si>
    <t>28086</t>
  </si>
  <si>
    <t>Gaffney Public Works</t>
  </si>
  <si>
    <t>210 E Frederick St</t>
  </si>
  <si>
    <t>Gaffney</t>
  </si>
  <si>
    <t>29340</t>
  </si>
  <si>
    <t>CME Associates</t>
  </si>
  <si>
    <t>3141 Bordertown Ave</t>
  </si>
  <si>
    <t>Parlin</t>
  </si>
  <si>
    <t>8859</t>
  </si>
  <si>
    <t>Haywood Electric</t>
  </si>
  <si>
    <t>376 Grindstone Rd</t>
  </si>
  <si>
    <t>Waynesville</t>
  </si>
  <si>
    <t>28785</t>
  </si>
  <si>
    <t>Reserve Management Group</t>
  </si>
  <si>
    <t>1831 E. Highland Road</t>
  </si>
  <si>
    <t>Twinsburg</t>
  </si>
  <si>
    <t>44087</t>
  </si>
  <si>
    <t>Heneghan Wrecking Co.</t>
  </si>
  <si>
    <t>1321 W Concord Pl</t>
  </si>
  <si>
    <t>60642</t>
  </si>
  <si>
    <t>City of Cheney</t>
  </si>
  <si>
    <t>112 Anderson rd</t>
  </si>
  <si>
    <t>Cheney</t>
  </si>
  <si>
    <t>Wa</t>
  </si>
  <si>
    <t>99004</t>
  </si>
  <si>
    <t>Kootenai Electric Coop</t>
  </si>
  <si>
    <t>2451 W Dakota Ave</t>
  </si>
  <si>
    <t>Hayden</t>
  </si>
  <si>
    <t>ID</t>
  </si>
  <si>
    <t>83835</t>
  </si>
  <si>
    <t>Milltown Electric Department</t>
  </si>
  <si>
    <t>Border States Electric</t>
  </si>
  <si>
    <t>Pewaukee</t>
  </si>
  <si>
    <t>City of Easton (MO)</t>
  </si>
  <si>
    <t>106 Woodward Street</t>
  </si>
  <si>
    <t>64443</t>
  </si>
  <si>
    <t>ALBANY LIGHT &amp; WATER DEPT (MO)</t>
  </si>
  <si>
    <t>106 E Clay St</t>
  </si>
  <si>
    <t>64402</t>
  </si>
  <si>
    <t>Stantec</t>
  </si>
  <si>
    <t>601 SW 2nd Avenue, Suite 1400</t>
  </si>
  <si>
    <t>Portland</t>
  </si>
  <si>
    <t>97204</t>
  </si>
  <si>
    <t>Butler Electric Light and Power</t>
  </si>
  <si>
    <t>1 Ace Rd.</t>
  </si>
  <si>
    <t>Butler</t>
  </si>
  <si>
    <t>7405</t>
  </si>
  <si>
    <t>Socorro Electric Coop Inc</t>
  </si>
  <si>
    <t>215 Manzanares Ave</t>
  </si>
  <si>
    <t>Socorro</t>
  </si>
  <si>
    <t>87801</t>
  </si>
  <si>
    <t>Springer Electric Coop</t>
  </si>
  <si>
    <t>420 Maxwell Ave</t>
  </si>
  <si>
    <t>Springer</t>
  </si>
  <si>
    <t>Farmington Electric Utility System (NM)</t>
  </si>
  <si>
    <t>101 N Browning Pkwy</t>
  </si>
  <si>
    <t>Farmington</t>
  </si>
  <si>
    <t>87401</t>
  </si>
  <si>
    <t>Jemez Mountains Electric Coop Inc</t>
  </si>
  <si>
    <t>19365 U.S. 84</t>
  </si>
  <si>
    <t>Hernandez</t>
  </si>
  <si>
    <t>87537</t>
  </si>
  <si>
    <t>140 Van Ply Rd</t>
  </si>
  <si>
    <t>Oakdale</t>
  </si>
  <si>
    <t>71463</t>
  </si>
  <si>
    <t>Goldthwaite Utilities</t>
  </si>
  <si>
    <t>1218 Fisher St</t>
  </si>
  <si>
    <t>Goldthwaite</t>
  </si>
  <si>
    <t>76844</t>
  </si>
  <si>
    <t>City of Goldsmith TX</t>
  </si>
  <si>
    <t>70741</t>
  </si>
  <si>
    <t>Saint Paul City Utilities (NE)</t>
  </si>
  <si>
    <t>704 6th Street</t>
  </si>
  <si>
    <t>St Paul</t>
  </si>
  <si>
    <t>68873</t>
  </si>
  <si>
    <t>Electric Barn</t>
  </si>
  <si>
    <t>121 Lafayette Road</t>
  </si>
  <si>
    <t>North Hampton</t>
  </si>
  <si>
    <t>NH</t>
  </si>
  <si>
    <t>3862</t>
  </si>
  <si>
    <t>City of Syracuse Utilities</t>
  </si>
  <si>
    <t>495 Midland St</t>
  </si>
  <si>
    <t>Syracuse</t>
  </si>
  <si>
    <t>68446</t>
  </si>
  <si>
    <t>Superior Utilities (NE)</t>
  </si>
  <si>
    <t>135 W 4th St</t>
  </si>
  <si>
    <t>68978</t>
  </si>
  <si>
    <t>Ord City Light Department (NE)</t>
  </si>
  <si>
    <t>200 S 17th St</t>
  </si>
  <si>
    <t>Ord</t>
  </si>
  <si>
    <t>68862</t>
  </si>
  <si>
    <t>H Brown Cranes &amp; Rigging</t>
  </si>
  <si>
    <t>Vineland Municipal Electric Utility</t>
  </si>
  <si>
    <t>Central City Utilities (NE)</t>
  </si>
  <si>
    <t>1702 31st Street</t>
  </si>
  <si>
    <t>Central City</t>
  </si>
  <si>
    <t>68826</t>
  </si>
  <si>
    <t>South River Board of Public Works</t>
  </si>
  <si>
    <t>Sustainment &amp; Restoration Services, LLC</t>
  </si>
  <si>
    <t>79 West Monroe, Suite 1119</t>
  </si>
  <si>
    <t>60603</t>
  </si>
  <si>
    <t>Stantec - FL project</t>
  </si>
  <si>
    <t>601 SW 2nd AV</t>
  </si>
  <si>
    <t>High Energy Electrical Testing Inc.</t>
  </si>
  <si>
    <t>515 South Ocean Ave</t>
  </si>
  <si>
    <t>Seaside Park</t>
  </si>
  <si>
    <t>8752</t>
  </si>
  <si>
    <t>NV5 Engineering Architecture</t>
  </si>
  <si>
    <t>200 South Park Road, Suite 350</t>
  </si>
  <si>
    <t>Hollywood</t>
  </si>
  <si>
    <t>33021</t>
  </si>
  <si>
    <t>Public Service Electric and Gas Co [PSE&amp;G]</t>
  </si>
  <si>
    <t>Wickenburg Utilities</t>
  </si>
  <si>
    <t>533 W. Wickenburg Way</t>
  </si>
  <si>
    <t>Wickenburg</t>
  </si>
  <si>
    <t>85390</t>
  </si>
  <si>
    <t>Wasatch Electric</t>
  </si>
  <si>
    <t>2455 West 1500 South Suite A</t>
  </si>
  <si>
    <t>Salt Lake City</t>
  </si>
  <si>
    <t>84104</t>
  </si>
  <si>
    <t>Madison Borough Electric</t>
  </si>
  <si>
    <t>Perry Videx</t>
  </si>
  <si>
    <t>Franklin EMC</t>
  </si>
  <si>
    <t>225 W. Franklin St</t>
  </si>
  <si>
    <t>35653</t>
  </si>
  <si>
    <t>Courtland Electric Department</t>
  </si>
  <si>
    <t>361 College St</t>
  </si>
  <si>
    <t>Courtland</t>
  </si>
  <si>
    <t>35618</t>
  </si>
  <si>
    <t>Sussex Rural Electric Coop (SREC)</t>
  </si>
  <si>
    <t>Sheridan Electric Co-Op</t>
  </si>
  <si>
    <t>6408 MT-16</t>
  </si>
  <si>
    <t>Medicine Lake</t>
  </si>
  <si>
    <t>MT</t>
  </si>
  <si>
    <t>59247</t>
  </si>
  <si>
    <t>City of St. Robert, Dept of Public Works (MO)</t>
  </si>
  <si>
    <t>194 Eastlawn Ave, Ste A</t>
  </si>
  <si>
    <t>St Robert</t>
  </si>
  <si>
    <t>65584</t>
  </si>
  <si>
    <t>Johnson County Rural Electric Membership Corp  [JCREMC]</t>
  </si>
  <si>
    <t>750 International Drive</t>
  </si>
  <si>
    <t>46131</t>
  </si>
  <si>
    <t>Northeastern REMC (IN)</t>
  </si>
  <si>
    <t>4901 E Park 30 Dr</t>
  </si>
  <si>
    <t>Columbia City</t>
  </si>
  <si>
    <t>46725</t>
  </si>
  <si>
    <t>NiSource</t>
  </si>
  <si>
    <t>Raystone</t>
  </si>
  <si>
    <t>Valpo</t>
  </si>
  <si>
    <t>Anderson Municipal Light &amp; Power</t>
  </si>
  <si>
    <t>550 Baxter Rd</t>
  </si>
  <si>
    <t>Anderson</t>
  </si>
  <si>
    <t>46011</t>
  </si>
  <si>
    <t>Hoosier Energy Rural Electric Cooperative, Inc.</t>
  </si>
  <si>
    <t>2501 Cooperative Way</t>
  </si>
  <si>
    <t>Bloomington</t>
  </si>
  <si>
    <t>47403</t>
  </si>
  <si>
    <t>Utility Technology Association</t>
  </si>
  <si>
    <t>P.O. Box 695</t>
  </si>
  <si>
    <t>Clermont</t>
  </si>
  <si>
    <t>30527</t>
  </si>
  <si>
    <t>Pendleton Municipal Electric Co</t>
  </si>
  <si>
    <t>100 West State St</t>
  </si>
  <si>
    <t>Pendleton</t>
  </si>
  <si>
    <t>46064</t>
  </si>
  <si>
    <t>Irby Pensacola</t>
  </si>
  <si>
    <t>5208 Sycamore Dr</t>
  </si>
  <si>
    <t>32503</t>
  </si>
  <si>
    <t>Lawrenceburg Electric Dept</t>
  </si>
  <si>
    <t>230 Walnut St</t>
  </si>
  <si>
    <t>Lawrenceburg</t>
  </si>
  <si>
    <t>47025</t>
  </si>
  <si>
    <t>City Electric Supply Pensacola South</t>
  </si>
  <si>
    <t>3717 W. Navy Blvd</t>
  </si>
  <si>
    <t>32507</t>
  </si>
  <si>
    <t>Brandenburg Industrial Service Company</t>
  </si>
  <si>
    <t>2625 S. Loomis Street</t>
  </si>
  <si>
    <t>Brandenburg Industrial Services Company</t>
  </si>
  <si>
    <t>2217 Spillman Dr</t>
  </si>
  <si>
    <t>Bethlehem</t>
  </si>
  <si>
    <t>18015</t>
  </si>
  <si>
    <t>Homrich</t>
  </si>
  <si>
    <t>200 Matlin Road</t>
  </si>
  <si>
    <t>Carleton</t>
  </si>
  <si>
    <t>48117</t>
  </si>
  <si>
    <t>South Central REMC</t>
  </si>
  <si>
    <t>300 Morton Avenue</t>
  </si>
  <si>
    <t>46151-2472</t>
  </si>
  <si>
    <t>TVA - Tennessee Valley Authority</t>
  </si>
  <si>
    <t>Muscle Shoals</t>
  </si>
  <si>
    <t>Carroll-White Co REMC</t>
  </si>
  <si>
    <t>302 North Sixth Street</t>
  </si>
  <si>
    <t>Monticello</t>
  </si>
  <si>
    <t>47960</t>
  </si>
  <si>
    <t>Premier Power</t>
  </si>
  <si>
    <t>6525 Guion Road</t>
  </si>
  <si>
    <t>Jamestown Municipal Light Dept</t>
  </si>
  <si>
    <t>421 E. Main St.</t>
  </si>
  <si>
    <t>Jamestown</t>
  </si>
  <si>
    <t>46147</t>
  </si>
  <si>
    <t>Planters EMC</t>
  </si>
  <si>
    <t>Millen</t>
  </si>
  <si>
    <t>Brooklyn Municipal Utilities</t>
  </si>
  <si>
    <t>PO Box 159</t>
  </si>
  <si>
    <t>Brooklyn</t>
  </si>
  <si>
    <t>46111</t>
  </si>
  <si>
    <t>Diverse Power</t>
  </si>
  <si>
    <t>Cuthbert</t>
  </si>
  <si>
    <t>Middle Georgia EMC</t>
  </si>
  <si>
    <t>Vienna</t>
  </si>
  <si>
    <t>City of LaGrange</t>
  </si>
  <si>
    <t>303 Lukken Industrial Dr.</t>
  </si>
  <si>
    <t>Alamo Transformer - Houston</t>
  </si>
  <si>
    <t>10220 Mykawa</t>
  </si>
  <si>
    <t>77048</t>
  </si>
  <si>
    <t>Sierra Pacific Industries</t>
  </si>
  <si>
    <t>19794 Riverside Ave</t>
  </si>
  <si>
    <t>96007</t>
  </si>
  <si>
    <t>Dublin Municipal Electric Light System</t>
  </si>
  <si>
    <t>2250 E Cumberland St.</t>
  </si>
  <si>
    <t>Dublin</t>
  </si>
  <si>
    <t>47335</t>
  </si>
  <si>
    <t>RMS Energy</t>
  </si>
  <si>
    <t>7852 Langham Way</t>
  </si>
  <si>
    <t>46259</t>
  </si>
  <si>
    <t>WBFF</t>
  </si>
  <si>
    <t>2000 west 41st street</t>
  </si>
  <si>
    <t>21221</t>
  </si>
  <si>
    <t>DARLINGTON LIGHT &amp; POWER</t>
  </si>
  <si>
    <t>222 W. Main St.</t>
  </si>
  <si>
    <t>Darlington</t>
  </si>
  <si>
    <t>47940</t>
  </si>
  <si>
    <t>PITTSBORO MUNICIPAL UTILITY</t>
  </si>
  <si>
    <t>80 North Meridian St.</t>
  </si>
  <si>
    <t>Pittsboro</t>
  </si>
  <si>
    <t>46167</t>
  </si>
  <si>
    <t>Ferdinand Light &amp; Water Plant</t>
  </si>
  <si>
    <t>2065 Main St.</t>
  </si>
  <si>
    <t>Ferdinand</t>
  </si>
  <si>
    <t>47532</t>
  </si>
  <si>
    <t>EMG Remediation Services</t>
  </si>
  <si>
    <t>5066 Rear West Chester Pike</t>
  </si>
  <si>
    <t>Edgemont</t>
  </si>
  <si>
    <t>19028</t>
  </si>
  <si>
    <t>Co-Mo Electric Coop</t>
  </si>
  <si>
    <t>29868 Hwy 5</t>
  </si>
  <si>
    <t>Tipton</t>
  </si>
  <si>
    <t>65081-0220</t>
  </si>
  <si>
    <t>Boone Electric Coop</t>
  </si>
  <si>
    <t>1413 Rangeline St, PO Box 797</t>
  </si>
  <si>
    <t>65205-0797</t>
  </si>
  <si>
    <t>Brookston Municipal Utilities</t>
  </si>
  <si>
    <t>205 E. Third St</t>
  </si>
  <si>
    <t>Brookston</t>
  </si>
  <si>
    <t>47923</t>
  </si>
  <si>
    <t>THORNTOWN UTILITIES</t>
  </si>
  <si>
    <t>109 W Main St,</t>
  </si>
  <si>
    <t>Thornton</t>
  </si>
  <si>
    <t>46071</t>
  </si>
  <si>
    <t>Keller Electrical Industries</t>
  </si>
  <si>
    <t>1881 East University Drive</t>
  </si>
  <si>
    <t>Colorado River Indian Irrigation Project</t>
  </si>
  <si>
    <t>12000 1st Ave</t>
  </si>
  <si>
    <t>Parker</t>
  </si>
  <si>
    <t>Az</t>
  </si>
  <si>
    <t>85344</t>
  </si>
  <si>
    <t>Woodstock Power</t>
  </si>
  <si>
    <t>PO Box 2796</t>
  </si>
  <si>
    <t>Bala Cynwyd</t>
  </si>
  <si>
    <t>19004</t>
  </si>
  <si>
    <t>Vaughn Industries</t>
  </si>
  <si>
    <t>1201 E. Findlay Street</t>
  </si>
  <si>
    <t>Holly Springs Utilities</t>
  </si>
  <si>
    <t>1050 Highway four</t>
  </si>
  <si>
    <t>Holly Springs</t>
  </si>
  <si>
    <t>38635</t>
  </si>
  <si>
    <t>Tillamook Peoples Utility</t>
  </si>
  <si>
    <t>1115 Pacific Ave</t>
  </si>
  <si>
    <t>Tillamook</t>
  </si>
  <si>
    <t>97141</t>
  </si>
  <si>
    <t>CANNELTON UTILITIES</t>
  </si>
  <si>
    <t>610 Washington St.</t>
  </si>
  <si>
    <t>Cannelton</t>
  </si>
  <si>
    <t>47520</t>
  </si>
  <si>
    <t>IN Muni Avilla</t>
  </si>
  <si>
    <t>108 S Main Street</t>
  </si>
  <si>
    <t>Avilla</t>
  </si>
  <si>
    <t>46710</t>
  </si>
  <si>
    <t>Frankton Municipal Light &amp; Water Co</t>
  </si>
  <si>
    <t>108 E. Sigler St.</t>
  </si>
  <si>
    <t>Frankton</t>
  </si>
  <si>
    <t>46044</t>
  </si>
  <si>
    <t>Veedersburg Municipal Electric Dept</t>
  </si>
  <si>
    <t>100 South Main Street</t>
  </si>
  <si>
    <t>Veedersburg</t>
  </si>
  <si>
    <t>47987</t>
  </si>
  <si>
    <t>Frederick Municipal Light</t>
  </si>
  <si>
    <t>401 Locust St</t>
  </si>
  <si>
    <t>Frederick</t>
  </si>
  <si>
    <t>80530</t>
  </si>
  <si>
    <t>Fort Supply, OK</t>
  </si>
  <si>
    <t>Fort Supply</t>
  </si>
  <si>
    <t>1400 S. Davis Rd</t>
  </si>
  <si>
    <t>30241</t>
  </si>
  <si>
    <t>Miami Transformers (TGC)</t>
  </si>
  <si>
    <t>13935 SW 252 Street</t>
  </si>
  <si>
    <t>Miami</t>
  </si>
  <si>
    <t>33032</t>
  </si>
  <si>
    <t>Anixter Inc</t>
  </si>
  <si>
    <t>1100 Old State Road</t>
  </si>
  <si>
    <t>Mattoon</t>
  </si>
  <si>
    <t>61938</t>
  </si>
  <si>
    <t>Empire Electric Association</t>
  </si>
  <si>
    <t>801 N Broadway</t>
  </si>
  <si>
    <t>Cortez</t>
  </si>
  <si>
    <t>81321</t>
  </si>
  <si>
    <t>City Light And Power</t>
  </si>
  <si>
    <t>6170 Guardian Gateway suite 108</t>
  </si>
  <si>
    <t>Aberdeen Proving Grounds</t>
  </si>
  <si>
    <t>21005</t>
  </si>
  <si>
    <t>Adco Services</t>
  </si>
  <si>
    <t>7541 W. Cashew Drive</t>
  </si>
  <si>
    <t>Fountain Electric Department</t>
  </si>
  <si>
    <t>6745 Southmoor Drive</t>
  </si>
  <si>
    <t>Fountain</t>
  </si>
  <si>
    <t>80817</t>
  </si>
  <si>
    <t>Cynergy Electric</t>
  </si>
  <si>
    <t>1612 Professional Blvd Suite H</t>
  </si>
  <si>
    <t>Crofton</t>
  </si>
  <si>
    <t>MD</t>
  </si>
  <si>
    <t>21114</t>
  </si>
  <si>
    <t>MJ Electric</t>
  </si>
  <si>
    <t>1200 Roosevelt RD. #400</t>
  </si>
  <si>
    <t>Glen Ellyn</t>
  </si>
  <si>
    <t>60137</t>
  </si>
  <si>
    <t>city of Danville VA</t>
  </si>
  <si>
    <t>427 Patton St</t>
  </si>
  <si>
    <t>San Isabel Electric</t>
  </si>
  <si>
    <t>781 E Industrial blvd</t>
  </si>
  <si>
    <t>Pueblo West</t>
  </si>
  <si>
    <t>Chem Station</t>
  </si>
  <si>
    <t>3400 Encrete Lane</t>
  </si>
  <si>
    <t>Dayton</t>
  </si>
  <si>
    <t>45439</t>
  </si>
  <si>
    <t>Anixter - OKC, OK</t>
  </si>
  <si>
    <t>8201 Pole Road</t>
  </si>
  <si>
    <t>73149</t>
  </si>
  <si>
    <t>Delta Montrose Coop</t>
  </si>
  <si>
    <t>11925 6300 Rd</t>
  </si>
  <si>
    <t>Montrose</t>
  </si>
  <si>
    <t>81401</t>
  </si>
  <si>
    <t>Loveland Light and Power</t>
  </si>
  <si>
    <t>200 N Wilson</t>
  </si>
  <si>
    <t>Loveland</t>
  </si>
  <si>
    <t>80537</t>
  </si>
  <si>
    <t>Poudre Valley REA Inc</t>
  </si>
  <si>
    <t>7649 REA Parkway</t>
  </si>
  <si>
    <t>Fort Collins</t>
  </si>
  <si>
    <t>80528</t>
  </si>
  <si>
    <t>South Alabama EMC</t>
  </si>
  <si>
    <t>13192 US-231</t>
  </si>
  <si>
    <t>Troy</t>
  </si>
  <si>
    <t>Midwest Electric Transformers</t>
  </si>
  <si>
    <t>Newton</t>
  </si>
  <si>
    <t>Tronox</t>
  </si>
  <si>
    <t>40034 Tronox Rd</t>
  </si>
  <si>
    <t>39746</t>
  </si>
  <si>
    <t>Salem Municipal (MO)</t>
  </si>
  <si>
    <t>400 N. Iron St.</t>
  </si>
  <si>
    <t>65560</t>
  </si>
  <si>
    <t>3M - Nevada, MO</t>
  </si>
  <si>
    <t>P.O. Box 327 2120 E. Austin</t>
  </si>
  <si>
    <t>Nevada</t>
  </si>
  <si>
    <t>64772</t>
  </si>
  <si>
    <t>Allgeier Martin &amp; Associates</t>
  </si>
  <si>
    <t>7231 East 24th street</t>
  </si>
  <si>
    <t>Joplin</t>
  </si>
  <si>
    <t>64803</t>
  </si>
  <si>
    <t>Argonne National Lab</t>
  </si>
  <si>
    <t>9600 Case Av</t>
  </si>
  <si>
    <t>Lemont</t>
  </si>
  <si>
    <t>60439</t>
  </si>
  <si>
    <t>Alcorn County Electric Association</t>
  </si>
  <si>
    <t>1909. Tate Street</t>
  </si>
  <si>
    <t>Corinth</t>
  </si>
  <si>
    <t>38834</t>
  </si>
  <si>
    <t>AEP-Columbus, OH</t>
  </si>
  <si>
    <t>1 Riverside Plaza</t>
  </si>
  <si>
    <t>43215</t>
  </si>
  <si>
    <t>Lakeland Electric</t>
  </si>
  <si>
    <t>1140 East Parker Street</t>
  </si>
  <si>
    <t>33801</t>
  </si>
  <si>
    <t>SouthEastern Illinois Electric Cooperative</t>
  </si>
  <si>
    <t>100 Cooperative Way</t>
  </si>
  <si>
    <t>Carrier Mills</t>
  </si>
  <si>
    <t>62917</t>
  </si>
  <si>
    <t>Lafarge-Holcim (IL)</t>
  </si>
  <si>
    <t>2500 Portland Rd</t>
  </si>
  <si>
    <t>Grand Chain</t>
  </si>
  <si>
    <t>62941</t>
  </si>
  <si>
    <t>Covington EMC</t>
  </si>
  <si>
    <t>18836 US Hwy 84 East</t>
  </si>
  <si>
    <t>Ameren</t>
  </si>
  <si>
    <t>PO Box 790098</t>
  </si>
  <si>
    <t>63179</t>
  </si>
  <si>
    <t>MJM ELECTRIC COOP</t>
  </si>
  <si>
    <t>18300 shipman road</t>
  </si>
  <si>
    <t>Carlinville</t>
  </si>
  <si>
    <t>62626-0080</t>
  </si>
  <si>
    <t>Electric Power Systems (St Louis, MO)</t>
  </si>
  <si>
    <t>10330 Page Industrial Blvd, Ste A</t>
  </si>
  <si>
    <t>63132</t>
  </si>
  <si>
    <t>General Machinery</t>
  </si>
  <si>
    <t>921 1st Avenue North</t>
  </si>
  <si>
    <t>35203</t>
  </si>
  <si>
    <t>AK Steel</t>
  </si>
  <si>
    <t>17400 State Route 16</t>
  </si>
  <si>
    <t>Coshocton</t>
  </si>
  <si>
    <t>43812</t>
  </si>
  <si>
    <t>Genesis Health</t>
  </si>
  <si>
    <t>Davenport</t>
  </si>
  <si>
    <t>52804</t>
  </si>
  <si>
    <t>City Of Wauchula</t>
  </si>
  <si>
    <t>1108 E Main St</t>
  </si>
  <si>
    <t>Wauchula</t>
  </si>
  <si>
    <t>33873</t>
  </si>
  <si>
    <t>Southern Illinois Electric Power</t>
  </si>
  <si>
    <t>11543 Lake Of Egypt Road</t>
  </si>
  <si>
    <t>Marion</t>
  </si>
  <si>
    <t>62959</t>
  </si>
  <si>
    <t>Southern Illinois Electric Coop [SIEC]</t>
  </si>
  <si>
    <t>7420 Old US Highway 51 S</t>
  </si>
  <si>
    <t>Dongola</t>
  </si>
  <si>
    <t>62926</t>
  </si>
  <si>
    <t>Elk Environmental</t>
  </si>
  <si>
    <t>1440 Carbon St</t>
  </si>
  <si>
    <t>Reading</t>
  </si>
  <si>
    <t>19601</t>
  </si>
  <si>
    <t>Riviera Utilities</t>
  </si>
  <si>
    <t>413 E Laurel Ave</t>
  </si>
  <si>
    <t>Foley</t>
  </si>
  <si>
    <t>36535</t>
  </si>
  <si>
    <t>MUB Albertville Utilities</t>
  </si>
  <si>
    <t>1728 Rose Rd</t>
  </si>
  <si>
    <t>Albertville</t>
  </si>
  <si>
    <t>35951</t>
  </si>
  <si>
    <t>PacifiCorp</t>
  </si>
  <si>
    <t>1407 W North Temple</t>
  </si>
  <si>
    <t>Salt Lake City/Bend</t>
  </si>
  <si>
    <t>84116</t>
  </si>
  <si>
    <t>Pacific Petroleum California Inc</t>
  </si>
  <si>
    <t>1615 Betteravia Rd</t>
  </si>
  <si>
    <t>93268</t>
  </si>
  <si>
    <t>MP Environmental</t>
  </si>
  <si>
    <t>3400 Manor Street</t>
  </si>
  <si>
    <t>93308</t>
  </si>
  <si>
    <t>Burlington Municipal Light and Power</t>
  </si>
  <si>
    <t>415 15th Street</t>
  </si>
  <si>
    <t>80807</t>
  </si>
  <si>
    <t>Aspen Electric Department</t>
  </si>
  <si>
    <t>130 S Galena St</t>
  </si>
  <si>
    <t>Aspen</t>
  </si>
  <si>
    <t>81611</t>
  </si>
  <si>
    <t>Environmental Works Inc</t>
  </si>
  <si>
    <t>1731 Locust St</t>
  </si>
  <si>
    <t>village of boonville</t>
  </si>
  <si>
    <t>13162 St Rt 12</t>
  </si>
  <si>
    <t>boonville</t>
  </si>
  <si>
    <t>13309</t>
  </si>
  <si>
    <t>village of Castile</t>
  </si>
  <si>
    <t>53 North Maine st</t>
  </si>
  <si>
    <t>castile</t>
  </si>
  <si>
    <t>14427</t>
  </si>
  <si>
    <t>Repurposed Materials</t>
  </si>
  <si>
    <t>13505 E 112th ave</t>
  </si>
  <si>
    <t>Brighton</t>
  </si>
  <si>
    <t>80603</t>
  </si>
  <si>
    <t>Fredonia Municipal Power</t>
  </si>
  <si>
    <t>1115 N 6th St</t>
  </si>
  <si>
    <t>Fredonia</t>
  </si>
  <si>
    <t>66736</t>
  </si>
  <si>
    <t>Bragg Crane</t>
  </si>
  <si>
    <t>6251 Paramount Blvd.</t>
  </si>
  <si>
    <t>Long Beach</t>
  </si>
  <si>
    <t>90801</t>
  </si>
  <si>
    <t>Hayden Wrecking</t>
  </si>
  <si>
    <t>4201 St Clair Ave</t>
  </si>
  <si>
    <t>Washington Park</t>
  </si>
  <si>
    <t>62203</t>
  </si>
  <si>
    <t>Dynamic Wrecking &amp; Excavation Inc</t>
  </si>
  <si>
    <t>16901 Van Dam Rd</t>
  </si>
  <si>
    <t>South Holland</t>
  </si>
  <si>
    <t>60473</t>
  </si>
  <si>
    <t>Delta Demolition</t>
  </si>
  <si>
    <t>6832 W North Ave, Suite 1A</t>
  </si>
  <si>
    <t>60707</t>
  </si>
  <si>
    <t>Break Thru Demolition</t>
  </si>
  <si>
    <t>315 Eisenhower Ln S</t>
  </si>
  <si>
    <t>Lombard</t>
  </si>
  <si>
    <t>60148</t>
  </si>
  <si>
    <t>Belleville Municipal Utilities</t>
  </si>
  <si>
    <t>1204 9th Street</t>
  </si>
  <si>
    <t>Belleville</t>
  </si>
  <si>
    <t>66935</t>
  </si>
  <si>
    <t>Z &amp; L Wrecking Co Inc</t>
  </si>
  <si>
    <t>5242 N Broadway</t>
  </si>
  <si>
    <t>63147</t>
  </si>
  <si>
    <t>Spirtas Company</t>
  </si>
  <si>
    <t>951 Skinker Pkwy</t>
  </si>
  <si>
    <t>63112</t>
  </si>
  <si>
    <t>Madget Demolition Inc</t>
  </si>
  <si>
    <t>2425 S 6Th St</t>
  </si>
  <si>
    <t>Saint Joseph</t>
  </si>
  <si>
    <t>64501</t>
  </si>
  <si>
    <t>Anza Electric Cooperative, Inc</t>
  </si>
  <si>
    <t>58470 Hwy 371</t>
  </si>
  <si>
    <t>Anza</t>
  </si>
  <si>
    <t>92539</t>
  </si>
  <si>
    <t>Industrial Salvage &amp; Wrecking Co Inc</t>
  </si>
  <si>
    <t>3570 Gardner Kansas City</t>
  </si>
  <si>
    <t>Houston Excavating &amp; Demolition</t>
  </si>
  <si>
    <t>5030 Nw Waukomis Dr</t>
  </si>
  <si>
    <t>Kansasn City</t>
  </si>
  <si>
    <t>64151</t>
  </si>
  <si>
    <t>Premier Demolition Inc</t>
  </si>
  <si>
    <t>5710 Wise Ave</t>
  </si>
  <si>
    <t>63110</t>
  </si>
  <si>
    <t>Toth &amp; Associates (Engineering Consultants)</t>
  </si>
  <si>
    <t>830 E Primrose St, Suite 200</t>
  </si>
  <si>
    <t>65807</t>
  </si>
  <si>
    <t>Eiberger Construction Inc</t>
  </si>
  <si>
    <t>17510 Nw Farley Hampton Rd</t>
  </si>
  <si>
    <t>64153</t>
  </si>
  <si>
    <t>Randall Construction</t>
  </si>
  <si>
    <t>3307 Clarcona Rd</t>
  </si>
  <si>
    <t>Apopka</t>
  </si>
  <si>
    <t>32703</t>
  </si>
  <si>
    <t>Urban Oil And Gas</t>
  </si>
  <si>
    <t>16030 Romulus Road</t>
  </si>
  <si>
    <t>Buhl</t>
  </si>
  <si>
    <t>35446</t>
  </si>
  <si>
    <t>Osage City Utility</t>
  </si>
  <si>
    <t>201 S 5th Street</t>
  </si>
  <si>
    <t>Osage City</t>
  </si>
  <si>
    <t>66523</t>
  </si>
  <si>
    <t>Kansas City Board of Public Utilities</t>
  </si>
  <si>
    <t>6742 Riverview</t>
  </si>
  <si>
    <t>66101</t>
  </si>
  <si>
    <t>Western Utility Transformer Services</t>
  </si>
  <si>
    <t>1010 North Plaza Drive</t>
  </si>
  <si>
    <t>Visalia</t>
  </si>
  <si>
    <t>93291</t>
  </si>
  <si>
    <t>Patriot Environmental Services</t>
  </si>
  <si>
    <t>4175 Lakeside Drive</t>
  </si>
  <si>
    <t>94806</t>
  </si>
  <si>
    <t>CM Taylor Electrical Contractors, Inc.</t>
  </si>
  <si>
    <t>427 Aaron St Suite E,</t>
  </si>
  <si>
    <t>Cotati</t>
  </si>
  <si>
    <t>94931</t>
  </si>
  <si>
    <t>ECTI</t>
  </si>
  <si>
    <t>957 Reece Street</t>
  </si>
  <si>
    <t>San Berardino</t>
  </si>
  <si>
    <t>92411</t>
  </si>
  <si>
    <t>Hugoton Water and Light Department</t>
  </si>
  <si>
    <t>1601 S. Washington</t>
  </si>
  <si>
    <t>Hugoton</t>
  </si>
  <si>
    <t>Dole Foods</t>
  </si>
  <si>
    <t>7916 Bellevue Road</t>
  </si>
  <si>
    <t>Atwater</t>
  </si>
  <si>
    <t>95301</t>
  </si>
  <si>
    <t>Garnett Municipal Utility Department</t>
  </si>
  <si>
    <t>131 W 5th Avenue, PO Box H</t>
  </si>
  <si>
    <t>Garnett</t>
  </si>
  <si>
    <t>66032</t>
  </si>
  <si>
    <t>AECC</t>
  </si>
  <si>
    <t>6308 Fly Rd</t>
  </si>
  <si>
    <t>GSD Demolition</t>
  </si>
  <si>
    <t>7135 South Lake Houston Parkway</t>
  </si>
  <si>
    <t>77049</t>
  </si>
  <si>
    <t>Sabetha Municipal Utility Department</t>
  </si>
  <si>
    <t>Sabetha</t>
  </si>
  <si>
    <t>66534</t>
  </si>
  <si>
    <t>Envirocom Asset Recovery / Global Asset Decommissioning</t>
  </si>
  <si>
    <t>4217 E. Main Ave.</t>
  </si>
  <si>
    <t>99202</t>
  </si>
  <si>
    <t>A-C-T Environmental Industrial &amp; Infrastructure</t>
  </si>
  <si>
    <t>1228 E 7th Av</t>
  </si>
  <si>
    <t>33605</t>
  </si>
  <si>
    <t>Palmer Electric</t>
  </si>
  <si>
    <t>216 McInnis St</t>
  </si>
  <si>
    <t>Petal</t>
  </si>
  <si>
    <t>39465</t>
  </si>
  <si>
    <t>Shell Chemical LP (Shell Oil)</t>
  </si>
  <si>
    <t>10700 LA 44</t>
  </si>
  <si>
    <t>Convent</t>
  </si>
  <si>
    <t>70723</t>
  </si>
  <si>
    <t>Sonoma Development Center</t>
  </si>
  <si>
    <t>15000 Arnold Drive</t>
  </si>
  <si>
    <t>Eldridge</t>
  </si>
  <si>
    <t>95431</t>
  </si>
  <si>
    <t>Western Jet Aviation</t>
  </si>
  <si>
    <t>16101 Saticoy St,</t>
  </si>
  <si>
    <t>Van Nuys</t>
  </si>
  <si>
    <t>91406</t>
  </si>
  <si>
    <t>North American Substation Services</t>
  </si>
  <si>
    <t>Altamonte Springs</t>
  </si>
  <si>
    <t>32714</t>
  </si>
  <si>
    <t>Greenville Transformer Company (TGC)</t>
  </si>
  <si>
    <t>1807 Church Street</t>
  </si>
  <si>
    <t>75401</t>
  </si>
  <si>
    <t>Surprise Valley Electrification Corp.</t>
  </si>
  <si>
    <t>516 U.S. Hwy 395E</t>
  </si>
  <si>
    <t>Alturas</t>
  </si>
  <si>
    <t>96101</t>
  </si>
  <si>
    <t>Tri-County Electric Coop</t>
  </si>
  <si>
    <t>6473 Old State Rd</t>
  </si>
  <si>
    <t>St Matthews</t>
  </si>
  <si>
    <t>29135</t>
  </si>
  <si>
    <t>Beloit Municipal Electric</t>
  </si>
  <si>
    <t>502 E 12th</t>
  </si>
  <si>
    <t>Beloit</t>
  </si>
  <si>
    <t>67420</t>
  </si>
  <si>
    <t>GE Energy</t>
  </si>
  <si>
    <t>1040 East Erie Ave</t>
  </si>
  <si>
    <t>19124</t>
  </si>
  <si>
    <t>Greater Gulf States Fairgrounds</t>
  </si>
  <si>
    <t>Johnson Steel</t>
  </si>
  <si>
    <t>Harquahala Generating Plant</t>
  </si>
  <si>
    <t>2530 N 491st Sve</t>
  </si>
  <si>
    <t>Tonopah</t>
  </si>
  <si>
    <t>85354</t>
  </si>
  <si>
    <t>Sullivan Power Solutions, PLLC</t>
  </si>
  <si>
    <t>Integrated Demolition &amp; Remediation</t>
  </si>
  <si>
    <t>4930 E La Palma Ave</t>
  </si>
  <si>
    <t>92807</t>
  </si>
  <si>
    <t>SRP Mesquite Generating Station</t>
  </si>
  <si>
    <t>37625 W Elliott Rd</t>
  </si>
  <si>
    <t>SRP Santan Generating Station</t>
  </si>
  <si>
    <t>1005 S Val Vista Dr</t>
  </si>
  <si>
    <t>Gilbert</t>
  </si>
  <si>
    <t>85296</t>
  </si>
  <si>
    <t>Southwestern Electric Power Company (SWEPCO)</t>
  </si>
  <si>
    <t>Airgas-Star</t>
  </si>
  <si>
    <t>Harry B Miller</t>
  </si>
  <si>
    <t>Techline</t>
  </si>
  <si>
    <t>Evers Electric</t>
  </si>
  <si>
    <t>GPD Group</t>
  </si>
  <si>
    <t>Ohio State University - Facilities Operations and Development</t>
  </si>
  <si>
    <t>2003 Millikin Road</t>
  </si>
  <si>
    <t>43210</t>
  </si>
  <si>
    <t>Power Protection, LLC</t>
  </si>
  <si>
    <t>IPL</t>
  </si>
  <si>
    <t>Stanco Recycling</t>
  </si>
  <si>
    <t>City Of Kingsville</t>
  </si>
  <si>
    <t>Capital Environmental</t>
  </si>
  <si>
    <t>Chain Electric</t>
  </si>
  <si>
    <t>City of Macon</t>
  </si>
  <si>
    <t>Walton EMC</t>
  </si>
  <si>
    <t>842 US HWY 78 NW</t>
  </si>
  <si>
    <t>30655</t>
  </si>
  <si>
    <t>Shipping</t>
  </si>
  <si>
    <t>Twin County Electric Power Association</t>
  </si>
  <si>
    <t>Consolidated Electrical Dist</t>
  </si>
  <si>
    <t>709C Gil Harbin Ind Blvd</t>
  </si>
  <si>
    <t>Valdosta</t>
  </si>
  <si>
    <t>31601</t>
  </si>
  <si>
    <t>Fitzgerald W,G&amp;L</t>
  </si>
  <si>
    <t>200 N. Hooker Street</t>
  </si>
  <si>
    <t>Fitzgerald</t>
  </si>
  <si>
    <t>31750</t>
  </si>
  <si>
    <t>Hawkeye Rural Electric Coop</t>
  </si>
  <si>
    <t>24049 State Hwy 9</t>
  </si>
  <si>
    <t>Cresco</t>
  </si>
  <si>
    <t>52136</t>
  </si>
  <si>
    <t>GE Renewables</t>
  </si>
  <si>
    <t>8301 Scenic Highway</t>
  </si>
  <si>
    <t>32514</t>
  </si>
  <si>
    <t>Bayou Electrical Services</t>
  </si>
  <si>
    <t>East Miss Electric Power Association</t>
  </si>
  <si>
    <t>Entergy-LA</t>
  </si>
  <si>
    <t>Maint/Regs/Panels</t>
  </si>
  <si>
    <t>Office Manager</t>
  </si>
  <si>
    <t>Plant Manager</t>
  </si>
  <si>
    <t>Marathon Electrical Contractor AL</t>
  </si>
  <si>
    <t>2830 Commerce Blvd</t>
  </si>
  <si>
    <t>Irondale</t>
  </si>
  <si>
    <t>Singing River</t>
  </si>
  <si>
    <t>Southwest EPA</t>
  </si>
  <si>
    <t>City Of Vidalia</t>
  </si>
  <si>
    <t>Escambia River Cooperative (EREC)</t>
  </si>
  <si>
    <t>Hudspeth</t>
  </si>
  <si>
    <t>LA College-Aramark</t>
  </si>
  <si>
    <t>Mid State Oil</t>
  </si>
  <si>
    <t>606 Lewisville Rd</t>
  </si>
  <si>
    <t>Elkton</t>
  </si>
  <si>
    <t>21921</t>
  </si>
  <si>
    <t>Nex Lube</t>
  </si>
  <si>
    <t>16803 North Dakota Pkw</t>
  </si>
  <si>
    <t>Addison</t>
  </si>
  <si>
    <t>75001</t>
  </si>
  <si>
    <t>Megger</t>
  </si>
  <si>
    <t>Miss. State University</t>
  </si>
  <si>
    <t>Pads/Field Services</t>
  </si>
  <si>
    <t>PECO</t>
  </si>
  <si>
    <t>O &amp; S Electric</t>
  </si>
  <si>
    <t>Wamego Municipal Electric</t>
  </si>
  <si>
    <t>Holton Light Water and Power</t>
  </si>
  <si>
    <t>Holton</t>
  </si>
  <si>
    <t>66436</t>
  </si>
  <si>
    <t>Eudora City Utilities</t>
  </si>
  <si>
    <t>107 West 5th Street</t>
  </si>
  <si>
    <t>Eudora</t>
  </si>
  <si>
    <t>66205</t>
  </si>
  <si>
    <t>City of Goodland Electric Department</t>
  </si>
  <si>
    <t>Goodland</t>
  </si>
  <si>
    <t>67735</t>
  </si>
  <si>
    <t>Kent Power</t>
  </si>
  <si>
    <t>90 Spring St.</t>
  </si>
  <si>
    <t>Kent City</t>
  </si>
  <si>
    <t>49330</t>
  </si>
  <si>
    <t>Clay Center Municipal Electric</t>
  </si>
  <si>
    <t>Clay Center</t>
  </si>
  <si>
    <t>67432</t>
  </si>
  <si>
    <t>Arizona Waste Oil Services</t>
  </si>
  <si>
    <t>PO Box 19149</t>
  </si>
  <si>
    <t>Tucson</t>
  </si>
  <si>
    <t>85731</t>
  </si>
  <si>
    <t>Mulvane Light and Water Department</t>
  </si>
  <si>
    <t>410 W Bridge</t>
  </si>
  <si>
    <t>Mulvane</t>
  </si>
  <si>
    <t>67110</t>
  </si>
  <si>
    <t>Consolidated Electric Cooperative, MO</t>
  </si>
  <si>
    <t>3940 East Liberty</t>
  </si>
  <si>
    <t>Mexico</t>
  </si>
  <si>
    <t>65265</t>
  </si>
  <si>
    <t>National Salvage &amp; Service Corporation</t>
  </si>
  <si>
    <t>Clear Creek</t>
  </si>
  <si>
    <t>PSS- (Power Substation Services)</t>
  </si>
  <si>
    <t>4 Industrial Park Dr.</t>
  </si>
  <si>
    <t>26003</t>
  </si>
  <si>
    <t>Environmental Protection Services</t>
  </si>
  <si>
    <t>4 Industrial Park Drive</t>
  </si>
  <si>
    <t>Schneider Electric - TN</t>
  </si>
  <si>
    <t>6700 Tower Circle</t>
  </si>
  <si>
    <t>37067</t>
  </si>
  <si>
    <t>HEPACO</t>
  </si>
  <si>
    <t>1001 2nd Avenue</t>
  </si>
  <si>
    <t>41074</t>
  </si>
  <si>
    <t>GMC Network - Montgomery</t>
  </si>
  <si>
    <t>2660 EastChase Lane, Suite 200</t>
  </si>
  <si>
    <t>Intercounty Elec Coop (MO)</t>
  </si>
  <si>
    <t>102 Maple Ave</t>
  </si>
  <si>
    <t>Licking</t>
  </si>
  <si>
    <t>65542</t>
  </si>
  <si>
    <t>FMPA</t>
  </si>
  <si>
    <t>8553 Commodity Circle</t>
  </si>
  <si>
    <t>Orlando</t>
  </si>
  <si>
    <t>32819-9002</t>
  </si>
  <si>
    <t>Xcel Energy</t>
  </si>
  <si>
    <t>1800 Larimer Ste 900</t>
  </si>
  <si>
    <t>Scana Energy</t>
  </si>
  <si>
    <t>220 Operations Way</t>
  </si>
  <si>
    <t>Cayce</t>
  </si>
  <si>
    <t>29033-3701</t>
  </si>
  <si>
    <t>NextEra Energy Resources(KS)</t>
  </si>
  <si>
    <t>100 W. Mexitli</t>
  </si>
  <si>
    <t>Montezuma</t>
  </si>
  <si>
    <t>67867</t>
  </si>
  <si>
    <t>Monroe County Electric Power Association</t>
  </si>
  <si>
    <t>50408 Greenbriar Rd.</t>
  </si>
  <si>
    <t>Amory</t>
  </si>
  <si>
    <t>38821</t>
  </si>
  <si>
    <t>Midwest Energy(KS)</t>
  </si>
  <si>
    <t>1330 Canterbury</t>
  </si>
  <si>
    <t>Hays</t>
  </si>
  <si>
    <t>67601</t>
  </si>
  <si>
    <t>Neodesha Light and Power</t>
  </si>
  <si>
    <t>1200 W. Granby</t>
  </si>
  <si>
    <t>Neodesha</t>
  </si>
  <si>
    <t>66757</t>
  </si>
  <si>
    <t>Westar</t>
  </si>
  <si>
    <t>Batavia Municipal Electric System (IL)</t>
  </si>
  <si>
    <t>200 N. Raddant Rd.</t>
  </si>
  <si>
    <t>Batavia</t>
  </si>
  <si>
    <t>60510</t>
  </si>
  <si>
    <t>Johnson-Peltier Electric</t>
  </si>
  <si>
    <t>12021 Shoemaker Ave</t>
  </si>
  <si>
    <t>Santa Fe Springs</t>
  </si>
  <si>
    <t>90670</t>
  </si>
  <si>
    <t>Sumter EMC GA</t>
  </si>
  <si>
    <t>Americus</t>
  </si>
  <si>
    <t>City of Winter Park</t>
  </si>
  <si>
    <t>1409 Howell Branch Rd.</t>
  </si>
  <si>
    <t>Winter Park</t>
  </si>
  <si>
    <t>32789</t>
  </si>
  <si>
    <t>City of Adel</t>
  </si>
  <si>
    <t>112 North Parrish Avenue</t>
  </si>
  <si>
    <t>Adel</t>
  </si>
  <si>
    <t>31620</t>
  </si>
  <si>
    <t>Balfour Lumber</t>
  </si>
  <si>
    <t>800 W. Clay Street</t>
  </si>
  <si>
    <t>Ahlstrom Schaeffer Electric</t>
  </si>
  <si>
    <t>46 Hopkins Ave</t>
  </si>
  <si>
    <t>14701</t>
  </si>
  <si>
    <t>Baldwin Municipal Electric</t>
  </si>
  <si>
    <t>609 High Street</t>
  </si>
  <si>
    <t>Baldwin</t>
  </si>
  <si>
    <t>66006</t>
  </si>
  <si>
    <t>Hunt Companies Inc</t>
  </si>
  <si>
    <t>515 County Rt 45</t>
  </si>
  <si>
    <t>Argyle</t>
  </si>
  <si>
    <t>12809</t>
  </si>
  <si>
    <t>O'Connell Electric</t>
  </si>
  <si>
    <t>830 Phillips Rd</t>
  </si>
  <si>
    <t>Victor</t>
  </si>
  <si>
    <t>14564</t>
  </si>
  <si>
    <t>Philips Brothers</t>
  </si>
  <si>
    <t>235 sweet spring rd</t>
  </si>
  <si>
    <t>glenmoore</t>
  </si>
  <si>
    <t>19343</t>
  </si>
  <si>
    <t>Banton Construction Co.</t>
  </si>
  <si>
    <t>339 Washington Ave</t>
  </si>
  <si>
    <t>North Haven</t>
  </si>
  <si>
    <t>ct</t>
  </si>
  <si>
    <t>6473</t>
  </si>
  <si>
    <t>Blanding Electric, Inc</t>
  </si>
  <si>
    <t>429 Commerce Rd</t>
  </si>
  <si>
    <t>City of Salina</t>
  </si>
  <si>
    <t>300 W Ash St</t>
  </si>
  <si>
    <t>Salina</t>
  </si>
  <si>
    <t>67401</t>
  </si>
  <si>
    <t>Thousand Island Bridge Authority</t>
  </si>
  <si>
    <t>43530 interstate 81</t>
  </si>
  <si>
    <t>Alexandria Bay</t>
  </si>
  <si>
    <t>13607</t>
  </si>
  <si>
    <t>Bristol Environmentl</t>
  </si>
  <si>
    <t>10 cook St</t>
  </si>
  <si>
    <t>Billerica</t>
  </si>
  <si>
    <t>1821</t>
  </si>
  <si>
    <t>American Hardwood Industries</t>
  </si>
  <si>
    <t>567 N. Charlotte Ave.</t>
  </si>
  <si>
    <t>Waynesboro</t>
  </si>
  <si>
    <t>22980</t>
  </si>
  <si>
    <t>City of Dover, DE</t>
  </si>
  <si>
    <t>860 buttner Place</t>
  </si>
  <si>
    <t>Dover</t>
  </si>
  <si>
    <t>De</t>
  </si>
  <si>
    <t>19904</t>
  </si>
  <si>
    <t>Royal Electric</t>
  </si>
  <si>
    <t>33 Central  St</t>
  </si>
  <si>
    <t>woodville</t>
  </si>
  <si>
    <t>3785</t>
  </si>
  <si>
    <t>Warren Electric Coop Inc (PA) [WEC]</t>
  </si>
  <si>
    <t>320 E Main St</t>
  </si>
  <si>
    <t>Youngsville</t>
  </si>
  <si>
    <t>16371-0208</t>
  </si>
  <si>
    <t>Eaton Corp - PA</t>
  </si>
  <si>
    <t>130 Commonwealth Dr</t>
  </si>
  <si>
    <t>Warrendale</t>
  </si>
  <si>
    <t>15086</t>
  </si>
  <si>
    <t>Fort Riley</t>
  </si>
  <si>
    <t>Riley</t>
  </si>
  <si>
    <t>66531</t>
  </si>
  <si>
    <t>PSEG</t>
  </si>
  <si>
    <t>80 Park Plaza, 1-18K</t>
  </si>
  <si>
    <t>Newark</t>
  </si>
  <si>
    <t>7102</t>
  </si>
  <si>
    <t>Leavenworth-Jefferson Electric Coop</t>
  </si>
  <si>
    <t>Taylor County Rural Electric Cooperative</t>
  </si>
  <si>
    <t>625 West Main St.</t>
  </si>
  <si>
    <t>Campbellsville</t>
  </si>
  <si>
    <t>42718</t>
  </si>
  <si>
    <t>Greenup Village Light &amp; Power Dept (IL)</t>
  </si>
  <si>
    <t>115 Cumberland St.</t>
  </si>
  <si>
    <t>Greenup</t>
  </si>
  <si>
    <t>62428</t>
  </si>
  <si>
    <t>City Of Newberry</t>
  </si>
  <si>
    <t>120 NW 260th Street</t>
  </si>
  <si>
    <t>Newberry</t>
  </si>
  <si>
    <t>Altamont Municipal Electric (IL)</t>
  </si>
  <si>
    <t>202 N. 2nd St.</t>
  </si>
  <si>
    <t>Altamont</t>
  </si>
  <si>
    <t>62411</t>
  </si>
  <si>
    <t>PROVIDENCE CITY UTILITIES</t>
  </si>
  <si>
    <t>201 E. Main St.</t>
  </si>
  <si>
    <t>Providence</t>
  </si>
  <si>
    <t>42450</t>
  </si>
  <si>
    <t>Glasgow Electric Plant Board</t>
  </si>
  <si>
    <t>100 Mallory Dr</t>
  </si>
  <si>
    <t>Glasgow</t>
  </si>
  <si>
    <t>42141</t>
  </si>
  <si>
    <t>City of Bardstown</t>
  </si>
  <si>
    <t>PO. BOX 368, 220 NORTH FIFTH STREET</t>
  </si>
  <si>
    <t>BARDSTOWN</t>
  </si>
  <si>
    <t>40004</t>
  </si>
  <si>
    <t>Jackson Energy Coop</t>
  </si>
  <si>
    <t>115 Jackson Energy Lane</t>
  </si>
  <si>
    <t>McKee</t>
  </si>
  <si>
    <t>40447</t>
  </si>
  <si>
    <t>Integrated Power Services - IPS (Dothan)</t>
  </si>
  <si>
    <t>1350 Columbia Hwy, Dothan, AL 36301</t>
  </si>
  <si>
    <t>Auto Custom Carpets, Inc (ACC)</t>
  </si>
  <si>
    <t>310 Hamric Dr West</t>
  </si>
  <si>
    <t>Oxford</t>
  </si>
  <si>
    <t>36203</t>
  </si>
  <si>
    <t>Environmental Restoration</t>
  </si>
  <si>
    <t>1666 Fabick Dr</t>
  </si>
  <si>
    <t>mo</t>
  </si>
  <si>
    <t>CLYDE LIGHT &amp; POWER</t>
  </si>
  <si>
    <t>Saint Marys Municipal Utilities</t>
  </si>
  <si>
    <t>1100 East Spring Street</t>
  </si>
  <si>
    <t>St Mary's</t>
  </si>
  <si>
    <t>45885</t>
  </si>
  <si>
    <t>Wadsworth Municipal Utility Svcs</t>
  </si>
  <si>
    <t>365 Broad Street</t>
  </si>
  <si>
    <t>Wadsworth</t>
  </si>
  <si>
    <t>44281</t>
  </si>
  <si>
    <t>Holmes-Wayne Electric Coop Inc</t>
  </si>
  <si>
    <t>6060 State Route 83</t>
  </si>
  <si>
    <t>Millersburg</t>
  </si>
  <si>
    <t>44654</t>
  </si>
  <si>
    <t>Niles Water &amp; Light</t>
  </si>
  <si>
    <t>Alliant Energy (Ames Operations Center)</t>
  </si>
  <si>
    <t>1284 Xe Pl</t>
  </si>
  <si>
    <t>Ames</t>
  </si>
  <si>
    <t>50014</t>
  </si>
  <si>
    <t>Alliant energy (Service Center)</t>
  </si>
  <si>
    <t>41.8370567, -94.1087265</t>
  </si>
  <si>
    <t>Perry</t>
  </si>
  <si>
    <t>50220</t>
  </si>
  <si>
    <t>AMHERST UTILITIES DEPT</t>
  </si>
  <si>
    <t>Westar Energy</t>
  </si>
  <si>
    <t>818 S Kansas Ave, Topeka, KS</t>
  </si>
  <si>
    <t>66612</t>
  </si>
  <si>
    <t>Celina Municipal Utilities</t>
  </si>
  <si>
    <t>308 Portland</t>
  </si>
  <si>
    <t>Celina</t>
  </si>
  <si>
    <t>45822</t>
  </si>
  <si>
    <t>Environmental Energy</t>
  </si>
  <si>
    <t>1420 Woodweather Rd</t>
  </si>
  <si>
    <t>64105</t>
  </si>
  <si>
    <t>Ft Riley Military Base</t>
  </si>
  <si>
    <t>Ft Riley</t>
  </si>
  <si>
    <t>Goddard</t>
  </si>
  <si>
    <t>118 N Main</t>
  </si>
  <si>
    <t>67052</t>
  </si>
  <si>
    <t>Great Bend</t>
  </si>
  <si>
    <t>1209 Williams</t>
  </si>
  <si>
    <t>67530</t>
  </si>
  <si>
    <t>Alta Vista</t>
  </si>
  <si>
    <t>521 Main St</t>
  </si>
  <si>
    <t>66834</t>
  </si>
  <si>
    <t>Arkansas City</t>
  </si>
  <si>
    <t>118 W Central</t>
  </si>
  <si>
    <t>67005</t>
  </si>
  <si>
    <t>900 W Main</t>
  </si>
  <si>
    <t>67514</t>
  </si>
  <si>
    <t>Button</t>
  </si>
  <si>
    <t>203 N Burrton</t>
  </si>
  <si>
    <t>Burrton</t>
  </si>
  <si>
    <t>67020</t>
  </si>
  <si>
    <t>Midwest Electric, Inc.</t>
  </si>
  <si>
    <t>06029 County Road 33A</t>
  </si>
  <si>
    <t>St. Mary's</t>
  </si>
  <si>
    <t>City of Auburn</t>
  </si>
  <si>
    <t>161 Wh</t>
  </si>
  <si>
    <t>66492</t>
  </si>
  <si>
    <t>Enterprise</t>
  </si>
  <si>
    <t>206 S Factory</t>
  </si>
  <si>
    <t>67441</t>
  </si>
  <si>
    <t>US EPA Region 5/Warren Steel Site</t>
  </si>
  <si>
    <t>4000 Mahoning Avenue</t>
  </si>
  <si>
    <t>Warren</t>
  </si>
  <si>
    <t>44483</t>
  </si>
  <si>
    <t>City of Wadena</t>
  </si>
  <si>
    <t>1200 Sunnybrook Rd</t>
  </si>
  <si>
    <t>Wadena</t>
  </si>
  <si>
    <t>56482</t>
  </si>
  <si>
    <t>Nippon Express USA, Inc.</t>
  </si>
  <si>
    <t>24-01 44th Road, 14th Floor</t>
  </si>
  <si>
    <t>Long Island City</t>
  </si>
  <si>
    <t>11101</t>
  </si>
  <si>
    <t>Toyota Boshoku AKI USA</t>
  </si>
  <si>
    <t>301 Sanderfer Road West, Athens, AL 35611</t>
  </si>
  <si>
    <t>Athens</t>
  </si>
  <si>
    <t>45611</t>
  </si>
  <si>
    <t>Dynamic Performance, LLC</t>
  </si>
  <si>
    <t>17560 Stratford Drive</t>
  </si>
  <si>
    <t>Southfield</t>
  </si>
  <si>
    <t>48075</t>
  </si>
  <si>
    <t>Potomac Environmental</t>
  </si>
  <si>
    <t>241 Garrisonville Rd</t>
  </si>
  <si>
    <t>Stafford</t>
  </si>
  <si>
    <t>22555</t>
  </si>
  <si>
    <t>Logan County Coop Power &amp; Light Association Inc</t>
  </si>
  <si>
    <t>1587 County Road 32N</t>
  </si>
  <si>
    <t>Bellefontaine</t>
  </si>
  <si>
    <t>43311</t>
  </si>
  <si>
    <t>Jefferson EMC</t>
  </si>
  <si>
    <t>3077 Highway 17 North / P.O. Box 457</t>
  </si>
  <si>
    <t>Wrens</t>
  </si>
  <si>
    <t>30833</t>
  </si>
  <si>
    <t>Aggreko</t>
  </si>
  <si>
    <t>2217 Aldine Bender</t>
  </si>
  <si>
    <t>77032</t>
  </si>
  <si>
    <t>Cardinal Glass</t>
  </si>
  <si>
    <t>140 Carey Street</t>
  </si>
  <si>
    <t>Utica</t>
  </si>
  <si>
    <t>43080</t>
  </si>
  <si>
    <t>Piqua Champion Foundry</t>
  </si>
  <si>
    <t>918 South Main Street</t>
  </si>
  <si>
    <t>MiEnergy Cooperative</t>
  </si>
  <si>
    <t>PO Box 626</t>
  </si>
  <si>
    <t>Rushford</t>
  </si>
  <si>
    <t>55971</t>
  </si>
  <si>
    <t>Freeport McMoRan - Bagdad AZ</t>
  </si>
  <si>
    <t>100 Main Street</t>
  </si>
  <si>
    <t>Bagdad</t>
  </si>
  <si>
    <t>86321</t>
  </si>
  <si>
    <t>Parker Hannifin</t>
  </si>
  <si>
    <t>704 W. Cumberland Drive</t>
  </si>
  <si>
    <t>Lewisburg</t>
  </si>
  <si>
    <t>45338</t>
  </si>
  <si>
    <t>Allamakee-Clayton Electric Coop</t>
  </si>
  <si>
    <t>229 Hwy 51</t>
  </si>
  <si>
    <t>Postville</t>
  </si>
  <si>
    <t>52162</t>
  </si>
  <si>
    <t>Schaeffer Electric Company</t>
  </si>
  <si>
    <t>4667 Green Park Road</t>
  </si>
  <si>
    <t>63123</t>
  </si>
  <si>
    <t>City of Holly</t>
  </si>
  <si>
    <t>100 Tony Garcia drive</t>
  </si>
  <si>
    <t>Holly</t>
  </si>
  <si>
    <t>81047</t>
  </si>
  <si>
    <t>City of Alliance NE</t>
  </si>
  <si>
    <t>1313 W 1st St</t>
  </si>
  <si>
    <t>Bethel Municipal Electric</t>
  </si>
  <si>
    <t>Wellington Municipal Utilities</t>
  </si>
  <si>
    <t>Wells Public Utilities</t>
  </si>
  <si>
    <t>101 1st Street SE</t>
  </si>
  <si>
    <t>Wells</t>
  </si>
  <si>
    <t>56097</t>
  </si>
  <si>
    <t>Eagle Electric</t>
  </si>
  <si>
    <t>760 218th Place</t>
  </si>
  <si>
    <t>Pella</t>
  </si>
  <si>
    <t>50219</t>
  </si>
  <si>
    <t>TIPP CITY UTILITY SERVICES</t>
  </si>
  <si>
    <t>301 N 6th St.</t>
  </si>
  <si>
    <t>Tipp City</t>
  </si>
  <si>
    <t>45371</t>
  </si>
  <si>
    <t>Tri-County Rural Electric Coop Inc (OH)</t>
  </si>
  <si>
    <t>8945 Road K2</t>
  </si>
  <si>
    <t>Malinta</t>
  </si>
  <si>
    <t>43535</t>
  </si>
  <si>
    <t>Seville Board of Public Affairs</t>
  </si>
  <si>
    <t>Kennebunk Light &amp; Power</t>
  </si>
  <si>
    <t>4 Factory Pasture Lane</t>
  </si>
  <si>
    <t>Kennebunk</t>
  </si>
  <si>
    <t>Me</t>
  </si>
  <si>
    <t>4043</t>
  </si>
  <si>
    <t>JSW Steel (USA), Inc</t>
  </si>
  <si>
    <t>5200 East E Mc Kinney Rd</t>
  </si>
  <si>
    <t>Baytown</t>
  </si>
  <si>
    <t>77523</t>
  </si>
  <si>
    <t>CED Alston Electric Supply Brewton</t>
  </si>
  <si>
    <t>331 N St. Joseph St</t>
  </si>
  <si>
    <t>South Carolina Electric</t>
  </si>
  <si>
    <t>Cayce, SC</t>
  </si>
  <si>
    <t>Scotts Miracle-Gro</t>
  </si>
  <si>
    <t>563 S. Crown Hill Road</t>
  </si>
  <si>
    <t>Orrville</t>
  </si>
  <si>
    <t>44667</t>
  </si>
  <si>
    <t>Aramark</t>
  </si>
  <si>
    <t>Entergy-Michoud Plant-NOLA</t>
  </si>
  <si>
    <t>12550 Old Gentilly Road</t>
  </si>
  <si>
    <t>New Orleans</t>
  </si>
  <si>
    <t>La</t>
  </si>
  <si>
    <t>70129</t>
  </si>
  <si>
    <t>Argos Cement</t>
  </si>
  <si>
    <t>700 Palmetto St</t>
  </si>
  <si>
    <t>Dupuy Silo-Warehouse,transport,logistics and processing</t>
  </si>
  <si>
    <t>1520 Edgewood Av N</t>
  </si>
  <si>
    <t>Peaden Air Conditioning, Plumbing and Electrical PC</t>
  </si>
  <si>
    <t>618 W Baldwin Rd</t>
  </si>
  <si>
    <t>32405</t>
  </si>
  <si>
    <t>Lima Refining Company</t>
  </si>
  <si>
    <t>1150 S. Metcalf Street</t>
  </si>
  <si>
    <t>Lima</t>
  </si>
  <si>
    <t>45804</t>
  </si>
  <si>
    <t>Benchmark Environmental</t>
  </si>
  <si>
    <t>2558 Hamburg Turnpike Suite 300</t>
  </si>
  <si>
    <t>Buffalo</t>
  </si>
  <si>
    <t>Ny</t>
  </si>
  <si>
    <t>14218</t>
  </si>
  <si>
    <t>Elliott Electrical Supply</t>
  </si>
  <si>
    <t>Case Electric</t>
  </si>
  <si>
    <t>243 Concord RD SE</t>
  </si>
  <si>
    <t>McCall Creek</t>
  </si>
  <si>
    <t>39647</t>
  </si>
  <si>
    <t>Elm Eletrical</t>
  </si>
  <si>
    <t>68 Union St</t>
  </si>
  <si>
    <t>westfield</t>
  </si>
  <si>
    <t>1085</t>
  </si>
  <si>
    <t>Perry Supply, Inc</t>
  </si>
  <si>
    <t>831 First Ave N</t>
  </si>
  <si>
    <t>The Coleman Company, Inc.</t>
  </si>
  <si>
    <t>2111 East 37th Street North</t>
  </si>
  <si>
    <t>Wichita</t>
  </si>
  <si>
    <t>67219</t>
  </si>
  <si>
    <t>Northeast Illinois Regional Commuter Railroad Corporation</t>
  </si>
  <si>
    <t>Graybar Panama City</t>
  </si>
  <si>
    <t>3513 Transmitter Road</t>
  </si>
  <si>
    <t>32404</t>
  </si>
  <si>
    <t>Volkswagen</t>
  </si>
  <si>
    <t>Railroad Construction Co.</t>
  </si>
  <si>
    <t>705 Mantua Ave</t>
  </si>
  <si>
    <t>Paulsboro</t>
  </si>
  <si>
    <t>8066</t>
  </si>
  <si>
    <t>Kwest Enterprises, LLC</t>
  </si>
  <si>
    <t>1120 Parker St.</t>
  </si>
  <si>
    <t>36108</t>
  </si>
  <si>
    <t>PNJ Electric</t>
  </si>
  <si>
    <t>Florida Hospital Flagler</t>
  </si>
  <si>
    <t>60 Memorial Medical Pkwy</t>
  </si>
  <si>
    <t>Palm Coast</t>
  </si>
  <si>
    <t>32164</t>
  </si>
  <si>
    <t>Black and Veatch</t>
  </si>
  <si>
    <t>Flagler Hospital St.Augustine,FL</t>
  </si>
  <si>
    <t>400 Health Park Blvd</t>
  </si>
  <si>
    <t>St.Augustine</t>
  </si>
  <si>
    <t>32086</t>
  </si>
  <si>
    <t>Power Sales and Service</t>
  </si>
  <si>
    <t>834 Hwy12-Suite 193</t>
  </si>
  <si>
    <t>Southeast Electrical Services, LLC</t>
  </si>
  <si>
    <t>7675 McKinley Ave Ste D</t>
  </si>
  <si>
    <t>36608</t>
  </si>
  <si>
    <t>Eco Mack</t>
  </si>
  <si>
    <t>170 Transport Street</t>
  </si>
  <si>
    <t>Bedford</t>
  </si>
  <si>
    <t>15522</t>
  </si>
  <si>
    <t>Florida Gas Transmission Co.</t>
  </si>
  <si>
    <t>7990 Steer Lake Rd</t>
  </si>
  <si>
    <t>32835</t>
  </si>
  <si>
    <t>Coreslab Structures</t>
  </si>
  <si>
    <t>2720 CR 470</t>
  </si>
  <si>
    <t>34762</t>
  </si>
  <si>
    <t>Dura-Stress Inc</t>
  </si>
  <si>
    <t>11325 CR 44</t>
  </si>
  <si>
    <t>34788</t>
  </si>
  <si>
    <t>Talquin Electric</t>
  </si>
  <si>
    <t>SCE</t>
  </si>
  <si>
    <t>Sommerville Electric</t>
  </si>
  <si>
    <t>2542 E Ann St</t>
  </si>
  <si>
    <t>19134</t>
  </si>
  <si>
    <t>Spina Electric Company</t>
  </si>
  <si>
    <t>26801 Groesbeck Highway</t>
  </si>
  <si>
    <t>48089</t>
  </si>
  <si>
    <t>Eagle Roofing Products</t>
  </si>
  <si>
    <t>1575 East DR 470</t>
  </si>
  <si>
    <t>Sumterville</t>
  </si>
  <si>
    <t>33585</t>
  </si>
  <si>
    <t>Entergy-Winsboro</t>
  </si>
  <si>
    <t>2961 Hwy 15</t>
  </si>
  <si>
    <t>McPhee Electric</t>
  </si>
  <si>
    <t>505 Main St</t>
  </si>
  <si>
    <t>6032</t>
  </si>
  <si>
    <t>Vulcan Materials Company - Electrical Svc's Division</t>
  </si>
  <si>
    <t>3512 S Hwy 301</t>
  </si>
  <si>
    <t>HD Industrial Services, Inc</t>
  </si>
  <si>
    <t>2050 Center Ave suite 550</t>
  </si>
  <si>
    <t>Fort Lee</t>
  </si>
  <si>
    <t>7024</t>
  </si>
  <si>
    <t>LeBella Assoc</t>
  </si>
  <si>
    <t>300 State St Suite 201</t>
  </si>
  <si>
    <t>Rochester</t>
  </si>
  <si>
    <t>14614</t>
  </si>
  <si>
    <t>Brite Lite Electrical Co.</t>
  </si>
  <si>
    <t>11 Front Street</t>
  </si>
  <si>
    <t>weymouth</t>
  </si>
  <si>
    <t>2188</t>
  </si>
  <si>
    <t>Abatement Solutions Technologies</t>
  </si>
  <si>
    <t>444 Terry Blvd</t>
  </si>
  <si>
    <t>Lousville</t>
  </si>
  <si>
    <t>40229</t>
  </si>
  <si>
    <t>Power Asset Recovery Corporation</t>
  </si>
  <si>
    <t>3721 Whipple Avenue Northwest</t>
  </si>
  <si>
    <t>44718</t>
  </si>
  <si>
    <t>Coastal Films of Florida-Sigma Plastics Group</t>
  </si>
  <si>
    <t>627 N. Lane Av</t>
  </si>
  <si>
    <t>32254</t>
  </si>
  <si>
    <t>Coastal Pavers - Oldcastle Inc</t>
  </si>
  <si>
    <t>39 W. Landstreet Rd</t>
  </si>
  <si>
    <t>32624</t>
  </si>
  <si>
    <t>DuBose Electric</t>
  </si>
  <si>
    <t>3963 Sharon Road</t>
  </si>
  <si>
    <t>39443</t>
  </si>
  <si>
    <t>Electric Power Board Glasgow</t>
  </si>
  <si>
    <t>Ferran Services and Contracting</t>
  </si>
  <si>
    <t>530 Grand St</t>
  </si>
  <si>
    <t>32805</t>
  </si>
  <si>
    <t>Intl Fragrance and Flavors</t>
  </si>
  <si>
    <t>2051 Lane Av N</t>
  </si>
  <si>
    <t>City of Powell</t>
  </si>
  <si>
    <t>951 East 5th Street</t>
  </si>
  <si>
    <t>Big Horn Rural Electric Corp</t>
  </si>
  <si>
    <t>208 S 5th St</t>
  </si>
  <si>
    <t>Basin</t>
  </si>
  <si>
    <t>82410</t>
  </si>
  <si>
    <t>Pioneer Light Department</t>
  </si>
  <si>
    <t>411 First Street</t>
  </si>
  <si>
    <t>Pioneer</t>
  </si>
  <si>
    <t>43554</t>
  </si>
  <si>
    <t>North Western Electric Coop Inc</t>
  </si>
  <si>
    <t>04125 State Route 576</t>
  </si>
  <si>
    <t>Bryan</t>
  </si>
  <si>
    <t>43506</t>
  </si>
  <si>
    <t>Morgan City Louisiana Utilities</t>
  </si>
  <si>
    <t>512 First Street</t>
  </si>
  <si>
    <t>Morgan City</t>
  </si>
  <si>
    <t>70381</t>
  </si>
  <si>
    <t>Westside Electric Inc</t>
  </si>
  <si>
    <t>4031 Faye Rd</t>
  </si>
  <si>
    <t>32226</t>
  </si>
  <si>
    <t>Bryan Municipal Utilities  [BMU]</t>
  </si>
  <si>
    <t>841 E. Edgerton Street</t>
  </si>
  <si>
    <t>B&amp;L Electric Inc</t>
  </si>
  <si>
    <t>1825 S 8th St</t>
  </si>
  <si>
    <t>Clinton</t>
  </si>
  <si>
    <t>64735</t>
  </si>
  <si>
    <t>Mountain View Municipal (MO)</t>
  </si>
  <si>
    <t>233 W Second St.</t>
  </si>
  <si>
    <t>65548</t>
  </si>
  <si>
    <t>Norval Electric Cooperative Inc</t>
  </si>
  <si>
    <t>1130 Us Highway 2 W</t>
  </si>
  <si>
    <t>59230</t>
  </si>
  <si>
    <t>Lost River Electric Co-Op</t>
  </si>
  <si>
    <t>305 Pine St</t>
  </si>
  <si>
    <t>Mackay</t>
  </si>
  <si>
    <t>83251</t>
  </si>
  <si>
    <t>City of Winona (MO)</t>
  </si>
  <si>
    <t>8848 Ash St.</t>
  </si>
  <si>
    <t>Winona</t>
  </si>
  <si>
    <t>65588</t>
  </si>
  <si>
    <t>Harney Electric Cooperative</t>
  </si>
  <si>
    <t>277 Lottery Ln,</t>
  </si>
  <si>
    <t>Hines</t>
  </si>
  <si>
    <t>97738</t>
  </si>
  <si>
    <t>Campbell Municipal (MO)</t>
  </si>
  <si>
    <t>302 W. Grand Ave</t>
  </si>
  <si>
    <t>Campbell</t>
  </si>
  <si>
    <t>63933</t>
  </si>
  <si>
    <t>Napoleon Municipal Utilities</t>
  </si>
  <si>
    <t>255 W. Riverfront Avenue</t>
  </si>
  <si>
    <t>Napoleon</t>
  </si>
  <si>
    <t>Vigilante MT</t>
  </si>
  <si>
    <t>225 E Bannack St,</t>
  </si>
  <si>
    <t>Dillon</t>
  </si>
  <si>
    <t>59725</t>
  </si>
  <si>
    <t>Mid Yellowstone Elec Co-Op</t>
  </si>
  <si>
    <t>203 Elliott Ave</t>
  </si>
  <si>
    <t>Hysham</t>
  </si>
  <si>
    <t>59038</t>
  </si>
  <si>
    <t>Wahkiakum pud</t>
  </si>
  <si>
    <t>45 River street</t>
  </si>
  <si>
    <t>Cathlamet</t>
  </si>
  <si>
    <t>98612</t>
  </si>
  <si>
    <t>City of Bonners Ferry</t>
  </si>
  <si>
    <t>7232 Main Street</t>
  </si>
  <si>
    <t>Bonners Ferry</t>
  </si>
  <si>
    <t>83805</t>
  </si>
  <si>
    <t>Salmon River Electric Coop</t>
  </si>
  <si>
    <t>1140 Main St</t>
  </si>
  <si>
    <t>Challis</t>
  </si>
  <si>
    <t>83226</t>
  </si>
  <si>
    <t>City of Blaine</t>
  </si>
  <si>
    <t>435 Martin St. Suite 3000</t>
  </si>
  <si>
    <t>Blaine</t>
  </si>
  <si>
    <t>98230</t>
  </si>
  <si>
    <t>City of Rupert Electric Dep</t>
  </si>
  <si>
    <t>121 S 50 W Rupert</t>
  </si>
  <si>
    <t>Rupert</t>
  </si>
  <si>
    <t>83350</t>
  </si>
  <si>
    <t>Steilacoom Electrical Dept</t>
  </si>
  <si>
    <t>1030 Roe street</t>
  </si>
  <si>
    <t>Steilacoom</t>
  </si>
  <si>
    <t>98388</t>
  </si>
  <si>
    <t>Ferry County Public Utility</t>
  </si>
  <si>
    <t>686 S Clark Ave</t>
  </si>
  <si>
    <t>Republic</t>
  </si>
  <si>
    <t>99166</t>
  </si>
  <si>
    <t>Idaho County Light and Power</t>
  </si>
  <si>
    <t>1065 ID-13 Scenic</t>
  </si>
  <si>
    <t>Grangeville</t>
  </si>
  <si>
    <t>83530</t>
  </si>
  <si>
    <t>City of Milton</t>
  </si>
  <si>
    <t>1000 Laura street</t>
  </si>
  <si>
    <t>98354</t>
  </si>
  <si>
    <t>1000 Laurel street</t>
  </si>
  <si>
    <t>Hill County Electric Co-Op</t>
  </si>
  <si>
    <t>2121 US-2</t>
  </si>
  <si>
    <t>Havre</t>
  </si>
  <si>
    <t>59501</t>
  </si>
  <si>
    <t>Hood River Elect. COOP</t>
  </si>
  <si>
    <t>3521 Davis Drive</t>
  </si>
  <si>
    <t>Odell</t>
  </si>
  <si>
    <t>97031</t>
  </si>
  <si>
    <t>Blachly-Lane Electric Co-Op</t>
  </si>
  <si>
    <t>90680 State Hwy 99 N</t>
  </si>
  <si>
    <t>Eugene</t>
  </si>
  <si>
    <t>97402</t>
  </si>
  <si>
    <t>Monroe County Department of Environmental Services</t>
  </si>
  <si>
    <t>170 Payne Beach Road</t>
  </si>
  <si>
    <t>Hilton</t>
  </si>
  <si>
    <t>14468</t>
  </si>
  <si>
    <t>Wapakoneta Electric Department</t>
  </si>
  <si>
    <t>251 Industrial Drive</t>
  </si>
  <si>
    <t>Wapakoneta</t>
  </si>
  <si>
    <t>45895</t>
  </si>
  <si>
    <t>Blue Mountain Electric</t>
  </si>
  <si>
    <t>1181 NE 21st CT</t>
  </si>
  <si>
    <t>Oak Harbor</t>
  </si>
  <si>
    <t>98277</t>
  </si>
  <si>
    <t>City of  Monmouth</t>
  </si>
  <si>
    <t>151 Main Street west</t>
  </si>
  <si>
    <t>Monmouth</t>
  </si>
  <si>
    <t>97361</t>
  </si>
  <si>
    <t>North Shore Environmental Construction</t>
  </si>
  <si>
    <t>N 117 W 18493 Fulton Dr.</t>
  </si>
  <si>
    <t>Germantown</t>
  </si>
  <si>
    <t>Wi</t>
  </si>
  <si>
    <t>53022</t>
  </si>
  <si>
    <t>Batterson Electric</t>
  </si>
  <si>
    <t>2595 N. Sand Lake Road</t>
  </si>
  <si>
    <t>Hillsdale</t>
  </si>
  <si>
    <t>49242</t>
  </si>
  <si>
    <t>Yellow Springs, Village of</t>
  </si>
  <si>
    <t>100 Dayton Street</t>
  </si>
  <si>
    <t>Yellow Springs</t>
  </si>
  <si>
    <t>45387</t>
  </si>
  <si>
    <t>Columbia Basin Electric Co-Op</t>
  </si>
  <si>
    <t>171 W Linden Way</t>
  </si>
  <si>
    <t>Heppner</t>
  </si>
  <si>
    <t>97836</t>
  </si>
  <si>
    <t>Marias River Electric Cooperative</t>
  </si>
  <si>
    <t>910 Roosevelt Hwy</t>
  </si>
  <si>
    <t>59474</t>
  </si>
  <si>
    <t>Kittitas PUD</t>
  </si>
  <si>
    <t>1400 Vantage Hwy</t>
  </si>
  <si>
    <t>Ellensburg</t>
  </si>
  <si>
    <t>98926</t>
  </si>
  <si>
    <t>BIG HORN COUNTY ELECTRIC Coop</t>
  </si>
  <si>
    <t>303 S. MITCHELL AVE</t>
  </si>
  <si>
    <t>HARDIN</t>
  </si>
  <si>
    <t>59034</t>
  </si>
  <si>
    <t>LOWER YELLOWSTONE Rural Electric coop</t>
  </si>
  <si>
    <t>3200 W Holly St</t>
  </si>
  <si>
    <t>59270</t>
  </si>
  <si>
    <t>Ohop mutual light company</t>
  </si>
  <si>
    <t>34014 Mountain Highway</t>
  </si>
  <si>
    <t>Eatonville</t>
  </si>
  <si>
    <t>98328</t>
  </si>
  <si>
    <t>COLUMBIA Rural electric Assn</t>
  </si>
  <si>
    <t>2929 Melrose St,</t>
  </si>
  <si>
    <t>Walla Walla</t>
  </si>
  <si>
    <t>99362</t>
  </si>
  <si>
    <t>Saint Clairsville Light and Power</t>
  </si>
  <si>
    <t>129 Reservoir Road</t>
  </si>
  <si>
    <t>St. Clairsville</t>
  </si>
  <si>
    <t>43950</t>
  </si>
  <si>
    <t>Kendall Electric</t>
  </si>
  <si>
    <t>1323 Whigham Place</t>
  </si>
  <si>
    <t>35405</t>
  </si>
  <si>
    <t>TANNER ELECTRIC COOP</t>
  </si>
  <si>
    <t>45710 SE North Bend Way</t>
  </si>
  <si>
    <t>North Bend</t>
  </si>
  <si>
    <t>98045</t>
  </si>
  <si>
    <t>Versailles Utilities</t>
  </si>
  <si>
    <t>177 N Center St,</t>
  </si>
  <si>
    <t>Versailles</t>
  </si>
  <si>
    <t>45380</t>
  </si>
  <si>
    <t>Estherville Municipal Utility</t>
  </si>
  <si>
    <t>721 Broadway</t>
  </si>
  <si>
    <t>Denison</t>
  </si>
  <si>
    <t>51442</t>
  </si>
  <si>
    <t>Utilities Instrumentation Services</t>
  </si>
  <si>
    <t>2290 Bishop Circle East</t>
  </si>
  <si>
    <t>Dexter</t>
  </si>
  <si>
    <t>48130</t>
  </si>
  <si>
    <t>Miller Electric</t>
  </si>
  <si>
    <t>212820 SE Hawthorne Rd</t>
  </si>
  <si>
    <t>Hawthorne</t>
  </si>
  <si>
    <t>32640</t>
  </si>
  <si>
    <t>First Electric Cooperative (AR)</t>
  </si>
  <si>
    <t>1000 South J.P. Wright Loop Road</t>
  </si>
  <si>
    <t>72078</t>
  </si>
  <si>
    <t>J. Ranck</t>
  </si>
  <si>
    <t>1995 Gover Parkway</t>
  </si>
  <si>
    <t>J. Ranck Electric, Inc.</t>
  </si>
  <si>
    <t>1993 Gover Parkway</t>
  </si>
  <si>
    <t>48858</t>
  </si>
  <si>
    <t>Alpena Power Co [APC]</t>
  </si>
  <si>
    <t>401 N. 9th Avenue</t>
  </si>
  <si>
    <t>Alpena</t>
  </si>
  <si>
    <t>49707</t>
  </si>
  <si>
    <t>Newberry Water &amp; Light Board</t>
  </si>
  <si>
    <t>302 E. McMillan Ave.</t>
  </si>
  <si>
    <t>49868</t>
  </si>
  <si>
    <t>L'ANSE ELECTRIC UTILITY</t>
  </si>
  <si>
    <t>101 N. Main Street</t>
  </si>
  <si>
    <t>L'Anse</t>
  </si>
  <si>
    <t>49946</t>
  </si>
  <si>
    <t>Wirtz Electric &amp; Communication</t>
  </si>
  <si>
    <t>1675 S. Sheridan Drive</t>
  </si>
  <si>
    <t>Muskegon</t>
  </si>
  <si>
    <t>49442</t>
  </si>
  <si>
    <t>Area Energy &amp; Electric, Inc.</t>
  </si>
  <si>
    <t>2001 Commerce Drive</t>
  </si>
  <si>
    <t>45365</t>
  </si>
  <si>
    <t>B. Tech Service &amp; Supply</t>
  </si>
  <si>
    <t>1980 Hwy 184</t>
  </si>
  <si>
    <t>City of Fairbury (NE)</t>
  </si>
  <si>
    <t>612 D Street</t>
  </si>
  <si>
    <t>Fairbury</t>
  </si>
  <si>
    <t>68352</t>
  </si>
  <si>
    <t>TriMedia</t>
  </si>
  <si>
    <t>830 W. Washington Street</t>
  </si>
  <si>
    <t>Marquette</t>
  </si>
  <si>
    <t>49855</t>
  </si>
  <si>
    <t>GREAT LAKES ENERGY COOP</t>
  </si>
  <si>
    <t>1323 Boyne Ave</t>
  </si>
  <si>
    <t>Boyne City</t>
  </si>
  <si>
    <t>49712-0070</t>
  </si>
  <si>
    <t>Charlevoix Municipal Utilities</t>
  </si>
  <si>
    <t>Lexington Utilities System (NE)</t>
  </si>
  <si>
    <t>406 E 7th St</t>
  </si>
  <si>
    <t>Lexington</t>
  </si>
  <si>
    <t>68850</t>
  </si>
  <si>
    <t>Ontonagon County Rural Electric Association</t>
  </si>
  <si>
    <t>500 James K Paul Street</t>
  </si>
  <si>
    <t>Ontonagon</t>
  </si>
  <si>
    <t>49953</t>
  </si>
  <si>
    <t>Benco Electric Coop</t>
  </si>
  <si>
    <t>20946 549th Ave</t>
  </si>
  <si>
    <t>Mankato</t>
  </si>
  <si>
    <t>56002</t>
  </si>
  <si>
    <t>Grand Marais Public Utilities Commission</t>
  </si>
  <si>
    <t>Ely Light and Water Department</t>
  </si>
  <si>
    <t>ABB</t>
  </si>
  <si>
    <t>2135 Philpott Road</t>
  </si>
  <si>
    <t>South Boston</t>
  </si>
  <si>
    <t>24592</t>
  </si>
  <si>
    <t>Central Power Electric Coop (ND)</t>
  </si>
  <si>
    <t>525 20th Ave SW</t>
  </si>
  <si>
    <t>Minot</t>
  </si>
  <si>
    <t>ND</t>
  </si>
  <si>
    <t>58701</t>
  </si>
  <si>
    <t>ERG Environmental Services</t>
  </si>
  <si>
    <t>527 E. Woodland Circle</t>
  </si>
  <si>
    <t>43402</t>
  </si>
  <si>
    <t>EIR Testing &amp; Maintenance Co</t>
  </si>
  <si>
    <t>3555 280th Street West</t>
  </si>
  <si>
    <t>Northfield</t>
  </si>
  <si>
    <t>55057</t>
  </si>
  <si>
    <t>Vieau Associates</t>
  </si>
  <si>
    <t>4570 West 77th Street, Suite 265</t>
  </si>
  <si>
    <t>Edina</t>
  </si>
  <si>
    <t>55435</t>
  </si>
  <si>
    <t>RESA Power Service</t>
  </si>
  <si>
    <t>4540 Boyce Parkway</t>
  </si>
  <si>
    <t>Stow</t>
  </si>
  <si>
    <t>44224</t>
  </si>
  <si>
    <t>Wright-Hennepin Cooperative Electric Assn</t>
  </si>
  <si>
    <t>6800 Electric Drive</t>
  </si>
  <si>
    <t>Rockford</t>
  </si>
  <si>
    <t>55373-0330</t>
  </si>
  <si>
    <t>Saint Peter Municipal Utilities</t>
  </si>
  <si>
    <t>227 S Front Street</t>
  </si>
  <si>
    <t>Saint Peter</t>
  </si>
  <si>
    <t>Rochester Public Utilities</t>
  </si>
  <si>
    <t>505 40th Street NE</t>
  </si>
  <si>
    <t>55906</t>
  </si>
  <si>
    <t>Minnesota Valley Electric Coop</t>
  </si>
  <si>
    <t>125 Minnesota Valley Electric Dr.</t>
  </si>
  <si>
    <t>Jordan</t>
  </si>
  <si>
    <t>55352</t>
  </si>
  <si>
    <t>Beltrami Electric Coop Inc.</t>
  </si>
  <si>
    <t>4111 Technology Dr NW</t>
  </si>
  <si>
    <t>Bemidji</t>
  </si>
  <si>
    <t>56601</t>
  </si>
  <si>
    <t>Otter Tail Power Company</t>
  </si>
  <si>
    <t>215 South Cascade Street</t>
  </si>
  <si>
    <t>Fergus Falls</t>
  </si>
  <si>
    <t>56538</t>
  </si>
  <si>
    <t>South Sioux City Utility Department (NE)</t>
  </si>
  <si>
    <t>1615 1st Ave</t>
  </si>
  <si>
    <t>South Sioux City</t>
  </si>
  <si>
    <t>68776</t>
  </si>
  <si>
    <t>Blue Earth Light and Water</t>
  </si>
  <si>
    <t>125 East 7th Street</t>
  </si>
  <si>
    <t>Blue Earth</t>
  </si>
  <si>
    <t>56013</t>
  </si>
  <si>
    <t>City of Gering (NE)</t>
  </si>
  <si>
    <t>225 East D Street</t>
  </si>
  <si>
    <t>Gering</t>
  </si>
  <si>
    <t>69341</t>
  </si>
  <si>
    <t>Granite Falls Municipal Light</t>
  </si>
  <si>
    <t>Grand Rapids Public Utilities</t>
  </si>
  <si>
    <t>500 SE 4th St</t>
  </si>
  <si>
    <t>55744</t>
  </si>
  <si>
    <t>Shakopee Public Utilities</t>
  </si>
  <si>
    <t>255 Sarazin St</t>
  </si>
  <si>
    <t>Shakopee</t>
  </si>
  <si>
    <t>55379</t>
  </si>
  <si>
    <t>Great River Energy</t>
  </si>
  <si>
    <t>17845 E. Highway 10</t>
  </si>
  <si>
    <t>Elk River</t>
  </si>
  <si>
    <t>55330</t>
  </si>
  <si>
    <t>Natchez Electric and Supply Company</t>
  </si>
  <si>
    <t>190 D'Evereaux Drive</t>
  </si>
  <si>
    <t>Natchez</t>
  </si>
  <si>
    <t>39121</t>
  </si>
  <si>
    <t>Deaf Smith Electric Cooperative</t>
  </si>
  <si>
    <t>1501 E 1st Street</t>
  </si>
  <si>
    <t>Hereford</t>
  </si>
  <si>
    <t>79045</t>
  </si>
  <si>
    <t>City of San Marcos TX</t>
  </si>
  <si>
    <t>630 E Hopkins St</t>
  </si>
  <si>
    <t>San Marcos</t>
  </si>
  <si>
    <t>78666</t>
  </si>
  <si>
    <t>Dakota Electric Association</t>
  </si>
  <si>
    <t>4300 220th Street West</t>
  </si>
  <si>
    <t>55024</t>
  </si>
  <si>
    <t>Owatonna Public Utilities</t>
  </si>
  <si>
    <t>208 S. Walnut Ave.</t>
  </si>
  <si>
    <t>Owatonna</t>
  </si>
  <si>
    <t>City of Chaska</t>
  </si>
  <si>
    <t>660 Victoria Dr</t>
  </si>
  <si>
    <t>Chaska</t>
  </si>
  <si>
    <t>55318</t>
  </si>
  <si>
    <t>Adrian Public Works</t>
  </si>
  <si>
    <t>20 Maine Ave</t>
  </si>
  <si>
    <t>Adrian</t>
  </si>
  <si>
    <t>56110</t>
  </si>
  <si>
    <t>Ajo Improvement District</t>
  </si>
  <si>
    <t>111 South Elota Avenue</t>
  </si>
  <si>
    <t>Ajo</t>
  </si>
  <si>
    <t>85321</t>
  </si>
  <si>
    <t>Parowan Public Works</t>
  </si>
  <si>
    <t>405 N Main St</t>
  </si>
  <si>
    <t>Parowan</t>
  </si>
  <si>
    <t>84761</t>
  </si>
  <si>
    <t>Enviro-Chem</t>
  </si>
  <si>
    <t>Fairmont Electric Department</t>
  </si>
  <si>
    <t>1120 Marcus Street</t>
  </si>
  <si>
    <t>Fairmont</t>
  </si>
  <si>
    <t>56031</t>
  </si>
  <si>
    <t>Greystone Power</t>
  </si>
  <si>
    <t>4040 Bankhead Hwy</t>
  </si>
  <si>
    <t>Douglasville</t>
  </si>
  <si>
    <t>30157</t>
  </si>
  <si>
    <t>Orlando Utilities Commission</t>
  </si>
  <si>
    <t>6003 Pershing Ave</t>
  </si>
  <si>
    <t>32802</t>
  </si>
  <si>
    <t>RESA Power-FL</t>
  </si>
  <si>
    <t>1401 Mercantile Ct</t>
  </si>
  <si>
    <t>Plant City</t>
  </si>
  <si>
    <t>22563</t>
  </si>
  <si>
    <t>Gainesville Regional Utilities (GRU)</t>
  </si>
  <si>
    <t>4747 N Main St</t>
  </si>
  <si>
    <t>Gainesville</t>
  </si>
  <si>
    <t>Advance Municipal Light &amp; Power</t>
  </si>
  <si>
    <t>City of Naperville (IL)</t>
  </si>
  <si>
    <t>400 South Eagle St.</t>
  </si>
  <si>
    <t>Naperville</t>
  </si>
  <si>
    <t>60540</t>
  </si>
  <si>
    <t>Bainbridge Municipal Electric Dept</t>
  </si>
  <si>
    <t>Nova Source Power</t>
  </si>
  <si>
    <t>Castaic Lake</t>
  </si>
  <si>
    <t>Santa Clarita</t>
  </si>
  <si>
    <t>Electrical District No. 3 (ED3)</t>
  </si>
  <si>
    <t>41412 W Louis Johnson Dr</t>
  </si>
  <si>
    <t>Maricopa</t>
  </si>
  <si>
    <t>85139</t>
  </si>
  <si>
    <t>Gulf South Pipeline/Petal Gas Storage</t>
  </si>
  <si>
    <t>1382 U.S. Highway 11 North (P.O. Box 1103)</t>
  </si>
  <si>
    <t>Brownstown Electric Supply Company</t>
  </si>
  <si>
    <t>690 E. State Rd. 250</t>
  </si>
  <si>
    <t>Brownstown</t>
  </si>
  <si>
    <t>47220</t>
  </si>
  <si>
    <t>River Ridge Development Authority</t>
  </si>
  <si>
    <t>6200 W. Hwy 62</t>
  </si>
  <si>
    <t>Jeffersonville</t>
  </si>
  <si>
    <t>47130</t>
  </si>
  <si>
    <t>Lafayette Utilities System</t>
  </si>
  <si>
    <t>1314 Walker Road</t>
  </si>
  <si>
    <t>70506</t>
  </si>
  <si>
    <t>Noble County Rural Electric Membership Corp</t>
  </si>
  <si>
    <t>300 Weber Road</t>
  </si>
  <si>
    <t>46701</t>
  </si>
  <si>
    <t>City of Chattahoochee</t>
  </si>
  <si>
    <t>115 Lincoln Drive</t>
  </si>
  <si>
    <t>Chattahoochee</t>
  </si>
  <si>
    <t>32324</t>
  </si>
  <si>
    <t>Bethany Municipal Light Department (IL)</t>
  </si>
  <si>
    <t>201 W. Main St.</t>
  </si>
  <si>
    <t>Bethany</t>
  </si>
  <si>
    <t>61914</t>
  </si>
  <si>
    <t>Shelby Electric Coop  [SEC]</t>
  </si>
  <si>
    <t>Rt 128 &amp; N Sixth St</t>
  </si>
  <si>
    <t>Shelbyville</t>
  </si>
  <si>
    <t>62565-0560</t>
  </si>
  <si>
    <t>New Ross Electric Service Dept</t>
  </si>
  <si>
    <t>City of Iola (KS)</t>
  </si>
  <si>
    <t>801 North Industrial Dr.</t>
  </si>
  <si>
    <t>Iola</t>
  </si>
  <si>
    <t>City of Isabel</t>
  </si>
  <si>
    <t>Isabel</t>
  </si>
  <si>
    <t>67065</t>
  </si>
  <si>
    <t>Jetmore Electric &amp; Water</t>
  </si>
  <si>
    <t>501 S Main St</t>
  </si>
  <si>
    <t>Jetmore</t>
  </si>
  <si>
    <t>67854</t>
  </si>
  <si>
    <t>Mishawaka Utilities</t>
  </si>
  <si>
    <t>126 North Church Street</t>
  </si>
  <si>
    <t>Mishawaka</t>
  </si>
  <si>
    <t>46544</t>
  </si>
  <si>
    <t>Lincoln Center</t>
  </si>
  <si>
    <t>153 W Lincoln</t>
  </si>
  <si>
    <t>Lincoln</t>
  </si>
  <si>
    <t>67455</t>
  </si>
  <si>
    <t>Ladoga Electric Dept</t>
  </si>
  <si>
    <t>121 E. Main St.</t>
  </si>
  <si>
    <t>47954-0187</t>
  </si>
  <si>
    <t>Lakin Utility Dept</t>
  </si>
  <si>
    <t>121 N Main St</t>
  </si>
  <si>
    <t>Lakin</t>
  </si>
  <si>
    <t>67860</t>
  </si>
  <si>
    <t>LaHarpe</t>
  </si>
  <si>
    <t>902 S Washington</t>
  </si>
  <si>
    <t>La Harpe</t>
  </si>
  <si>
    <t>66751</t>
  </si>
  <si>
    <t>La Crosse Muni Electric</t>
  </si>
  <si>
    <t>1119 Main Street</t>
  </si>
  <si>
    <t>La Crosse</t>
  </si>
  <si>
    <t>67548</t>
  </si>
  <si>
    <t>Kiowa City Utilities</t>
  </si>
  <si>
    <t>618 Main St</t>
  </si>
  <si>
    <t>Kiowa</t>
  </si>
  <si>
    <t>67070</t>
  </si>
  <si>
    <t>Entergy-Sibley, LA</t>
  </si>
  <si>
    <t>Hwy 7 South</t>
  </si>
  <si>
    <t>Sibley</t>
  </si>
  <si>
    <t>71073</t>
  </si>
  <si>
    <t>ComEd</t>
  </si>
  <si>
    <t>Etna Green Electric Light Dept</t>
  </si>
  <si>
    <t>Alcoa Power Generating Inc. / Alcoa Warrick Power Plant</t>
  </si>
  <si>
    <t>B&amp;D ELECTRIC INC</t>
  </si>
  <si>
    <t>413 W VANTREES ST WASHINGTON IN 47501</t>
  </si>
  <si>
    <t>Wilton Municipal Light and Power System</t>
  </si>
  <si>
    <t>220 West 3rd St.</t>
  </si>
  <si>
    <t>Wilton</t>
  </si>
  <si>
    <t>52778</t>
  </si>
  <si>
    <t>Chain Electric Company - MS</t>
  </si>
  <si>
    <t>1308 West Pine Street</t>
  </si>
  <si>
    <t>39401</t>
  </si>
  <si>
    <t>West Liberty Municipal Electric Dept</t>
  </si>
  <si>
    <t>105 W 2nd St</t>
  </si>
  <si>
    <t>West Liberty</t>
  </si>
  <si>
    <t>52776</t>
  </si>
  <si>
    <t>Holyrood</t>
  </si>
  <si>
    <t>116 S Main</t>
  </si>
  <si>
    <t>67450</t>
  </si>
  <si>
    <t>Hoisington Muni Utility</t>
  </si>
  <si>
    <t>160 S Pine</t>
  </si>
  <si>
    <t>Hoisington</t>
  </si>
  <si>
    <t>67544</t>
  </si>
  <si>
    <t>Onawa Public Works</t>
  </si>
  <si>
    <t>1514 6th Street</t>
  </si>
  <si>
    <t>Onawa</t>
  </si>
  <si>
    <t>51040</t>
  </si>
  <si>
    <t>Hill City</t>
  </si>
  <si>
    <t>205 N Pomeroy</t>
  </si>
  <si>
    <t>67642</t>
  </si>
  <si>
    <t>Haven Light &amp; Water Power</t>
  </si>
  <si>
    <t>120 S KANSAS Ave</t>
  </si>
  <si>
    <t>Haven</t>
  </si>
  <si>
    <t>67543</t>
  </si>
  <si>
    <t>Greens burg</t>
  </si>
  <si>
    <t>300 S Main</t>
  </si>
  <si>
    <t>Greensburg</t>
  </si>
  <si>
    <t>67054</t>
  </si>
  <si>
    <t>Glen Elder</t>
  </si>
  <si>
    <t>213 S Market St</t>
  </si>
  <si>
    <t>67446</t>
  </si>
  <si>
    <t>Glad I</t>
  </si>
  <si>
    <t>206 E Main</t>
  </si>
  <si>
    <t>Glasco</t>
  </si>
  <si>
    <t>67445</t>
  </si>
  <si>
    <t>City of Galva</t>
  </si>
  <si>
    <t>208 S Main</t>
  </si>
  <si>
    <t>Galva</t>
  </si>
  <si>
    <t>67443</t>
  </si>
  <si>
    <t>Sergeant Bluff Utilities</t>
  </si>
  <si>
    <t>401 4th Street</t>
  </si>
  <si>
    <t>Sergeant Bluff</t>
  </si>
  <si>
    <t>51054</t>
  </si>
  <si>
    <t>City of Erie</t>
  </si>
  <si>
    <t>618 E 2nd</t>
  </si>
  <si>
    <t>Erie</t>
  </si>
  <si>
    <t>66733</t>
  </si>
  <si>
    <t>Elwood Electric</t>
  </si>
  <si>
    <t>P.O. Box 357</t>
  </si>
  <si>
    <t>Elwood</t>
  </si>
  <si>
    <t>City of Ellinwood Utilities</t>
  </si>
  <si>
    <t>104 E Second St</t>
  </si>
  <si>
    <t>Ellinwood</t>
  </si>
  <si>
    <t>67526</t>
  </si>
  <si>
    <t>Doniphan County Electric Cooperative</t>
  </si>
  <si>
    <t>530 W Jones St</t>
  </si>
  <si>
    <t>66087</t>
  </si>
  <si>
    <t>AES Redondo Beach LLC</t>
  </si>
  <si>
    <t>RMC Constructors</t>
  </si>
  <si>
    <t>2824 Co Rd 2321, Southport, FL 32409</t>
  </si>
  <si>
    <t>Southport</t>
  </si>
  <si>
    <t>32406</t>
  </si>
  <si>
    <t>Valspar Corporation</t>
  </si>
  <si>
    <t>90 Carson Road</t>
  </si>
  <si>
    <t>35215</t>
  </si>
  <si>
    <t>Franklin Electric</t>
  </si>
  <si>
    <t>34 Spring Hill Rd</t>
  </si>
  <si>
    <t>Saco</t>
  </si>
  <si>
    <t>ME</t>
  </si>
  <si>
    <t>4072</t>
  </si>
  <si>
    <t>G&amp;W Electric Company</t>
  </si>
  <si>
    <t>2731 Indian Pipe Lane</t>
  </si>
  <si>
    <t>Signal Mountain</t>
  </si>
  <si>
    <t>37377</t>
  </si>
  <si>
    <t>Irby Utilities SE</t>
  </si>
  <si>
    <t>1025 A Cobb International Place</t>
  </si>
  <si>
    <t>Kennesaw</t>
  </si>
  <si>
    <t>30152</t>
  </si>
  <si>
    <t>Triumvirate Environmental, Inc.</t>
  </si>
  <si>
    <t>42-19 19th Ave</t>
  </si>
  <si>
    <t>Astoria</t>
  </si>
  <si>
    <t>11105</t>
  </si>
  <si>
    <t>PVM Electrical</t>
  </si>
  <si>
    <t>Acrodyne Services</t>
  </si>
  <si>
    <t>1500 Gehman Rd</t>
  </si>
  <si>
    <t>Harleysville</t>
  </si>
  <si>
    <t>19438</t>
  </si>
  <si>
    <t>Life Protection Services</t>
  </si>
  <si>
    <t>Carter Electric</t>
  </si>
  <si>
    <t>231 Jean St</t>
  </si>
  <si>
    <t>Daytona Beach</t>
  </si>
  <si>
    <t>32114</t>
  </si>
  <si>
    <t>Nemec Industries, LLC</t>
  </si>
  <si>
    <t>4266 Roswell Rd NE F2</t>
  </si>
  <si>
    <t>30342</t>
  </si>
  <si>
    <t>North American Dismantling Corp</t>
  </si>
  <si>
    <t>PO Box 307</t>
  </si>
  <si>
    <t>Lapeer</t>
  </si>
  <si>
    <t>48446</t>
  </si>
  <si>
    <t>Westrock - Florida</t>
  </si>
  <si>
    <t>600 N 8th St</t>
  </si>
  <si>
    <t>Fernandina Beach</t>
  </si>
  <si>
    <t>32034</t>
  </si>
  <si>
    <t>Reliance Test &amp; Technology</t>
  </si>
  <si>
    <t>4050 S Ferdon Blvd</t>
  </si>
  <si>
    <t>32536</t>
  </si>
  <si>
    <t>Flex Electric</t>
  </si>
  <si>
    <t>Reliance Test &amp; Technology Eglin AFB</t>
  </si>
  <si>
    <t>516 Perimeter Rd. Suite 1</t>
  </si>
  <si>
    <t>Eglin AFB</t>
  </si>
  <si>
    <t>Associated Building Wreckers, Inc</t>
  </si>
  <si>
    <t>352 Albany St</t>
  </si>
  <si>
    <t>1105</t>
  </si>
  <si>
    <t>Eldeco, Inc</t>
  </si>
  <si>
    <t>700 Cahaba Valley Cir</t>
  </si>
  <si>
    <t>Pelham</t>
  </si>
  <si>
    <t>35124</t>
  </si>
  <si>
    <t>Guthart Electric</t>
  </si>
  <si>
    <t>Purdum Electric</t>
  </si>
  <si>
    <t>720 Ellisville Blvd</t>
  </si>
  <si>
    <t>39440</t>
  </si>
  <si>
    <t>Parker Electric</t>
  </si>
  <si>
    <t>109 Industrial Loop Rd</t>
  </si>
  <si>
    <t>Orange Park</t>
  </si>
  <si>
    <t>32073</t>
  </si>
  <si>
    <t>Manns Electric Corp.</t>
  </si>
  <si>
    <t>Wilson Electric- FL</t>
  </si>
  <si>
    <t>1246 Kingsley Av</t>
  </si>
  <si>
    <t>Preston Link Electrical</t>
  </si>
  <si>
    <t>4000 SW 35th Terr</t>
  </si>
  <si>
    <t>32608</t>
  </si>
  <si>
    <t>Technology Wire and Cable</t>
  </si>
  <si>
    <t>2302 Town St</t>
  </si>
  <si>
    <t>Volkert, Inc</t>
  </si>
  <si>
    <t>3809 Moffet Rd</t>
  </si>
  <si>
    <t>36618</t>
  </si>
  <si>
    <t>Bunge North America, Decatur</t>
  </si>
  <si>
    <t>1400 Market St NE</t>
  </si>
  <si>
    <t>35601</t>
  </si>
  <si>
    <t>Doughty Brothers</t>
  </si>
  <si>
    <t>55 Airline Road</t>
  </si>
  <si>
    <t>39702</t>
  </si>
  <si>
    <t>Entergy-NineMile Power Plant</t>
  </si>
  <si>
    <t>1617 River Road</t>
  </si>
  <si>
    <t>70094</t>
  </si>
  <si>
    <t>McLemore Electric</t>
  </si>
  <si>
    <t>2405 W Herman St</t>
  </si>
  <si>
    <t>Peaden Air Conditioning, Plumbing and Electrical Pensacola</t>
  </si>
  <si>
    <t>122 Industrial Blvd.</t>
  </si>
  <si>
    <t>Scapin Electric</t>
  </si>
  <si>
    <t>2320 Town St</t>
  </si>
  <si>
    <t>LEL Environmental LTD</t>
  </si>
  <si>
    <t>530 East Sam Houston Pkwy, South</t>
  </si>
  <si>
    <t>77503</t>
  </si>
  <si>
    <t>Mark Funk Electrical</t>
  </si>
  <si>
    <t>2375 Philmont Ave</t>
  </si>
  <si>
    <t>Huntingdon Valley</t>
  </si>
  <si>
    <t>19006</t>
  </si>
  <si>
    <t>Steves Electric of South Florida</t>
  </si>
  <si>
    <t>J Crompton Electric Inc.</t>
  </si>
  <si>
    <t>Rosendin Electric - Sacramento CA</t>
  </si>
  <si>
    <t>1338 N. Market Blvd</t>
  </si>
  <si>
    <t>Sacramento</t>
  </si>
  <si>
    <t>95834</t>
  </si>
  <si>
    <t>Jefferson State Community College</t>
  </si>
  <si>
    <t>2601 Carson Road</t>
  </si>
  <si>
    <t>Port Angeles (WA)</t>
  </si>
  <si>
    <t>Pittsburgh Foundry &amp; Machine Company</t>
  </si>
  <si>
    <t>20 36th St</t>
  </si>
  <si>
    <t>15201</t>
  </si>
  <si>
    <t>Morgantown Electric</t>
  </si>
  <si>
    <t>Morgantown, NC</t>
  </si>
  <si>
    <t>Sessler Environmental Services</t>
  </si>
  <si>
    <t>30 Vantage Dr</t>
  </si>
  <si>
    <t>14624</t>
  </si>
  <si>
    <t>Smethport Borough Electric Department</t>
  </si>
  <si>
    <t>201 W. Main Street</t>
  </si>
  <si>
    <t>Smethport</t>
  </si>
  <si>
    <t>16749</t>
  </si>
  <si>
    <t>EMERALD PEOPLES UTILITY</t>
  </si>
  <si>
    <t>33733 Seavey Loop Rd</t>
  </si>
  <si>
    <t>97405</t>
  </si>
  <si>
    <t>Shields Electric</t>
  </si>
  <si>
    <t>2803 W Lakeview Ave</t>
  </si>
  <si>
    <t>Delta Lighting and Supply</t>
  </si>
  <si>
    <t>950 West Bypass</t>
  </si>
  <si>
    <t>36420</t>
  </si>
  <si>
    <t>Per-Tech Inc.</t>
  </si>
  <si>
    <t>113 Erie Street South</t>
  </si>
  <si>
    <t>Massillon</t>
  </si>
  <si>
    <t>44646</t>
  </si>
  <si>
    <t>Chiv Electrical</t>
  </si>
  <si>
    <t>530 Williams Ditch Rd</t>
  </si>
  <si>
    <t>Cantonment</t>
  </si>
  <si>
    <t>32533</t>
  </si>
  <si>
    <t>Adams Manufacturing</t>
  </si>
  <si>
    <t>1 Early Street</t>
  </si>
  <si>
    <t>Ellwood City</t>
  </si>
  <si>
    <t>16117</t>
  </si>
  <si>
    <t>Richland Center Municipal Utilities</t>
  </si>
  <si>
    <t>Richland Electric Coop</t>
  </si>
  <si>
    <t>Riverland Energy Coop [REC]</t>
  </si>
  <si>
    <t>Saint Croix County Electric Coop</t>
  </si>
  <si>
    <t>Spooner Municipal Utilities</t>
  </si>
  <si>
    <t>Superior Water Light &amp; Power Co</t>
  </si>
  <si>
    <t>Village of Cashton</t>
  </si>
  <si>
    <t>Waterloo Light &amp; Water Commission</t>
  </si>
  <si>
    <t>Willage of Bangor</t>
  </si>
  <si>
    <t>Wisconsin Federation of Cooperatives</t>
  </si>
  <si>
    <t>Dunn Energy Coop [DEC]</t>
  </si>
  <si>
    <t>Eau Claire Energy Coop [ECEC]</t>
  </si>
  <si>
    <t>Jump River Electric Coop [JREC]</t>
  </si>
  <si>
    <t>Lodi Municipal Light &amp; Water Dept</t>
  </si>
  <si>
    <t>Mount Horeb Electric Utility</t>
  </si>
  <si>
    <t>New Richmond City Utilities</t>
  </si>
  <si>
    <t>Northwestern Wisconsin Electric Co [NWE]</t>
  </si>
  <si>
    <t>Oakdale Electric Coop</t>
  </si>
  <si>
    <t>Pierce Pepin Cooperative Services  [PPCS]</t>
  </si>
  <si>
    <t>Pioneer Power and Light Co</t>
  </si>
  <si>
    <t>Prairie du Sac Water and Light</t>
  </si>
  <si>
    <t>Price Electric Coop Inc</t>
  </si>
  <si>
    <t>Reedsburg Utility Commission</t>
  </si>
  <si>
    <t>Kiel City Utilities</t>
  </si>
  <si>
    <t>Algoma Utilities</t>
  </si>
  <si>
    <t>1407 Flora Avenue</t>
  </si>
  <si>
    <t>Algoma</t>
  </si>
  <si>
    <t>54201</t>
  </si>
  <si>
    <t>Oconto Falls Water &amp; Light Commission</t>
  </si>
  <si>
    <t>223 Monroe St</t>
  </si>
  <si>
    <t>Oconto Falls</t>
  </si>
  <si>
    <t>54154-0070</t>
  </si>
  <si>
    <t>Sturgeon Bay Utilities</t>
  </si>
  <si>
    <t>Wisconsin Public Power Inc (WPPI)</t>
  </si>
  <si>
    <t>1425 Corporate Center Drive</t>
  </si>
  <si>
    <t>Sun Prairie</t>
  </si>
  <si>
    <t>53590-9109</t>
  </si>
  <si>
    <t>Evansville Water &amp; Light Dept</t>
  </si>
  <si>
    <t>31 S Madison St</t>
  </si>
  <si>
    <t>53536</t>
  </si>
  <si>
    <t>Waunaukee UItilities</t>
  </si>
  <si>
    <t>322 Moravian Valley Road</t>
  </si>
  <si>
    <t>Waunakee</t>
  </si>
  <si>
    <t>53597-0070</t>
  </si>
  <si>
    <t>Wisconsin Rapids Water Works &amp; Light Commission</t>
  </si>
  <si>
    <t>221 16th Street S.</t>
  </si>
  <si>
    <t>Wisconsin Rapids</t>
  </si>
  <si>
    <t>54494</t>
  </si>
  <si>
    <t>Marshfield Electric &amp; Water</t>
  </si>
  <si>
    <t>2000 S. Central Avenue</t>
  </si>
  <si>
    <t>54449</t>
  </si>
  <si>
    <t>ZMAC TRANSPORTATION</t>
  </si>
  <si>
    <t>WAUPUN PUBLIC UTILITIES</t>
  </si>
  <si>
    <t>Sun Prairie Water &amp; Light Commission [SPWL]</t>
  </si>
  <si>
    <t>Village of Pardeeville, WI</t>
  </si>
  <si>
    <t>114 Lake Street</t>
  </si>
  <si>
    <t>Pardeeville</t>
  </si>
  <si>
    <t>53954</t>
  </si>
  <si>
    <t>New Holstein Public Utilitiessha</t>
  </si>
  <si>
    <t>Medford Electric Utility</t>
  </si>
  <si>
    <t>JEFFERSON UTILITIES</t>
  </si>
  <si>
    <t>CLINTONVILLE UTILITIES</t>
  </si>
  <si>
    <t>Chippewa Valley Electric Coop [CVEC]</t>
  </si>
  <si>
    <t>Boscobel Municipal Utility</t>
  </si>
  <si>
    <t>Barron Electric Coop</t>
  </si>
  <si>
    <t>Arcadia Electric Utility</t>
  </si>
  <si>
    <t>New London Electric and Water</t>
  </si>
  <si>
    <t>Niobrara Electric Association</t>
  </si>
  <si>
    <t>3951 U.S. Hwy. 20, Box 697</t>
  </si>
  <si>
    <t>Lusk</t>
  </si>
  <si>
    <t>82225</t>
  </si>
  <si>
    <t>Wheatland Rural Electric Association</t>
  </si>
  <si>
    <t>2154 South Road</t>
  </si>
  <si>
    <t>Wheatland</t>
  </si>
  <si>
    <t>82201</t>
  </si>
  <si>
    <t>Town of Wheatland</t>
  </si>
  <si>
    <t>600-9th St</t>
  </si>
  <si>
    <t>City of Louisburg - NC</t>
  </si>
  <si>
    <t>Smithfield Dept. of Public Utilities - NC</t>
  </si>
  <si>
    <t>Town of Scotland Neck - NC</t>
  </si>
  <si>
    <t>Town of Selma - NC</t>
  </si>
  <si>
    <t>Enfield Electric Plant - NC</t>
  </si>
  <si>
    <t>High Voltage Maintenance - WI</t>
  </si>
  <si>
    <t>New Berlin</t>
  </si>
  <si>
    <t>City of Windor - NC</t>
  </si>
  <si>
    <t>Talboro Electric - NC</t>
  </si>
  <si>
    <t>Callan Salvage &amp; Appraisal</t>
  </si>
  <si>
    <t>11625 Hwy 64</t>
  </si>
  <si>
    <t>Eads</t>
  </si>
  <si>
    <t>38028</t>
  </si>
  <si>
    <t>Eads (Memphis)</t>
  </si>
  <si>
    <t>The State Group Industrial</t>
  </si>
  <si>
    <t>13800 N. Hwy 57</t>
  </si>
  <si>
    <t>47725</t>
  </si>
  <si>
    <t>Town of Robersonville - NC</t>
  </si>
  <si>
    <t>Total Management Recovery Services (TMRS)</t>
  </si>
  <si>
    <t>PO Box 152</t>
  </si>
  <si>
    <t>Newport</t>
  </si>
  <si>
    <t>48166</t>
  </si>
  <si>
    <t>Wagner Electric</t>
  </si>
  <si>
    <t>MCF Environmental</t>
  </si>
  <si>
    <t>AEP (AR/MO)</t>
  </si>
  <si>
    <t>Grand Mesa Electric</t>
  </si>
  <si>
    <t>428 N  SR 198</t>
  </si>
  <si>
    <t>River Falls Municipal Utilities</t>
  </si>
  <si>
    <t>Scenic Rivers Energy Coop  [SREC]</t>
  </si>
  <si>
    <t>Energy Parts Solution</t>
  </si>
  <si>
    <t>80 White Road</t>
  </si>
  <si>
    <t>77047</t>
  </si>
  <si>
    <t>Fibermark</t>
  </si>
  <si>
    <t>Quakertown</t>
  </si>
  <si>
    <t>Allied Machine Works</t>
  </si>
  <si>
    <t>438 West Watkins road</t>
  </si>
  <si>
    <t>Phx</t>
  </si>
  <si>
    <t>DPL - JM Stewart Plant</t>
  </si>
  <si>
    <t>745 US 52</t>
  </si>
  <si>
    <t>Aberdeen</t>
  </si>
  <si>
    <t>45101</t>
  </si>
  <si>
    <t>Jensen Precast Phx</t>
  </si>
  <si>
    <t>2410 W. Broadway Road</t>
  </si>
  <si>
    <t>85041</t>
  </si>
  <si>
    <t>Jensen Precast Vegas</t>
  </si>
  <si>
    <t>3853 Losee Road</t>
  </si>
  <si>
    <t>Lac Vegas</t>
  </si>
  <si>
    <t>89030</t>
  </si>
  <si>
    <t>Sequel Pensacola</t>
  </si>
  <si>
    <t>Old Castle Precast</t>
  </si>
  <si>
    <t>411 E. Frye Road</t>
  </si>
  <si>
    <t>Chandler</t>
  </si>
  <si>
    <t>85225</t>
  </si>
  <si>
    <t>OMU</t>
  </si>
  <si>
    <t>1531 East 4th Street</t>
  </si>
  <si>
    <t>Owensboro</t>
  </si>
  <si>
    <t>42303</t>
  </si>
  <si>
    <t>North George EMC</t>
  </si>
  <si>
    <t>Ocumulgee Electric coop</t>
  </si>
  <si>
    <t>BEAUPRE SCRAP</t>
  </si>
  <si>
    <t>Brodhead Water and Light</t>
  </si>
  <si>
    <t>507 19th St, PO Box 227</t>
  </si>
  <si>
    <t>Brodhead</t>
  </si>
  <si>
    <t>53520</t>
  </si>
  <si>
    <t>New Glarus Light and Water</t>
  </si>
  <si>
    <t>319 2nd St,</t>
  </si>
  <si>
    <t>New Glarus</t>
  </si>
  <si>
    <t>53574</t>
  </si>
  <si>
    <t>Virginia Electric and Mine Supply</t>
  </si>
  <si>
    <t>Cauphen Electric</t>
  </si>
  <si>
    <t>Enervest Operations</t>
  </si>
  <si>
    <t>High Voltage Maintenance - Dayton, OH</t>
  </si>
  <si>
    <t>Town of Iowa, LA</t>
  </si>
  <si>
    <t>115 Thomson</t>
  </si>
  <si>
    <t>Iowa, LA 70647</t>
  </si>
  <si>
    <t>CDM Smith</t>
  </si>
  <si>
    <t>25 Industrial Ave</t>
  </si>
  <si>
    <t>Chelmsford</t>
  </si>
  <si>
    <t>1824</t>
  </si>
  <si>
    <t>All Forms Construction Supply (Keith W.)</t>
  </si>
  <si>
    <t>14850 Davis Road</t>
  </si>
  <si>
    <t>Peyton</t>
  </si>
  <si>
    <t>80831</t>
  </si>
  <si>
    <t>AHTNA</t>
  </si>
  <si>
    <t>3100 Beacon Blvd</t>
  </si>
  <si>
    <t>W Sacramento</t>
  </si>
  <si>
    <t>95691</t>
  </si>
  <si>
    <t>CMPCO</t>
  </si>
  <si>
    <t>Dubak Electrical Group</t>
  </si>
  <si>
    <t>5202 E 24th Street</t>
  </si>
  <si>
    <t>46218</t>
  </si>
  <si>
    <t>D-Systems</t>
  </si>
  <si>
    <t>Power Supply Company</t>
  </si>
  <si>
    <t>C and C Powerline</t>
  </si>
  <si>
    <t>Houston Transformer Co</t>
  </si>
  <si>
    <t>Reliant Energy</t>
  </si>
  <si>
    <t>393 North Harbor Blvd</t>
  </si>
  <si>
    <t>Oxnard</t>
  </si>
  <si>
    <t>93035</t>
  </si>
  <si>
    <t>Basin Pipe &amp; Metal</t>
  </si>
  <si>
    <t>Silchem, LLC</t>
  </si>
  <si>
    <t>1099 Shotgun Rd</t>
  </si>
  <si>
    <t>Sunrise</t>
  </si>
  <si>
    <t>33326</t>
  </si>
  <si>
    <t>Consolidated Electrical Distributors, WPB, FL</t>
  </si>
  <si>
    <t>1500 N Fl Mango Rd 9aA</t>
  </si>
  <si>
    <t>33409</t>
  </si>
  <si>
    <t>Chem-Tech Consultants, Inc.</t>
  </si>
  <si>
    <t>559 State Route 97E</t>
  </si>
  <si>
    <t>Bellville</t>
  </si>
  <si>
    <t>44813</t>
  </si>
  <si>
    <t>TW Power Line Construction</t>
  </si>
  <si>
    <t>Summit Environmental</t>
  </si>
  <si>
    <t>Arm Camco LLC</t>
  </si>
  <si>
    <t>667 Industrial Park Road</t>
  </si>
  <si>
    <t>Ebensburg</t>
  </si>
  <si>
    <t>15931</t>
  </si>
  <si>
    <t>The Arnold Group Inc</t>
  </si>
  <si>
    <t>170 Sunport Ln suite 90</t>
  </si>
  <si>
    <t>32809</t>
  </si>
  <si>
    <t>Elliott Electric Supply Inc</t>
  </si>
  <si>
    <t>2526 N Stallings Dr</t>
  </si>
  <si>
    <t>Nacogdoches</t>
  </si>
  <si>
    <t>Texas</t>
  </si>
  <si>
    <t>75964</t>
  </si>
  <si>
    <t>Keathley Patterson Electric (TGC)</t>
  </si>
  <si>
    <t>2814 West 6th Street</t>
  </si>
  <si>
    <t>Pine Bluff</t>
  </si>
  <si>
    <t>71601</t>
  </si>
  <si>
    <t>SKCS Inc.</t>
  </si>
  <si>
    <t>1000 Skc Drive</t>
  </si>
  <si>
    <t>Covington</t>
  </si>
  <si>
    <t>30014</t>
  </si>
  <si>
    <t>RESCO</t>
  </si>
  <si>
    <t>2250 Pinehurst Drive</t>
  </si>
  <si>
    <t>Middleton</t>
  </si>
  <si>
    <t>53562</t>
  </si>
  <si>
    <t>Logistics Recycling, Inc</t>
  </si>
  <si>
    <t>2955 Ramada Way</t>
  </si>
  <si>
    <t>Green Bay</t>
  </si>
  <si>
    <t>54304</t>
  </si>
  <si>
    <t>Blue Ridge Mountain Electric Membership Corp</t>
  </si>
  <si>
    <t>875 Main Street</t>
  </si>
  <si>
    <t>Young Harris</t>
  </si>
  <si>
    <t>30582</t>
  </si>
  <si>
    <t>Rayle Electric Memebership</t>
  </si>
  <si>
    <t>786 Athens Road</t>
  </si>
  <si>
    <t>30648</t>
  </si>
  <si>
    <t>Engineered Electric Services</t>
  </si>
  <si>
    <t>520 Prairie Industrial Parkway</t>
  </si>
  <si>
    <t>Mulberry</t>
  </si>
  <si>
    <t>33860</t>
  </si>
  <si>
    <t>FAYETTEVILLE PUB WORKS</t>
  </si>
  <si>
    <t>955 Old Wilmington Road</t>
  </si>
  <si>
    <t>Fayetteville</t>
  </si>
  <si>
    <t>28301</t>
  </si>
  <si>
    <t>Industrial Weldors &amp; Machinists, Inc.</t>
  </si>
  <si>
    <t>3902 Oneota Street</t>
  </si>
  <si>
    <t>55807</t>
  </si>
  <si>
    <t>Baroco Electric</t>
  </si>
  <si>
    <t>75 Brent Ln</t>
  </si>
  <si>
    <t>New prospect</t>
  </si>
  <si>
    <t>Gould Academy</t>
  </si>
  <si>
    <t>39 Church St</t>
  </si>
  <si>
    <t>Bethel</t>
  </si>
  <si>
    <t>Maine</t>
  </si>
  <si>
    <t>04217</t>
  </si>
  <si>
    <t>Leeward Renewable Energy LLC</t>
  </si>
  <si>
    <t>United Electric Cooperative Services Inc</t>
  </si>
  <si>
    <t>2601 South Burleson Boulevard</t>
  </si>
  <si>
    <t>Burleson</t>
  </si>
  <si>
    <t>76028</t>
  </si>
  <si>
    <t>Gila River Indian Community Utility Authority</t>
  </si>
  <si>
    <t>6636 West Sundust Road</t>
  </si>
  <si>
    <t>85226</t>
  </si>
  <si>
    <t>Voltaic Inc.</t>
  </si>
  <si>
    <t>2500 South Millbend Drive</t>
  </si>
  <si>
    <t>The Woodlands</t>
  </si>
  <si>
    <t>Call Associated, Inc</t>
  </si>
  <si>
    <t>WALGENBACH POWER LLC</t>
  </si>
  <si>
    <t>Graybar Electric Supply - LA</t>
  </si>
  <si>
    <t>7676 Airline Highway</t>
  </si>
  <si>
    <t>Baton Rouge</t>
  </si>
  <si>
    <t>70814</t>
  </si>
  <si>
    <t>Sims Lifecycle Services GmbH</t>
  </si>
  <si>
    <t>Toledo Refining Company</t>
  </si>
  <si>
    <t>1819 Woodville Road</t>
  </si>
  <si>
    <t>Oregon</t>
  </si>
  <si>
    <t>43616</t>
  </si>
  <si>
    <t>City of Santa Clara</t>
  </si>
  <si>
    <t>1500 Warburton Ave</t>
  </si>
  <si>
    <t>California</t>
  </si>
  <si>
    <t>James Babcock Inc</t>
  </si>
  <si>
    <t>2925 N Mitthoeffer Pl</t>
  </si>
  <si>
    <t>Indiana</t>
  </si>
  <si>
    <t>46229</t>
  </si>
  <si>
    <t>D&amp;B Construction</t>
  </si>
  <si>
    <t>5344 S Malaya Way</t>
  </si>
  <si>
    <t>Centennial</t>
  </si>
  <si>
    <t>80015</t>
  </si>
  <si>
    <t>ESReliability Services</t>
  </si>
  <si>
    <t>Neosha Falls</t>
  </si>
  <si>
    <t>kansas</t>
  </si>
  <si>
    <t>City of Stephen (MN)</t>
  </si>
  <si>
    <t>Stephen</t>
  </si>
  <si>
    <t>Safety-Kleen Systems Inc</t>
  </si>
  <si>
    <t>2700 Mullins Court Northwest</t>
  </si>
  <si>
    <t>49534</t>
  </si>
  <si>
    <t>L&amp;S Electric</t>
  </si>
  <si>
    <t>9300 Evergreen Blvd</t>
  </si>
  <si>
    <t>Coon Rapids</t>
  </si>
  <si>
    <t>55433</t>
  </si>
  <si>
    <t>Kenalloy Foundry Co</t>
  </si>
  <si>
    <t>9735 Gravois</t>
  </si>
  <si>
    <t>Total Electrical</t>
  </si>
  <si>
    <t>PO Box 616</t>
  </si>
  <si>
    <t>Power Testing and Energization</t>
  </si>
  <si>
    <t>731 East Ball Road, #100</t>
  </si>
  <si>
    <t>Penn Ohio Electric Co.</t>
  </si>
  <si>
    <t>1370 Sharon Hogue Road</t>
  </si>
  <si>
    <t>Masury</t>
  </si>
  <si>
    <t>44438</t>
  </si>
  <si>
    <t>Sunbelt Remodeling</t>
  </si>
  <si>
    <t>Corvias Group LLC</t>
  </si>
  <si>
    <t>EFP, LLC</t>
  </si>
  <si>
    <t>Tarrant County</t>
  </si>
  <si>
    <t>100 East Weatherford Street</t>
  </si>
  <si>
    <t>Fort Worth</t>
  </si>
  <si>
    <t>76102</t>
  </si>
  <si>
    <t>Trans-Utility Services</t>
  </si>
  <si>
    <t>122 Willey Rd</t>
  </si>
  <si>
    <t>Milton Mills</t>
  </si>
  <si>
    <t>03852</t>
  </si>
  <si>
    <t>TRC America</t>
  </si>
  <si>
    <t>5551 W. Ponkan Rd</t>
  </si>
  <si>
    <t>Exxon Mobil Houston</t>
  </si>
  <si>
    <t>Process Service Group</t>
  </si>
  <si>
    <t>1015 Temple Avenue South</t>
  </si>
  <si>
    <t>36555</t>
  </si>
  <si>
    <t>Canfor southern pine</t>
  </si>
  <si>
    <t>3700 Clay Pond Road</t>
  </si>
  <si>
    <t>Myrtle Beach</t>
  </si>
  <si>
    <t>29579</t>
  </si>
  <si>
    <t>PAW Demolition</t>
  </si>
  <si>
    <t>6640 FL-42</t>
  </si>
  <si>
    <t>Hudson</t>
  </si>
  <si>
    <t>34667</t>
  </si>
  <si>
    <t>Motion Insustries Inc.</t>
  </si>
  <si>
    <t>Princeton Plasma Physics Lab</t>
  </si>
  <si>
    <t>100 Stellarator Rd</t>
  </si>
  <si>
    <t>Princeton</t>
  </si>
  <si>
    <t>New Jersey</t>
  </si>
  <si>
    <t>08540</t>
  </si>
  <si>
    <t>M &amp; I Electric Industries</t>
  </si>
  <si>
    <t>4775 M.L.K. Jr. Parkway</t>
  </si>
  <si>
    <t>Beaumont</t>
  </si>
  <si>
    <t>77705</t>
  </si>
  <si>
    <t>Archer Daniels Midland</t>
  </si>
  <si>
    <t>Calpine-Corpus Christi Engy Cn</t>
  </si>
  <si>
    <t>Ais Industrial &amp; Const Supply</t>
  </si>
  <si>
    <t>Rentech Nitrogen Pasadena, LLC</t>
  </si>
  <si>
    <t>DYNA POWER</t>
  </si>
  <si>
    <t>SUB STATION SERVICE COMPANY</t>
  </si>
  <si>
    <t>Lucite International Inc</t>
  </si>
  <si>
    <t>Brazos Electric Power Cooperative, Inc.</t>
  </si>
  <si>
    <t>7616 Bagby Ave</t>
  </si>
  <si>
    <t>Waco</t>
  </si>
  <si>
    <t>76712</t>
  </si>
  <si>
    <t>Kelly &amp; Hayes</t>
  </si>
  <si>
    <t>Nesconsett</t>
  </si>
  <si>
    <t>Northern Indiana Public Service</t>
  </si>
  <si>
    <t>2755 Raystone Drive</t>
  </si>
  <si>
    <t>Valparaiso</t>
  </si>
  <si>
    <t>46383</t>
  </si>
  <si>
    <t>Louisiana Tech University Foundation Inc</t>
  </si>
  <si>
    <t>1201 Hull Avenue</t>
  </si>
  <si>
    <t>Ruston</t>
  </si>
  <si>
    <t>71272</t>
  </si>
  <si>
    <t>Edison Energy</t>
  </si>
  <si>
    <t>4970 SW 72 Ave</t>
  </si>
  <si>
    <t>33155</t>
  </si>
  <si>
    <t>Midwest Electric Transformer Services</t>
  </si>
  <si>
    <t>1324 N Oliver Rd</t>
  </si>
  <si>
    <t>67114</t>
  </si>
  <si>
    <t>Test Account</t>
  </si>
  <si>
    <t>Instrument Transformer Equipment Corporation</t>
  </si>
  <si>
    <t>P.O.  Box  15276</t>
  </si>
  <si>
    <t>70895</t>
  </si>
  <si>
    <t>WAHA Tech</t>
  </si>
  <si>
    <t>City of Torrington</t>
  </si>
  <si>
    <t>702 city shop road</t>
  </si>
  <si>
    <t>Torrington</t>
  </si>
  <si>
    <t>82240</t>
  </si>
  <si>
    <t>Carbon Power and Light Inc</t>
  </si>
  <si>
    <t>100 E Willow Avenue</t>
  </si>
  <si>
    <t>Saratoga</t>
  </si>
  <si>
    <t>82331</t>
  </si>
  <si>
    <t>ENBRIDGE (WY)</t>
  </si>
  <si>
    <t>441 Landmark Dr</t>
  </si>
  <si>
    <t>Casper</t>
  </si>
  <si>
    <t>82609</t>
  </si>
  <si>
    <t>Wyrulec company</t>
  </si>
  <si>
    <t>3978 US Hwy 26/85</t>
  </si>
  <si>
    <t>Basin Electric Power Cooperative</t>
  </si>
  <si>
    <t>347 Grayrock Road</t>
  </si>
  <si>
    <t>802201</t>
  </si>
  <si>
    <t>Maxam</t>
  </si>
  <si>
    <t>Rock Springs</t>
  </si>
  <si>
    <t>EMINSA Transformadores</t>
  </si>
  <si>
    <t>Calle Juan Ballenilla #35</t>
  </si>
  <si>
    <t>Santo Domingo</t>
  </si>
  <si>
    <t>ABG Bags</t>
  </si>
  <si>
    <t>1925 Elmwood Rd</t>
  </si>
  <si>
    <t>61103</t>
  </si>
  <si>
    <t>Tampa Armature Works TAW</t>
  </si>
  <si>
    <t>6312 78th Street</t>
  </si>
  <si>
    <t>Riverview</t>
  </si>
  <si>
    <t>33578</t>
  </si>
  <si>
    <t>Transformadores EMINSA RD</t>
  </si>
  <si>
    <t>Oklahoma State University</t>
  </si>
  <si>
    <t>Dry Type Deals - Holmes</t>
  </si>
  <si>
    <t>Holtzner Construction</t>
  </si>
  <si>
    <t>596 John St</t>
  </si>
  <si>
    <t>6604</t>
  </si>
  <si>
    <t>pitts electric</t>
  </si>
  <si>
    <t>Berry Corporation</t>
  </si>
  <si>
    <t>11117 River Run Blvd, 121A,</t>
  </si>
  <si>
    <t>Linder Oil</t>
  </si>
  <si>
    <t>Ossian</t>
  </si>
  <si>
    <t>RESA Power,  Cerritos CA</t>
  </si>
  <si>
    <t>13837 Bettencourt St.</t>
  </si>
  <si>
    <t>Cerritos</t>
  </si>
  <si>
    <t>90703</t>
  </si>
  <si>
    <t>Randolph Electric</t>
  </si>
  <si>
    <t>879 McDowell Rd</t>
  </si>
  <si>
    <t>Asheboro</t>
  </si>
  <si>
    <t>27205</t>
  </si>
  <si>
    <t>Rapid Recovery</t>
  </si>
  <si>
    <t>City of Lexington Electric</t>
  </si>
  <si>
    <t>711 S Talbert Blvd</t>
  </si>
  <si>
    <t>27292</t>
  </si>
  <si>
    <t>Red River Rural Electric Coop</t>
  </si>
  <si>
    <t>All Phase Electric Supply(CED) Albertville</t>
  </si>
  <si>
    <t>9411 US-431</t>
  </si>
  <si>
    <t>35950</t>
  </si>
  <si>
    <t>Irby Monroeville</t>
  </si>
  <si>
    <t>675 Hornady Dr</t>
  </si>
  <si>
    <t>Monroeville</t>
  </si>
  <si>
    <t>36460</t>
  </si>
  <si>
    <t>Satellite Services, Inc. (SSI)</t>
  </si>
  <si>
    <t>2255 Cong W L Dickinson Dr (Gunter Annex)</t>
  </si>
  <si>
    <t>36109</t>
  </si>
  <si>
    <t>Coburn Contractors, LLC</t>
  </si>
  <si>
    <t>300 Water Street, Suite 404 Montgomery, AL 36104</t>
  </si>
  <si>
    <t>APCO Tuscaloosa</t>
  </si>
  <si>
    <t>1301 Snows Mill Ave</t>
  </si>
  <si>
    <t>35406</t>
  </si>
  <si>
    <t>Green Energy Contracting</t>
  </si>
  <si>
    <t>2408 Caton Rd</t>
  </si>
  <si>
    <t>Florala</t>
  </si>
  <si>
    <t>36442</t>
  </si>
  <si>
    <t>Wiregrass Construction Company</t>
  </si>
  <si>
    <t>8974 North US Highway 231</t>
  </si>
  <si>
    <t>Ariton</t>
  </si>
  <si>
    <t>36311</t>
  </si>
  <si>
    <t>Canadian Valley Electrical Coop</t>
  </si>
  <si>
    <t>Herrmann Construction</t>
  </si>
  <si>
    <t>254 Airport rd</t>
  </si>
  <si>
    <t>Manchester Centre</t>
  </si>
  <si>
    <t>Washington Electric Utility NC</t>
  </si>
  <si>
    <t>Washington</t>
  </si>
  <si>
    <t>27889</t>
  </si>
  <si>
    <t>Hopi Tribe Economic Development Corporation</t>
  </si>
  <si>
    <t>SPX Components</t>
  </si>
  <si>
    <t>9011 Governors Row</t>
  </si>
  <si>
    <t>75247</t>
  </si>
  <si>
    <t>Norfork Dam-Powerhouse</t>
  </si>
  <si>
    <t>1487 Highway 177 south</t>
  </si>
  <si>
    <t>Calico Rock</t>
  </si>
  <si>
    <t>72653</t>
  </si>
  <si>
    <t>Bureau of Indian Affairs</t>
  </si>
  <si>
    <t>Mu Inc</t>
  </si>
  <si>
    <t>2941 San Luis rey Rd</t>
  </si>
  <si>
    <t>Oceanside</t>
  </si>
  <si>
    <t>92058</t>
  </si>
  <si>
    <t>Rice Construction</t>
  </si>
  <si>
    <t>Esposito's Electric</t>
  </si>
  <si>
    <t>424 Franklin Avenue</t>
  </si>
  <si>
    <t>Denville</t>
  </si>
  <si>
    <t>7834</t>
  </si>
  <si>
    <t>NextEra / Florida Power &amp; Light (FPL)</t>
  </si>
  <si>
    <t>PB Box 029950</t>
  </si>
  <si>
    <t>33102</t>
  </si>
  <si>
    <t>Smith Machine Inc.</t>
  </si>
  <si>
    <t>20874 Lake Park Blvd.</t>
  </si>
  <si>
    <t>B&amp;B Electrical Contractors Inc.</t>
  </si>
  <si>
    <t>627 Circle Drive</t>
  </si>
  <si>
    <t>Iron Mountian</t>
  </si>
  <si>
    <t>49801</t>
  </si>
  <si>
    <t>City of Hugoton KS</t>
  </si>
  <si>
    <t>788 Main St</t>
  </si>
  <si>
    <t>Hugoton, KS 67951</t>
  </si>
  <si>
    <t>Kimber Manufacturing, Inc.</t>
  </si>
  <si>
    <t>200 Industrial Blvd</t>
  </si>
  <si>
    <t>36081</t>
  </si>
  <si>
    <t>Adamo</t>
  </si>
  <si>
    <t>Central City Steel</t>
  </si>
  <si>
    <t>Delta Mechanical Contractors, LLC</t>
  </si>
  <si>
    <t>Hurlburt Field AFB</t>
  </si>
  <si>
    <t>Chino Basin Desalter Authority</t>
  </si>
  <si>
    <t>2151 S. Haven Avenue. Suite 202</t>
  </si>
  <si>
    <t>Ontario</t>
  </si>
  <si>
    <t>90761</t>
  </si>
  <si>
    <t>Central Moloney Incorporated</t>
  </si>
  <si>
    <t>2400 West 6th Avenue</t>
  </si>
  <si>
    <t>East Contra Costa Irrigation</t>
  </si>
  <si>
    <t>1171 Sellers Ave</t>
  </si>
  <si>
    <t>Brentwood</t>
  </si>
  <si>
    <t>94513</t>
  </si>
  <si>
    <t>Kriz-Davis Co.</t>
  </si>
  <si>
    <t>Vallen</t>
  </si>
  <si>
    <t>Dechard</t>
  </si>
  <si>
    <t>HH Transformer</t>
  </si>
  <si>
    <t>Temple</t>
  </si>
  <si>
    <t>High Voltage Maintenance - MD</t>
  </si>
  <si>
    <t>Schofield</t>
  </si>
  <si>
    <t>Liberty Power</t>
  </si>
  <si>
    <t>Rutledge</t>
  </si>
  <si>
    <t>Lewisburg Electric System (TN)</t>
  </si>
  <si>
    <t>599 W Ellington Pkwy</t>
  </si>
  <si>
    <t>37091</t>
  </si>
  <si>
    <t>Transformer Services</t>
  </si>
  <si>
    <t>74 Regional Drive, PO Box 1077</t>
  </si>
  <si>
    <t>03302</t>
  </si>
  <si>
    <t>Betz Transformer, Inc (TGC)</t>
  </si>
  <si>
    <t>320 Industrial Ave</t>
  </si>
  <si>
    <t>Olathe</t>
  </si>
  <si>
    <t>81425</t>
  </si>
  <si>
    <t>Sparta Electric System</t>
  </si>
  <si>
    <t>545 Bockman Way</t>
  </si>
  <si>
    <t>Sparta</t>
  </si>
  <si>
    <t>38583</t>
  </si>
  <si>
    <t>Etowah Utilities</t>
  </si>
  <si>
    <t>1316 Tennessee Avenue</t>
  </si>
  <si>
    <t>Etowah</t>
  </si>
  <si>
    <t>37331</t>
  </si>
  <si>
    <t>Gallatin Dept of Electricity</t>
  </si>
  <si>
    <t>140 Jones Street</t>
  </si>
  <si>
    <t>Gallatin</t>
  </si>
  <si>
    <t>37066</t>
  </si>
  <si>
    <t>High Voltage Maintenance - MA</t>
  </si>
  <si>
    <t>Walpole</t>
  </si>
  <si>
    <t>IRG Power Systems</t>
  </si>
  <si>
    <t>ST Louis</t>
  </si>
  <si>
    <t>Lawrenceburg Utility System</t>
  </si>
  <si>
    <t>1607 North Locust Ave</t>
  </si>
  <si>
    <t>38464</t>
  </si>
  <si>
    <t>Jellico Electric &amp; Water System</t>
  </si>
  <si>
    <t>410 S. Main St.</t>
  </si>
  <si>
    <t>Jellico</t>
  </si>
  <si>
    <t>37762</t>
  </si>
  <si>
    <t>ELSCO- Electric Service Company</t>
  </si>
  <si>
    <t>5331 Hetzel St.</t>
  </si>
  <si>
    <t>Cincinnati</t>
  </si>
  <si>
    <t>45227</t>
  </si>
  <si>
    <t>Winchester Utilities</t>
  </si>
  <si>
    <t>219 Second Avenue</t>
  </si>
  <si>
    <t>Winchester</t>
  </si>
  <si>
    <t>37398</t>
  </si>
  <si>
    <t>High Voltage Maintenance - PA</t>
  </si>
  <si>
    <t>Vanderbilt</t>
  </si>
  <si>
    <t>2515 McGavock Pike</t>
  </si>
  <si>
    <t>Nashville</t>
  </si>
  <si>
    <t>37214</t>
  </si>
  <si>
    <t>Mount Pleasant Power System (TN)</t>
  </si>
  <si>
    <t>123 N Main St</t>
  </si>
  <si>
    <t>Mount Pleasant</t>
  </si>
  <si>
    <t>38474</t>
  </si>
  <si>
    <t>Harriman Utility Board</t>
  </si>
  <si>
    <t>101 Margrave Drive</t>
  </si>
  <si>
    <t>Harriman</t>
  </si>
  <si>
    <t>37748</t>
  </si>
  <si>
    <t>Lehigh Maintenance</t>
  </si>
  <si>
    <t>7944 East 150 South</t>
  </si>
  <si>
    <t>Akron</t>
  </si>
  <si>
    <t>46910</t>
  </si>
  <si>
    <t>Magnatech Industrial Service</t>
  </si>
  <si>
    <t>Massilon</t>
  </si>
  <si>
    <t>Miller Industrial Fluids</t>
  </si>
  <si>
    <t>1751 W. Raymond Street _x000D_
Indianapolis Branch</t>
  </si>
  <si>
    <t>46221</t>
  </si>
  <si>
    <t>Mountain States Transformer Services Inc.</t>
  </si>
  <si>
    <t>14207 W. Hwy 30</t>
  </si>
  <si>
    <t>Pocatello</t>
  </si>
  <si>
    <t>83202</t>
  </si>
  <si>
    <t>Newman's Lubricants</t>
  </si>
  <si>
    <t>Uxbridge</t>
  </si>
  <si>
    <t>Shelbyville Power Water and Sewage System</t>
  </si>
  <si>
    <t>308 South Main Street</t>
  </si>
  <si>
    <t>37160</t>
  </si>
  <si>
    <t>McMinnville Electric System</t>
  </si>
  <si>
    <t>202 West Morford Street</t>
  </si>
  <si>
    <t>McMinnville</t>
  </si>
  <si>
    <t>37110</t>
  </si>
  <si>
    <t>RTS Transformer</t>
  </si>
  <si>
    <t>2234 S. Apopka Blvd</t>
  </si>
  <si>
    <t>SPX</t>
  </si>
  <si>
    <t>Charlotte</t>
  </si>
  <si>
    <t>Trans Utility Service</t>
  </si>
  <si>
    <t>Duck River Electric Membership Corp [DREMC]</t>
  </si>
  <si>
    <t>1411 Madison Street</t>
  </si>
  <si>
    <t>Northern A-1</t>
  </si>
  <si>
    <t>3947 US 131 North</t>
  </si>
  <si>
    <t>Kalkaska</t>
  </si>
  <si>
    <t>49646</t>
  </si>
  <si>
    <t>Springfield (TN) Electric</t>
  </si>
  <si>
    <t>1000 Central Avenue West</t>
  </si>
  <si>
    <t>37172</t>
  </si>
  <si>
    <t>Clarksville Dept of Electricity  [CDE]</t>
  </si>
  <si>
    <t>2021 Wilma Rudolph Blvd</t>
  </si>
  <si>
    <t>Clarksville</t>
  </si>
  <si>
    <t>37040</t>
  </si>
  <si>
    <t>Enterprise Products</t>
  </si>
  <si>
    <t>241 Newman Drive</t>
  </si>
  <si>
    <t>North Little Rock</t>
  </si>
  <si>
    <t>72117</t>
  </si>
  <si>
    <t>TRC</t>
  </si>
  <si>
    <t>21 Griffin Rd North</t>
  </si>
  <si>
    <t>Windsor</t>
  </si>
  <si>
    <t>Ct</t>
  </si>
  <si>
    <t>6095</t>
  </si>
  <si>
    <t>Tullahoma Power System</t>
  </si>
  <si>
    <t>901 S. Jackson Street</t>
  </si>
  <si>
    <t>Tullahoma</t>
  </si>
  <si>
    <t>37388</t>
  </si>
  <si>
    <t>Central MS Correction Facility</t>
  </si>
  <si>
    <t>3794 MS-468</t>
  </si>
  <si>
    <t>Pearl</t>
  </si>
  <si>
    <t>39208</t>
  </si>
  <si>
    <t>Newbern Electric Department</t>
  </si>
  <si>
    <t>318 south main</t>
  </si>
  <si>
    <t>Newbern</t>
  </si>
  <si>
    <t>38059</t>
  </si>
  <si>
    <t>Harris Corporation</t>
  </si>
  <si>
    <t>4450 E Fountain Blvd</t>
  </si>
  <si>
    <t>80916</t>
  </si>
  <si>
    <t>Lee Company</t>
  </si>
  <si>
    <t>4057 Rural Plains Drive</t>
  </si>
  <si>
    <t>37064</t>
  </si>
  <si>
    <t>Austin Peay University</t>
  </si>
  <si>
    <t>681 Summer Street</t>
  </si>
  <si>
    <t>Hughes hardwood international Inc.</t>
  </si>
  <si>
    <t>500 Highway 13 S.</t>
  </si>
  <si>
    <t>Collingwood</t>
  </si>
  <si>
    <t>38450</t>
  </si>
  <si>
    <t>TVA Bull Run</t>
  </si>
  <si>
    <t>1352 Edgemoor Road</t>
  </si>
  <si>
    <t>37716</t>
  </si>
  <si>
    <t>Knoxville Airport</t>
  </si>
  <si>
    <t>2343 West General Aviation Drive</t>
  </si>
  <si>
    <t>Alcoa</t>
  </si>
  <si>
    <t>37701</t>
  </si>
  <si>
    <t>Maryville College</t>
  </si>
  <si>
    <t>502 East Lamar Alexander Parkway</t>
  </si>
  <si>
    <t>Maryville</t>
  </si>
  <si>
    <t>37804</t>
  </si>
  <si>
    <t>Washtenaw Community College</t>
  </si>
  <si>
    <t>4800 E. Huron River Road</t>
  </si>
  <si>
    <t>Ann Arbor</t>
  </si>
  <si>
    <t>48105</t>
  </si>
  <si>
    <t>Pee Dee EMC</t>
  </si>
  <si>
    <t>575 US Hwy 52 South</t>
  </si>
  <si>
    <t>Wadesboro</t>
  </si>
  <si>
    <t>28170</t>
  </si>
  <si>
    <t>Panola-Harrison Electric Coop</t>
  </si>
  <si>
    <t>410 East Houston Street</t>
  </si>
  <si>
    <t>75671</t>
  </si>
  <si>
    <t>Yoakum Municipal Utilities</t>
  </si>
  <si>
    <t>900 Irvine St</t>
  </si>
  <si>
    <t>Yoakum</t>
  </si>
  <si>
    <t>77995</t>
  </si>
  <si>
    <t>P&amp;L Electric</t>
  </si>
  <si>
    <t>814 Albany Ave</t>
  </si>
  <si>
    <t>6112</t>
  </si>
  <si>
    <t>Whitesboro City Govt</t>
  </si>
  <si>
    <t>111 W. Main Street</t>
  </si>
  <si>
    <t>Whitesboro</t>
  </si>
  <si>
    <t>Greenbelt Electric Coop Inc</t>
  </si>
  <si>
    <t>706 10th St</t>
  </si>
  <si>
    <t>79095</t>
  </si>
  <si>
    <t>Weimar Electric Utilities</t>
  </si>
  <si>
    <t>109 W Jackson St</t>
  </si>
  <si>
    <t>Weimar</t>
  </si>
  <si>
    <t>78962</t>
  </si>
  <si>
    <t>Walker Miller Energy Services</t>
  </si>
  <si>
    <t>8169 Pelham Drive</t>
  </si>
  <si>
    <t>Westerville</t>
  </si>
  <si>
    <t>43081</t>
  </si>
  <si>
    <t>Weatherford Municipal Utility System</t>
  </si>
  <si>
    <t>Brazos Electric Cooperative Inc.</t>
  </si>
  <si>
    <t>300 Electric Rd</t>
  </si>
  <si>
    <t>Tolar</t>
  </si>
  <si>
    <t>76476</t>
  </si>
  <si>
    <t>Wayne Farms</t>
  </si>
  <si>
    <t>1020 Co Rd 114</t>
  </si>
  <si>
    <t>Jack</t>
  </si>
  <si>
    <t>36346</t>
  </si>
  <si>
    <t>Summit Electric Supply</t>
  </si>
  <si>
    <t>2202 S. Battleground Rd</t>
  </si>
  <si>
    <t>Victoria Electric Coop Inc</t>
  </si>
  <si>
    <t>5502 U.S. 59</t>
  </si>
  <si>
    <t>Victoria</t>
  </si>
  <si>
    <t>77905</t>
  </si>
  <si>
    <t>TEXLA Energy Partners / Vertex</t>
  </si>
  <si>
    <t>20351 Puligny Ave.</t>
  </si>
  <si>
    <t>70817</t>
  </si>
  <si>
    <t>Switchgear Solutions</t>
  </si>
  <si>
    <t>2540 N Jackrabbit Ave</t>
  </si>
  <si>
    <t>85745</t>
  </si>
  <si>
    <t>Grayson-Collin Electric Coop</t>
  </si>
  <si>
    <t>14568 FM 121</t>
  </si>
  <si>
    <t>Van Alstyne</t>
  </si>
  <si>
    <t>75495</t>
  </si>
  <si>
    <t>Swisher Electric Cooperative, Inc.</t>
  </si>
  <si>
    <t>401 Southwest 2nd Street</t>
  </si>
  <si>
    <t>Tulia</t>
  </si>
  <si>
    <t>79088</t>
  </si>
  <si>
    <t>Shiner Light &amp; Water Utilities</t>
  </si>
  <si>
    <t>513 N Ave. C</t>
  </si>
  <si>
    <t>Shiner</t>
  </si>
  <si>
    <t>77984</t>
  </si>
  <si>
    <t>United Lighting and Supply</t>
  </si>
  <si>
    <t>121 Chestnut Ave</t>
  </si>
  <si>
    <t>Fort Walton Beach</t>
  </si>
  <si>
    <t>Arch Environmental Group, Inc.</t>
  </si>
  <si>
    <t>37720 Interchange Drive</t>
  </si>
  <si>
    <t>48335</t>
  </si>
  <si>
    <t>Edisto Electric</t>
  </si>
  <si>
    <t>896 Calhoun St</t>
  </si>
  <si>
    <t>Bamberg, SC</t>
  </si>
  <si>
    <t>29003</t>
  </si>
  <si>
    <t>Rutgers University</t>
  </si>
  <si>
    <t>74 street 1603, Bldg 4116</t>
  </si>
  <si>
    <t>Piscataway</t>
  </si>
  <si>
    <t>8854</t>
  </si>
  <si>
    <t>Camden Municipal Utilities</t>
  </si>
  <si>
    <t>1000 Lyttleton St</t>
  </si>
  <si>
    <t>29020</t>
  </si>
  <si>
    <t>Guadalupe Valley Electric Coop</t>
  </si>
  <si>
    <t>825 E Sarah Dewitt</t>
  </si>
  <si>
    <t>Gonzales</t>
  </si>
  <si>
    <t>78629</t>
  </si>
  <si>
    <t>The L.E. Myers Co.</t>
  </si>
  <si>
    <t>6220 S. Belmont Ave.</t>
  </si>
  <si>
    <t>46217</t>
  </si>
  <si>
    <t>COOPERATIVE, INC.</t>
  </si>
  <si>
    <t>Southern Power</t>
  </si>
  <si>
    <t>LG&amp;E</t>
  </si>
  <si>
    <t>AES VA</t>
  </si>
  <si>
    <t>Century Link</t>
  </si>
  <si>
    <t>Boulder, CO</t>
  </si>
  <si>
    <t>IRH</t>
  </si>
  <si>
    <t>Equipment 2 Go</t>
  </si>
  <si>
    <t>Blue Bird Asset Marketing &amp; Consulting</t>
  </si>
  <si>
    <t>California Municipal Utilities</t>
  </si>
  <si>
    <t>915 L St #1460,</t>
  </si>
  <si>
    <t>Sacrameno</t>
  </si>
  <si>
    <t>95814</t>
  </si>
  <si>
    <t>Ouc</t>
  </si>
  <si>
    <t>Yulista</t>
  </si>
  <si>
    <t>Southern Electrical Services</t>
  </si>
  <si>
    <t>The Whiting-Turner Contracting Company</t>
  </si>
  <si>
    <t>Publix</t>
  </si>
  <si>
    <t>Star Electrical</t>
  </si>
  <si>
    <t>University of North Alabama</t>
  </si>
  <si>
    <t>Chris Holcomb</t>
  </si>
  <si>
    <t>Electric Plant Board Russellville KY</t>
  </si>
  <si>
    <t>Paul Montgomery</t>
  </si>
  <si>
    <t>Tyson Foods- Dwight Billings</t>
  </si>
  <si>
    <t>American Protein</t>
  </si>
  <si>
    <t>Titan Electric</t>
  </si>
  <si>
    <t>Cooper Tire</t>
  </si>
  <si>
    <t>Industrial Sales Company</t>
  </si>
  <si>
    <t>Arkansas State</t>
  </si>
  <si>
    <t>Hart EMC</t>
  </si>
  <si>
    <t>City of Calhoun</t>
  </si>
  <si>
    <t>Chickamauga Electric</t>
  </si>
  <si>
    <t>Power Secure</t>
  </si>
  <si>
    <t>AES / IPL, DPL</t>
  </si>
  <si>
    <t>Colvin Construction</t>
  </si>
  <si>
    <t>Western States Petroleum</t>
  </si>
  <si>
    <t>450 South 15th ave.</t>
  </si>
  <si>
    <t>Aviad</t>
  </si>
  <si>
    <t>Irwin International (AirCraft Spruce)</t>
  </si>
  <si>
    <t>Kynetic Aviation</t>
  </si>
  <si>
    <t>SpecChem</t>
  </si>
  <si>
    <t>Midwest Missouri Contractors</t>
  </si>
  <si>
    <t>SCI REMC</t>
  </si>
  <si>
    <t>Pittsburg Electric - Island Energy</t>
  </si>
  <si>
    <t>440 Walnut Avenue, Mare Island</t>
  </si>
  <si>
    <t>Vallejo</t>
  </si>
  <si>
    <t>94592</t>
  </si>
  <si>
    <t>MSC Distributing</t>
  </si>
  <si>
    <t>3939 West Washington</t>
  </si>
  <si>
    <t>85009</t>
  </si>
  <si>
    <t>Blazing Aviation</t>
  </si>
  <si>
    <t>Bradner Village Electric and Light</t>
  </si>
  <si>
    <t>energy transfer</t>
  </si>
  <si>
    <t>KaMin LLC</t>
  </si>
  <si>
    <t>Emerald Transformer Missippi</t>
  </si>
  <si>
    <t>hoodIndustries</t>
  </si>
  <si>
    <t>Liquidity Services</t>
  </si>
  <si>
    <t>3555 Timmons Lane Suite 1200</t>
  </si>
  <si>
    <t>77027</t>
  </si>
  <si>
    <t>brown brothers sand</t>
  </si>
  <si>
    <t>Planters Oil -AR</t>
  </si>
  <si>
    <t>2901 Planters Drive</t>
  </si>
  <si>
    <t>Prospect Mining</t>
  </si>
  <si>
    <t>1166 McDade Rd</t>
  </si>
  <si>
    <t>Carbon Hill</t>
  </si>
  <si>
    <t>35549</t>
  </si>
  <si>
    <t>Lyondell Basell Industries</t>
  </si>
  <si>
    <t>900 I-10</t>
  </si>
  <si>
    <t>70601</t>
  </si>
  <si>
    <t>Barnhart Crane-Jackson, MS</t>
  </si>
  <si>
    <t>3460 i-55 South</t>
  </si>
  <si>
    <t>39212</t>
  </si>
  <si>
    <t>KSWO TV</t>
  </si>
  <si>
    <t>Cheney Lime and Cement</t>
  </si>
  <si>
    <t>1152 Old Highway 31</t>
  </si>
  <si>
    <t>Alabaster</t>
  </si>
  <si>
    <t>35007</t>
  </si>
  <si>
    <t>Depcom Power</t>
  </si>
  <si>
    <t>9200 E Pima Center Pkwy Suite 180</t>
  </si>
  <si>
    <t>Scottsdale</t>
  </si>
  <si>
    <t>85258</t>
  </si>
  <si>
    <t>PCORE</t>
  </si>
  <si>
    <t>135 Gilbert St</t>
  </si>
  <si>
    <t>LeRoy</t>
  </si>
  <si>
    <t>14482</t>
  </si>
  <si>
    <t>Kasper Electrical</t>
  </si>
  <si>
    <t>1321 S. Killian Dr</t>
  </si>
  <si>
    <t>Lake Park</t>
  </si>
  <si>
    <t>33403</t>
  </si>
  <si>
    <t>Coast Demolition &amp;  Engineering Services</t>
  </si>
  <si>
    <t>Pro Energy Services - MO</t>
  </si>
  <si>
    <t>391 St. Jude Industrial Park</t>
  </si>
  <si>
    <t>Marston</t>
  </si>
  <si>
    <t>63866</t>
  </si>
  <si>
    <t>Hydratech Industries</t>
  </si>
  <si>
    <t>22955 Mcauliffe Dr, Robertsdale, AL 36567</t>
  </si>
  <si>
    <t>Standard Electric Company</t>
  </si>
  <si>
    <t>210 7th st</t>
  </si>
  <si>
    <t>Cadillac</t>
  </si>
  <si>
    <t>49601</t>
  </si>
  <si>
    <t>All Florida Electric</t>
  </si>
  <si>
    <t>1219 Blountstown Hwy</t>
  </si>
  <si>
    <t>Tallahassee</t>
  </si>
  <si>
    <t>32304</t>
  </si>
  <si>
    <t>Swink Electric Inc</t>
  </si>
  <si>
    <t>917 S Military Trail</t>
  </si>
  <si>
    <t>Transformer Technologies</t>
  </si>
  <si>
    <t>San Bernard Electric Co-op Inc (TX)</t>
  </si>
  <si>
    <t>Cree</t>
  </si>
  <si>
    <t>SBC Global</t>
  </si>
  <si>
    <t>127-5 Joshuatown Road</t>
  </si>
  <si>
    <t>Lyme</t>
  </si>
  <si>
    <t>CT</t>
  </si>
  <si>
    <t>6371</t>
  </si>
  <si>
    <t>American Cast Iron Pipe Co.</t>
  </si>
  <si>
    <t>1501 31st Ave North</t>
  </si>
  <si>
    <t>35202</t>
  </si>
  <si>
    <t>The Von Corporation</t>
  </si>
  <si>
    <t>1038 Lomb Avenue SW</t>
  </si>
  <si>
    <t>35211</t>
  </si>
  <si>
    <t>Power Reps</t>
  </si>
  <si>
    <t>1318 Alford Ave Suite 202</t>
  </si>
  <si>
    <t>35226</t>
  </si>
  <si>
    <t>TCI of Alabama</t>
  </si>
  <si>
    <t>101 Parkway East</t>
  </si>
  <si>
    <t>Pell City</t>
  </si>
  <si>
    <t>35125</t>
  </si>
  <si>
    <t>mccall-Thomas Eng</t>
  </si>
  <si>
    <t>Arkansas Electric coop</t>
  </si>
  <si>
    <t>Wakefield Municipal Gas &amp; Electric</t>
  </si>
  <si>
    <t>480 North Ave.</t>
  </si>
  <si>
    <t>Wakefield</t>
  </si>
  <si>
    <t>1880</t>
  </si>
  <si>
    <t>PSC Industrial Outsourcing, LP</t>
  </si>
  <si>
    <t>Ultra Oil</t>
  </si>
  <si>
    <t>70 Fort Walker Drive</t>
  </si>
  <si>
    <t>Hilton Head</t>
  </si>
  <si>
    <t>29928</t>
  </si>
  <si>
    <t>VPP energy</t>
  </si>
  <si>
    <t>103 Palladium Way</t>
  </si>
  <si>
    <t>Oak Ridge</t>
  </si>
  <si>
    <t>37830</t>
  </si>
  <si>
    <t>City of Memphis</t>
  </si>
  <si>
    <t>125 West Jefferson</t>
  </si>
  <si>
    <t>Memphis</t>
  </si>
  <si>
    <t>38103</t>
  </si>
  <si>
    <t>Patrick Air Force Base</t>
  </si>
  <si>
    <t>743 Delta Dr bldg 710</t>
  </si>
  <si>
    <t>32925</t>
  </si>
  <si>
    <t>GMC Building Contractor</t>
  </si>
  <si>
    <t>3310 West End Ave</t>
  </si>
  <si>
    <t>37203</t>
  </si>
  <si>
    <t>New Prague Municipal</t>
  </si>
  <si>
    <t>118 Central Ave N</t>
  </si>
  <si>
    <t>New Prague</t>
  </si>
  <si>
    <t>56071</t>
  </si>
  <si>
    <t>Pinnacle Foods</t>
  </si>
  <si>
    <t>96 Pinnacle Drive</t>
  </si>
  <si>
    <t>38301</t>
  </si>
  <si>
    <t>Pickwick Electric Coop (DO NOT USE/DELETE)</t>
  </si>
  <si>
    <t>CRI Environmental Solutions</t>
  </si>
  <si>
    <t>101 Hagen Dr</t>
  </si>
  <si>
    <t>Woodville</t>
  </si>
  <si>
    <t>54028</t>
  </si>
  <si>
    <t>Blattner Energy</t>
  </si>
  <si>
    <t>392 County Road 50</t>
  </si>
  <si>
    <t>56310</t>
  </si>
  <si>
    <t>Benedict Company - demolition transformer</t>
  </si>
  <si>
    <t>3834 Morganton Rd.</t>
  </si>
  <si>
    <t>37801</t>
  </si>
  <si>
    <t>Lampasas Public Utilities</t>
  </si>
  <si>
    <t>312 E. Third St</t>
  </si>
  <si>
    <t>Lampasas</t>
  </si>
  <si>
    <t>76550</t>
  </si>
  <si>
    <t>Oncor Electric Delivery</t>
  </si>
  <si>
    <t>2471 South Dallas Avenue</t>
  </si>
  <si>
    <t>75146</t>
  </si>
  <si>
    <t>Graphic Packaging International</t>
  </si>
  <si>
    <t>9978 FM 3129</t>
  </si>
  <si>
    <t>Queen City</t>
  </si>
  <si>
    <t>75572</t>
  </si>
  <si>
    <t>Georgia Pacific-Texas</t>
  </si>
  <si>
    <t>Corrigan</t>
  </si>
  <si>
    <t>75939</t>
  </si>
  <si>
    <t>CenterPoint Energy</t>
  </si>
  <si>
    <t>1111 Louisiana St</t>
  </si>
  <si>
    <t>77002</t>
  </si>
  <si>
    <t>Malboro Electric CoOp</t>
  </si>
  <si>
    <t>Hwy 15-401 Bypass</t>
  </si>
  <si>
    <t>Bennettsville</t>
  </si>
  <si>
    <t>29512</t>
  </si>
  <si>
    <t>San Marcos Electric Utility</t>
  </si>
  <si>
    <t>1040 highway 123</t>
  </si>
  <si>
    <t>Jasper Light &amp; Power System (City of Jasper TX)</t>
  </si>
  <si>
    <t>950 N. Main Street</t>
  </si>
  <si>
    <t>Jasper</t>
  </si>
  <si>
    <t>75951</t>
  </si>
  <si>
    <t>Kuraray America</t>
  </si>
  <si>
    <t>11500 Bay Area Blv</t>
  </si>
  <si>
    <t>Pasadena</t>
  </si>
  <si>
    <t>77507</t>
  </si>
  <si>
    <t>Cherokee County Electric Coop Association</t>
  </si>
  <si>
    <t>29880 Hwy 69 North</t>
  </si>
  <si>
    <t>Rusk</t>
  </si>
  <si>
    <t>75785</t>
  </si>
  <si>
    <t>Edgecombe-Martin City EMC</t>
  </si>
  <si>
    <t>679 NC 33</t>
  </si>
  <si>
    <t>Tarboro</t>
  </si>
  <si>
    <t>27886</t>
  </si>
  <si>
    <t>Central Electric Membership Coop</t>
  </si>
  <si>
    <t>128 Wilson Rd</t>
  </si>
  <si>
    <t>Sanford</t>
  </si>
  <si>
    <t>27331</t>
  </si>
  <si>
    <t>L.C. Mayfield Associates, Inc.</t>
  </si>
  <si>
    <t>P.O. Box 1569</t>
  </si>
  <si>
    <t>Crosby</t>
  </si>
  <si>
    <t>77532</t>
  </si>
  <si>
    <t>Waynoka Municipal Utilities</t>
  </si>
  <si>
    <t>1759 E Cecil St</t>
  </si>
  <si>
    <t>Waynoka</t>
  </si>
  <si>
    <t>73860</t>
  </si>
  <si>
    <t>Oglethorpe Power</t>
  </si>
  <si>
    <t>2100 East Exchange Place</t>
  </si>
  <si>
    <t>Tucker</t>
  </si>
  <si>
    <t>30084</t>
  </si>
  <si>
    <t>CITY OF WASHINGTON</t>
  </si>
  <si>
    <t>102 E. LIBERTY STREET</t>
  </si>
  <si>
    <t>WASHINGTON</t>
  </si>
  <si>
    <t>30673</t>
  </si>
  <si>
    <t>City of Hogansville</t>
  </si>
  <si>
    <t>116 Lincoln Street</t>
  </si>
  <si>
    <t>Hogansville</t>
  </si>
  <si>
    <t>City of Whigham</t>
  </si>
  <si>
    <t>108 West Broad Street</t>
  </si>
  <si>
    <t>Whigham</t>
  </si>
  <si>
    <t>39897</t>
  </si>
  <si>
    <t>Tecumseh Utility Authority</t>
  </si>
  <si>
    <t>114 N Broadway</t>
  </si>
  <si>
    <t>Tecumseh</t>
  </si>
  <si>
    <t>Northwestern Energy</t>
  </si>
  <si>
    <t>400 Oxford Street</t>
  </si>
  <si>
    <t>Butte</t>
  </si>
  <si>
    <t>59701</t>
  </si>
  <si>
    <t>Mitchell EMC</t>
  </si>
  <si>
    <t>30 EAST BROAD STREET</t>
  </si>
  <si>
    <t>CAMILLA</t>
  </si>
  <si>
    <t>31730</t>
  </si>
  <si>
    <t>AMR PEMCO</t>
  </si>
  <si>
    <t>1960 Valley Dale Street</t>
  </si>
  <si>
    <t>Bluefield</t>
  </si>
  <si>
    <t>24605</t>
  </si>
  <si>
    <t>Dothan Utilities</t>
  </si>
  <si>
    <t>200 Kilgore Dr</t>
  </si>
  <si>
    <t>Eaton</t>
  </si>
  <si>
    <t>7451 Coca Cola Blvd sukite H</t>
  </si>
  <si>
    <t>21076</t>
  </si>
  <si>
    <t>Schuler Haas Electric corp</t>
  </si>
  <si>
    <t>240 Commerce Dr</t>
  </si>
  <si>
    <t>14623</t>
  </si>
  <si>
    <t>American Municipal Power, Inc.</t>
  </si>
  <si>
    <t>1111 Schrock Road</t>
  </si>
  <si>
    <t>43229</t>
  </si>
  <si>
    <t>Critical Power Exchange</t>
  </si>
  <si>
    <t>4140 W. Grange Ave</t>
  </si>
  <si>
    <t>Post Falls</t>
  </si>
  <si>
    <t>83854</t>
  </si>
  <si>
    <t>Petty Line Construction</t>
  </si>
  <si>
    <t>2610 Lay Dam Rd</t>
  </si>
  <si>
    <t>Clanton</t>
  </si>
  <si>
    <t>35045</t>
  </si>
  <si>
    <t>Lafayette Consolidated Government</t>
  </si>
  <si>
    <t>705 West University Ave</t>
  </si>
  <si>
    <t>Grady EMC</t>
  </si>
  <si>
    <t>Hwy. 84 Bainbridge Rd</t>
  </si>
  <si>
    <t>31728</t>
  </si>
  <si>
    <t>ANB System Supplies LLC</t>
  </si>
  <si>
    <t>sales@mgmelectricalsurplus.com</t>
  </si>
  <si>
    <t>Niagara Falls</t>
  </si>
  <si>
    <t>14304</t>
  </si>
  <si>
    <t>Hypericum Companies</t>
  </si>
  <si>
    <t>11950 San Vicente Boulevard</t>
  </si>
  <si>
    <t>90049</t>
  </si>
  <si>
    <t>Pacific Industrial Electric</t>
  </si>
  <si>
    <t>230 N Orange Ave,</t>
  </si>
  <si>
    <t>Brea</t>
  </si>
  <si>
    <t>92821</t>
  </si>
  <si>
    <t>Baker Electric</t>
  </si>
  <si>
    <t>1298 Pacific Oaks Place</t>
  </si>
  <si>
    <t>Escondido</t>
  </si>
  <si>
    <t>92029</t>
  </si>
  <si>
    <t>Dynalectric</t>
  </si>
  <si>
    <t>4462 Corporate Center Drive</t>
  </si>
  <si>
    <t>Los Alamitos</t>
  </si>
  <si>
    <t>90720</t>
  </si>
  <si>
    <t>City of Fitzgerald</t>
  </si>
  <si>
    <t>200 N.Hooker Street</t>
  </si>
  <si>
    <t>KESCO - Kearney Electric Supply Company</t>
  </si>
  <si>
    <t>Post Office Box 67283</t>
  </si>
  <si>
    <t>14617</t>
  </si>
  <si>
    <t>Upson EMC</t>
  </si>
  <si>
    <t>607 E. Main Steet</t>
  </si>
  <si>
    <t>City of Cartersville</t>
  </si>
  <si>
    <t>320 South Erwin Street</t>
  </si>
  <si>
    <t>Carterville</t>
  </si>
  <si>
    <t>30120</t>
  </si>
  <si>
    <t>City of Oxford</t>
  </si>
  <si>
    <t>110 West Clark Street</t>
  </si>
  <si>
    <t>30054</t>
  </si>
  <si>
    <t>City of Thomaston (GA)</t>
  </si>
  <si>
    <t>309 Veterans blvd</t>
  </si>
  <si>
    <t>Thomaston</t>
  </si>
  <si>
    <t>30286</t>
  </si>
  <si>
    <t>Coastal EMC</t>
  </si>
  <si>
    <t>1265 S. Coastal Hwy</t>
  </si>
  <si>
    <t>Midway</t>
  </si>
  <si>
    <t>City Utilities Springfield, MO</t>
  </si>
  <si>
    <t>301 E Central</t>
  </si>
  <si>
    <t>65801-0551</t>
  </si>
  <si>
    <t>Menard Electric Coop [MEC]</t>
  </si>
  <si>
    <t>14300 State Hwy 97</t>
  </si>
  <si>
    <t>Petersburg</t>
  </si>
  <si>
    <t>62675</t>
  </si>
  <si>
    <t>City of Burbank / Burbank Power and Light</t>
  </si>
  <si>
    <t>164 W Magnolia blvd</t>
  </si>
  <si>
    <t>Burbank</t>
  </si>
  <si>
    <t>91503</t>
  </si>
  <si>
    <t>CITY OF QUITMAN</t>
  </si>
  <si>
    <t>100 WEST SCREVEN</t>
  </si>
  <si>
    <t>QUITMAN</t>
  </si>
  <si>
    <t>City of Acworth</t>
  </si>
  <si>
    <t>4404 Acworth Industrial Drive</t>
  </si>
  <si>
    <t>Acworth</t>
  </si>
  <si>
    <t>30101</t>
  </si>
  <si>
    <t>Arcel Mittal</t>
  </si>
  <si>
    <t>900 Conshohocken Rd</t>
  </si>
  <si>
    <t>Conshohocken</t>
  </si>
  <si>
    <t>19428</t>
  </si>
  <si>
    <t>City of Monroe</t>
  </si>
  <si>
    <t>215 broad street</t>
  </si>
  <si>
    <t>3M - Little Rock</t>
  </si>
  <si>
    <t>6100 Arch Street</t>
  </si>
  <si>
    <t>72209</t>
  </si>
  <si>
    <t>United Illuminating</t>
  </si>
  <si>
    <t>180 Marsh Hill Road</t>
  </si>
  <si>
    <t>Orange</t>
  </si>
  <si>
    <t>6477</t>
  </si>
  <si>
    <t>Southern California Edison (Corporate)</t>
  </si>
  <si>
    <t>2244 Walnut Grove, GO-1, Quad 2C</t>
  </si>
  <si>
    <t>Rosemead</t>
  </si>
  <si>
    <t>91770</t>
  </si>
  <si>
    <t>Albany Utility</t>
  </si>
  <si>
    <t>222 Pine Avenue</t>
  </si>
  <si>
    <t>City of Grantsville</t>
  </si>
  <si>
    <t>123 Lagrange Street</t>
  </si>
  <si>
    <t>Grantsville</t>
  </si>
  <si>
    <t>Environmental Restoration Services</t>
  </si>
  <si>
    <t>110 Granby St</t>
  </si>
  <si>
    <t>Bloomfield</t>
  </si>
  <si>
    <t>6002</t>
  </si>
  <si>
    <t>CITY OF COLQUITT</t>
  </si>
  <si>
    <t>15 ROWLAND DRIVE</t>
  </si>
  <si>
    <t>COLQUITT</t>
  </si>
  <si>
    <t>31776</t>
  </si>
  <si>
    <t>Forsyth Water &amp; Light</t>
  </si>
  <si>
    <t>590 Montpellier Ave.</t>
  </si>
  <si>
    <t>Forsyth</t>
  </si>
  <si>
    <t>Griffin Power</t>
  </si>
  <si>
    <t>1010 N. Hill Street</t>
  </si>
  <si>
    <t>Griffin</t>
  </si>
  <si>
    <t>Marshall DeKalb Electric Coop</t>
  </si>
  <si>
    <t>10025 AL-168</t>
  </si>
  <si>
    <t>Boaz</t>
  </si>
  <si>
    <t>35957</t>
  </si>
  <si>
    <t>CED - Valdosta</t>
  </si>
  <si>
    <t>514 harbin blvd</t>
  </si>
  <si>
    <t>Central El Bajio</t>
  </si>
  <si>
    <t>KM 82.7 Carr.57 Tramo Qro S.L.P.</t>
  </si>
  <si>
    <t>San Luis De La Paz</t>
  </si>
  <si>
    <t>37900</t>
  </si>
  <si>
    <t>Critical Power Products and Services, LLC</t>
  </si>
  <si>
    <t>4140 W Grange Av</t>
  </si>
  <si>
    <t>Nicholasville Municipal Electric System</t>
  </si>
  <si>
    <t>517 N Main St.</t>
  </si>
  <si>
    <t>Nicholasville</t>
  </si>
  <si>
    <t>40356</t>
  </si>
  <si>
    <t>Crisp County Power</t>
  </si>
  <si>
    <t>1611 North Second Street</t>
  </si>
  <si>
    <t>Cordele</t>
  </si>
  <si>
    <t>31010</t>
  </si>
  <si>
    <t>Williamstown Utility Commission</t>
  </si>
  <si>
    <t>400 North Main St</t>
  </si>
  <si>
    <t>Williamstown</t>
  </si>
  <si>
    <t>41097</t>
  </si>
  <si>
    <t>Tristate Armature</t>
  </si>
  <si>
    <t>340 Butler</t>
  </si>
  <si>
    <t>38126</t>
  </si>
  <si>
    <t>Big Rivers Electric Corp</t>
  </si>
  <si>
    <t>P. O. Box 24 201 3rd Street</t>
  </si>
  <si>
    <t>Henderson</t>
  </si>
  <si>
    <t>42419</t>
  </si>
  <si>
    <t>Magdave Associates, Inc.</t>
  </si>
  <si>
    <t>303 Hegenberger Rd # 211</t>
  </si>
  <si>
    <t>Oakland</t>
  </si>
  <si>
    <t>94621</t>
  </si>
  <si>
    <t>GIT Inc.</t>
  </si>
  <si>
    <t>1700 Sinton Road</t>
  </si>
  <si>
    <t>Tuscumbia Utilities</t>
  </si>
  <si>
    <t>202 E. Sixth St</t>
  </si>
  <si>
    <t>Tuscumbia</t>
  </si>
  <si>
    <t>35674</t>
  </si>
  <si>
    <t>Great Southwestern Construction (MYR GROUP)</t>
  </si>
  <si>
    <t>1100 Topeka Way</t>
  </si>
  <si>
    <t>Castle Rock</t>
  </si>
  <si>
    <t>80109</t>
  </si>
  <si>
    <t>Pennyrile Rural Electric Cooperative</t>
  </si>
  <si>
    <t>2441 E. Main St.</t>
  </si>
  <si>
    <t>Cadiz</t>
  </si>
  <si>
    <t>42211</t>
  </si>
  <si>
    <t>Bardstown City Utilities</t>
  </si>
  <si>
    <t>220 N. Fifth St.</t>
  </si>
  <si>
    <t>Bardstown</t>
  </si>
  <si>
    <t>LGE/KU</t>
  </si>
  <si>
    <t>Red River Valley Coop (MN)</t>
  </si>
  <si>
    <t>109 2nd Ave E</t>
  </si>
  <si>
    <t>Halstad</t>
  </si>
  <si>
    <t>56548</t>
  </si>
  <si>
    <t>Veolia North America</t>
  </si>
  <si>
    <t>3797 Spinnaker Court</t>
  </si>
  <si>
    <t>Fremont</t>
  </si>
  <si>
    <t>94538</t>
  </si>
  <si>
    <t>City of Holyrood</t>
  </si>
  <si>
    <t>112 S Main</t>
  </si>
  <si>
    <t>Allied International Emergency</t>
  </si>
  <si>
    <t>3024 Wichita CT</t>
  </si>
  <si>
    <t>76140</t>
  </si>
  <si>
    <t>Saint Francis, City of</t>
  </si>
  <si>
    <t>209 East Washington Street</t>
  </si>
  <si>
    <t>Saint Francis</t>
  </si>
  <si>
    <t>67756</t>
  </si>
  <si>
    <t>Wargo Enterpises</t>
  </si>
  <si>
    <t>5055 Havens Rd</t>
  </si>
  <si>
    <t>City of Augusta, AR</t>
  </si>
  <si>
    <t>210 Main St.</t>
  </si>
  <si>
    <t>Augusta</t>
  </si>
  <si>
    <t>72006</t>
  </si>
  <si>
    <t>Emerald Environmental</t>
  </si>
  <si>
    <t>1621 St. Clair Avenue</t>
  </si>
  <si>
    <t>Kent</t>
  </si>
  <si>
    <t>44240</t>
  </si>
  <si>
    <t>T. Bruce Campbell Construction</t>
  </si>
  <si>
    <t>3658 New Castle Road</t>
  </si>
  <si>
    <t>Middlesex</t>
  </si>
  <si>
    <t>16159</t>
  </si>
  <si>
    <t>Hickman-Fulton Counties RECC (purchased by Gibson EC)</t>
  </si>
  <si>
    <t>Kentucky Power Co</t>
  </si>
  <si>
    <t>Luthan</t>
  </si>
  <si>
    <t>City of Paris</t>
  </si>
  <si>
    <t>525 High Street Paris, Ky. 40361</t>
  </si>
  <si>
    <t>City of Fulton (MO)</t>
  </si>
  <si>
    <t>1303 Westminster</t>
  </si>
  <si>
    <t>Fulton</t>
  </si>
  <si>
    <t>65251</t>
  </si>
  <si>
    <t>Kroger Logistics Engineering</t>
  </si>
  <si>
    <t>10170 Linn Station Rd</t>
  </si>
  <si>
    <t>40223</t>
  </si>
  <si>
    <t>Fischbach USA</t>
  </si>
  <si>
    <t>900 Peerson Dr</t>
  </si>
  <si>
    <t>Elizabethtown</t>
  </si>
  <si>
    <t>Holston Electric Co-Op</t>
  </si>
  <si>
    <t>1200 West Main St</t>
  </si>
  <si>
    <t>Rogersville</t>
  </si>
  <si>
    <t>37857</t>
  </si>
  <si>
    <t>Woodford Oil</t>
  </si>
  <si>
    <t>650 David Ave</t>
  </si>
  <si>
    <t>Butler Recycling</t>
  </si>
  <si>
    <t>Fibrebond</t>
  </si>
  <si>
    <t>1300 Davenport Drive</t>
  </si>
  <si>
    <t>Minden</t>
  </si>
  <si>
    <t>71055</t>
  </si>
  <si>
    <t>Terrebonne Parish Consolidated Government</t>
  </si>
  <si>
    <t>301 Plant Road</t>
  </si>
  <si>
    <t>Houma</t>
  </si>
  <si>
    <t>70361</t>
  </si>
  <si>
    <t>City of Ruston</t>
  </si>
  <si>
    <t>701 East Tennessee Avenue</t>
  </si>
  <si>
    <t>71270</t>
  </si>
  <si>
    <t>Rolling Hills Generating LLC</t>
  </si>
  <si>
    <t>43111 State Route 160</t>
  </si>
  <si>
    <t>Wilkesville</t>
  </si>
  <si>
    <t>45695</t>
  </si>
  <si>
    <t>City of Moultrie</t>
  </si>
  <si>
    <t>Moultrie</t>
  </si>
  <si>
    <t>Jefferson Davis Electric Coop</t>
  </si>
  <si>
    <t>906 N. Lake Arthur Avenue</t>
  </si>
  <si>
    <t>Jennings</t>
  </si>
  <si>
    <t>70546</t>
  </si>
  <si>
    <t>Beauregard Electric Cooperative</t>
  </si>
  <si>
    <t>1010 East First Street</t>
  </si>
  <si>
    <t>DeRidder</t>
  </si>
  <si>
    <t>70364</t>
  </si>
  <si>
    <t>Environmental Waste Minimization Inc.</t>
  </si>
  <si>
    <t>14 Brick Kiln Rd</t>
  </si>
  <si>
    <t>18067</t>
  </si>
  <si>
    <t>Concordia EC</t>
  </si>
  <si>
    <t>1865 Hwy 84</t>
  </si>
  <si>
    <t>Jonesville</t>
  </si>
  <si>
    <t>71343</t>
  </si>
  <si>
    <t>City of Natchitoches</t>
  </si>
  <si>
    <t>1400 Sabine Street</t>
  </si>
  <si>
    <t>Natchitoches</t>
  </si>
  <si>
    <t>71458</t>
  </si>
  <si>
    <t>A1 Electrical Contractors, Inc.</t>
  </si>
  <si>
    <t>2783 Lapalco Blvd.</t>
  </si>
  <si>
    <t>Harvey</t>
  </si>
  <si>
    <t>70058</t>
  </si>
  <si>
    <t>SLEMCO (Southwest Louisiana EMC)</t>
  </si>
  <si>
    <t>2727 S.E. Evangeline Thruway</t>
  </si>
  <si>
    <t>70509</t>
  </si>
  <si>
    <t>Kansas Electric Coop (TGC)</t>
  </si>
  <si>
    <t>7332 SW 21st Street</t>
  </si>
  <si>
    <t>66615</t>
  </si>
  <si>
    <t>Sunflower Electric Power Coop</t>
  </si>
  <si>
    <t>PO Box 430</t>
  </si>
  <si>
    <t>Holcomb</t>
  </si>
  <si>
    <t>67851</t>
  </si>
  <si>
    <t>DEMCO (Dixie Electric Membership Corporation)</t>
  </si>
  <si>
    <t>16262 Wax Road</t>
  </si>
  <si>
    <t>Greenwell Springs</t>
  </si>
  <si>
    <t>70739</t>
  </si>
  <si>
    <t>Princeton Municipal Utilities Dept (IL)</t>
  </si>
  <si>
    <t>2 Main Street S.</t>
  </si>
  <si>
    <t>61356</t>
  </si>
  <si>
    <t>City Of Plaquemine</t>
  </si>
  <si>
    <t>58160 Harleaux</t>
  </si>
  <si>
    <t>Plaquamine</t>
  </si>
  <si>
    <t>70764</t>
  </si>
  <si>
    <t>Hamilton County Electric Coop Association</t>
  </si>
  <si>
    <t>420 N. Rice Street   PO Box 753</t>
  </si>
  <si>
    <t>76531</t>
  </si>
  <si>
    <t>Forest City Electric</t>
  </si>
  <si>
    <t>128 N Powell St</t>
  </si>
  <si>
    <t>FOrest City</t>
  </si>
  <si>
    <t>City of Wilson-NC</t>
  </si>
  <si>
    <t>1800 Herring Ave E.</t>
  </si>
  <si>
    <t>Lumberton Utilities</t>
  </si>
  <si>
    <t>420 Halsey St</t>
  </si>
  <si>
    <t>Lumberton</t>
  </si>
  <si>
    <t>28358</t>
  </si>
  <si>
    <t>Town of Farmville - NC</t>
  </si>
  <si>
    <t>3672 NorthMain Street</t>
  </si>
  <si>
    <t>Farmville</t>
  </si>
  <si>
    <t>27828</t>
  </si>
  <si>
    <t>City of Elizabeth City - NC</t>
  </si>
  <si>
    <t>306 E Colonial Ave</t>
  </si>
  <si>
    <t>Elizabeth City</t>
  </si>
  <si>
    <t>27909</t>
  </si>
  <si>
    <t>Navasota Valley Electric Coop</t>
  </si>
  <si>
    <t>P.O. Box 848</t>
  </si>
  <si>
    <t>77856</t>
  </si>
  <si>
    <t>Fort Belknap Electric Cooperative</t>
  </si>
  <si>
    <t>1302 W Main St</t>
  </si>
  <si>
    <t>Olney</t>
  </si>
  <si>
    <t>76374</t>
  </si>
  <si>
    <t>Clear Blue Environmental</t>
  </si>
  <si>
    <t>3828 Civic Center Drive #110</t>
  </si>
  <si>
    <t>North Las Vegas</t>
  </si>
  <si>
    <t>Rita Blanca Electric Coop</t>
  </si>
  <si>
    <t>12198 U.S. 87</t>
  </si>
  <si>
    <t>Dalhart</t>
  </si>
  <si>
    <t>79022</t>
  </si>
  <si>
    <t>AJ Kirkwood &amp; Associates</t>
  </si>
  <si>
    <t>2752 Walnut Avenue</t>
  </si>
  <si>
    <t>Tustin</t>
  </si>
  <si>
    <t>92780</t>
  </si>
  <si>
    <t>Northrop Grumman Aerospace  Systems</t>
  </si>
  <si>
    <t>33000 Avenida Pico</t>
  </si>
  <si>
    <t>San Clemente</t>
  </si>
  <si>
    <t>Outsource Utility Contractor Corp</t>
  </si>
  <si>
    <t>1140 N Kraemer Pl</t>
  </si>
  <si>
    <t>92806</t>
  </si>
  <si>
    <t>City of Edenton Electric Dept</t>
  </si>
  <si>
    <t>105 W Freemason St</t>
  </si>
  <si>
    <t>Edenton</t>
  </si>
  <si>
    <t>27932</t>
  </si>
  <si>
    <t>Lighthouse Electric Cooperative, Inc.</t>
  </si>
  <si>
    <t>619 East Houston Street</t>
  </si>
  <si>
    <t>Floydada</t>
  </si>
  <si>
    <t>79235</t>
  </si>
  <si>
    <t>Schultheis Electric</t>
  </si>
  <si>
    <t>PO Box 798</t>
  </si>
  <si>
    <t>Latrobe</t>
  </si>
  <si>
    <t>15650</t>
  </si>
  <si>
    <t>Shoreline Power Services</t>
  </si>
  <si>
    <t>3535 Roger B. Chaffee Blvd. Suite B</t>
  </si>
  <si>
    <t>49548</t>
  </si>
  <si>
    <t>Power Solutions Group</t>
  </si>
  <si>
    <t>670 Lakeview Plaza suite M</t>
  </si>
  <si>
    <t>Oh</t>
  </si>
  <si>
    <t>43085</t>
  </si>
  <si>
    <t>7776 S. Point Parkway West Suite 185</t>
  </si>
  <si>
    <t>85044</t>
  </si>
  <si>
    <t>Lamar County Electric Coop Association</t>
  </si>
  <si>
    <t>1485 N. Main Street</t>
  </si>
  <si>
    <t>Maine Public Services</t>
  </si>
  <si>
    <t>209 State St.</t>
  </si>
  <si>
    <t>Presque Isle</t>
  </si>
  <si>
    <t>4769</t>
  </si>
  <si>
    <t>Floydada Electric Dept.</t>
  </si>
  <si>
    <t>114 West Virginia Street</t>
  </si>
  <si>
    <t>FC and E Engineering</t>
  </si>
  <si>
    <t>Marquette Road-Warren BLDG</t>
  </si>
  <si>
    <t>Brandon</t>
  </si>
  <si>
    <t>39042</t>
  </si>
  <si>
    <t>EEC (field services)</t>
  </si>
  <si>
    <t>6149 Hunter Road</t>
  </si>
  <si>
    <t>Ooltewah</t>
  </si>
  <si>
    <t>37363</t>
  </si>
  <si>
    <t>Buckeye Perth Amboy</t>
  </si>
  <si>
    <t>380 Maurer Rd</t>
  </si>
  <si>
    <t>Perth Amboy</t>
  </si>
  <si>
    <t>Nj</t>
  </si>
  <si>
    <t>8861</t>
  </si>
  <si>
    <t>Emera Maine</t>
  </si>
  <si>
    <t>28 Penobscot Meadow Dr</t>
  </si>
  <si>
    <t>Hampden</t>
  </si>
  <si>
    <t>4444</t>
  </si>
  <si>
    <t>Coleman Municipal Power &amp; Light Dept</t>
  </si>
  <si>
    <t>Pilgrim's Pride Corporation</t>
  </si>
  <si>
    <t>3500 Lake Guntersville Park Dr</t>
  </si>
  <si>
    <t>Guntersville</t>
  </si>
  <si>
    <t>35976</t>
  </si>
  <si>
    <t>BERGEN MUNICIPAL ELECTRIC DEPT</t>
  </si>
  <si>
    <t>11 Buffalo St</t>
  </si>
  <si>
    <t>Bergen</t>
  </si>
  <si>
    <t>14416</t>
  </si>
  <si>
    <t>Castroville Utility System</t>
  </si>
  <si>
    <t>PVS Chemicals, Inc.</t>
  </si>
  <si>
    <t>10900 Harper Avenue</t>
  </si>
  <si>
    <t>48213</t>
  </si>
  <si>
    <t>ESCO Electrical Service</t>
  </si>
  <si>
    <t>520 E Main</t>
  </si>
  <si>
    <t>ElDorado</t>
  </si>
  <si>
    <t>71730</t>
  </si>
  <si>
    <t>University Hospitals</t>
  </si>
  <si>
    <t>11100 Euclid Avenue</t>
  </si>
  <si>
    <t>44106</t>
  </si>
  <si>
    <t>Caldwell Electric Dept</t>
  </si>
  <si>
    <t>107 S Hill St</t>
  </si>
  <si>
    <t>Caldwell</t>
  </si>
  <si>
    <t>77836</t>
  </si>
  <si>
    <t>Lafargeholcim</t>
  </si>
  <si>
    <t>2001 Wharf Rd</t>
  </si>
  <si>
    <t>21219</t>
  </si>
  <si>
    <t>AMS Group</t>
  </si>
  <si>
    <t>2337 Naomi Street</t>
  </si>
  <si>
    <t>77054</t>
  </si>
  <si>
    <t>Burnet Utilities (TX)</t>
  </si>
  <si>
    <t>1000 Buchanan Dr</t>
  </si>
  <si>
    <t>Burnet</t>
  </si>
  <si>
    <t>Manassas Electric Dept</t>
  </si>
  <si>
    <t>8500 Public Works Dr.</t>
  </si>
  <si>
    <t>Manassas</t>
  </si>
  <si>
    <t>20110</t>
  </si>
  <si>
    <t>Bridgeport Light &amp; Power System</t>
  </si>
  <si>
    <t>900 Thompson St</t>
  </si>
  <si>
    <t>76426</t>
  </si>
  <si>
    <t>Hondo Electric System</t>
  </si>
  <si>
    <t>1600 Ave M</t>
  </si>
  <si>
    <t>Hondo</t>
  </si>
  <si>
    <t>78861</t>
  </si>
  <si>
    <t>Bellville Light and Power</t>
  </si>
  <si>
    <t>Killen Contractors</t>
  </si>
  <si>
    <t>167 Gulde Road</t>
  </si>
  <si>
    <t>Bastrop Light &amp; Power</t>
  </si>
  <si>
    <t>1209 Linden St</t>
  </si>
  <si>
    <t>Bastrop</t>
  </si>
  <si>
    <t>78602</t>
  </si>
  <si>
    <t>Texas A&amp;M University Utilities &amp; Energy Services</t>
  </si>
  <si>
    <t>1584 TAMU</t>
  </si>
  <si>
    <t>College Station</t>
  </si>
  <si>
    <t>77843</t>
  </si>
  <si>
    <t>Southern Pipe and Supply Crestview</t>
  </si>
  <si>
    <t>1212 N Ferdon Blvd</t>
  </si>
  <si>
    <t>Lockhart Utilities</t>
  </si>
  <si>
    <t>Shenandoah Valley Electric Coop Inc</t>
  </si>
  <si>
    <t>147 Dinkel Ave</t>
  </si>
  <si>
    <t>Mount Crawford</t>
  </si>
  <si>
    <t>22841-0236</t>
  </si>
  <si>
    <t>Wharton County Electric Co</t>
  </si>
  <si>
    <t>1815 E. Jackson</t>
  </si>
  <si>
    <t>El Campo</t>
  </si>
  <si>
    <t>77437</t>
  </si>
  <si>
    <t>BARC Electric Coop</t>
  </si>
  <si>
    <t>84 High St</t>
  </si>
  <si>
    <t>Millboro</t>
  </si>
  <si>
    <t>24460</t>
  </si>
  <si>
    <t>BNB Electric</t>
  </si>
  <si>
    <t>138 Battle Ridge Dr</t>
  </si>
  <si>
    <t>Excelsior EMC</t>
  </si>
  <si>
    <t>Power South McIntosh</t>
  </si>
  <si>
    <t>Hensel Phelps</t>
  </si>
  <si>
    <t>City of Rocky Mount - NC</t>
  </si>
  <si>
    <t>620 Albemarle</t>
  </si>
  <si>
    <t>Rocky Mount</t>
  </si>
  <si>
    <t>Georgia Pacific Brewton - Containerboard</t>
  </si>
  <si>
    <t>32224 U.S. 31</t>
  </si>
  <si>
    <t>Pedernales Electric Coop Marble Falls</t>
  </si>
  <si>
    <t>4302 N US-281</t>
  </si>
  <si>
    <t>Marble Falls</t>
  </si>
  <si>
    <t>78654</t>
  </si>
  <si>
    <t>city of Washington Georgia</t>
  </si>
  <si>
    <t>Rappahannock EMC</t>
  </si>
  <si>
    <t>Par Electric</t>
  </si>
  <si>
    <t>525 Corporate Drive</t>
  </si>
  <si>
    <t>Iballa</t>
  </si>
  <si>
    <t>Hustisford Utility</t>
  </si>
  <si>
    <t>210 S Lake Street</t>
  </si>
  <si>
    <t>Hustisford</t>
  </si>
  <si>
    <t>53034</t>
  </si>
  <si>
    <t>Hanil USA</t>
  </si>
  <si>
    <t>50 Hanil Dr</t>
  </si>
  <si>
    <t>GKN Advanced Composite Structures</t>
  </si>
  <si>
    <t>3951 AL-229, Tallassee, AL 36078</t>
  </si>
  <si>
    <t>GKN Aerospace</t>
  </si>
  <si>
    <t>11 Twin Creeks Dr</t>
  </si>
  <si>
    <t>RCS Inc.</t>
  </si>
  <si>
    <t>City Of California</t>
  </si>
  <si>
    <t>DANVERS ELECTRIC</t>
  </si>
  <si>
    <t>1 Sylvan St.</t>
  </si>
  <si>
    <t>Danvers</t>
  </si>
  <si>
    <t>1923</t>
  </si>
  <si>
    <t>Georgetown Light Dept.</t>
  </si>
  <si>
    <t>94 Searle St</t>
  </si>
  <si>
    <t>1833</t>
  </si>
  <si>
    <t>Lexington OK Electric Department</t>
  </si>
  <si>
    <t>111 E Broadway St</t>
  </si>
  <si>
    <t>73051</t>
  </si>
  <si>
    <t>Laverne Electric</t>
  </si>
  <si>
    <t>Laverne</t>
  </si>
  <si>
    <t>ROWLEY MUNICIPAL ELECTRIC</t>
  </si>
  <si>
    <t>Groton Electric Light</t>
  </si>
  <si>
    <t>23 Station Ave</t>
  </si>
  <si>
    <t>Groton</t>
  </si>
  <si>
    <t>1450</t>
  </si>
  <si>
    <t>IB Able, Inc</t>
  </si>
  <si>
    <t>2745 Black Ridge Rd</t>
  </si>
  <si>
    <t>17406</t>
  </si>
  <si>
    <t>North Little Rock Electric Dept./Ron Osburn</t>
  </si>
  <si>
    <t>1400 W. Martland</t>
  </si>
  <si>
    <t>72120</t>
  </si>
  <si>
    <t>Perma-fix Environmental Services, Inc.</t>
  </si>
  <si>
    <t>8302 Dunwoody Place, Suite 250</t>
  </si>
  <si>
    <t>30350</t>
  </si>
  <si>
    <t>Fallon Municipal Electric</t>
  </si>
  <si>
    <t>55 W Williams Ave</t>
  </si>
  <si>
    <t>Fallon</t>
  </si>
  <si>
    <t>89406</t>
  </si>
  <si>
    <t>Kaysville City Power</t>
  </si>
  <si>
    <t>721 W Old Mill Lane</t>
  </si>
  <si>
    <t>Kaysville</t>
  </si>
  <si>
    <t>84037</t>
  </si>
  <si>
    <t>Beaver City Power</t>
  </si>
  <si>
    <t>30 W 300 N St</t>
  </si>
  <si>
    <t>Beaver</t>
  </si>
  <si>
    <t>84713</t>
  </si>
  <si>
    <t>Mount Pleasant Power Department (UT)</t>
  </si>
  <si>
    <t>83 S 900 E</t>
  </si>
  <si>
    <t>Mt Pleasant</t>
  </si>
  <si>
    <t>84647</t>
  </si>
  <si>
    <t>ASARCO</t>
  </si>
  <si>
    <t>5285 E Williams Circle, Suite 2000</t>
  </si>
  <si>
    <t>85711</t>
  </si>
  <si>
    <t>HAMILTON MUNICIPAL POWER</t>
  </si>
  <si>
    <t>3 Broad St</t>
  </si>
  <si>
    <t>13346</t>
  </si>
  <si>
    <t>Elite Construction of Ocala Inc</t>
  </si>
  <si>
    <t>2240 N Pine Av</t>
  </si>
  <si>
    <t>Ocala</t>
  </si>
  <si>
    <t>34475</t>
  </si>
  <si>
    <t>Chicopee Municipal Lighting Plant [CELD]</t>
  </si>
  <si>
    <t>725 Front St.</t>
  </si>
  <si>
    <t>Chicopee</t>
  </si>
  <si>
    <t>1021</t>
  </si>
  <si>
    <t>Bay Crane</t>
  </si>
  <si>
    <t>Belmont Muni Light Dept</t>
  </si>
  <si>
    <t>Bay Oil</t>
  </si>
  <si>
    <t>38 Plainfield St.</t>
  </si>
  <si>
    <t>1013</t>
  </si>
  <si>
    <t>Copan Public Works</t>
  </si>
  <si>
    <t>Copan</t>
  </si>
  <si>
    <t>Empire Demolition and Robotics</t>
  </si>
  <si>
    <t>2860 Yellow Goose Rd</t>
  </si>
  <si>
    <t>17601</t>
  </si>
  <si>
    <t>Ecoflo Inc</t>
  </si>
  <si>
    <t>2750</t>
  </si>
  <si>
    <t>Greensboro</t>
  </si>
  <si>
    <t>27407</t>
  </si>
  <si>
    <t>Comanche Public Works Auth</t>
  </si>
  <si>
    <t>500 N Rodeo Dr</t>
  </si>
  <si>
    <t>Lansing Board of Water and Light [LBWL]</t>
  </si>
  <si>
    <t>1232 Haco Drive</t>
  </si>
  <si>
    <t>48901</t>
  </si>
  <si>
    <t>Holland Board of Public Works</t>
  </si>
  <si>
    <t>625 Hastings Avenue</t>
  </si>
  <si>
    <t>Holland</t>
  </si>
  <si>
    <t>49423</t>
  </si>
  <si>
    <t>Bay City Electric Light &amp; Power</t>
  </si>
  <si>
    <t>900 S. Water Street</t>
  </si>
  <si>
    <t>Bay City</t>
  </si>
  <si>
    <t>48708</t>
  </si>
  <si>
    <t>Braman Municipal OK</t>
  </si>
  <si>
    <t>Braman</t>
  </si>
  <si>
    <t>Lindsay Public Works</t>
  </si>
  <si>
    <t>312 Main St</t>
  </si>
  <si>
    <t>Lindsay</t>
  </si>
  <si>
    <t>73052</t>
  </si>
  <si>
    <t>Wolverine Power Marketing Cooperative [WPMC]</t>
  </si>
  <si>
    <t>Sebewaing Light &amp; Water Plant</t>
  </si>
  <si>
    <t>110 West Main Street</t>
  </si>
  <si>
    <t>Sebewaing</t>
  </si>
  <si>
    <t>48759</t>
  </si>
  <si>
    <t>Consumers Energy Company</t>
  </si>
  <si>
    <t>1 Energy Plaza</t>
  </si>
  <si>
    <t>49201</t>
  </si>
  <si>
    <t>Grand Haven Board of Light &amp; Power [GHBLP]</t>
  </si>
  <si>
    <t>1700 Eaton Drive</t>
  </si>
  <si>
    <t>Grand Haven</t>
  </si>
  <si>
    <t>49417</t>
  </si>
  <si>
    <t>Traverse City Light &amp; Power Dept  [TCLP]</t>
  </si>
  <si>
    <t>1131 Hastings Street</t>
  </si>
  <si>
    <t>Traverse City</t>
  </si>
  <si>
    <t>49686</t>
  </si>
  <si>
    <t>Alger Delta Coop Electric Association</t>
  </si>
  <si>
    <t>426 N. 9th Street</t>
  </si>
  <si>
    <t>49837</t>
  </si>
  <si>
    <t>Midwest Energy Coop</t>
  </si>
  <si>
    <t>60590 Decatur Road</t>
  </si>
  <si>
    <t>Cassopolis</t>
  </si>
  <si>
    <t>49031</t>
  </si>
  <si>
    <t>Sturgis City Electric Department</t>
  </si>
  <si>
    <t>805 N. Centerville Road</t>
  </si>
  <si>
    <t>Sturgis</t>
  </si>
  <si>
    <t>49091</t>
  </si>
  <si>
    <t>Thumb Electric Coop Inc [TEC]</t>
  </si>
  <si>
    <t>2231 E. Main Street</t>
  </si>
  <si>
    <t>Ubly</t>
  </si>
  <si>
    <t>48475</t>
  </si>
  <si>
    <t>Coldwater Board of Public Utilities [CBPU]</t>
  </si>
  <si>
    <t>One Grand Street</t>
  </si>
  <si>
    <t>Coldwater</t>
  </si>
  <si>
    <t>49036</t>
  </si>
  <si>
    <t>Marquette Board of Light &amp; Power</t>
  </si>
  <si>
    <t>2200 W. Wright St.</t>
  </si>
  <si>
    <t>Paw Paw Village Department of Public Services</t>
  </si>
  <si>
    <t>110 Harry L. Bush Blvd.</t>
  </si>
  <si>
    <t>Paw Paw</t>
  </si>
  <si>
    <t>49079</t>
  </si>
  <si>
    <t>City of Marshall, MI</t>
  </si>
  <si>
    <t>323 W. Michigan Avenue</t>
  </si>
  <si>
    <t>49068</t>
  </si>
  <si>
    <t>Union City Electric Dept</t>
  </si>
  <si>
    <t>208 N. Broadway</t>
  </si>
  <si>
    <t>Union City</t>
  </si>
  <si>
    <t>49094</t>
  </si>
  <si>
    <t>Hillsdale Board of Public Utilities</t>
  </si>
  <si>
    <t>45 Monroe Street</t>
  </si>
  <si>
    <t>Niles Utilities Dept</t>
  </si>
  <si>
    <t>333 N. Second Street</t>
  </si>
  <si>
    <t>Niles</t>
  </si>
  <si>
    <t>49120</t>
  </si>
  <si>
    <t>UPPCO</t>
  </si>
  <si>
    <t>500 Washington St</t>
  </si>
  <si>
    <t>Ishpeming</t>
  </si>
  <si>
    <t>49849</t>
  </si>
  <si>
    <t>Presque Isle Electric &amp; Gas Coop [PIEG]</t>
  </si>
  <si>
    <t>19831 M-68 Highway</t>
  </si>
  <si>
    <t>Onaway</t>
  </si>
  <si>
    <t>49765</t>
  </si>
  <si>
    <t>DTE Energy</t>
  </si>
  <si>
    <t>One Energy Plaza</t>
  </si>
  <si>
    <t>48226</t>
  </si>
  <si>
    <t>Cloverland Electric Coop</t>
  </si>
  <si>
    <t>2916 W. M-28</t>
  </si>
  <si>
    <t>Dafter</t>
  </si>
  <si>
    <t>49724</t>
  </si>
  <si>
    <t>CHELSEA LIGHT &amp; POWER</t>
  </si>
  <si>
    <t>660 E. Industrial Drive</t>
  </si>
  <si>
    <t>Chelsea</t>
  </si>
  <si>
    <t>48118</t>
  </si>
  <si>
    <t>Bloomfield Municipal Light &amp; Power (IA)</t>
  </si>
  <si>
    <t>111 W. Franklin St</t>
  </si>
  <si>
    <t>52537</t>
  </si>
  <si>
    <t>Atchison-Holt Electric Cooperative</t>
  </si>
  <si>
    <t>18585 Industrial Road</t>
  </si>
  <si>
    <t>Rock Port</t>
  </si>
  <si>
    <t>64482</t>
  </si>
  <si>
    <t>Alabama Utilities Line Construction (Industrial Electric Service)</t>
  </si>
  <si>
    <t>2279 Smokey Road</t>
  </si>
  <si>
    <t>East Alabama Lumber Co.</t>
  </si>
  <si>
    <t>Guttenberg Electric Utility</t>
  </si>
  <si>
    <t>502 S 1st St</t>
  </si>
  <si>
    <t>Guttenberg</t>
  </si>
  <si>
    <t>52052</t>
  </si>
  <si>
    <t>Jasper Lumber</t>
  </si>
  <si>
    <t>2700 hwy 78 west</t>
  </si>
  <si>
    <t>35501</t>
  </si>
  <si>
    <t>Milford Municipal Utilities</t>
  </si>
  <si>
    <t>806 N Ave #3</t>
  </si>
  <si>
    <t>Milford</t>
  </si>
  <si>
    <t>51351</t>
  </si>
  <si>
    <t>Sibley Municipal Utilities</t>
  </si>
  <si>
    <t>808 3rd Ave</t>
  </si>
  <si>
    <t>51249</t>
  </si>
  <si>
    <t>Magnetech Industrial Services, Inc.</t>
  </si>
  <si>
    <t>701 Bill Myles Dr.</t>
  </si>
  <si>
    <t>Saraland</t>
  </si>
  <si>
    <t>36571</t>
  </si>
  <si>
    <t>McShan Lumber Company</t>
  </si>
  <si>
    <t>11180 US-82</t>
  </si>
  <si>
    <t>McShan</t>
  </si>
  <si>
    <t>35471</t>
  </si>
  <si>
    <t>Lyon Rural Electric Cooperative</t>
  </si>
  <si>
    <t>116 S Marshall St</t>
  </si>
  <si>
    <t>Rock Rapids</t>
  </si>
  <si>
    <t>51246</t>
  </si>
  <si>
    <t>Russell Brand, LLC</t>
  </si>
  <si>
    <t>Grundy Electric Cooperative (MO)</t>
  </si>
  <si>
    <t>4100 Oklahoma Avenue</t>
  </si>
  <si>
    <t>64683</t>
  </si>
  <si>
    <t>Orange City Municipal Utilities</t>
  </si>
  <si>
    <t>125 Central Ave SE</t>
  </si>
  <si>
    <t>Orange City</t>
  </si>
  <si>
    <t>51041</t>
  </si>
  <si>
    <t>Wade Sand and Gravel</t>
  </si>
  <si>
    <t>1200 10th street west</t>
  </si>
  <si>
    <t>35204</t>
  </si>
  <si>
    <t>Osage Municipal Utilities</t>
  </si>
  <si>
    <t>720 Chestnut St</t>
  </si>
  <si>
    <t>Osage</t>
  </si>
  <si>
    <t>50461</t>
  </si>
  <si>
    <t>Motobilt</t>
  </si>
  <si>
    <t>1861 Ross Clark Circle</t>
  </si>
  <si>
    <t>Cutris ingenio</t>
  </si>
  <si>
    <t>San Carlos</t>
  </si>
  <si>
    <t>Perry Public Utilities (MO)</t>
  </si>
  <si>
    <t>127 E Main St</t>
  </si>
  <si>
    <t>63462</t>
  </si>
  <si>
    <t>City of Milan (MO)</t>
  </si>
  <si>
    <t>212 E 2nd Street</t>
  </si>
  <si>
    <t>Milan</t>
  </si>
  <si>
    <t>63556</t>
  </si>
  <si>
    <t>City of Memphis (MO)</t>
  </si>
  <si>
    <t>135 S. Main St.</t>
  </si>
  <si>
    <t>63555</t>
  </si>
  <si>
    <t>City of Meadville (MO)</t>
  </si>
  <si>
    <t>310 South Macon St</t>
  </si>
  <si>
    <t>Meadville</t>
  </si>
  <si>
    <t>64659</t>
  </si>
  <si>
    <t>Marceline Municipal Utilities</t>
  </si>
  <si>
    <t>126 E Chicago Ave</t>
  </si>
  <si>
    <t>Marceline</t>
  </si>
  <si>
    <t>64658</t>
  </si>
  <si>
    <t>Surplec</t>
  </si>
  <si>
    <t>50 Manitoba Way</t>
  </si>
  <si>
    <t>Spruce Grove</t>
  </si>
  <si>
    <t>Alberta</t>
  </si>
  <si>
    <t>T7X 0V5</t>
  </si>
  <si>
    <t>Delta Star</t>
  </si>
  <si>
    <t>3550 Mayflower Dr</t>
  </si>
  <si>
    <t>Lynchburg</t>
  </si>
  <si>
    <t>24501</t>
  </si>
  <si>
    <t>Minnesota Power</t>
  </si>
  <si>
    <t>3215 West Arrowhead Road</t>
  </si>
  <si>
    <t>55811</t>
  </si>
  <si>
    <t>MidAmerican Energy</t>
  </si>
  <si>
    <t>1463 26th Ave</t>
  </si>
  <si>
    <t>Moline</t>
  </si>
  <si>
    <t>61265</t>
  </si>
  <si>
    <t>Westcan Recyclers</t>
  </si>
  <si>
    <t>8919 - 68th street S.E.</t>
  </si>
  <si>
    <t>Calgary</t>
  </si>
  <si>
    <t>T2C 2X6</t>
  </si>
  <si>
    <t>EMR Associates, Inc</t>
  </si>
  <si>
    <t>1101 Kermit Drive Suite 501</t>
  </si>
  <si>
    <t>37217</t>
  </si>
  <si>
    <t>Robert's Electrical Contractors, Inc.</t>
  </si>
  <si>
    <t>7420-D Hitt Rd</t>
  </si>
  <si>
    <t>36695</t>
  </si>
  <si>
    <t>Western Area Power Authority (WAPA)</t>
  </si>
  <si>
    <t>615 S. 43rd St</t>
  </si>
  <si>
    <t>M. J. Electric</t>
  </si>
  <si>
    <t>PO Box 686</t>
  </si>
  <si>
    <t>Iron Mountain</t>
  </si>
  <si>
    <t>Singing River EPA</t>
  </si>
  <si>
    <t>11187 Old 63 South</t>
  </si>
  <si>
    <t>Lucedale</t>
  </si>
  <si>
    <t>39452</t>
  </si>
  <si>
    <t>Electrical District No. 4 &amp; 5</t>
  </si>
  <si>
    <t>231 S Sunshine Blvd</t>
  </si>
  <si>
    <t>Eloy</t>
  </si>
  <si>
    <t>85131</t>
  </si>
  <si>
    <t>Tucson Electric Power</t>
  </si>
  <si>
    <t>88 E Broadway Blvd</t>
  </si>
  <si>
    <t>85701</t>
  </si>
  <si>
    <t>TriState Generation</t>
  </si>
  <si>
    <t>1100 W 116th Ave</t>
  </si>
  <si>
    <t>80234</t>
  </si>
  <si>
    <t>Electrical District No. 2 (ED2)</t>
  </si>
  <si>
    <t>5575 N. Eleven Mile Corner Rd.</t>
  </si>
  <si>
    <t>Casa Grande</t>
  </si>
  <si>
    <t>85228</t>
  </si>
  <si>
    <t>Oscar Venegas - Contractor</t>
  </si>
  <si>
    <t>IOU Salt River Project (SRP)</t>
  </si>
  <si>
    <t>7005 S. Kyrene Rd. Bldg 53</t>
  </si>
  <si>
    <t>Tempe</t>
  </si>
  <si>
    <t>85283</t>
  </si>
  <si>
    <t>Clean Harbors (IL)</t>
  </si>
  <si>
    <t>4559 Wagon Wheel Rd</t>
  </si>
  <si>
    <t>Roxana</t>
  </si>
  <si>
    <t>62087</t>
  </si>
  <si>
    <t>Navajo Tribal Utility Authority (NTUA)</t>
  </si>
  <si>
    <t>Indian Rte 12</t>
  </si>
  <si>
    <t>Fort Defiance</t>
  </si>
  <si>
    <t>86504</t>
  </si>
  <si>
    <t>T&amp;D Services</t>
  </si>
  <si>
    <t>9550 San Mateo Blvd NE Ste G</t>
  </si>
  <si>
    <t>87113</t>
  </si>
  <si>
    <t>City of Safford</t>
  </si>
  <si>
    <t>405 W Discovery Park Blvd</t>
  </si>
  <si>
    <t>Safford</t>
  </si>
  <si>
    <t>85546</t>
  </si>
  <si>
    <t>Gardner Zemke</t>
  </si>
  <si>
    <t>6821 Academy Parkway West NE</t>
  </si>
  <si>
    <t>87109</t>
  </si>
  <si>
    <t>Sulphur Springs Valley Electric Coop</t>
  </si>
  <si>
    <t>365 North Haskell Avenue</t>
  </si>
  <si>
    <t>Willcox</t>
  </si>
  <si>
    <t>85643</t>
  </si>
  <si>
    <t>Opelika Power Services</t>
  </si>
  <si>
    <t>600 Fox Run Pkwy</t>
  </si>
  <si>
    <t>Opelika</t>
  </si>
  <si>
    <t>Central Alabama EMC</t>
  </si>
  <si>
    <t>103 Jesse Samuel Hunt Blvd</t>
  </si>
  <si>
    <t>Prattville</t>
  </si>
  <si>
    <t>36068</t>
  </si>
  <si>
    <t>Mohave Electric Cooperative Inc</t>
  </si>
  <si>
    <t>1999 Arena Dr</t>
  </si>
  <si>
    <t>Bullhead City</t>
  </si>
  <si>
    <t>86442</t>
  </si>
  <si>
    <t>Quant Service Group</t>
  </si>
  <si>
    <t>101 Kuhlman Drive</t>
  </si>
  <si>
    <t>Crystal Springs</t>
  </si>
  <si>
    <t>39059</t>
  </si>
  <si>
    <t>Southern Electric Corporation of MS</t>
  </si>
  <si>
    <t>204 Lyle Cir</t>
  </si>
  <si>
    <t>Flowood</t>
  </si>
  <si>
    <t>39232</t>
  </si>
  <si>
    <t>City of Scribner (NE)</t>
  </si>
  <si>
    <t>530 Main Street</t>
  </si>
  <si>
    <t>Scribner</t>
  </si>
  <si>
    <t>68057</t>
  </si>
  <si>
    <t>City of Sargent (NE)</t>
  </si>
  <si>
    <t>106 N. 2nd Street</t>
  </si>
  <si>
    <t>Sargent</t>
  </si>
  <si>
    <t>68874</t>
  </si>
  <si>
    <t>City of Red Cloud (NE)</t>
  </si>
  <si>
    <t>540 N Webster St</t>
  </si>
  <si>
    <t>Red Cloud</t>
  </si>
  <si>
    <t>68970</t>
  </si>
  <si>
    <t>City of Randolph (NE)</t>
  </si>
  <si>
    <t>Randolph</t>
  </si>
  <si>
    <t>68771</t>
  </si>
  <si>
    <t>Village of Prague (NE)</t>
  </si>
  <si>
    <t>W., 401 Center Ave</t>
  </si>
  <si>
    <t>68050</t>
  </si>
  <si>
    <t>Village of Polk (NE)</t>
  </si>
  <si>
    <t>565 Leonard Ave</t>
  </si>
  <si>
    <t>Polk</t>
  </si>
  <si>
    <t>68654</t>
  </si>
  <si>
    <t>City of Plainview (NE)</t>
  </si>
  <si>
    <t>209 West Locust</t>
  </si>
  <si>
    <t>Plainview</t>
  </si>
  <si>
    <t>68769</t>
  </si>
  <si>
    <t>City of Pierce (NE)</t>
  </si>
  <si>
    <t>106 S. 1st St.</t>
  </si>
  <si>
    <t>Pierce</t>
  </si>
  <si>
    <t>68767</t>
  </si>
  <si>
    <t>City of Pender (NE)</t>
  </si>
  <si>
    <t>416 Main Street</t>
  </si>
  <si>
    <t>Pender</t>
  </si>
  <si>
    <t>68047</t>
  </si>
  <si>
    <t>Village of Oxford (NE)</t>
  </si>
  <si>
    <t>326 Ogden Street</t>
  </si>
  <si>
    <t>68967</t>
  </si>
  <si>
    <t>City of Nelson (NE)</t>
  </si>
  <si>
    <t>580 South Main Street</t>
  </si>
  <si>
    <t>Village of Mullen (NE)</t>
  </si>
  <si>
    <t>111 NW 1st St</t>
  </si>
  <si>
    <t>Mullen</t>
  </si>
  <si>
    <t>69152</t>
  </si>
  <si>
    <t>Koch Foods</t>
  </si>
  <si>
    <t>410 Koch Foods</t>
  </si>
  <si>
    <t>Morton</t>
  </si>
  <si>
    <t>39110</t>
  </si>
  <si>
    <t>Lamar Water and Light  (MO)</t>
  </si>
  <si>
    <t>1104 Broadway</t>
  </si>
  <si>
    <t>Lamar</t>
  </si>
  <si>
    <t>64759</t>
  </si>
  <si>
    <t>Boulder City Public Works Department</t>
  </si>
  <si>
    <t>401 California Ave</t>
  </si>
  <si>
    <t>Boulder city</t>
  </si>
  <si>
    <t>89005</t>
  </si>
  <si>
    <t>Capital Electric Line Builders</t>
  </si>
  <si>
    <t>4400 NW. Mattox Road</t>
  </si>
  <si>
    <t>City of Bandon</t>
  </si>
  <si>
    <t>555 Highway 101</t>
  </si>
  <si>
    <t>Bandon</t>
  </si>
  <si>
    <t>97411</t>
  </si>
  <si>
    <t>UMS</t>
  </si>
  <si>
    <t>4007 Vida Shaw Road</t>
  </si>
  <si>
    <t>New Iberia</t>
  </si>
  <si>
    <t>70563</t>
  </si>
  <si>
    <t>HJ International</t>
  </si>
  <si>
    <t>High Ridge</t>
  </si>
  <si>
    <t>LMV AUTOMOTIVE SYSTEMS</t>
  </si>
  <si>
    <t>3251 E. Heartland Drive</t>
  </si>
  <si>
    <t>Liberty</t>
  </si>
  <si>
    <t>64068</t>
  </si>
  <si>
    <t>Hubbell Power Systems</t>
  </si>
  <si>
    <t>1100 E Switzler Street</t>
  </si>
  <si>
    <t>Liberty Electric Inc</t>
  </si>
  <si>
    <t>Public Works Commission- Fayetteville NC</t>
  </si>
  <si>
    <t>100 Public Works Dr.</t>
  </si>
  <si>
    <t>Mid-South Synergy</t>
  </si>
  <si>
    <t>7625 Hwy 6</t>
  </si>
  <si>
    <t>Navasota</t>
  </si>
  <si>
    <t>77868</t>
  </si>
  <si>
    <t>Fremont Department of Utilities</t>
  </si>
  <si>
    <t>3000 E. 1st St</t>
  </si>
  <si>
    <t>68025</t>
  </si>
  <si>
    <t>Omaha Public Power District</t>
  </si>
  <si>
    <t>444 S 16th St. Mall</t>
  </si>
  <si>
    <t>68102</t>
  </si>
  <si>
    <t>Nebraska Public Power District</t>
  </si>
  <si>
    <t>1414 15th Street</t>
  </si>
  <si>
    <t>68602</t>
  </si>
  <si>
    <t>Lincoln Electric System (LES)</t>
  </si>
  <si>
    <t>7707 Bluff Rd.</t>
  </si>
  <si>
    <t>68517</t>
  </si>
  <si>
    <t>Crawford Electric Supply</t>
  </si>
  <si>
    <t>10051 Porter Road</t>
  </si>
  <si>
    <t>300 S Clarice Rd</t>
  </si>
  <si>
    <t>Ogallala</t>
  </si>
  <si>
    <t>69153</t>
  </si>
  <si>
    <t>Wellton Mohawk Irrigation District</t>
  </si>
  <si>
    <t>30570 Wellton Mohawk Drive</t>
  </si>
  <si>
    <t>Wellton</t>
  </si>
  <si>
    <t>85356</t>
  </si>
  <si>
    <t>KBR Rural Public Power District (NE)</t>
  </si>
  <si>
    <t>374 North Pine</t>
  </si>
  <si>
    <t>Ainsworth,</t>
  </si>
  <si>
    <t>69210</t>
  </si>
  <si>
    <t>North Central Public Power District (NE)</t>
  </si>
  <si>
    <t>1409 Main Street, Box 90</t>
  </si>
  <si>
    <t>Creighton</t>
  </si>
  <si>
    <t>68729</t>
  </si>
  <si>
    <t>Twin Valleys Public Power District (NE)</t>
  </si>
  <si>
    <t>1125 Nasby Street, Box 160</t>
  </si>
  <si>
    <t>Cambridge</t>
  </si>
  <si>
    <t>69022</t>
  </si>
  <si>
    <t>South Plains Electric Coop</t>
  </si>
  <si>
    <t>4727 South Loop 289 Ste 200</t>
  </si>
  <si>
    <t>Lubbock</t>
  </si>
  <si>
    <t>79408</t>
  </si>
  <si>
    <t>Wheat Belt Public Power District (NE)</t>
  </si>
  <si>
    <t>11306 Road 32</t>
  </si>
  <si>
    <t>Niobrara Valley Electric Membership Corporation</t>
  </si>
  <si>
    <t>427 North 4th, Box 60</t>
  </si>
  <si>
    <t>O'Neill</t>
  </si>
  <si>
    <t>68763</t>
  </si>
  <si>
    <t>Sam Houston Electric Coop</t>
  </si>
  <si>
    <t>1157 E Church St</t>
  </si>
  <si>
    <t>J &amp; J Contracting</t>
  </si>
  <si>
    <t>573 Shoreview Park Blvd.</t>
  </si>
  <si>
    <t>Shoreview</t>
  </si>
  <si>
    <t>55126</t>
  </si>
  <si>
    <t>Lighting Resources LLC - Phoenix</t>
  </si>
  <si>
    <t>1545 East Victory Street</t>
  </si>
  <si>
    <t>Seward Electric Department (NE)</t>
  </si>
  <si>
    <t>1345 River Street</t>
  </si>
  <si>
    <t>Seward</t>
  </si>
  <si>
    <t>Big Country Coop</t>
  </si>
  <si>
    <t>1010 W. south First Street</t>
  </si>
  <si>
    <t>Roby</t>
  </si>
  <si>
    <t>79543</t>
  </si>
  <si>
    <t>Broken Bow Municipal Utilities</t>
  </si>
  <si>
    <t>314 S 10th Ave</t>
  </si>
  <si>
    <t>Broken Bow</t>
  </si>
  <si>
    <t>68822</t>
  </si>
  <si>
    <t>United Electric Coop TX</t>
  </si>
  <si>
    <t>320 Fall Creek Hwy</t>
  </si>
  <si>
    <t>Granbury</t>
  </si>
  <si>
    <t>76049</t>
  </si>
  <si>
    <t>Grand Island Utilities (NE)</t>
  </si>
  <si>
    <t>1306 W 3rd Street</t>
  </si>
  <si>
    <t>Grand Island</t>
  </si>
  <si>
    <t>68801</t>
  </si>
  <si>
    <t>Hastings Utilities Department</t>
  </si>
  <si>
    <t>1228 N. Denver Ave.</t>
  </si>
  <si>
    <t>Hastings</t>
  </si>
  <si>
    <t>68901</t>
  </si>
  <si>
    <t>Madison Municipal Power (NE)</t>
  </si>
  <si>
    <t>211 S Lincoln St</t>
  </si>
  <si>
    <t>Madison</t>
  </si>
  <si>
    <t>68748</t>
  </si>
  <si>
    <t>Town of Clarkdale</t>
  </si>
  <si>
    <t>39 N. 9th street</t>
  </si>
  <si>
    <t>Clarkdale</t>
  </si>
  <si>
    <t>86324</t>
  </si>
  <si>
    <t>Western Area Power Administration</t>
  </si>
  <si>
    <t>114 Parkshore Drive</t>
  </si>
  <si>
    <t>Folsom</t>
  </si>
  <si>
    <t>956300</t>
  </si>
  <si>
    <t>Zachery Group</t>
  </si>
  <si>
    <t>527 Logwood Avenue</t>
  </si>
  <si>
    <t>San Antonio</t>
  </si>
  <si>
    <t>78221</t>
  </si>
  <si>
    <t>Air &amp; Waste Engineering</t>
  </si>
  <si>
    <t>Two Allen Center 1200 Smith Street Suite 1600</t>
  </si>
  <si>
    <t>United Cooperative Services</t>
  </si>
  <si>
    <t>2601 Burleson Blvd</t>
  </si>
  <si>
    <t>Cleburne</t>
  </si>
  <si>
    <t>76033</t>
  </si>
  <si>
    <t>Delta Diversified Enterprises</t>
  </si>
  <si>
    <t>425 W Gemini Drive</t>
  </si>
  <si>
    <t>6640 W Sundust Rd # 5091</t>
  </si>
  <si>
    <t>Jones Development Company</t>
  </si>
  <si>
    <t>2228 Livingston Street</t>
  </si>
  <si>
    <t>94606</t>
  </si>
  <si>
    <t>Maxx Power Solutions</t>
  </si>
  <si>
    <t>Coeur d' Alene</t>
  </si>
  <si>
    <t>McCarthy Electric</t>
  </si>
  <si>
    <t>6225 N 24th Street</t>
  </si>
  <si>
    <t>85016</t>
  </si>
  <si>
    <t>East Mississippi State Hospital</t>
  </si>
  <si>
    <t>Hendrix Salvage</t>
  </si>
  <si>
    <t>KBH Enviromental</t>
  </si>
  <si>
    <t>88 W. River Rd</t>
  </si>
  <si>
    <t>Scottsville</t>
  </si>
  <si>
    <t>14546</t>
  </si>
  <si>
    <t>Jefferson Energy</t>
  </si>
  <si>
    <t>Remedial Construction Services</t>
  </si>
  <si>
    <t>9977 W. Sam Houston Parkway N Suite 100</t>
  </si>
  <si>
    <t>77064</t>
  </si>
  <si>
    <t>Wake EMC - NC</t>
  </si>
  <si>
    <t>100 South Franklin St</t>
  </si>
  <si>
    <t>Wake Forest</t>
  </si>
  <si>
    <t>27587</t>
  </si>
  <si>
    <t>Oak Creek Electric</t>
  </si>
  <si>
    <t>129 Nancy Crawford Blvd</t>
  </si>
  <si>
    <t>Oak Creek</t>
  </si>
  <si>
    <t>80467</t>
  </si>
  <si>
    <t>Pinto Construction Services</t>
  </si>
  <si>
    <t>1 Babcock St</t>
  </si>
  <si>
    <t>14201</t>
  </si>
  <si>
    <t>Merced Irrigation District</t>
  </si>
  <si>
    <t>744 W. 20th St.,</t>
  </si>
  <si>
    <t>Merce</t>
  </si>
  <si>
    <t>Vantran Transformers</t>
  </si>
  <si>
    <t>7711 Imperial Dr</t>
  </si>
  <si>
    <t>tx</t>
  </si>
  <si>
    <t>Ulbrich Stainless Steels &amp; Special Metals, Inc.</t>
  </si>
  <si>
    <t>1 Dudley Avenue</t>
  </si>
  <si>
    <t>wallingford</t>
  </si>
  <si>
    <t>6492</t>
  </si>
  <si>
    <t>Greenland Metals</t>
  </si>
  <si>
    <t>6400 Bandini Blvd</t>
  </si>
  <si>
    <t>Brewer Electric</t>
  </si>
  <si>
    <t>112 Shetland Way</t>
  </si>
  <si>
    <t>Collegeville</t>
  </si>
  <si>
    <t>19426</t>
  </si>
  <si>
    <t>Town of Dallas Electric Department</t>
  </si>
  <si>
    <t>700 E Holly St</t>
  </si>
  <si>
    <t>28034</t>
  </si>
  <si>
    <t>De Young Power Systems</t>
  </si>
  <si>
    <t>2011 W Park Ave</t>
  </si>
  <si>
    <t>Redlands</t>
  </si>
  <si>
    <t>92373</t>
  </si>
  <si>
    <t>Goldsmith Contruction</t>
  </si>
  <si>
    <t>2683 Lime Ave.</t>
  </si>
  <si>
    <t>Signal Hill</t>
  </si>
  <si>
    <t>90755</t>
  </si>
  <si>
    <t>El Dorado Springs, MO Utilities</t>
  </si>
  <si>
    <t>Newberry Electric</t>
  </si>
  <si>
    <t>882 Wilson Rd</t>
  </si>
  <si>
    <t>29108</t>
  </si>
  <si>
    <t>Eskridge</t>
  </si>
  <si>
    <t>110 S Main</t>
  </si>
  <si>
    <t>66423</t>
  </si>
  <si>
    <t>United States Environmental Services</t>
  </si>
  <si>
    <t>2115 Stillwater Drive</t>
  </si>
  <si>
    <t>ROUX</t>
  </si>
  <si>
    <t>9595 Six Pines Drive Suite 8210</t>
  </si>
  <si>
    <t>Envirocon</t>
  </si>
  <si>
    <t>10497 Town &amp; Country Way Suite 700</t>
  </si>
  <si>
    <t>77024</t>
  </si>
  <si>
    <t>Newkirk Light &amp; Water OK</t>
  </si>
  <si>
    <t>Impact Marketing and Export LLC</t>
  </si>
  <si>
    <t>ABB-Baldor Electric</t>
  </si>
  <si>
    <t>70 Industrial Park Acess Road</t>
  </si>
  <si>
    <t>Columnus</t>
  </si>
  <si>
    <t>39701</t>
  </si>
  <si>
    <t>North Georgia EMC</t>
  </si>
  <si>
    <t>Blue Ridge Mountain EMC</t>
  </si>
  <si>
    <t>KW Plastics</t>
  </si>
  <si>
    <t>100 Sanders Rd</t>
  </si>
  <si>
    <t>Reach Construction</t>
  </si>
  <si>
    <t>Bay X-Ray, Inc.</t>
  </si>
  <si>
    <t>P.O. Box 2926</t>
  </si>
  <si>
    <t>Daphne</t>
  </si>
  <si>
    <t>36526</t>
  </si>
  <si>
    <t>Marigold Works, LLC</t>
  </si>
  <si>
    <t>200 18th Ave SW</t>
  </si>
  <si>
    <t>City of Aberdeen</t>
  </si>
  <si>
    <t>Energy Transfer- FL</t>
  </si>
  <si>
    <t>2065 Pisgah Rd</t>
  </si>
  <si>
    <t>Prescott VA Hospital (AZ)</t>
  </si>
  <si>
    <t>Astro Electric Co, Inc</t>
  </si>
  <si>
    <t>1127 19th St N</t>
  </si>
  <si>
    <t>35020</t>
  </si>
  <si>
    <t>North East Texas Electric Coop</t>
  </si>
  <si>
    <t>2221 HG Mosley Parkway</t>
  </si>
  <si>
    <t>Longview</t>
  </si>
  <si>
    <t>75604</t>
  </si>
  <si>
    <t>Oglethorpe Power Corporation</t>
  </si>
  <si>
    <t>SAIC</t>
  </si>
  <si>
    <t>Master Equipment</t>
  </si>
  <si>
    <t>1018 e salt lake st</t>
  </si>
  <si>
    <t>90806</t>
  </si>
  <si>
    <t>Goltry Public Works</t>
  </si>
  <si>
    <t>First Choice Electrical Solutions LLC</t>
  </si>
  <si>
    <t>703 S. Union Street</t>
  </si>
  <si>
    <t>Premier Auto Transport</t>
  </si>
  <si>
    <t>1520 S. Lyon Street</t>
  </si>
  <si>
    <t>Hardin Industrial Services,LLC</t>
  </si>
  <si>
    <t>1596 Church St</t>
  </si>
  <si>
    <t>Cypress</t>
  </si>
  <si>
    <t>32432</t>
  </si>
  <si>
    <t>Geary Municipal Water &amp; Light</t>
  </si>
  <si>
    <t>GEM Electric</t>
  </si>
  <si>
    <t>12577 Gar Highway</t>
  </si>
  <si>
    <t>Chardon</t>
  </si>
  <si>
    <t>44024</t>
  </si>
  <si>
    <t>Aey Electric</t>
  </si>
  <si>
    <t>801 N. Meridian Road</t>
  </si>
  <si>
    <t>Youngstown</t>
  </si>
  <si>
    <t>44509</t>
  </si>
  <si>
    <t>Woodstock Power- FL project</t>
  </si>
  <si>
    <t>Safety-Kleen (IA)</t>
  </si>
  <si>
    <t>InterCo Trading Company</t>
  </si>
  <si>
    <t>Shermco- TULSA, OK</t>
  </si>
  <si>
    <t>4510 S. 86th E. AVE</t>
  </si>
  <si>
    <t>Tulsa</t>
  </si>
  <si>
    <t>74145</t>
  </si>
  <si>
    <t>Surplus Buyers Direct</t>
  </si>
  <si>
    <t>175 Clay St</t>
  </si>
  <si>
    <t>ky</t>
  </si>
  <si>
    <t>Sentry Insurance</t>
  </si>
  <si>
    <t>Georg Fischer Sloane LLC</t>
  </si>
  <si>
    <t>777 Slaone Drive</t>
  </si>
  <si>
    <t>72206</t>
  </si>
  <si>
    <t>Woodard &amp; Curran</t>
  </si>
  <si>
    <t>2055 Sugarloaf Circle Suite 175</t>
  </si>
  <si>
    <t>ga</t>
  </si>
  <si>
    <t>30097</t>
  </si>
  <si>
    <t>Nationwide Electrical Testing</t>
  </si>
  <si>
    <t>City of Columbus, Ohio</t>
  </si>
  <si>
    <t>3500 Indianola Avenue</t>
  </si>
  <si>
    <t>43214</t>
  </si>
  <si>
    <t>Dow Chemical</t>
  </si>
  <si>
    <t>1790 Washington Street</t>
  </si>
  <si>
    <t>Midland</t>
  </si>
  <si>
    <t>City of Bronson, KS</t>
  </si>
  <si>
    <t>Electrical Certification, Inc (TGC)</t>
  </si>
  <si>
    <t>6086 State Route 128</t>
  </si>
  <si>
    <t>Miamitown</t>
  </si>
  <si>
    <t>45041</t>
  </si>
  <si>
    <t>City of Blue Mound</t>
  </si>
  <si>
    <t>Three Phase Line Construction, Inc.</t>
  </si>
  <si>
    <t>127 Parrott Ave. Suite 2</t>
  </si>
  <si>
    <t>Portsmouth</t>
  </si>
  <si>
    <t>3801</t>
  </si>
  <si>
    <t>New Indy</t>
  </si>
  <si>
    <t>5300 Cureton Ferry Rd</t>
  </si>
  <si>
    <t>Catawaba</t>
  </si>
  <si>
    <t>29704</t>
  </si>
  <si>
    <t>MC Sales, Inc</t>
  </si>
  <si>
    <t>Coastal Forrest Products</t>
  </si>
  <si>
    <t>12852 Mobile Rd</t>
  </si>
  <si>
    <t>Georgiana</t>
  </si>
  <si>
    <t>36003</t>
  </si>
  <si>
    <t>Highmark Erectors</t>
  </si>
  <si>
    <t>14667 139th Place</t>
  </si>
  <si>
    <t>Piedmont</t>
  </si>
  <si>
    <t>57769</t>
  </si>
  <si>
    <t>ARS Contracting</t>
  </si>
  <si>
    <t>Greenville utilities</t>
  </si>
  <si>
    <t>Irby (MN)</t>
  </si>
  <si>
    <t>Lumbee River EMC</t>
  </si>
  <si>
    <t>605 E 4th Ave</t>
  </si>
  <si>
    <t>Red Springs</t>
  </si>
  <si>
    <t>28377</t>
  </si>
  <si>
    <t>Marlboro Electric</t>
  </si>
  <si>
    <t>676 Hwy 9 East</t>
  </si>
  <si>
    <t>Sustain Chemical Waste Solutions</t>
  </si>
  <si>
    <t>4684 Bentwood Road</t>
  </si>
  <si>
    <t>New Waterford</t>
  </si>
  <si>
    <t>44445</t>
  </si>
  <si>
    <t>Hartwick College</t>
  </si>
  <si>
    <t>1 Hartwick Drive</t>
  </si>
  <si>
    <t>Oneonta</t>
  </si>
  <si>
    <t>13820</t>
  </si>
  <si>
    <t>University of Minnesota Duluth</t>
  </si>
  <si>
    <t>Sun Environmental Corporation</t>
  </si>
  <si>
    <t>4655 Croassroads Park Drive</t>
  </si>
  <si>
    <t>Liverpool</t>
  </si>
  <si>
    <t>13088</t>
  </si>
  <si>
    <t>Sage Environmental</t>
  </si>
  <si>
    <t>172 Armistice Blvd</t>
  </si>
  <si>
    <t>Pawtucket</t>
  </si>
  <si>
    <t>2860</t>
  </si>
  <si>
    <t>Roth Tucking</t>
  </si>
  <si>
    <t>Wallace College</t>
  </si>
  <si>
    <t>1141 Wallace Dr</t>
  </si>
  <si>
    <t>Lowe Electric</t>
  </si>
  <si>
    <t>Midvalley Pipeling Co</t>
  </si>
  <si>
    <t>1001 College hill Road</t>
  </si>
  <si>
    <t>38655</t>
  </si>
  <si>
    <t>Tiger Demolition</t>
  </si>
  <si>
    <t>Heritage-Interactive</t>
  </si>
  <si>
    <t>3719 West 96th Street</t>
  </si>
  <si>
    <t>Ferrik Constrution</t>
  </si>
  <si>
    <t>811 Ivy Hill Road</t>
  </si>
  <si>
    <t>19150</t>
  </si>
  <si>
    <t>Gladstone Land Corporation</t>
  </si>
  <si>
    <t>3206 Spot Road</t>
  </si>
  <si>
    <t>DAteland</t>
  </si>
  <si>
    <t>Mortenson Energy San Antonio</t>
  </si>
  <si>
    <t>1718 Dry Creek Way Suite 101</t>
  </si>
  <si>
    <t>78259</t>
  </si>
  <si>
    <t>Luke  Airforce Base</t>
  </si>
  <si>
    <t>14185 Falcon Street</t>
  </si>
  <si>
    <t>Luke AFB</t>
  </si>
  <si>
    <t>85309</t>
  </si>
  <si>
    <t>Georgia Pacific Diboll Texas</t>
  </si>
  <si>
    <t>100 Martin Luther King JR Street</t>
  </si>
  <si>
    <t>Diboll</t>
  </si>
  <si>
    <t>75941</t>
  </si>
  <si>
    <t>Spectrum LNG</t>
  </si>
  <si>
    <t>1709 Utica Square Suite 240</t>
  </si>
  <si>
    <t>74114</t>
  </si>
  <si>
    <t>Tidal Power Services</t>
  </si>
  <si>
    <t>4211 Chance Lane</t>
  </si>
  <si>
    <t>Rosharon</t>
  </si>
  <si>
    <t>77583</t>
  </si>
  <si>
    <t>Quanta Services</t>
  </si>
  <si>
    <t>B2B Metals</t>
  </si>
  <si>
    <t>5005 W Melody Ln</t>
  </si>
  <si>
    <t>Laveen</t>
  </si>
  <si>
    <t>85339</t>
  </si>
  <si>
    <t>Coast Demolition &amp; Engineering Services</t>
  </si>
  <si>
    <t>2683 lime avenue</t>
  </si>
  <si>
    <t>Denver Magnetic</t>
  </si>
  <si>
    <t>PO Box 15</t>
  </si>
  <si>
    <t>Eastlake</t>
  </si>
  <si>
    <t>80614</t>
  </si>
  <si>
    <t>Thom’s Transformers</t>
  </si>
  <si>
    <t>6 Cohasset Place</t>
  </si>
  <si>
    <t>Tomball</t>
  </si>
  <si>
    <t>77375</t>
  </si>
  <si>
    <t>Eagle Remediation &amp; Demolition</t>
  </si>
  <si>
    <t>3131 E Hwy 199</t>
  </si>
  <si>
    <t>springtown</t>
  </si>
  <si>
    <t>76082</t>
  </si>
  <si>
    <t>Northern Gila Sanitation District</t>
  </si>
  <si>
    <t>2200 West Doll Baby Ranch Road</t>
  </si>
  <si>
    <t>85541</t>
  </si>
  <si>
    <t>OBryant Electric, Inc</t>
  </si>
  <si>
    <t>9314 Eton Avenue</t>
  </si>
  <si>
    <t>Chatsworth</t>
  </si>
  <si>
    <t>91311</t>
  </si>
  <si>
    <t>OPES Incorporated</t>
  </si>
  <si>
    <t>330 W Gray Street Suite 135</t>
  </si>
  <si>
    <t>73069</t>
  </si>
  <si>
    <t>Pacific Steel Casting Company, LLC</t>
  </si>
  <si>
    <t>1333 Second Street</t>
  </si>
  <si>
    <t>Berkeley</t>
  </si>
  <si>
    <t>94117</t>
  </si>
  <si>
    <t>Summit Line Construction</t>
  </si>
  <si>
    <t>441 W Powerline Road</t>
  </si>
  <si>
    <t>Heber City</t>
  </si>
  <si>
    <t>84032</t>
  </si>
  <si>
    <t>Transportation Insight</t>
  </si>
  <si>
    <t>303 SW 18th street suite #7</t>
  </si>
  <si>
    <t>Bentonville</t>
  </si>
  <si>
    <t>72172</t>
  </si>
  <si>
    <t>WECS Renewables</t>
  </si>
  <si>
    <t>19392 Rupert Street</t>
  </si>
  <si>
    <t>Palm Springs</t>
  </si>
  <si>
    <t>Applied Minds</t>
  </si>
  <si>
    <t>801 N Lake St</t>
  </si>
  <si>
    <t>91502</t>
  </si>
  <si>
    <t>Arizona Electrical Apparatus</t>
  </si>
  <si>
    <t>1300 East Apache Park Place</t>
  </si>
  <si>
    <t>85714</t>
  </si>
  <si>
    <t>Central Valley Electric, Inc</t>
  </si>
  <si>
    <t>24 A Frazine Road</t>
  </si>
  <si>
    <t>Modesto</t>
  </si>
  <si>
    <t>95357</t>
  </si>
  <si>
    <t>Freeport McMoRan - Tahono (Sells AZ)</t>
  </si>
  <si>
    <t>Sells</t>
  </si>
  <si>
    <t>General Electric Energy Services</t>
  </si>
  <si>
    <t>3601 East LaPalma Ave.</t>
  </si>
  <si>
    <t>Michels Corporation</t>
  </si>
  <si>
    <t>9433 Dowcor LN SW</t>
  </si>
  <si>
    <t>Tumwater</t>
  </si>
  <si>
    <t>98511</t>
  </si>
  <si>
    <t>MPBL, Inc</t>
  </si>
  <si>
    <t>10822 Lake Front Drive</t>
  </si>
  <si>
    <t>Missouri City</t>
  </si>
  <si>
    <t>77459</t>
  </si>
  <si>
    <t>University of California</t>
  </si>
  <si>
    <t>501 Westwood Plaza 4th Floor</t>
  </si>
  <si>
    <t>90095</t>
  </si>
  <si>
    <t>Crane Logistics</t>
  </si>
  <si>
    <t>Enel Power</t>
  </si>
  <si>
    <t>Rome</t>
  </si>
  <si>
    <t>Equipoise Corporation</t>
  </si>
  <si>
    <t>950 Calle Amanecer Suite 101</t>
  </si>
  <si>
    <t>92673</t>
  </si>
  <si>
    <t>Exacter</t>
  </si>
  <si>
    <t>7700 Rivers Edge Drive Ste 102</t>
  </si>
  <si>
    <t>43235</t>
  </si>
  <si>
    <t>Exchange Base</t>
  </si>
  <si>
    <t>18500 Lake Road</t>
  </si>
  <si>
    <t>Rocky River</t>
  </si>
  <si>
    <t>44116</t>
  </si>
  <si>
    <t>Freeport McMoRan -  Bisbee  (CopperQueen)</t>
  </si>
  <si>
    <t>36 West Highway 92</t>
  </si>
  <si>
    <t>Bisbee</t>
  </si>
  <si>
    <t>85603</t>
  </si>
  <si>
    <t>Freeport McMoRan - Tyrone</t>
  </si>
  <si>
    <t>Tyrone</t>
  </si>
  <si>
    <t>IES Commerical &amp; Industrial</t>
  </si>
  <si>
    <t>333 E Main</t>
  </si>
  <si>
    <t>LS Power</t>
  </si>
  <si>
    <t>500 Hopyard Rd Suite 480</t>
  </si>
  <si>
    <t>Pleasanton</t>
  </si>
  <si>
    <t>94588</t>
  </si>
  <si>
    <t>Marie Industries</t>
  </si>
  <si>
    <t>237 S 18th street #3c</t>
  </si>
  <si>
    <t>Philidelphia</t>
  </si>
  <si>
    <t>19103</t>
  </si>
  <si>
    <t>Mesa Gateway Airport Authority</t>
  </si>
  <si>
    <t>5835 S. Sossaman road</t>
  </si>
  <si>
    <t>85212</t>
  </si>
  <si>
    <t>Sundt Construction</t>
  </si>
  <si>
    <t>2620 South 55th Street</t>
  </si>
  <si>
    <t>85282</t>
  </si>
  <si>
    <t>M L Electric</t>
  </si>
  <si>
    <t>CED Nashville</t>
  </si>
  <si>
    <t>dennis ashley</t>
  </si>
  <si>
    <t>Northwestern Energy (SD)</t>
  </si>
  <si>
    <t>Littlejohn-Reuland Corporation</t>
  </si>
  <si>
    <t>4575 Pacific Blvd</t>
  </si>
  <si>
    <t>Action Cleanup Inc</t>
  </si>
  <si>
    <t>9144 Rose Street</t>
  </si>
  <si>
    <t>Bellflower</t>
  </si>
  <si>
    <t>90706</t>
  </si>
  <si>
    <t>Brian McCarrick</t>
  </si>
  <si>
    <t>Shelby Utilities Department</t>
  </si>
  <si>
    <t>Shelby, NC</t>
  </si>
  <si>
    <t>Blue Ridge EMC (Sparta)</t>
  </si>
  <si>
    <t>Sparta, NC</t>
  </si>
  <si>
    <t>smith gray electric</t>
  </si>
  <si>
    <t>Envirosmart</t>
  </si>
  <si>
    <t>Cuming County Public Power District</t>
  </si>
  <si>
    <t>500 S Main Street</t>
  </si>
  <si>
    <t>68788</t>
  </si>
  <si>
    <t>City of Toronto City, KS</t>
  </si>
  <si>
    <t>Southwestern</t>
  </si>
  <si>
    <t>Fayettville</t>
  </si>
  <si>
    <t>City of Washington, KS</t>
  </si>
  <si>
    <t>City of Summerfield, KS</t>
  </si>
  <si>
    <t>City of Sterling, KS</t>
  </si>
  <si>
    <t>Johnson County REMC</t>
  </si>
  <si>
    <t>750 International Drive
P.O. Box 309</t>
  </si>
  <si>
    <t>KAEC-UUS</t>
  </si>
  <si>
    <t>4515 Bishop Lane</t>
  </si>
  <si>
    <t>40232</t>
  </si>
  <si>
    <t>City of Stamford, KS</t>
  </si>
  <si>
    <t>Nathcez Electric &amp; Supply Co.</t>
  </si>
  <si>
    <t>190 Devereux Dr</t>
  </si>
  <si>
    <t>39120</t>
  </si>
  <si>
    <t>UUS</t>
  </si>
  <si>
    <t>City of St Mary, KS</t>
  </si>
  <si>
    <t>C &amp; L EC-Greg Smith</t>
  </si>
  <si>
    <t>Star City</t>
  </si>
  <si>
    <t>71667</t>
  </si>
  <si>
    <t>City of St John, KS</t>
  </si>
  <si>
    <t>City of St Francis, KS</t>
  </si>
  <si>
    <t>City if Sharon Springs, KS</t>
  </si>
  <si>
    <t>Scranton Municipal Electric</t>
  </si>
  <si>
    <t>City of Savonburg, KS</t>
  </si>
  <si>
    <t>City of Robinson, KS</t>
  </si>
  <si>
    <t>City of Prescott, KS</t>
  </si>
  <si>
    <t>City of Pomona, KS</t>
  </si>
  <si>
    <t>City of Oxford, KS</t>
  </si>
  <si>
    <t>City of Osborne, KS</t>
  </si>
  <si>
    <t>City of Muscotah, KS</t>
  </si>
  <si>
    <t>City of Mulberry, KS</t>
  </si>
  <si>
    <t>Mount Hope, KS</t>
  </si>
  <si>
    <t>City of Morrill, KS</t>
  </si>
  <si>
    <t>SGB -USA</t>
  </si>
  <si>
    <t>180 south Ave</t>
  </si>
  <si>
    <t>tallmadge</t>
  </si>
  <si>
    <t>oh</t>
  </si>
  <si>
    <t>44278</t>
  </si>
  <si>
    <t>Alamo Transformer Supply Co</t>
  </si>
  <si>
    <t>10220 Mykawa Rd</t>
  </si>
  <si>
    <t>Benton County Electric System</t>
  </si>
  <si>
    <t>975 Highway 70 E</t>
  </si>
  <si>
    <t>38320</t>
  </si>
  <si>
    <t>Blattner Energy, Inc</t>
  </si>
  <si>
    <t>392 Country road 50</t>
  </si>
  <si>
    <t>Ready Electric</t>
  </si>
  <si>
    <t>Irby</t>
  </si>
  <si>
    <t>Bowling Green State University</t>
  </si>
  <si>
    <t>43403</t>
  </si>
  <si>
    <t>Brown Atchison County Electric</t>
  </si>
  <si>
    <t>1712 Central Avenue</t>
  </si>
  <si>
    <t>Burlington Electric Dept</t>
  </si>
  <si>
    <t>585 Pine St.</t>
  </si>
  <si>
    <t>5401</t>
  </si>
  <si>
    <t>Chanute Municipal Electric (KS)</t>
  </si>
  <si>
    <t>1002 E. 14th St</t>
  </si>
  <si>
    <t>Chanute</t>
  </si>
  <si>
    <t>66720</t>
  </si>
  <si>
    <t>City Electric Supply Pensacola Central</t>
  </si>
  <si>
    <t>113 Industrial Blvd</t>
  </si>
  <si>
    <t>City Of Alexandria</t>
  </si>
  <si>
    <t>2021 Industrial Park Road</t>
  </si>
  <si>
    <t>Alexandria</t>
  </si>
  <si>
    <t>71303</t>
  </si>
  <si>
    <t>City of Thomaston</t>
  </si>
  <si>
    <t>303 Veterans Drive</t>
  </si>
  <si>
    <t>City of Williamstown KY</t>
  </si>
  <si>
    <t>400 North Main St.</t>
  </si>
  <si>
    <t>Clarke Washington EMC</t>
  </si>
  <si>
    <t>1307 College Avenue</t>
  </si>
  <si>
    <t>Clarke-Washington EMC (BK)</t>
  </si>
  <si>
    <t>1307 College Ave</t>
  </si>
  <si>
    <t>Concord Municipal Light</t>
  </si>
  <si>
    <t>1175 Elm street</t>
  </si>
  <si>
    <t>Ma</t>
  </si>
  <si>
    <t>1742</t>
  </si>
  <si>
    <t>Covington Light Department</t>
  </si>
  <si>
    <t>1329 2nd Street</t>
  </si>
  <si>
    <t>47932</t>
  </si>
  <si>
    <t>Crystal River Quarries</t>
  </si>
  <si>
    <t>2961 S. Lecanto Hwy</t>
  </si>
  <si>
    <t>Lecanto</t>
  </si>
  <si>
    <t>34461</t>
  </si>
  <si>
    <t>Cumberland Electric Membership Corp (TN) [CEMC]</t>
  </si>
  <si>
    <t>1940 Madison St.</t>
  </si>
  <si>
    <t>37043</t>
  </si>
  <si>
    <t>Daviess-Martin REMC</t>
  </si>
  <si>
    <t>12628 E 75 N</t>
  </si>
  <si>
    <t>Loogootee</t>
  </si>
  <si>
    <t>47553</t>
  </si>
  <si>
    <t>Delta-Montrose Electric</t>
  </si>
  <si>
    <t>El Paso Electric (EPE)</t>
  </si>
  <si>
    <t>100 N Stanton St</t>
  </si>
  <si>
    <t>Electric Cooperatives of MS</t>
  </si>
  <si>
    <t>Highland Colony Parkway</t>
  </si>
  <si>
    <t>Ridgeland</t>
  </si>
  <si>
    <t>39157</t>
  </si>
  <si>
    <t>Electric Power Systems - MO</t>
  </si>
  <si>
    <t>St Louis,</t>
  </si>
  <si>
    <t>Electric Power, Inc.</t>
  </si>
  <si>
    <t>Chester</t>
  </si>
  <si>
    <t>Electric Services Inc - FL</t>
  </si>
  <si>
    <t>Electric South</t>
  </si>
  <si>
    <t>Energy Council of the Northeast</t>
  </si>
  <si>
    <t>264 South River Road, Suite 486</t>
  </si>
  <si>
    <t>Graybar Electric Company</t>
  </si>
  <si>
    <t>PO Box 78099</t>
  </si>
  <si>
    <t>St.Louis</t>
  </si>
  <si>
    <t>63178</t>
  </si>
  <si>
    <t>Green Cove Springs City</t>
  </si>
  <si>
    <t>1289 Harbor Rd</t>
  </si>
  <si>
    <t>Green Cove Springs</t>
  </si>
  <si>
    <t>32043</t>
  </si>
  <si>
    <t>Green Lights Recycling, Inc.</t>
  </si>
  <si>
    <t>10040 Davenport Street NE</t>
  </si>
  <si>
    <t>55449</t>
  </si>
  <si>
    <t>Idaho National Lab</t>
  </si>
  <si>
    <t>2525 Fremont Ave</t>
  </si>
  <si>
    <t>Idaho Falls</t>
  </si>
  <si>
    <t>83415</t>
  </si>
  <si>
    <t>Inland power</t>
  </si>
  <si>
    <t>10110 west Halley</t>
  </si>
  <si>
    <t>99224</t>
  </si>
  <si>
    <t>IRBY Utilities Georgia</t>
  </si>
  <si>
    <t>1025-A Cobb international Place</t>
  </si>
  <si>
    <t>Jackson Energy Coop , (800) 262-7480</t>
  </si>
  <si>
    <t>Jackson Municipal Utilities (MO)</t>
  </si>
  <si>
    <t>101 Court St.</t>
  </si>
  <si>
    <t>Jerry's Electric (TGC)</t>
  </si>
  <si>
    <t>23170 471st Avenue</t>
  </si>
  <si>
    <t>Colman</t>
  </si>
  <si>
    <t>57017</t>
  </si>
  <si>
    <t>Jones-Onslow</t>
  </si>
  <si>
    <t>Jacksonville, NC</t>
  </si>
  <si>
    <t>Kemira Chemical</t>
  </si>
  <si>
    <t>10930 Bearacott Rd</t>
  </si>
  <si>
    <t>39730</t>
  </si>
  <si>
    <t>Martinsville Municipal Electric Dept (VA)</t>
  </si>
  <si>
    <t>24114</t>
  </si>
  <si>
    <t>Mason county PUD</t>
  </si>
  <si>
    <t>N. 21971 Highway 101</t>
  </si>
  <si>
    <t>Shelton</t>
  </si>
  <si>
    <t>98584</t>
  </si>
  <si>
    <t>Mayer Electric</t>
  </si>
  <si>
    <t>Moulton Electric Department (TX)</t>
  </si>
  <si>
    <t>102 S Main St</t>
  </si>
  <si>
    <t>Moulton</t>
  </si>
  <si>
    <t>77975</t>
  </si>
  <si>
    <t>Olive Hill Municipal Lighting System</t>
  </si>
  <si>
    <t>Orlando Utilities Commission (OUC)</t>
  </si>
  <si>
    <t>500 S Orange Ave</t>
  </si>
  <si>
    <t>Fayetvill</t>
  </si>
  <si>
    <t>Sierra Design</t>
  </si>
  <si>
    <t>532 East Main Street</t>
  </si>
  <si>
    <t>49247</t>
  </si>
  <si>
    <t>French Broad Electric Membership Corporation</t>
  </si>
  <si>
    <t>3043 North Carolina 213</t>
  </si>
  <si>
    <t>28753</t>
  </si>
  <si>
    <t>US Army Corps of Engineers AL</t>
  </si>
  <si>
    <t>1606 Powerhouse Rd</t>
  </si>
  <si>
    <t>36726</t>
  </si>
  <si>
    <t>Town Of Crowley</t>
  </si>
  <si>
    <t>Crowley</t>
  </si>
  <si>
    <t>Town Of Eunicie</t>
  </si>
  <si>
    <t>Eunice</t>
  </si>
  <si>
    <t>Arcelor Mittal Steel Burns Harbor</t>
  </si>
  <si>
    <t>250 W. US Highway 12</t>
  </si>
  <si>
    <t>Burns Harbor</t>
  </si>
  <si>
    <t>46304</t>
  </si>
  <si>
    <t>Dynegy Lake Road Generating</t>
  </si>
  <si>
    <t>56 Alexander Parkway</t>
  </si>
  <si>
    <t>Dayville</t>
  </si>
  <si>
    <t>6241</t>
  </si>
  <si>
    <t>Rain CII Carbon LLC</t>
  </si>
  <si>
    <t>Berkeley Electric (Awendaw)</t>
  </si>
  <si>
    <t>Awendaw, SC</t>
  </si>
  <si>
    <t>Berkeley Electric (Groose CK)</t>
  </si>
  <si>
    <t>Groose Creek, SC</t>
  </si>
  <si>
    <t>Moses Electric, Inc</t>
  </si>
  <si>
    <t>270 S. Pace Blvd.</t>
  </si>
  <si>
    <t>32501</t>
  </si>
  <si>
    <t>Palmetto Electric (Hampton County)</t>
  </si>
  <si>
    <t>RT Cassey, LLC</t>
  </si>
  <si>
    <t>121 Jarrell Dr</t>
  </si>
  <si>
    <t>Belle Chasse</t>
  </si>
  <si>
    <t>la</t>
  </si>
  <si>
    <t>70037</t>
  </si>
  <si>
    <t>Southern Company</t>
  </si>
  <si>
    <t>30 Ivan Allen Jr Blvd NW,</t>
  </si>
  <si>
    <t>30308</t>
  </si>
  <si>
    <t>Miller Industrial Supply, Inc.</t>
  </si>
  <si>
    <t>3104 Glen Royal Road</t>
  </si>
  <si>
    <t>Raleigh</t>
  </si>
  <si>
    <t>27617</t>
  </si>
  <si>
    <t>Atkins Electric</t>
  </si>
  <si>
    <t>346 Industrial Rd</t>
  </si>
  <si>
    <t>1730</t>
  </si>
  <si>
    <t>Core Appalachia</t>
  </si>
  <si>
    <t>213 Industrial Road</t>
  </si>
  <si>
    <t>Debord</t>
  </si>
  <si>
    <t>41214</t>
  </si>
  <si>
    <t>Rutherford EMC (Lincolnton)</t>
  </si>
  <si>
    <t>Sautee Electric</t>
  </si>
  <si>
    <t>Kingtree, SC</t>
  </si>
  <si>
    <t>Georgetown, SC</t>
  </si>
  <si>
    <t>Eaton Cutler-Hammer</t>
  </si>
  <si>
    <t>4929 Matterhorn Drive  Suite 5</t>
  </si>
  <si>
    <t>Basin-River Electrical Supply</t>
  </si>
  <si>
    <t>24310 Railroad Avenue</t>
  </si>
  <si>
    <t>Plaquemine</t>
  </si>
  <si>
    <t>New River Electric</t>
  </si>
  <si>
    <t>15 cloverdale placr</t>
  </si>
  <si>
    <t>Cloverdale</t>
  </si>
  <si>
    <t>24077</t>
  </si>
  <si>
    <t>Utility Restoration</t>
  </si>
  <si>
    <t>Anixter</t>
  </si>
  <si>
    <t>Glenview, IL</t>
  </si>
  <si>
    <t>American Waste Management</t>
  </si>
  <si>
    <t>One American Way</t>
  </si>
  <si>
    <t>44484</t>
  </si>
  <si>
    <t>Garnet Electric Co., Inc.</t>
  </si>
  <si>
    <t>1615 East State St.</t>
  </si>
  <si>
    <t>Sheffield</t>
  </si>
  <si>
    <t>35660</t>
  </si>
  <si>
    <t>Mississippi Tennessee Transformer (TGC)</t>
  </si>
  <si>
    <t>38930</t>
  </si>
  <si>
    <t>Southland Electrical</t>
  </si>
  <si>
    <t>Wiedenhoft Electric</t>
  </si>
  <si>
    <t>2091 Lincoln Hwy</t>
  </si>
  <si>
    <t>Boswell, PA</t>
  </si>
  <si>
    <t>15531</t>
  </si>
  <si>
    <t>SPX Transformer Solutions</t>
  </si>
  <si>
    <t>29 Kathleen Lane</t>
  </si>
  <si>
    <t>Norwood</t>
  </si>
  <si>
    <t>2062</t>
  </si>
  <si>
    <t>TCI - Sales (TGC)</t>
  </si>
  <si>
    <t>2025 Moody Drive Parkway #202</t>
  </si>
  <si>
    <t>Moody</t>
  </si>
  <si>
    <t>35004</t>
  </si>
  <si>
    <t>US Army Corp of Engineers</t>
  </si>
  <si>
    <t>201 1sr Street</t>
  </si>
  <si>
    <t>Riverdale</t>
  </si>
  <si>
    <t>58565</t>
  </si>
  <si>
    <t>Valley Metro Light Rail</t>
  </si>
  <si>
    <t>605 S 48th street</t>
  </si>
  <si>
    <t>GMR Sales (TGC)</t>
  </si>
  <si>
    <t>Resource Recovery Technologies (TGC)</t>
  </si>
  <si>
    <t>Gladstone Electric Department</t>
  </si>
  <si>
    <t>10 N. 11th Street</t>
  </si>
  <si>
    <t>Otokumpu Stainless Steel</t>
  </si>
  <si>
    <t>Sabic Innovative Plastics</t>
  </si>
  <si>
    <t>13118 Webre Road</t>
  </si>
  <si>
    <t>Bay St. Louis</t>
  </si>
  <si>
    <t>39520</t>
  </si>
  <si>
    <t>TDI - Parts (TGC)</t>
  </si>
  <si>
    <t>Negaunee Department of Public Works</t>
  </si>
  <si>
    <t>600 Cherry Street</t>
  </si>
  <si>
    <t>Negaunee</t>
  </si>
  <si>
    <t>49866</t>
  </si>
  <si>
    <t>Irby Construction</t>
  </si>
  <si>
    <t>318 Old Hwy 49</t>
  </si>
  <si>
    <t>39218</t>
  </si>
  <si>
    <t>Jesco Environmental &amp; GeoTechnical Services</t>
  </si>
  <si>
    <t>1701Thibodeaux Road</t>
  </si>
  <si>
    <t>Leetsdale Industrial Corp.</t>
  </si>
  <si>
    <t>100 Leetsdale Industrial Drive</t>
  </si>
  <si>
    <t>Leetsdale</t>
  </si>
  <si>
    <t>18405</t>
  </si>
  <si>
    <t>ERMCO (TGC)</t>
  </si>
  <si>
    <t>Miller brothers</t>
  </si>
  <si>
    <t>301 Alan wood rd</t>
  </si>
  <si>
    <t>American Superconductor Group</t>
  </si>
  <si>
    <t>City of Vincent (AL)</t>
  </si>
  <si>
    <t>Vincent</t>
  </si>
  <si>
    <t>35178</t>
  </si>
  <si>
    <t>Lighting Maintenance inc</t>
  </si>
  <si>
    <t>832 Oregon Ave suite A</t>
  </si>
  <si>
    <t>Linthicum</t>
  </si>
  <si>
    <t>21090</t>
  </si>
  <si>
    <t>HC Transformer and Switchgear</t>
  </si>
  <si>
    <t>High Voltage Maintenance - Zachary</t>
  </si>
  <si>
    <t>Pennecon Ltd</t>
  </si>
  <si>
    <t>1309 Topsail Road</t>
  </si>
  <si>
    <t>Paradise</t>
  </si>
  <si>
    <t>NL</t>
  </si>
  <si>
    <t>A1L 1N8</t>
  </si>
  <si>
    <t>One Source Power</t>
  </si>
  <si>
    <t>1 Westinghouse Plaza</t>
  </si>
  <si>
    <t>02136</t>
  </si>
  <si>
    <t>FLORA ELECTRIC UTILITY</t>
  </si>
  <si>
    <t>4 E Main St</t>
  </si>
  <si>
    <t>46929</t>
  </si>
  <si>
    <t>Eldorado Electric Dept</t>
  </si>
  <si>
    <t>Memphis Light Gas &amp; Water</t>
  </si>
  <si>
    <t>220 S. Main St.</t>
  </si>
  <si>
    <t>Centerville Light &amp; Power Dept</t>
  </si>
  <si>
    <t>204 E. Main Street</t>
  </si>
  <si>
    <t>Centerville</t>
  </si>
  <si>
    <t>47330</t>
  </si>
  <si>
    <t>City of Brundidge</t>
  </si>
  <si>
    <t>514 Lawson St.</t>
  </si>
  <si>
    <t>Brundidge</t>
  </si>
  <si>
    <t>36010</t>
  </si>
  <si>
    <t>Hagerstown Municipal Light Dept</t>
  </si>
  <si>
    <t>49 East College Street</t>
  </si>
  <si>
    <t>Hagerstown</t>
  </si>
  <si>
    <t>47346</t>
  </si>
  <si>
    <t>Middletown Electric Utility</t>
  </si>
  <si>
    <t>653 Locust Street</t>
  </si>
  <si>
    <t>47356</t>
  </si>
  <si>
    <t>Freeport McMoRan - AJO Operations</t>
  </si>
  <si>
    <t>250 W Elota Ave</t>
  </si>
  <si>
    <t>AJO</t>
  </si>
  <si>
    <t>Covington Light Dept</t>
  </si>
  <si>
    <t>Rockville Electric Light Plant</t>
  </si>
  <si>
    <t>103 W. High St</t>
  </si>
  <si>
    <t>Rockville</t>
  </si>
  <si>
    <t>47872</t>
  </si>
  <si>
    <t>City of Monticello</t>
  </si>
  <si>
    <t>123 W Washington ST</t>
  </si>
  <si>
    <t>31064</t>
  </si>
  <si>
    <t>PAOLI WATER &amp; LIGHT DEPT</t>
  </si>
  <si>
    <t>1433 W. Main</t>
  </si>
  <si>
    <t>Paoli</t>
  </si>
  <si>
    <t>47454</t>
  </si>
  <si>
    <t>Winamac Municipal Light &amp; Power</t>
  </si>
  <si>
    <t>120 W. Main St.</t>
  </si>
  <si>
    <t>Winamac</t>
  </si>
  <si>
    <t>46996</t>
  </si>
  <si>
    <t>GREENDALE UTILITIES</t>
  </si>
  <si>
    <t>500 Ridge Ave</t>
  </si>
  <si>
    <t>Greendale</t>
  </si>
  <si>
    <t>Bremen Electric Light &amp; Power</t>
  </si>
  <si>
    <t>111 S. Center St</t>
  </si>
  <si>
    <t>Bremen</t>
  </si>
  <si>
    <t>46506</t>
  </si>
  <si>
    <t>Twin Valley Electric Coop (KS)</t>
  </si>
  <si>
    <t>1511 14000 Rd</t>
  </si>
  <si>
    <t>67330</t>
  </si>
  <si>
    <t>US Ecology</t>
  </si>
  <si>
    <t>17440 College Parkway  Suite 300</t>
  </si>
  <si>
    <t>Livonia</t>
  </si>
  <si>
    <t>48152</t>
  </si>
  <si>
    <t>Edinburgh Municipal Utilities</t>
  </si>
  <si>
    <t>107 S. Holland St</t>
  </si>
  <si>
    <t>Edinburgh</t>
  </si>
  <si>
    <t>46124</t>
  </si>
  <si>
    <t>Nemaha-Marshall Electric Coop</t>
  </si>
  <si>
    <t>402 Prairie St</t>
  </si>
  <si>
    <t>Axtell</t>
  </si>
  <si>
    <t>66403</t>
  </si>
  <si>
    <t>GAS CITY MUNICIPAL UTILITIES</t>
  </si>
  <si>
    <t>200 E North A Street</t>
  </si>
  <si>
    <t>Gas City</t>
  </si>
  <si>
    <t>46933</t>
  </si>
  <si>
    <t>BARGERSVILLE POWER &amp; LIGHT</t>
  </si>
  <si>
    <t>24 North Main Street</t>
  </si>
  <si>
    <t>Bargersville</t>
  </si>
  <si>
    <t>46106</t>
  </si>
  <si>
    <t>Ark Valley Electric Coop</t>
  </si>
  <si>
    <t>10 E Ave</t>
  </si>
  <si>
    <t>Hutchinson</t>
  </si>
  <si>
    <t>67505</t>
  </si>
  <si>
    <t>Garrett Municipal Utilities</t>
  </si>
  <si>
    <t>130 S. Randolph Street</t>
  </si>
  <si>
    <t>Garrett</t>
  </si>
  <si>
    <t>46738</t>
  </si>
  <si>
    <t>Radiant Electric</t>
  </si>
  <si>
    <t>9346 Jewell Road</t>
  </si>
  <si>
    <t>Lane-Scott</t>
  </si>
  <si>
    <t>410 S High Dighton, KS 67839</t>
  </si>
  <si>
    <t>Dighton</t>
  </si>
  <si>
    <t>67839</t>
  </si>
  <si>
    <t>Sedgwick County Electric Coop</t>
  </si>
  <si>
    <t>1335 S 383rd St W</t>
  </si>
  <si>
    <t>67025</t>
  </si>
  <si>
    <t>Huntingburg Municipal Electric Utility</t>
  </si>
  <si>
    <t>508 E. 4th Street</t>
  </si>
  <si>
    <t>Huntingburg</t>
  </si>
  <si>
    <t>47542</t>
  </si>
  <si>
    <t>Scottsburg Electric Light Dept</t>
  </si>
  <si>
    <t>2 E. McClain Ave</t>
  </si>
  <si>
    <t>Scottsburg</t>
  </si>
  <si>
    <t>47170</t>
  </si>
  <si>
    <t>TELL CITY UTILITIES</t>
  </si>
  <si>
    <t>601 Main St.</t>
  </si>
  <si>
    <t>Tell City</t>
  </si>
  <si>
    <t>47586</t>
  </si>
  <si>
    <t>Victory Electric</t>
  </si>
  <si>
    <t>3230 N 14th Ave</t>
  </si>
  <si>
    <t>Dodge City</t>
  </si>
  <si>
    <t>67801</t>
  </si>
  <si>
    <t>Tipton Municipal Electric Utility</t>
  </si>
  <si>
    <t>210 S. Main St.</t>
  </si>
  <si>
    <t>46072</t>
  </si>
  <si>
    <t>Columbia City Electric Utility</t>
  </si>
  <si>
    <t>112 South Chauncey St.</t>
  </si>
  <si>
    <t>Bluffton Utilities Electric Dept</t>
  </si>
  <si>
    <t>128 East Market St</t>
  </si>
  <si>
    <t>Bluffton</t>
  </si>
  <si>
    <t>46714</t>
  </si>
  <si>
    <t>Fulton County Rural Electric Membership Corp</t>
  </si>
  <si>
    <t>1448 W. S. R. 14</t>
  </si>
  <si>
    <t>46975</t>
  </si>
  <si>
    <t>S. D. Miller and Associates</t>
  </si>
  <si>
    <t>216 W Cherry Ave</t>
  </si>
  <si>
    <t>Flagstaff</t>
  </si>
  <si>
    <t>86001</t>
  </si>
  <si>
    <t>City of Itta Bena</t>
  </si>
  <si>
    <t>201 Fitzhigh</t>
  </si>
  <si>
    <t>Itta Bena</t>
  </si>
  <si>
    <t>38941</t>
  </si>
  <si>
    <t>Miami-Cass County Rural Electric Membership Corp</t>
  </si>
  <si>
    <t>3086 W. 100 North</t>
  </si>
  <si>
    <t>46970</t>
  </si>
  <si>
    <t>Jasper Municipal Electric Utility</t>
  </si>
  <si>
    <t>610 Main St</t>
  </si>
  <si>
    <t>47547</t>
  </si>
  <si>
    <t>Newton County Rural Electric Membership Corp</t>
  </si>
  <si>
    <t>4151 East US 24</t>
  </si>
  <si>
    <t>47948</t>
  </si>
  <si>
    <t>Columbia Water and Light (MO)</t>
  </si>
  <si>
    <t>city of Lafayette, GA</t>
  </si>
  <si>
    <t>Marshall Cnty Rural Electric Membership Corp</t>
  </si>
  <si>
    <t>11299 12th Rd</t>
  </si>
  <si>
    <t>Plymouth</t>
  </si>
  <si>
    <t>46563</t>
  </si>
  <si>
    <t>LaGrange Cnty Rural Electric Membership Corp</t>
  </si>
  <si>
    <t>1995 East Hwy 20</t>
  </si>
  <si>
    <t>46761</t>
  </si>
  <si>
    <t>Brandenburg</t>
  </si>
  <si>
    <t>WASHINGTON CITY UTILITIES</t>
  </si>
  <si>
    <t>101 NE Third St.</t>
  </si>
  <si>
    <t>47501</t>
  </si>
  <si>
    <t>Decatur County Rural Electric Membership Corp</t>
  </si>
  <si>
    <t>1430 W. Main Street</t>
  </si>
  <si>
    <t>27240</t>
  </si>
  <si>
    <t>Orange County Rural Electric</t>
  </si>
  <si>
    <t>7133 N. State Road 337</t>
  </si>
  <si>
    <t>Orleans</t>
  </si>
  <si>
    <t>47452</t>
  </si>
  <si>
    <t>Russelliville Electric Board</t>
  </si>
  <si>
    <t>1012 South Jackson Ave</t>
  </si>
  <si>
    <t>Russelliville</t>
  </si>
  <si>
    <t>Athens Utilities (AL)</t>
  </si>
  <si>
    <t>1806 Wilkinson St.</t>
  </si>
  <si>
    <t>35611</t>
  </si>
  <si>
    <t>Flo power LLC</t>
  </si>
  <si>
    <t>158 Roscoe Rd</t>
  </si>
  <si>
    <t>Ponte Vedra Beach</t>
  </si>
  <si>
    <t>32081</t>
  </si>
  <si>
    <t>Greenville Utilities - NC</t>
  </si>
  <si>
    <t>801 Mumford Rd.</t>
  </si>
  <si>
    <t>27835</t>
  </si>
  <si>
    <t>IEM Industrial Electric Machinery Worldwide</t>
  </si>
  <si>
    <t>21818 S Wilmington Ave # 409</t>
  </si>
  <si>
    <t>Carson</t>
  </si>
  <si>
    <t>90810</t>
  </si>
  <si>
    <t>Jasper County REMC</t>
  </si>
  <si>
    <t>280 East Wood Rd</t>
  </si>
  <si>
    <t>Lebanon Utilities</t>
  </si>
  <si>
    <t>401 S. Meridian St.</t>
  </si>
  <si>
    <t>46052</t>
  </si>
  <si>
    <t>Clinton County Electric Coop Inc  [CCECI]</t>
  </si>
  <si>
    <t>475 N Main St.</t>
  </si>
  <si>
    <t>Breese</t>
  </si>
  <si>
    <t>62230</t>
  </si>
  <si>
    <t>Greenfield Power &amp; Light</t>
  </si>
  <si>
    <t>333 S. Franklin St.</t>
  </si>
  <si>
    <t>Greenfield</t>
  </si>
  <si>
    <t>46140</t>
  </si>
  <si>
    <t>Aldridge Electric</t>
  </si>
  <si>
    <t>844 e. Rockland Road</t>
  </si>
  <si>
    <t>Libertyville</t>
  </si>
  <si>
    <t>60048</t>
  </si>
  <si>
    <t>City of Shelby (IA)</t>
  </si>
  <si>
    <t>417 East St</t>
  </si>
  <si>
    <t>51570</t>
  </si>
  <si>
    <t>Village of Lyman</t>
  </si>
  <si>
    <t>414 Jeffers Ave</t>
  </si>
  <si>
    <t>Lyman</t>
  </si>
  <si>
    <t>69352</t>
  </si>
  <si>
    <t>City of Afton (IA)</t>
  </si>
  <si>
    <t>115 East Kansas</t>
  </si>
  <si>
    <t>Afton</t>
  </si>
  <si>
    <t>50830</t>
  </si>
  <si>
    <t>Villisca Municipal Power Plant</t>
  </si>
  <si>
    <t>101 S U Ave</t>
  </si>
  <si>
    <t>Villisca</t>
  </si>
  <si>
    <t>50864</t>
  </si>
  <si>
    <t>Southern Indiana Rural Electric Coop Inc [SIREC]</t>
  </si>
  <si>
    <t>1776 10th Street</t>
  </si>
  <si>
    <t>Mapleton Municipal Utilities</t>
  </si>
  <si>
    <t>513 Main Street</t>
  </si>
  <si>
    <t>Mapleton</t>
  </si>
  <si>
    <t>51034</t>
  </si>
  <si>
    <t>Frankfort (IN) City Light &amp; Power</t>
  </si>
  <si>
    <t>1000 Washington Ave</t>
  </si>
  <si>
    <t>Frankfort</t>
  </si>
  <si>
    <t>46041</t>
  </si>
  <si>
    <t>Nishnabotna Valley REC</t>
  </si>
  <si>
    <t>P.O. Box 714</t>
  </si>
  <si>
    <t>Harlan</t>
  </si>
  <si>
    <t>51537</t>
  </si>
  <si>
    <t>City of Kimballton</t>
  </si>
  <si>
    <t>116 N Main St</t>
  </si>
  <si>
    <t>Kimballton</t>
  </si>
  <si>
    <t>51543</t>
  </si>
  <si>
    <t>Crawfordsville Electric Light &amp; Power [CELP]</t>
  </si>
  <si>
    <t>808 Lafayette Rd</t>
  </si>
  <si>
    <t>Crawfordsville</t>
  </si>
  <si>
    <t>47933</t>
  </si>
  <si>
    <t>Henry County REMC</t>
  </si>
  <si>
    <t>3400 S. State Rd. 3</t>
  </si>
  <si>
    <t>New Castle</t>
  </si>
  <si>
    <t>47362</t>
  </si>
  <si>
    <t>City of Neola (IA)</t>
  </si>
  <si>
    <t>401 Front St</t>
  </si>
  <si>
    <t>Neola</t>
  </si>
  <si>
    <t>51559</t>
  </si>
  <si>
    <t>Atlantic Municipal Utilities (IA)</t>
  </si>
  <si>
    <t>15 W 3rd St</t>
  </si>
  <si>
    <t>Atlantic</t>
  </si>
  <si>
    <t>50022</t>
  </si>
  <si>
    <t>Bartholomew County REMC</t>
  </si>
  <si>
    <t>1697 W. Deaver Rd</t>
  </si>
  <si>
    <t>47201</t>
  </si>
  <si>
    <t>Peru Utilities (IND)</t>
  </si>
  <si>
    <t>335 East Canal St.</t>
  </si>
  <si>
    <t>City of Fontanelle</t>
  </si>
  <si>
    <t>313 Washington St</t>
  </si>
  <si>
    <t>Fontanelle</t>
  </si>
  <si>
    <t>50846</t>
  </si>
  <si>
    <t>Greenfield Municipal Utilities</t>
  </si>
  <si>
    <t>202 S 1st St 50849</t>
  </si>
  <si>
    <t>50849</t>
  </si>
  <si>
    <t>City of Orient (IA)</t>
  </si>
  <si>
    <t>114 S Broad St</t>
  </si>
  <si>
    <t>Orient</t>
  </si>
  <si>
    <t>50858</t>
  </si>
  <si>
    <t>Parke County REMC (IN)</t>
  </si>
  <si>
    <t>119 W. High Street</t>
  </si>
  <si>
    <t>Dubois Rural Electric Coop.</t>
  </si>
  <si>
    <t>1400 Energy Drive</t>
  </si>
  <si>
    <t>47546</t>
  </si>
  <si>
    <t>RUSHSHELBY ENERGY INC</t>
  </si>
  <si>
    <t>2777 S. 840 W.</t>
  </si>
  <si>
    <t>Manilla</t>
  </si>
  <si>
    <t>46150</t>
  </si>
  <si>
    <t>Clarke Electric Coop Inc</t>
  </si>
  <si>
    <t>1103 N Main St</t>
  </si>
  <si>
    <t>50213</t>
  </si>
  <si>
    <t>Win Energy</t>
  </si>
  <si>
    <t>3981 S US Highway 41</t>
  </si>
  <si>
    <t>Vincennes</t>
  </si>
  <si>
    <t>47591</t>
  </si>
  <si>
    <t>Keys Energy Services</t>
  </si>
  <si>
    <t>5730 2nd Ave, Key West, FL 33040</t>
  </si>
  <si>
    <t>Key West</t>
  </si>
  <si>
    <t>33040</t>
  </si>
  <si>
    <t>Builders Electric</t>
  </si>
  <si>
    <t>1420 S Main Street</t>
  </si>
  <si>
    <t>Mansfield</t>
  </si>
  <si>
    <t>76063</t>
  </si>
  <si>
    <t>Idaho Falls Power Coop</t>
  </si>
  <si>
    <t>140 S Capital Ave</t>
  </si>
  <si>
    <t>83401</t>
  </si>
  <si>
    <t>Electric Cities of Alabama</t>
  </si>
  <si>
    <t>770 Washington Ave Suite 164</t>
  </si>
  <si>
    <t>EJ Electric</t>
  </si>
  <si>
    <t>53 N Plains Industrial Rd</t>
  </si>
  <si>
    <t>Wallingford</t>
  </si>
  <si>
    <t>City of Griffin</t>
  </si>
  <si>
    <t>Little Ocmulgee EMC</t>
  </si>
  <si>
    <t>26 W. Railroad Street</t>
  </si>
  <si>
    <t>Alamo</t>
  </si>
  <si>
    <t>30411</t>
  </si>
  <si>
    <t>Heartland REMC</t>
  </si>
  <si>
    <t>PO box 605</t>
  </si>
  <si>
    <t>Markle</t>
  </si>
  <si>
    <t>46770</t>
  </si>
  <si>
    <t>Levine Lectronics &amp; Lectric (L3)</t>
  </si>
  <si>
    <t>200 Powers Ferry Rd</t>
  </si>
  <si>
    <t>30067</t>
  </si>
  <si>
    <t>Us Sugar Cooperative</t>
  </si>
  <si>
    <t>1500 West Sugarhouse Rd.</t>
  </si>
  <si>
    <t>Belle Glade</t>
  </si>
  <si>
    <t>33430</t>
  </si>
  <si>
    <t>AEP-Corpus Christi TX</t>
  </si>
  <si>
    <t>3645 Callicoatte Rd</t>
  </si>
  <si>
    <t>Corpus Christi</t>
  </si>
  <si>
    <t>78410</t>
  </si>
  <si>
    <t>City of Sylvania</t>
  </si>
  <si>
    <t>104 South Main</t>
  </si>
  <si>
    <t>Sylvania</t>
  </si>
  <si>
    <t>30467</t>
  </si>
  <si>
    <t>Daviess-Martin Cnty Rural Electric Membership Corp</t>
  </si>
  <si>
    <t>Utilities District of Western Indiana REMC</t>
  </si>
  <si>
    <t>1666 W State Road 54</t>
  </si>
  <si>
    <t>472424</t>
  </si>
  <si>
    <t>Farmers EC/Newport, AR</t>
  </si>
  <si>
    <t>300 Highway 367 North</t>
  </si>
  <si>
    <t>72112</t>
  </si>
  <si>
    <t>Galion Public Works Department</t>
  </si>
  <si>
    <t>700 Primrose Street</t>
  </si>
  <si>
    <t>Galion</t>
  </si>
  <si>
    <t>44833</t>
  </si>
  <si>
    <t>US Sugar Corporation</t>
  </si>
  <si>
    <t>1731 S W C Owen Ave</t>
  </si>
  <si>
    <t>Clewiston</t>
  </si>
  <si>
    <t>Fl</t>
  </si>
  <si>
    <t>33440</t>
  </si>
  <si>
    <t>Hestco Inc. (AR)/ Pine Bluff Arsenal</t>
  </si>
  <si>
    <t>Benton</t>
  </si>
  <si>
    <t>South Central AR EC</t>
  </si>
  <si>
    <t>4818 Hwy 8 West</t>
  </si>
  <si>
    <t>Arkadelphia</t>
  </si>
  <si>
    <t>71923</t>
  </si>
  <si>
    <t>Ocmulgee EMC</t>
  </si>
  <si>
    <t>Eastman</t>
  </si>
  <si>
    <t>31023</t>
  </si>
  <si>
    <t>Sanders Lead Co, Inc</t>
  </si>
  <si>
    <t>100 Sanders Rd, Troy, AL 36081</t>
  </si>
  <si>
    <t>Henderson City Utility Commission</t>
  </si>
  <si>
    <t>100 5th Street</t>
  </si>
  <si>
    <t>Warren Rural Electric Coop Corp (KY)</t>
  </si>
  <si>
    <t>951 Fairview Ave</t>
  </si>
  <si>
    <t>42101</t>
  </si>
  <si>
    <t>Rexel (Gexpro)  - OKC, OK</t>
  </si>
  <si>
    <t>11301 Partnership Drive</t>
  </si>
  <si>
    <t>73131</t>
  </si>
  <si>
    <t>MADISONVILLE UTILITY DEPT</t>
  </si>
  <si>
    <t>67 N. Main St</t>
  </si>
  <si>
    <t>Madisonville</t>
  </si>
  <si>
    <t>42431</t>
  </si>
  <si>
    <t>HOPKINSVILLE ELECTRIC SYSTEM</t>
  </si>
  <si>
    <t>1820 East 9th Street</t>
  </si>
  <si>
    <t>Hopkinsville</t>
  </si>
  <si>
    <t>42241</t>
  </si>
  <si>
    <t>JL Malone Associates</t>
  </si>
  <si>
    <t>1806 Oakridge Dr</t>
  </si>
  <si>
    <t>31707</t>
  </si>
  <si>
    <t>Vanceburg Electric Light Heat &amp; Power System</t>
  </si>
  <si>
    <t>191 Front St</t>
  </si>
  <si>
    <t>Vanceburg</t>
  </si>
  <si>
    <t>41179</t>
  </si>
  <si>
    <t>Ogden Municipal Utilities</t>
  </si>
  <si>
    <t>201 NW 3rd St</t>
  </si>
  <si>
    <t>Ogden</t>
  </si>
  <si>
    <t>50212</t>
  </si>
  <si>
    <t>City of Houston (MO)</t>
  </si>
  <si>
    <t>601 S. Grand Ave</t>
  </si>
  <si>
    <t>65483</t>
  </si>
  <si>
    <t>South Kentucky Rural Electric Coop Corp [SKRECC]</t>
  </si>
  <si>
    <t>200 Electric Ave</t>
  </si>
  <si>
    <t>Somerset</t>
  </si>
  <si>
    <t>42501</t>
  </si>
  <si>
    <t>Town of Brinson, GA</t>
  </si>
  <si>
    <t>179 Clifton Street</t>
  </si>
  <si>
    <t>Brinson</t>
  </si>
  <si>
    <t>39825</t>
  </si>
  <si>
    <t>Vanalt Electrical Construction</t>
  </si>
  <si>
    <t>425 Commerce drive</t>
  </si>
  <si>
    <t>Yeadon</t>
  </si>
  <si>
    <t>19050</t>
  </si>
  <si>
    <t>Clean Harbors - AZ</t>
  </si>
  <si>
    <t>4004 W. Earhardt Way</t>
  </si>
  <si>
    <t>Mobile Area Water and Sewer System (MAWSS)</t>
  </si>
  <si>
    <t>4725 Moffett Rd</t>
  </si>
  <si>
    <t>Yazoo Valley EPA</t>
  </si>
  <si>
    <t>2255 Gordon Ave</t>
  </si>
  <si>
    <t>Yazoo City</t>
  </si>
  <si>
    <t>39194</t>
  </si>
  <si>
    <t>City of Rich Hill (MO)</t>
  </si>
  <si>
    <t>320 N 14th St</t>
  </si>
  <si>
    <t>Rich Hill</t>
  </si>
  <si>
    <t>64779</t>
  </si>
  <si>
    <t>SHELBY ENERGY COOP</t>
  </si>
  <si>
    <t>620 Old Finchville Rd</t>
  </si>
  <si>
    <t>40065</t>
  </si>
  <si>
    <t>Slash Pine EMC</t>
  </si>
  <si>
    <t>Homerville</t>
  </si>
  <si>
    <t>OWEN ELECTRIC COOP INC</t>
  </si>
  <si>
    <t>8205 Hwy 127 North</t>
  </si>
  <si>
    <t>Owenton</t>
  </si>
  <si>
    <t>40359</t>
  </si>
  <si>
    <t>Princeton Electric Plant Board</t>
  </si>
  <si>
    <t>304 East Legion Dr.</t>
  </si>
  <si>
    <t>42445</t>
  </si>
  <si>
    <t>Three Notch EMC</t>
  </si>
  <si>
    <t>Donalsonville</t>
  </si>
  <si>
    <t>Murray Electric System</t>
  </si>
  <si>
    <t>204 N 4th Street</t>
  </si>
  <si>
    <t>Murray</t>
  </si>
  <si>
    <t>42071</t>
  </si>
  <si>
    <t>Bear Valley Electric Company</t>
  </si>
  <si>
    <t>42020 Garstin Drive</t>
  </si>
  <si>
    <t>Big Bear Lake</t>
  </si>
  <si>
    <t>92315</t>
  </si>
  <si>
    <t>Sequel Electrical Supply Dothan</t>
  </si>
  <si>
    <t>983 Tate Dr,</t>
  </si>
  <si>
    <t>BENTON ELECTRIC SYSTEM (KY)</t>
  </si>
  <si>
    <t>436 Mayfield Hwy</t>
  </si>
  <si>
    <t>42025</t>
  </si>
  <si>
    <t>Mathes Electric- Jay Reaves</t>
  </si>
  <si>
    <t>6 41st Ln</t>
  </si>
  <si>
    <t>Paducah Power System</t>
  </si>
  <si>
    <t>1500 Broadway St.</t>
  </si>
  <si>
    <t>Paducah</t>
  </si>
  <si>
    <t>42001</t>
  </si>
  <si>
    <t>Fletcher-Reinhardt Service (TGC)</t>
  </si>
  <si>
    <t>12900 Boenker Lane</t>
  </si>
  <si>
    <t>Bridgeton</t>
  </si>
  <si>
    <t>63044</t>
  </si>
  <si>
    <t>Lube-Tech</t>
  </si>
  <si>
    <t>1817 Hull Ave</t>
  </si>
  <si>
    <t>50313</t>
  </si>
  <si>
    <t>U.S. Global Petroleum</t>
  </si>
  <si>
    <t>9101 Fullerton Ave</t>
  </si>
  <si>
    <t>Franklin Park</t>
  </si>
  <si>
    <t>60131</t>
  </si>
  <si>
    <t>Meade County Rural Electric Coop</t>
  </si>
  <si>
    <t>1351 Hwy 79</t>
  </si>
  <si>
    <t>40108</t>
  </si>
  <si>
    <t>Pickwick Elec  Co-Op</t>
  </si>
  <si>
    <t>440 - 660 Highway 142</t>
  </si>
  <si>
    <t>Selmer</t>
  </si>
  <si>
    <t>38375</t>
  </si>
  <si>
    <t>Fulton Electric System</t>
  </si>
  <si>
    <t>501 Walnut St.</t>
  </si>
  <si>
    <t>42041</t>
  </si>
  <si>
    <t>City of Jasper</t>
  </si>
  <si>
    <t>505 E 8th St</t>
  </si>
  <si>
    <t>JASPER</t>
  </si>
  <si>
    <t>47547-0750</t>
  </si>
  <si>
    <t>ESS International Corporation</t>
  </si>
  <si>
    <t>85299</t>
  </si>
  <si>
    <t>Eastman Chemical</t>
  </si>
  <si>
    <t>4575 US 90</t>
  </si>
  <si>
    <t>Pace</t>
  </si>
  <si>
    <t>32571</t>
  </si>
  <si>
    <t>EAB Fabrication</t>
  </si>
  <si>
    <t>64 Cole Street</t>
  </si>
  <si>
    <t>49082</t>
  </si>
  <si>
    <t>Daly City Department of Water and Wastewater</t>
  </si>
  <si>
    <t>153 Lake Merced Blvd.</t>
  </si>
  <si>
    <t>Daly City</t>
  </si>
  <si>
    <t>94015</t>
  </si>
  <si>
    <t>Pacific Coast Petroleum</t>
  </si>
  <si>
    <t>19743 Cabot Blvd</t>
  </si>
  <si>
    <t>Hayward</t>
  </si>
  <si>
    <t>94545</t>
  </si>
  <si>
    <t>Moreno Valley Electric Utility</t>
  </si>
  <si>
    <t>14331 Frederick Street</t>
  </si>
  <si>
    <t>Moreno Valley</t>
  </si>
  <si>
    <t>92553</t>
  </si>
  <si>
    <t>Licking Valley RECC</t>
  </si>
  <si>
    <t>271 Main St.</t>
  </si>
  <si>
    <t>41472</t>
  </si>
  <si>
    <t>CLECO Power - Pineville</t>
  </si>
  <si>
    <t>2030 Donahue Ferry Road</t>
  </si>
  <si>
    <t>Southeast Pallet &amp; Box</t>
  </si>
  <si>
    <t>4596 Washington Ferry Road</t>
  </si>
  <si>
    <t>36102</t>
  </si>
  <si>
    <t>Doble Engineering Company</t>
  </si>
  <si>
    <t>85 Walnut Street</t>
  </si>
  <si>
    <t>Watertown</t>
  </si>
  <si>
    <t>2472</t>
  </si>
  <si>
    <t>INTER-COUNTY ENERGY COOP</t>
  </si>
  <si>
    <t>1009 Hustonville Rd.</t>
  </si>
  <si>
    <t>40423</t>
  </si>
  <si>
    <t>City of Ashland (or)</t>
  </si>
  <si>
    <t>90 N Mountain Ave</t>
  </si>
  <si>
    <t>Ashland</t>
  </si>
  <si>
    <t>97520</t>
  </si>
  <si>
    <t>Midstate Electric Coop</t>
  </si>
  <si>
    <t>16755 Finley Butte Rd</t>
  </si>
  <si>
    <t>La Pine</t>
  </si>
  <si>
    <t>97739</t>
  </si>
  <si>
    <t>Eugene Water &amp; Electric Board</t>
  </si>
  <si>
    <t>Portland General Electric Co</t>
  </si>
  <si>
    <t>121 SW Salmon</t>
  </si>
  <si>
    <t>Bonneville Power Administration</t>
  </si>
  <si>
    <t>Orlando Municipal OK</t>
  </si>
  <si>
    <t>Duquesne Light Co</t>
  </si>
  <si>
    <t>2515 Preble Avenue</t>
  </si>
  <si>
    <t>15233</t>
  </si>
  <si>
    <t>US Environmetal</t>
  </si>
  <si>
    <t>409 Boot Road</t>
  </si>
  <si>
    <t>Downingtown</t>
  </si>
  <si>
    <t>19335</t>
  </si>
  <si>
    <t>SEPTA</t>
  </si>
  <si>
    <t>1234 Broad st 11th floor</t>
  </si>
  <si>
    <t>19107</t>
  </si>
  <si>
    <t>Claverack Rural Electric Coop Inc</t>
  </si>
  <si>
    <t>32750 Route 6</t>
  </si>
  <si>
    <t>Wysox</t>
  </si>
  <si>
    <t>18854</t>
  </si>
  <si>
    <t>Grove City Borough Utilities</t>
  </si>
  <si>
    <t>123 West Main Street</t>
  </si>
  <si>
    <t>Grove City</t>
  </si>
  <si>
    <t>16127</t>
  </si>
  <si>
    <t>Citizens' Electric Co</t>
  </si>
  <si>
    <t>1775 Industrial Blvd.</t>
  </si>
  <si>
    <t>17537</t>
  </si>
  <si>
    <t>Adams Electric Coop</t>
  </si>
  <si>
    <t>1338 Biglerville Rd</t>
  </si>
  <si>
    <t>Gettysburg</t>
  </si>
  <si>
    <t>17325-1055</t>
  </si>
  <si>
    <t>Smooth Operators Truck Lines</t>
  </si>
  <si>
    <t>W8861 Creek Road, P.O.Box 717</t>
  </si>
  <si>
    <t>Darien</t>
  </si>
  <si>
    <t>53114</t>
  </si>
  <si>
    <t>PPL Electric Utilities Corp</t>
  </si>
  <si>
    <t>Valley Rural Electric Coop Inc</t>
  </si>
  <si>
    <t>10700 Fairgrounds Road</t>
  </si>
  <si>
    <t>Huntingdon</t>
  </si>
  <si>
    <t>16657</t>
  </si>
  <si>
    <t>Niagara Transformer Corp</t>
  </si>
  <si>
    <t>1747 Dale Road</t>
  </si>
  <si>
    <t>14225</t>
  </si>
  <si>
    <t>PECO Energy Co [PECO]</t>
  </si>
  <si>
    <t>SRP Kyrene Generating Station</t>
  </si>
  <si>
    <t>7005 S Kyrene Rd</t>
  </si>
  <si>
    <t>Environmental Operations, Inc</t>
  </si>
  <si>
    <t>1530 South Second St.</t>
  </si>
  <si>
    <t>TWB Company LLC</t>
  </si>
  <si>
    <t>1600 Nadeau Road</t>
  </si>
  <si>
    <t>48162</t>
  </si>
  <si>
    <t>Solaris Power Services LLC</t>
  </si>
  <si>
    <t>1355 Combermere Drive</t>
  </si>
  <si>
    <t>48083</t>
  </si>
  <si>
    <t>Syncom Space Services-Michoud Assembly Facility</t>
  </si>
  <si>
    <t>13800 Old Gentilly Road</t>
  </si>
  <si>
    <t>Greenidge Generation LLC</t>
  </si>
  <si>
    <t>590 Plant Rd</t>
  </si>
  <si>
    <t>Dresden</t>
  </si>
  <si>
    <t>14441</t>
  </si>
  <si>
    <t>Power Transformer Services</t>
  </si>
  <si>
    <t>290 peacock circle</t>
  </si>
  <si>
    <t>Hartford,</t>
  </si>
  <si>
    <t>36344</t>
  </si>
  <si>
    <t>WESCO Birmingham</t>
  </si>
  <si>
    <t>125 32nd St South</t>
  </si>
  <si>
    <t>35233</t>
  </si>
  <si>
    <t>Painesville Electric Distribution</t>
  </si>
  <si>
    <t>459 Storrs Street</t>
  </si>
  <si>
    <t>Painesville</t>
  </si>
  <si>
    <t>44077</t>
  </si>
  <si>
    <t>Liberty Correctional Institute</t>
  </si>
  <si>
    <t>11064 NW Dempsey Barron Rd</t>
  </si>
  <si>
    <t>32321</t>
  </si>
  <si>
    <t>Piggly Wiggly Distribution Center</t>
  </si>
  <si>
    <t>2400 J Terrell Wooten Dr</t>
  </si>
  <si>
    <t>Oberlin Municipal Light &amp; Power System</t>
  </si>
  <si>
    <t>289 S. Professor Street</t>
  </si>
  <si>
    <t>Oberlin</t>
  </si>
  <si>
    <t>44074</t>
  </si>
  <si>
    <t>Adams Rural Electric Coop Inc</t>
  </si>
  <si>
    <t>West Cullman Electrical Supply, Inc.</t>
  </si>
  <si>
    <t>1413 4th St SW</t>
  </si>
  <si>
    <t>Cullman</t>
  </si>
  <si>
    <t>35055</t>
  </si>
  <si>
    <t>Mueller Co</t>
  </si>
  <si>
    <t>956 Industrial Blvd</t>
  </si>
  <si>
    <t>Modern Electric water company</t>
  </si>
  <si>
    <t>904 N. Pines Rd</t>
  </si>
  <si>
    <t>99214</t>
  </si>
  <si>
    <t>AES / Dayton Power and Light</t>
  </si>
  <si>
    <t>1900 Dryden Road</t>
  </si>
  <si>
    <t>McCone Electric Co-Op</t>
  </si>
  <si>
    <t>110 Main St</t>
  </si>
  <si>
    <t>Circle</t>
  </si>
  <si>
    <t>59215</t>
  </si>
  <si>
    <t>City of Burley</t>
  </si>
  <si>
    <t>2020 Parke Avenue</t>
  </si>
  <si>
    <t>Burley</t>
  </si>
  <si>
    <t>83318</t>
  </si>
  <si>
    <t>Parkland Light &amp; Water Company</t>
  </si>
  <si>
    <t>12918 Park Ave. so</t>
  </si>
  <si>
    <t>Tacoma</t>
  </si>
  <si>
    <t>98448</t>
  </si>
  <si>
    <t>Clatskanie PUD</t>
  </si>
  <si>
    <t>495 E. Columbia River Hwy</t>
  </si>
  <si>
    <t>Clatskanie</t>
  </si>
  <si>
    <t>Or</t>
  </si>
  <si>
    <t>97016</t>
  </si>
  <si>
    <t>Raft River Electric</t>
  </si>
  <si>
    <t>155 N Main St</t>
  </si>
  <si>
    <t>Malta</t>
  </si>
  <si>
    <t>83342</t>
  </si>
  <si>
    <t>Wasco Electrical COOP</t>
  </si>
  <si>
    <t>105 east 4th street</t>
  </si>
  <si>
    <t>The Dallas</t>
  </si>
  <si>
    <t>97058</t>
  </si>
  <si>
    <t>LINCOLN Electric Coop</t>
  </si>
  <si>
    <t>312 Osloski Rd</t>
  </si>
  <si>
    <t>Eureka</t>
  </si>
  <si>
    <t>59917</t>
  </si>
  <si>
    <t>City of MILTON-FREEWATER</t>
  </si>
  <si>
    <t>722 S. Main</t>
  </si>
  <si>
    <t>Milton-Freewater</t>
  </si>
  <si>
    <t>97862</t>
  </si>
  <si>
    <t>Tongue River Electric Coop</t>
  </si>
  <si>
    <t>2435 US-212</t>
  </si>
  <si>
    <t>59003</t>
  </si>
  <si>
    <t>Park Electric Co-Op</t>
  </si>
  <si>
    <t>5706 US-89 S</t>
  </si>
  <si>
    <t>59047</t>
  </si>
  <si>
    <t>FRONTIER POWER CO</t>
  </si>
  <si>
    <t>770 South 2nd Street</t>
  </si>
  <si>
    <t>Rjk Contracting</t>
  </si>
  <si>
    <t>12302 County Road 7 Nw</t>
  </si>
  <si>
    <t>Maple Lake</t>
  </si>
  <si>
    <t>55358</t>
  </si>
  <si>
    <t>Hermiston Energy</t>
  </si>
  <si>
    <t>180 Northeast 2nd street</t>
  </si>
  <si>
    <t>Hermiston</t>
  </si>
  <si>
    <t>97838</t>
  </si>
  <si>
    <t>Rachel Contracting Inc</t>
  </si>
  <si>
    <t>4125 Napier Ct Ne</t>
  </si>
  <si>
    <t>Saint Michael</t>
  </si>
  <si>
    <t>55376</t>
  </si>
  <si>
    <t>Precision Demolition LLC</t>
  </si>
  <si>
    <t>2721 E Franklin Ave</t>
  </si>
  <si>
    <t>55406</t>
  </si>
  <si>
    <t>Midwest Select Contracting LLC</t>
  </si>
  <si>
    <t>2112 93Rd Trail</t>
  </si>
  <si>
    <t>Brooklyn Park</t>
  </si>
  <si>
    <t>55444</t>
  </si>
  <si>
    <t>M A Freedom International</t>
  </si>
  <si>
    <t>316 W Broadway</t>
  </si>
  <si>
    <t>Browns Valley</t>
  </si>
  <si>
    <t>56219</t>
  </si>
  <si>
    <t>Life Safety Systems LSS</t>
  </si>
  <si>
    <t>10351 Jamestown St Ne</t>
  </si>
  <si>
    <t>Beartooth Electric Co-Op</t>
  </si>
  <si>
    <t>1306 Broadway Ave N</t>
  </si>
  <si>
    <t>Red Lodge</t>
  </si>
  <si>
    <t>59068</t>
  </si>
  <si>
    <t>Skamania County PUD</t>
  </si>
  <si>
    <t>1492 Wind River Hwy</t>
  </si>
  <si>
    <t>98610</t>
  </si>
  <si>
    <t>Lloyds Construction Services Inc</t>
  </si>
  <si>
    <t>7207 W 128Th St</t>
  </si>
  <si>
    <t>Hough Inc Of Detroit Lakes</t>
  </si>
  <si>
    <t>18262 Old Pit Rd</t>
  </si>
  <si>
    <t>Detroit Lakes</t>
  </si>
  <si>
    <t>56501</t>
  </si>
  <si>
    <t>Meyer Electric Co., Inc</t>
  </si>
  <si>
    <t>3513 N Ten Mile Drive</t>
  </si>
  <si>
    <t>Jefferson City</t>
  </si>
  <si>
    <t>65109</t>
  </si>
  <si>
    <t>Bosco Building LLC</t>
  </si>
  <si>
    <t>5128 45Th Ave S</t>
  </si>
  <si>
    <t>55417</t>
  </si>
  <si>
    <t>United Electric Co-Op</t>
  </si>
  <si>
    <t>1330 21st St</t>
  </si>
  <si>
    <t>Heyburn</t>
  </si>
  <si>
    <t>83336</t>
  </si>
  <si>
    <t>Canby Utility</t>
  </si>
  <si>
    <t>1470 NE Territorial road</t>
  </si>
  <si>
    <t>Canby</t>
  </si>
  <si>
    <t>97013</t>
  </si>
  <si>
    <t>Big Bend Electric Coop</t>
  </si>
  <si>
    <t>1373 N Hwy 261</t>
  </si>
  <si>
    <t>Ritzville</t>
  </si>
  <si>
    <t>99169</t>
  </si>
  <si>
    <t>Atlas Industries</t>
  </si>
  <si>
    <t>1750 East State Street</t>
  </si>
  <si>
    <t>Fremount</t>
  </si>
  <si>
    <t>43420</t>
  </si>
  <si>
    <t>Land Excavating &amp; Demolition LLC</t>
  </si>
  <si>
    <t>5905 Wo St</t>
  </si>
  <si>
    <t>68528</t>
  </si>
  <si>
    <t>Renewable Energy Group Inc</t>
  </si>
  <si>
    <t>416 S Bell Ave</t>
  </si>
  <si>
    <t>50010</t>
  </si>
  <si>
    <t>Pend Oreille Public Utility District</t>
  </si>
  <si>
    <t>130 N Washington Ave</t>
  </si>
  <si>
    <t>99156</t>
  </si>
  <si>
    <t>City of Centralia</t>
  </si>
  <si>
    <t>1100 N. Tower ave</t>
  </si>
  <si>
    <t>98531</t>
  </si>
  <si>
    <t>CLEARWATER POWER CO</t>
  </si>
  <si>
    <t>4230 Hatwai Rd</t>
  </si>
  <si>
    <t>Lewiston</t>
  </si>
  <si>
    <t>83501</t>
  </si>
  <si>
    <t>GLACIER Electric COOP</t>
  </si>
  <si>
    <t>410 East Main</t>
  </si>
  <si>
    <t>Cut Bank</t>
  </si>
  <si>
    <t>59427</t>
  </si>
  <si>
    <t>FERGUS Electric COOP</t>
  </si>
  <si>
    <t>84423 US-87</t>
  </si>
  <si>
    <t>Lewistown</t>
  </si>
  <si>
    <t>59457</t>
  </si>
  <si>
    <t>Douglas Electric Co-Op Inc</t>
  </si>
  <si>
    <t>1981 NE Stephens St</t>
  </si>
  <si>
    <t>Roseburg</t>
  </si>
  <si>
    <t>97470</t>
  </si>
  <si>
    <t>Forest Grove Electric Utility</t>
  </si>
  <si>
    <t>1818 B Street</t>
  </si>
  <si>
    <t>Forest Grove</t>
  </si>
  <si>
    <t>97116</t>
  </si>
  <si>
    <t>Northwestern Rural Electric Coop Assn Inc</t>
  </si>
  <si>
    <t>22534 State Hwy 86</t>
  </si>
  <si>
    <t>Cambridge Springs</t>
  </si>
  <si>
    <t>16403</t>
  </si>
  <si>
    <t>Truckee Donner PUD</t>
  </si>
  <si>
    <t>11570 Donner Pass Road</t>
  </si>
  <si>
    <t>Truckee</t>
  </si>
  <si>
    <t>96161</t>
  </si>
  <si>
    <t>Louisville Gas &amp; Electric Co.</t>
  </si>
  <si>
    <t>220 W. Main St</t>
  </si>
  <si>
    <t>Groves Electrical Services</t>
  </si>
  <si>
    <t>3135 Grapevine Road</t>
  </si>
  <si>
    <t>Talen Energy</t>
  </si>
  <si>
    <t>580 Willow Avenue</t>
  </si>
  <si>
    <t>Colstrip</t>
  </si>
  <si>
    <t>59323</t>
  </si>
  <si>
    <t>VEC Inc.</t>
  </si>
  <si>
    <t>977 Tibbetts Wick Road</t>
  </si>
  <si>
    <t>Girard</t>
  </si>
  <si>
    <t>44420</t>
  </si>
  <si>
    <t>MAC Trailer Enterprises, Inc</t>
  </si>
  <si>
    <t>1453 Allen Road</t>
  </si>
  <si>
    <t>44460</t>
  </si>
  <si>
    <t>Studio C</t>
  </si>
  <si>
    <t>2121 Celebration Drive NE</t>
  </si>
  <si>
    <t>49525</t>
  </si>
  <si>
    <t>LG&amp;E and KU Energy LLC</t>
  </si>
  <si>
    <t>14664 Jennings Lane
140218</t>
  </si>
  <si>
    <t>40202</t>
  </si>
  <si>
    <t>Neuber Environmental Services</t>
  </si>
  <si>
    <t>1100 Grasser Road Suite C</t>
  </si>
  <si>
    <t>Gilbertsville</t>
  </si>
  <si>
    <t>19525</t>
  </si>
  <si>
    <t>Corbett Construction</t>
  </si>
  <si>
    <t>621 NE 1201</t>
  </si>
  <si>
    <t>Knob Noster</t>
  </si>
  <si>
    <t>65336</t>
  </si>
  <si>
    <t>Alberici Group</t>
  </si>
  <si>
    <t>8800 Page Ave</t>
  </si>
  <si>
    <t>63114</t>
  </si>
  <si>
    <t>Bedford Rural Electric Coop Inc</t>
  </si>
  <si>
    <t>8846 Lincoln Hwy.</t>
  </si>
  <si>
    <t>Yuma County Water Users Association</t>
  </si>
  <si>
    <t>3800 W county 15th street (via Ave C)</t>
  </si>
  <si>
    <t>Somerton</t>
  </si>
  <si>
    <t>85350</t>
  </si>
  <si>
    <t>Verde Power Sales</t>
  </si>
  <si>
    <t>7777 E Paradise Lane Suite 106</t>
  </si>
  <si>
    <t>85206</t>
  </si>
  <si>
    <t>Safety Kleen</t>
  </si>
  <si>
    <t>77 TowPath Rd</t>
  </si>
  <si>
    <t>Fairless Hills</t>
  </si>
  <si>
    <t>19030</t>
  </si>
  <si>
    <t>Cannon and Wendt</t>
  </si>
  <si>
    <t>4020 N 16th Street</t>
  </si>
  <si>
    <t>Spracklen Solutions, LLC</t>
  </si>
  <si>
    <t>2618 N Ogden RD STE 101</t>
  </si>
  <si>
    <t>Wanzek Construction</t>
  </si>
  <si>
    <t>2028 2nd Ave NW</t>
  </si>
  <si>
    <t>West Fargo</t>
  </si>
  <si>
    <t>58078</t>
  </si>
  <si>
    <t>First Solar</t>
  </si>
  <si>
    <t>350 West Washington Street Suite 600</t>
  </si>
  <si>
    <t>85281</t>
  </si>
  <si>
    <t>Lhoist North America</t>
  </si>
  <si>
    <t>15333 North Pima Road #200</t>
  </si>
  <si>
    <t>85260</t>
  </si>
  <si>
    <t>Intermountain Rigging- Scrap</t>
  </si>
  <si>
    <t>961 S Pioneer Rd</t>
  </si>
  <si>
    <t>East Conemaugh Borough Electric Dept</t>
  </si>
  <si>
    <t>355 First Street</t>
  </si>
  <si>
    <t>East Conemaugh</t>
  </si>
  <si>
    <t>15909</t>
  </si>
  <si>
    <t>Aha Macav Power Service</t>
  </si>
  <si>
    <t>8780 S Hwy 95</t>
  </si>
  <si>
    <t>Mohave Valley</t>
  </si>
  <si>
    <t>86440</t>
  </si>
  <si>
    <t>Sullivan County Rural Electric Coop  [SCREC]</t>
  </si>
  <si>
    <t>5675 PA-87</t>
  </si>
  <si>
    <t>Forksville</t>
  </si>
  <si>
    <t>REA Energy Cooperative</t>
  </si>
  <si>
    <t>75 Airport Rd</t>
  </si>
  <si>
    <t>15701-0070</t>
  </si>
  <si>
    <t>Culpeper Light &amp; Power Dept</t>
  </si>
  <si>
    <t>Bedford Municipal Electric Dept</t>
  </si>
  <si>
    <t>Prince George Electric Coop [PGEC]</t>
  </si>
  <si>
    <t>7103 General Mahone Hwy</t>
  </si>
  <si>
    <t>Waverly</t>
  </si>
  <si>
    <t>23890</t>
  </si>
  <si>
    <t>Bristol Virginia Utilities Board [BVUB]</t>
  </si>
  <si>
    <t>Richlands Municipal Electric</t>
  </si>
  <si>
    <t>200 Washington Square</t>
  </si>
  <si>
    <t>Richlands</t>
  </si>
  <si>
    <t>24641</t>
  </si>
  <si>
    <t>Carris Reels Inc.</t>
  </si>
  <si>
    <t>628 Business Route 4</t>
  </si>
  <si>
    <t>5736</t>
  </si>
  <si>
    <t>Peck Electric</t>
  </si>
  <si>
    <t>4050 Williston Rd Str 511</t>
  </si>
  <si>
    <t>South Burlington</t>
  </si>
  <si>
    <t>5403</t>
  </si>
  <si>
    <t>Weidmen Electrical Technology</t>
  </si>
  <si>
    <t>St Johnsbury</t>
  </si>
  <si>
    <t>Westview Meadows</t>
  </si>
  <si>
    <t>171 Weatview Meadows Rd</t>
  </si>
  <si>
    <t>5602</t>
  </si>
  <si>
    <t>Leland &amp; Gray Union High School</t>
  </si>
  <si>
    <t>204 VT route 30</t>
  </si>
  <si>
    <t>Townshend</t>
  </si>
  <si>
    <t>5353</t>
  </si>
  <si>
    <t>Global Asset</t>
  </si>
  <si>
    <t>4217 E Main Ave</t>
  </si>
  <si>
    <t>Snohomish Co. PUD</t>
  </si>
  <si>
    <t>1802 75th street S.W</t>
  </si>
  <si>
    <t>Everett</t>
  </si>
  <si>
    <t>Grant County PUD</t>
  </si>
  <si>
    <t>30 C St SW</t>
  </si>
  <si>
    <t>Ephrata</t>
  </si>
  <si>
    <t>98823</t>
  </si>
  <si>
    <t>Clark Public Utilities</t>
  </si>
  <si>
    <t>8600 NE 117th</t>
  </si>
  <si>
    <t>Vancouver</t>
  </si>
  <si>
    <t>98662</t>
  </si>
  <si>
    <t>Tacoma Public Utilities</t>
  </si>
  <si>
    <t>3628 S 35th Street</t>
  </si>
  <si>
    <t>98409</t>
  </si>
  <si>
    <t>Elmhurst Mutual Power and Light Company</t>
  </si>
  <si>
    <t>120 S 132nd street</t>
  </si>
  <si>
    <t>98444</t>
  </si>
  <si>
    <t>Peninsula Light Co</t>
  </si>
  <si>
    <t>13315 Goodnough Dr NW</t>
  </si>
  <si>
    <t>Gig Habor</t>
  </si>
  <si>
    <t>98335</t>
  </si>
  <si>
    <t>City of Ellensburg, WA</t>
  </si>
  <si>
    <t>501 N Anderson S</t>
  </si>
  <si>
    <t>Ellensberg</t>
  </si>
  <si>
    <t>KVA Electric</t>
  </si>
  <si>
    <t>13933 Jim Creek Rd</t>
  </si>
  <si>
    <t>98223</t>
  </si>
  <si>
    <t>Devin Crouch</t>
  </si>
  <si>
    <t>Puget Sound Energy</t>
  </si>
  <si>
    <t>National Demo</t>
  </si>
  <si>
    <t>200 Energy Way</t>
  </si>
  <si>
    <t>Gormania</t>
  </si>
  <si>
    <t>Philippi Municipal Electric</t>
  </si>
  <si>
    <t>344 S. Main Street</t>
  </si>
  <si>
    <t>Philippi</t>
  </si>
  <si>
    <t>26416</t>
  </si>
  <si>
    <t>Harrison Rural Electrification Association</t>
  </si>
  <si>
    <t>New Martinsville Utilities - Electric Dept.</t>
  </si>
  <si>
    <t>195 Main Street</t>
  </si>
  <si>
    <t>New Martinsville</t>
  </si>
  <si>
    <t>26115</t>
  </si>
  <si>
    <t>Madison Gas and Electric Co.</t>
  </si>
  <si>
    <t>Oconomowoc Utilities</t>
  </si>
  <si>
    <t>808 S. Worthington St</t>
  </si>
  <si>
    <t>Oconomowoc</t>
  </si>
  <si>
    <t>53066</t>
  </si>
  <si>
    <t>CLARK ELECTRIC COOP (Wisco)</t>
  </si>
  <si>
    <t>Kaukauna Utilities</t>
  </si>
  <si>
    <t>777 Island St,</t>
  </si>
  <si>
    <t>Kaukauna</t>
  </si>
  <si>
    <t>54130</t>
  </si>
  <si>
    <t>Plymouth Utilities</t>
  </si>
  <si>
    <t>900 CTH PP</t>
  </si>
  <si>
    <t>53073-0277</t>
  </si>
  <si>
    <t>Rock County Electric Coop.</t>
  </si>
  <si>
    <t>2815 Kennedy Road</t>
  </si>
  <si>
    <t>Janesville</t>
  </si>
  <si>
    <t>53545</t>
  </si>
  <si>
    <t>Menasha Electric &amp; Water Utilities</t>
  </si>
  <si>
    <t>321 Milwaukee Street  P.O. Box 340</t>
  </si>
  <si>
    <t>Menasha</t>
  </si>
  <si>
    <t>54952-0340</t>
  </si>
  <si>
    <t>Adams-Columbia Electric Cooperative</t>
  </si>
  <si>
    <t>Sauk City Electric &amp; Water Utilities</t>
  </si>
  <si>
    <t>Saux City</t>
  </si>
  <si>
    <t>Hartford Utilities</t>
  </si>
  <si>
    <t>400 S Prairie Ave</t>
  </si>
  <si>
    <t>Waukesha</t>
  </si>
  <si>
    <t>53186</t>
  </si>
  <si>
    <t>Two Rivers Water &amp; Light</t>
  </si>
  <si>
    <t>1415 Lake Street</t>
  </si>
  <si>
    <t>Two Rivers</t>
  </si>
  <si>
    <t>54241</t>
  </si>
  <si>
    <t>WE energies</t>
  </si>
  <si>
    <t>Lake Mills Light and Water</t>
  </si>
  <si>
    <t>Manitowoc Public Utilities</t>
  </si>
  <si>
    <t>Sheboygan Falls Utilities</t>
  </si>
  <si>
    <t>375 Buffalo Street</t>
  </si>
  <si>
    <t>Sheboygan Falls</t>
  </si>
  <si>
    <t>53085</t>
  </si>
  <si>
    <t>Cedarburg Light &amp; Water Commission</t>
  </si>
  <si>
    <t>N30W5926 Lincoln Blvd</t>
  </si>
  <si>
    <t>Cedarburg</t>
  </si>
  <si>
    <t>53012</t>
  </si>
  <si>
    <t>American Transmission Company (ATC)</t>
  </si>
  <si>
    <t>W234 N2000 Ridgeview Parkway Court</t>
  </si>
  <si>
    <t>53187-0047</t>
  </si>
  <si>
    <t>Shawano Municipal Utilities</t>
  </si>
  <si>
    <t>122 N Sawyer St.,</t>
  </si>
  <si>
    <t>Shawano</t>
  </si>
  <si>
    <t>54166</t>
  </si>
  <si>
    <t>Hustisford Electric Utility</t>
  </si>
  <si>
    <t>Jackson Electric Coop</t>
  </si>
  <si>
    <t>6200 7th St.</t>
  </si>
  <si>
    <t>77414</t>
  </si>
  <si>
    <t>Stoughton Utilities</t>
  </si>
  <si>
    <t>700 Mandt Pkwy</t>
  </si>
  <si>
    <t>Stoughton</t>
  </si>
  <si>
    <t>53589</t>
  </si>
  <si>
    <t>Elkhorn Light &amp; Water Commission</t>
  </si>
  <si>
    <t>400 Koopman Lane</t>
  </si>
  <si>
    <t>Elkhorn</t>
  </si>
  <si>
    <t>53121-0920</t>
  </si>
  <si>
    <t>Rice Lake Electric Utility</t>
  </si>
  <si>
    <t>East Norwalk Electric - 3rd Tax Dist</t>
  </si>
  <si>
    <t>Conti Corporation</t>
  </si>
  <si>
    <t>14 Morgan</t>
  </si>
  <si>
    <t>Robinette Demolition</t>
  </si>
  <si>
    <t>0 S. 560 Rte. 83</t>
  </si>
  <si>
    <t>Oakbrook Terrace</t>
  </si>
  <si>
    <t>60181</t>
  </si>
  <si>
    <t>City of Sioux Falls</t>
  </si>
  <si>
    <t>224 W. Ninth St.</t>
  </si>
  <si>
    <t>Sioux Falls</t>
  </si>
  <si>
    <t>57104</t>
  </si>
  <si>
    <t>Heorot Power</t>
  </si>
  <si>
    <t>228 Cayuga Drive</t>
  </si>
  <si>
    <t>14882</t>
  </si>
  <si>
    <t>Saber Power System (TGC)</t>
  </si>
  <si>
    <t>9841 Saber Power Lane</t>
  </si>
  <si>
    <t>Alamo Transformer - San Antonio (TGC)</t>
  </si>
  <si>
    <t>4931 Space Center Drive</t>
  </si>
  <si>
    <t>78218</t>
  </si>
  <si>
    <t>UIL HOLDINGS CORP</t>
  </si>
  <si>
    <t>The Miller Company</t>
  </si>
  <si>
    <t>Mohegan Tribal Utility Authority</t>
  </si>
  <si>
    <t>Seaford Light &amp; Power Dept</t>
  </si>
  <si>
    <t>DE</t>
  </si>
  <si>
    <t>PEPCO HOLDINGS INC</t>
  </si>
  <si>
    <t>Clayton Municipal Light &amp; Power</t>
  </si>
  <si>
    <t>Village of Talmage (NE)</t>
  </si>
  <si>
    <t>221 Main</t>
  </si>
  <si>
    <t>Talmage</t>
  </si>
  <si>
    <t>68448</t>
  </si>
  <si>
    <t>Chris Haynes Electric Supply</t>
  </si>
  <si>
    <t>826 S West St</t>
  </si>
  <si>
    <t>39201</t>
  </si>
  <si>
    <t>New CastleMun. Services</t>
  </si>
  <si>
    <t>Manilla Municipal Utilities</t>
  </si>
  <si>
    <t>166 6th Avenue</t>
  </si>
  <si>
    <t>51454</t>
  </si>
  <si>
    <t>HRI, Inc</t>
  </si>
  <si>
    <t>1750</t>
  </si>
  <si>
    <t>state college</t>
  </si>
  <si>
    <t>16801</t>
  </si>
  <si>
    <t>Hawk Contracting Group, LLC</t>
  </si>
  <si>
    <t>2400 East Main Ste. F</t>
  </si>
  <si>
    <t>Newark Electric Dept</t>
  </si>
  <si>
    <t>Dover Electric Dept</t>
  </si>
  <si>
    <t>Delaware Electric Coop Inc</t>
  </si>
  <si>
    <t>Cuba Municipal Utilities (MO)</t>
  </si>
  <si>
    <t>407 Highway PP (yard)</t>
  </si>
  <si>
    <t>Cuba</t>
  </si>
  <si>
    <t>65453</t>
  </si>
  <si>
    <t>Mount Carmel Public Utility Co</t>
  </si>
  <si>
    <t>401 S. Mulberry Street</t>
  </si>
  <si>
    <t>Mount Carmel</t>
  </si>
  <si>
    <t>62863</t>
  </si>
  <si>
    <t>Lewes Board of Public Works</t>
  </si>
  <si>
    <t>Kirkwood Electric Light Dept (MO)</t>
  </si>
  <si>
    <t>212 South Taylor Ave</t>
  </si>
  <si>
    <t>Kirkwood</t>
  </si>
  <si>
    <t>Smyrna Electric Dept</t>
  </si>
  <si>
    <t>220 Artisan Drive</t>
  </si>
  <si>
    <t>Smyrna</t>
  </si>
  <si>
    <t>Cuivre River Electric Coop</t>
  </si>
  <si>
    <t>1112 East Cherry Street, PO Box 160</t>
  </si>
  <si>
    <t>63379-0160</t>
  </si>
  <si>
    <t>Milford Electric Dept</t>
  </si>
  <si>
    <t>City of St James (MO)</t>
  </si>
  <si>
    <t>1116 W Springfield St.</t>
  </si>
  <si>
    <t>St. James</t>
  </si>
  <si>
    <t>65559</t>
  </si>
  <si>
    <t>City Light, Gas &amp; Water/Kennett (MO)</t>
  </si>
  <si>
    <t>303 S Anthony</t>
  </si>
  <si>
    <t>Kennett</t>
  </si>
  <si>
    <t>63857</t>
  </si>
  <si>
    <t>City of Osceola (MO)</t>
  </si>
  <si>
    <t>210 Olive St.</t>
  </si>
  <si>
    <t>64776</t>
  </si>
  <si>
    <t>Leesburg Municipal Electric</t>
  </si>
  <si>
    <t>2010 W Griffin Rd</t>
  </si>
  <si>
    <t>City of Mansfield (MO)</t>
  </si>
  <si>
    <t>122 N. Business 60 P.O. Box 467 ,</t>
  </si>
  <si>
    <t>65704</t>
  </si>
  <si>
    <t>Enviroserve</t>
  </si>
  <si>
    <t>4600 Brookpark Road</t>
  </si>
  <si>
    <t>44134</t>
  </si>
  <si>
    <t>Middletown Light &amp; Water Dept</t>
  </si>
  <si>
    <t>ITC - International Transmission Co</t>
  </si>
  <si>
    <t>27175 Energy Way</t>
  </si>
  <si>
    <t>Novi</t>
  </si>
  <si>
    <t>48377</t>
  </si>
  <si>
    <t>JCL Energy</t>
  </si>
  <si>
    <t>892 S Dock St</t>
  </si>
  <si>
    <t>EPC Services Company</t>
  </si>
  <si>
    <t>630 Morrison Road</t>
  </si>
  <si>
    <t>Gahanna</t>
  </si>
  <si>
    <t>43230</t>
  </si>
  <si>
    <t>Cal Hargis</t>
  </si>
  <si>
    <t>Tri-county Electric Coop  (FL)</t>
  </si>
  <si>
    <t>2862 W. HIGHWAY 90</t>
  </si>
  <si>
    <t>MADISON</t>
  </si>
  <si>
    <t>32340</t>
  </si>
  <si>
    <t>City of Alexandria (LA)</t>
  </si>
  <si>
    <t>1015 N. Third Street   PO Box 71</t>
  </si>
  <si>
    <t>71309</t>
  </si>
  <si>
    <t>Butler Municipal Light and Water (MO)</t>
  </si>
  <si>
    <t>22 W. Ohio St.</t>
  </si>
  <si>
    <t>64730</t>
  </si>
  <si>
    <t>Trenton Municipal Utilities (MO)</t>
  </si>
  <si>
    <t>2601 Oklahoma Ave</t>
  </si>
  <si>
    <t>Asset Engineering - Jax, FL</t>
  </si>
  <si>
    <t>12574 Flagler Ctr Blvd Ste 101-111</t>
  </si>
  <si>
    <t>32258</t>
  </si>
  <si>
    <t>Gulf Power - NextEra</t>
  </si>
  <si>
    <t>One Energy Place</t>
  </si>
  <si>
    <t>32520-0310</t>
  </si>
  <si>
    <t>Veolia Waste Management-Tallahassee, Florida</t>
  </si>
  <si>
    <t>342 Marpan Ln</t>
  </si>
  <si>
    <t>32305</t>
  </si>
  <si>
    <t>Barry Electric Coop (MO)</t>
  </si>
  <si>
    <t>4015 Main St,</t>
  </si>
  <si>
    <t>Cassville</t>
  </si>
  <si>
    <t>65625</t>
  </si>
  <si>
    <t>Kelso-Burnett</t>
  </si>
  <si>
    <t>5200 Newport Drive</t>
  </si>
  <si>
    <t>Rolling Meadows</t>
  </si>
  <si>
    <t>60008</t>
  </si>
  <si>
    <t>Osage Valley Electric Coop</t>
  </si>
  <si>
    <t>1321 N Orange Street</t>
  </si>
  <si>
    <t>KAMO Spokane,MO</t>
  </si>
  <si>
    <t>KAMO Spokane Whse 197 Valley Woods Road Spokane, MO 65754</t>
  </si>
  <si>
    <t>65754</t>
  </si>
  <si>
    <t>Oak Harbor Public Power</t>
  </si>
  <si>
    <t>Power Grid Services</t>
  </si>
  <si>
    <t>2350 Hwy 31 NW</t>
  </si>
  <si>
    <t>Dixie Electric</t>
  </si>
  <si>
    <t>Bierlein</t>
  </si>
  <si>
    <t>2000 Bay City Road</t>
  </si>
  <si>
    <t>48642</t>
  </si>
  <si>
    <t>Sheridan Anilmal Hospital</t>
  </si>
  <si>
    <t>2288 Sheridan Dr</t>
  </si>
  <si>
    <t>14223</t>
  </si>
  <si>
    <t>St Charles Electrical Utility (IL)</t>
  </si>
  <si>
    <t>2 East Main St.</t>
  </si>
  <si>
    <t>Saint Charles</t>
  </si>
  <si>
    <t>60174</t>
  </si>
  <si>
    <t>Wheaton College</t>
  </si>
  <si>
    <t>Wheaton</t>
  </si>
  <si>
    <t>SOLV Inc</t>
  </si>
  <si>
    <t>16798 West Bernardo Drive</t>
  </si>
  <si>
    <t>92172</t>
  </si>
  <si>
    <t>Gephart Electric</t>
  </si>
  <si>
    <t>295 S. Bellevue Blvd. Suite 2</t>
  </si>
  <si>
    <t>38104</t>
  </si>
  <si>
    <t>Paulding-Putnam Electric Coop Inc</t>
  </si>
  <si>
    <t>Interstate Electrical Supply - Columbus, GA</t>
  </si>
  <si>
    <t>2300 Second Avenue</t>
  </si>
  <si>
    <t>31902</t>
  </si>
  <si>
    <t>Morgan City Corporation</t>
  </si>
  <si>
    <t>90 West Young Street</t>
  </si>
  <si>
    <t>Morgan</t>
  </si>
  <si>
    <t>84050</t>
  </si>
  <si>
    <t>Cleveland-Cliffs, Inc.  Cleveland Works</t>
  </si>
  <si>
    <t>3060 Eggers Avenue</t>
  </si>
  <si>
    <t>44105</t>
  </si>
  <si>
    <t>Utility Recyclers (St Louis, MO)</t>
  </si>
  <si>
    <t>4400 Geraldine Avenue</t>
  </si>
  <si>
    <t>63115</t>
  </si>
  <si>
    <t>Hudson Public Power (OH)</t>
  </si>
  <si>
    <t>1220 Hudson Gate Drive</t>
  </si>
  <si>
    <t>44236</t>
  </si>
  <si>
    <t>Orrville Utilities</t>
  </si>
  <si>
    <t>Five Star Electric</t>
  </si>
  <si>
    <t>14409 N Interstate 27</t>
  </si>
  <si>
    <t>Power Comm Enterprise</t>
  </si>
  <si>
    <t>13628 229th Drive SE</t>
  </si>
  <si>
    <t>ISSAQUAH</t>
  </si>
  <si>
    <t>98027</t>
  </si>
  <si>
    <t>NAS Pensacola</t>
  </si>
  <si>
    <t>280 Taylor Rd</t>
  </si>
  <si>
    <t>32508</t>
  </si>
  <si>
    <t>Swinerton Renewable Energy</t>
  </si>
  <si>
    <t>92127</t>
  </si>
  <si>
    <t>501 Illinois Ave #144</t>
  </si>
  <si>
    <t>Newton Falls Municipal Light &amp; Power</t>
  </si>
  <si>
    <t>Nebraska City Utilities</t>
  </si>
  <si>
    <t>100 Central Ave</t>
  </si>
  <si>
    <t>Nebraska City</t>
  </si>
  <si>
    <t>68410</t>
  </si>
  <si>
    <t>Minster Electric Department</t>
  </si>
  <si>
    <t>285 N. Ohio Street</t>
  </si>
  <si>
    <t>Minster</t>
  </si>
  <si>
    <t>45865</t>
  </si>
  <si>
    <t>GHD</t>
  </si>
  <si>
    <t>6520 Corporate Drive</t>
  </si>
  <si>
    <t>46278</t>
  </si>
  <si>
    <t>Sunland Center</t>
  </si>
  <si>
    <t>3700 Williams Dr</t>
  </si>
  <si>
    <t>Marianna</t>
  </si>
  <si>
    <t>32446</t>
  </si>
  <si>
    <t>Mid-Ohio Energy Coop,  INC.</t>
  </si>
  <si>
    <t>1210 W. Lima Street</t>
  </si>
  <si>
    <t>Kenton</t>
  </si>
  <si>
    <t>43326</t>
  </si>
  <si>
    <t>Lebanon Municipal Utilities</t>
  </si>
  <si>
    <t>Village of Jackson Center</t>
  </si>
  <si>
    <t>122 E. Pike St.PO Box 819</t>
  </si>
  <si>
    <t>Jackson Center</t>
  </si>
  <si>
    <t>45334</t>
  </si>
  <si>
    <t>Jackson Municipal Electric Dept</t>
  </si>
  <si>
    <t>Delano Municipal Utility (MN)</t>
  </si>
  <si>
    <t>11 Bridge Ave. West</t>
  </si>
  <si>
    <t>Delano</t>
  </si>
  <si>
    <t>55328</t>
  </si>
  <si>
    <t>Darke Rural Electric Coop Inc</t>
  </si>
  <si>
    <t>City of Ripley</t>
  </si>
  <si>
    <t>Ripley</t>
  </si>
  <si>
    <t>Olin Chemical</t>
  </si>
  <si>
    <t>1638 Industrial Rd</t>
  </si>
  <si>
    <t>3655</t>
  </si>
  <si>
    <t>Huntsman Advanced Materials</t>
  </si>
  <si>
    <t>555 Huntsman Rd</t>
  </si>
  <si>
    <t>36653</t>
  </si>
  <si>
    <t>Arcanum Water and Light</t>
  </si>
  <si>
    <t>Buckeye Partners, L.P.</t>
  </si>
  <si>
    <t>9999 Hamilton Blvd.  Five TEK Park</t>
  </si>
  <si>
    <t>Breinigsville</t>
  </si>
  <si>
    <t>18031</t>
  </si>
  <si>
    <t>Hyundai Power Transformers</t>
  </si>
  <si>
    <t>215 Folmar Parkway</t>
  </si>
  <si>
    <t>36105</t>
  </si>
  <si>
    <t>Beck Electric</t>
  </si>
  <si>
    <t>709 Ashely Dr</t>
  </si>
  <si>
    <t>Pemberville Public Affairs</t>
  </si>
  <si>
    <t>115 N. Main Street</t>
  </si>
  <si>
    <t>Pemberville</t>
  </si>
  <si>
    <t>43450</t>
  </si>
  <si>
    <t>Middlebury Electric, Inc.</t>
  </si>
  <si>
    <t>65725 US Highway 33</t>
  </si>
  <si>
    <t>Goshen</t>
  </si>
  <si>
    <t>46526</t>
  </si>
  <si>
    <t>Alabama Shipyards, LLC</t>
  </si>
  <si>
    <t>660 Dunlap Dr</t>
  </si>
  <si>
    <t>36602</t>
  </si>
  <si>
    <t>EI Dupont</t>
  </si>
  <si>
    <t>5222 Treat Rd ‎</t>
  </si>
  <si>
    <t>Starke</t>
  </si>
  <si>
    <t>32091</t>
  </si>
  <si>
    <t>Austal USA</t>
  </si>
  <si>
    <t>1 Dunlap Dr, Mobile</t>
  </si>
  <si>
    <t>Buchanan Hardwoods</t>
  </si>
  <si>
    <t>501 Baptist Line Rd</t>
  </si>
  <si>
    <t>Aliceville</t>
  </si>
  <si>
    <t>35442</t>
  </si>
  <si>
    <t>APS Ocotillo Plant</t>
  </si>
  <si>
    <t>1500 E University Drive</t>
  </si>
  <si>
    <t>American Generator</t>
  </si>
  <si>
    <t>6158 Delfield Drive</t>
  </si>
  <si>
    <t>Waterford</t>
  </si>
  <si>
    <t>48329</t>
  </si>
  <si>
    <t>Marlow Light and Water Department</t>
  </si>
  <si>
    <t>105 East Kiowa Avenue</t>
  </si>
  <si>
    <t>Marlow</t>
  </si>
  <si>
    <t>73055</t>
  </si>
  <si>
    <t>Miami Public Utilities Oklahoma</t>
  </si>
  <si>
    <t>404 d S.E.</t>
  </si>
  <si>
    <t>74355</t>
  </si>
  <si>
    <t>City of Mooreland</t>
  </si>
  <si>
    <t>115 Northeast 1st Street</t>
  </si>
  <si>
    <t>Mooreland</t>
  </si>
  <si>
    <t>73852</t>
  </si>
  <si>
    <t>Pryor Municipal Utility Board</t>
  </si>
  <si>
    <t>10 North Taylor Street</t>
  </si>
  <si>
    <t>Pryor</t>
  </si>
  <si>
    <t>74361</t>
  </si>
  <si>
    <t>Watonga Light and Water Systems</t>
  </si>
  <si>
    <t>Walters Public utilities</t>
  </si>
  <si>
    <t>129 East Colorado Avenue</t>
  </si>
  <si>
    <t>Walters</t>
  </si>
  <si>
    <t>73572</t>
  </si>
  <si>
    <t>Wagoner Public Works Authority</t>
  </si>
  <si>
    <t>307 Southeast 3rd Street</t>
  </si>
  <si>
    <t>Wagoner</t>
  </si>
  <si>
    <t>74467</t>
  </si>
  <si>
    <t>Tonkawa Electric Department</t>
  </si>
  <si>
    <t>216 North 6th Street</t>
  </si>
  <si>
    <t>Tonkawa</t>
  </si>
  <si>
    <t>74653</t>
  </si>
  <si>
    <t>Stilwell Utilities</t>
  </si>
  <si>
    <t>400 West Spray</t>
  </si>
  <si>
    <t>Stilwell</t>
  </si>
  <si>
    <t>74960</t>
  </si>
  <si>
    <t>Harmon Electric Association Inc</t>
  </si>
  <si>
    <t>114 North 1st Street</t>
  </si>
  <si>
    <t>Hollis</t>
  </si>
  <si>
    <t>73550</t>
  </si>
  <si>
    <t>Granite Municipal Utilities</t>
  </si>
  <si>
    <t>Fairview Municipal Water and Light</t>
  </si>
  <si>
    <t>123 South 6th Avenue</t>
  </si>
  <si>
    <t>Fairview</t>
  </si>
  <si>
    <t>73737</t>
  </si>
  <si>
    <t>Northfork Electric Coop</t>
  </si>
  <si>
    <t>18920 East 1170 Road</t>
  </si>
  <si>
    <t>Sayre</t>
  </si>
  <si>
    <t>73662</t>
  </si>
  <si>
    <t>Red River Valley Rural Electric Association</t>
  </si>
  <si>
    <t>1003 Memorial Dr</t>
  </si>
  <si>
    <t>73448</t>
  </si>
  <si>
    <t>Central Rural Electric Coop</t>
  </si>
  <si>
    <t>3304 S Boomer Rd</t>
  </si>
  <si>
    <t>Stillwater</t>
  </si>
  <si>
    <t>74076</t>
  </si>
  <si>
    <t>Kay Electric Coop</t>
  </si>
  <si>
    <t>300 W Doolin</t>
  </si>
  <si>
    <t>Blackwell</t>
  </si>
  <si>
    <t>74631</t>
  </si>
  <si>
    <t>Anadarko Public Works Authority</t>
  </si>
  <si>
    <t>501 West Virginia Avenue</t>
  </si>
  <si>
    <t>Anadarko</t>
  </si>
  <si>
    <t>73005</t>
  </si>
  <si>
    <t>Okeene (municipal)</t>
  </si>
  <si>
    <t>115 South 3rd Street</t>
  </si>
  <si>
    <t>Okeene</t>
  </si>
  <si>
    <t>73763</t>
  </si>
  <si>
    <t>Miami Public Utilities</t>
  </si>
  <si>
    <t>Kingfisher Public Works Authority</t>
  </si>
  <si>
    <t>313 South 13th Street</t>
  </si>
  <si>
    <t>Kingfisher</t>
  </si>
  <si>
    <t>73750</t>
  </si>
  <si>
    <t>BCS Enterprises</t>
  </si>
  <si>
    <t>1275 W Houston Ave</t>
  </si>
  <si>
    <t>85233</t>
  </si>
  <si>
    <t>Collinsville Electric</t>
  </si>
  <si>
    <t>306 West Broadway</t>
  </si>
  <si>
    <t>Collinsville</t>
  </si>
  <si>
    <t>74021</t>
  </si>
  <si>
    <t>Tri-City Industrial</t>
  </si>
  <si>
    <t>1620 Lewis Street</t>
  </si>
  <si>
    <t>Pasco</t>
  </si>
  <si>
    <t>99301</t>
  </si>
  <si>
    <t>CKenergy  (Caddo Elec Coop)</t>
  </si>
  <si>
    <t>14039 State Hwy 152</t>
  </si>
  <si>
    <t>Binger</t>
  </si>
  <si>
    <t>73009</t>
  </si>
  <si>
    <t>Mangum Utility Department</t>
  </si>
  <si>
    <t>Stilwell Utility Department</t>
  </si>
  <si>
    <t>Canadian Valley Electric Coop Inc</t>
  </si>
  <si>
    <t>11277 Oklahoma 99</t>
  </si>
  <si>
    <t>Seminole</t>
  </si>
  <si>
    <t>74868</t>
  </si>
  <si>
    <t>Frederick Public Utilities</t>
  </si>
  <si>
    <t>403 North 9th Street</t>
  </si>
  <si>
    <t>73542</t>
  </si>
  <si>
    <t>City of Perry Electric Dept</t>
  </si>
  <si>
    <t>102 Ivanhoe Street</t>
  </si>
  <si>
    <t>73077</t>
  </si>
  <si>
    <t>Frederick Municipal Light and Power</t>
  </si>
  <si>
    <t>New Cordell Utility Authority</t>
  </si>
  <si>
    <t>Blackwell Public Power</t>
  </si>
  <si>
    <t>220 E. Lawrence</t>
  </si>
  <si>
    <t>City of Cushing Electric</t>
  </si>
  <si>
    <t>300 N3495 Road</t>
  </si>
  <si>
    <t>Cushing</t>
  </si>
  <si>
    <t>74023</t>
  </si>
  <si>
    <t>Eldrige Inc.</t>
  </si>
  <si>
    <t>898 Fern Hill Rd</t>
  </si>
  <si>
    <t>19380</t>
  </si>
  <si>
    <t>Western Farmers Electric Cooperative</t>
  </si>
  <si>
    <t>701 NE 7th</t>
  </si>
  <si>
    <t>Southwest Rural Electric Association Inc</t>
  </si>
  <si>
    <t>700 North Broadway Avenue</t>
  </si>
  <si>
    <t>73570</t>
  </si>
  <si>
    <t>Mustang Gas Products, LLC</t>
  </si>
  <si>
    <t>9800 North Oklahoma Ave</t>
  </si>
  <si>
    <t>73114-7406</t>
  </si>
  <si>
    <t>CORIX (University of Oklahoma)</t>
  </si>
  <si>
    <t>2921 Monitor Ave</t>
  </si>
  <si>
    <t>73072</t>
  </si>
  <si>
    <t>Southern Indiana Power</t>
  </si>
  <si>
    <t>PO Box 219 - 1776 10th Street</t>
  </si>
  <si>
    <t>Dept of Central Services State of OK</t>
  </si>
  <si>
    <t>Iochem</t>
  </si>
  <si>
    <t>5801 Broadway Ext Suit 305</t>
  </si>
  <si>
    <t>73118</t>
  </si>
  <si>
    <t>Kiwash Electric Coop Inc</t>
  </si>
  <si>
    <t>Certified Investment Recovery, Inc.</t>
  </si>
  <si>
    <t>Juneau Utilities (WI)</t>
  </si>
  <si>
    <t>100 Lincoln Dr</t>
  </si>
  <si>
    <t>Juneau</t>
  </si>
  <si>
    <t>53039</t>
  </si>
  <si>
    <t>Mandigo Transformer Winding Services</t>
  </si>
  <si>
    <t>720-770 Queenston Rd. Hamilton</t>
  </si>
  <si>
    <t>ON</t>
  </si>
  <si>
    <t>LG8 1A6</t>
  </si>
  <si>
    <t>Coos Curry Electric Co-Op</t>
  </si>
  <si>
    <t>43050 US-101</t>
  </si>
  <si>
    <t>Port Orford</t>
  </si>
  <si>
    <t>97465</t>
  </si>
  <si>
    <t>BNZ Materials</t>
  </si>
  <si>
    <t>191 Front street</t>
  </si>
  <si>
    <t>Zelienople</t>
  </si>
  <si>
    <t>16063</t>
  </si>
  <si>
    <t>Southwest Industrial Electric</t>
  </si>
  <si>
    <t>4557 York Blvd</t>
  </si>
  <si>
    <t>90041</t>
  </si>
  <si>
    <t>Rubin Pollack Education Center</t>
  </si>
  <si>
    <t>52 Ferndale loomis Rd</t>
  </si>
  <si>
    <t>12754</t>
  </si>
  <si>
    <t>Quakertown Municipal Electric Dept</t>
  </si>
  <si>
    <t>Haley &amp; Aldrich</t>
  </si>
  <si>
    <t>465 Medford St suite 2200</t>
  </si>
  <si>
    <t>boston</t>
  </si>
  <si>
    <t>2129</t>
  </si>
  <si>
    <t>Carol Electric Company</t>
  </si>
  <si>
    <t>3822 W Cerritos Ave, Los Alamitos, CA 90720</t>
  </si>
  <si>
    <t>California State University, San Bernardino</t>
  </si>
  <si>
    <t>5500 University Parkway, San Bernardino CA 92407</t>
  </si>
  <si>
    <t>San Bernardino</t>
  </si>
  <si>
    <t>92407</t>
  </si>
  <si>
    <t>Holyoke Light &amp; Power</t>
  </si>
  <si>
    <t>1300 S Interocean</t>
  </si>
  <si>
    <t>Town of Center</t>
  </si>
  <si>
    <t>294 S Worth</t>
  </si>
  <si>
    <t>White River Electric - CO</t>
  </si>
  <si>
    <t>233 6th St</t>
  </si>
  <si>
    <t>Meeker</t>
  </si>
  <si>
    <t>81641</t>
  </si>
  <si>
    <t>Westhues Electric</t>
  </si>
  <si>
    <t>P.O. Box 18220</t>
  </si>
  <si>
    <t>64133</t>
  </si>
  <si>
    <t>Eaton Corp - MN</t>
  </si>
  <si>
    <t>5421 Feltl Rd Suite 190</t>
  </si>
  <si>
    <t>Minnetonka</t>
  </si>
  <si>
    <t>55343</t>
  </si>
  <si>
    <t>Middletown Municipal Electric Dept</t>
  </si>
  <si>
    <t>J.R. Pounds</t>
  </si>
  <si>
    <t>805 W 5th</t>
  </si>
  <si>
    <t>39441</t>
  </si>
  <si>
    <t>Hatzel &amp; Buehler</t>
  </si>
  <si>
    <t>1 Righter Parkway suite 110</t>
  </si>
  <si>
    <t>Wilmington</t>
  </si>
  <si>
    <t>19803</t>
  </si>
  <si>
    <t>ENBRIDGE KBC Station</t>
  </si>
  <si>
    <t>2880 Kirby Creek Rd</t>
  </si>
  <si>
    <t>Thermopolis</t>
  </si>
  <si>
    <t>82443</t>
  </si>
  <si>
    <t>ZELIENOPLE BOROUGH UTILITIES</t>
  </si>
  <si>
    <t>Kutztown Municipal Light &amp; Power</t>
  </si>
  <si>
    <t>Farmington Light and Power (OLD)</t>
  </si>
  <si>
    <t>Nixa Electric Dept (OLD)</t>
  </si>
  <si>
    <t>Nixa</t>
  </si>
  <si>
    <t>Buffalo Electric Supply Co</t>
  </si>
  <si>
    <t>801 2nd Ave North</t>
  </si>
  <si>
    <t>Somerset Rural Electric Coop Inc</t>
  </si>
  <si>
    <t>Alaco, LLC</t>
  </si>
  <si>
    <t>218 Highway 195 Jasper, AL 35503</t>
  </si>
  <si>
    <t>35503</t>
  </si>
  <si>
    <t>Vulcan, Inc</t>
  </si>
  <si>
    <t>804 Vulcan St.</t>
  </si>
  <si>
    <t>MIFFLINBURG BOROUGH UTILITIES</t>
  </si>
  <si>
    <t>ROYALTON BOROUGH UTILITIES</t>
  </si>
  <si>
    <t>Pemiscott-Dunklin EC (OLD)</t>
  </si>
  <si>
    <t>2801 Missouri 84</t>
  </si>
  <si>
    <t>Bragg City</t>
  </si>
  <si>
    <t>63827</t>
  </si>
  <si>
    <t>PERKASIE ELECTRIC DEPT</t>
  </si>
  <si>
    <t>FLORA MUNICIPAL UTILITIES (IL)</t>
  </si>
  <si>
    <t>131 E. Second St.</t>
  </si>
  <si>
    <t>IL Rural Elect</t>
  </si>
  <si>
    <t>Electrical Engineering -Tampa FL</t>
  </si>
  <si>
    <t>5316 E. Henry Av</t>
  </si>
  <si>
    <t>33610</t>
  </si>
  <si>
    <t>ATC Group Services</t>
  </si>
  <si>
    <t>25 Cupania Circle</t>
  </si>
  <si>
    <t>Monterey Park</t>
  </si>
  <si>
    <t>91755</t>
  </si>
  <si>
    <t>M Bar C Electric Company</t>
  </si>
  <si>
    <t>674 Rancheros Drive</t>
  </si>
  <si>
    <t>92069</t>
  </si>
  <si>
    <t>E&amp;J Gallo Winery</t>
  </si>
  <si>
    <t>600 Yosemite Blvd</t>
  </si>
  <si>
    <t>95354</t>
  </si>
  <si>
    <t>Power Systems Services</t>
  </si>
  <si>
    <t>13409 Benson Ave.</t>
  </si>
  <si>
    <t>Chino</t>
  </si>
  <si>
    <t>91710</t>
  </si>
  <si>
    <t>Pike Road Electric</t>
  </si>
  <si>
    <t>367 Kershaw Industrrial Blvd</t>
  </si>
  <si>
    <t>Pennsylvania Electric Co [Penelec]</t>
  </si>
  <si>
    <t>E3 Environmental</t>
  </si>
  <si>
    <t>9361 Hamman Avenue , FL</t>
  </si>
  <si>
    <t>MONT ALTO BOROUGH UTILITIES</t>
  </si>
  <si>
    <t>Lewisberry Borough Utilities</t>
  </si>
  <si>
    <t>Dane &amp; Associates Electric</t>
  </si>
  <si>
    <t>4721 S.W. 18th</t>
  </si>
  <si>
    <t>73128</t>
  </si>
  <si>
    <t>Hooversville Borough Electric Light Co</t>
  </si>
  <si>
    <t>E.I. Dupont De Nemours</t>
  </si>
  <si>
    <t>7775 South Co Road 228</t>
  </si>
  <si>
    <t>Macclenny</t>
  </si>
  <si>
    <t>32063</t>
  </si>
  <si>
    <t>Girard Borough Utilities</t>
  </si>
  <si>
    <t>34 Main Street West</t>
  </si>
  <si>
    <t>16417</t>
  </si>
  <si>
    <t>Chancellor, Inc.</t>
  </si>
  <si>
    <t>1228 West 5th Street</t>
  </si>
  <si>
    <t>GE Appliance - Louisville, KY</t>
  </si>
  <si>
    <t>Praxair, Inc.</t>
  </si>
  <si>
    <t>Mailing Address: P.O. Box 44</t>
  </si>
  <si>
    <t>Tonawanda</t>
  </si>
  <si>
    <t>14151-0044</t>
  </si>
  <si>
    <t>City of Tallahassee</t>
  </si>
  <si>
    <t>2641 Municipal Way</t>
  </si>
  <si>
    <t>Bruce &amp; Merrilees</t>
  </si>
  <si>
    <t>930 Cass Street</t>
  </si>
  <si>
    <t>16101</t>
  </si>
  <si>
    <t>Battery Solutions</t>
  </si>
  <si>
    <t>4930 Holtz Drive</t>
  </si>
  <si>
    <t>Wixom</t>
  </si>
  <si>
    <t>48393</t>
  </si>
  <si>
    <t>Page Electric Utility</t>
  </si>
  <si>
    <t>640 Haul Road</t>
  </si>
  <si>
    <t>Page</t>
  </si>
  <si>
    <t>86040</t>
  </si>
  <si>
    <t>Washington EMC</t>
  </si>
  <si>
    <t>319 N. Smith ST</t>
  </si>
  <si>
    <t>31082</t>
  </si>
  <si>
    <t>Heritage Interactive</t>
  </si>
  <si>
    <t>3719 W 96th Street</t>
  </si>
  <si>
    <t>Indianaplis</t>
  </si>
  <si>
    <t>City of Lake Worth</t>
  </si>
  <si>
    <t>1900 E. 2nd Ave.</t>
  </si>
  <si>
    <t>Lake Worth</t>
  </si>
  <si>
    <t>33461</t>
  </si>
  <si>
    <t>Gascosage Electric Cooperative (MO)</t>
  </si>
  <si>
    <t>803  Highway 28 S</t>
  </si>
  <si>
    <t>Dixon</t>
  </si>
  <si>
    <t>65459</t>
  </si>
  <si>
    <t>Callaway Electric Coop</t>
  </si>
  <si>
    <t>1313 Cooperative Dr.</t>
  </si>
  <si>
    <t>Baldwin EMC</t>
  </si>
  <si>
    <t>19600 AL-59</t>
  </si>
  <si>
    <t>Summerdale</t>
  </si>
  <si>
    <t>36580</t>
  </si>
  <si>
    <t>Armstrong Electric (Mobile, AL)</t>
  </si>
  <si>
    <t>4760 Nobel Drive East</t>
  </si>
  <si>
    <t>36619</t>
  </si>
  <si>
    <t>Hurlburt Field - USAF</t>
  </si>
  <si>
    <t>926 Tully Street building 90051</t>
  </si>
  <si>
    <t>Hurlburt Field, Florida 32544</t>
  </si>
  <si>
    <t>32544</t>
  </si>
  <si>
    <t>Public Service of New Mexico (PNM)</t>
  </si>
  <si>
    <t>414 Silver Avenue SW</t>
  </si>
  <si>
    <t>87102</t>
  </si>
  <si>
    <t>Laclede Electric Coop (MO)</t>
  </si>
  <si>
    <t>1400 E. Route 66</t>
  </si>
  <si>
    <t>Crawford Electric Coop (MO)</t>
  </si>
  <si>
    <t>10301 North Service Rd.</t>
  </si>
  <si>
    <t>Bourbon</t>
  </si>
  <si>
    <t>California Municipal Utilities (MO)</t>
  </si>
  <si>
    <t>902 E Buchanan</t>
  </si>
  <si>
    <t>65018</t>
  </si>
  <si>
    <t>Resolution Copper</t>
  </si>
  <si>
    <t>Magma Mine Road</t>
  </si>
  <si>
    <t>85173</t>
  </si>
  <si>
    <t>Trico Electric Coop</t>
  </si>
  <si>
    <t>8600 Tangerine Rd</t>
  </si>
  <si>
    <t>Marana</t>
  </si>
  <si>
    <t>85658</t>
  </si>
  <si>
    <t>3451 S. Beglis Parkway</t>
  </si>
  <si>
    <t>Sulphur</t>
  </si>
  <si>
    <t>70665</t>
  </si>
  <si>
    <t>SRP Navajo Generating Station</t>
  </si>
  <si>
    <t>Arizona 98</t>
  </si>
  <si>
    <t>Michels Power</t>
  </si>
  <si>
    <t>1775 E Shady Ln</t>
  </si>
  <si>
    <t>Neenah</t>
  </si>
  <si>
    <t>54956</t>
  </si>
  <si>
    <t>Sun Source</t>
  </si>
  <si>
    <t>4810 South 36th Street</t>
  </si>
  <si>
    <t>Jerrys Electric</t>
  </si>
  <si>
    <t>P.O. Box 209</t>
  </si>
  <si>
    <t>Jackson EMC</t>
  </si>
  <si>
    <t>850 Commerce Rd</t>
  </si>
  <si>
    <t>Jefferson</t>
  </si>
  <si>
    <t>30549</t>
  </si>
  <si>
    <t>Central Electric Power Cooperative (MO)</t>
  </si>
  <si>
    <t>2106 Jefferson St</t>
  </si>
  <si>
    <t>Fairfield Municipal Electric Dept</t>
  </si>
  <si>
    <t>107 Northwest 6th Street</t>
  </si>
  <si>
    <t>Thermo Fluids Inc.</t>
  </si>
  <si>
    <t>4301 W. Jefferson St.</t>
  </si>
  <si>
    <t>Walker Electric Supply</t>
  </si>
  <si>
    <t>150 Noel Ave</t>
  </si>
  <si>
    <t>36607</t>
  </si>
  <si>
    <t>Electrical District No. 6</t>
  </si>
  <si>
    <t>34360 North Schnepf Road</t>
  </si>
  <si>
    <t>San Tan Valley</t>
  </si>
  <si>
    <t>85140</t>
  </si>
  <si>
    <t>Kary Environmental Services</t>
  </si>
  <si>
    <t>641 S Drew St</t>
  </si>
  <si>
    <t>85210</t>
  </si>
  <si>
    <t>Pea River EMC</t>
  </si>
  <si>
    <t>1311 W. Roy Parker Rd.</t>
  </si>
  <si>
    <t>Ozark</t>
  </si>
  <si>
    <t>36361</t>
  </si>
  <si>
    <t>Ram Opportunities LLC</t>
  </si>
  <si>
    <t>10958 East Cordova Street</t>
  </si>
  <si>
    <t>Gold Canyon</t>
  </si>
  <si>
    <t>85118-4874</t>
  </si>
  <si>
    <t>Williston Electric Light Department</t>
  </si>
  <si>
    <t>505–599 NW 4th St</t>
  </si>
  <si>
    <t>Williston</t>
  </si>
  <si>
    <t>32696</t>
  </si>
  <si>
    <t>City of Bartow</t>
  </si>
  <si>
    <t>4190 Ben Durrance Rd</t>
  </si>
  <si>
    <t>Bartow</t>
  </si>
  <si>
    <t>33830</t>
  </si>
  <si>
    <t>Florida Public Utilities- Fernandina Beach, Fl</t>
  </si>
  <si>
    <t>780 Amelia Island Pkwy</t>
  </si>
  <si>
    <t>Fernandina Beach,FL</t>
  </si>
  <si>
    <t>Talquin Electric Cooperative, Inc.</t>
  </si>
  <si>
    <t>1640 W. Jefferson St.</t>
  </si>
  <si>
    <t>32353</t>
  </si>
  <si>
    <t>Senergy Petroleum</t>
  </si>
  <si>
    <t>Hedgecock Electric</t>
  </si>
  <si>
    <t>7684 Kipling St</t>
  </si>
  <si>
    <t>Homestead Energy Services</t>
  </si>
  <si>
    <t>675 N Flagler Avenue</t>
  </si>
  <si>
    <t>Homestead</t>
  </si>
  <si>
    <t>33030</t>
  </si>
  <si>
    <t>WGN - Crowley (Chickasaw)</t>
  </si>
  <si>
    <t>50 Viaduct Rd</t>
  </si>
  <si>
    <t>Chickasaw</t>
  </si>
  <si>
    <t>36611</t>
  </si>
  <si>
    <t>SECO Energy</t>
  </si>
  <si>
    <t>330 S US Hwy 301</t>
  </si>
  <si>
    <t>Embry Riddle Aeronautical University</t>
  </si>
  <si>
    <t>6482 Corradi Way</t>
  </si>
  <si>
    <t>Prescott</t>
  </si>
  <si>
    <t>86301</t>
  </si>
  <si>
    <t>Mt Dora Municipal Electric</t>
  </si>
  <si>
    <t>1501 Robie Av</t>
  </si>
  <si>
    <t>Mount Dora</t>
  </si>
  <si>
    <t>32757</t>
  </si>
  <si>
    <t>Franklin Electric Plant Board (KY)</t>
  </si>
  <si>
    <t>309 North High Street
P.O. Box 349</t>
  </si>
  <si>
    <t>42135</t>
  </si>
  <si>
    <t>Vigilante Electric Coop</t>
  </si>
  <si>
    <t>225 E Bannaek St</t>
  </si>
  <si>
    <t>Graham County Electric Cooperative</t>
  </si>
  <si>
    <t>9 W Center St</t>
  </si>
  <si>
    <t>Pima</t>
  </si>
  <si>
    <t>85543</t>
  </si>
  <si>
    <t>Ozark Electric Cooperative (MO)</t>
  </si>
  <si>
    <t>10943 Highway 39 North, PO Box 420</t>
  </si>
  <si>
    <t>Mt. Vernon</t>
  </si>
  <si>
    <t>65712</t>
  </si>
  <si>
    <t>Mississippi County EC</t>
  </si>
  <si>
    <t>510 north broadway</t>
  </si>
  <si>
    <t>Blytheville</t>
  </si>
  <si>
    <t>72316</t>
  </si>
  <si>
    <t>AEP-Abilene TX</t>
  </si>
  <si>
    <t>910 Energy Dr</t>
  </si>
  <si>
    <t>Abilene</t>
  </si>
  <si>
    <t>79602</t>
  </si>
  <si>
    <t>Howell-Oregon EC (MO)</t>
  </si>
  <si>
    <t>6327 US Hwy 63</t>
  </si>
  <si>
    <t>West Plains</t>
  </si>
  <si>
    <t>65775</t>
  </si>
  <si>
    <t>BAE Systems</t>
  </si>
  <si>
    <t>660 Dunlap Drive</t>
  </si>
  <si>
    <t>SunCoke Energy</t>
  </si>
  <si>
    <t>1748 Dismaal River Rd</t>
  </si>
  <si>
    <t>Oakwood</t>
  </si>
  <si>
    <t>24631</t>
  </si>
  <si>
    <t>Nueces Electric Coop Inc</t>
  </si>
  <si>
    <t>14353 Cooperative Ave.</t>
  </si>
  <si>
    <t>Robstown</t>
  </si>
  <si>
    <t>361-387-2581</t>
  </si>
  <si>
    <t>Wakefield Public Works Department</t>
  </si>
  <si>
    <t>218 Chicago Mine Road</t>
  </si>
  <si>
    <t>49968</t>
  </si>
  <si>
    <t>Par Pharmaceutical</t>
  </si>
  <si>
    <t>870 Parkdale</t>
  </si>
  <si>
    <t>48307</t>
  </si>
  <si>
    <t>Magic Valley Electric Coop Inc</t>
  </si>
  <si>
    <t>Granbury Municipal Electric Dept</t>
  </si>
  <si>
    <t>401 N. Park STreet</t>
  </si>
  <si>
    <t>76048</t>
  </si>
  <si>
    <t>Town of Clayton - NC</t>
  </si>
  <si>
    <t>653 NC 42 West</t>
  </si>
  <si>
    <t>Clayton</t>
  </si>
  <si>
    <t>27528</t>
  </si>
  <si>
    <t>Tarboro Town Government</t>
  </si>
  <si>
    <t>2206 Howard Ave</t>
  </si>
  <si>
    <t>Wood County Electric Coop</t>
  </si>
  <si>
    <t>501 S Main Street</t>
  </si>
  <si>
    <t>Quiman</t>
  </si>
  <si>
    <t>75783</t>
  </si>
  <si>
    <t>Lubbock Power and Light</t>
  </si>
  <si>
    <t>1301 Broadway</t>
  </si>
  <si>
    <t>79401</t>
  </si>
  <si>
    <t>Upshur-Rural Electric Cooperative</t>
  </si>
  <si>
    <t>1200 W Tyler</t>
  </si>
  <si>
    <t>Gilmer</t>
  </si>
  <si>
    <t>75644</t>
  </si>
  <si>
    <t>Farmersville Municipal Electric System</t>
  </si>
  <si>
    <t>205 S. Main Street</t>
  </si>
  <si>
    <t>Farmersville</t>
  </si>
  <si>
    <t>Kirbyville Light &amp; Power Co (TX)</t>
  </si>
  <si>
    <t>107 S Elizabeth St</t>
  </si>
  <si>
    <t>Kirbyville</t>
  </si>
  <si>
    <t>75959</t>
  </si>
  <si>
    <t>Fairfield Electric</t>
  </si>
  <si>
    <t>701 Blythewood Rd</t>
  </si>
  <si>
    <t>Blythewood</t>
  </si>
  <si>
    <t>29016</t>
  </si>
  <si>
    <t>Bandera Electric Coop</t>
  </si>
  <si>
    <t>Heart Of Texas Electric Coop</t>
  </si>
  <si>
    <t>1111 Johnson Drive</t>
  </si>
  <si>
    <t>McGregor</t>
  </si>
  <si>
    <t>Aiken Electric</t>
  </si>
  <si>
    <t>2790 Wagener Rd</t>
  </si>
  <si>
    <t>Aiken</t>
  </si>
  <si>
    <t>29801</t>
  </si>
  <si>
    <t>Wise Electric Coop Inc</t>
  </si>
  <si>
    <t>1900 North Trinity Street</t>
  </si>
  <si>
    <t>76234</t>
  </si>
  <si>
    <t>Kerrville Public Utility Board</t>
  </si>
  <si>
    <t>2250 Memorial Blvd</t>
  </si>
  <si>
    <t>Kerrville</t>
  </si>
  <si>
    <t>78028</t>
  </si>
  <si>
    <t>San Bernard Electric Coop</t>
  </si>
  <si>
    <t>309 W Main Street</t>
  </si>
  <si>
    <t>77418</t>
  </si>
  <si>
    <t>Georgetown Water and Light (TX)</t>
  </si>
  <si>
    <t>300-1 Industrial Ave</t>
  </si>
  <si>
    <t>78627</t>
  </si>
  <si>
    <t>HILCO Electric Cooperative</t>
  </si>
  <si>
    <t>502 N. Hill Street</t>
  </si>
  <si>
    <t>Itasca</t>
  </si>
  <si>
    <t>76055</t>
  </si>
  <si>
    <t>Medina Electric Coop</t>
  </si>
  <si>
    <t>Bryan Texas Utilities</t>
  </si>
  <si>
    <t>205 E. 28th Street</t>
  </si>
  <si>
    <t>78802</t>
  </si>
  <si>
    <t>Bamberg Board of Public Works</t>
  </si>
  <si>
    <t>2340 Main Hwy</t>
  </si>
  <si>
    <t>Bamberg</t>
  </si>
  <si>
    <t>Bowie-Cass Electric Coop</t>
  </si>
  <si>
    <t>117 North Street</t>
  </si>
  <si>
    <t>Douglassville</t>
  </si>
  <si>
    <t>75560</t>
  </si>
  <si>
    <t>Central Texas Electric Cooperative</t>
  </si>
  <si>
    <t>South River EMC - NC</t>
  </si>
  <si>
    <t>17494 US 421 S</t>
  </si>
  <si>
    <t>Dunn</t>
  </si>
  <si>
    <t>28334</t>
  </si>
  <si>
    <t>Roanoke EMC - NC</t>
  </si>
  <si>
    <t>518 Hwy 561</t>
  </si>
  <si>
    <t>Aulander</t>
  </si>
  <si>
    <t>27805</t>
  </si>
  <si>
    <t>Pitt &amp; Greene Electric</t>
  </si>
  <si>
    <t>3989 West Wilson St</t>
  </si>
  <si>
    <t>Halifax EMC</t>
  </si>
  <si>
    <t>208 West Whitfield St</t>
  </si>
  <si>
    <t>Enfield</t>
  </si>
  <si>
    <t>27823</t>
  </si>
  <si>
    <t>College Station Utilities</t>
  </si>
  <si>
    <t>1601 Graham Rd.</t>
  </si>
  <si>
    <t>77842</t>
  </si>
  <si>
    <t>Deep East Texas Electric Coop</t>
  </si>
  <si>
    <t>US Hwy 21 E</t>
  </si>
  <si>
    <t>San Augustine</t>
  </si>
  <si>
    <t>75972</t>
  </si>
  <si>
    <t>Olathe Chiropractic Clinic</t>
  </si>
  <si>
    <t>15930 S Mur Len Rd</t>
  </si>
  <si>
    <t>66062</t>
  </si>
  <si>
    <t>New Horizons Electric Cooperative</t>
  </si>
  <si>
    <t>1776 Hwy 14</t>
  </si>
  <si>
    <t>Laurens</t>
  </si>
  <si>
    <t>29360</t>
  </si>
  <si>
    <t>Central Electric Power Cooperative Inc.</t>
  </si>
  <si>
    <t>20 Cooperative Way</t>
  </si>
  <si>
    <t>Cloumbia</t>
  </si>
  <si>
    <t>29210</t>
  </si>
  <si>
    <t>Avery Dennison</t>
  </si>
  <si>
    <t>7100 Lindsay Drive</t>
  </si>
  <si>
    <t>Mentor</t>
  </si>
  <si>
    <t>44060</t>
  </si>
  <si>
    <t>Trinity Valley Electric Coop</t>
  </si>
  <si>
    <t>1800 Hwy 243 E</t>
  </si>
  <si>
    <t>Kaufman</t>
  </si>
  <si>
    <t>75142</t>
  </si>
  <si>
    <t>City of Garland (TX)</t>
  </si>
  <si>
    <t>1720 Traffic Trail</t>
  </si>
  <si>
    <t>Garland</t>
  </si>
  <si>
    <t>75040</t>
  </si>
  <si>
    <t>Monroe Utility Department</t>
  </si>
  <si>
    <t>International Paper - Cedar River Mill</t>
  </si>
  <si>
    <t>4600 C Street SW</t>
  </si>
  <si>
    <t>Cedar Rapids</t>
  </si>
  <si>
    <t>52404</t>
  </si>
  <si>
    <t>Association of Missouri Electric Cooperatives</t>
  </si>
  <si>
    <t>2722 E McCarty St</t>
  </si>
  <si>
    <t>65101</t>
  </si>
  <si>
    <t>Bluebonnet Electric Cooperative</t>
  </si>
  <si>
    <t>650 Highway 21 E</t>
  </si>
  <si>
    <t>CoServ Electric</t>
  </si>
  <si>
    <t>7701 S Stemmons Fwy</t>
  </si>
  <si>
    <t>76210</t>
  </si>
  <si>
    <t>Pedernales Electric Coop</t>
  </si>
  <si>
    <t>Enbridge Energy</t>
  </si>
  <si>
    <t>5400 Westheimer Ct</t>
  </si>
  <si>
    <t>77056</t>
  </si>
  <si>
    <t>Austin Energy</t>
  </si>
  <si>
    <t>124 West 8th st. Set. 310</t>
  </si>
  <si>
    <t>78701</t>
  </si>
  <si>
    <t>South Walton Utility Co., Inc</t>
  </si>
  <si>
    <t>369 Miramar Beach Dr,</t>
  </si>
  <si>
    <t>Miramar Beach</t>
  </si>
  <si>
    <t>Tomcat Engineering</t>
  </si>
  <si>
    <t>3303 S 14th Avenue</t>
  </si>
  <si>
    <t>Yuma</t>
  </si>
  <si>
    <t>85365</t>
  </si>
  <si>
    <t>Clay County Port Authority</t>
  </si>
  <si>
    <t>1065 Buckethead Rd</t>
  </si>
  <si>
    <t>Clean Earth Inc</t>
  </si>
  <si>
    <t>Titusville</t>
  </si>
  <si>
    <t>Coastal Plywood</t>
  </si>
  <si>
    <t>8007 Florida Georgia Hwy,</t>
  </si>
  <si>
    <t>MAYVILLE ELECTRIC DEPT</t>
  </si>
  <si>
    <t>Crane and Rigging of Jacksonville</t>
  </si>
  <si>
    <t>537 Lane Av N</t>
  </si>
  <si>
    <t>CW Ferrell Construction</t>
  </si>
  <si>
    <t>12058 San Jose Blvd suite 804</t>
  </si>
  <si>
    <t>32223</t>
  </si>
  <si>
    <t>Doleac Electric</t>
  </si>
  <si>
    <t>12503 Dedeaux Rd</t>
  </si>
  <si>
    <t>Electric Power Inc- Florida</t>
  </si>
  <si>
    <t>1351 W. Hundred Rd</t>
  </si>
  <si>
    <t>23846</t>
  </si>
  <si>
    <t>Electric Power Systems - Florida</t>
  </si>
  <si>
    <t>3806 Caboose Place</t>
  </si>
  <si>
    <t>32771</t>
  </si>
  <si>
    <t>Tupper Lake Municipal Electric System</t>
  </si>
  <si>
    <t>Westfield Village Electric Dept</t>
  </si>
  <si>
    <t>Envirocom Asset Recovery(Controlled Demolition Inc)- Ft Lauderdale, FL project</t>
  </si>
  <si>
    <t>4322/6520 N Ash St</t>
  </si>
  <si>
    <t>99208</t>
  </si>
  <si>
    <t>EPS</t>
  </si>
  <si>
    <t>4625 Stonegate Industrial Blve</t>
  </si>
  <si>
    <t>Stone Mountain</t>
  </si>
  <si>
    <t>30083</t>
  </si>
  <si>
    <t>Plattsburgh Mun. Light</t>
  </si>
  <si>
    <t>Florida Municipal Electric Association</t>
  </si>
  <si>
    <t>417 E. College Av</t>
  </si>
  <si>
    <t>32301</t>
  </si>
  <si>
    <t>Mohawk Municipal Commission</t>
  </si>
  <si>
    <t>28 Columbia St</t>
  </si>
  <si>
    <t>Mohawk</t>
  </si>
  <si>
    <t>13407</t>
  </si>
  <si>
    <t>Gresco</t>
  </si>
  <si>
    <t>6421 CR 219</t>
  </si>
  <si>
    <t>Wildwood</t>
  </si>
  <si>
    <t>34785</t>
  </si>
  <si>
    <t>Henderson Electric</t>
  </si>
  <si>
    <t>648-2 Anchors St NW</t>
  </si>
  <si>
    <t>Prudential</t>
  </si>
  <si>
    <t>Prudential Bache Commodities</t>
  </si>
  <si>
    <t>Isle Casino</t>
  </si>
  <si>
    <t>777 Isle of Capri Cir.</t>
  </si>
  <si>
    <t>Pompano Beach</t>
  </si>
  <si>
    <t>33069</t>
  </si>
  <si>
    <t>Jacksonville Port Authority</t>
  </si>
  <si>
    <t>2831 Talleyrand Av</t>
  </si>
  <si>
    <t>32206</t>
  </si>
  <si>
    <t>Jordan Transformer</t>
  </si>
  <si>
    <t>1000 Syndicate Street</t>
  </si>
  <si>
    <t>Kraft Powercon</t>
  </si>
  <si>
    <t>112 West Gregory St</t>
  </si>
  <si>
    <t>32502</t>
  </si>
  <si>
    <t>Marcobay Construction</t>
  </si>
  <si>
    <t>4025 South Pipkin Rd</t>
  </si>
  <si>
    <t>33811</t>
  </si>
  <si>
    <t>Michels Power -WI location - Key Largo ,FL project</t>
  </si>
  <si>
    <t>1775 E. Shady Ln</t>
  </si>
  <si>
    <t>Rusal America Corporation</t>
  </si>
  <si>
    <t>Montoya Electric</t>
  </si>
  <si>
    <t>5604 Commercial Blvd</t>
  </si>
  <si>
    <t>Winter Haven</t>
  </si>
  <si>
    <t>33880</t>
  </si>
  <si>
    <t>Salamanca Board of Public Utilities</t>
  </si>
  <si>
    <t>Pasco County</t>
  </si>
  <si>
    <t>14606 Hayes Rd</t>
  </si>
  <si>
    <t>Spring Hill</t>
  </si>
  <si>
    <t>34610</t>
  </si>
  <si>
    <t>Peace River Electric Co-Op</t>
  </si>
  <si>
    <t>1499 US Hwy 17 N</t>
  </si>
  <si>
    <t>Sherburne Municipal Electric Light Plant</t>
  </si>
  <si>
    <t>Silver Springs Electric Dept</t>
  </si>
  <si>
    <t>Skaneateles Mun. Lt.</t>
  </si>
  <si>
    <t>S&amp;W Contracting</t>
  </si>
  <si>
    <t>109 S Camellia Blvd, Ste 101</t>
  </si>
  <si>
    <t>Fort Valley</t>
  </si>
  <si>
    <t>Southern Electric FL</t>
  </si>
  <si>
    <t>11618 Columbia Park Dr E.</t>
  </si>
  <si>
    <t>Anixter - Michael Rogers,FL</t>
  </si>
  <si>
    <t>3881 Old Winter Garden Rd</t>
  </si>
  <si>
    <t>City Of Vero Beach</t>
  </si>
  <si>
    <t>3455 Airport West Dr.</t>
  </si>
  <si>
    <t>Vero Beach</t>
  </si>
  <si>
    <t>32961</t>
  </si>
  <si>
    <t>Southern Switch and Contacts</t>
  </si>
  <si>
    <t>855 Virgina Av</t>
  </si>
  <si>
    <t>Palm Harbor</t>
  </si>
  <si>
    <t>34683</t>
  </si>
  <si>
    <t>Symrise Chemical plant</t>
  </si>
  <si>
    <t>601 Crestwood St</t>
  </si>
  <si>
    <t>32208</t>
  </si>
  <si>
    <t>The Mosaic Company</t>
  </si>
  <si>
    <t>13830 Circa Crossing Dr</t>
  </si>
  <si>
    <t>Lithia</t>
  </si>
  <si>
    <t>33547</t>
  </si>
  <si>
    <t>Spencerport Mun. Electric</t>
  </si>
  <si>
    <t>Springville Electric System</t>
  </si>
  <si>
    <t>United Electric Co. of  Jacksonville</t>
  </si>
  <si>
    <t>5715 St,. Augustine Rd</t>
  </si>
  <si>
    <t>United Launch Alliance</t>
  </si>
  <si>
    <t>Titan III Rd</t>
  </si>
  <si>
    <t>32780</t>
  </si>
  <si>
    <t>University of West Florida (UWF)</t>
  </si>
  <si>
    <t>11000 University Parkway Bldg 90/102</t>
  </si>
  <si>
    <t>Steuben Rural Electric Coop Inc</t>
  </si>
  <si>
    <t>West Point Utility System</t>
  </si>
  <si>
    <t>409 6th St</t>
  </si>
  <si>
    <t>52656</t>
  </si>
  <si>
    <t>City of West Bend (IA)</t>
  </si>
  <si>
    <t>301 South Broadway</t>
  </si>
  <si>
    <t>West Bend</t>
  </si>
  <si>
    <t>50597</t>
  </si>
  <si>
    <t>Wall Lake Municipal Utilities (IA)</t>
  </si>
  <si>
    <t>102 Boyer St</t>
  </si>
  <si>
    <t>Wall Lake</t>
  </si>
  <si>
    <t>51466</t>
  </si>
  <si>
    <t>A-C Electric Company</t>
  </si>
  <si>
    <t>315 30th St.</t>
  </si>
  <si>
    <t>93301</t>
  </si>
  <si>
    <t>Sumner Municipal Light Plant</t>
  </si>
  <si>
    <t>105 Wapsie St</t>
  </si>
  <si>
    <t>Sumner</t>
  </si>
  <si>
    <t>50674</t>
  </si>
  <si>
    <t>Stuart Municipal Utilities</t>
  </si>
  <si>
    <t>119 Front St</t>
  </si>
  <si>
    <t>Stuart</t>
  </si>
  <si>
    <t>50250</t>
  </si>
  <si>
    <t>Strawberry Point Municipal Utility</t>
  </si>
  <si>
    <t>111 Commercial St</t>
  </si>
  <si>
    <t>Strawberry Point</t>
  </si>
  <si>
    <t>52076</t>
  </si>
  <si>
    <t>Stratford Municipal Electric Utility</t>
  </si>
  <si>
    <t>805 Shakespeare Avenue</t>
  </si>
  <si>
    <t>Stratford</t>
  </si>
  <si>
    <t>50249</t>
  </si>
  <si>
    <t>State Center Electric Plant</t>
  </si>
  <si>
    <t>103 2nd St NE</t>
  </si>
  <si>
    <t>State Center</t>
  </si>
  <si>
    <t>50247</t>
  </si>
  <si>
    <t>Sabula Municipal Utilities (IA)</t>
  </si>
  <si>
    <t>411 Broad St</t>
  </si>
  <si>
    <t>Sabula</t>
  </si>
  <si>
    <t>52070</t>
  </si>
  <si>
    <t>Rockford Municipal Light Plant</t>
  </si>
  <si>
    <t>18 1st St S</t>
  </si>
  <si>
    <t>50468</t>
  </si>
  <si>
    <t>Renwick Municipal Utilities (IA)</t>
  </si>
  <si>
    <t>503 Main St</t>
  </si>
  <si>
    <t>Renwick</t>
  </si>
  <si>
    <t>50577</t>
  </si>
  <si>
    <t>L&amp;O Power Coop</t>
  </si>
  <si>
    <t>1302 S Union St</t>
  </si>
  <si>
    <t>Dike Municipal Utilities</t>
  </si>
  <si>
    <t>540 Main St</t>
  </si>
  <si>
    <t>Dike</t>
  </si>
  <si>
    <t>50624</t>
  </si>
  <si>
    <t>City of Readlyn</t>
  </si>
  <si>
    <t>128 Main Street</t>
  </si>
  <si>
    <t>Readlyn</t>
  </si>
  <si>
    <t>50668</t>
  </si>
  <si>
    <t>Primghar Municipal Utility</t>
  </si>
  <si>
    <t>160 S. HAYES AVE</t>
  </si>
  <si>
    <t>Primghar</t>
  </si>
  <si>
    <t>51245</t>
  </si>
  <si>
    <t>Pocahontas Municipal Utilities</t>
  </si>
  <si>
    <t>23 W Elm Ave</t>
  </si>
  <si>
    <t>Pocahontas</t>
  </si>
  <si>
    <t>50574</t>
  </si>
  <si>
    <t>Paullina Municipal Utilities</t>
  </si>
  <si>
    <t>127 S. Main St.</t>
  </si>
  <si>
    <t>Paullina</t>
  </si>
  <si>
    <t>51046</t>
  </si>
  <si>
    <t>Paton Municipal Electric Department</t>
  </si>
  <si>
    <t>219 S Main St</t>
  </si>
  <si>
    <t>Paton</t>
  </si>
  <si>
    <t>50217</t>
  </si>
  <si>
    <t>Mc Gregor Municipal Utilities</t>
  </si>
  <si>
    <t>126 1st St</t>
  </si>
  <si>
    <t>52157</t>
  </si>
  <si>
    <t>Utility Recyclers</t>
  </si>
  <si>
    <t>City of Marathon (IA)</t>
  </si>
  <si>
    <t>306 W Attica St</t>
  </si>
  <si>
    <t>Marathon</t>
  </si>
  <si>
    <t>50565</t>
  </si>
  <si>
    <t>Northwest Iowa Power Coop (NIPCO)</t>
  </si>
  <si>
    <t>31002 C38</t>
  </si>
  <si>
    <t>Le Mars</t>
  </si>
  <si>
    <t>51031</t>
  </si>
  <si>
    <t>Sequel Electric Supply - Panama City</t>
  </si>
  <si>
    <t>1716 Frankford Ave, Panama City, FL 32405</t>
  </si>
  <si>
    <t>Irby Electric Supply - Panama City</t>
  </si>
  <si>
    <t>17601 Ashley Dr</t>
  </si>
  <si>
    <t>32413</t>
  </si>
  <si>
    <t>Long Grove Electric Utility (IA)</t>
  </si>
  <si>
    <t>104 S 1st St</t>
  </si>
  <si>
    <t>Long Grove</t>
  </si>
  <si>
    <t>52756</t>
  </si>
  <si>
    <t>Livermore Municipal Utility</t>
  </si>
  <si>
    <t>501 4th St</t>
  </si>
  <si>
    <t>Livermore</t>
  </si>
  <si>
    <t>50558</t>
  </si>
  <si>
    <t>Lawler Municipal Utilities (IA)</t>
  </si>
  <si>
    <t>414 E Grove St</t>
  </si>
  <si>
    <t>Lawler</t>
  </si>
  <si>
    <t>52154</t>
  </si>
  <si>
    <t>Lehigh Municipal Utilities</t>
  </si>
  <si>
    <t>241 Elm Street</t>
  </si>
  <si>
    <t>Lehigh</t>
  </si>
  <si>
    <t>50557</t>
  </si>
  <si>
    <t>Watkins Glen Electric Dept</t>
  </si>
  <si>
    <t>Wellsville Water &amp; Light Dept</t>
  </si>
  <si>
    <t>ENERGY EAST CORP</t>
  </si>
  <si>
    <t>City of Vernon, Light and Power Dept.</t>
  </si>
  <si>
    <t>4305 S. Santa Fe Ave.</t>
  </si>
  <si>
    <t>Layer1 Technologies</t>
  </si>
  <si>
    <t>221 Kearney St Second Floor</t>
  </si>
  <si>
    <t>94108</t>
  </si>
  <si>
    <t>Jay Industrial Repair, Mobile, AL</t>
  </si>
  <si>
    <t>1200 Hutson Drive</t>
  </si>
  <si>
    <t>36609</t>
  </si>
  <si>
    <t>Energy Erectors, Inc.</t>
  </si>
  <si>
    <t>2958 North Commerce St</t>
  </si>
  <si>
    <t>Ferrovial Services</t>
  </si>
  <si>
    <t>3050 Copter Rd</t>
  </si>
  <si>
    <t>Lake View Utility Department</t>
  </si>
  <si>
    <t>305 Main St</t>
  </si>
  <si>
    <t>Lake View</t>
  </si>
  <si>
    <t>51450</t>
  </si>
  <si>
    <t>Hamilton Municipal Power System</t>
  </si>
  <si>
    <t>Keosauqua Light &amp; Power</t>
  </si>
  <si>
    <t>1301 Broad St</t>
  </si>
  <si>
    <t>Keosauqua</t>
  </si>
  <si>
    <t>52565</t>
  </si>
  <si>
    <t>Hudson Municipal Electric Utility</t>
  </si>
  <si>
    <t>615 Washington St</t>
  </si>
  <si>
    <t>50643</t>
  </si>
  <si>
    <t>Hartley Municipal Utilities</t>
  </si>
  <si>
    <t>11 S Central Ave.</t>
  </si>
  <si>
    <t>Hartley</t>
  </si>
  <si>
    <t>51346</t>
  </si>
  <si>
    <t>Grand Junction Municipal Utilities (IA)</t>
  </si>
  <si>
    <t>305 11th St S</t>
  </si>
  <si>
    <t>Grand Junction</t>
  </si>
  <si>
    <t>50107</t>
  </si>
  <si>
    <t>Glidden Municipal Utilities</t>
  </si>
  <si>
    <t>108 Idaho St</t>
  </si>
  <si>
    <t>Glidden</t>
  </si>
  <si>
    <t>51443</t>
  </si>
  <si>
    <t>HOLLEY MUNICIPAL ELECTRIC</t>
  </si>
  <si>
    <t>City of Fonda</t>
  </si>
  <si>
    <t>104 W 2nd St</t>
  </si>
  <si>
    <t>Fonda</t>
  </si>
  <si>
    <t>50540</t>
  </si>
  <si>
    <t>Ilion Board of Light Commissioners</t>
  </si>
  <si>
    <t>International Copper Association</t>
  </si>
  <si>
    <t>Ellsworth Municipal Utilities</t>
  </si>
  <si>
    <t>1528 DeWitt St</t>
  </si>
  <si>
    <t>Ellsworth</t>
  </si>
  <si>
    <t>50075</t>
  </si>
  <si>
    <t>Earlville Municipal Utilities</t>
  </si>
  <si>
    <t>12 South Side Road</t>
  </si>
  <si>
    <t>Earlville</t>
  </si>
  <si>
    <t>52041</t>
  </si>
  <si>
    <t>Durant Municipal Electric</t>
  </si>
  <si>
    <t>601 4th Street</t>
  </si>
  <si>
    <t>Durant</t>
  </si>
  <si>
    <t>52747</t>
  </si>
  <si>
    <t>Lake Placid Mun Electric</t>
  </si>
  <si>
    <t>Phillips 66</t>
  </si>
  <si>
    <t>1290 San Pablo Avenue</t>
  </si>
  <si>
    <t>Rodeo</t>
  </si>
  <si>
    <t>77042</t>
  </si>
  <si>
    <t>Friend Municipal Utility (NE)</t>
  </si>
  <si>
    <t>235 Maple Street</t>
  </si>
  <si>
    <t>Friend</t>
  </si>
  <si>
    <t>68359</t>
  </si>
  <si>
    <t>Dawson Public Power District</t>
  </si>
  <si>
    <t>75191 Rd 433</t>
  </si>
  <si>
    <t>City of Franklin (NE)</t>
  </si>
  <si>
    <t>619 15th Avenue</t>
  </si>
  <si>
    <t>68939</t>
  </si>
  <si>
    <t>Village of Fairmont (NE)</t>
  </si>
  <si>
    <t>635 6th Avenue</t>
  </si>
  <si>
    <t>68354</t>
  </si>
  <si>
    <t>Village of Emerson (NE)</t>
  </si>
  <si>
    <t>511 North Main Street</t>
  </si>
  <si>
    <t>Emerson</t>
  </si>
  <si>
    <t>68733</t>
  </si>
  <si>
    <t>Black &amp; McDonald (Kansas City, MO)</t>
  </si>
  <si>
    <t>6001 Front Street</t>
  </si>
  <si>
    <t>Village of Arnold (NE)</t>
  </si>
  <si>
    <t>109 N Walnut St</t>
  </si>
  <si>
    <t>69120</t>
  </si>
  <si>
    <t>Custer Public Power District</t>
  </si>
  <si>
    <t>625 East S East St,</t>
  </si>
  <si>
    <t>City of Edgar (NE)</t>
  </si>
  <si>
    <t>603 5th St</t>
  </si>
  <si>
    <t>Edgar</t>
  </si>
  <si>
    <t>68935</t>
  </si>
  <si>
    <t>North Platte Light and Power</t>
  </si>
  <si>
    <t>201 W 3rd Street</t>
  </si>
  <si>
    <t>North Platte</t>
  </si>
  <si>
    <t>69101</t>
  </si>
  <si>
    <t>City of Mitchell (NE)</t>
  </si>
  <si>
    <t>1280 Center Ave</t>
  </si>
  <si>
    <t>Mitchell</t>
  </si>
  <si>
    <t>69357</t>
  </si>
  <si>
    <t>Village of Dorchester (NE)</t>
  </si>
  <si>
    <t>701 Washington Ave</t>
  </si>
  <si>
    <t>Dorchester</t>
  </si>
  <si>
    <t>68343</t>
  </si>
  <si>
    <t>Deshler Municipal Utilities (NE)</t>
  </si>
  <si>
    <t>305 E Bryson Ave</t>
  </si>
  <si>
    <t>68340</t>
  </si>
  <si>
    <t>Imperial Municipal Utilities</t>
  </si>
  <si>
    <t>69033-0637</t>
  </si>
  <si>
    <t>Village of Decatur (NE)</t>
  </si>
  <si>
    <t>913 S. Broadway</t>
  </si>
  <si>
    <t>68020</t>
  </si>
  <si>
    <t>David City Light and Water</t>
  </si>
  <si>
    <t>174 E Street / P.O. Box 191</t>
  </si>
  <si>
    <t>Minden Municipal Utilities (NE)</t>
  </si>
  <si>
    <t>325 N. Colorado</t>
  </si>
  <si>
    <t>68959</t>
  </si>
  <si>
    <t>Village of DeWitt (NE)</t>
  </si>
  <si>
    <t>209 East Fillmore Ave</t>
  </si>
  <si>
    <t>DeWitt</t>
  </si>
  <si>
    <t>68341</t>
  </si>
  <si>
    <t>City of Grantville</t>
  </si>
  <si>
    <t>Grantville</t>
  </si>
  <si>
    <t>Valentine City Government</t>
  </si>
  <si>
    <t>802 East 2nd Street</t>
  </si>
  <si>
    <t>Valentine</t>
  </si>
  <si>
    <t>69201</t>
  </si>
  <si>
    <t>Kimball Municipal Utilities</t>
  </si>
  <si>
    <t>223 S. Chestnut</t>
  </si>
  <si>
    <t>Kimball</t>
  </si>
  <si>
    <t>69145-0299</t>
  </si>
  <si>
    <t>Wahoo Municipal Light Department</t>
  </si>
  <si>
    <t>605 North Broadway</t>
  </si>
  <si>
    <t>Wahoo</t>
  </si>
  <si>
    <t>68066</t>
  </si>
  <si>
    <t>Wayne Municipal Light Department</t>
  </si>
  <si>
    <t>207 S. Pearl St.</t>
  </si>
  <si>
    <t>Wayne</t>
  </si>
  <si>
    <t>68787</t>
  </si>
  <si>
    <t>Stanton County Public Power District</t>
  </si>
  <si>
    <t>807 Douglas Street</t>
  </si>
  <si>
    <t>Stanton</t>
  </si>
  <si>
    <t>68779-0319</t>
  </si>
  <si>
    <t>Falls City Water and Light Department</t>
  </si>
  <si>
    <t>2307 Barada Street</t>
  </si>
  <si>
    <t>Falls City</t>
  </si>
  <si>
    <t>68355</t>
  </si>
  <si>
    <t>Nebraska Deptartment of Health &amp; Human Services</t>
  </si>
  <si>
    <t>4200 West 2nd Street</t>
  </si>
  <si>
    <t>68902</t>
  </si>
  <si>
    <t>North Plains Electric Coop</t>
  </si>
  <si>
    <t>14585 US Hwy 83 N</t>
  </si>
  <si>
    <t>Perryton</t>
  </si>
  <si>
    <t>79070</t>
  </si>
  <si>
    <t>Beatrice Board Public Works</t>
  </si>
  <si>
    <t>400 Ella Street  # 2</t>
  </si>
  <si>
    <t>Coleman County Electric Cooperative</t>
  </si>
  <si>
    <t>3300 US 84</t>
  </si>
  <si>
    <t>Coleman</t>
  </si>
  <si>
    <t>76834</t>
  </si>
  <si>
    <t>Bailey County Electric Cooperative</t>
  </si>
  <si>
    <t>610 e American blvd</t>
  </si>
  <si>
    <t>Muleshoe</t>
  </si>
  <si>
    <t>79347</t>
  </si>
  <si>
    <t>City of Chadron</t>
  </si>
  <si>
    <t>234 main st</t>
  </si>
  <si>
    <t>Chadron</t>
  </si>
  <si>
    <t>Fannin County Electric Coop</t>
  </si>
  <si>
    <t>1530 Silo Rd</t>
  </si>
  <si>
    <t>Bonham</t>
  </si>
  <si>
    <t>75418</t>
  </si>
  <si>
    <t>Nebraska Municipal Power Pool</t>
  </si>
  <si>
    <t>Industrial Power and Equipment</t>
  </si>
  <si>
    <t>8603 S. Dixie Hwy ste.218</t>
  </si>
  <si>
    <t>Pinecrest</t>
  </si>
  <si>
    <t>33156</t>
  </si>
  <si>
    <t>Village of Davenport (NE)</t>
  </si>
  <si>
    <t>108 N. Oak Ave.</t>
  </si>
  <si>
    <t>68335</t>
  </si>
  <si>
    <t>Curtis City Light &amp; Power</t>
  </si>
  <si>
    <t>201 Garlick</t>
  </si>
  <si>
    <t>Curtis</t>
  </si>
  <si>
    <t>69025</t>
  </si>
  <si>
    <t>Outagamie County (WI)</t>
  </si>
  <si>
    <t>410 S Walnut St,</t>
  </si>
  <si>
    <t>Appleton</t>
  </si>
  <si>
    <t>54911</t>
  </si>
  <si>
    <t>University of Nebraska</t>
  </si>
  <si>
    <t>1901 Y Street</t>
  </si>
  <si>
    <t>68588</t>
  </si>
  <si>
    <t>Kiewit Mining Group Inc.</t>
  </si>
  <si>
    <t>Horrall Electric</t>
  </si>
  <si>
    <t>12834 E 700 RD</t>
  </si>
  <si>
    <t>CASEY MUNICIPAL UTILITIES (IL)</t>
  </si>
  <si>
    <t>108 E. First Street</t>
  </si>
  <si>
    <t>Casey</t>
  </si>
  <si>
    <t>62420</t>
  </si>
  <si>
    <t>Fredericksburg Utilities</t>
  </si>
  <si>
    <t>126 W Main St</t>
  </si>
  <si>
    <t>78624</t>
  </si>
  <si>
    <t>Crete Municipal Utilities</t>
  </si>
  <si>
    <t>243 East 13th StreetCrete, NE  68333</t>
  </si>
  <si>
    <t>Crete</t>
  </si>
  <si>
    <t>68333</t>
  </si>
  <si>
    <t>Electra Utilities</t>
  </si>
  <si>
    <t>101 N Main St</t>
  </si>
  <si>
    <t>Electra</t>
  </si>
  <si>
    <t>76360</t>
  </si>
  <si>
    <t>Metropolitan Utilities District</t>
  </si>
  <si>
    <t>1723 Harney St.</t>
  </si>
  <si>
    <t>68102-1960</t>
  </si>
  <si>
    <t>Elkhorn Rural Public Power District</t>
  </si>
  <si>
    <t>Battle Creek</t>
  </si>
  <si>
    <t>68715</t>
  </si>
  <si>
    <t>Watts Electric Company</t>
  </si>
  <si>
    <t>13351 Dovers Street</t>
  </si>
  <si>
    <t>68462</t>
  </si>
  <si>
    <t>Southern Power District</t>
  </si>
  <si>
    <t>4550 W Husker Hwy</t>
  </si>
  <si>
    <t>68803</t>
  </si>
  <si>
    <t>Norris PPD</t>
  </si>
  <si>
    <t>NV Energy Las Vegas</t>
  </si>
  <si>
    <t>2215 E. Lone Mountain Rd</t>
  </si>
  <si>
    <t>89081</t>
  </si>
  <si>
    <t>Oklahoma Gas and Electric (OG&amp;E)</t>
  </si>
  <si>
    <t>3220 South High</t>
  </si>
  <si>
    <t>Avista Corp</t>
  </si>
  <si>
    <t>1411 E Mission Ave MSC -15</t>
  </si>
  <si>
    <t>Duncan Power</t>
  </si>
  <si>
    <t>802 Martin Luther King Ave</t>
  </si>
  <si>
    <t>73533</t>
  </si>
  <si>
    <t>Peabody Energy (St Louis, MO)</t>
  </si>
  <si>
    <t>701 Market St.</t>
  </si>
  <si>
    <t>63101-1826</t>
  </si>
  <si>
    <t>Peabody Energy SE (Drummond Coal)</t>
  </si>
  <si>
    <t>654 Camp Creek Portal</t>
  </si>
  <si>
    <t>Oakman</t>
  </si>
  <si>
    <t>35579</t>
  </si>
  <si>
    <t>Altus Municipal Authority</t>
  </si>
  <si>
    <t>2208 Enterprise Drive</t>
  </si>
  <si>
    <t>Altus</t>
  </si>
  <si>
    <t>73521</t>
  </si>
  <si>
    <t>Tahlequah Public Works Authority</t>
  </si>
  <si>
    <t>728 West Choctaw Street</t>
  </si>
  <si>
    <t>Tahlequah</t>
  </si>
  <si>
    <t>74464</t>
  </si>
  <si>
    <t>Claremore Electric</t>
  </si>
  <si>
    <t>724 West Ramm Road</t>
  </si>
  <si>
    <t>Claremore</t>
  </si>
  <si>
    <t>74017</t>
  </si>
  <si>
    <t>National Standard</t>
  </si>
  <si>
    <t>1631 Lake Street</t>
  </si>
  <si>
    <t>Northwestern Electric Inc OK</t>
  </si>
  <si>
    <t>2925 Williams Avenue</t>
  </si>
  <si>
    <t>Woodward</t>
  </si>
  <si>
    <t>73801</t>
  </si>
  <si>
    <t>Southeastern Electric Coop</t>
  </si>
  <si>
    <t>Farmers Mutual Electric Co (IL) (Merged with Jo-Carroll)</t>
  </si>
  <si>
    <t>1004 S Chicago St</t>
  </si>
  <si>
    <t>Geneseo</t>
  </si>
  <si>
    <t>61254-0043</t>
  </si>
  <si>
    <t>Cimarron Electric Coop</t>
  </si>
  <si>
    <t>Hwy 81 N</t>
  </si>
  <si>
    <t>Kingsfisher</t>
  </si>
  <si>
    <t>John Engelbrecht</t>
  </si>
  <si>
    <t>Ok</t>
  </si>
  <si>
    <t>Ponca City Energy</t>
  </si>
  <si>
    <t>6714 North Pleasant View Road</t>
  </si>
  <si>
    <t>Ponca City</t>
  </si>
  <si>
    <t>74601</t>
  </si>
  <si>
    <t>Eastman Chemical Company</t>
  </si>
  <si>
    <t>Conoco-Phillips</t>
  </si>
  <si>
    <t>1000 S Pine St, Gate A</t>
  </si>
  <si>
    <t>Pacific Gas &amp; Electric</t>
  </si>
  <si>
    <t>4525 Hollis Street</t>
  </si>
  <si>
    <t>Emeryville</t>
  </si>
  <si>
    <t>94608</t>
  </si>
  <si>
    <t>Melvin Lewis Welding</t>
  </si>
  <si>
    <t>2505 West Northwest Loop 323</t>
  </si>
  <si>
    <t>Tyler</t>
  </si>
  <si>
    <t>75702</t>
  </si>
  <si>
    <t>Trinmar Contracting Inc.</t>
  </si>
  <si>
    <t>501 W.Felix St. Bldg 52  .</t>
  </si>
  <si>
    <t>Ft. Worth</t>
  </si>
  <si>
    <t>76115</t>
  </si>
  <si>
    <t>Cookson Hills Electric Coop</t>
  </si>
  <si>
    <t>1002 East Main Street</t>
  </si>
  <si>
    <t>Stigler</t>
  </si>
  <si>
    <t>74462</t>
  </si>
  <si>
    <t>TCEC</t>
  </si>
  <si>
    <t>995 Mile 46 Road</t>
  </si>
  <si>
    <t>Hooker</t>
  </si>
  <si>
    <t>73945</t>
  </si>
  <si>
    <t>Southwest Nashville</t>
  </si>
  <si>
    <t>1665 south 4th street</t>
  </si>
  <si>
    <t>Choctaw Electric Coop</t>
  </si>
  <si>
    <t>1033 N 4250 Rd</t>
  </si>
  <si>
    <t>Hugo</t>
  </si>
  <si>
    <t>Stillwater Utilities Authority</t>
  </si>
  <si>
    <t>Lake Region Electric Coop Inc</t>
  </si>
  <si>
    <t>516 S. Lake Region Rd</t>
  </si>
  <si>
    <t>Hulbert</t>
  </si>
  <si>
    <t>74441</t>
  </si>
  <si>
    <t>Rex Lumber Brookhaven, LLC</t>
  </si>
  <si>
    <t>810 W.L. Behan Road</t>
  </si>
  <si>
    <t>39601</t>
  </si>
  <si>
    <t>People's Electric Coop</t>
  </si>
  <si>
    <t>1600 North Country Club Road</t>
  </si>
  <si>
    <t>OFRS Demolition, Remediation &amp;  Environmental Services</t>
  </si>
  <si>
    <t>1875 Freeman Avenue</t>
  </si>
  <si>
    <t>CHINT Electric</t>
  </si>
  <si>
    <t>2442 Sheilds Street</t>
  </si>
  <si>
    <t>La Crescenta</t>
  </si>
  <si>
    <t>91214</t>
  </si>
  <si>
    <t>Carson Co-generation Company</t>
  </si>
  <si>
    <t>17171 S Central Ave</t>
  </si>
  <si>
    <t>90746</t>
  </si>
  <si>
    <t>Crosby &amp; Overton, Inc</t>
  </si>
  <si>
    <t>1610 W 17th Street</t>
  </si>
  <si>
    <t>90813</t>
  </si>
  <si>
    <t>California Institute of Technology</t>
  </si>
  <si>
    <t>1200 East California Blvd, MC B125-6</t>
  </si>
  <si>
    <t>91125</t>
  </si>
  <si>
    <t>Edges Electrical Group</t>
  </si>
  <si>
    <t>7 Work Circle</t>
  </si>
  <si>
    <t>Salinas</t>
  </si>
  <si>
    <t>93906</t>
  </si>
  <si>
    <t>Kiamichi Electric Coop</t>
  </si>
  <si>
    <t>966 Oklahoma 2</t>
  </si>
  <si>
    <t>Wilburton</t>
  </si>
  <si>
    <t>74578</t>
  </si>
  <si>
    <t>Cotton Electric Coop</t>
  </si>
  <si>
    <t>127 West Colorado</t>
  </si>
  <si>
    <t>Tri-County Electric Coop Inc (OK)</t>
  </si>
  <si>
    <t>Verdigris Valley Electric Coop</t>
  </si>
  <si>
    <t>8901e East 146th Street North</t>
  </si>
  <si>
    <t>Mid-American Group</t>
  </si>
  <si>
    <t>8475 Port Sunlight</t>
  </si>
  <si>
    <t>Northeast Oklahoma Electric Coop Inc</t>
  </si>
  <si>
    <t>443874 U.S. 60</t>
  </si>
  <si>
    <t>Vinita</t>
  </si>
  <si>
    <t>74301</t>
  </si>
  <si>
    <t>Edmond Utility Dept</t>
  </si>
  <si>
    <t>7 N Broadway</t>
  </si>
  <si>
    <t>73034</t>
  </si>
  <si>
    <t>Synergy Electric, Inc</t>
  </si>
  <si>
    <t>372 Distribution Drive</t>
  </si>
  <si>
    <t>Oklahoma Electric Coop</t>
  </si>
  <si>
    <t>Indian Electric Coop</t>
  </si>
  <si>
    <t>2506 East Old Highway 64</t>
  </si>
  <si>
    <t>74020</t>
  </si>
  <si>
    <t>KAMO Power</t>
  </si>
  <si>
    <t>500 South KAMO Drive</t>
  </si>
  <si>
    <t>Brandon &amp; Clark (TGC)</t>
  </si>
  <si>
    <t>3623 Interstate 27</t>
  </si>
  <si>
    <t>79404</t>
  </si>
  <si>
    <t>Huron Valley Electric</t>
  </si>
  <si>
    <t>425 Jackson Plaza</t>
  </si>
  <si>
    <t>48103</t>
  </si>
  <si>
    <t>Alfalfa Electric Coop Inc</t>
  </si>
  <si>
    <t>Skiatook public works, electric</t>
  </si>
  <si>
    <t>280 Oklahoma 20</t>
  </si>
  <si>
    <t>Skiatook</t>
  </si>
  <si>
    <t>74070</t>
  </si>
  <si>
    <t>East Central Oklahoma Electric Coop</t>
  </si>
  <si>
    <t>2001 South Wood Dr</t>
  </si>
  <si>
    <t>Okmulgee</t>
  </si>
  <si>
    <t>74447</t>
  </si>
  <si>
    <t>Catalyst Environmental</t>
  </si>
  <si>
    <t>Confor</t>
  </si>
  <si>
    <t>Insteel Wire Products</t>
  </si>
  <si>
    <t>1 Wiremill Road</t>
  </si>
  <si>
    <t>Sanderson</t>
  </si>
  <si>
    <t>32087</t>
  </si>
  <si>
    <t>RESA Power Services, Vacaville CA</t>
  </si>
  <si>
    <t>2140 Icon Way #200</t>
  </si>
  <si>
    <t>Vacaville</t>
  </si>
  <si>
    <t>95688</t>
  </si>
  <si>
    <t>Southeast Lineman Training Center</t>
  </si>
  <si>
    <t>9481 HWY 11</t>
  </si>
  <si>
    <t>Jonesboro City Water &amp; Light</t>
  </si>
  <si>
    <t>400 East Monroe Avenue</t>
  </si>
  <si>
    <t>Jonesboro</t>
  </si>
  <si>
    <t>72401</t>
  </si>
  <si>
    <t>Craighead EC</t>
  </si>
  <si>
    <t>4314 Stadium Blvd.</t>
  </si>
  <si>
    <t>72404</t>
  </si>
  <si>
    <t>Clay County EC (AR)</t>
  </si>
  <si>
    <t>3111 Hwy. 67</t>
  </si>
  <si>
    <t>Corning</t>
  </si>
  <si>
    <t>72422</t>
  </si>
  <si>
    <t>C &amp; L EC/ Star City**</t>
  </si>
  <si>
    <t>901 Church Street</t>
  </si>
  <si>
    <t>Ashley-Chicot EC</t>
  </si>
  <si>
    <t>914 E. St. Louis</t>
  </si>
  <si>
    <t>Hamburg</t>
  </si>
  <si>
    <t>71646</t>
  </si>
  <si>
    <t>C&amp;L Electric</t>
  </si>
  <si>
    <t>900 Church Street</t>
  </si>
  <si>
    <t>Hope Water &amp; Light</t>
  </si>
  <si>
    <t>105 N. Elm St.</t>
  </si>
  <si>
    <t>Hope</t>
  </si>
  <si>
    <t>71802</t>
  </si>
  <si>
    <t>Great Lakes Chemical/Lanxess (Chemtura)</t>
  </si>
  <si>
    <t>2226 Haynesville Hwy</t>
  </si>
  <si>
    <t>City of Herington</t>
  </si>
  <si>
    <t>17 N. Broadway</t>
  </si>
  <si>
    <t>Herington</t>
  </si>
  <si>
    <t>67449</t>
  </si>
  <si>
    <t>Southwest Arkansas EC</t>
  </si>
  <si>
    <t>2904 East Ninth</t>
  </si>
  <si>
    <t>Texarkana</t>
  </si>
  <si>
    <t>75504</t>
  </si>
  <si>
    <t>Georgia Pacific</t>
  </si>
  <si>
    <t>215 CR 16</t>
  </si>
  <si>
    <t>Palatka</t>
  </si>
  <si>
    <t>32117</t>
  </si>
  <si>
    <t>FreeState Electric Cooperative</t>
  </si>
  <si>
    <t>507 N. Union</t>
  </si>
  <si>
    <t>McLouth</t>
  </si>
  <si>
    <t>66054</t>
  </si>
  <si>
    <t>Paragould Light Water &amp; Cable</t>
  </si>
  <si>
    <t>1901 Jones Rd.</t>
  </si>
  <si>
    <t>Paragould</t>
  </si>
  <si>
    <t>72450</t>
  </si>
  <si>
    <t>Paris Light &amp; Water (AR)</t>
  </si>
  <si>
    <t>Arkansas Valley EC</t>
  </si>
  <si>
    <t>1811 W. Commercial St.</t>
  </si>
  <si>
    <t>72949</t>
  </si>
  <si>
    <t>Clarksville Connected Utilities (AR)</t>
  </si>
  <si>
    <t>710 East Main</t>
  </si>
  <si>
    <t>72830</t>
  </si>
  <si>
    <t>Benton Utilities (AR)</t>
  </si>
  <si>
    <t>1827 Dale Avenue</t>
  </si>
  <si>
    <t>72015</t>
  </si>
  <si>
    <t>Pemiscot-Dunklin Electric Coop (MO)</t>
  </si>
  <si>
    <t>Highway 412 West</t>
  </si>
  <si>
    <t>Hayti</t>
  </si>
  <si>
    <t>63851</t>
  </si>
  <si>
    <t>Conway Corp.</t>
  </si>
  <si>
    <t>800 South Harkrider St.</t>
  </si>
  <si>
    <t>Conway</t>
  </si>
  <si>
    <t>72034</t>
  </si>
  <si>
    <t>Kansas City Power and Light</t>
  </si>
  <si>
    <t>4400 E Front Street</t>
  </si>
  <si>
    <t>North Arkansas EC</t>
  </si>
  <si>
    <t>225 South Main Street</t>
  </si>
  <si>
    <t>72576</t>
  </si>
  <si>
    <t>Camfil APC</t>
  </si>
  <si>
    <t>3505 Airport Road</t>
  </si>
  <si>
    <t>Freeburg Municipal Light (IL)</t>
  </si>
  <si>
    <t>412 W. High</t>
  </si>
  <si>
    <t>Freeburg</t>
  </si>
  <si>
    <t>62243</t>
  </si>
  <si>
    <t>Liberty Utilities</t>
  </si>
  <si>
    <t>602 S Joplin Ave</t>
  </si>
  <si>
    <t>64801</t>
  </si>
  <si>
    <t>Petit Jean EC</t>
  </si>
  <si>
    <t>270 Quality Drive</t>
  </si>
  <si>
    <t>72031</t>
  </si>
  <si>
    <t>P1 Group - Lenexa</t>
  </si>
  <si>
    <t>13605 W 96th Terrace</t>
  </si>
  <si>
    <t>Lenexa</t>
  </si>
  <si>
    <t>66215</t>
  </si>
  <si>
    <t>Eastern Illini Electric Cooperative</t>
  </si>
  <si>
    <t>330 W Ottawa</t>
  </si>
  <si>
    <t>Paxton</t>
  </si>
  <si>
    <t>60957-0096</t>
  </si>
  <si>
    <t>Ozarks EC</t>
  </si>
  <si>
    <t>3641 Wedington Drive</t>
  </si>
  <si>
    <t>72704</t>
  </si>
  <si>
    <t>West Memphis Util</t>
  </si>
  <si>
    <t>604 East Cooper</t>
  </si>
  <si>
    <t>West Memphis</t>
  </si>
  <si>
    <t>72303</t>
  </si>
  <si>
    <t>Firestone</t>
  </si>
  <si>
    <t>1406 US-371</t>
  </si>
  <si>
    <t>71857</t>
  </si>
  <si>
    <t>Entergy-Distribution Operations Center-Hammond</t>
  </si>
  <si>
    <t>411 Pride Drive</t>
  </si>
  <si>
    <t>Hammond</t>
  </si>
  <si>
    <t>70401</t>
  </si>
  <si>
    <t>Central Maine Power</t>
  </si>
  <si>
    <t>57 Anthony Ave</t>
  </si>
  <si>
    <t>4330</t>
  </si>
  <si>
    <t>City of Blakely</t>
  </si>
  <si>
    <t>10 Court Square</t>
  </si>
  <si>
    <t>Blakely</t>
  </si>
  <si>
    <t>39823</t>
  </si>
  <si>
    <t>CHELCO Eglin AFB</t>
  </si>
  <si>
    <t>Hwy 331 North</t>
  </si>
  <si>
    <t>DeFuniak Springs</t>
  </si>
  <si>
    <t>El-Ark Electric Company, Inc.</t>
  </si>
  <si>
    <t>City of Springfield, IL</t>
  </si>
  <si>
    <t>1008 Miller St.</t>
  </si>
  <si>
    <t>62702</t>
  </si>
  <si>
    <t>City Of Bushnell (FL)</t>
  </si>
  <si>
    <t>601 E. Seminole St.</t>
  </si>
  <si>
    <t>33513</t>
  </si>
  <si>
    <t>City of Fairhope</t>
  </si>
  <si>
    <t>555 South Section St</t>
  </si>
  <si>
    <t>Fairhope</t>
  </si>
  <si>
    <t>36533</t>
  </si>
  <si>
    <t>Arkansas State University/ Clint Halcom</t>
  </si>
  <si>
    <t>Facilities Management Arkansas State Univ.</t>
  </si>
  <si>
    <t>72403</t>
  </si>
  <si>
    <t>BWX Technologies</t>
  </si>
  <si>
    <t>P. O. Box 785  1570 Mt. Athos Road</t>
  </si>
  <si>
    <t>24505</t>
  </si>
  <si>
    <t>AEP - Oklahoma</t>
  </si>
  <si>
    <t>212 E 6th St</t>
  </si>
  <si>
    <t>74119</t>
  </si>
  <si>
    <t>Auburn University</t>
  </si>
  <si>
    <t>200 Wire Rd</t>
  </si>
  <si>
    <t>36849</t>
  </si>
  <si>
    <t>Freeport-McMoran Sierrita Operations</t>
  </si>
  <si>
    <t>6200 West Duval Mine Road</t>
  </si>
  <si>
    <t>Sahuarita</t>
  </si>
  <si>
    <t>85629</t>
  </si>
  <si>
    <t>IFD</t>
  </si>
  <si>
    <t>#3-8755 Ash Street</t>
  </si>
  <si>
    <t>BC</t>
  </si>
  <si>
    <t>V6P 6T3</t>
  </si>
  <si>
    <t>Little River Elec Coop</t>
  </si>
  <si>
    <t>300 Cambridge St</t>
  </si>
  <si>
    <t>Abbeville</t>
  </si>
  <si>
    <t>29620</t>
  </si>
  <si>
    <t>Kamloops Electric Motor Sales &amp; Services</t>
  </si>
  <si>
    <t>1260 Dalhousie Drive</t>
  </si>
  <si>
    <t>Kamloops</t>
  </si>
  <si>
    <t>V2C6G3</t>
  </si>
  <si>
    <t>Lewis Environmental</t>
  </si>
  <si>
    <t>155 Railroad Plaza</t>
  </si>
  <si>
    <t>Royetsford</t>
  </si>
  <si>
    <t>19468</t>
  </si>
  <si>
    <t>Boundary Electric Ltd.</t>
  </si>
  <si>
    <t>Grand Forks</t>
  </si>
  <si>
    <t>Clean Harbors Environmental Services Los Angeles</t>
  </si>
  <si>
    <t>5756 Alba St.</t>
  </si>
  <si>
    <t>Anixter Power Solutions Pensacola</t>
  </si>
  <si>
    <t>5030 Commerce Park Cir</t>
  </si>
  <si>
    <t>Rich Mountain EC/Brad Castor</t>
  </si>
  <si>
    <t>Mena</t>
  </si>
  <si>
    <t>River Ridge</t>
  </si>
  <si>
    <t>Sequel Electric Supply -Pensacola</t>
  </si>
  <si>
    <t>25 Mason Ln</t>
  </si>
  <si>
    <t>Service Electric Company</t>
  </si>
  <si>
    <t>PO Box 3656 1631 East 25th Street</t>
  </si>
  <si>
    <t>Chattanooga</t>
  </si>
  <si>
    <t>37404</t>
  </si>
  <si>
    <t>Southern Illinois Power Cooperative (G&amp;T)(OLD)</t>
  </si>
  <si>
    <t>11543 Lake of Egypt Road</t>
  </si>
  <si>
    <t>Southern Indiana Power (coop)</t>
  </si>
  <si>
    <t>Southwest Electric Company - Oklahoma (TGC)</t>
  </si>
  <si>
    <t>2617 S. Agnew Ave.</t>
  </si>
  <si>
    <t>State of Louisiana-Office of Procurement</t>
  </si>
  <si>
    <t>1201 N. Third Street; Suite2-160</t>
  </si>
  <si>
    <t>T&amp;R Electric</t>
  </si>
  <si>
    <t>308 NE 3rd St</t>
  </si>
  <si>
    <t>Tennessee Valley   (Tony Polk)</t>
  </si>
  <si>
    <t>590 Florence Rd</t>
  </si>
  <si>
    <t>Savannah</t>
  </si>
  <si>
    <t>38372</t>
  </si>
  <si>
    <t>Tulstar (AR/MO)</t>
  </si>
  <si>
    <t>5510 S. Lewis</t>
  </si>
  <si>
    <t>74105</t>
  </si>
  <si>
    <t>Valmont Newmark-</t>
  </si>
  <si>
    <t>4131 US 17</t>
  </si>
  <si>
    <t>Washington City Utilities (IN)</t>
  </si>
  <si>
    <t>2100 Memorial Ave</t>
  </si>
  <si>
    <t>Washington Electric Utilities - NC</t>
  </si>
  <si>
    <t>102 E. 2nd St.</t>
  </si>
  <si>
    <t>West Kentucky Rural Electric</t>
  </si>
  <si>
    <t>1218 West Broadway</t>
  </si>
  <si>
    <t>Mayfield</t>
  </si>
  <si>
    <t>42066</t>
  </si>
  <si>
    <t>West Memphis Utilities**</t>
  </si>
  <si>
    <t>604 E. Cooper</t>
  </si>
  <si>
    <t>72301</t>
  </si>
  <si>
    <t>White River Valley Electric Coop (OLD)</t>
  </si>
  <si>
    <t>Yazoo-Public Service Commission</t>
  </si>
  <si>
    <t>210 Mound Street</t>
  </si>
  <si>
    <t>460 W. Bridge Street</t>
  </si>
  <si>
    <t>Yellowstone Electric Co</t>
  </si>
  <si>
    <t>1919 4th ave North</t>
  </si>
  <si>
    <t>Billings</t>
  </si>
  <si>
    <t>59101</t>
  </si>
  <si>
    <t>City Of Alachua</t>
  </si>
  <si>
    <t>R13101 NW 104 Terrace</t>
  </si>
  <si>
    <t>Alachua</t>
  </si>
  <si>
    <t>32616</t>
  </si>
  <si>
    <t>City of Starke Electric System</t>
  </si>
  <si>
    <t>601 North Orange St.</t>
  </si>
  <si>
    <t>Chemours Company</t>
  </si>
  <si>
    <t>1007 Market Street</t>
  </si>
  <si>
    <t>19898</t>
  </si>
  <si>
    <t>Bettis Contractors</t>
  </si>
  <si>
    <t>1800 NW Brickyard Rd</t>
  </si>
  <si>
    <t>BASF - Quincy ,FL location</t>
  </si>
  <si>
    <t>1101 N. Madison St</t>
  </si>
  <si>
    <t>Blountstown Municipal Electric Department</t>
  </si>
  <si>
    <t>20591 W. Central Ave.</t>
  </si>
  <si>
    <t>Blountstown</t>
  </si>
  <si>
    <t>32424</t>
  </si>
  <si>
    <t>City Of Clewiston</t>
  </si>
  <si>
    <t>1300 S. Olympia St</t>
  </si>
  <si>
    <t>CHELCO</t>
  </si>
  <si>
    <t>723 Hwy 331 North</t>
  </si>
  <si>
    <t>Dominion Energy South Carolina., Inc</t>
  </si>
  <si>
    <t>1703 Laurel St</t>
  </si>
  <si>
    <t>29201</t>
  </si>
  <si>
    <t>Village of Milan Electric Department (OH)</t>
  </si>
  <si>
    <t>179 South Main Street</t>
  </si>
  <si>
    <t>Wholesale Electric Supply Company - AR</t>
  </si>
  <si>
    <t>95 Commercial Street</t>
  </si>
  <si>
    <t>Cabot</t>
  </si>
  <si>
    <t>Black River Electric Coop (MO)</t>
  </si>
  <si>
    <t>2600 US-67</t>
  </si>
  <si>
    <t>Fredericktown</t>
  </si>
  <si>
    <t>63645</t>
  </si>
  <si>
    <t>Syncom Space Services-Stennis Space Center</t>
  </si>
  <si>
    <t>Bldg 1100, Room 1002</t>
  </si>
  <si>
    <t>Stennis Space Center</t>
  </si>
  <si>
    <t>39529</t>
  </si>
  <si>
    <t>Rolla Municipal Utilities (MO)</t>
  </si>
  <si>
    <t>102 W. 9th Street</t>
  </si>
  <si>
    <t>Rolla</t>
  </si>
  <si>
    <t>65402</t>
  </si>
  <si>
    <t>Jacksonville Energy Authority (JEA)</t>
  </si>
  <si>
    <t>6727 Broadway Ave.</t>
  </si>
  <si>
    <t>City Of West Plains (MO)</t>
  </si>
  <si>
    <t>1910 Holiday Ln</t>
  </si>
  <si>
    <t>City of Green Cove Springs</t>
  </si>
  <si>
    <t>1288 Harbor Road</t>
  </si>
  <si>
    <t>RJ Environmental - FL decom project</t>
  </si>
  <si>
    <t>50 Robin Ln</t>
  </si>
  <si>
    <t>54016</t>
  </si>
  <si>
    <t>Rexel - Springdale, AR</t>
  </si>
  <si>
    <t>4304 Conestoga Street</t>
  </si>
  <si>
    <t>Springdale</t>
  </si>
  <si>
    <t>Cutrale Citrus Juices USA</t>
  </si>
  <si>
    <t>602 McKean St</t>
  </si>
  <si>
    <t>Auburndale</t>
  </si>
  <si>
    <t>33823</t>
  </si>
  <si>
    <t>Nat'l Field Services - Nevada</t>
  </si>
  <si>
    <t>3711 Regulus Ave</t>
  </si>
  <si>
    <t>89102</t>
  </si>
  <si>
    <t>Weston Solutions</t>
  </si>
  <si>
    <t>2300 Clayton Road, Suite 900</t>
  </si>
  <si>
    <t>94520</t>
  </si>
  <si>
    <t>City Of Lompoc</t>
  </si>
  <si>
    <t>1110 North D Street</t>
  </si>
  <si>
    <t>Lompoc</t>
  </si>
  <si>
    <t>ca</t>
  </si>
  <si>
    <t>93438</t>
  </si>
  <si>
    <t>Pallet One AL</t>
  </si>
  <si>
    <t>22640 County Rd 64</t>
  </si>
  <si>
    <t>Efacec</t>
  </si>
  <si>
    <t>Lugar da Arroteia
4465-587 Leça do Balio</t>
  </si>
  <si>
    <t>Porto</t>
  </si>
  <si>
    <t>72562</t>
  </si>
  <si>
    <t>Aubrey Silvey Enterprises</t>
  </si>
  <si>
    <t>371 Hamp Jones Rd</t>
  </si>
  <si>
    <t>Carollton</t>
  </si>
  <si>
    <t>30117</t>
  </si>
  <si>
    <t>Native American Transformer Services, Inc.</t>
  </si>
  <si>
    <t>9190 Double Diamond Parkway</t>
  </si>
  <si>
    <t>Reno</t>
  </si>
  <si>
    <t>89521</t>
  </si>
  <si>
    <t>Alabama Power</t>
  </si>
  <si>
    <t>600 North 18th Street</t>
  </si>
  <si>
    <t>35291</t>
  </si>
  <si>
    <t>Highland Electric Light Dept (IL)</t>
  </si>
  <si>
    <t>1115 Broadway</t>
  </si>
  <si>
    <t>62249</t>
  </si>
  <si>
    <t>Black Warrior EMC</t>
  </si>
  <si>
    <t>1410 Highway 43 North</t>
  </si>
  <si>
    <t>Demopolis</t>
  </si>
  <si>
    <t>36732</t>
  </si>
  <si>
    <t>Dixie EMC</t>
  </si>
  <si>
    <t>9100 Atlanta Highway</t>
  </si>
  <si>
    <t>A&amp;E Construction</t>
  </si>
  <si>
    <t>3 Almy Dr</t>
  </si>
  <si>
    <t>Malvern</t>
  </si>
  <si>
    <t>19355-1241</t>
  </si>
  <si>
    <t>Henkels &amp; McCoy inc</t>
  </si>
  <si>
    <t>985 Jolly Rd</t>
  </si>
  <si>
    <t>Blue Bell</t>
  </si>
  <si>
    <t>19422</t>
  </si>
  <si>
    <t>Cullman EMC</t>
  </si>
  <si>
    <t>1749 Eva Road</t>
  </si>
  <si>
    <t>35056</t>
  </si>
  <si>
    <t>Hexcel Corporation</t>
  </si>
  <si>
    <t>1214 W Gila Bend Hwy</t>
  </si>
  <si>
    <t>85122</t>
  </si>
  <si>
    <t>Huntsville Utilities</t>
  </si>
  <si>
    <t>1145 Jordan Road</t>
  </si>
  <si>
    <t>Huntsville</t>
  </si>
  <si>
    <t>35804</t>
  </si>
  <si>
    <t>Power South</t>
  </si>
  <si>
    <t>2027 East Three Notch St.</t>
  </si>
  <si>
    <t>R&amp;H Electric, Inc</t>
  </si>
  <si>
    <t>701 North McDonough</t>
  </si>
  <si>
    <t>26104</t>
  </si>
  <si>
    <t>Technical Engineering and Construction</t>
  </si>
  <si>
    <t>660 Clolinger Road</t>
  </si>
  <si>
    <t>Wiregrass EMC</t>
  </si>
  <si>
    <t>509 AL-167</t>
  </si>
  <si>
    <t>City of Lanett</t>
  </si>
  <si>
    <t>309 East 18th Street</t>
  </si>
  <si>
    <t>Lanett</t>
  </si>
  <si>
    <t>36863</t>
  </si>
  <si>
    <t>Muscle Shoals Electric Board</t>
  </si>
  <si>
    <t>1015 Avalon Ave</t>
  </si>
  <si>
    <t>35662</t>
  </si>
  <si>
    <t>Tallapoosa River EMC</t>
  </si>
  <si>
    <t>15163 U.S. Highway 431</t>
  </si>
  <si>
    <t>Fort Payne Utilities</t>
  </si>
  <si>
    <t>107 S Godfrey Avenue</t>
  </si>
  <si>
    <t>Fort Payne</t>
  </si>
  <si>
    <t>35967</t>
  </si>
  <si>
    <t>Florence Utilities</t>
  </si>
  <si>
    <t>502 E Dr. Hicks Blvd</t>
  </si>
  <si>
    <t>Florence</t>
  </si>
  <si>
    <t>35631</t>
  </si>
  <si>
    <t>Sand Mountain EMC</t>
  </si>
  <si>
    <t>198 West Main Street</t>
  </si>
  <si>
    <t>Rainsville</t>
  </si>
  <si>
    <t>35986</t>
  </si>
  <si>
    <t>Taylor Electrical Contractors</t>
  </si>
  <si>
    <t>5479 Skyland Blvd East</t>
  </si>
  <si>
    <t>Cottondale</t>
  </si>
  <si>
    <t>35453</t>
  </si>
  <si>
    <t>Electric Board of Guntersville</t>
  </si>
  <si>
    <t>701 Blount Ave</t>
  </si>
  <si>
    <t>Cullman Power Board</t>
  </si>
  <si>
    <t>1330 Iron Dr SW</t>
  </si>
  <si>
    <t>Pioneer EMC</t>
  </si>
  <si>
    <t>300 Herbert Street</t>
  </si>
  <si>
    <t>36037</t>
  </si>
  <si>
    <t>Dighton Light &amp; Water</t>
  </si>
  <si>
    <t>147 E Long St</t>
  </si>
  <si>
    <t>Story City Utilities</t>
  </si>
  <si>
    <t>11820 567th Ave</t>
  </si>
  <si>
    <t>Story City</t>
  </si>
  <si>
    <t>50248</t>
  </si>
  <si>
    <t>TSI</t>
  </si>
  <si>
    <t>74 Regional Dr.</t>
  </si>
  <si>
    <t>3302</t>
  </si>
  <si>
    <t>Franklin REC (IA)</t>
  </si>
  <si>
    <t>1560 Highway 65</t>
  </si>
  <si>
    <t>50441</t>
  </si>
  <si>
    <t>Linn County Rural Electric Cooperative</t>
  </si>
  <si>
    <t>5695 REC Drive</t>
  </si>
  <si>
    <t>52302</t>
  </si>
  <si>
    <t>Vinton Municipal Electric Utility (IA)</t>
  </si>
  <si>
    <t>203 E 2nd St</t>
  </si>
  <si>
    <t>Vinton</t>
  </si>
  <si>
    <t>52349</t>
  </si>
  <si>
    <t>Eldridge Municipal Utilities</t>
  </si>
  <si>
    <t>105 E Le Claire Rd</t>
  </si>
  <si>
    <t>52748</t>
  </si>
  <si>
    <t>R3 Technologies, Inc</t>
  </si>
  <si>
    <t>502 Baltimore Ave</t>
  </si>
  <si>
    <t>Towson</t>
  </si>
  <si>
    <t>21204</t>
  </si>
  <si>
    <t>Southwestern Electric Coop Inc [SWECI]</t>
  </si>
  <si>
    <t>525 US Route 40</t>
  </si>
  <si>
    <t>62246-0549</t>
  </si>
  <si>
    <t>City of Troy</t>
  </si>
  <si>
    <t>306 E Academy St</t>
  </si>
  <si>
    <t>Hermann Municipal Utilities (MO)</t>
  </si>
  <si>
    <t>1902 Jefferson Street</t>
  </si>
  <si>
    <t>Hermann</t>
  </si>
  <si>
    <t>65041</t>
  </si>
  <si>
    <t>City of Cimarron</t>
  </si>
  <si>
    <t>1119 S Main St</t>
  </si>
  <si>
    <t>Cimarron</t>
  </si>
  <si>
    <t>67835</t>
  </si>
  <si>
    <t>Chapman Utility Dept</t>
  </si>
  <si>
    <t>402 Marshall St</t>
  </si>
  <si>
    <t>Chapman</t>
  </si>
  <si>
    <t>67431</t>
  </si>
  <si>
    <t>Centralia Kansas</t>
  </si>
  <si>
    <t>517 4th St</t>
  </si>
  <si>
    <t>66415</t>
  </si>
  <si>
    <t>New Hampton Municipal Light Plant</t>
  </si>
  <si>
    <t>921 N Canty Ave</t>
  </si>
  <si>
    <t>New Hampton</t>
  </si>
  <si>
    <t>50659</t>
  </si>
  <si>
    <t>Burlingame</t>
  </si>
  <si>
    <t>101 E Santa Fe Ave</t>
  </si>
  <si>
    <t>66413</t>
  </si>
  <si>
    <t>Three Rivers Electric Coop (MO)</t>
  </si>
  <si>
    <t>1324 E Main St</t>
  </si>
  <si>
    <t>Linn</t>
  </si>
  <si>
    <t>65051</t>
  </si>
  <si>
    <t>ITC Midwest LLC</t>
  </si>
  <si>
    <t>505 Research Drive</t>
  </si>
  <si>
    <t>Brooklyn Municipal Utilities (IA)</t>
  </si>
  <si>
    <t>138 Jackson</t>
  </si>
  <si>
    <t>52211</t>
  </si>
  <si>
    <t>East-Central Iowa Rural Electric Coop [ECIREC]</t>
  </si>
  <si>
    <t>2400 Bing Miller Lane</t>
  </si>
  <si>
    <t>Urbana</t>
  </si>
  <si>
    <t>52345</t>
  </si>
  <si>
    <t>City of Axtell</t>
  </si>
  <si>
    <t>306 Maple St</t>
  </si>
  <si>
    <t>A tell</t>
  </si>
  <si>
    <t>City of Attica</t>
  </si>
  <si>
    <t>127 N Main</t>
  </si>
  <si>
    <t>Attic</t>
  </si>
  <si>
    <t>67009</t>
  </si>
  <si>
    <t>City of Ashland</t>
  </si>
  <si>
    <t>703 Main St</t>
  </si>
  <si>
    <t>67831</t>
  </si>
  <si>
    <t>City of Arma</t>
  </si>
  <si>
    <t>701 E Washington St</t>
  </si>
  <si>
    <t>Arma</t>
  </si>
  <si>
    <t>City of Newnan</t>
  </si>
  <si>
    <t>Newnan</t>
  </si>
  <si>
    <t>City of Arcadia</t>
  </si>
  <si>
    <t>106 E Race St</t>
  </si>
  <si>
    <t>66711</t>
  </si>
  <si>
    <t>City of Anthony</t>
  </si>
  <si>
    <t>124 S Bluff</t>
  </si>
  <si>
    <t>Anthony</t>
  </si>
  <si>
    <t>67003</t>
  </si>
  <si>
    <t>Coweta Fayette EMC</t>
  </si>
  <si>
    <t>807 Collinsworth Rd</t>
  </si>
  <si>
    <t>City of Altamont</t>
  </si>
  <si>
    <t>407 S Huston</t>
  </si>
  <si>
    <t>Alma Municipal Utility</t>
  </si>
  <si>
    <t>326 Missouri</t>
  </si>
  <si>
    <t>Alma</t>
  </si>
  <si>
    <t>66401</t>
  </si>
  <si>
    <t>John Deere (Ankeny, IA)</t>
  </si>
  <si>
    <t>825 Southwest Irvindale Dr</t>
  </si>
  <si>
    <t>Ankney</t>
  </si>
  <si>
    <t>50023</t>
  </si>
  <si>
    <t>Seneca Electric Department</t>
  </si>
  <si>
    <t>66538</t>
  </si>
  <si>
    <t>Glades Electric Coop</t>
  </si>
  <si>
    <t>26744 US Hwy 27- PO Bx 519</t>
  </si>
  <si>
    <t>Denison Municipal Utilities</t>
  </si>
  <si>
    <t>City of Tampa</t>
  </si>
  <si>
    <t>306 E. Jackson St</t>
  </si>
  <si>
    <t>33602</t>
  </si>
  <si>
    <t>Indianola Municipal Utilities</t>
  </si>
  <si>
    <t>1300 East Iowa Ave</t>
  </si>
  <si>
    <t>50125</t>
  </si>
  <si>
    <t>NRC Environmental Services, Inc</t>
  </si>
  <si>
    <t>2950 Kurtz Street</t>
  </si>
  <si>
    <t>92110</t>
  </si>
  <si>
    <t>Arkansas Electric Coop Corporation</t>
  </si>
  <si>
    <t>1 Cooperative Way</t>
  </si>
  <si>
    <t>Howard Electric Cooperative</t>
  </si>
  <si>
    <t>205 MO-5</t>
  </si>
  <si>
    <t>Egyptian Electric Coop Association</t>
  </si>
  <si>
    <t>1732 Finney Rd.</t>
  </si>
  <si>
    <t>Murphysboro</t>
  </si>
  <si>
    <t>62966</t>
  </si>
  <si>
    <t>Michigan State University</t>
  </si>
  <si>
    <t>1457 Recycling Drive   Building 209</t>
  </si>
  <si>
    <t>East Lansing</t>
  </si>
  <si>
    <t>48824</t>
  </si>
  <si>
    <t>Woodbine Municipal Utilities</t>
  </si>
  <si>
    <t>517 Walker Street</t>
  </si>
  <si>
    <t>Woodbine</t>
  </si>
  <si>
    <t>51579</t>
  </si>
  <si>
    <t>Guthrie County Rural Electric Cooperative</t>
  </si>
  <si>
    <t>1406 State Street</t>
  </si>
  <si>
    <t>Guthrie Center</t>
  </si>
  <si>
    <t>50115</t>
  </si>
  <si>
    <t>Panora Municipal Electric</t>
  </si>
  <si>
    <t>102 NW 2nd St</t>
  </si>
  <si>
    <t>Panora</t>
  </si>
  <si>
    <t>50216</t>
  </si>
  <si>
    <t>Corn Belt Power Coop (IA)</t>
  </si>
  <si>
    <t>1300 13th St N</t>
  </si>
  <si>
    <t>50548</t>
  </si>
  <si>
    <t>Village of Slinger</t>
  </si>
  <si>
    <t>300 Slinger Road</t>
  </si>
  <si>
    <t>Slinger</t>
  </si>
  <si>
    <t>53086</t>
  </si>
  <si>
    <t>American Integrated Services Inc</t>
  </si>
  <si>
    <t>Power Contracting</t>
  </si>
  <si>
    <t>2640 W Lone Cactus Drive</t>
  </si>
  <si>
    <t>85027</t>
  </si>
  <si>
    <t>Goodhue County Coop Assn</t>
  </si>
  <si>
    <t>1410 Northstar Dr</t>
  </si>
  <si>
    <t>Zumbrota</t>
  </si>
  <si>
    <t>55992</t>
  </si>
  <si>
    <t>Itasca-Mantrap Coop</t>
  </si>
  <si>
    <t>16930 County 6</t>
  </si>
  <si>
    <t>Park Rapids</t>
  </si>
  <si>
    <t>56470</t>
  </si>
  <si>
    <t>Kandiyohi Power Coop</t>
  </si>
  <si>
    <t>8605 47th St NE</t>
  </si>
  <si>
    <t>Spicer</t>
  </si>
  <si>
    <t>56288</t>
  </si>
  <si>
    <t>Madison Municipal Utilities</t>
  </si>
  <si>
    <t>116 W Center St</t>
  </si>
  <si>
    <t>57042</t>
  </si>
  <si>
    <t>North Star Electric Coop</t>
  </si>
  <si>
    <t>441 State Hwy 172 NW</t>
  </si>
  <si>
    <t>Baudette</t>
  </si>
  <si>
    <t>56623</t>
  </si>
  <si>
    <t>Sioux Valley Energy</t>
  </si>
  <si>
    <t>Jet Hwys 77 &amp; 34</t>
  </si>
  <si>
    <t>Valero Energy Corp</t>
  </si>
  <si>
    <t>1 Valero Way</t>
  </si>
  <si>
    <t>78249</t>
  </si>
  <si>
    <t>West River Electric Assn</t>
  </si>
  <si>
    <t>1200 W 4th Ave</t>
  </si>
  <si>
    <t>Wall</t>
  </si>
  <si>
    <t>57790</t>
  </si>
  <si>
    <t>Bradshaw State Jail</t>
  </si>
  <si>
    <t>3900 W Loop 571</t>
  </si>
  <si>
    <t>75652</t>
  </si>
  <si>
    <t>KSWO-TV</t>
  </si>
  <si>
    <t>Granfield</t>
  </si>
  <si>
    <t>Panel Truss Texas, Inc.</t>
  </si>
  <si>
    <t>700 Kilgore Dr</t>
  </si>
  <si>
    <t>Tex La Electric Coop</t>
  </si>
  <si>
    <t>2905 Westward Dr</t>
  </si>
  <si>
    <t>75963</t>
  </si>
  <si>
    <t>Hominy Public Works</t>
  </si>
  <si>
    <t>Scalfo Electric</t>
  </si>
  <si>
    <t>3539 N. Mill Rd.</t>
  </si>
  <si>
    <t>Vineland</t>
  </si>
  <si>
    <t>8360</t>
  </si>
  <si>
    <t>Jaytec, LLC</t>
  </si>
  <si>
    <t>620 S. Platt Road</t>
  </si>
  <si>
    <t>48160</t>
  </si>
  <si>
    <t>Premier Contracting LLC</t>
  </si>
  <si>
    <t>2601 Fortune Av</t>
  </si>
  <si>
    <t>Georgia Pacific-Camden Plywood &amp; Lumber</t>
  </si>
  <si>
    <t>Hudspeth Regional Center</t>
  </si>
  <si>
    <t>Hwy 475 @ 100 Hudspeth Drive</t>
  </si>
  <si>
    <t>Whitfield</t>
  </si>
  <si>
    <t>39193</t>
  </si>
  <si>
    <t>Jay Industrial Repair Corporate HQ</t>
  </si>
  <si>
    <t>2230 2nd Avenue South</t>
  </si>
  <si>
    <t>Webco Electrical Contractor</t>
  </si>
  <si>
    <t>1903 W Kingsfield Rd</t>
  </si>
  <si>
    <t>Entergy - Beaumont, TX</t>
  </si>
  <si>
    <t>Goldhorn Electrical Construction</t>
  </si>
  <si>
    <t>20 Commerce Drive</t>
  </si>
  <si>
    <t>Aston</t>
  </si>
  <si>
    <t>19014</t>
  </si>
  <si>
    <t>Entergy - Corporate</t>
  </si>
  <si>
    <t>LEE Industrial Services, Inc</t>
  </si>
  <si>
    <t>1176 Jordan Rd</t>
  </si>
  <si>
    <t>35811</t>
  </si>
  <si>
    <t>The Fowler Company</t>
  </si>
  <si>
    <t>26185 Broadway Avenue</t>
  </si>
  <si>
    <t>Oakwood Village</t>
  </si>
  <si>
    <t>44146</t>
  </si>
  <si>
    <t>holt brothers</t>
  </si>
  <si>
    <t>Hampton-Tedder Electric Co.</t>
  </si>
  <si>
    <t>4571 STATE STREET</t>
  </si>
  <si>
    <t>Montclair</t>
  </si>
  <si>
    <t>91763</t>
  </si>
  <si>
    <t>Ferguson Electrical Services</t>
  </si>
  <si>
    <t>321 Ellicott St</t>
  </si>
  <si>
    <t>14203</t>
  </si>
  <si>
    <t>Swagelok</t>
  </si>
  <si>
    <t>29495 F. A. Lennon Drive</t>
  </si>
  <si>
    <t>Solon</t>
  </si>
  <si>
    <t>44139</t>
  </si>
  <si>
    <t>Perelco, Inc.</t>
  </si>
  <si>
    <t>1316 Adams Ave Al 36104</t>
  </si>
  <si>
    <t>1975 Technology Drive, Building J, Suite B</t>
  </si>
  <si>
    <t>Armstrong World Industries</t>
  </si>
  <si>
    <t>300 South Myrick Street</t>
  </si>
  <si>
    <t>City of Laurel (NE)</t>
  </si>
  <si>
    <t>101 W 2nd Street</t>
  </si>
  <si>
    <t>Native Sons LTD</t>
  </si>
  <si>
    <t>2603 N Rolling Rd Suiter 310</t>
  </si>
  <si>
    <t>Winsor Mill</t>
  </si>
  <si>
    <t>21244</t>
  </si>
  <si>
    <t>Scout Investment Recovery</t>
  </si>
  <si>
    <t>Haines &amp; Kibblehouse</t>
  </si>
  <si>
    <t>4747 S. Broad st Bldg 101 Suite 201</t>
  </si>
  <si>
    <t>19112</t>
  </si>
  <si>
    <t>GE - Cincinnati, OH</t>
  </si>
  <si>
    <t>TC Recycling</t>
  </si>
  <si>
    <t>120 Hutchman Road</t>
  </si>
  <si>
    <t>Mars</t>
  </si>
  <si>
    <t>16046</t>
  </si>
  <si>
    <t>West Virginia University</t>
  </si>
  <si>
    <t>975 Rawley Lane   PO Box 6570</t>
  </si>
  <si>
    <t>Morgantown</t>
  </si>
  <si>
    <t>26506</t>
  </si>
  <si>
    <t>American Chemical</t>
  </si>
  <si>
    <t>Durr MEGTEC Services, LLC</t>
  </si>
  <si>
    <t>830 Prosper Street</t>
  </si>
  <si>
    <t>De Pere</t>
  </si>
  <si>
    <t>54115</t>
  </si>
  <si>
    <t>GM Hill Engineering</t>
  </si>
  <si>
    <t>9640 Sunbeam Center Dr. Suite 101</t>
  </si>
  <si>
    <t>32257</t>
  </si>
  <si>
    <t>Centennial Electric</t>
  </si>
  <si>
    <t>PO Box 490</t>
  </si>
  <si>
    <t>Potterville</t>
  </si>
  <si>
    <t>48876</t>
  </si>
  <si>
    <t>SCS Engineers</t>
  </si>
  <si>
    <t>Potterville Public Schools</t>
  </si>
  <si>
    <t>420 N. High Street</t>
  </si>
  <si>
    <t>GM Plant</t>
  </si>
  <si>
    <t>3201 Fairfax Trafficway</t>
  </si>
  <si>
    <t>66115</t>
  </si>
  <si>
    <t>Kansas Speedway</t>
  </si>
  <si>
    <t>400 Speedway Blvd</t>
  </si>
  <si>
    <t>66111</t>
  </si>
  <si>
    <t>Almatis</t>
  </si>
  <si>
    <t>4701 Alcoa Rd</t>
  </si>
  <si>
    <t>DACON</t>
  </si>
  <si>
    <t>2941 S. Ruby Street</t>
  </si>
  <si>
    <t>70737</t>
  </si>
  <si>
    <t>Ace Environmental Consultants</t>
  </si>
  <si>
    <t>Ford Kansas City Plant</t>
  </si>
  <si>
    <t>8121 US 69</t>
  </si>
  <si>
    <t>Claycomo</t>
  </si>
  <si>
    <t>64119</t>
  </si>
  <si>
    <t>Hollywood Casino</t>
  </si>
  <si>
    <t>777 Hollywood Casino</t>
  </si>
  <si>
    <t>Kauffman Stadium</t>
  </si>
  <si>
    <t>1 Royal Way</t>
  </si>
  <si>
    <t>64129</t>
  </si>
  <si>
    <t>St Luke’s South Hospital</t>
  </si>
  <si>
    <t>12300 Metcalf Ave</t>
  </si>
  <si>
    <t>Overland Park</t>
  </si>
  <si>
    <t>66213</t>
  </si>
  <si>
    <t>Becket YMCA</t>
  </si>
  <si>
    <t>748nHamilton Rd</t>
  </si>
  <si>
    <t>Becket</t>
  </si>
  <si>
    <t>1223</t>
  </si>
  <si>
    <t>Schneider Electric   NC</t>
  </si>
  <si>
    <t>Jake's Electric Inc.</t>
  </si>
  <si>
    <t>8433 Hoy Road</t>
  </si>
  <si>
    <t>Wooster</t>
  </si>
  <si>
    <t>44627</t>
  </si>
  <si>
    <t>Statesville Light</t>
  </si>
  <si>
    <t>Statesville, NC</t>
  </si>
  <si>
    <t>Greer Public Works Commission</t>
  </si>
  <si>
    <t>301 McCall St</t>
  </si>
  <si>
    <t>Greer</t>
  </si>
  <si>
    <t>29652</t>
  </si>
  <si>
    <t>City of Gridley</t>
  </si>
  <si>
    <t>685 Kentucky Street</t>
  </si>
  <si>
    <t>Gridley</t>
  </si>
  <si>
    <t>95948</t>
  </si>
  <si>
    <t>SWCA Environmental Consultants</t>
  </si>
  <si>
    <t>Tri-Delta Systems</t>
  </si>
  <si>
    <t>172 Industrial Park Dr</t>
  </si>
  <si>
    <t>36310</t>
  </si>
  <si>
    <t>Concord City Electric</t>
  </si>
  <si>
    <t>635 Alfred Brown Jr., Ct SW</t>
  </si>
  <si>
    <t>28025</t>
  </si>
  <si>
    <t>SARGENT ELECTRIC</t>
  </si>
  <si>
    <t>Global Environmental Consulting</t>
  </si>
  <si>
    <t>Arizona Ecological Professionals</t>
  </si>
  <si>
    <t>JBR Environmental Consultants</t>
  </si>
  <si>
    <t>City of Wagoner OK</t>
  </si>
  <si>
    <t>All American Air and Electric</t>
  </si>
  <si>
    <t>Electric Service and Repair</t>
  </si>
  <si>
    <t>Empire Electric Inc</t>
  </si>
  <si>
    <t>Cape Hatteras EMC</t>
  </si>
  <si>
    <t>47109 Light Plant road</t>
  </si>
  <si>
    <t>Buxton</t>
  </si>
  <si>
    <t>27920</t>
  </si>
  <si>
    <t>Landis, NC Electric Dept.</t>
  </si>
  <si>
    <t>PO Box 8165</t>
  </si>
  <si>
    <t>Landis</t>
  </si>
  <si>
    <t>28088</t>
  </si>
  <si>
    <t>Florida Dept of Management Services</t>
  </si>
  <si>
    <t>Pee Dee Electric</t>
  </si>
  <si>
    <t>1355 E McIver Rd</t>
  </si>
  <si>
    <t>29532</t>
  </si>
  <si>
    <t>Tri State Generation and Transmission</t>
  </si>
  <si>
    <t>Westminister</t>
  </si>
  <si>
    <t>Capital Power</t>
  </si>
  <si>
    <t>1281 Powerhouse Dr</t>
  </si>
  <si>
    <t>28461</t>
  </si>
  <si>
    <t>Graybar- Gainesville, FL</t>
  </si>
  <si>
    <t>1015 S Main St</t>
  </si>
  <si>
    <t>32601</t>
  </si>
  <si>
    <t>Mil-Con Electric</t>
  </si>
  <si>
    <t>6141 Lake Gray Blvd</t>
  </si>
  <si>
    <t>32244</t>
  </si>
  <si>
    <t>Lee Electrical Contractors</t>
  </si>
  <si>
    <t>12828 Highway 15-501 South</t>
  </si>
  <si>
    <t>28315</t>
  </si>
  <si>
    <t>Pegex</t>
  </si>
  <si>
    <t>PVM Electric</t>
  </si>
  <si>
    <t>Rams,Inc</t>
  </si>
  <si>
    <t>Thibaults Electrical Service</t>
  </si>
  <si>
    <t>Wanerka Electric</t>
  </si>
  <si>
    <t>Elite Electrical</t>
  </si>
  <si>
    <t>JSW Steel</t>
  </si>
  <si>
    <t>1500 Commercial Avenue</t>
  </si>
  <si>
    <t>Mingo Junction</t>
  </si>
  <si>
    <t>43938</t>
  </si>
  <si>
    <t>Longmont Power &amp; Communications</t>
  </si>
  <si>
    <t>1100 S Sherman St</t>
  </si>
  <si>
    <t>Town of Black Creek (Utility Dept)</t>
  </si>
  <si>
    <t>112 W Center St</t>
  </si>
  <si>
    <t>Black Creek</t>
  </si>
  <si>
    <t>27813</t>
  </si>
  <si>
    <t>Town of Lucama Electric Department</t>
  </si>
  <si>
    <t>111 S Main St</t>
  </si>
  <si>
    <t>Lucama</t>
  </si>
  <si>
    <t>27851</t>
  </si>
  <si>
    <t>Town of Fremont</t>
  </si>
  <si>
    <t>120 East Main St</t>
  </si>
  <si>
    <t>27830</t>
  </si>
  <si>
    <t>Town of Stantonsburg</t>
  </si>
  <si>
    <t>108 E Commercial Ave</t>
  </si>
  <si>
    <t>Stantonsburg</t>
  </si>
  <si>
    <t>27883</t>
  </si>
  <si>
    <t>Atmore Electrical Supply</t>
  </si>
  <si>
    <t>9828 US-31</t>
  </si>
  <si>
    <t>Atmore</t>
  </si>
  <si>
    <t>36502</t>
  </si>
  <si>
    <t>CED Foley</t>
  </si>
  <si>
    <t>1000 S McKenzie St,</t>
  </si>
  <si>
    <t>Southport Municipal Electric/Public Works</t>
  </si>
  <si>
    <t>1010 N Howe St</t>
  </si>
  <si>
    <t>Buffalo Pump</t>
  </si>
  <si>
    <t>874 Oliver St</t>
  </si>
  <si>
    <t>North Tonawanda</t>
  </si>
  <si>
    <t>14120</t>
  </si>
  <si>
    <t>Tri-County EMC (NC)</t>
  </si>
  <si>
    <t>4255 S U.S. 117 Alt Hwy</t>
  </si>
  <si>
    <t>Dudley</t>
  </si>
  <si>
    <t>28333</t>
  </si>
  <si>
    <t>Harkers Island EMC (Carteret Craven)</t>
  </si>
  <si>
    <t>849 Island Rd</t>
  </si>
  <si>
    <t>Harkers Island</t>
  </si>
  <si>
    <t>28531</t>
  </si>
  <si>
    <t>CE Testing</t>
  </si>
  <si>
    <t>6148 Tim Crews Rd</t>
  </si>
  <si>
    <t>Maclenny</t>
  </si>
  <si>
    <t>Switchgear Electrical Contractors</t>
  </si>
  <si>
    <t>13190 SW 134th St</t>
  </si>
  <si>
    <t>33186</t>
  </si>
  <si>
    <t>Toledo Caisson</t>
  </si>
  <si>
    <t>6275 Consear Road</t>
  </si>
  <si>
    <t>Ottawa Lake</t>
  </si>
  <si>
    <t>49267</t>
  </si>
  <si>
    <t>Western Co-Op Electric Association</t>
  </si>
  <si>
    <t>635 S 13th St</t>
  </si>
  <si>
    <t>WaKeeney</t>
  </si>
  <si>
    <t>67672</t>
  </si>
  <si>
    <t>AMS Utilities</t>
  </si>
  <si>
    <t>1111</t>
  </si>
  <si>
    <t>Eastern Shore</t>
  </si>
  <si>
    <t>Highgrade Electrical</t>
  </si>
  <si>
    <t>Frontier Technologies, LLC</t>
  </si>
  <si>
    <t>572 Industrial Park Dr</t>
  </si>
  <si>
    <t>Longleaf Maching, LLC</t>
  </si>
  <si>
    <t>766 Industrial Park Dr</t>
  </si>
  <si>
    <t>Washington Electric Cooperative, Inc.</t>
  </si>
  <si>
    <t>440 Highland Ridge Road</t>
  </si>
  <si>
    <t>45750</t>
  </si>
  <si>
    <t>City of Helper (UT)</t>
  </si>
  <si>
    <t>IDJ Electrical</t>
  </si>
  <si>
    <t>City of Mayfield-KY</t>
  </si>
  <si>
    <t>Musco Sports Lighting</t>
  </si>
  <si>
    <t>3002 Dow Ave Suite 504</t>
  </si>
  <si>
    <t>Clean Earth</t>
  </si>
  <si>
    <t>334 S. Warminster Rd</t>
  </si>
  <si>
    <t>Hatboro</t>
  </si>
  <si>
    <t>19040</t>
  </si>
  <si>
    <t>G.W Lisk Company</t>
  </si>
  <si>
    <t>2 South St</t>
  </si>
  <si>
    <t>Cliffton Springs</t>
  </si>
  <si>
    <t>14432</t>
  </si>
  <si>
    <t>City Electric Supply Mobile West</t>
  </si>
  <si>
    <t>Louisiana State University</t>
  </si>
  <si>
    <t>117 Facility Services Building</t>
  </si>
  <si>
    <t>70803</t>
  </si>
  <si>
    <t>epri</t>
  </si>
  <si>
    <t>ACV Brooklyn office</t>
  </si>
  <si>
    <t>180 Varick Ave</t>
  </si>
  <si>
    <t>11237</t>
  </si>
  <si>
    <t>Rayonier Advanced Materials</t>
  </si>
  <si>
    <t>4280, 10 Gum St</t>
  </si>
  <si>
    <t>Sullivan Corp</t>
  </si>
  <si>
    <t>15299 Stony Creek Way</t>
  </si>
  <si>
    <t>Noblesville</t>
  </si>
  <si>
    <t>46060</t>
  </si>
  <si>
    <t>Southern Pipe and Supply Andalusia</t>
  </si>
  <si>
    <t>PO Box 1102</t>
  </si>
  <si>
    <t>JW &amp; Associates LLC</t>
  </si>
  <si>
    <t>6450 Horizon Point Drive</t>
  </si>
  <si>
    <t>33813</t>
  </si>
  <si>
    <t>Gresco LA</t>
  </si>
  <si>
    <t>1070 Cinclare Dr</t>
  </si>
  <si>
    <t>Port Allen</t>
  </si>
  <si>
    <t>70767</t>
  </si>
  <si>
    <t>Lake Sumter State College</t>
  </si>
  <si>
    <t>9501 US 441</t>
  </si>
  <si>
    <t>WestRock - Stevenson, AL</t>
  </si>
  <si>
    <t>Bourne Holdings, LLC</t>
  </si>
  <si>
    <t>1080 Main St</t>
  </si>
  <si>
    <t>ri</t>
  </si>
  <si>
    <t>Clark-Washington Electric Cooperative</t>
  </si>
  <si>
    <t>Ambrose Rigging Co.</t>
  </si>
  <si>
    <t>121 Commerce Dr</t>
  </si>
  <si>
    <t>Montgomeryville</t>
  </si>
  <si>
    <t>18936</t>
  </si>
  <si>
    <t>American Energy</t>
  </si>
  <si>
    <t>Louisiana Crane &amp; Construction</t>
  </si>
  <si>
    <t>Hwy 28 West</t>
  </si>
  <si>
    <t>71315</t>
  </si>
  <si>
    <t>Associated Spring - Barnes Group</t>
  </si>
  <si>
    <t>1225 State Fair Blvd.</t>
  </si>
  <si>
    <t>13209</t>
  </si>
  <si>
    <t>New Wilmington Borough Electric</t>
  </si>
  <si>
    <t>134 High Street</t>
  </si>
  <si>
    <t>New Wilmington</t>
  </si>
  <si>
    <t>16142</t>
  </si>
  <si>
    <t>Good News Mission</t>
  </si>
  <si>
    <t>H G Electric</t>
  </si>
  <si>
    <t>Shamrock Energy Solutions</t>
  </si>
  <si>
    <t>4800 Highway 311</t>
  </si>
  <si>
    <t>70360</t>
  </si>
  <si>
    <t>T and M Environmental Services</t>
  </si>
  <si>
    <t>2910 North Bolton Avenue</t>
  </si>
  <si>
    <t>US Agri Chemicals</t>
  </si>
  <si>
    <t>3225 CR 630 W</t>
  </si>
  <si>
    <t>Fort Meade</t>
  </si>
  <si>
    <t>33841</t>
  </si>
  <si>
    <t>Habersham EMC</t>
  </si>
  <si>
    <t>Holy Cross Energy - Avon</t>
  </si>
  <si>
    <t>41284 US-6</t>
  </si>
  <si>
    <t>81620</t>
  </si>
  <si>
    <t>Peace River Citrus</t>
  </si>
  <si>
    <t>221 W Broadway St</t>
  </si>
  <si>
    <t>SoL Energy</t>
  </si>
  <si>
    <t>520  S 3rd Street</t>
  </si>
  <si>
    <t>Carbondale</t>
  </si>
  <si>
    <t>81623</t>
  </si>
  <si>
    <t>Southern Salvage</t>
  </si>
  <si>
    <t>516 4th St NW</t>
  </si>
  <si>
    <t>griffin Media Brokers</t>
  </si>
  <si>
    <t>Shannons Electric Co</t>
  </si>
  <si>
    <t>Casper Demolition</t>
  </si>
  <si>
    <t>3825 Bancroft Drive</t>
  </si>
  <si>
    <t>Spring Valley</t>
  </si>
  <si>
    <t>91977</t>
  </si>
  <si>
    <t>Lehigh Cement</t>
  </si>
  <si>
    <t>Haugland Energy</t>
  </si>
  <si>
    <t>2041 north berwick rd</t>
  </si>
  <si>
    <t>4090</t>
  </si>
  <si>
    <t>Best Equipment &amp; Welding</t>
  </si>
  <si>
    <t>Piquette &amp; Howard Electric Service, Inc.</t>
  </si>
  <si>
    <t>222 Plaistow Road</t>
  </si>
  <si>
    <t>Plaistow</t>
  </si>
  <si>
    <t>3865</t>
  </si>
  <si>
    <t>McNaughton - McKay Electric Company</t>
  </si>
  <si>
    <t>355 Tomahawk Drive</t>
  </si>
  <si>
    <t>Maumee</t>
  </si>
  <si>
    <t>43537</t>
  </si>
  <si>
    <t>Entergy - Grayson</t>
  </si>
  <si>
    <t>8587 Hwy 165</t>
  </si>
  <si>
    <t>71418</t>
  </si>
  <si>
    <t>Northfield Park Associates, LLC</t>
  </si>
  <si>
    <t>10705 Northfield Road</t>
  </si>
  <si>
    <t>44067</t>
  </si>
  <si>
    <t>Little Patuxent Water Reclamation Plant</t>
  </si>
  <si>
    <t>8900 Greenwood Place</t>
  </si>
  <si>
    <t>207603</t>
  </si>
  <si>
    <t>Moore Electrical Service, Inc.</t>
  </si>
  <si>
    <t>7528 Ravine Road</t>
  </si>
  <si>
    <t>49009</t>
  </si>
  <si>
    <t>Quest Diagnostics</t>
  </si>
  <si>
    <t>1901 Sulphur Spring Rd.</t>
  </si>
  <si>
    <t>21227</t>
  </si>
  <si>
    <t>Michael Baker Intl</t>
  </si>
  <si>
    <t>Transformadores del Ciabo</t>
  </si>
  <si>
    <t>CARRETERA LIMONAL KM 1 1/2 Av Imbert 40</t>
  </si>
  <si>
    <t>Santiago,Domincan Republic</t>
  </si>
  <si>
    <t>510000</t>
  </si>
  <si>
    <t>Irby Mobile</t>
  </si>
  <si>
    <t>3232 Moffett Rd.</t>
  </si>
  <si>
    <t>Southwest Electric Coop MO (OLD)</t>
  </si>
  <si>
    <t>City of Hazlehurst</t>
  </si>
  <si>
    <t>Hazlehusrt</t>
  </si>
  <si>
    <t>39083</t>
  </si>
  <si>
    <t>Irby-Hattiesburg</t>
  </si>
  <si>
    <t>1314 West Pine Street</t>
  </si>
  <si>
    <t>International Paper - Henderson, KY</t>
  </si>
  <si>
    <t>Sterling environmental engineering</t>
  </si>
  <si>
    <t>24 wade rd</t>
  </si>
  <si>
    <t>Latham</t>
  </si>
  <si>
    <t>12110</t>
  </si>
  <si>
    <t>Eastman Company</t>
  </si>
  <si>
    <t>Eastman Chemical Kingsport Site</t>
  </si>
  <si>
    <t>Energy Systems Maintenance, LLC</t>
  </si>
  <si>
    <t>2801 Fortune Circle East Suite F</t>
  </si>
  <si>
    <t>46241</t>
  </si>
  <si>
    <t>Triple R Strategic</t>
  </si>
  <si>
    <t>4306 Sioux Ct</t>
  </si>
  <si>
    <t>St Cloud</t>
  </si>
  <si>
    <t>34772</t>
  </si>
  <si>
    <t>Interferon</t>
  </si>
  <si>
    <t>Town of Terry, MS</t>
  </si>
  <si>
    <t>315 W. Cunningham Avenue</t>
  </si>
  <si>
    <t>Terry</t>
  </si>
  <si>
    <t>39170</t>
  </si>
  <si>
    <t>Big Sandy Community and Technical College</t>
  </si>
  <si>
    <t>150 Industrail Park</t>
  </si>
  <si>
    <t>Hager Hill</t>
  </si>
  <si>
    <t>Interstate Electrical Services - FL</t>
  </si>
  <si>
    <t>697 NW 56th St</t>
  </si>
  <si>
    <t>CATAWISSA BOROUGH UTILITIES</t>
  </si>
  <si>
    <t>Miller Cable Company</t>
  </si>
  <si>
    <t>201 South Broadway</t>
  </si>
  <si>
    <t>Green Springs</t>
  </si>
  <si>
    <t>44836</t>
  </si>
  <si>
    <t>NRG Titus Generation Station</t>
  </si>
  <si>
    <t>296 Poplar Neck Road</t>
  </si>
  <si>
    <t>2961 S Lecanto Hwy</t>
  </si>
  <si>
    <t>American University of Puerto Rico</t>
  </si>
  <si>
    <t>PO Box 237</t>
  </si>
  <si>
    <t>Bayomon/PR</t>
  </si>
  <si>
    <t>PR</t>
  </si>
  <si>
    <t>00960-2037</t>
  </si>
  <si>
    <t>University of Miami -Medical Campus</t>
  </si>
  <si>
    <t>1600 NW 10th Av</t>
  </si>
  <si>
    <t>33136</t>
  </si>
  <si>
    <t>Pascoag Utilities</t>
  </si>
  <si>
    <t>RI</t>
  </si>
  <si>
    <t>Katch Environmental, Inc</t>
  </si>
  <si>
    <t>4972 E Pontiac Way,</t>
  </si>
  <si>
    <t>Fresno</t>
  </si>
  <si>
    <t>93727</t>
  </si>
  <si>
    <t>C.P. Ward Crane Service</t>
  </si>
  <si>
    <t>100 W River Rd</t>
  </si>
  <si>
    <t>Kent Electric</t>
  </si>
  <si>
    <t>6655 San Fernando Rd</t>
  </si>
  <si>
    <t>91201</t>
  </si>
  <si>
    <t>Entergy- El Dorado</t>
  </si>
  <si>
    <t>City of Bridgeport, Ct</t>
  </si>
  <si>
    <t>990 Housitonic Ave</t>
  </si>
  <si>
    <t>ILJIN Electric Co. LTD</t>
  </si>
  <si>
    <t>ILJIN Building, 45, Mapo-daero, Mapo-gu</t>
  </si>
  <si>
    <t>Comision De Energia</t>
  </si>
  <si>
    <t>Paseo Rio Sonora y Comonfort C.P. 83280</t>
  </si>
  <si>
    <t>Hermosillo</t>
  </si>
  <si>
    <t>Murray Oak Grove Coal, LLC</t>
  </si>
  <si>
    <t>35023</t>
  </si>
  <si>
    <t>SRM Avant</t>
  </si>
  <si>
    <t>4727 Berkshire Center  Suite 102</t>
  </si>
  <si>
    <t>15601</t>
  </si>
  <si>
    <t>ENBRIDGE GRB station</t>
  </si>
  <si>
    <t>2550 Lane 40</t>
  </si>
  <si>
    <t>Greybull</t>
  </si>
  <si>
    <t>Wy</t>
  </si>
  <si>
    <t>82426</t>
  </si>
  <si>
    <t>Farley Forest Products</t>
  </si>
  <si>
    <t>2305 Baugh St</t>
  </si>
  <si>
    <t>Gruminex Soluciones Para Mineria</t>
  </si>
  <si>
    <t>Dr. Aguilar Campodonico #26</t>
  </si>
  <si>
    <t>83260</t>
  </si>
  <si>
    <t>Big Ben Electric COOP( Mesa)</t>
  </si>
  <si>
    <t>205 E. Columbia</t>
  </si>
  <si>
    <t>99343</t>
  </si>
  <si>
    <t>Irby (Jackson, TN)</t>
  </si>
  <si>
    <t>1159 Highway 45 bypass</t>
  </si>
  <si>
    <t>Tn</t>
  </si>
  <si>
    <t>SSAB</t>
  </si>
  <si>
    <t>12400 Hwy 43 N</t>
  </si>
  <si>
    <t>Axis</t>
  </si>
  <si>
    <t>36505</t>
  </si>
  <si>
    <t>Arkema, Inc.</t>
  </si>
  <si>
    <t>13755 US-43</t>
  </si>
  <si>
    <t>Lenzing Fibers Inc</t>
  </si>
  <si>
    <t>12950 US-43</t>
  </si>
  <si>
    <t>TK Electric</t>
  </si>
  <si>
    <t>5341 Perimeter Pkwy</t>
  </si>
  <si>
    <t>36116</t>
  </si>
  <si>
    <t>Ozark Border Electric Cooperative (OLD)</t>
  </si>
  <si>
    <t>Transformer Network</t>
  </si>
  <si>
    <t>301 S Florence</t>
  </si>
  <si>
    <t>colman</t>
  </si>
  <si>
    <t>Brookings Municipal Utilities</t>
  </si>
  <si>
    <t>Inserv Inc.</t>
  </si>
  <si>
    <t>514 E. Marion Street</t>
  </si>
  <si>
    <t>46545</t>
  </si>
  <si>
    <t>Sho-Me Power Electric Cooperative (OLD)</t>
  </si>
  <si>
    <t>Salvex</t>
  </si>
  <si>
    <t>723 MAIN ST. STE 600</t>
  </si>
  <si>
    <t>HousToN</t>
  </si>
  <si>
    <t>Forked Deer Electric Cooperative</t>
  </si>
  <si>
    <t>1135 N CHurch Street</t>
  </si>
  <si>
    <t>Halls</t>
  </si>
  <si>
    <t>38040</t>
  </si>
  <si>
    <t>Crown Packaging</t>
  </si>
  <si>
    <t>1885 Woodman Center Drive</t>
  </si>
  <si>
    <t>Kettering</t>
  </si>
  <si>
    <t>45420</t>
  </si>
  <si>
    <t>HMT, Inc.</t>
  </si>
  <si>
    <t>Cicero</t>
  </si>
  <si>
    <t>J M Electric</t>
  </si>
  <si>
    <t>719 S Foster St</t>
  </si>
  <si>
    <t>Chicksaw Elec (TN)</t>
  </si>
  <si>
    <t>17970  Hwy 64</t>
  </si>
  <si>
    <t>38068</t>
  </si>
  <si>
    <t>Smithville Electric System</t>
  </si>
  <si>
    <t>611 East Broad St.</t>
  </si>
  <si>
    <t>37166</t>
  </si>
  <si>
    <t>1501 Maple</t>
  </si>
  <si>
    <t>Rocky Ford</t>
  </si>
  <si>
    <t>81067</t>
  </si>
  <si>
    <t>Upper Cumberland Electric Membership Corp [UCEMC]</t>
  </si>
  <si>
    <t>1005 Main Street North</t>
  </si>
  <si>
    <t>Carthage</t>
  </si>
  <si>
    <t>37030</t>
  </si>
  <si>
    <t>Cookeville City Utilities</t>
  </si>
  <si>
    <t>55 W Davis Road</t>
  </si>
  <si>
    <t>Cookeville</t>
  </si>
  <si>
    <t>14129</t>
  </si>
  <si>
    <t>Sequachee Valley Electric Coop [SVEC]</t>
  </si>
  <si>
    <t>512 cedar Avenue</t>
  </si>
  <si>
    <t>South Pittsburgh</t>
  </si>
  <si>
    <t>37380</t>
  </si>
  <si>
    <t>Fayetteville Public Utilities (TN)</t>
  </si>
  <si>
    <t>408 College Street West</t>
  </si>
  <si>
    <t>37334</t>
  </si>
  <si>
    <t>Chattanooga Electric Power Board [EPB]</t>
  </si>
  <si>
    <t>1350 E. 8th St.</t>
  </si>
  <si>
    <t>37422</t>
  </si>
  <si>
    <t>Upstream Services Inc.</t>
  </si>
  <si>
    <t>7425 West Pike</t>
  </si>
  <si>
    <t>Zanesville</t>
  </si>
  <si>
    <t>43701</t>
  </si>
  <si>
    <t>Hendon Properties</t>
  </si>
  <si>
    <t>3445 Peachtree Road, Suite 465</t>
  </si>
  <si>
    <t>30326</t>
  </si>
  <si>
    <t>North Itasca Electric Coop</t>
  </si>
  <si>
    <t>301 Main St</t>
  </si>
  <si>
    <t>Bigfork</t>
  </si>
  <si>
    <t>56628</t>
  </si>
  <si>
    <t>City of Waelder, TX</t>
  </si>
  <si>
    <t>American Demolition Corporation</t>
  </si>
  <si>
    <t>Kiewit</t>
  </si>
  <si>
    <t>Two Pierce Place, Suite 1600</t>
  </si>
  <si>
    <t>60413</t>
  </si>
  <si>
    <t>M D Electrical LLC</t>
  </si>
  <si>
    <t>1423 Old Highway 85 North</t>
  </si>
  <si>
    <t>39429</t>
  </si>
  <si>
    <t>USACE/ERDC-Vicksburg/DPW</t>
  </si>
  <si>
    <t>3909 Halls Ferry Road</t>
  </si>
  <si>
    <t>Hazen and Sawyer</t>
  </si>
  <si>
    <t>1149 South Hill Street, Suite 450</t>
  </si>
  <si>
    <t>90015</t>
  </si>
  <si>
    <t>Doja, Inc.</t>
  </si>
  <si>
    <t>5050 W. Mission Blvd</t>
  </si>
  <si>
    <t>91762</t>
  </si>
  <si>
    <t>University of Kansas</t>
  </si>
  <si>
    <t>1515 St Andrews Dr Lawrence, KS</t>
  </si>
  <si>
    <t>Lawrence</t>
  </si>
  <si>
    <t>Kemron Environmental Services, Inc.</t>
  </si>
  <si>
    <t>1359-A Ellsworth Industrial Blvd</t>
  </si>
  <si>
    <t>City of Camilla</t>
  </si>
  <si>
    <t>Solar Gain</t>
  </si>
  <si>
    <t>Black Warrior Methane</t>
  </si>
  <si>
    <t>16243 AL-216</t>
  </si>
  <si>
    <t>Brookwood</t>
  </si>
  <si>
    <t>35444</t>
  </si>
  <si>
    <t>Cargill - Burlington</t>
  </si>
  <si>
    <t>2400 Colfax Ave</t>
  </si>
  <si>
    <t>Lewis Electric Supply</t>
  </si>
  <si>
    <t>1306 Second St.</t>
  </si>
  <si>
    <t>al</t>
  </si>
  <si>
    <t>35661</t>
  </si>
  <si>
    <t>Anson County Utilities Dept</t>
  </si>
  <si>
    <t>907 N Washington St</t>
  </si>
  <si>
    <t>Bennettsville Utility</t>
  </si>
  <si>
    <t>501 East Main St</t>
  </si>
  <si>
    <t>Industrial Electrical Services, Inc</t>
  </si>
  <si>
    <t>6065 Perimeter Pkwy  AL 36116</t>
  </si>
  <si>
    <t>Montgomery,</t>
  </si>
  <si>
    <t>Transistor Devices, Inc. (Astrodynedtdi)</t>
  </si>
  <si>
    <t>36 Newburgh Road</t>
  </si>
  <si>
    <t>Hackettstown</t>
  </si>
  <si>
    <t>07840</t>
  </si>
  <si>
    <t>FARMERS RECC (KY)</t>
  </si>
  <si>
    <t>504 South BroadwayP. O. Box 1298</t>
  </si>
  <si>
    <t>42142-1298</t>
  </si>
  <si>
    <t>Cooperative Utility Services, LLC (CUS)</t>
  </si>
  <si>
    <t>36066</t>
  </si>
  <si>
    <t>Pointe Coupee</t>
  </si>
  <si>
    <t>Mathes Of Alabama</t>
  </si>
  <si>
    <t>1514 S McKenzie St</t>
  </si>
  <si>
    <t>35635</t>
  </si>
  <si>
    <t>Zemar Inc (TGC)</t>
  </si>
  <si>
    <t>405 E. Edgerton Street</t>
  </si>
  <si>
    <t>28335</t>
  </si>
  <si>
    <t>Flint Energies</t>
  </si>
  <si>
    <t>900 Hwy. 96PO. Box 6719</t>
  </si>
  <si>
    <t>Warner Robins</t>
  </si>
  <si>
    <t>31095</t>
  </si>
  <si>
    <t>blue ridge electric</t>
  </si>
  <si>
    <t>Northwest Transformer (TGC)</t>
  </si>
  <si>
    <t>8 SW 29th Street</t>
  </si>
  <si>
    <t>73109</t>
  </si>
  <si>
    <t>Ron Cornwall</t>
  </si>
  <si>
    <t>Transformer Maintenance &amp; Service (TGC)</t>
  </si>
  <si>
    <t>1392 Massey Road</t>
  </si>
  <si>
    <t>Newton Grove</t>
  </si>
  <si>
    <t>28366</t>
  </si>
  <si>
    <t>TRO Maintenance Inc (TGC)</t>
  </si>
  <si>
    <t>1 Fisher Lane</t>
  </si>
  <si>
    <t>62246</t>
  </si>
  <si>
    <t>Wiley Transformer (TGC)</t>
  </si>
  <si>
    <t>6624 E. Main Street</t>
  </si>
  <si>
    <t>600 West 700 South</t>
  </si>
  <si>
    <t>Woods Cross</t>
  </si>
  <si>
    <t>84087</t>
  </si>
  <si>
    <t>One Source Distributors</t>
  </si>
  <si>
    <t>8740 Avenida Costa Blanca</t>
  </si>
  <si>
    <t>San Deigo</t>
  </si>
  <si>
    <t>92154</t>
  </si>
  <si>
    <t>Southwest Electric Company - Tulsa (TGC)</t>
  </si>
  <si>
    <t>1304 N. 143rd East Ave</t>
  </si>
  <si>
    <t>74116</t>
  </si>
  <si>
    <t>Teledyne Scientific &amp; Imaging</t>
  </si>
  <si>
    <t>1049 Camino Dos Rios</t>
  </si>
  <si>
    <t>Thousand Oaks</t>
  </si>
  <si>
    <t>91360</t>
  </si>
  <si>
    <t>City Of Tiffin (OH)</t>
  </si>
  <si>
    <t>601 Miami St</t>
  </si>
  <si>
    <t>Tiffin</t>
  </si>
  <si>
    <t>44883</t>
  </si>
  <si>
    <t>CRAIG-BOTETOURT ELEC COOP</t>
  </si>
  <si>
    <t>Rte 615</t>
  </si>
  <si>
    <t>24127-0265</t>
  </si>
  <si>
    <t>CULPEPER LT &amp; POWER</t>
  </si>
  <si>
    <t>15048 Service Lane</t>
  </si>
  <si>
    <t>Culpepper</t>
  </si>
  <si>
    <t>22701</t>
  </si>
  <si>
    <t>FRANKLIN MUNICIPAL LIGHT (VA)</t>
  </si>
  <si>
    <t>1050 Pretlow St</t>
  </si>
  <si>
    <t>23851-0179</t>
  </si>
  <si>
    <t>SKANEATELES MUNI ELEC</t>
  </si>
  <si>
    <t>46 E. Genesee Street</t>
  </si>
  <si>
    <t>Skaneateles, NY</t>
  </si>
  <si>
    <t>13152</t>
  </si>
  <si>
    <t>Bangor-Hydro Electric</t>
  </si>
  <si>
    <t>21 Telcom Dr.</t>
  </si>
  <si>
    <t>Bangor</t>
  </si>
  <si>
    <t>4401</t>
  </si>
  <si>
    <t>Central Hudson Gas &amp; Electric</t>
  </si>
  <si>
    <t>284 South Ave.</t>
  </si>
  <si>
    <t>Poughkeepsie</t>
  </si>
  <si>
    <t>12601</t>
  </si>
  <si>
    <t>Darrell Copen</t>
  </si>
  <si>
    <t>Nicolas Edlund</t>
  </si>
  <si>
    <t>Enmacon Service Corp</t>
  </si>
  <si>
    <t>120 Iron St</t>
  </si>
  <si>
    <t>Johnstown</t>
  </si>
  <si>
    <t>15906</t>
  </si>
  <si>
    <t>ESI Electrical Contractors</t>
  </si>
  <si>
    <t>Wright-Patterson AFB</t>
  </si>
  <si>
    <t>Frankfort Power and Light (NY)</t>
  </si>
  <si>
    <t>110 Railroad St</t>
  </si>
  <si>
    <t>frankfort</t>
  </si>
  <si>
    <t>13340</t>
  </si>
  <si>
    <t>WV Power Systems</t>
  </si>
  <si>
    <t>Dow-Union Carbide Corporation</t>
  </si>
  <si>
    <t>355 Hwy 3142</t>
  </si>
  <si>
    <t>Hahnville</t>
  </si>
  <si>
    <t>70057</t>
  </si>
  <si>
    <t>Lavallette Borough</t>
  </si>
  <si>
    <t>1306 Grand Central Ave</t>
  </si>
  <si>
    <t>Lavallette</t>
  </si>
  <si>
    <t>8735</t>
  </si>
  <si>
    <t>Brewster Municipal Electric</t>
  </si>
  <si>
    <t>300 4th Street SW</t>
  </si>
  <si>
    <t>Brewster</t>
  </si>
  <si>
    <t>44613</t>
  </si>
  <si>
    <t>Domestic Uniform Rental</t>
  </si>
  <si>
    <t>4100 Frankfort Ave</t>
  </si>
  <si>
    <t>Rockord Manufacturing Co.</t>
  </si>
  <si>
    <t>Asset Recovery Direct</t>
  </si>
  <si>
    <t>2025 magna lane</t>
  </si>
  <si>
    <t>28790</t>
  </si>
  <si>
    <t>Genoa Municipal Utilities</t>
  </si>
  <si>
    <t>102 E. 6th Street</t>
  </si>
  <si>
    <t>Genoa</t>
  </si>
  <si>
    <t>43430</t>
  </si>
  <si>
    <t>Pettit Environmental</t>
  </si>
  <si>
    <t>City of Bangor</t>
  </si>
  <si>
    <t>287 Godfrey Blvd</t>
  </si>
  <si>
    <t>Arcelor Mittal USA</t>
  </si>
  <si>
    <t>1 AM/NS Way</t>
  </si>
  <si>
    <t>Grays Power Supply</t>
  </si>
  <si>
    <t>28726 Hwy 32</t>
  </si>
  <si>
    <t>38948</t>
  </si>
  <si>
    <t>Borough of Lavallette</t>
  </si>
  <si>
    <t>Sterling Lumber Company</t>
  </si>
  <si>
    <t>501 E. 151st Street</t>
  </si>
  <si>
    <t>60426</t>
  </si>
  <si>
    <t>Penn Power</t>
  </si>
  <si>
    <t>157 Dayton Way</t>
  </si>
  <si>
    <t>Carr"s Dirt Work</t>
  </si>
  <si>
    <t>90001 Hwy 4 West</t>
  </si>
  <si>
    <t>Edwin L. Heim Company</t>
  </si>
  <si>
    <t>1918 Greenwood Street</t>
  </si>
  <si>
    <t>Harrisburg</t>
  </si>
  <si>
    <t>17104</t>
  </si>
  <si>
    <t>Marshallville Utilities</t>
  </si>
  <si>
    <t>38 N. Main Street</t>
  </si>
  <si>
    <t>Marshallville</t>
  </si>
  <si>
    <t>44645</t>
  </si>
  <si>
    <t>Florida State University</t>
  </si>
  <si>
    <t>Hubbell Power Systems, Inc.</t>
  </si>
  <si>
    <t>8711 Wadsworth Road</t>
  </si>
  <si>
    <t>Insul-Tech</t>
  </si>
  <si>
    <t>120 Herman Drive</t>
  </si>
  <si>
    <t>State of Alabama Utilities</t>
  </si>
  <si>
    <t>Wildwood Hideaway Corp.</t>
  </si>
  <si>
    <t>Bayside Oil Inc.</t>
  </si>
  <si>
    <t>210 Encinal Street</t>
  </si>
  <si>
    <t>Santa Cruz</t>
  </si>
  <si>
    <t>95060</t>
  </si>
  <si>
    <t>High Voltage Maintenance - Indy Location</t>
  </si>
  <si>
    <t>Atlantic Power</t>
  </si>
  <si>
    <t>Dvorak Electrical</t>
  </si>
  <si>
    <t>2700 North Point Blvd</t>
  </si>
  <si>
    <t>21222</t>
  </si>
  <si>
    <t>Atlas Industrial Contractors, LLC</t>
  </si>
  <si>
    <t>5275 Sinclair Road</t>
  </si>
  <si>
    <t>Eastern Municipal Water District</t>
  </si>
  <si>
    <t>2270 Trumble Road</t>
  </si>
  <si>
    <t>Perris</t>
  </si>
  <si>
    <t>92570</t>
  </si>
  <si>
    <t>Metropolitan Water District of Southern California</t>
  </si>
  <si>
    <t>700 N. Alameda Street</t>
  </si>
  <si>
    <t>90012</t>
  </si>
  <si>
    <t>Palomar Observatory</t>
  </si>
  <si>
    <t>35899 Canfield Road</t>
  </si>
  <si>
    <t>Palomar Mountain</t>
  </si>
  <si>
    <t>92060</t>
  </si>
  <si>
    <t>Penelec</t>
  </si>
  <si>
    <t>1009 Carrol Road</t>
  </si>
  <si>
    <t>Patton</t>
  </si>
  <si>
    <t>16668</t>
  </si>
  <si>
    <t>Anixter-Duson, LA</t>
  </si>
  <si>
    <t>Georgia pacific-Crossett</t>
  </si>
  <si>
    <t>Crossett</t>
  </si>
  <si>
    <t>Lafayette Utiliities System</t>
  </si>
  <si>
    <t>Southwest Bradley</t>
  </si>
  <si>
    <t>829 N. Express Ave.</t>
  </si>
  <si>
    <t>Bradley</t>
  </si>
  <si>
    <t>Southwest De Queen</t>
  </si>
  <si>
    <t>110 crosstrails rd</t>
  </si>
  <si>
    <t>De Queen</t>
  </si>
  <si>
    <t>Mix Cathy</t>
  </si>
  <si>
    <t>Division of Real Estate Development and Management</t>
  </si>
  <si>
    <t>400 E. Gaines Street</t>
  </si>
  <si>
    <t>Tallahasssee</t>
  </si>
  <si>
    <t>32399</t>
  </si>
  <si>
    <t>Wesco Distribution</t>
  </si>
  <si>
    <t>WST</t>
  </si>
  <si>
    <t>Raymond Laborde Correctional Center</t>
  </si>
  <si>
    <t>1630 Prison Road</t>
  </si>
  <si>
    <t>Cottonport</t>
  </si>
  <si>
    <t>71327</t>
  </si>
  <si>
    <t>Dykman</t>
  </si>
  <si>
    <t>105 Business Park Drive</t>
  </si>
  <si>
    <t>Georgia Renewable Power</t>
  </si>
  <si>
    <t>Corporate Environmental Services-Jr. Chemical/Environmental Engineer</t>
  </si>
  <si>
    <t>Government Services Administration- Fed Biz Opps</t>
  </si>
  <si>
    <t>World Oil (fka Asbury Environmental)</t>
  </si>
  <si>
    <t>Liberty Fuels</t>
  </si>
  <si>
    <t>Dekalb</t>
  </si>
  <si>
    <t>AIM Recycling Cleveland</t>
  </si>
  <si>
    <t>1240 Marquette Street</t>
  </si>
  <si>
    <t>44114</t>
  </si>
  <si>
    <t>Chris Carter</t>
  </si>
  <si>
    <t>Alpine Demolition Services, LLC</t>
  </si>
  <si>
    <t>WESCO Distribution, Inc.</t>
  </si>
  <si>
    <t>7375 Graham Drive</t>
  </si>
  <si>
    <t>Bradley Electro Sales Corp.</t>
  </si>
  <si>
    <t>10909 Southlake Court</t>
  </si>
  <si>
    <t>North Chesterfield</t>
  </si>
  <si>
    <t>23236</t>
  </si>
  <si>
    <t>Great Lakes Testing</t>
  </si>
  <si>
    <t>38323 Apollo Parkway</t>
  </si>
  <si>
    <t>Willoughby</t>
  </si>
  <si>
    <t>44094</t>
  </si>
  <si>
    <t>Zapien Electric, Inc.</t>
  </si>
  <si>
    <t>1917 Foundry Court</t>
  </si>
  <si>
    <t>Ceres</t>
  </si>
  <si>
    <t>95307</t>
  </si>
  <si>
    <t>Commercial Line and Electric</t>
  </si>
  <si>
    <t>128 Glen Mills Road</t>
  </si>
  <si>
    <t>Glen Mills</t>
  </si>
  <si>
    <t>19342</t>
  </si>
  <si>
    <t>Clemson University</t>
  </si>
  <si>
    <t>Casey Equipment Corp</t>
  </si>
  <si>
    <t>275 Kappa Dr</t>
  </si>
  <si>
    <t>Pennsylvania</t>
  </si>
  <si>
    <t>15238</t>
  </si>
  <si>
    <t>Sauk Center Public Utilities</t>
  </si>
  <si>
    <t>101 Main St S</t>
  </si>
  <si>
    <t>Sauk Centre</t>
  </si>
  <si>
    <t>56378</t>
  </si>
  <si>
    <t>Sterling Municipal Electric Distribution</t>
  </si>
  <si>
    <t>117 N. Broadway</t>
  </si>
  <si>
    <t>Sterling</t>
  </si>
  <si>
    <t>67759</t>
  </si>
  <si>
    <t>Runestone Electric Association</t>
  </si>
  <si>
    <t>6839 Power Ln SW</t>
  </si>
  <si>
    <t>56308</t>
  </si>
  <si>
    <t>Roseau Electric Coop</t>
  </si>
  <si>
    <t>1107 3rd St NE</t>
  </si>
  <si>
    <t>Roseau</t>
  </si>
  <si>
    <t>56751</t>
  </si>
  <si>
    <t>Norton Utilities Department</t>
  </si>
  <si>
    <t>301 E. Washington Street</t>
  </si>
  <si>
    <t>Redwood Falls Public Utilities</t>
  </si>
  <si>
    <t>333 S Washington St</t>
  </si>
  <si>
    <t>Redwood Falls</t>
  </si>
  <si>
    <t>56283</t>
  </si>
  <si>
    <t>Prairie Energy Coop</t>
  </si>
  <si>
    <t>50525</t>
  </si>
  <si>
    <t>People's Cooperative Services</t>
  </si>
  <si>
    <t>1775 Lake Shady Ave S</t>
  </si>
  <si>
    <t>Oronoco</t>
  </si>
  <si>
    <t>55960</t>
  </si>
  <si>
    <t>North Saint Paul Utilities and Public Works Department</t>
  </si>
  <si>
    <t>2303 1st St N</t>
  </si>
  <si>
    <t>55109</t>
  </si>
  <si>
    <t>North Branch Municipal Water and Light</t>
  </si>
  <si>
    <t>6388 Maple St</t>
  </si>
  <si>
    <t>North Branch</t>
  </si>
  <si>
    <t>55056</t>
  </si>
  <si>
    <t>Nodak Electric Coop Inc</t>
  </si>
  <si>
    <t>4000 32nd Ave S</t>
  </si>
  <si>
    <t>58201</t>
  </si>
  <si>
    <t>Mora Municipal Utilities</t>
  </si>
  <si>
    <t>101 S Lake St</t>
  </si>
  <si>
    <t>Mora</t>
  </si>
  <si>
    <t>55051</t>
  </si>
  <si>
    <t>Mor-Gran-Sou Electric Coop Inc</t>
  </si>
  <si>
    <t>202 6th Ave W</t>
  </si>
  <si>
    <t>Flasher</t>
  </si>
  <si>
    <t>58535</t>
  </si>
  <si>
    <t>Moorhead Public Service</t>
  </si>
  <si>
    <t>500 Center Ave</t>
  </si>
  <si>
    <t>Moorhead</t>
  </si>
  <si>
    <t>56560</t>
  </si>
  <si>
    <t>Minnkota Power Cooperative</t>
  </si>
  <si>
    <t>5301 32nd Ave S</t>
  </si>
  <si>
    <t>Oakley Municipal Utilities</t>
  </si>
  <si>
    <t>209 Hudson Ave</t>
  </si>
  <si>
    <t>Oakley</t>
  </si>
  <si>
    <t>67748</t>
  </si>
  <si>
    <t>Mille Lacs Electric Coop</t>
  </si>
  <si>
    <t>36559 US-169</t>
  </si>
  <si>
    <t>Aitkin</t>
  </si>
  <si>
    <t>56431</t>
  </si>
  <si>
    <t>Meeker Cooperative Light Association</t>
  </si>
  <si>
    <t>1725 US-12</t>
  </si>
  <si>
    <t>Litchfield</t>
  </si>
  <si>
    <t>55355</t>
  </si>
  <si>
    <t>Mcleod Coop Power Association</t>
  </si>
  <si>
    <t>3515 11th St E</t>
  </si>
  <si>
    <t>Glencoe</t>
  </si>
  <si>
    <t>55336</t>
  </si>
  <si>
    <t>Marshall Municipal Utility</t>
  </si>
  <si>
    <t>113 S 4th St</t>
  </si>
  <si>
    <t>56258</t>
  </si>
  <si>
    <t>Larchwood Municipal Utilities</t>
  </si>
  <si>
    <t>1020 Broadway St</t>
  </si>
  <si>
    <t>Larchwood</t>
  </si>
  <si>
    <t>51241</t>
  </si>
  <si>
    <t>KEM Electric Coop Inc</t>
  </si>
  <si>
    <t>107 S Broadway St</t>
  </si>
  <si>
    <t>Linton</t>
  </si>
  <si>
    <t>58552</t>
  </si>
  <si>
    <t>Girard Light and Water Department</t>
  </si>
  <si>
    <t>313 E Antelope</t>
  </si>
  <si>
    <t>66743</t>
  </si>
  <si>
    <t>Hibbing Public Utilities Commission</t>
  </si>
  <si>
    <t>1902 6th Ave E</t>
  </si>
  <si>
    <t>Hibbing</t>
  </si>
  <si>
    <t>55746</t>
  </si>
  <si>
    <t>Grafton Light and Water</t>
  </si>
  <si>
    <t>5 East 4th Street</t>
  </si>
  <si>
    <t>58237</t>
  </si>
  <si>
    <t>Glencoe Light and Power Commission</t>
  </si>
  <si>
    <t>305 11th St E</t>
  </si>
  <si>
    <t>Eastern Iowa Light &amp; Power Cooperative</t>
  </si>
  <si>
    <t>500 S 5th St</t>
  </si>
  <si>
    <t>52742</t>
  </si>
  <si>
    <t>Connexus Energy</t>
  </si>
  <si>
    <t>14601 Ramsey Blvd NW</t>
  </si>
  <si>
    <t>Ramsey</t>
  </si>
  <si>
    <t>55303</t>
  </si>
  <si>
    <t>Chariton Valley Electric Coop Inc [CVREC]</t>
  </si>
  <si>
    <t>2090 Hwy 5 South</t>
  </si>
  <si>
    <t>Albia</t>
  </si>
  <si>
    <t>52531</t>
  </si>
  <si>
    <t>Baldwin City Light and Water</t>
  </si>
  <si>
    <t>Baldwin City</t>
  </si>
  <si>
    <t>Hopkinton Municipal Utilities</t>
  </si>
  <si>
    <t>111 SE 1st St</t>
  </si>
  <si>
    <t>Hopkinton</t>
  </si>
  <si>
    <t>52237</t>
  </si>
  <si>
    <t>Anthony Electric Department</t>
  </si>
  <si>
    <t>OTC Services Inc.</t>
  </si>
  <si>
    <t>1776 Constitution Avenue</t>
  </si>
  <si>
    <t>44641</t>
  </si>
  <si>
    <t>Silgan Containers Manufacturing</t>
  </si>
  <si>
    <t>2501 165th Street</t>
  </si>
  <si>
    <t>46320</t>
  </si>
  <si>
    <t>Norris Electric Coop</t>
  </si>
  <si>
    <t>8543 N State Hwy 130 S</t>
  </si>
  <si>
    <t>62448</t>
  </si>
  <si>
    <t>HydrochemPSC</t>
  </si>
  <si>
    <t>900 Georgia Avenue</t>
  </si>
  <si>
    <t>Deer Park</t>
  </si>
  <si>
    <t>77536</t>
  </si>
  <si>
    <t>City Of Augusta (KS)</t>
  </si>
  <si>
    <t>621 E 12th (P.O. Box 489)</t>
  </si>
  <si>
    <t>67010</t>
  </si>
  <si>
    <t>Thunderbird Environmental</t>
  </si>
  <si>
    <t>1353 Boston Post Rd</t>
  </si>
  <si>
    <t>6413</t>
  </si>
  <si>
    <t>City of Mesa</t>
  </si>
  <si>
    <t>20 East Main Street, Ste 400</t>
  </si>
  <si>
    <t>85211</t>
  </si>
  <si>
    <t>EW Wells Group</t>
  </si>
  <si>
    <t>120 Madeira Dr. NE, Suite 100-EW</t>
  </si>
  <si>
    <t>87108</t>
  </si>
  <si>
    <t>McPherson Board of Public Utilities</t>
  </si>
  <si>
    <t>412 W Sutherland</t>
  </si>
  <si>
    <t>McPherson</t>
  </si>
  <si>
    <t>67460</t>
  </si>
  <si>
    <t>Freeport McMoRan Copper &amp; Gold (Miami AZ)</t>
  </si>
  <si>
    <t>4242 US-60,</t>
  </si>
  <si>
    <t>Claypool</t>
  </si>
  <si>
    <t>85532</t>
  </si>
  <si>
    <t>City of Haven Electric Department</t>
  </si>
  <si>
    <t>120 S Kansas Ave</t>
  </si>
  <si>
    <t>City of Abilene</t>
  </si>
  <si>
    <t>419 N Broadway St</t>
  </si>
  <si>
    <t>67410</t>
  </si>
  <si>
    <t>Greg Vietri, Inc</t>
  </si>
  <si>
    <t>105 Independence way</t>
  </si>
  <si>
    <t>coatsville</t>
  </si>
  <si>
    <t>19320</t>
  </si>
  <si>
    <t>City Electric Supply  Morrisville, NC</t>
  </si>
  <si>
    <t>10404 Chapel Hill Road Suite 102</t>
  </si>
  <si>
    <t>Morrisville</t>
  </si>
  <si>
    <t>27580</t>
  </si>
  <si>
    <t>Cargill - Salina</t>
  </si>
  <si>
    <t>1112 N Halstead Rd</t>
  </si>
  <si>
    <t>CONSOL Energy Inc.</t>
  </si>
  <si>
    <t>1000 CONSOL Energy Drive</t>
  </si>
  <si>
    <t>Canonsburg</t>
  </si>
  <si>
    <t>Platte-Clay Electric Coop</t>
  </si>
  <si>
    <t>1000 West Highway 92</t>
  </si>
  <si>
    <t>Kearney</t>
  </si>
  <si>
    <t>64060</t>
  </si>
  <si>
    <t>Baty Service Co.</t>
  </si>
  <si>
    <t>7821 AL-25</t>
  </si>
  <si>
    <t>36744</t>
  </si>
  <si>
    <t>Belhaven Public Utilities</t>
  </si>
  <si>
    <t>315 E Main St</t>
  </si>
  <si>
    <t>Belhaven</t>
  </si>
  <si>
    <t>27810</t>
  </si>
  <si>
    <t>Alamo1</t>
  </si>
  <si>
    <t>2900 Nacogdoches Rd</t>
  </si>
  <si>
    <t>78217</t>
  </si>
  <si>
    <t>Apex Electric Utilities</t>
  </si>
  <si>
    <t>105 Upchurch St</t>
  </si>
  <si>
    <t>Tideland Electric</t>
  </si>
  <si>
    <t>25831 Hwy 264 E</t>
  </si>
  <si>
    <t>Pantego</t>
  </si>
  <si>
    <t>27860</t>
  </si>
  <si>
    <t>Four County EMC</t>
  </si>
  <si>
    <t>1822 Hwy 53 West</t>
  </si>
  <si>
    <t>Burgaw</t>
  </si>
  <si>
    <t>28425</t>
  </si>
  <si>
    <t>Carteret-Craven EMC</t>
  </si>
  <si>
    <t>1300 Highway 24</t>
  </si>
  <si>
    <t>28570</t>
  </si>
  <si>
    <t>Eaton Electrical Services &amp; Systems</t>
  </si>
  <si>
    <t>Al</t>
  </si>
  <si>
    <t>Clean Harbors Denton Texas</t>
  </si>
  <si>
    <t>1722 Cooper Creed Road Bldg 10</t>
  </si>
  <si>
    <t>Denton</t>
  </si>
  <si>
    <t>76208</t>
  </si>
  <si>
    <t>Dixie Pipeline</t>
  </si>
  <si>
    <t>950 North Point Parkway</t>
  </si>
  <si>
    <t>Alpharetta</t>
  </si>
  <si>
    <t>30005</t>
  </si>
  <si>
    <t>Jasper-Newton Electric Coop (TX)</t>
  </si>
  <si>
    <t>812 South Margaret Ave</t>
  </si>
  <si>
    <t>75956</t>
  </si>
  <si>
    <t>Golf power</t>
  </si>
  <si>
    <t>55 North Q St</t>
  </si>
  <si>
    <t>Tehama</t>
  </si>
  <si>
    <t>1600 Genessee Street Suite 754</t>
  </si>
  <si>
    <t>64102</t>
  </si>
  <si>
    <t>Celanese</t>
  </si>
  <si>
    <t>9502 Bayport Blvd</t>
  </si>
  <si>
    <t>Reliaguard</t>
  </si>
  <si>
    <t>127 2nd Ave N</t>
  </si>
  <si>
    <t>Lombard Metals-Tampa FL location</t>
  </si>
  <si>
    <t>3 Bala Plaza</t>
  </si>
  <si>
    <t>Tegna Inc</t>
  </si>
  <si>
    <t>8350 Broad Street Suite 2000</t>
  </si>
  <si>
    <t>Tysons</t>
  </si>
  <si>
    <t>22102</t>
  </si>
  <si>
    <t>City of Tuscaloosa</t>
  </si>
  <si>
    <t>2201 University Blvd.</t>
  </si>
  <si>
    <t>Mayer Montgomery</t>
  </si>
  <si>
    <t>1001 Adams Ave</t>
  </si>
  <si>
    <t>Armstrong Ceiling Solutions</t>
  </si>
  <si>
    <t>Nelson Electric Motors</t>
  </si>
  <si>
    <t>1919 Radio Tower Road</t>
  </si>
  <si>
    <t>208 E Santa Fe</t>
  </si>
  <si>
    <t>66861</t>
  </si>
  <si>
    <t>City of Lucas</t>
  </si>
  <si>
    <t>201 S Main St</t>
  </si>
  <si>
    <t>Lucas</t>
  </si>
  <si>
    <t>67648</t>
  </si>
  <si>
    <t>CPS Energy</t>
  </si>
  <si>
    <t>10830 Nacogdoches Road</t>
  </si>
  <si>
    <t>National Switchgear Systems, Inc (TGC)</t>
  </si>
  <si>
    <t>649 Franklin Street</t>
  </si>
  <si>
    <t>Lewisville</t>
  </si>
  <si>
    <t>75057</t>
  </si>
  <si>
    <t>New River Light and Power</t>
  </si>
  <si>
    <t>146 Faculty St</t>
  </si>
  <si>
    <t>Boone</t>
  </si>
  <si>
    <t>28607</t>
  </si>
  <si>
    <t>A-Star Electric</t>
  </si>
  <si>
    <t>200 Seegers Avenue</t>
  </si>
  <si>
    <t>Utility Supply &amp; Construction</t>
  </si>
  <si>
    <t>3155 E Sycamore Lane</t>
  </si>
  <si>
    <t>Mooresville</t>
  </si>
  <si>
    <t>46158</t>
  </si>
  <si>
    <t>GRESCO Dothan</t>
  </si>
  <si>
    <t>2795 E Cottonwood Rd</t>
  </si>
  <si>
    <t>Rusk County Electric Coop Inc</t>
  </si>
  <si>
    <t>3162 STATE HIGHWAY 43 EAST   PO Box 1169</t>
  </si>
  <si>
    <t>HENDERSON</t>
  </si>
  <si>
    <t>75653</t>
  </si>
  <si>
    <t>Federal Correctional Institution - Tallahassee</t>
  </si>
  <si>
    <t>501 Capital Circle NE</t>
  </si>
  <si>
    <t>Houston County Electric Coop Inc</t>
  </si>
  <si>
    <t>1701 Loop 304 SE</t>
  </si>
  <si>
    <t>Crockett</t>
  </si>
  <si>
    <t>75835</t>
  </si>
  <si>
    <t>Venture Metals</t>
  </si>
  <si>
    <t>City of Weatherford</t>
  </si>
  <si>
    <t>917 Eureka Street   PO Box 255</t>
  </si>
  <si>
    <t>Weatherford</t>
  </si>
  <si>
    <t>76086</t>
  </si>
  <si>
    <t>City of Needles</t>
  </si>
  <si>
    <t>817 Third Street</t>
  </si>
  <si>
    <t>Needles</t>
  </si>
  <si>
    <t>92363</t>
  </si>
  <si>
    <t>City of Tulia</t>
  </si>
  <si>
    <t>106 N. Hwy 87</t>
  </si>
  <si>
    <t>Aquatel</t>
  </si>
  <si>
    <t>1019 walnut avenue</t>
  </si>
  <si>
    <t>Longbeach</t>
  </si>
  <si>
    <t>California State University, Channel Islands</t>
  </si>
  <si>
    <t>One University Drive</t>
  </si>
  <si>
    <t>Camarillo</t>
  </si>
  <si>
    <t>93012</t>
  </si>
  <si>
    <t>Karnes Electric Coop</t>
  </si>
  <si>
    <t>1007 TX-123</t>
  </si>
  <si>
    <t>Karnes City</t>
  </si>
  <si>
    <t>78118</t>
  </si>
  <si>
    <t>City of New Roads</t>
  </si>
  <si>
    <t>215 Oak Street</t>
  </si>
  <si>
    <t>New Roads</t>
  </si>
  <si>
    <t>70760</t>
  </si>
  <si>
    <t>Scottsboro Utilities</t>
  </si>
  <si>
    <t>2402 Belle Hart Dr.</t>
  </si>
  <si>
    <t>Scottsboro</t>
  </si>
  <si>
    <t>35768</t>
  </si>
  <si>
    <t>NCS/EML Joint Venture</t>
  </si>
  <si>
    <t>1338 Hull St</t>
  </si>
  <si>
    <t>40204</t>
  </si>
  <si>
    <t>North Alabama EMC</t>
  </si>
  <si>
    <t>41103 US Hwy72</t>
  </si>
  <si>
    <t>Stevenson</t>
  </si>
  <si>
    <t>36772</t>
  </si>
  <si>
    <t>SLECA (South Louisiana Electric Cooperative Association)</t>
  </si>
  <si>
    <t>2028 Coteau Road, Hwy 660</t>
  </si>
  <si>
    <t>Trifecta Service Company</t>
  </si>
  <si>
    <t>6120 Brookshire Boulevard T</t>
  </si>
  <si>
    <t>Charlette</t>
  </si>
  <si>
    <t>28216</t>
  </si>
  <si>
    <t>City of St. Martinville (LA)</t>
  </si>
  <si>
    <t>120 New Market</t>
  </si>
  <si>
    <t>St. Martinsville</t>
  </si>
  <si>
    <t>70582</t>
  </si>
  <si>
    <t>Addison Construction</t>
  </si>
  <si>
    <t>1526 Horse Creek Road</t>
  </si>
  <si>
    <t>Cheyenne</t>
  </si>
  <si>
    <t>82009</t>
  </si>
  <si>
    <t>Bureau of Reclamation</t>
  </si>
  <si>
    <t>59th ave and Glendale Road</t>
  </si>
  <si>
    <t>Northeast Louisiana Power Cooperative-NELA</t>
  </si>
  <si>
    <t>1411 Landis Street</t>
  </si>
  <si>
    <t>71295</t>
  </si>
  <si>
    <t>The City of Kaplan</t>
  </si>
  <si>
    <t>511 North Cushing Ave</t>
  </si>
  <si>
    <t>Kaplan</t>
  </si>
  <si>
    <t>70548</t>
  </si>
  <si>
    <t>Swift Lumber</t>
  </si>
  <si>
    <t>1450 Swift Mill Rd</t>
  </si>
  <si>
    <t>City of Mansfield (GA)</t>
  </si>
  <si>
    <t>Claiborne EC</t>
  </si>
  <si>
    <t>12525 Hwy 9</t>
  </si>
  <si>
    <t>Homer</t>
  </si>
  <si>
    <t>71040</t>
  </si>
  <si>
    <t>Vandalia Utility Dept (MO)</t>
  </si>
  <si>
    <t>200 East Park</t>
  </si>
  <si>
    <t>Vandalia</t>
  </si>
  <si>
    <t>63382</t>
  </si>
  <si>
    <t>City of Vidalia (LA)</t>
  </si>
  <si>
    <t>501 Sycamore Street</t>
  </si>
  <si>
    <t>Vidalia</t>
  </si>
  <si>
    <t>71373</t>
  </si>
  <si>
    <t>Rock Falls Electric Dept (IL)</t>
  </si>
  <si>
    <t>1109 Industrial Park Rd.</t>
  </si>
  <si>
    <t>Rock Falls</t>
  </si>
  <si>
    <t>61071</t>
  </si>
  <si>
    <t>Geneseo Municipal Utilities (IL)</t>
  </si>
  <si>
    <t>433 E North St</t>
  </si>
  <si>
    <t>61254</t>
  </si>
  <si>
    <t>City of Rayne</t>
  </si>
  <si>
    <t>201 3rd Street</t>
  </si>
  <si>
    <t>Rayne</t>
  </si>
  <si>
    <t>70578</t>
  </si>
  <si>
    <t>Lake Park Municipal Utilities (IA)</t>
  </si>
  <si>
    <t>217 N Market St</t>
  </si>
  <si>
    <t>51347</t>
  </si>
  <si>
    <t>CLECO Power - New Iberia (TGC)</t>
  </si>
  <si>
    <t>304 Darnall Road</t>
  </si>
  <si>
    <t>70560</t>
  </si>
  <si>
    <t>Hammett Electric</t>
  </si>
  <si>
    <t>1912 Barton Chapel Rd</t>
  </si>
  <si>
    <t>30904</t>
  </si>
  <si>
    <t>1000 Lund Blvd</t>
  </si>
  <si>
    <t>Anoka</t>
  </si>
  <si>
    <t>City of Manti (UT)</t>
  </si>
  <si>
    <t>50 S Main St #1</t>
  </si>
  <si>
    <t>Manti</t>
  </si>
  <si>
    <t>84642</t>
  </si>
  <si>
    <t>NW Electric Power Coop (MO)</t>
  </si>
  <si>
    <t>1001 W. Grand Avenue</t>
  </si>
  <si>
    <t>Cameron</t>
  </si>
  <si>
    <t>64429</t>
  </si>
  <si>
    <t>Unionville Power and Light (MO)</t>
  </si>
  <si>
    <t>2221 Main St</t>
  </si>
  <si>
    <t>Unionville</t>
  </si>
  <si>
    <t>63565</t>
  </si>
  <si>
    <t>Tri-County Electric Cooperative (MO)</t>
  </si>
  <si>
    <t>16894 US Hwy 63</t>
  </si>
  <si>
    <t>63548</t>
  </si>
  <si>
    <t>Shelbina Municipal Light and Water (MO)</t>
  </si>
  <si>
    <t>116 E. Walnut</t>
  </si>
  <si>
    <t>Shelbina</t>
  </si>
  <si>
    <t>63468</t>
  </si>
  <si>
    <t>Ralls County Electric Cooperative</t>
  </si>
  <si>
    <t>17594 MO-19</t>
  </si>
  <si>
    <t>63459</t>
  </si>
  <si>
    <t>Paris Electric Dept (MO)</t>
  </si>
  <si>
    <t>112 South Main St.</t>
  </si>
  <si>
    <t>65275</t>
  </si>
  <si>
    <t>Palmyra Board of Public Works (MO)</t>
  </si>
  <si>
    <t>301 S Main St</t>
  </si>
  <si>
    <t>63461</t>
  </si>
  <si>
    <t>Northeast Missouri Electric Power Cooperative</t>
  </si>
  <si>
    <t>3705 Business 61</t>
  </si>
  <si>
    <t>North Central Missouri Electric Cooperative</t>
  </si>
  <si>
    <t>Hwy E West - PO Box 220</t>
  </si>
  <si>
    <t>Missouri Rural Electric Cooperative</t>
  </si>
  <si>
    <t>975 W Ross St</t>
  </si>
  <si>
    <t>Macon Municipal Utilities (MO)</t>
  </si>
  <si>
    <t>106 W. Bourke St.</t>
  </si>
  <si>
    <t>Macon</t>
  </si>
  <si>
    <t>63552</t>
  </si>
  <si>
    <t>Pointe Coupee Electric</t>
  </si>
  <si>
    <t>2506 False River Drive</t>
  </si>
  <si>
    <t>Macon Electric Coop</t>
  </si>
  <si>
    <t>31571 Business Hwy 36</t>
  </si>
  <si>
    <t>City of Erath</t>
  </si>
  <si>
    <t>501 Veterans Memorial</t>
  </si>
  <si>
    <t>Erath</t>
  </si>
  <si>
    <t>70533</t>
  </si>
  <si>
    <t>Lewis County Rural Electric Coop (MO)</t>
  </si>
  <si>
    <t>18256 MO-16</t>
  </si>
  <si>
    <t>63452</t>
  </si>
  <si>
    <t>City of Linneus (MO)</t>
  </si>
  <si>
    <t>207 E State St</t>
  </si>
  <si>
    <t>Linneus</t>
  </si>
  <si>
    <t>64653</t>
  </si>
  <si>
    <t>City of La Plata (MO)</t>
  </si>
  <si>
    <t>113 S Gex St</t>
  </si>
  <si>
    <t>La Plata</t>
  </si>
  <si>
    <t>63549</t>
  </si>
  <si>
    <t>City of Kahoka (MO)</t>
  </si>
  <si>
    <t>250 N. Morgan St.</t>
  </si>
  <si>
    <t>Kahoka</t>
  </si>
  <si>
    <t>63445</t>
  </si>
  <si>
    <t>City of Hunnewell (MO)</t>
  </si>
  <si>
    <t>108 W. Maple</t>
  </si>
  <si>
    <t>Hunnewell</t>
  </si>
  <si>
    <t>63443</t>
  </si>
  <si>
    <t>Town of Gueydan</t>
  </si>
  <si>
    <t>600 Main Street</t>
  </si>
  <si>
    <t>Gueydan</t>
  </si>
  <si>
    <t>70542</t>
  </si>
  <si>
    <t>Chain Electric Company - LA</t>
  </si>
  <si>
    <t>731 Brothers RD.</t>
  </si>
  <si>
    <t>79507</t>
  </si>
  <si>
    <t>Washington St. Tammany EC</t>
  </si>
  <si>
    <t>950 Pearl Street</t>
  </si>
  <si>
    <t>Franklinton</t>
  </si>
  <si>
    <t>70438</t>
  </si>
  <si>
    <t>Overton Power District NO. 5 (OPD5)</t>
  </si>
  <si>
    <t>615 N Moapa Valley Blvd</t>
  </si>
  <si>
    <t>Moapa Valley</t>
  </si>
  <si>
    <t>89040</t>
  </si>
  <si>
    <t>Vinton (LA) Municipal Electric Department</t>
  </si>
  <si>
    <t>1200 Horridge Street</t>
  </si>
  <si>
    <t>70668</t>
  </si>
  <si>
    <t>T&amp;R Electric Supply Co., Inc.</t>
  </si>
  <si>
    <t>23476 469th Avenue</t>
  </si>
  <si>
    <t>Bountiful City Light &amp; Power</t>
  </si>
  <si>
    <t>198 S 200 W</t>
  </si>
  <si>
    <t>Bountiful</t>
  </si>
  <si>
    <t>84010</t>
  </si>
  <si>
    <t>Edison Choest</t>
  </si>
  <si>
    <t>Cuttoff</t>
  </si>
  <si>
    <t>Electric Power Systems-Louisiana</t>
  </si>
  <si>
    <t>1129 EAST HWY 30</t>
  </si>
  <si>
    <t>Young's Environmental Cleanup</t>
  </si>
  <si>
    <t>G-5305 N. Dort Highway</t>
  </si>
  <si>
    <t>Flint</t>
  </si>
  <si>
    <t>48505</t>
  </si>
  <si>
    <t>State of Louisiana- Office of Procurement</t>
  </si>
  <si>
    <t>1201 N. Third Street, Suite 2-160</t>
  </si>
  <si>
    <t>70802</t>
  </si>
  <si>
    <t>Weifield Group Contracting Texas</t>
  </si>
  <si>
    <t>1421 W Wells Branch Pkwy</t>
  </si>
  <si>
    <t>Pflugerville</t>
  </si>
  <si>
    <t>78660</t>
  </si>
  <si>
    <t>Southeastern Louisiana University</t>
  </si>
  <si>
    <t>500 W. University Ave</t>
  </si>
  <si>
    <t>70402</t>
  </si>
  <si>
    <t>Cawker City</t>
  </si>
  <si>
    <t>804 Locust St</t>
  </si>
  <si>
    <t>67430</t>
  </si>
  <si>
    <t>Colonial Pipeline MS</t>
  </si>
  <si>
    <t>Old Hwy 49</t>
  </si>
  <si>
    <t>Collins</t>
  </si>
  <si>
    <t>39428</t>
  </si>
  <si>
    <t>Bobby's Electric</t>
  </si>
  <si>
    <t>24907 Wlaker South Road</t>
  </si>
  <si>
    <t>70726</t>
  </si>
  <si>
    <t>Taft Electric Company</t>
  </si>
  <si>
    <t>1694 Eastman Ave</t>
  </si>
  <si>
    <t>Ventura</t>
  </si>
  <si>
    <t>93003</t>
  </si>
  <si>
    <t>King 5</t>
  </si>
  <si>
    <t>1501 1st AVE S. Suite 300</t>
  </si>
  <si>
    <t>98314</t>
  </si>
  <si>
    <t>Hammond Electric</t>
  </si>
  <si>
    <t>25 Avco Dr.</t>
  </si>
  <si>
    <t>Haverhill</t>
  </si>
  <si>
    <t>1835</t>
  </si>
  <si>
    <t>Danco Power, Inc.</t>
  </si>
  <si>
    <t>636 NORTH HILL PLACE #204B</t>
  </si>
  <si>
    <t>DH Electric, Inc.</t>
  </si>
  <si>
    <t>116 Burnside Dr.</t>
  </si>
  <si>
    <t>Tallulah</t>
  </si>
  <si>
    <t>71282</t>
  </si>
  <si>
    <t>Columbus Electric Coop Inc (NM)</t>
  </si>
  <si>
    <t>900 N. Gold</t>
  </si>
  <si>
    <t>Deming</t>
  </si>
  <si>
    <t>80031</t>
  </si>
  <si>
    <t>Plaquemine (do not use)</t>
  </si>
  <si>
    <t>23640 Railroad Ave.</t>
  </si>
  <si>
    <t>Miss Lou Electric Service, Inc.</t>
  </si>
  <si>
    <t>1830 Carter Street</t>
  </si>
  <si>
    <t>Association of Louisiana Electric Cooperatives</t>
  </si>
  <si>
    <t>10725 Airline Hwy.</t>
  </si>
  <si>
    <t>70816</t>
  </si>
  <si>
    <t>Fox Islands Electric Cooperative, Inc.</t>
  </si>
  <si>
    <t>San Augustine Light and Water</t>
  </si>
  <si>
    <t>301 S Harrison St</t>
  </si>
  <si>
    <t>Houlton Water Company</t>
  </si>
  <si>
    <t>Madison Electric Works</t>
  </si>
  <si>
    <t>Maine Public Service</t>
  </si>
  <si>
    <t>Mayer Electric Pensacola</t>
  </si>
  <si>
    <t>4085 North Pace Blvd</t>
  </si>
  <si>
    <t>COP Construction LLC</t>
  </si>
  <si>
    <t>242 S. 64th Street</t>
  </si>
  <si>
    <t>West Billings</t>
  </si>
  <si>
    <t>59106</t>
  </si>
  <si>
    <t>Interstate Electrical Contractors, Inc</t>
  </si>
  <si>
    <t>12725 W. 54th Drive</t>
  </si>
  <si>
    <t>Arvada</t>
  </si>
  <si>
    <t>80002</t>
  </si>
  <si>
    <t>Van Buren Light and Power District</t>
  </si>
  <si>
    <t>Southwest Electric Company</t>
  </si>
  <si>
    <t>6501 SE 74th St</t>
  </si>
  <si>
    <t>73135</t>
  </si>
  <si>
    <t>City of Covington, GA</t>
  </si>
  <si>
    <t>2194 Emory Street NW</t>
  </si>
  <si>
    <t>Snapping Shoals EMC</t>
  </si>
  <si>
    <t>14750 Brown Bridge Rd.</t>
  </si>
  <si>
    <t>30016</t>
  </si>
  <si>
    <t>Southern Maryland Electric Coop Inc [SMECO]</t>
  </si>
  <si>
    <t>14950 Cooperative Place</t>
  </si>
  <si>
    <t>Hughesville</t>
  </si>
  <si>
    <t>20637</t>
  </si>
  <si>
    <t>Mayer Dothan</t>
  </si>
  <si>
    <t>1390 Columbia Hwy</t>
  </si>
  <si>
    <t>Thurmont Municipal Light Co</t>
  </si>
  <si>
    <t>CONSTELLATION ENERGY INC</t>
  </si>
  <si>
    <t>Hager Company</t>
  </si>
  <si>
    <t>150 Folmar Pkwy</t>
  </si>
  <si>
    <t>AEP - Shreveport</t>
  </si>
  <si>
    <t>6130 Union St</t>
  </si>
  <si>
    <t>Shreveport</t>
  </si>
  <si>
    <t>71108</t>
  </si>
  <si>
    <t>Tupelo L&amp;W</t>
  </si>
  <si>
    <t>320 North Front Street</t>
  </si>
  <si>
    <t>Tupelo</t>
  </si>
  <si>
    <t>38801</t>
  </si>
  <si>
    <t>Service Electric Co.</t>
  </si>
  <si>
    <t>1631 East 25th St</t>
  </si>
  <si>
    <t>Tippah  Electric Power Association</t>
  </si>
  <si>
    <t>109 e. Cooper Street</t>
  </si>
  <si>
    <t>386638</t>
  </si>
  <si>
    <t>Erwin Utilities</t>
  </si>
  <si>
    <t>244 love st.</t>
  </si>
  <si>
    <t>Erwin</t>
  </si>
  <si>
    <t>37650</t>
  </si>
  <si>
    <t>Easton Utilities Commission</t>
  </si>
  <si>
    <t>Central Georgia EMC</t>
  </si>
  <si>
    <t>923 Mulberry St.</t>
  </si>
  <si>
    <t>Environmental Quality Management, Inc.</t>
  </si>
  <si>
    <t>3400 179th Street   Building 2</t>
  </si>
  <si>
    <t>46323</t>
  </si>
  <si>
    <t>Rio Grande Electric Coop</t>
  </si>
  <si>
    <t>778 E US Hwy 90</t>
  </si>
  <si>
    <t>Bracketville</t>
  </si>
  <si>
    <t>78832</t>
  </si>
  <si>
    <t>Williamsport Electric Light System</t>
  </si>
  <si>
    <t>Hagerstown Light Dept</t>
  </si>
  <si>
    <t>Choptank Electric Coop Inc</t>
  </si>
  <si>
    <t>United States Army</t>
  </si>
  <si>
    <t>Ft. Meade Garrison</t>
  </si>
  <si>
    <t>Bettis Atomic Power Laboratory</t>
  </si>
  <si>
    <t>814 Pittsburgh-McKeesport Blvd.</t>
  </si>
  <si>
    <t>West Mifflin</t>
  </si>
  <si>
    <t>15122</t>
  </si>
  <si>
    <t>17532 Highway 71</t>
  </si>
  <si>
    <t>Brush</t>
  </si>
  <si>
    <t>80732</t>
  </si>
  <si>
    <t>City of Waynesville (MO)</t>
  </si>
  <si>
    <t>201 North St.</t>
  </si>
  <si>
    <t>65583</t>
  </si>
  <si>
    <t>southeast Colorado Power Association</t>
  </si>
  <si>
    <t>3601 so Main St</t>
  </si>
  <si>
    <t>81052</t>
  </si>
  <si>
    <t>Carthage Water &amp; Electric Plant (MO)</t>
  </si>
  <si>
    <t>627 W. Centennial Ave.</t>
  </si>
  <si>
    <t>64836</t>
  </si>
  <si>
    <t>City Of Nixa (MO)</t>
  </si>
  <si>
    <t>1111 W Kathrine Street</t>
  </si>
  <si>
    <t>65714</t>
  </si>
  <si>
    <t>Liberal Light Department (MO)</t>
  </si>
  <si>
    <t>209 N Main St</t>
  </si>
  <si>
    <t>Liberal</t>
  </si>
  <si>
    <t>64762</t>
  </si>
  <si>
    <t>Barton County Electric Coop</t>
  </si>
  <si>
    <t>91 West Highway 160</t>
  </si>
  <si>
    <t>Independence Power &amp; Light Dept (MO)</t>
  </si>
  <si>
    <t>21500 E Truman Rd.</t>
  </si>
  <si>
    <t>64056</t>
  </si>
  <si>
    <t>Jeff Deselms</t>
  </si>
  <si>
    <t>Tri-County Electric Coop Inc (IL)</t>
  </si>
  <si>
    <t>3906 Broadway Street</t>
  </si>
  <si>
    <t>Mount Vernon</t>
  </si>
  <si>
    <t>62864-0309</t>
  </si>
  <si>
    <t>AECOM</t>
  </si>
  <si>
    <t>6200 S Quebec</t>
  </si>
  <si>
    <t>Greenwood Village</t>
  </si>
  <si>
    <t>80111</t>
  </si>
  <si>
    <t>Central Florida Electric Co-Op Inc.</t>
  </si>
  <si>
    <t>11497 NW 50th Ave</t>
  </si>
  <si>
    <t>Chiefland</t>
  </si>
  <si>
    <t>32626</t>
  </si>
  <si>
    <t>Reuter &amp; Haney</t>
  </si>
  <si>
    <t>149 railroad Drive</t>
  </si>
  <si>
    <t>Ivyland</t>
  </si>
  <si>
    <t>18974</t>
  </si>
  <si>
    <t>Yuma Municipal Light and Power</t>
  </si>
  <si>
    <t>ACV Enviro</t>
  </si>
  <si>
    <t>600 Cenco BLVD</t>
  </si>
  <si>
    <t>8312</t>
  </si>
  <si>
    <t>Navopache Electric Cooperative</t>
  </si>
  <si>
    <t>1878 West White Mountain Blvd</t>
  </si>
  <si>
    <t>Lakeside</t>
  </si>
  <si>
    <t>85929</t>
  </si>
  <si>
    <t>Electrical Apparatus Inc</t>
  </si>
  <si>
    <t>3183 Mesa Ave.</t>
  </si>
  <si>
    <t>81504</t>
  </si>
  <si>
    <t>City of Trinidad Utilities</t>
  </si>
  <si>
    <t>135 N Animas Street</t>
  </si>
  <si>
    <t>Trinidad</t>
  </si>
  <si>
    <t>81082</t>
  </si>
  <si>
    <t>Lamar Utilities Board</t>
  </si>
  <si>
    <t>Eversource (formally Northeast/NStar)</t>
  </si>
  <si>
    <t>City Of Leland L&amp;W Dept</t>
  </si>
  <si>
    <t>101 Deer Creek Dr.</t>
  </si>
  <si>
    <t>Leland</t>
  </si>
  <si>
    <t>38756</t>
  </si>
  <si>
    <t>City of Robertsdale</t>
  </si>
  <si>
    <t>22650 E. Chicago St.</t>
  </si>
  <si>
    <t>East Bay Electric</t>
  </si>
  <si>
    <t>23402 McAuliffe Dr</t>
  </si>
  <si>
    <t>Robertsdale,</t>
  </si>
  <si>
    <t>Helix Electric</t>
  </si>
  <si>
    <t>7677 Oakport Street</t>
  </si>
  <si>
    <t>United Illuminating Co [UI]</t>
  </si>
  <si>
    <t>Groton Utilities</t>
  </si>
  <si>
    <t>Versatile Processing Group, Inc.</t>
  </si>
  <si>
    <t>Coosa Valley EMC</t>
  </si>
  <si>
    <t>69220 Alabama Highway 77</t>
  </si>
  <si>
    <t>Talladega</t>
  </si>
  <si>
    <t>35161</t>
  </si>
  <si>
    <t>Wallingford Electric Division</t>
  </si>
  <si>
    <t>Sequel Electrical Supply Foley</t>
  </si>
  <si>
    <t>21775 US-98</t>
  </si>
  <si>
    <t>Arab Electric Co-Op (EMC)</t>
  </si>
  <si>
    <t>331 S Brindlee Mtn Parkway</t>
  </si>
  <si>
    <t>Arab</t>
  </si>
  <si>
    <t>35016</t>
  </si>
  <si>
    <t>Jewett City Electric Light</t>
  </si>
  <si>
    <t>Norwich Dept of Public Utilites</t>
  </si>
  <si>
    <t>Cherokee EMC</t>
  </si>
  <si>
    <t>1550 Clarence E Chesnut Jr Bypass</t>
  </si>
  <si>
    <t>Centre</t>
  </si>
  <si>
    <t>35960</t>
  </si>
  <si>
    <t>Sylacauga Utilities</t>
  </si>
  <si>
    <t>1414 Edwards St</t>
  </si>
  <si>
    <t>Gulf Coast Electric Coop</t>
  </si>
  <si>
    <t>9434 FL-77</t>
  </si>
  <si>
    <t>Magnitude Metals</t>
  </si>
  <si>
    <t>Adams Electric Coop - Illinois</t>
  </si>
  <si>
    <t>700 E Wood Street</t>
  </si>
  <si>
    <t>Camp Point</t>
  </si>
  <si>
    <t>62320</t>
  </si>
  <si>
    <t>Cairo Public Utilities (IL)</t>
  </si>
  <si>
    <t>1100 Commercial Ave</t>
  </si>
  <si>
    <t>62914</t>
  </si>
  <si>
    <t>S&amp;W Electric</t>
  </si>
  <si>
    <t>3901 2nd Avenue South</t>
  </si>
  <si>
    <t>Village of Ladd (IL)</t>
  </si>
  <si>
    <t>121 N. Main Street</t>
  </si>
  <si>
    <t>Ladd</t>
  </si>
  <si>
    <t>61329</t>
  </si>
  <si>
    <t>City of Gallup Electric Utility</t>
  </si>
  <si>
    <t>110 W Aztec Ave</t>
  </si>
  <si>
    <t>Gallup</t>
  </si>
  <si>
    <t>87301</t>
  </si>
  <si>
    <t>South Norwalk Electric Works</t>
  </si>
  <si>
    <t>Bozrah Power &amp; Light</t>
  </si>
  <si>
    <t>Meridian Community College</t>
  </si>
  <si>
    <t>6601 N. Hills Drive</t>
  </si>
  <si>
    <t>Meridian</t>
  </si>
  <si>
    <t>39307</t>
  </si>
  <si>
    <t>Harrisonville Electric Department</t>
  </si>
  <si>
    <t>300 E. Pearl Street</t>
  </si>
  <si>
    <t>New-Mac Electric Coop</t>
  </si>
  <si>
    <t>12105 MO-86</t>
  </si>
  <si>
    <t>Neosho</t>
  </si>
  <si>
    <t>Southwest Electric Cooperative (MO)</t>
  </si>
  <si>
    <t>1023 S. Springfield Ave</t>
  </si>
  <si>
    <t>Bolivar</t>
  </si>
  <si>
    <t>65613</t>
  </si>
  <si>
    <t>Green Cove Springs Development Corp</t>
  </si>
  <si>
    <t>4169 CR15A</t>
  </si>
  <si>
    <t>City of Ellaville</t>
  </si>
  <si>
    <t>Ellaville</t>
  </si>
  <si>
    <t>MASSENA ELECTRIC DEPT</t>
  </si>
  <si>
    <t>Dysart Municipal Utilities</t>
  </si>
  <si>
    <t>601 Wilson St</t>
  </si>
  <si>
    <t>Dysart</t>
  </si>
  <si>
    <t>52224</t>
  </si>
  <si>
    <t>Industrial Electric Supply (IES)</t>
  </si>
  <si>
    <t>8497 Spanish Fort Blvd</t>
  </si>
  <si>
    <t>Spanish Fort</t>
  </si>
  <si>
    <t>36527</t>
  </si>
  <si>
    <t>Clower Electric</t>
  </si>
  <si>
    <t>2488 Halls Mill Rd.</t>
  </si>
  <si>
    <t>36606</t>
  </si>
  <si>
    <t>Otsego Electric Coop Inc</t>
  </si>
  <si>
    <t>CED Pensacola</t>
  </si>
  <si>
    <t>4320 N Palafox St,</t>
  </si>
  <si>
    <t>Denver Municipal Utilities (IA)</t>
  </si>
  <si>
    <t>100 Washington St</t>
  </si>
  <si>
    <t>50622</t>
  </si>
  <si>
    <t>Graybar Electric</t>
  </si>
  <si>
    <t>P.O. Box 78099</t>
  </si>
  <si>
    <t>Dayton Light &amp; Power (IA)</t>
  </si>
  <si>
    <t>202 1st Ave SW</t>
  </si>
  <si>
    <t>50530</t>
  </si>
  <si>
    <t>Danville Municipal Utilities</t>
  </si>
  <si>
    <t>105 West Shepherd Street</t>
  </si>
  <si>
    <t>52623</t>
  </si>
  <si>
    <t>Tri City Electrical Contractors FL</t>
  </si>
  <si>
    <t>430 W Drive</t>
  </si>
  <si>
    <t>WESCO</t>
  </si>
  <si>
    <t>Knoxville</t>
  </si>
  <si>
    <t>Corwith Municipal Utilities</t>
  </si>
  <si>
    <t>108 NW Elem St</t>
  </si>
  <si>
    <t>Corwith</t>
  </si>
  <si>
    <t>50430</t>
  </si>
  <si>
    <t>Corning Municipal Utilities</t>
  </si>
  <si>
    <t>601 6th St</t>
  </si>
  <si>
    <t>50841</t>
  </si>
  <si>
    <t>Philadelphia Municipal Electric System (NY)</t>
  </si>
  <si>
    <t>City of Blanding (UT)</t>
  </si>
  <si>
    <t>50 W 100 S</t>
  </si>
  <si>
    <t>Blanding</t>
  </si>
  <si>
    <t>84511</t>
  </si>
  <si>
    <t>Plattsburgh Municipal Lighting Dept</t>
  </si>
  <si>
    <t>Consolidated Edison Co of New York Inc [ConEd]</t>
  </si>
  <si>
    <t>4 Irving Place</t>
  </si>
  <si>
    <t>New York</t>
  </si>
  <si>
    <t>Freeport Electric Dept</t>
  </si>
  <si>
    <t>220 West Sunrise Ave.</t>
  </si>
  <si>
    <t>Freeport</t>
  </si>
  <si>
    <t>11520</t>
  </si>
  <si>
    <t>New York Power Authority</t>
  </si>
  <si>
    <t>123 Main Street</t>
  </si>
  <si>
    <t>White Plains</t>
  </si>
  <si>
    <t>10601</t>
  </si>
  <si>
    <t>SML Resources International</t>
  </si>
  <si>
    <t>5029 West Lake Rd.</t>
  </si>
  <si>
    <t>14454</t>
  </si>
  <si>
    <t>NORLITE</t>
  </si>
  <si>
    <t>628 Saratoga St</t>
  </si>
  <si>
    <t>Cohoes</t>
  </si>
  <si>
    <t>12047</t>
  </si>
  <si>
    <t>Jamestown Board of Public Utilities</t>
  </si>
  <si>
    <t>92 Steele St</t>
  </si>
  <si>
    <t>Fairport Municipal Commission</t>
  </si>
  <si>
    <t>31 south Main st</t>
  </si>
  <si>
    <t>fairport</t>
  </si>
  <si>
    <t>14450</t>
  </si>
  <si>
    <t>CED Mobile (Consolidated Electric Supply)</t>
  </si>
  <si>
    <t>4655 Halls Mill Rd</t>
  </si>
  <si>
    <t>36693</t>
  </si>
  <si>
    <t>Central Hudson Gas &amp; Electric Corp [CHG&amp;E]</t>
  </si>
  <si>
    <t>St John Muni Light Dept</t>
  </si>
  <si>
    <t>P.O. Box 367</t>
  </si>
  <si>
    <t>Saint John</t>
  </si>
  <si>
    <t>67576</t>
  </si>
  <si>
    <t>CASTILE ELECTRIC SYSTEM</t>
  </si>
  <si>
    <t>New Enterprise Rural Electric Coop</t>
  </si>
  <si>
    <t>3596 Brumbaugh Rd</t>
  </si>
  <si>
    <t>New Enterprise</t>
  </si>
  <si>
    <t>16664-0075</t>
  </si>
  <si>
    <t>Bath Electric Gas &amp; Water Systems</t>
  </si>
  <si>
    <t>Hohokam Irrigation &amp; Power</t>
  </si>
  <si>
    <t>142 S Arizona Blvd</t>
  </si>
  <si>
    <t>Coolidge</t>
  </si>
  <si>
    <t>85128</t>
  </si>
  <si>
    <t>Wells Rural Electric Coop</t>
  </si>
  <si>
    <t>1451 Humboldt Ave</t>
  </si>
  <si>
    <t>89835</t>
  </si>
  <si>
    <t>Lamar Utilities(CO)</t>
  </si>
  <si>
    <t>100 N 2nd St</t>
  </si>
  <si>
    <t>Bridger Valley Electric Association</t>
  </si>
  <si>
    <t>40014 Business Loop, 80</t>
  </si>
  <si>
    <t>82937</t>
  </si>
  <si>
    <t>Oak Ridge National Lab</t>
  </si>
  <si>
    <t>1 Bethel Valley Road</t>
  </si>
  <si>
    <t>Arcade Municipal Electric Dept</t>
  </si>
  <si>
    <t>Akron Municipal Electric Utility</t>
  </si>
  <si>
    <t>City of Cody</t>
  </si>
  <si>
    <t>225 19th St</t>
  </si>
  <si>
    <t>Cody</t>
  </si>
  <si>
    <t>82414</t>
  </si>
  <si>
    <t>Morgan County Rural Electric Association</t>
  </si>
  <si>
    <t>734 Barlow rd</t>
  </si>
  <si>
    <t>Fort Morgan</t>
  </si>
  <si>
    <t>80701</t>
  </si>
  <si>
    <t>Y-W Electric Association Inc</t>
  </si>
  <si>
    <t>250 Main Ave</t>
  </si>
  <si>
    <t>80720</t>
  </si>
  <si>
    <t>RE Pierson Contruction</t>
  </si>
  <si>
    <t>426 swedesboro</t>
  </si>
  <si>
    <t>Pilesgrove</t>
  </si>
  <si>
    <t>8098</t>
  </si>
  <si>
    <t>Duke Energy Corporation</t>
  </si>
  <si>
    <t>DH Griffin</t>
  </si>
  <si>
    <t>4716 Hilltop Road</t>
  </si>
  <si>
    <t>Gillette Municipal Power</t>
  </si>
  <si>
    <t>201 E 5th St</t>
  </si>
  <si>
    <t>Gillette</t>
  </si>
  <si>
    <t>82716</t>
  </si>
  <si>
    <t>Siemens-Raleigh NC</t>
  </si>
  <si>
    <t>4601 Six Forks Road</t>
  </si>
  <si>
    <t>27609</t>
  </si>
  <si>
    <t>Cass County Electric Coop Inc  [CCEC]</t>
  </si>
  <si>
    <t>4100 32nd Ave S</t>
  </si>
  <si>
    <t>Fargo</t>
  </si>
  <si>
    <t>58104</t>
  </si>
  <si>
    <t>Mountain Parks Electric</t>
  </si>
  <si>
    <t>321 W Agate Ave</t>
  </si>
  <si>
    <t>Grandy</t>
  </si>
  <si>
    <t>80446</t>
  </si>
  <si>
    <t>Valley City Public Works Department</t>
  </si>
  <si>
    <t>Baltimore Gas and Electric</t>
  </si>
  <si>
    <t>Jackson EC-TX</t>
  </si>
  <si>
    <t>8925 TX 111 111 E</t>
  </si>
  <si>
    <t>Ganado</t>
  </si>
  <si>
    <t>77962</t>
  </si>
  <si>
    <t>New Hart Services</t>
  </si>
  <si>
    <t>westrock</t>
  </si>
  <si>
    <t>Crane Naval Base (Crane, IN)</t>
  </si>
  <si>
    <t>Wholesale Electric</t>
  </si>
  <si>
    <t>Nicarauguan Company</t>
  </si>
  <si>
    <t>FAA</t>
  </si>
  <si>
    <t>Goldens Foundry</t>
  </si>
  <si>
    <t>Mervis</t>
  </si>
  <si>
    <t>Skyvue</t>
  </si>
  <si>
    <t>Power Engineer</t>
  </si>
  <si>
    <t>Triad Electric</t>
  </si>
  <si>
    <t>UAV Recon</t>
  </si>
  <si>
    <t>John Deere</t>
  </si>
  <si>
    <t>Tennessee Military Department</t>
  </si>
  <si>
    <t>Bailey's Construction</t>
  </si>
  <si>
    <t>Northrop Grumman System Corp</t>
  </si>
  <si>
    <t>MJ Murphy Oil</t>
  </si>
  <si>
    <t>Emory University</t>
  </si>
  <si>
    <t>Wright Patterson Air Force Base - Dayton, OH</t>
  </si>
  <si>
    <t>Cox-Colvin &amp; Associates</t>
  </si>
  <si>
    <t>Olin Corp</t>
  </si>
  <si>
    <t>Falcon Jet</t>
  </si>
  <si>
    <t>Resilient Power System</t>
  </si>
  <si>
    <t>Robinson Electric</t>
  </si>
  <si>
    <t>ALEC</t>
  </si>
  <si>
    <t>BBC Electrical</t>
  </si>
  <si>
    <t>AquaFuel Recycling</t>
  </si>
  <si>
    <t>Glades EMC</t>
  </si>
  <si>
    <t>Sabre Demolition</t>
  </si>
  <si>
    <t>Warners</t>
  </si>
  <si>
    <t>13164</t>
  </si>
  <si>
    <t>West Kentucky Rural Electric Cooperative</t>
  </si>
  <si>
    <t>111 Ingersoll Rand Road</t>
  </si>
  <si>
    <t>Colby Department of Public Utilities</t>
  </si>
  <si>
    <t>585 N Franklin Ave</t>
  </si>
  <si>
    <t>Colby</t>
  </si>
  <si>
    <t>67701</t>
  </si>
  <si>
    <t>Russell Municipal Utility Authority</t>
  </si>
  <si>
    <t>Russell</t>
  </si>
  <si>
    <t>67665</t>
  </si>
  <si>
    <t>Pratt Municipal Electric</t>
  </si>
  <si>
    <t>Kissimmee Utility Authority (KUA)</t>
  </si>
  <si>
    <t>2850 N John Young Parkway</t>
  </si>
  <si>
    <t>Kissimmee</t>
  </si>
  <si>
    <t>fl</t>
  </si>
  <si>
    <t>34742</t>
  </si>
  <si>
    <t>Mennel Milling Company</t>
  </si>
  <si>
    <t>4136 Martel Road</t>
  </si>
  <si>
    <t>Martel</t>
  </si>
  <si>
    <t>43314</t>
  </si>
  <si>
    <t>Somerset REC</t>
  </si>
  <si>
    <t>223 Industrial Park Rd.</t>
  </si>
  <si>
    <t>15501-0270</t>
  </si>
  <si>
    <t>Augusta Electric Department (KS)</t>
  </si>
  <si>
    <t>621 E 12th Ave</t>
  </si>
  <si>
    <t>A. T. Emmett, LLC</t>
  </si>
  <si>
    <t>2028 State Road</t>
  </si>
  <si>
    <t>Port Clinton</t>
  </si>
  <si>
    <t>43452</t>
  </si>
  <si>
    <t>Intren, LLC</t>
  </si>
  <si>
    <t>18202 W. Union Road</t>
  </si>
  <si>
    <t>60180</t>
  </si>
  <si>
    <t>Mascoutah Light &amp; Water Dept</t>
  </si>
  <si>
    <t>Mascoutah</t>
  </si>
  <si>
    <t>Carroll Electric Cooperative Corp</t>
  </si>
  <si>
    <t>920 West Hwy 62 Spur</t>
  </si>
  <si>
    <t>Berryville</t>
  </si>
  <si>
    <t>72616</t>
  </si>
  <si>
    <t>City of Red Bud (IL)</t>
  </si>
  <si>
    <t>525 Power Street</t>
  </si>
  <si>
    <t>Red Bud</t>
  </si>
  <si>
    <t>62278</t>
  </si>
  <si>
    <t>Jacobs</t>
  </si>
  <si>
    <t>10 10th St suite 1400</t>
  </si>
  <si>
    <t>atlanta</t>
  </si>
  <si>
    <t>30309</t>
  </si>
  <si>
    <t>Waterloo Light &amp; Power (IL)</t>
  </si>
  <si>
    <t>104 W. Fourth St.</t>
  </si>
  <si>
    <t>Waterloo</t>
  </si>
  <si>
    <t>62298</t>
  </si>
  <si>
    <t>Bentonville Light and Power</t>
  </si>
  <si>
    <t>501 SW 28th Street</t>
  </si>
  <si>
    <t>72712</t>
  </si>
  <si>
    <t>City of Siloam Springs</t>
  </si>
  <si>
    <t>1600 W. Quarter Rd.</t>
  </si>
  <si>
    <t>Siloam Springs</t>
  </si>
  <si>
    <t>72761</t>
  </si>
  <si>
    <t>City of Hampton</t>
  </si>
  <si>
    <t>16 Wolf Street</t>
  </si>
  <si>
    <t>Ga</t>
  </si>
  <si>
    <t>MGM Electrical Surplus Inc.</t>
  </si>
  <si>
    <t>2137 Fairfield Avenue</t>
  </si>
  <si>
    <t>14305</t>
  </si>
  <si>
    <t>Tyler Union</t>
  </si>
  <si>
    <t>1501 W 17th St</t>
  </si>
  <si>
    <t>Anniston</t>
  </si>
  <si>
    <t>36201</t>
  </si>
  <si>
    <t>Ottawa Municial Electric Dept</t>
  </si>
  <si>
    <t>324 Beech St</t>
  </si>
  <si>
    <t>Ottawa</t>
  </si>
  <si>
    <t>66067</t>
  </si>
  <si>
    <t>City of Winfield Electric Department</t>
  </si>
  <si>
    <t>200 E. 9th P.O. Box 646</t>
  </si>
  <si>
    <t>Winfield</t>
  </si>
  <si>
    <t>67156</t>
  </si>
  <si>
    <t>UNITED STATES COLD STORAGE, INC,</t>
  </si>
  <si>
    <t>104 Witherington Drive</t>
  </si>
  <si>
    <t>30819</t>
  </si>
  <si>
    <t>Galindo Electric, Inc.</t>
  </si>
  <si>
    <t>2440 Grand Ave. Suite B</t>
  </si>
  <si>
    <t>Solomon Corp.</t>
  </si>
  <si>
    <t>103 W. Main St</t>
  </si>
  <si>
    <t>Solomon</t>
  </si>
  <si>
    <t>67480</t>
  </si>
  <si>
    <t>Energis</t>
  </si>
  <si>
    <t>1361 Glory Road</t>
  </si>
  <si>
    <t>Southern Pioneer Electric Co</t>
  </si>
  <si>
    <t>1850 West Oklahoma</t>
  </si>
  <si>
    <t>67880</t>
  </si>
  <si>
    <t>Automated Controls &amp; Engineering</t>
  </si>
  <si>
    <t>P.O. Box 446</t>
  </si>
  <si>
    <t>Rader Environmental Services, Inc.</t>
  </si>
  <si>
    <t>1752 W. Romick Parkway</t>
  </si>
  <si>
    <t>Washington Municipal Electric</t>
  </si>
  <si>
    <t>1001 Park Road</t>
  </si>
  <si>
    <t>66968</t>
  </si>
  <si>
    <t>Chetopa Electric Department</t>
  </si>
  <si>
    <t>618 N 11th St.</t>
  </si>
  <si>
    <t>Chetopa</t>
  </si>
  <si>
    <t>67336</t>
  </si>
  <si>
    <t>OPPD Elkhorn Service</t>
  </si>
  <si>
    <t>1101 N 180th St</t>
  </si>
  <si>
    <t>68022</t>
  </si>
  <si>
    <t>Tri-City Electric Company</t>
  </si>
  <si>
    <t>6225 N Brady Street</t>
  </si>
  <si>
    <t>52806</t>
  </si>
  <si>
    <t>Mission Valley Power</t>
  </si>
  <si>
    <t>36079 Pablo West Road</t>
  </si>
  <si>
    <t>Pablo</t>
  </si>
  <si>
    <t>59855</t>
  </si>
  <si>
    <t>United Electric Coop (MO)</t>
  </si>
  <si>
    <t>401 US-71 BUS</t>
  </si>
  <si>
    <t>64485</t>
  </si>
  <si>
    <t>Border States - Topeka</t>
  </si>
  <si>
    <t>Garden City Municipal Utilities</t>
  </si>
  <si>
    <t>140 Harvest St,</t>
  </si>
  <si>
    <t>Garden City</t>
  </si>
  <si>
    <t>67846</t>
  </si>
  <si>
    <t>Oberlin Municipal Electric</t>
  </si>
  <si>
    <t>1 Morgan Drive</t>
  </si>
  <si>
    <t>67749</t>
  </si>
  <si>
    <t>Gilman City Utilities</t>
  </si>
  <si>
    <t>429 Main St</t>
  </si>
  <si>
    <t>Gilman City</t>
  </si>
  <si>
    <t>64642</t>
  </si>
  <si>
    <t>Woodbury County Rural Electric Coop</t>
  </si>
  <si>
    <t>1495 Humbolt Ave</t>
  </si>
  <si>
    <t>Moville</t>
  </si>
  <si>
    <t>51039</t>
  </si>
  <si>
    <t>Willmar Municipal Utilities Commission</t>
  </si>
  <si>
    <t>700 Litchfield Ave SW</t>
  </si>
  <si>
    <t>Willmar</t>
  </si>
  <si>
    <t>56201</t>
  </si>
  <si>
    <t>Stockton Municipal Electric</t>
  </si>
  <si>
    <t>115 South Walnut</t>
  </si>
  <si>
    <t>Stockton</t>
  </si>
  <si>
    <t>67669</t>
  </si>
  <si>
    <t>Waseca Water and Light Dept</t>
  </si>
  <si>
    <t>508 S State St</t>
  </si>
  <si>
    <t>Waseca</t>
  </si>
  <si>
    <t>56093</t>
  </si>
  <si>
    <t>Wadena Electric and Water (Use other Account name)</t>
  </si>
  <si>
    <t>222 2nd St SE</t>
  </si>
  <si>
    <t>Two Harbors Municipal Water and Light</t>
  </si>
  <si>
    <t>522 First Avenue,</t>
  </si>
  <si>
    <t>Two Harbors</t>
  </si>
  <si>
    <t>55616</t>
  </si>
  <si>
    <t>Stearns Electric Association</t>
  </si>
  <si>
    <t>29643 Frontage Rd</t>
  </si>
  <si>
    <t>St Joseph</t>
  </si>
  <si>
    <t>56374</t>
  </si>
  <si>
    <t>St James Municipal Utilities</t>
  </si>
  <si>
    <t>100 S Jefferson St</t>
  </si>
  <si>
    <t>St James</t>
  </si>
  <si>
    <t>St. Charles Utilities</t>
  </si>
  <si>
    <t>830 Whitewater Avenue</t>
  </si>
  <si>
    <t>St. Charles</t>
  </si>
  <si>
    <t>55972</t>
  </si>
  <si>
    <t>Spencer Municipal Utilities</t>
  </si>
  <si>
    <t>520 2nd Ave E #1</t>
  </si>
  <si>
    <t>Spencer</t>
  </si>
  <si>
    <t>51301</t>
  </si>
  <si>
    <t>Grafton Municipal Utilities (IA)</t>
  </si>
  <si>
    <t>109 Third Avenue</t>
  </si>
  <si>
    <t>50440</t>
  </si>
  <si>
    <t>Hydrodec</t>
  </si>
  <si>
    <t>Pioneer Electric Coop Inc</t>
  </si>
  <si>
    <t>344 W. US Route 36</t>
  </si>
  <si>
    <t>Okanogan County PUD</t>
  </si>
  <si>
    <t>1331 2nd Ave N</t>
  </si>
  <si>
    <t>Okanogan</t>
  </si>
  <si>
    <t>98840</t>
  </si>
  <si>
    <t>Southwestern Electric Coop (NM)</t>
  </si>
  <si>
    <t>216 Main St</t>
  </si>
  <si>
    <t>88415</t>
  </si>
  <si>
    <t>Fannin Co Elec Coop</t>
  </si>
  <si>
    <t>1530 Silo Road</t>
  </si>
  <si>
    <t>Hancock-Wood Electric Coop Inc</t>
  </si>
  <si>
    <t>1399 Business Park Drive South</t>
  </si>
  <si>
    <t>North Baltimore</t>
  </si>
  <si>
    <t>Piedmont Electric Co-OP</t>
  </si>
  <si>
    <t>2500 NC 86</t>
  </si>
  <si>
    <t>Hillsborough</t>
  </si>
  <si>
    <t>27278</t>
  </si>
  <si>
    <t>Consumers Power Inc</t>
  </si>
  <si>
    <t>6990 W Hills Rd</t>
  </si>
  <si>
    <t>Philomath</t>
  </si>
  <si>
    <t>97370</t>
  </si>
  <si>
    <t>Rexel Mobile</t>
  </si>
  <si>
    <t>780 Lakeside Dt</t>
  </si>
  <si>
    <t>Richland Utilities (WA)</t>
  </si>
  <si>
    <t>2700 Duportail st</t>
  </si>
  <si>
    <t>99352</t>
  </si>
  <si>
    <t>Franklin PUD</t>
  </si>
  <si>
    <t>1411 W. Clark st</t>
  </si>
  <si>
    <t>Paavo</t>
  </si>
  <si>
    <t>99302</t>
  </si>
  <si>
    <t>Central Electric Coop(OR)</t>
  </si>
  <si>
    <t>2098 NW 6th St.</t>
  </si>
  <si>
    <t>Redmond</t>
  </si>
  <si>
    <t>97756</t>
  </si>
  <si>
    <t>Environmental Enterprises, Inc.</t>
  </si>
  <si>
    <t>4650 Spring Grove Ave</t>
  </si>
  <si>
    <t>45232</t>
  </si>
  <si>
    <t>Hamilton, OH Electric Department</t>
  </si>
  <si>
    <t>345 High Street</t>
  </si>
  <si>
    <t>45011</t>
  </si>
  <si>
    <t>Stanhope Municipal Utilities</t>
  </si>
  <si>
    <t>600 Main St</t>
  </si>
  <si>
    <t>Stanhope</t>
  </si>
  <si>
    <t>50246</t>
  </si>
  <si>
    <t>Kenny Strange Electric</t>
  </si>
  <si>
    <t>2436 N. East Ave</t>
  </si>
  <si>
    <t>West Fraser Perry Sawmill</t>
  </si>
  <si>
    <t>1509 S Byron Butler Pkwy</t>
  </si>
  <si>
    <t>323248</t>
  </si>
  <si>
    <t>Haddon-McClellan</t>
  </si>
  <si>
    <t>Crowley Maritime</t>
  </si>
  <si>
    <t>1150 Talleyrand Av</t>
  </si>
  <si>
    <t>Keystone Properties</t>
  </si>
  <si>
    <t>1915 Wigmore St</t>
  </si>
  <si>
    <t>Liquid Environmental Solutions</t>
  </si>
  <si>
    <t>640 Talleyrand Av</t>
  </si>
  <si>
    <t>32006</t>
  </si>
  <si>
    <t>US Gypsum</t>
  </si>
  <si>
    <t>6825 Evergreen Av</t>
  </si>
  <si>
    <t>Occidental Chemical Corporation</t>
  </si>
  <si>
    <t>8318 Ashland Road</t>
  </si>
  <si>
    <t>Fortune Electric</t>
  </si>
  <si>
    <t>Florida Natural</t>
  </si>
  <si>
    <t>3885 FL-19</t>
  </si>
  <si>
    <t>Umatilla</t>
  </si>
  <si>
    <t>32784</t>
  </si>
  <si>
    <t>Southern Gardens Citrus</t>
  </si>
  <si>
    <t>1820 CR 833</t>
  </si>
  <si>
    <t>Star Quarries</t>
  </si>
  <si>
    <t>12201 US Hwy 27 S</t>
  </si>
  <si>
    <t>South Bay</t>
  </si>
  <si>
    <t>33493</t>
  </si>
  <si>
    <t>Kris Electric</t>
  </si>
  <si>
    <t>Pikeville</t>
  </si>
  <si>
    <t>Foundation Systems &amp; Anchors</t>
  </si>
  <si>
    <t>2300 Allen Avenue SE</t>
  </si>
  <si>
    <t>44707</t>
  </si>
  <si>
    <t>CJ's Electrical Service</t>
  </si>
  <si>
    <t>253 Trinity Lane</t>
  </si>
  <si>
    <t>70359</t>
  </si>
  <si>
    <t>Publix Warehouse - Lakeland, FL</t>
  </si>
  <si>
    <t>3045 New Tampa Hwy</t>
  </si>
  <si>
    <t>HRP</t>
  </si>
  <si>
    <t>1 Fairchild Square Suite 110</t>
  </si>
  <si>
    <t>Clifton Park</t>
  </si>
  <si>
    <t>12065</t>
  </si>
  <si>
    <t>University of Michigan Office of Utilities and Plant Engineering</t>
  </si>
  <si>
    <t>110 E. Huron Street</t>
  </si>
  <si>
    <t>48109</t>
  </si>
  <si>
    <t>Shaw Electric Company</t>
  </si>
  <si>
    <t>22100 Telegraph Road</t>
  </si>
  <si>
    <t>48033</t>
  </si>
  <si>
    <t>Summit Construction Company</t>
  </si>
  <si>
    <t>1095 Home Avenue</t>
  </si>
  <si>
    <t>44310</t>
  </si>
  <si>
    <t>NRG Energy, Inc-New Roads</t>
  </si>
  <si>
    <t>10431 Cajun II Road</t>
  </si>
  <si>
    <t>Jones County Junior College</t>
  </si>
  <si>
    <t>900 South Court Street</t>
  </si>
  <si>
    <t>Ellisville</t>
  </si>
  <si>
    <t>39437</t>
  </si>
  <si>
    <t>Natchez Regional Medical Center</t>
  </si>
  <si>
    <t>54 Sgt Prentiss Drive</t>
  </si>
  <si>
    <t>Sodexo-Universtiy of New Orleans</t>
  </si>
  <si>
    <t>2000 Lakeshore Drive</t>
  </si>
  <si>
    <t>70148</t>
  </si>
  <si>
    <t>Southwest Mississippi Community College</t>
  </si>
  <si>
    <t>1156 College Drive</t>
  </si>
  <si>
    <t>Summit</t>
  </si>
  <si>
    <t>39666</t>
  </si>
  <si>
    <t>The Ryan Companies (mining in 7 states, based in FL)</t>
  </si>
  <si>
    <t>1700 S Powerline Rd</t>
  </si>
  <si>
    <t>Deerfield Beach</t>
  </si>
  <si>
    <t>33442</t>
  </si>
  <si>
    <t>Sunbelt Chemical Corp.</t>
  </si>
  <si>
    <t>71 Hargrove Grade</t>
  </si>
  <si>
    <t>32137</t>
  </si>
  <si>
    <t>Vulcon Materials Electrical Services Group</t>
  </si>
  <si>
    <t>3512 US 301 S</t>
  </si>
  <si>
    <t>CanAm Steel -Jacksonville,FL</t>
  </si>
  <si>
    <t>3547 , 140 Eillis Rd S</t>
  </si>
  <si>
    <t>Lacreek Electric Association</t>
  </si>
  <si>
    <t>121 N. Harold St., Box 220</t>
  </si>
  <si>
    <t>Martin</t>
  </si>
  <si>
    <t>57551</t>
  </si>
  <si>
    <t>Gladieux Metals Recycling</t>
  </si>
  <si>
    <t>302 Midway Rd</t>
  </si>
  <si>
    <t>77542</t>
  </si>
  <si>
    <t>Twin Rivers Paper</t>
  </si>
  <si>
    <t>501 West Main St</t>
  </si>
  <si>
    <t>Little Falls</t>
  </si>
  <si>
    <t>13365</t>
  </si>
  <si>
    <t>Wolverine Advanced Materials</t>
  </si>
  <si>
    <t>10824 CR 44</t>
  </si>
  <si>
    <t>GE Power (GE Grid Solutions, LLC)</t>
  </si>
  <si>
    <t>Midwest Transformer Services</t>
  </si>
  <si>
    <t>City of Independence (OLD)</t>
  </si>
  <si>
    <t>International Speedway Corporation</t>
  </si>
  <si>
    <t>One Daytona Blvd</t>
  </si>
  <si>
    <t>CF Industries</t>
  </si>
  <si>
    <t>city of Newark</t>
  </si>
  <si>
    <t>220 south Main St.</t>
  </si>
  <si>
    <t>de</t>
  </si>
  <si>
    <t>19711</t>
  </si>
  <si>
    <t>b and s electric supply</t>
  </si>
  <si>
    <t>Comelco</t>
  </si>
  <si>
    <t>410 North St Suite 130</t>
  </si>
  <si>
    <t>Longwood</t>
  </si>
  <si>
    <t>32750</t>
  </si>
  <si>
    <t>Sinn &amp; Thomas</t>
  </si>
  <si>
    <t>1030 Ridge Rd</t>
  </si>
  <si>
    <t>Winter Springs</t>
  </si>
  <si>
    <t>32708</t>
  </si>
  <si>
    <t>Titan America</t>
  </si>
  <si>
    <t>445 Fairway Dr</t>
  </si>
  <si>
    <t>33441</t>
  </si>
  <si>
    <t>Veracity Asset Management Group</t>
  </si>
  <si>
    <t>Anheuse- Busch Metal Containers</t>
  </si>
  <si>
    <t>1100 Ellis Rd</t>
  </si>
  <si>
    <t>Chip Haynes Electric</t>
  </si>
  <si>
    <t>Phoenix Consulting</t>
  </si>
  <si>
    <t>183 Bridge  st</t>
  </si>
  <si>
    <t>Phoenixville</t>
  </si>
  <si>
    <t>19460</t>
  </si>
  <si>
    <t>Dixie Lime and Stone</t>
  </si>
  <si>
    <t>2441 E. Fort King St</t>
  </si>
  <si>
    <t>34471</t>
  </si>
  <si>
    <t>Coggon Municipal Utilities</t>
  </si>
  <si>
    <t>131 W Main St</t>
  </si>
  <si>
    <t>Coggon</t>
  </si>
  <si>
    <t>52218</t>
  </si>
  <si>
    <t>Cascade Municipal Utilities</t>
  </si>
  <si>
    <t>320 1st Ave W</t>
  </si>
  <si>
    <t>Cascade</t>
  </si>
  <si>
    <t>52033</t>
  </si>
  <si>
    <t>Callender Municipal Utilities</t>
  </si>
  <si>
    <t>415 Thomas Street</t>
  </si>
  <si>
    <t>Callender</t>
  </si>
  <si>
    <t>50523</t>
  </si>
  <si>
    <t>Burt Municipal Utilities</t>
  </si>
  <si>
    <t>119 Walnut St.</t>
  </si>
  <si>
    <t>Burt</t>
  </si>
  <si>
    <t>50522</t>
  </si>
  <si>
    <t>Buffalo Public Works (IA)</t>
  </si>
  <si>
    <t>329 Dodge Street</t>
  </si>
  <si>
    <t>52728</t>
  </si>
  <si>
    <t>Breda Municipal Utilities</t>
  </si>
  <si>
    <t>108 N 2nd Street</t>
  </si>
  <si>
    <t>Breda</t>
  </si>
  <si>
    <t>51436</t>
  </si>
  <si>
    <t>Bellevue Municipal Utilities</t>
  </si>
  <si>
    <t>900 Riverview</t>
  </si>
  <si>
    <t>Bellevue</t>
  </si>
  <si>
    <t>52031</t>
  </si>
  <si>
    <t>Bancroft Municipal Electric</t>
  </si>
  <si>
    <t>105 E Ramsey St</t>
  </si>
  <si>
    <t>Bancroft</t>
  </si>
  <si>
    <t>50517</t>
  </si>
  <si>
    <t>Aurelia Municipal Electric</t>
  </si>
  <si>
    <t>236 Main Street</t>
  </si>
  <si>
    <t>Aurelia</t>
  </si>
  <si>
    <t>51005</t>
  </si>
  <si>
    <t>Auburn Municipal Utilities (IA)</t>
  </si>
  <si>
    <t>209 Pine Street</t>
  </si>
  <si>
    <t>51433</t>
  </si>
  <si>
    <t>Aplington Municipal Utilities</t>
  </si>
  <si>
    <t>409 10th St</t>
  </si>
  <si>
    <t>Aplington</t>
  </si>
  <si>
    <t>50604</t>
  </si>
  <si>
    <t>Akron Public Utilities</t>
  </si>
  <si>
    <t>220 Reed Street</t>
  </si>
  <si>
    <t>51001</t>
  </si>
  <si>
    <t>Amana Society Services Co</t>
  </si>
  <si>
    <t>708 49th Ave.</t>
  </si>
  <si>
    <t>Amana</t>
  </si>
  <si>
    <t>52203</t>
  </si>
  <si>
    <t>City of Elba</t>
  </si>
  <si>
    <t>485 Hwy 203</t>
  </si>
  <si>
    <t>Elba</t>
  </si>
  <si>
    <t>36323</t>
  </si>
  <si>
    <t>Grundy County Rural Electric Coop</t>
  </si>
  <si>
    <t>303 North Park Ave</t>
  </si>
  <si>
    <t>Reulet Electric Supplies, LLC</t>
  </si>
  <si>
    <t>11036 Airline Highway</t>
  </si>
  <si>
    <t>Graybar Seattle</t>
  </si>
  <si>
    <t>1919 Sixth Avenue S</t>
  </si>
  <si>
    <t>98134-1610</t>
  </si>
  <si>
    <t>Sioux Center Municipal Utilities</t>
  </si>
  <si>
    <t>335 1st Ave NW</t>
  </si>
  <si>
    <t>Sioux Center</t>
  </si>
  <si>
    <t>51250</t>
  </si>
  <si>
    <t>Harlan Municipal Utilities</t>
  </si>
  <si>
    <t>2412 Southwest Ave</t>
  </si>
  <si>
    <t>Independence Light &amp; Power</t>
  </si>
  <si>
    <t>700 7th Ave NE</t>
  </si>
  <si>
    <t>50644</t>
  </si>
  <si>
    <t>Alliant Energy</t>
  </si>
  <si>
    <t>Central Iowa Power Cooperative (CIPCO)</t>
  </si>
  <si>
    <t>1400 Highway 13 SE</t>
  </si>
  <si>
    <t>52403</t>
  </si>
  <si>
    <t>Applied Envirosolutions</t>
  </si>
  <si>
    <t>1450 W Guadalupe RD</t>
  </si>
  <si>
    <t>CED Lake Charles</t>
  </si>
  <si>
    <t>4760 E Napoleon St</t>
  </si>
  <si>
    <t>70663</t>
  </si>
  <si>
    <t>Mayer Electric Supply Tuscaloosa</t>
  </si>
  <si>
    <t>2901 Tenth Ave</t>
  </si>
  <si>
    <t>Heartland Power Coop</t>
  </si>
  <si>
    <t>216 Jackson St.</t>
  </si>
  <si>
    <t>Thompson</t>
  </si>
  <si>
    <t>50478</t>
  </si>
  <si>
    <t>ACTenviro ACT Environmental</t>
  </si>
  <si>
    <t>967 Mabury Road</t>
  </si>
  <si>
    <t>95133</t>
  </si>
  <si>
    <t>Rayle EMC</t>
  </si>
  <si>
    <t>616 Lexington Ave</t>
  </si>
  <si>
    <t>E-MC Electrical Services</t>
  </si>
  <si>
    <t>5543 Armour Drive</t>
  </si>
  <si>
    <t>77020</t>
  </si>
  <si>
    <t>Consumers Energy</t>
  </si>
  <si>
    <t>2074 242nd Street</t>
  </si>
  <si>
    <t>Marshalltown</t>
  </si>
  <si>
    <t>50158</t>
  </si>
  <si>
    <t>Cleveland-Cliffs, Inc</t>
  </si>
  <si>
    <t>101 Empire Mine road</t>
  </si>
  <si>
    <t>Palmer</t>
  </si>
  <si>
    <t>49871</t>
  </si>
  <si>
    <t>Sanders Brothers Electric</t>
  </si>
  <si>
    <t>8195 Kipling St</t>
  </si>
  <si>
    <t>ITC Transmission</t>
  </si>
  <si>
    <t>123 Fifth Street SE</t>
  </si>
  <si>
    <t>52401</t>
  </si>
  <si>
    <t>San Carlos Irrigation Project</t>
  </si>
  <si>
    <t>13805 North Arizona Blvd</t>
  </si>
  <si>
    <t>City of Ames</t>
  </si>
  <si>
    <t>104 S Hazel Ave</t>
  </si>
  <si>
    <t>Butler County REC</t>
  </si>
  <si>
    <t>521 N. Main</t>
  </si>
  <si>
    <t>Allison</t>
  </si>
  <si>
    <t>50602</t>
  </si>
  <si>
    <t>Cedar Falls Utilities</t>
  </si>
  <si>
    <t>1 Utility Pkwy</t>
  </si>
  <si>
    <t>Cedar Falls</t>
  </si>
  <si>
    <t>50613</t>
  </si>
  <si>
    <t>Washington City Power Department (UT)</t>
  </si>
  <si>
    <t>4250 Telegraph St</t>
  </si>
  <si>
    <t>84780</t>
  </si>
  <si>
    <t>Southern Iowa Electric Coop Inc</t>
  </si>
  <si>
    <t>22458 Highway 2</t>
  </si>
  <si>
    <t>Office Wagon</t>
  </si>
  <si>
    <t>1111 Kane Concourse Suite 518</t>
  </si>
  <si>
    <t>Bay Harbor Islands</t>
  </si>
  <si>
    <t>33154</t>
  </si>
  <si>
    <t>The Mathes Group</t>
  </si>
  <si>
    <t>6 West 41st Lane</t>
  </si>
  <si>
    <t>Mount Pleasant Utilities</t>
  </si>
  <si>
    <t>Lex Electric Co.</t>
  </si>
  <si>
    <t>1935512</t>
  </si>
  <si>
    <t>Algona Municipal Utilities</t>
  </si>
  <si>
    <t>Kansas State UNIVERSITY</t>
  </si>
  <si>
    <t>117A Dykstra Hall 1628 Claflin Road</t>
  </si>
  <si>
    <t>Manhattan</t>
  </si>
  <si>
    <t>66506-0903</t>
  </si>
  <si>
    <t>DS&amp;O Electric Coop</t>
  </si>
  <si>
    <t>129 W Main St</t>
  </si>
  <si>
    <t>Lyon-Coffey Electric Coop Inc</t>
  </si>
  <si>
    <t>1013 N 4th St</t>
  </si>
  <si>
    <t>City of Chanute Electric</t>
  </si>
  <si>
    <t>101 South Lincoln</t>
  </si>
  <si>
    <t>Osawatomie City Utilities</t>
  </si>
  <si>
    <t>9th and Lincoln</t>
  </si>
  <si>
    <t>Osawatomie</t>
  </si>
  <si>
    <t>66064</t>
  </si>
  <si>
    <t>Linsborg Municipal Electric</t>
  </si>
  <si>
    <t>202 E Lincoln</t>
  </si>
  <si>
    <t>Lindsborg</t>
  </si>
  <si>
    <t>67456</t>
  </si>
  <si>
    <t>Hinton Municipal Utilities</t>
  </si>
  <si>
    <t>205 W. Main</t>
  </si>
  <si>
    <t>Hinton</t>
  </si>
  <si>
    <t>51024</t>
  </si>
  <si>
    <t>Preston Municipal Utilities</t>
  </si>
  <si>
    <t>1 W Gillet</t>
  </si>
  <si>
    <t>Preston</t>
  </si>
  <si>
    <t>52069</t>
  </si>
  <si>
    <t>Butler Rural Electric Coop Inc</t>
  </si>
  <si>
    <t>3888 Stillwell Beckett Rd</t>
  </si>
  <si>
    <t>45056</t>
  </si>
  <si>
    <t>Cleveland Industrial Recycling</t>
  </si>
  <si>
    <t>3325 Middle Road</t>
  </si>
  <si>
    <t>Ashtabula</t>
  </si>
  <si>
    <t>44404</t>
  </si>
  <si>
    <t>Sanborn Municipal Utilities</t>
  </si>
  <si>
    <t>102 Main St</t>
  </si>
  <si>
    <t>Sanborn</t>
  </si>
  <si>
    <t>51248</t>
  </si>
  <si>
    <t>Electric Power Systems</t>
  </si>
  <si>
    <t>North Central Electric Coop Inc  [NCE]</t>
  </si>
  <si>
    <t>350 Stump Pike Road</t>
  </si>
  <si>
    <t>Attica</t>
  </si>
  <si>
    <t>44807</t>
  </si>
  <si>
    <t>Bill's Electric, Inc.</t>
  </si>
  <si>
    <t>3364 Washington Streer</t>
  </si>
  <si>
    <t>Green Deconstruction &amp; Salvage</t>
  </si>
  <si>
    <t>9525 Ne 89Th St</t>
  </si>
  <si>
    <t>Kansas CIty</t>
  </si>
  <si>
    <t>64157</t>
  </si>
  <si>
    <t>Ohio Department of Natural Resources</t>
  </si>
  <si>
    <t>29371 Wheelabout Road</t>
  </si>
  <si>
    <t>McArthur</t>
  </si>
  <si>
    <t>45651</t>
  </si>
  <si>
    <t>Clallam County PUD</t>
  </si>
  <si>
    <t>104 Hooker Rd</t>
  </si>
  <si>
    <t>Sequim</t>
  </si>
  <si>
    <t>98382</t>
  </si>
  <si>
    <t>Oregon Trail Electric Co-Op</t>
  </si>
  <si>
    <t>2408 Cove Ave</t>
  </si>
  <si>
    <t>La Grande</t>
  </si>
  <si>
    <t>97850</t>
  </si>
  <si>
    <t>Lewis County PUD</t>
  </si>
  <si>
    <t>321 NW Pacific Ave, Chehalis, WA 98532</t>
  </si>
  <si>
    <t>Chehalis</t>
  </si>
  <si>
    <t>98532</t>
  </si>
  <si>
    <t>Springfield Utility Board</t>
  </si>
  <si>
    <t>250 A Street, PO Box 300</t>
  </si>
  <si>
    <t>97477</t>
  </si>
  <si>
    <t>Mason County PUD 3</t>
  </si>
  <si>
    <t>2621 E Johns Prairie Rd</t>
  </si>
  <si>
    <t>Georgetown Utilities (OH)</t>
  </si>
  <si>
    <t>Inland Power &amp; Light Co</t>
  </si>
  <si>
    <t>10110 W Hallett Road</t>
  </si>
  <si>
    <t>City of Meade(KS)</t>
  </si>
  <si>
    <t>623 E Carpthage</t>
  </si>
  <si>
    <t>co</t>
  </si>
  <si>
    <t>Associated Electric Cooperative Inc (MO)</t>
  </si>
  <si>
    <t>2814 S Golden</t>
  </si>
  <si>
    <t>65801</t>
  </si>
  <si>
    <t>Laurens Municipal Power &amp; Communications (IA)</t>
  </si>
  <si>
    <t>272 N 3rd St</t>
  </si>
  <si>
    <t>50554</t>
  </si>
  <si>
    <t>CENTRAL LINCOLN UTILITY</t>
  </si>
  <si>
    <t>966 Highway 101</t>
  </si>
  <si>
    <t>97439</t>
  </si>
  <si>
    <t>Central Transmission LLC</t>
  </si>
  <si>
    <t>Chesterfield</t>
  </si>
  <si>
    <t>63107</t>
  </si>
  <si>
    <t>Industrial Surplus National Metals Trading</t>
  </si>
  <si>
    <t>37611 Euclid Ave</t>
  </si>
  <si>
    <t>Cowlitz PUD</t>
  </si>
  <si>
    <t>961 12th Ave, Longview, WA 98632</t>
  </si>
  <si>
    <t>98632</t>
  </si>
  <si>
    <t>Chelan County PUD 1</t>
  </si>
  <si>
    <t>327 N Wenatchee Ave</t>
  </si>
  <si>
    <t>Wenatchee</t>
  </si>
  <si>
    <t>98801</t>
  </si>
  <si>
    <t>Remsen Electric Utility</t>
  </si>
  <si>
    <t>8 W 2nd St</t>
  </si>
  <si>
    <t>Remsen</t>
  </si>
  <si>
    <t>51050</t>
  </si>
  <si>
    <t>New Bremen Utilities</t>
  </si>
  <si>
    <t>555 Streine Dr.</t>
  </si>
  <si>
    <t>New Bremen</t>
  </si>
  <si>
    <t>45869</t>
  </si>
  <si>
    <t>City of Azusa Light &amp; Water Dept</t>
  </si>
  <si>
    <t>809 N Angeleno Ave.</t>
  </si>
  <si>
    <t>Azusa</t>
  </si>
  <si>
    <t>91702</t>
  </si>
  <si>
    <t>Alta Municipal Utilities</t>
  </si>
  <si>
    <t>223 Main St</t>
  </si>
  <si>
    <t>Alta</t>
  </si>
  <si>
    <t>51002</t>
  </si>
  <si>
    <t>Osceola Electric Coop</t>
  </si>
  <si>
    <t>1102 Egret Ln</t>
  </si>
  <si>
    <t>Lake Mills Utilities (IA)</t>
  </si>
  <si>
    <t>105 W Main St</t>
  </si>
  <si>
    <t>Lake Mills</t>
  </si>
  <si>
    <t>50450</t>
  </si>
  <si>
    <t>Hawarden Municipal Utilities</t>
  </si>
  <si>
    <t>1150 Central Ave</t>
  </si>
  <si>
    <t>Hawarden</t>
  </si>
  <si>
    <t>51023</t>
  </si>
  <si>
    <t>Rock Rapids Utilities (IA)</t>
  </si>
  <si>
    <t>310 S 3rd Ave</t>
  </si>
  <si>
    <t>Flathead Electric Coop</t>
  </si>
  <si>
    <t>2510 US Hwy 2 E</t>
  </si>
  <si>
    <t>Kalispell</t>
  </si>
  <si>
    <t>59901</t>
  </si>
  <si>
    <t>Burlington Electric OK</t>
  </si>
  <si>
    <t>City of Douglas</t>
  </si>
  <si>
    <t>123 W Cherry Street</t>
  </si>
  <si>
    <t>Douglas</t>
  </si>
  <si>
    <t>31533</t>
  </si>
  <si>
    <t>Crow Wing Coop Power &amp; Light Co</t>
  </si>
  <si>
    <t>Buffalo Municipal Utility</t>
  </si>
  <si>
    <t>212 Central Ave</t>
  </si>
  <si>
    <t>55313</t>
  </si>
  <si>
    <t>Breckenridge Public Utilities</t>
  </si>
  <si>
    <t>Western Iowa Power Coop</t>
  </si>
  <si>
    <t>809 Hwy 39 N</t>
  </si>
  <si>
    <t>Satilla EMC</t>
  </si>
  <si>
    <t>928 Ga Highway 32E</t>
  </si>
  <si>
    <t>31510</t>
  </si>
  <si>
    <t>Brainerd Water and Light Dept</t>
  </si>
  <si>
    <t>Benson Water and Light Department</t>
  </si>
  <si>
    <t>Anoka Municipal Utility</t>
  </si>
  <si>
    <t>Alexandria Light and Power</t>
  </si>
  <si>
    <t>Westlake Chemical</t>
  </si>
  <si>
    <t>40886 Hwy. 45 South</t>
  </si>
  <si>
    <t>Aitkin Public Utilities</t>
  </si>
  <si>
    <t>Village of Rantoul (IL)</t>
  </si>
  <si>
    <t>100 W. Grove St.</t>
  </si>
  <si>
    <t>Rantoul</t>
  </si>
  <si>
    <t>61866</t>
  </si>
  <si>
    <t>Ferndale Electric</t>
  </si>
  <si>
    <t>915 E. Drayton Avenue</t>
  </si>
  <si>
    <t>Ferndale</t>
  </si>
  <si>
    <t>48220</t>
  </si>
  <si>
    <t>Tishomingo Co. EPA</t>
  </si>
  <si>
    <t>205 Constitution Dr</t>
  </si>
  <si>
    <t>Iuka</t>
  </si>
  <si>
    <t>38852</t>
  </si>
  <si>
    <t>Irwin EMC</t>
  </si>
  <si>
    <t>Ocilla</t>
  </si>
  <si>
    <t>Stuart Utilities (NE)</t>
  </si>
  <si>
    <t>111 W 2nd St</t>
  </si>
  <si>
    <t>68780</t>
  </si>
  <si>
    <t>Schuff Steel</t>
  </si>
  <si>
    <t>420 South 19th Ave</t>
  </si>
  <si>
    <t>East Mississippi Electric Power Association (East MS EPA)</t>
  </si>
  <si>
    <t>2128  Hwy 39 North</t>
  </si>
  <si>
    <t>39302</t>
  </si>
  <si>
    <t>Village of Stuart (NE)</t>
  </si>
  <si>
    <t>109 W 1st St</t>
  </si>
  <si>
    <t>Village of Stratton (NE)</t>
  </si>
  <si>
    <t>311 Bailey Street</t>
  </si>
  <si>
    <t>Stratton</t>
  </si>
  <si>
    <t>69043</t>
  </si>
  <si>
    <t>City of Spencer (NE)</t>
  </si>
  <si>
    <t>100 E Main St</t>
  </si>
  <si>
    <t>68777</t>
  </si>
  <si>
    <t>Village of Spalding (NE)</t>
  </si>
  <si>
    <t>211 E St Joseph St</t>
  </si>
  <si>
    <t>Spalding</t>
  </si>
  <si>
    <t>68665</t>
  </si>
  <si>
    <t>Village of Snyder (NE)</t>
  </si>
  <si>
    <t>125 Ash St</t>
  </si>
  <si>
    <t>Snyder</t>
  </si>
  <si>
    <t>68664</t>
  </si>
  <si>
    <t>Village of Shickley (NE)</t>
  </si>
  <si>
    <t>​102 N. Market St</t>
  </si>
  <si>
    <t>Shickley</t>
  </si>
  <si>
    <t>68436</t>
  </si>
  <si>
    <t>Northeast Power (NE)</t>
  </si>
  <si>
    <t>1410 W 7th St</t>
  </si>
  <si>
    <t>Delta EPA</t>
  </si>
  <si>
    <t>1700 Highway 82 West</t>
  </si>
  <si>
    <t>Westminster Combined Utilities</t>
  </si>
  <si>
    <t>100 E Windsor St</t>
  </si>
  <si>
    <t>Ephrata Borough Utilities</t>
  </si>
  <si>
    <t>124 S State St</t>
  </si>
  <si>
    <t>17522</t>
  </si>
  <si>
    <t>Kaplans Scrapyard</t>
  </si>
  <si>
    <t>104 E Woodlawn Ave</t>
  </si>
  <si>
    <t>Elmira</t>
  </si>
  <si>
    <t>14901</t>
  </si>
  <si>
    <t>Mississippi State University</t>
  </si>
  <si>
    <t>Facilities Mgt Bldg-Next to Water Tower</t>
  </si>
  <si>
    <t>39762</t>
  </si>
  <si>
    <t>DHM Melvin Engineering ( David H Melvin, Inc.)</t>
  </si>
  <si>
    <t>4428 Lafayette St</t>
  </si>
  <si>
    <t>Pearl River Valley EPA</t>
  </si>
  <si>
    <t>1422 Highway 13 North</t>
  </si>
  <si>
    <t>Central EPA (MS)</t>
  </si>
  <si>
    <t>104 East Main Street</t>
  </si>
  <si>
    <t>ITC Great Plains KS</t>
  </si>
  <si>
    <t>City of Durant</t>
  </si>
  <si>
    <t>308 Lamar Street</t>
  </si>
  <si>
    <t>39063</t>
  </si>
  <si>
    <t>Oklahoma Electrical Supply Co</t>
  </si>
  <si>
    <t>4901 N. Sewell Ave.</t>
  </si>
  <si>
    <t>73119</t>
  </si>
  <si>
    <t>Canton Municipal Utilities</t>
  </si>
  <si>
    <t>225 North Hargon Street</t>
  </si>
  <si>
    <t>39046</t>
  </si>
  <si>
    <t>4-County EPA</t>
  </si>
  <si>
    <t>5265 South Frontage Road</t>
  </si>
  <si>
    <t>Mississippi Power</t>
  </si>
  <si>
    <t>17th Steet</t>
  </si>
  <si>
    <t>39502</t>
  </si>
  <si>
    <t>Yazoo Public Service Commission</t>
  </si>
  <si>
    <t>210 South Mound St.</t>
  </si>
  <si>
    <t>PECO Foods</t>
  </si>
  <si>
    <t>1039 West Fulton Street</t>
  </si>
  <si>
    <t>Magnolia EPA</t>
  </si>
  <si>
    <t>3027 Highway 98 West</t>
  </si>
  <si>
    <t>Coast EPA (MS)</t>
  </si>
  <si>
    <t>18020 HWY 603</t>
  </si>
  <si>
    <t>Kiln</t>
  </si>
  <si>
    <t>39556</t>
  </si>
  <si>
    <t>North Central EPA (MS)</t>
  </si>
  <si>
    <t>4600 Northcentral Way</t>
  </si>
  <si>
    <t>Olive Branch</t>
  </si>
  <si>
    <t>38654</t>
  </si>
  <si>
    <t>Twin County Electric Power Assoc</t>
  </si>
  <si>
    <t>900 East Avenue North</t>
  </si>
  <si>
    <t>Hollandale</t>
  </si>
  <si>
    <t>38748</t>
  </si>
  <si>
    <t>Greenwood Utilities</t>
  </si>
  <si>
    <t>2201 River Road Extension</t>
  </si>
  <si>
    <t>Dixie EPA (MS)</t>
  </si>
  <si>
    <t>1863 Highway 184</t>
  </si>
  <si>
    <t>Pitcairn Municipal Light System</t>
  </si>
  <si>
    <t>Potomac Edison Co [Allegheny Power]</t>
  </si>
  <si>
    <t>Peskin Sign Company</t>
  </si>
  <si>
    <t>3991 Simon Road</t>
  </si>
  <si>
    <t>44512</t>
  </si>
  <si>
    <t>Schuylkill Haven Borough Utilities</t>
  </si>
  <si>
    <t>Armstrong Electric Co, Inc</t>
  </si>
  <si>
    <t>4920 Chaney St,</t>
  </si>
  <si>
    <t>Tri-County Rural Electric Coop Inc</t>
  </si>
  <si>
    <t>Canton Drop Forge</t>
  </si>
  <si>
    <t>4575 Southway Street SW</t>
  </si>
  <si>
    <t>44706</t>
  </si>
  <si>
    <t>County of Summit  Department of Sanitary Sewer Services</t>
  </si>
  <si>
    <t>1100 Loamshire Road</t>
  </si>
  <si>
    <t>44319</t>
  </si>
  <si>
    <t>Nutrien  Lima Nitrogen</t>
  </si>
  <si>
    <t>2200 Fort Amanda Road</t>
  </si>
  <si>
    <t>Inmetco</t>
  </si>
  <si>
    <t>One Inmetco Drive</t>
  </si>
  <si>
    <t>Heritage Thermal</t>
  </si>
  <si>
    <t>1250 St. George Street</t>
  </si>
  <si>
    <t>East Liverpool</t>
  </si>
  <si>
    <t>43920</t>
  </si>
  <si>
    <t>Bodie Electric</t>
  </si>
  <si>
    <t>1109 N. Main Street</t>
  </si>
  <si>
    <t>Fostoria</t>
  </si>
  <si>
    <t>44830</t>
  </si>
  <si>
    <t>Drummond Company (00153)</t>
  </si>
  <si>
    <t>654 Camp Creek Portal Road</t>
  </si>
  <si>
    <t>Hillard Electric</t>
  </si>
  <si>
    <t>4099 Cedar Commercial Drive</t>
  </si>
  <si>
    <t>Cedar Springs</t>
  </si>
  <si>
    <t>49319</t>
  </si>
  <si>
    <t>UTB- Florida</t>
  </si>
  <si>
    <t>Pallet One</t>
  </si>
  <si>
    <t>1470 US Hwy 17 S</t>
  </si>
  <si>
    <t>Coastal Power- FL project</t>
  </si>
  <si>
    <t>27 W. Anapamu St suite 109</t>
  </si>
  <si>
    <t>Santa Barbara</t>
  </si>
  <si>
    <t>93101</t>
  </si>
  <si>
    <t>US Steel Corporation</t>
  </si>
  <si>
    <t>1 North Broadway</t>
  </si>
  <si>
    <t>Gary</t>
  </si>
  <si>
    <t>46402</t>
  </si>
  <si>
    <t>Lake Erie Electric Inc. - Cleveland Division</t>
  </si>
  <si>
    <t>25730 First Street</t>
  </si>
  <si>
    <t>Westlake</t>
  </si>
  <si>
    <t>44145</t>
  </si>
  <si>
    <t>UGI Utilities</t>
  </si>
  <si>
    <t>Center Line Electric</t>
  </si>
  <si>
    <t>26554 Lawrence Street</t>
  </si>
  <si>
    <t>Center Line</t>
  </si>
  <si>
    <t>48015</t>
  </si>
  <si>
    <t>Laibe Electric/Technology</t>
  </si>
  <si>
    <t>404 N. Byrne Road</t>
  </si>
  <si>
    <t>43607</t>
  </si>
  <si>
    <t>Lehighton Borough Light &amp; Power</t>
  </si>
  <si>
    <t>TARENTUM BOROUGH UTILITIES</t>
  </si>
  <si>
    <t>City of Commerce</t>
  </si>
  <si>
    <t>easly combined utility</t>
  </si>
  <si>
    <t>A&amp;D Environmental Services</t>
  </si>
  <si>
    <t>Electric Power Systems GA</t>
  </si>
  <si>
    <t>Mission Power Federal MT</t>
  </si>
  <si>
    <t>CPI</t>
  </si>
  <si>
    <t>Electric Power Systems-Salem, Va</t>
  </si>
  <si>
    <t>Golden State Water Company</t>
  </si>
  <si>
    <t>630 E Foothill Blvd</t>
  </si>
  <si>
    <t>San Dimas</t>
  </si>
  <si>
    <t>91773</t>
  </si>
  <si>
    <t>Southern Partners</t>
  </si>
  <si>
    <t>Pennsylvania Transformer Technology</t>
  </si>
  <si>
    <t>Rockwood Utilities (DO NOT USE OR DELETE)</t>
  </si>
  <si>
    <t>Rockwood</t>
  </si>
  <si>
    <t>Appalachian Power - American Electric Power</t>
  </si>
  <si>
    <t>Columbus, OH</t>
  </si>
  <si>
    <t>Columbus Southern Power</t>
  </si>
  <si>
    <t>Waterford, OH</t>
  </si>
  <si>
    <t>McKinney Electric</t>
  </si>
  <si>
    <t>Delek Logistics/Chuck Pease</t>
  </si>
  <si>
    <t>1001 School Street</t>
  </si>
  <si>
    <t>Laurinburg Electric</t>
  </si>
  <si>
    <t>Larrinburg, NC</t>
  </si>
  <si>
    <t>Wake Forest Power</t>
  </si>
  <si>
    <t>Wake Forest, NC</t>
  </si>
  <si>
    <t>Helifax Electric Membership Coop</t>
  </si>
  <si>
    <t>Enfield, NC</t>
  </si>
  <si>
    <t>Powersouth Florida</t>
  </si>
  <si>
    <t>4471 Legendary Dr # 10</t>
  </si>
  <si>
    <t>Destin</t>
  </si>
  <si>
    <t>32541</t>
  </si>
  <si>
    <t>North Carolina's Electric Cooperatives</t>
  </si>
  <si>
    <t>City Of Austin</t>
  </si>
  <si>
    <t>City Of Giddings</t>
  </si>
  <si>
    <t>CITY OF HALLETTSVILLE</t>
  </si>
  <si>
    <t>CITY OF WEIMAR</t>
  </si>
  <si>
    <t>Agralite Coop</t>
  </si>
  <si>
    <t>320 E Hwy 12</t>
  </si>
  <si>
    <t>Benson</t>
  </si>
  <si>
    <t>56215</t>
  </si>
  <si>
    <t>EOG Resources</t>
  </si>
  <si>
    <t>PO Box 4362</t>
  </si>
  <si>
    <t>Georgetown Water And Light</t>
  </si>
  <si>
    <t>Progeny Systems Corporation</t>
  </si>
  <si>
    <t>106 Simko Blvd.  Suite 100</t>
  </si>
  <si>
    <t>Charleroi</t>
  </si>
  <si>
    <t>15022</t>
  </si>
  <si>
    <t>Coffeyville Power and Light</t>
  </si>
  <si>
    <t>OGE</t>
  </si>
  <si>
    <t>Emerald</t>
  </si>
  <si>
    <t>Garland P&amp;L</t>
  </si>
  <si>
    <t>Powerline Services</t>
  </si>
  <si>
    <t>Two Rivers.No Limited N E ES HA</t>
  </si>
  <si>
    <t>C IT Y O NFiELD</t>
  </si>
  <si>
    <t>CCI Group, LLC</t>
  </si>
  <si>
    <t>Progress Energy - Carolinas</t>
  </si>
  <si>
    <t>Gamer, NC</t>
  </si>
  <si>
    <t>PIC Group Inc</t>
  </si>
  <si>
    <t>City of Trenton/ TMU (MO)</t>
  </si>
  <si>
    <t>PLH Group</t>
  </si>
  <si>
    <t>Koch Electric</t>
  </si>
  <si>
    <t>Free State Electric Co-Op Topeka</t>
  </si>
  <si>
    <t>1100 SW Auburn Rd</t>
  </si>
  <si>
    <t>International Paper</t>
  </si>
  <si>
    <t>Black Hills Energy Lawrence</t>
  </si>
  <si>
    <t>601 N Iowa St</t>
  </si>
  <si>
    <t>66044</t>
  </si>
  <si>
    <t>Duke University</t>
  </si>
  <si>
    <t>santee electric cooperative</t>
  </si>
  <si>
    <t>Nighthawk Coal Company</t>
  </si>
  <si>
    <t>Idaho National Laboratory</t>
  </si>
  <si>
    <t>1955 N Fremont Ave</t>
  </si>
  <si>
    <t>City of Fredericktown (MO)</t>
  </si>
  <si>
    <t>124 West Main</t>
  </si>
  <si>
    <t>Idaho Power Company</t>
  </si>
  <si>
    <t>11900 W Frankin Rd</t>
  </si>
  <si>
    <t>Boise</t>
  </si>
  <si>
    <t>83709</t>
  </si>
  <si>
    <t>Piedmont Electric Dept.</t>
  </si>
  <si>
    <t>109 N Center</t>
  </si>
  <si>
    <t>36272</t>
  </si>
  <si>
    <t>Arrmaz</t>
  </si>
  <si>
    <t>Soda Springs</t>
  </si>
  <si>
    <t>Citizens Electric Corp (MO)</t>
  </si>
  <si>
    <t>1500 Rand Ave.</t>
  </si>
  <si>
    <t>Perryville</t>
  </si>
  <si>
    <t>63775</t>
  </si>
  <si>
    <t>Exelon</t>
  </si>
  <si>
    <t>10 S. Dearborn St., 48th Floor</t>
  </si>
  <si>
    <t>60680</t>
  </si>
  <si>
    <t>Georgia Power Company</t>
  </si>
  <si>
    <t>62 Lake Mirror Rd</t>
  </si>
  <si>
    <t>Forrest Park</t>
  </si>
  <si>
    <t>30297</t>
  </si>
  <si>
    <t>T. R. Miller Mill Co.</t>
  </si>
  <si>
    <t>215 Deer St</t>
  </si>
  <si>
    <t>Graybar - Ft Worth</t>
  </si>
  <si>
    <t>4601 Cambridge Rd</t>
  </si>
  <si>
    <t>76155</t>
  </si>
  <si>
    <t>Stone &amp; Sons Construction</t>
  </si>
  <si>
    <t>2530 Queenstown Rd</t>
  </si>
  <si>
    <t>Princeton, IL (OLD)</t>
  </si>
  <si>
    <t>Euclid street</t>
  </si>
  <si>
    <t>Sargent and Lundy</t>
  </si>
  <si>
    <t>55 E Monroe St Ste 2700</t>
  </si>
  <si>
    <t>Dynegy</t>
  </si>
  <si>
    <t>Illinois Association Of Coops</t>
  </si>
  <si>
    <t>JSG Electric</t>
  </si>
  <si>
    <t>Amicolala EMC</t>
  </si>
  <si>
    <t>Sawnee EMC (GA)</t>
  </si>
  <si>
    <t>543 Atlanta HWY</t>
  </si>
  <si>
    <t>Cumming</t>
  </si>
  <si>
    <t>30040</t>
  </si>
  <si>
    <t>Rock Valley Oil</t>
  </si>
  <si>
    <t>City of Jackson, GA</t>
  </si>
  <si>
    <t>RPS Consulting</t>
  </si>
  <si>
    <t>Navajo Agricultural Products Industry</t>
  </si>
  <si>
    <t>PO drawer 1318</t>
  </si>
  <si>
    <t>87499</t>
  </si>
  <si>
    <t>AERA Energy</t>
  </si>
  <si>
    <t>10000 Ming Avenue</t>
  </si>
  <si>
    <t>MVA Diagnostics, Inc.</t>
  </si>
  <si>
    <t>PO Box 271</t>
  </si>
  <si>
    <t>wv</t>
  </si>
  <si>
    <t>Northrop Grumman</t>
  </si>
  <si>
    <t>751 Co Rd 989 #1016</t>
  </si>
  <si>
    <t>iuka</t>
  </si>
  <si>
    <t>Wyandotte Municipal Services</t>
  </si>
  <si>
    <t>3005 Biddle Street</t>
  </si>
  <si>
    <t>Wyandotte</t>
  </si>
  <si>
    <t>48192</t>
  </si>
  <si>
    <t>Georgia Transmission Corporation</t>
  </si>
  <si>
    <t>S. D. Myers, Inc.</t>
  </si>
  <si>
    <t>180 South Avenue</t>
  </si>
  <si>
    <t>Tallmadge</t>
  </si>
  <si>
    <t>Coastal Electrical Construction</t>
  </si>
  <si>
    <t>4708 Bayhead Rd.</t>
  </si>
  <si>
    <t>32466</t>
  </si>
  <si>
    <t>CLC Lubricants</t>
  </si>
  <si>
    <t>Hazardous Waste Haulers</t>
  </si>
  <si>
    <t>19725 Breckenridge Drive</t>
  </si>
  <si>
    <t>Mokena</t>
  </si>
  <si>
    <t>60448</t>
  </si>
  <si>
    <t>Olsun Electrics</t>
  </si>
  <si>
    <t>10901 Commercial Street</t>
  </si>
  <si>
    <t>60071-0001</t>
  </si>
  <si>
    <t>Mechanical Device Company</t>
  </si>
  <si>
    <t>2005 GE Road</t>
  </si>
  <si>
    <t>61704</t>
  </si>
  <si>
    <t>JR Brooks</t>
  </si>
  <si>
    <t>3719 W. 96th Steet</t>
  </si>
  <si>
    <t>City of Oglesby, IL Electric Department</t>
  </si>
  <si>
    <t>110 E. Walnut Street</t>
  </si>
  <si>
    <t>Oglesby</t>
  </si>
  <si>
    <t>61348</t>
  </si>
  <si>
    <t>Warren County Rural Electric Membership Coop</t>
  </si>
  <si>
    <t>15 Midway St</t>
  </si>
  <si>
    <t>Williamsport</t>
  </si>
  <si>
    <t>47993</t>
  </si>
  <si>
    <t>Gibson Electric Membership Corp (TN)</t>
  </si>
  <si>
    <t>1207 S College</t>
  </si>
  <si>
    <t>38382-0047</t>
  </si>
  <si>
    <t>Heritage Environmental Services</t>
  </si>
  <si>
    <t>IMPA, Indiana Municipal Power Agency</t>
  </si>
  <si>
    <t>11610 N. College Avenue</t>
  </si>
  <si>
    <t>CARMEL</t>
  </si>
  <si>
    <t>46032</t>
  </si>
  <si>
    <t>Ripley Power &amp; Light (TN)</t>
  </si>
  <si>
    <t>158 Viar Ave.</t>
  </si>
  <si>
    <t>38063</t>
  </si>
  <si>
    <t>Logansport Municipal Utilities</t>
  </si>
  <si>
    <t>601 E Broadway #101</t>
  </si>
  <si>
    <t>Logansport</t>
  </si>
  <si>
    <t>46947</t>
  </si>
  <si>
    <t>Petrelli Electric</t>
  </si>
  <si>
    <t>AES IPL</t>
  </si>
  <si>
    <t>1230 W. Morris St</t>
  </si>
  <si>
    <t>Kosciusko Rural Electric Membership Corp</t>
  </si>
  <si>
    <t>370 S 250 E</t>
  </si>
  <si>
    <t>Warsaw</t>
  </si>
  <si>
    <t>46582</t>
  </si>
  <si>
    <t>Gaylor Electric Inc.</t>
  </si>
  <si>
    <t>9231 Castlegate Drive</t>
  </si>
  <si>
    <t>Linton Municipal Light Dept</t>
  </si>
  <si>
    <t>86 S. Main St.</t>
  </si>
  <si>
    <t>47441</t>
  </si>
  <si>
    <t>Vectren</t>
  </si>
  <si>
    <t>1 N. Main St.</t>
  </si>
  <si>
    <t>47702</t>
  </si>
  <si>
    <t>258 Consulting</t>
  </si>
  <si>
    <t>320 E McDowell Road #320</t>
  </si>
  <si>
    <t>Indiana Coop Boone REMC  [BREMC]</t>
  </si>
  <si>
    <t>1207 Indianapolis Avenue</t>
  </si>
  <si>
    <t>Tohono O'Odham Utilty Authority</t>
  </si>
  <si>
    <t>Arizona 86</t>
  </si>
  <si>
    <t>85634</t>
  </si>
  <si>
    <t>VA Medical Center Tuscaloosa</t>
  </si>
  <si>
    <t>3701 Loop Rd</t>
  </si>
  <si>
    <t>35404</t>
  </si>
  <si>
    <t>Southwest Electric Company - Nashville (TGC)</t>
  </si>
  <si>
    <t>932 Twin Elms Court</t>
  </si>
  <si>
    <t>37210</t>
  </si>
  <si>
    <t>Benton County Electric Systems</t>
  </si>
  <si>
    <t>Saint Clair Borough Electric Light Dept</t>
  </si>
  <si>
    <t>Blakely Borough Municipal Light Plant</t>
  </si>
  <si>
    <t>Santee Cooper</t>
  </si>
  <si>
    <t>1 Riverwood Dr</t>
  </si>
  <si>
    <t>Moncks Corner</t>
  </si>
  <si>
    <t>29461-6101</t>
  </si>
  <si>
    <t>Berlin Borough Electric</t>
  </si>
  <si>
    <t>700 North Street</t>
  </si>
  <si>
    <t>Berlin</t>
  </si>
  <si>
    <t>15530</t>
  </si>
  <si>
    <t>Electricites</t>
  </si>
  <si>
    <t>11316 Sam Furr Road</t>
  </si>
  <si>
    <t>Huntersville</t>
  </si>
  <si>
    <t>28078</t>
  </si>
  <si>
    <t>Envirocom</t>
  </si>
  <si>
    <t>12075 Doug Brooks Rd</t>
  </si>
  <si>
    <t>Herndon</t>
  </si>
  <si>
    <t>20170</t>
  </si>
  <si>
    <t>Black River Electric</t>
  </si>
  <si>
    <t>1121 N Pike St</t>
  </si>
  <si>
    <t>Sumter</t>
  </si>
  <si>
    <t>29153</t>
  </si>
  <si>
    <t>Berkeley Electric (Moncks Corner)</t>
  </si>
  <si>
    <t>551 Rembert C Dennis Blvd</t>
  </si>
  <si>
    <t>29461</t>
  </si>
  <si>
    <t>Central Electric Coop Inc  [CEC]</t>
  </si>
  <si>
    <t>716 Route 368</t>
  </si>
  <si>
    <t>Flexco</t>
  </si>
  <si>
    <t>1401 East 6th Street</t>
  </si>
  <si>
    <t>Goldsboro Borough Utility Dept</t>
  </si>
  <si>
    <t>Carmel Electric</t>
  </si>
  <si>
    <t>16 Lexington</t>
  </si>
  <si>
    <t>MacDonald Electric</t>
  </si>
  <si>
    <t>30 S Valley Rd Suite 310</t>
  </si>
  <si>
    <t>19301</t>
  </si>
  <si>
    <t>NRG oswego</t>
  </si>
  <si>
    <t>261 Washington Blvd</t>
  </si>
  <si>
    <t>Oswego</t>
  </si>
  <si>
    <t>HATFIELD BOROUGH UTILITIES</t>
  </si>
  <si>
    <t>Monongahela Power Co [Allegheny Power]</t>
  </si>
  <si>
    <t>Tokusen USA, INC</t>
  </si>
  <si>
    <t>1500 S Amity Road</t>
  </si>
  <si>
    <t>72032</t>
  </si>
  <si>
    <t>Southwest Arkansas EC Bradley Location</t>
  </si>
  <si>
    <t>601-1127 N express Ave</t>
  </si>
  <si>
    <t>71826</t>
  </si>
  <si>
    <t>Southwest Arkansas EC Nashville Location</t>
  </si>
  <si>
    <t>1665 South 4th street</t>
  </si>
  <si>
    <t>71852</t>
  </si>
  <si>
    <t>Environmental Consulting</t>
  </si>
  <si>
    <t>2002 Renaissance Blvd Suite 110</t>
  </si>
  <si>
    <t>King of Prussia</t>
  </si>
  <si>
    <t>19406</t>
  </si>
  <si>
    <t>Olyphant Borough Light Committee</t>
  </si>
  <si>
    <t>Matcor Metal Fab</t>
  </si>
  <si>
    <t>City of Troy KANSAS</t>
  </si>
  <si>
    <t>137 W Walnut St</t>
  </si>
  <si>
    <t>Robertson Worldwide</t>
  </si>
  <si>
    <t>1748 Independence Boulevard_x000D_
Building A</t>
  </si>
  <si>
    <t>Sarasota</t>
  </si>
  <si>
    <t>34234</t>
  </si>
  <si>
    <t>OGE Energy</t>
  </si>
  <si>
    <t>MRC Global</t>
  </si>
  <si>
    <t>1301 McKinney St</t>
  </si>
  <si>
    <t>77010</t>
  </si>
  <si>
    <t>Entergy-Hammond</t>
  </si>
  <si>
    <t>Cameron Municipal Utilities (MO)</t>
  </si>
  <si>
    <t>205 N. Main St.</t>
  </si>
  <si>
    <t>Chillicothe Municipal Utilities (MO)</t>
  </si>
  <si>
    <t>920 Washington St.</t>
  </si>
  <si>
    <t>Texas New Mexico Power Company</t>
  </si>
  <si>
    <t>557 N Garden Ridge Blvd</t>
  </si>
  <si>
    <t>75067</t>
  </si>
  <si>
    <t>Lea County Electric Coop, Inc.</t>
  </si>
  <si>
    <t>1300 West Ave D</t>
  </si>
  <si>
    <t>Lovington</t>
  </si>
  <si>
    <t>88260</t>
  </si>
  <si>
    <t>Rayburn County Electric Coop</t>
  </si>
  <si>
    <t>950 Sids Rd</t>
  </si>
  <si>
    <t>Rockwall</t>
  </si>
  <si>
    <t>75087</t>
  </si>
  <si>
    <t>Newton Public Works</t>
  </si>
  <si>
    <t>101 North St</t>
  </si>
  <si>
    <t>75966</t>
  </si>
  <si>
    <t>Moulton Electric Department</t>
  </si>
  <si>
    <t>Clean Line Energy Partners</t>
  </si>
  <si>
    <t>1001 McKinney St</t>
  </si>
  <si>
    <t>Electric Transmission Texas</t>
  </si>
  <si>
    <t>400 W 15th Suite 800</t>
  </si>
  <si>
    <t>STP Nuclear</t>
  </si>
  <si>
    <t>12090 FM 521</t>
  </si>
  <si>
    <t>Sharyland Utilities</t>
  </si>
  <si>
    <t>1400 W Business 20</t>
  </si>
  <si>
    <t>79782</t>
  </si>
  <si>
    <t>Central Valley Electric Coop Inc</t>
  </si>
  <si>
    <t>1505 N 13th street</t>
  </si>
  <si>
    <t>Artesia</t>
  </si>
  <si>
    <t>88211</t>
  </si>
  <si>
    <t>All Aspects Contracting</t>
  </si>
  <si>
    <t>2800 Euclid Avenue  Suite 523</t>
  </si>
  <si>
    <t>44115</t>
  </si>
  <si>
    <t>Mindenmines Municipal Light Dept</t>
  </si>
  <si>
    <t>613 Main St</t>
  </si>
  <si>
    <t>Mindenmines</t>
  </si>
  <si>
    <t>64769</t>
  </si>
  <si>
    <t>Stella Jones</t>
  </si>
  <si>
    <t>1051 AL-25</t>
  </si>
  <si>
    <t>Montevallo</t>
  </si>
  <si>
    <t>35115</t>
  </si>
  <si>
    <t>Crane Electric Utilities (MO)</t>
  </si>
  <si>
    <t>120 N. Commerce St.</t>
  </si>
  <si>
    <t>Crane</t>
  </si>
  <si>
    <t>65633</t>
  </si>
  <si>
    <t>Transamerican Equipment Company, LLC (TEC)</t>
  </si>
  <si>
    <t>1301 Industrial Park Dr.</t>
  </si>
  <si>
    <t>Solvay (TN)</t>
  </si>
  <si>
    <t>Mt Pleasent</t>
  </si>
  <si>
    <t>University Of Alabama</t>
  </si>
  <si>
    <t>U of A</t>
  </si>
  <si>
    <t>Tusacloosa</t>
  </si>
  <si>
    <t>35487</t>
  </si>
  <si>
    <t>Mora-San Miguel Electric Cooperative</t>
  </si>
  <si>
    <t>499 NM-518</t>
  </si>
  <si>
    <t>87732</t>
  </si>
  <si>
    <t>Wabash Power Equipment</t>
  </si>
  <si>
    <t>Los Alamos Department of Public Utiliities</t>
  </si>
  <si>
    <t>1000 Central Avenue, Suite 130</t>
  </si>
  <si>
    <t>Los Alamos</t>
  </si>
  <si>
    <t>87544</t>
  </si>
  <si>
    <t>Philadelphia Energy Solutions</t>
  </si>
  <si>
    <t>3144 Passyunk Ave</t>
  </si>
  <si>
    <t>19145</t>
  </si>
  <si>
    <t>Spiro, City of</t>
  </si>
  <si>
    <t>Spiro</t>
  </si>
  <si>
    <t>ok</t>
  </si>
  <si>
    <t>Surry Yadkin EMC</t>
  </si>
  <si>
    <t>510 S Main St</t>
  </si>
  <si>
    <t>Dobson, NC</t>
  </si>
  <si>
    <t>27017</t>
  </si>
  <si>
    <t>French Broad Electric</t>
  </si>
  <si>
    <t>3043 Hwy 213</t>
  </si>
  <si>
    <t>CMERT</t>
  </si>
  <si>
    <t>1001 Mississippi Rd, Tyndal AFB</t>
  </si>
  <si>
    <t>Modesto Irrigation District</t>
  </si>
  <si>
    <t>929 Woodland Ave</t>
  </si>
  <si>
    <t>95351</t>
  </si>
  <si>
    <t>Northern Rio Arriba Electric Coop</t>
  </si>
  <si>
    <t>1135 Camino Escondido</t>
  </si>
  <si>
    <t>Chama</t>
  </si>
  <si>
    <t>87520</t>
  </si>
  <si>
    <t>Continental Divide Electric Coop Inc</t>
  </si>
  <si>
    <t>200 E High Street</t>
  </si>
  <si>
    <t>Grants</t>
  </si>
  <si>
    <t>87020</t>
  </si>
  <si>
    <t>Kit Carson Electric Coop Inc</t>
  </si>
  <si>
    <t>116 Cruz Alta Road</t>
  </si>
  <si>
    <t>Taos</t>
  </si>
  <si>
    <t>87571</t>
  </si>
  <si>
    <t>Aztec Utility System</t>
  </si>
  <si>
    <t>201 W Chaco</t>
  </si>
  <si>
    <t>Aztec</t>
  </si>
  <si>
    <t>87410</t>
  </si>
  <si>
    <t>Raton Public Service Co</t>
  </si>
  <si>
    <t>334 North 2nd Street</t>
  </si>
  <si>
    <t>Raton</t>
  </si>
  <si>
    <t>87740</t>
  </si>
  <si>
    <t>Shawver &amp; Son</t>
  </si>
  <si>
    <t>144 N.E. 44th St.</t>
  </si>
  <si>
    <t>City of Bowie</t>
  </si>
  <si>
    <t>303 N Mason St</t>
  </si>
  <si>
    <t>City of Temple Texas Airport</t>
  </si>
  <si>
    <t>7720 Airport Rd</t>
  </si>
  <si>
    <t>76502</t>
  </si>
  <si>
    <t>Mayer Electric Supply Panama City</t>
  </si>
  <si>
    <t>1800 St Andrews Blvd</t>
  </si>
  <si>
    <t>Key Electric Supply</t>
  </si>
  <si>
    <t>1418 Harrison Ave</t>
  </si>
  <si>
    <t>Union Tank Car</t>
  </si>
  <si>
    <t>16923 Old Beaumonth Hwy 9p</t>
  </si>
  <si>
    <t>PNMR Services Company DO NOT USE</t>
  </si>
  <si>
    <t>4201 Edith Blvd</t>
  </si>
  <si>
    <t>87107</t>
  </si>
  <si>
    <t>Santa Clara Electric Department (UT)</t>
  </si>
  <si>
    <t>2603 Santa Clara Dr</t>
  </si>
  <si>
    <t>84765</t>
  </si>
  <si>
    <t>Gothenburg Public Works</t>
  </si>
  <si>
    <t>409 9th St</t>
  </si>
  <si>
    <t>Gothenburg</t>
  </si>
  <si>
    <t>69138</t>
  </si>
  <si>
    <t>Golden Spread Electric Coop</t>
  </si>
  <si>
    <t>905 S Filmore St #220</t>
  </si>
  <si>
    <t>Central New Mexico Electric Coop Inc</t>
  </si>
  <si>
    <t>810 1st Street</t>
  </si>
  <si>
    <t>Moriarty</t>
  </si>
  <si>
    <t>87035</t>
  </si>
  <si>
    <t>Iberdrola - NYSEG</t>
  </si>
  <si>
    <t>18 link dr</t>
  </si>
  <si>
    <t>Binghamton</t>
  </si>
  <si>
    <t>13904</t>
  </si>
  <si>
    <t>Cozad Board of Public Works (NE)</t>
  </si>
  <si>
    <t>211 W 8th St</t>
  </si>
  <si>
    <t>Cozad</t>
  </si>
  <si>
    <t>69130</t>
  </si>
  <si>
    <t>West Point Municipal Utilities (NE)</t>
  </si>
  <si>
    <t>444 S Main St</t>
  </si>
  <si>
    <t>Frontier Industrial Corp</t>
  </si>
  <si>
    <t>500 Seneca St.; Suite 504</t>
  </si>
  <si>
    <t>14204</t>
  </si>
  <si>
    <t>PENN YAN MUNICIPAL BOARD</t>
  </si>
  <si>
    <t>Schuyler Department-Utilities</t>
  </si>
  <si>
    <t>204 E 10th St</t>
  </si>
  <si>
    <t>Schuyler</t>
  </si>
  <si>
    <t>68661</t>
  </si>
  <si>
    <t>Weathers Electric Inc.</t>
  </si>
  <si>
    <t>521 7th Avenue South</t>
  </si>
  <si>
    <t>City Light and Power Kessler AFB MS.</t>
  </si>
  <si>
    <t>205 Z Street</t>
  </si>
  <si>
    <t>Kessler AFB</t>
  </si>
  <si>
    <t>39534</t>
  </si>
  <si>
    <t>Southwest MS EPA</t>
  </si>
  <si>
    <t>18671 Hwy 61</t>
  </si>
  <si>
    <t>Lorman</t>
  </si>
  <si>
    <t>39096</t>
  </si>
  <si>
    <t>Higgins Electric</t>
  </si>
  <si>
    <t>1360 Columbia Hwy</t>
  </si>
  <si>
    <t>Coahoma Co EPA</t>
  </si>
  <si>
    <t>130-Hopson street</t>
  </si>
  <si>
    <t>Lyon</t>
  </si>
  <si>
    <t>38645</t>
  </si>
  <si>
    <t>Southeast Health - Dothan, AL</t>
  </si>
  <si>
    <t>1108 Ross Clark Cir</t>
  </si>
  <si>
    <t>City of Collins (MS)</t>
  </si>
  <si>
    <t>303 North 4th Street</t>
  </si>
  <si>
    <t>diana perez</t>
  </si>
  <si>
    <t>Laredo</t>
  </si>
  <si>
    <t>Columbus Light &amp; Water</t>
  </si>
  <si>
    <t>1601 Waterworks Road</t>
  </si>
  <si>
    <t>Philadelphia Utilities</t>
  </si>
  <si>
    <t>1153 Weyerhaeuser Drive</t>
  </si>
  <si>
    <t>39350</t>
  </si>
  <si>
    <t>Hood Industries</t>
  </si>
  <si>
    <t>915 Industrial Park Road</t>
  </si>
  <si>
    <t>39367</t>
  </si>
  <si>
    <t>Tombigbee Electric - MS</t>
  </si>
  <si>
    <t>1346 Auburn Road</t>
  </si>
  <si>
    <t>38802</t>
  </si>
  <si>
    <t>MDWFP</t>
  </si>
  <si>
    <t>1505 East Over Dr</t>
  </si>
  <si>
    <t>39211</t>
  </si>
  <si>
    <t>217 S High St</t>
  </si>
  <si>
    <t>66956</t>
  </si>
  <si>
    <t>City of Luray</t>
  </si>
  <si>
    <t>115 S Main</t>
  </si>
  <si>
    <t>Luray</t>
  </si>
  <si>
    <t>67649</t>
  </si>
  <si>
    <t>Natchez Trace EPA</t>
  </si>
  <si>
    <t>551 E Madison St</t>
  </si>
  <si>
    <t>38851</t>
  </si>
  <si>
    <t>City of Macon, Ms.</t>
  </si>
  <si>
    <t>312 South Jefferson</t>
  </si>
  <si>
    <t>39341</t>
  </si>
  <si>
    <t>Southeastern Timber Products</t>
  </si>
  <si>
    <t>240 PCA Road</t>
  </si>
  <si>
    <t>Ackerman</t>
  </si>
  <si>
    <t>39735</t>
  </si>
  <si>
    <t>Mayer Electric Supply</t>
  </si>
  <si>
    <t>10288 Corporate Drive</t>
  </si>
  <si>
    <t>Industrial Waste Utilization, Inc.</t>
  </si>
  <si>
    <t>5601 State Street</t>
  </si>
  <si>
    <t>Montclaire</t>
  </si>
  <si>
    <t>Irby - Vicksburg</t>
  </si>
  <si>
    <t>2690 Highway 61 North</t>
  </si>
  <si>
    <t>39183</t>
  </si>
  <si>
    <t>B&amp;B  Transformer</t>
  </si>
  <si>
    <t>2850 220th Street West</t>
  </si>
  <si>
    <t>National Grid</t>
  </si>
  <si>
    <t>175 East Old Country Rd</t>
  </si>
  <si>
    <t>Hicksville</t>
  </si>
  <si>
    <t>11801</t>
  </si>
  <si>
    <t>Anixter - Hattiesburg</t>
  </si>
  <si>
    <t>Tri-City Utility Products, Inc.</t>
  </si>
  <si>
    <t>105 Ed Gardner Dr</t>
  </si>
  <si>
    <t>Bartlett Electric Coop</t>
  </si>
  <si>
    <t>27492 Hwy 95</t>
  </si>
  <si>
    <t>Bartlett</t>
  </si>
  <si>
    <t>76511</t>
  </si>
  <si>
    <t>Tri-County Electric Cooperative Inc (TX)</t>
  </si>
  <si>
    <t>600 N. W. Parkway</t>
  </si>
  <si>
    <t>Azle</t>
  </si>
  <si>
    <t>76020</t>
  </si>
  <si>
    <t>Cross Texas Transmission TX</t>
  </si>
  <si>
    <t>1122 South Capital of TX Hwy</t>
  </si>
  <si>
    <t>Trinity PUD</t>
  </si>
  <si>
    <t>26 Ponderosa Lane</t>
  </si>
  <si>
    <t>Weaverville</t>
  </si>
  <si>
    <t>96093-1216</t>
  </si>
  <si>
    <t>Energy Miss  - Madison</t>
  </si>
  <si>
    <t>39130</t>
  </si>
  <si>
    <t>Entergy - Pearl</t>
  </si>
  <si>
    <t>5741 HWY 80 East</t>
  </si>
  <si>
    <t>Cooperative Energy</t>
  </si>
  <si>
    <t>7037 W. Hwy 49</t>
  </si>
  <si>
    <t>Desoto County Electric</t>
  </si>
  <si>
    <t>Horn Lake</t>
  </si>
  <si>
    <t>38637</t>
  </si>
  <si>
    <t>US Steel</t>
  </si>
  <si>
    <t>1 Quality Drive</t>
  </si>
  <si>
    <t>Ecorse</t>
  </si>
  <si>
    <t>48229</t>
  </si>
  <si>
    <t>Burks-Mordecai Builders</t>
  </si>
  <si>
    <t>PO Box 1004</t>
  </si>
  <si>
    <t>39703</t>
  </si>
  <si>
    <t>Energy Miss - Pearl</t>
  </si>
  <si>
    <t>Morenci Water &amp; Electric- Freeport-McMoran</t>
  </si>
  <si>
    <t>401 Burro Aly</t>
  </si>
  <si>
    <t>Morenci</t>
  </si>
  <si>
    <t>85540</t>
  </si>
  <si>
    <t>Labella</t>
  </si>
  <si>
    <t>300 state st. Suite 201</t>
  </si>
  <si>
    <t>Kemira Chemicals - Aberdeen</t>
  </si>
  <si>
    <t>10930 Darracott Road</t>
  </si>
  <si>
    <t>Entergy - Madison</t>
  </si>
  <si>
    <t>B&amp;B Electrical and Utility</t>
  </si>
  <si>
    <t>Allen Engineering Services</t>
  </si>
  <si>
    <t>Pascagoula</t>
  </si>
  <si>
    <t>Express Grain Terminals, LLC</t>
  </si>
  <si>
    <t>2015 W. River Road Ext.</t>
  </si>
  <si>
    <t>Service Electric and Mechanical, LLC.</t>
  </si>
  <si>
    <t>96 East 1st Ave.</t>
  </si>
  <si>
    <t>39117</t>
  </si>
  <si>
    <t>Freeport McMoran - Morenci</t>
  </si>
  <si>
    <t>4521 US Hwy 191</t>
  </si>
  <si>
    <t>CED-Sefco Electric-Jackson</t>
  </si>
  <si>
    <t>505 Julienne Street</t>
  </si>
  <si>
    <t>Cornhusker Public Power District</t>
  </si>
  <si>
    <t>Hwy 81 &amp; 235 Avenue</t>
  </si>
  <si>
    <t>SouthCon</t>
  </si>
  <si>
    <t>3724 1st Ave N, Birmingham, AL 35222</t>
  </si>
  <si>
    <t>William A.J. Shaeffer's Son, Inc</t>
  </si>
  <si>
    <t>420 Drew Court Suite B</t>
  </si>
  <si>
    <t>Sierra Pacific NV Energy</t>
  </si>
  <si>
    <t>6100 Neil Rd.</t>
  </si>
  <si>
    <t>89520</t>
  </si>
  <si>
    <t>Bowline Enterprise</t>
  </si>
  <si>
    <t>545 Johnson Ave</t>
  </si>
  <si>
    <t>Village of Bartley (NE)</t>
  </si>
  <si>
    <t>222 Lemon St</t>
  </si>
  <si>
    <t>Bartley</t>
  </si>
  <si>
    <t>69020</t>
  </si>
  <si>
    <t>City of Arapahoe (NE)</t>
  </si>
  <si>
    <t>411 6th St</t>
  </si>
  <si>
    <t>Arapahoe</t>
  </si>
  <si>
    <t>68922</t>
  </si>
  <si>
    <t>Jay Industrial Repair, Montgomery</t>
  </si>
  <si>
    <t>5850 Selma Highway</t>
  </si>
  <si>
    <t>Bayard Electrical Utilities (NE)</t>
  </si>
  <si>
    <t>445 Main Street</t>
  </si>
  <si>
    <t>City of Battle Creek (NE)</t>
  </si>
  <si>
    <t>A-Line</t>
  </si>
  <si>
    <t>City of Beaver City (NE)</t>
  </si>
  <si>
    <t>301 10th St</t>
  </si>
  <si>
    <t>Beaver City,</t>
  </si>
  <si>
    <t>68926</t>
  </si>
  <si>
    <t>Benkelman Municipal Utilities (NE)</t>
  </si>
  <si>
    <t>126 7th Ave E</t>
  </si>
  <si>
    <t>Benkelman</t>
  </si>
  <si>
    <t>69021</t>
  </si>
  <si>
    <t>City of Blue Hill (NE)</t>
  </si>
  <si>
    <t>517 W Gage St</t>
  </si>
  <si>
    <t>Blue Hill</t>
  </si>
  <si>
    <t>68930</t>
  </si>
  <si>
    <t>Village of Bradshaw (NE)</t>
  </si>
  <si>
    <t>455 Lincoln Avenue</t>
  </si>
  <si>
    <t>Bradshaw</t>
  </si>
  <si>
    <t>68319</t>
  </si>
  <si>
    <t>Village of Brainard (NE)</t>
  </si>
  <si>
    <t>111 E Washington Street</t>
  </si>
  <si>
    <t>Brainard</t>
  </si>
  <si>
    <t>68626</t>
  </si>
  <si>
    <t>Valley Electric Association , Inc.</t>
  </si>
  <si>
    <t>800 E Highway 372</t>
  </si>
  <si>
    <t>Pahrump</t>
  </si>
  <si>
    <t>89041</t>
  </si>
  <si>
    <t>Potelcom Supply</t>
  </si>
  <si>
    <t>1125 Orca St.</t>
  </si>
  <si>
    <t>Anchorage</t>
  </si>
  <si>
    <t>AK</t>
  </si>
  <si>
    <t>99518</t>
  </si>
  <si>
    <t>Burwell Municipal Utilities</t>
  </si>
  <si>
    <t>404 Grand Ave</t>
  </si>
  <si>
    <t>Burwell</t>
  </si>
  <si>
    <t>68823</t>
  </si>
  <si>
    <t>City of Campbell (NE)</t>
  </si>
  <si>
    <t>721 Broad Street</t>
  </si>
  <si>
    <t>68932</t>
  </si>
  <si>
    <t>H2O Environmental, Inc</t>
  </si>
  <si>
    <t>4435 E Colton Ave, Ste 101</t>
  </si>
  <si>
    <t>89115</t>
  </si>
  <si>
    <t>Village of Callaway (NE)</t>
  </si>
  <si>
    <t>157 E Kimball St</t>
  </si>
  <si>
    <t>Callaway</t>
  </si>
  <si>
    <t>68825</t>
  </si>
  <si>
    <t>C-Motive Technologies Inc.</t>
  </si>
  <si>
    <t>2436 Pennsylvania Ave</t>
  </si>
  <si>
    <t>53704</t>
  </si>
  <si>
    <t>Nevada Power</t>
  </si>
  <si>
    <t>Energy Fuels</t>
  </si>
  <si>
    <t>850 E Hwy 89A</t>
  </si>
  <si>
    <t>86022</t>
  </si>
  <si>
    <t>Brady Water and Light</t>
  </si>
  <si>
    <t>201 E Main St</t>
  </si>
  <si>
    <t>Brady</t>
  </si>
  <si>
    <t>76825</t>
  </si>
  <si>
    <t>Ashland Electric Dept.</t>
  </si>
  <si>
    <t>6 Collins St.</t>
  </si>
  <si>
    <t>3217</t>
  </si>
  <si>
    <t>NEW HAMPTON</t>
  </si>
  <si>
    <t>Brookfield Renewable</t>
  </si>
  <si>
    <t>326 Third Avenue</t>
  </si>
  <si>
    <t>25136</t>
  </si>
  <si>
    <t>Kendall Electric Irondale</t>
  </si>
  <si>
    <t>1189 Grants Mill Road</t>
  </si>
  <si>
    <t>Task Electric, LLC.</t>
  </si>
  <si>
    <t>202 County Road 673</t>
  </si>
  <si>
    <t>Webster Electric Co, Inc. (MS)</t>
  </si>
  <si>
    <t>8292A MS-19</t>
  </si>
  <si>
    <t>39325</t>
  </si>
  <si>
    <t>Public Service of New Hampshire</t>
  </si>
  <si>
    <t>Orgin Mining DBA Elko Mining group</t>
  </si>
  <si>
    <t>8275 N. Mineral Park Road</t>
  </si>
  <si>
    <t>Golden Valley</t>
  </si>
  <si>
    <t>86413</t>
  </si>
  <si>
    <t>Crystal Clean</t>
  </si>
  <si>
    <t>2175 Point Blvd STE 375</t>
  </si>
  <si>
    <t>New Hampshire Electric Co-op</t>
  </si>
  <si>
    <t>579 Tenney Mountain Hwy</t>
  </si>
  <si>
    <t>3264</t>
  </si>
  <si>
    <t>Wolfeboro Municipal Electric</t>
  </si>
  <si>
    <t>133 Middleton Road</t>
  </si>
  <si>
    <t>Wolfeboro</t>
  </si>
  <si>
    <t>3894</t>
  </si>
  <si>
    <t>Littleton Water &amp; Light</t>
  </si>
  <si>
    <t>65 Lafayetta Ave</t>
  </si>
  <si>
    <t>Littleton</t>
  </si>
  <si>
    <t>3561</t>
  </si>
  <si>
    <t>City of Chappell (NE)</t>
  </si>
  <si>
    <t>757 2nd Street</t>
  </si>
  <si>
    <t>Chappell</t>
  </si>
  <si>
    <t>High West Energy</t>
  </si>
  <si>
    <t>6270 Co Rd 212</t>
  </si>
  <si>
    <t>METRA</t>
  </si>
  <si>
    <t>547 W. Jackson Boulevard, 11E</t>
  </si>
  <si>
    <t>60661</t>
  </si>
  <si>
    <t>City of Mattoon (IL)</t>
  </si>
  <si>
    <t>208 North 19th Street</t>
  </si>
  <si>
    <t>Gallatin Public Works (MO)</t>
  </si>
  <si>
    <t>112 E. Grand</t>
  </si>
  <si>
    <t>64640</t>
  </si>
  <si>
    <t>Village of Ansley Utilities (NE)</t>
  </si>
  <si>
    <t>522 Division St</t>
  </si>
  <si>
    <t>Ansley</t>
  </si>
  <si>
    <t>68814</t>
  </si>
  <si>
    <t>Cambridge Utilities (NE)</t>
  </si>
  <si>
    <t>722 Patterson St</t>
  </si>
  <si>
    <t>Wakefield Utilities (NE)</t>
  </si>
  <si>
    <t>405 Main Street</t>
  </si>
  <si>
    <t>68784</t>
  </si>
  <si>
    <t>Stromsburg Utilities (NE)</t>
  </si>
  <si>
    <t>122 East 3rd Street</t>
  </si>
  <si>
    <t>68666</t>
  </si>
  <si>
    <t>Madison Utilities (NE)</t>
  </si>
  <si>
    <t>110 E 1st St</t>
  </si>
  <si>
    <t>Hebron Municipal Utilities</t>
  </si>
  <si>
    <t>216 Lincoln Ave</t>
  </si>
  <si>
    <t>Hebron</t>
  </si>
  <si>
    <t>68370</t>
  </si>
  <si>
    <t>City of Tecumseh (NE)</t>
  </si>
  <si>
    <t>122 South 4th Street</t>
  </si>
  <si>
    <t>68450</t>
  </si>
  <si>
    <t>Neligh Municipal Power</t>
  </si>
  <si>
    <t>202 Main St</t>
  </si>
  <si>
    <t>Neligh</t>
  </si>
  <si>
    <t>68756</t>
  </si>
  <si>
    <t>Northern Wasco county PUD</t>
  </si>
  <si>
    <t>2345 River Road</t>
  </si>
  <si>
    <t>Vera Water &amp; Power</t>
  </si>
  <si>
    <t>601 N. Evergreen rd</t>
  </si>
  <si>
    <t>99126</t>
  </si>
  <si>
    <t>Lyondell Chemical Company</t>
  </si>
  <si>
    <t>3400 Anamosa Rd</t>
  </si>
  <si>
    <t>52732</t>
  </si>
  <si>
    <t>Lincolnway Energy LLC</t>
  </si>
  <si>
    <t>59511 Lincoln Hwy</t>
  </si>
  <si>
    <t>50201</t>
  </si>
  <si>
    <t>Broad River Electric Cooperative</t>
  </si>
  <si>
    <t>811 Hamrick St</t>
  </si>
  <si>
    <t>29342</t>
  </si>
  <si>
    <t>Environet Inc</t>
  </si>
  <si>
    <t>1225 E River Dr</t>
  </si>
  <si>
    <t>52803</t>
  </si>
  <si>
    <t>Buena Vista County Environmental Health</t>
  </si>
  <si>
    <t>215 E 5Th St</t>
  </si>
  <si>
    <t>Storm Lake</t>
  </si>
  <si>
    <t>50588</t>
  </si>
  <si>
    <t>Big River United Energy LLC</t>
  </si>
  <si>
    <t>3294 Vine Rd</t>
  </si>
  <si>
    <t>Dyersville</t>
  </si>
  <si>
    <t>52040</t>
  </si>
  <si>
    <t>American Natural Processors Inc</t>
  </si>
  <si>
    <t>1510 S 2Nd St</t>
  </si>
  <si>
    <t>Cherokee</t>
  </si>
  <si>
    <t>51012</t>
  </si>
  <si>
    <t>City of Morganton Electric Dept</t>
  </si>
  <si>
    <t>305 E Union ST, Suite A 100</t>
  </si>
  <si>
    <t>Morganton</t>
  </si>
  <si>
    <t>28680</t>
  </si>
  <si>
    <t>Blue Ridge EMC (Lenoir)</t>
  </si>
  <si>
    <t>1216 Blowing Rock Blvd, NE</t>
  </si>
  <si>
    <t>Lenoir</t>
  </si>
  <si>
    <t>28645</t>
  </si>
  <si>
    <t>American Electric Power</t>
  </si>
  <si>
    <t>1 Riverside Plazza</t>
  </si>
  <si>
    <t>Dover Light &amp; Power</t>
  </si>
  <si>
    <t>303 E. Broadway</t>
  </si>
  <si>
    <t>44622</t>
  </si>
  <si>
    <t>Enviroanalytics Group LLC</t>
  </si>
  <si>
    <t>1515 Des Peres Rd 300</t>
  </si>
  <si>
    <t>Hubbard Municipal Water Light &amp; Power System</t>
  </si>
  <si>
    <t>Eagle Environmental Management LLC</t>
  </si>
  <si>
    <t>208 Tanner Dr</t>
  </si>
  <si>
    <t>Wentzville</t>
  </si>
  <si>
    <t>63385</t>
  </si>
  <si>
    <t>D Schau &amp; Associates</t>
  </si>
  <si>
    <t>8826 Harrison Ave</t>
  </si>
  <si>
    <t>63144</t>
  </si>
  <si>
    <t>Shiloh Board of Public Affairs</t>
  </si>
  <si>
    <t>Underground Construction</t>
  </si>
  <si>
    <t>5145 Industrial Way Benicia</t>
  </si>
  <si>
    <t>Benicia</t>
  </si>
  <si>
    <t>94510</t>
  </si>
  <si>
    <t>City of Neodesha</t>
  </si>
  <si>
    <t>2788 Ottawa Rd</t>
  </si>
  <si>
    <t>Magnetech Industrial Service (TGC)</t>
  </si>
  <si>
    <t>800 Nave Road SE</t>
  </si>
  <si>
    <t>Scotch Plywood</t>
  </si>
  <si>
    <t>101 W NE Main St</t>
  </si>
  <si>
    <t>36446</t>
  </si>
  <si>
    <t>Wigro Construction</t>
  </si>
  <si>
    <t>Woodsfield Board of Public Affairs</t>
  </si>
  <si>
    <t>Cliffs Natural resources</t>
  </si>
  <si>
    <t>Conversion Resources LLC</t>
  </si>
  <si>
    <t>Hamersville Board of Public Affairs</t>
  </si>
  <si>
    <t>Northern Lights Inc.</t>
  </si>
  <si>
    <t>421 Chevy St</t>
  </si>
  <si>
    <t>Sagle</t>
  </si>
  <si>
    <t>83860</t>
  </si>
  <si>
    <t>Absolute Power Northwest</t>
  </si>
  <si>
    <t>Packard Electric</t>
  </si>
  <si>
    <t>Power Partners</t>
  </si>
  <si>
    <t>200 Newton Bridge Road</t>
  </si>
  <si>
    <t>30607</t>
  </si>
  <si>
    <t>Consolidated Electric Coop Inc</t>
  </si>
  <si>
    <t>5255 State Route 95</t>
  </si>
  <si>
    <t>Mount Gilead</t>
  </si>
  <si>
    <t>43338</t>
  </si>
  <si>
    <t>United Power(co)</t>
  </si>
  <si>
    <t>9536 I25 frontage rd</t>
  </si>
  <si>
    <t>Brandt Industrial</t>
  </si>
  <si>
    <t>1728 Briercroft Ct.</t>
  </si>
  <si>
    <t>Carrollton</t>
  </si>
  <si>
    <t>75006</t>
  </si>
  <si>
    <t>Forest Service Anaconda Job Corps</t>
  </si>
  <si>
    <t>1384 Forster Creek Road</t>
  </si>
  <si>
    <t>Anaconda</t>
  </si>
  <si>
    <t>59711</t>
  </si>
  <si>
    <t>Hyatt Regency, St Louis (MO)</t>
  </si>
  <si>
    <t>315 Chestnut Street</t>
  </si>
  <si>
    <t>63102</t>
  </si>
  <si>
    <t>Wells Engineering</t>
  </si>
  <si>
    <t>6900 Houston Road  Suite 38</t>
  </si>
  <si>
    <t>41042</t>
  </si>
  <si>
    <t>Freeport McMoran - Chino Vanadium, NM</t>
  </si>
  <si>
    <t>99 Santa Rita Mine Road</t>
  </si>
  <si>
    <t>Vanadium</t>
  </si>
  <si>
    <t>88023</t>
  </si>
  <si>
    <t>Federal Equipment Co</t>
  </si>
  <si>
    <t>8200 Bessemer Ave.</t>
  </si>
  <si>
    <t>44127</t>
  </si>
  <si>
    <t>Garrison Brothers Construction Services</t>
  </si>
  <si>
    <t>7425 Bedford Avenue</t>
  </si>
  <si>
    <t>68134</t>
  </si>
  <si>
    <t>Due Diligence Demolition &amp; Landscaping LLC</t>
  </si>
  <si>
    <t>5710 Kearney Ave</t>
  </si>
  <si>
    <t>68507</t>
  </si>
  <si>
    <t>Brester Construction Inc</t>
  </si>
  <si>
    <t>1200 Infinity Ct</t>
  </si>
  <si>
    <t>68512</t>
  </si>
  <si>
    <t>Allis Services Demolition</t>
  </si>
  <si>
    <t>9015 N 169Th Ave</t>
  </si>
  <si>
    <t>Bennington</t>
  </si>
  <si>
    <t>68007</t>
  </si>
  <si>
    <t>Led Lighting Crew</t>
  </si>
  <si>
    <t>715 66Th Avenue Sw</t>
  </si>
  <si>
    <t>Stronghold Engineering</t>
  </si>
  <si>
    <t>2000 Market Street</t>
  </si>
  <si>
    <t>92501</t>
  </si>
  <si>
    <t>Larson Contracting</t>
  </si>
  <si>
    <t>508 W Main St</t>
  </si>
  <si>
    <t>Je Dunn Construction</t>
  </si>
  <si>
    <t>1615 Young Ave</t>
  </si>
  <si>
    <t>Muscatine</t>
  </si>
  <si>
    <t>52761</t>
  </si>
  <si>
    <t>HMT Renewable Energy</t>
  </si>
  <si>
    <t>2121 Enterprise Street</t>
  </si>
  <si>
    <t>Green Island Power</t>
  </si>
  <si>
    <t>69 Hudson Ave</t>
  </si>
  <si>
    <t>Green Island</t>
  </si>
  <si>
    <t>12183</t>
  </si>
  <si>
    <t>Madison Electric Dept.</t>
  </si>
  <si>
    <t>34 John Ave.</t>
  </si>
  <si>
    <t>7940</t>
  </si>
  <si>
    <t>NETS</t>
  </si>
  <si>
    <t>7209</t>
  </si>
  <si>
    <t>State Route 281</t>
  </si>
  <si>
    <t>Power Equip Sales Reps</t>
  </si>
  <si>
    <t>Daniel Chase</t>
  </si>
  <si>
    <t>ABB Inc (St Louis)</t>
  </si>
  <si>
    <t>Sherrill Power &amp; Light Dept</t>
  </si>
  <si>
    <t>377 Sherrill Rd</t>
  </si>
  <si>
    <t>Sherrill</t>
  </si>
  <si>
    <t>13461</t>
  </si>
  <si>
    <t>Taunton Municipal lighting Plant</t>
  </si>
  <si>
    <t>33 Weir St.</t>
  </si>
  <si>
    <t>Taunton</t>
  </si>
  <si>
    <t>2780</t>
  </si>
  <si>
    <t>Unitil Energy Systems</t>
  </si>
  <si>
    <t>6 Liberty Lane</t>
  </si>
  <si>
    <t>Kensington</t>
  </si>
  <si>
    <t>3842</t>
  </si>
  <si>
    <t>Air Products and Chemicals, Inc.</t>
  </si>
  <si>
    <t>7201 Hamilton Boulevard</t>
  </si>
  <si>
    <t>Allentown</t>
  </si>
  <si>
    <t>18195-1501</t>
  </si>
  <si>
    <t>BASF Corporauon</t>
  </si>
  <si>
    <t>8404 River Road
Gelsmar Procurement Hub, P.O. Box 457</t>
  </si>
  <si>
    <t>DMH Electric</t>
  </si>
  <si>
    <t>29 Legate Hill Rd Ste A</t>
  </si>
  <si>
    <t>1564</t>
  </si>
  <si>
    <t>Bayview Electric, LLC.</t>
  </si>
  <si>
    <t>11781 Water Tank Rd</t>
  </si>
  <si>
    <t>98233</t>
  </si>
  <si>
    <t>Capitol Valley Electric</t>
  </si>
  <si>
    <t>8550 Thys Ct</t>
  </si>
  <si>
    <t>95828</t>
  </si>
  <si>
    <t>brightridge</t>
  </si>
  <si>
    <t>JaL Demolition Co.</t>
  </si>
  <si>
    <t>42 Legion Memorial Dr</t>
  </si>
  <si>
    <t>2909</t>
  </si>
  <si>
    <t>The David J. Joseph Company</t>
  </si>
  <si>
    <t>Middleborough Gas and Electric Department</t>
  </si>
  <si>
    <t>32 South Main Street</t>
  </si>
  <si>
    <t>Middleborough</t>
  </si>
  <si>
    <t>2346</t>
  </si>
  <si>
    <t>Neeltran, Inc</t>
  </si>
  <si>
    <t>71 Pickett District Rd.</t>
  </si>
  <si>
    <t>New milford</t>
  </si>
  <si>
    <t>6776</t>
  </si>
  <si>
    <t>On Target Utility Services</t>
  </si>
  <si>
    <t>16 Progress Circle</t>
  </si>
  <si>
    <t>Newington</t>
  </si>
  <si>
    <t>6111</t>
  </si>
  <si>
    <t>Rural Electric Cooperative OK, Inc  (Lindsay)</t>
  </si>
  <si>
    <t>34°47'50.8"N 97°36'00.1"W</t>
  </si>
  <si>
    <t>RBB Electric</t>
  </si>
  <si>
    <t>1123 N 51st Street</t>
  </si>
  <si>
    <t>58203</t>
  </si>
  <si>
    <t>Green Dream International</t>
  </si>
  <si>
    <t>Heatsinc</t>
  </si>
  <si>
    <t>1103 GA-29</t>
  </si>
  <si>
    <t>East Dublin</t>
  </si>
  <si>
    <t>31027</t>
  </si>
  <si>
    <t>XPO Logistics/Conway</t>
  </si>
  <si>
    <t>625 Hartford Turnpike</t>
  </si>
  <si>
    <t>Shrewsbury</t>
  </si>
  <si>
    <t>1545</t>
  </si>
  <si>
    <t>SOUTHEASTERN (OK) ELEC</t>
  </si>
  <si>
    <t>1514 E Hwy 70 E</t>
  </si>
  <si>
    <t>Franklin Surplus Inc / Metal Logics</t>
  </si>
  <si>
    <t>840 A Ave. East</t>
  </si>
  <si>
    <t>In</t>
  </si>
  <si>
    <t>47274</t>
  </si>
  <si>
    <t>FL Dept of Corrections</t>
  </si>
  <si>
    <t>Central Office</t>
  </si>
  <si>
    <t>Southeastern Transformer Company</t>
  </si>
  <si>
    <t>405 E Edgerton Street</t>
  </si>
  <si>
    <t>Pro Energy Electric</t>
  </si>
  <si>
    <t>AMG Company</t>
  </si>
  <si>
    <t>Power Engineers</t>
  </si>
  <si>
    <t>Safety Kleen (AZ)</t>
  </si>
  <si>
    <t>City of Udall, KS</t>
  </si>
  <si>
    <t>City of Waterville</t>
  </si>
  <si>
    <t>Fort Campbell</t>
  </si>
  <si>
    <t>CITY OF SEYMOUR</t>
  </si>
  <si>
    <t>electricdept@cityofseymour.org</t>
  </si>
  <si>
    <t>Cheyene Construction (Mt. Sterling, KY)</t>
  </si>
  <si>
    <t>Stewart Engineering</t>
  </si>
  <si>
    <t>City of Shasta Lake</t>
  </si>
  <si>
    <t>City of Fredonia (AZ)</t>
  </si>
  <si>
    <t>RSA/FFA</t>
  </si>
  <si>
    <t>6400 22nd st</t>
  </si>
  <si>
    <t>miami</t>
  </si>
  <si>
    <t>33122</t>
  </si>
  <si>
    <t>Advanced Roofing</t>
  </si>
  <si>
    <t>Muncie</t>
  </si>
  <si>
    <t>independent systems</t>
  </si>
  <si>
    <t>ACT Group Services</t>
  </si>
  <si>
    <t>Kropp Forge</t>
  </si>
  <si>
    <t>City of Detroit, MI</t>
  </si>
  <si>
    <t>City Electric Supply Fairhope (CES)</t>
  </si>
  <si>
    <t>Bill Smith</t>
  </si>
  <si>
    <t>utilitec</t>
  </si>
  <si>
    <t>ranger mechanical</t>
  </si>
  <si>
    <t>Eaton Seattle</t>
  </si>
  <si>
    <t>IBEW</t>
  </si>
  <si>
    <t>Berkshire Hathaway Energy</t>
  </si>
  <si>
    <t>National Field Services</t>
  </si>
  <si>
    <t>Vernon Electric Cooperative</t>
  </si>
  <si>
    <t>110 Saugstad Road</t>
  </si>
  <si>
    <t>Westby</t>
  </si>
  <si>
    <t>54667</t>
  </si>
  <si>
    <t>City of Brush</t>
  </si>
  <si>
    <t>600 EDISON ST</t>
  </si>
  <si>
    <t>BRUSH</t>
  </si>
  <si>
    <t>80723</t>
  </si>
  <si>
    <t>American Silica</t>
  </si>
  <si>
    <t>Buckeye Power</t>
  </si>
  <si>
    <t>6677 Busch Blvd.</t>
  </si>
  <si>
    <t>MIDDLEBOROUGH ELECTRIC &amp; GAS</t>
  </si>
  <si>
    <t>Marks Surlplus</t>
  </si>
  <si>
    <t>Need to Enter</t>
  </si>
  <si>
    <t>CG Environmental</t>
  </si>
  <si>
    <t>Salvage Heaven</t>
  </si>
  <si>
    <t>CSB Services, LLC</t>
  </si>
  <si>
    <t>Mansfield Municipal Electric Department</t>
  </si>
  <si>
    <t>125 High Street</t>
  </si>
  <si>
    <t>mansfield</t>
  </si>
  <si>
    <t>2048</t>
  </si>
  <si>
    <t>Hawaiian Electric</t>
  </si>
  <si>
    <t>Brenkelman municipal</t>
  </si>
  <si>
    <t>Triangle Recycling</t>
  </si>
  <si>
    <t>2421 W 205th St</t>
  </si>
  <si>
    <t>Torrance</t>
  </si>
  <si>
    <t>IN Statewide</t>
  </si>
  <si>
    <t>PO box 24517</t>
  </si>
  <si>
    <t>46224</t>
  </si>
  <si>
    <t>Sullivan Electric</t>
  </si>
  <si>
    <t>7100 Cockrill Bend Blvd</t>
  </si>
  <si>
    <t>37209</t>
  </si>
  <si>
    <t>city of mainsfield</t>
  </si>
  <si>
    <t>AMW Construction Supply</t>
  </si>
  <si>
    <t>Safety-Clean</t>
  </si>
  <si>
    <t>Best Materials</t>
  </si>
  <si>
    <t>Auburn Armature Inc</t>
  </si>
  <si>
    <t>875 Broadway</t>
  </si>
  <si>
    <t>12207</t>
  </si>
  <si>
    <t>Kentucky State Reformatory</t>
  </si>
  <si>
    <t>Cauthen Electric</t>
  </si>
  <si>
    <t>Timet</t>
  </si>
  <si>
    <t>181 S Water St</t>
  </si>
  <si>
    <t>89015</t>
  </si>
  <si>
    <t>Acton Services</t>
  </si>
  <si>
    <t>MIDDLETON MUNI ELEC DEPT (MA)</t>
  </si>
  <si>
    <t>197 N Main St</t>
  </si>
  <si>
    <t>1949</t>
  </si>
  <si>
    <t>Chambersburg Borough Electric Dept</t>
  </si>
  <si>
    <t>100 S Second St</t>
  </si>
  <si>
    <t>Chambersburg</t>
  </si>
  <si>
    <t>17201-0909</t>
  </si>
  <si>
    <t>Ellwood City Municipal Electric Dept</t>
  </si>
  <si>
    <t>525 Lawrence Ave</t>
  </si>
  <si>
    <t>16117-1984</t>
  </si>
  <si>
    <t>AirWay Technologies</t>
  </si>
  <si>
    <t>BEDFORD MUNI ELEC DEPT</t>
  </si>
  <si>
    <t>877 Monroe St</t>
  </si>
  <si>
    <t>24523</t>
  </si>
  <si>
    <t>Univeristy of Tennessee</t>
  </si>
  <si>
    <t>Shaffer Construction</t>
  </si>
  <si>
    <t>Coast EPA</t>
  </si>
  <si>
    <t>Commercial Development Company Inc.</t>
  </si>
  <si>
    <t>Technical Engineering Services</t>
  </si>
  <si>
    <t>VP of Operations</t>
  </si>
  <si>
    <t>B and B Utility</t>
  </si>
  <si>
    <t>Chain Electric-Lafayette</t>
  </si>
  <si>
    <t>Bradenburg Industrial Service Company</t>
  </si>
  <si>
    <t>2625 S Loomis Street</t>
  </si>
  <si>
    <t>Field Decommission Manager</t>
  </si>
  <si>
    <t>Centrus Energy</t>
  </si>
  <si>
    <t>Precoat Metals</t>
  </si>
  <si>
    <t>1095 Mendell Davis Drive</t>
  </si>
  <si>
    <t>39272</t>
  </si>
  <si>
    <t>Inprocessing</t>
  </si>
  <si>
    <t>Mark</t>
  </si>
  <si>
    <t>North East Mississippi Electric Power Association (NE EPA)</t>
  </si>
  <si>
    <t>10 Skyline Drive</t>
  </si>
  <si>
    <t>Jeff Davis Electric Co-Op</t>
  </si>
  <si>
    <t>Louisville Utiliities</t>
  </si>
  <si>
    <t>Safety &amp; EPA</t>
  </si>
  <si>
    <t>Solvay</t>
  </si>
  <si>
    <t>7910 Mt. Joy Road</t>
  </si>
  <si>
    <t>tn</t>
  </si>
  <si>
    <t>Southern Pine EPA</t>
  </si>
  <si>
    <t>Utility Maintenance</t>
  </si>
  <si>
    <t>EIR Testing &amp; Maintenance Co (TGC)</t>
  </si>
  <si>
    <t>3555 280th Street W</t>
  </si>
  <si>
    <t>Claiborne Electric Cooperative, Inc.</t>
  </si>
  <si>
    <t>Concirdia EC</t>
  </si>
  <si>
    <t>Field Decommission</t>
  </si>
  <si>
    <t>Field Inventory</t>
  </si>
  <si>
    <t>March Equipment</t>
  </si>
  <si>
    <t>broomfield lamb holman</t>
  </si>
  <si>
    <t>3306 Ridge Rd</t>
  </si>
  <si>
    <t>Keith D</t>
  </si>
  <si>
    <t>NELA</t>
  </si>
  <si>
    <t>Hiilandale Farms</t>
  </si>
  <si>
    <t>17 Schwartz Rd.</t>
  </si>
  <si>
    <t>Bozrah</t>
  </si>
  <si>
    <t>6334</t>
  </si>
  <si>
    <t>Entergy- West Monroe-BLDG F</t>
  </si>
  <si>
    <t>2901 Cypress Street</t>
  </si>
  <si>
    <t>West Monroe</t>
  </si>
  <si>
    <t>71291</t>
  </si>
  <si>
    <t>American Electrical</t>
  </si>
  <si>
    <t>2405 Pearson Rd</t>
  </si>
  <si>
    <t>38118</t>
  </si>
  <si>
    <t>warrior met coal mining</t>
  </si>
  <si>
    <t>16243 Highway 216</t>
  </si>
  <si>
    <t>Quant Services</t>
  </si>
  <si>
    <t>Shipping Supervisor</t>
  </si>
  <si>
    <t>Federated REA</t>
  </si>
  <si>
    <t>US Highway 71</t>
  </si>
  <si>
    <t>56143-0069</t>
  </si>
  <si>
    <t>Southern Pine Electric</t>
  </si>
  <si>
    <t>Esco Electrical- Jamey</t>
  </si>
  <si>
    <t>Lacelede EC- Michael Kirkland</t>
  </si>
  <si>
    <t>Jon Turner</t>
  </si>
  <si>
    <t>Tupelo Water&amp;light Dept</t>
  </si>
  <si>
    <t>SRE Transportation</t>
  </si>
  <si>
    <t>3230 E Broadway Road Suite C-160</t>
  </si>
  <si>
    <t>ConAgra</t>
  </si>
  <si>
    <t>TransCanada Cooperation</t>
  </si>
  <si>
    <t>L. E. Myers Group</t>
  </si>
  <si>
    <t>Hartmann Building Specialties, LTD</t>
  </si>
  <si>
    <t>3210 Metric Drive</t>
  </si>
  <si>
    <t>Sulfer</t>
  </si>
  <si>
    <t>Rosendin Electric - Anaheim Office</t>
  </si>
  <si>
    <t>ElectriCities</t>
  </si>
  <si>
    <t>brewer services</t>
  </si>
  <si>
    <t>Radio Station - WTWO</t>
  </si>
  <si>
    <t>Farmersburg</t>
  </si>
  <si>
    <t>fox systems</t>
  </si>
  <si>
    <t>weswall LLC</t>
  </si>
  <si>
    <t>Duracell</t>
  </si>
  <si>
    <t>Tennessee College</t>
  </si>
  <si>
    <t>City of Benson - NC</t>
  </si>
  <si>
    <t>Rockville Centre Electric Dept</t>
  </si>
  <si>
    <t>Endicott Municipal Light Plant</t>
  </si>
  <si>
    <t>1009 E Main St</t>
  </si>
  <si>
    <t>Endicott</t>
  </si>
  <si>
    <t>City Electric Supply Destin</t>
  </si>
  <si>
    <t>4650 Gulfstarr Dr</t>
  </si>
  <si>
    <t>City Electric Supply Panama City</t>
  </si>
  <si>
    <t>206 E 15th St,</t>
  </si>
  <si>
    <t>CK Associates</t>
  </si>
  <si>
    <t>8591 United Plaza Blvd. Suite 300</t>
  </si>
  <si>
    <t>Whittemore Electric Light &amp; Power Plant</t>
  </si>
  <si>
    <t>310 4th St</t>
  </si>
  <si>
    <t>Whittemore</t>
  </si>
  <si>
    <t>50598</t>
  </si>
  <si>
    <t>Westfield Municipal Utilities</t>
  </si>
  <si>
    <t>223 Union St</t>
  </si>
  <si>
    <t>Westfield</t>
  </si>
  <si>
    <t>51062</t>
  </si>
  <si>
    <t>Total Wrecking dba LC Asset Recovery</t>
  </si>
  <si>
    <t>PO Box 326</t>
  </si>
  <si>
    <t>14231</t>
  </si>
  <si>
    <t>Atwell &amp; Gent</t>
  </si>
  <si>
    <t>309 University Drive</t>
  </si>
  <si>
    <t>A.West Enterprise, LLC</t>
  </si>
  <si>
    <t>705 Canal St</t>
  </si>
  <si>
    <t>Advantage Environmental Services Inc</t>
  </si>
  <si>
    <t>2325 5th Av</t>
  </si>
  <si>
    <t>St Petersburg</t>
  </si>
  <si>
    <t>33713</t>
  </si>
  <si>
    <t>Air Force Civil Engineering Corp</t>
  </si>
  <si>
    <t>All Service Electric of Ft Myers</t>
  </si>
  <si>
    <t>17460 East St</t>
  </si>
  <si>
    <t>Ft. Myers</t>
  </si>
  <si>
    <t>American Electric</t>
  </si>
  <si>
    <t>8751 Atlantic Blvd</t>
  </si>
  <si>
    <t>32211</t>
  </si>
  <si>
    <t>American Electrical Contractors</t>
  </si>
  <si>
    <t>5065 St Augustine Rd #3</t>
  </si>
  <si>
    <t>St. Augustine</t>
  </si>
  <si>
    <t>32207</t>
  </si>
  <si>
    <t>American Wire Group</t>
  </si>
  <si>
    <t>2875 NE 191st St</t>
  </si>
  <si>
    <t>33180</t>
  </si>
  <si>
    <t>AZZ Electrical Systems</t>
  </si>
  <si>
    <t>581 Porta Rosa Circle</t>
  </si>
  <si>
    <t>32092</t>
  </si>
  <si>
    <t>Camp Blanding</t>
  </si>
  <si>
    <t>5629 State RD 16W</t>
  </si>
  <si>
    <t>Cross City Lumber</t>
  </si>
  <si>
    <t>59 NE 132 Ave</t>
  </si>
  <si>
    <t>Cross City</t>
  </si>
  <si>
    <t>32628</t>
  </si>
  <si>
    <t>Daytona State College</t>
  </si>
  <si>
    <t>1200 W. Intl Speedway Blvd</t>
  </si>
  <si>
    <t>Electro Design Engineeering</t>
  </si>
  <si>
    <t>346 Pike Rd STE 1</t>
  </si>
  <si>
    <t>33411</t>
  </si>
  <si>
    <t>ESA South Inc</t>
  </si>
  <si>
    <t>1681 Success Dr</t>
  </si>
  <si>
    <t>Florida A&amp;M University-FAMU Facilities Planning and Construction</t>
  </si>
  <si>
    <t>2400 Whanish Way , suite 100</t>
  </si>
  <si>
    <t>Florida Gas Transmission Co.- Perry, Fl location</t>
  </si>
  <si>
    <t>32347</t>
  </si>
  <si>
    <t>Oneida-Madison Electric Coop Inc</t>
  </si>
  <si>
    <t>Florida State Univ- Center for Advanced Power Systems</t>
  </si>
  <si>
    <t>2000 Levy Av</t>
  </si>
  <si>
    <t>32310</t>
  </si>
  <si>
    <t>Hillsborough County</t>
  </si>
  <si>
    <t>12th FL County Center, PO Box 1110</t>
  </si>
  <si>
    <t>33601</t>
  </si>
  <si>
    <t>Hooper Corp.- Florida</t>
  </si>
  <si>
    <t>12814 Stark rd</t>
  </si>
  <si>
    <t>48150</t>
  </si>
  <si>
    <t>Hyundai Electric</t>
  </si>
  <si>
    <t>96 Braelock Dr</t>
  </si>
  <si>
    <t>Ocoee</t>
  </si>
  <si>
    <t>34761</t>
  </si>
  <si>
    <t>JC&amp;A Electrical Contractors</t>
  </si>
  <si>
    <t>1901 NW 108th Av</t>
  </si>
  <si>
    <t>33172</t>
  </si>
  <si>
    <t>Jim Stidham and Associates, Inc</t>
  </si>
  <si>
    <t>547 N Monroe St, Ste 201</t>
  </si>
  <si>
    <t>LEW Electrical Services</t>
  </si>
  <si>
    <t>4422 N 56th St</t>
  </si>
  <si>
    <t>Sequel Electrical Supply Mobile</t>
  </si>
  <si>
    <t>3307 Moffett Rd</t>
  </si>
  <si>
    <t>Sequel Electrical Supply Ft. Walton</t>
  </si>
  <si>
    <t>14 Hughes St</t>
  </si>
  <si>
    <t>Fort Walton</t>
  </si>
  <si>
    <t>Alabama State Docks</t>
  </si>
  <si>
    <t>90 Industrial Canal Rd</t>
  </si>
  <si>
    <t>36610</t>
  </si>
  <si>
    <t>City of Fort Meade (FL)</t>
  </si>
  <si>
    <t>521 4th St. NW</t>
  </si>
  <si>
    <t>LaPlata Electric Assoc</t>
  </si>
  <si>
    <t>45 Stewart St</t>
  </si>
  <si>
    <t>Durango</t>
  </si>
  <si>
    <t>81303</t>
  </si>
  <si>
    <t>City Electric Supply Mobile Central</t>
  </si>
  <si>
    <t>148-B East Interstate 65 Service Rd N</t>
  </si>
  <si>
    <t>HOLY CROSS ENERGY(Glenwood Springs)</t>
  </si>
  <si>
    <t>3799 CO-82</t>
  </si>
  <si>
    <t>Glenwood Springs</t>
  </si>
  <si>
    <t>81601</t>
  </si>
  <si>
    <t>MOUNTAIN VIEW ELEC ASSN</t>
  </si>
  <si>
    <t>1655 5th steer</t>
  </si>
  <si>
    <t>Limon</t>
  </si>
  <si>
    <t>80828</t>
  </si>
  <si>
    <t>Clay Electric Coop (FL)</t>
  </si>
  <si>
    <t>PO Box 308225 West Walker Dr.</t>
  </si>
  <si>
    <t>Keystone Heights</t>
  </si>
  <si>
    <t>32656</t>
  </si>
  <si>
    <t>Fort Collins Utilities</t>
  </si>
  <si>
    <t>700 Wood Street</t>
  </si>
  <si>
    <t>80522</t>
  </si>
  <si>
    <t>UNITED POWER INC(Brighton)</t>
  </si>
  <si>
    <t>500 Cooperative Way</t>
  </si>
  <si>
    <t>Intermountain Rural Electric Association</t>
  </si>
  <si>
    <t>5496 N US HWY 85</t>
  </si>
  <si>
    <t>Sedalia</t>
  </si>
  <si>
    <t>80135</t>
  </si>
  <si>
    <t>Sangre De Cristo Electric Association</t>
  </si>
  <si>
    <t>29780 N US Hwy 24</t>
  </si>
  <si>
    <t>Buena Vista</t>
  </si>
  <si>
    <t>81211</t>
  </si>
  <si>
    <t>Carrollton Municipal Utilities (MO)</t>
  </si>
  <si>
    <t>500 S. Main St.</t>
  </si>
  <si>
    <t>64633</t>
  </si>
  <si>
    <t>La Junta Municipal Utilities</t>
  </si>
  <si>
    <t>118 San Juan ave</t>
  </si>
  <si>
    <t>La Junta</t>
  </si>
  <si>
    <t>81050</t>
  </si>
  <si>
    <t>Sturgeon Electric Company (MYR GROUP)</t>
  </si>
  <si>
    <t>3804 E. Watkins St</t>
  </si>
  <si>
    <t>ANIXTER - Mattoon, IL</t>
  </si>
  <si>
    <t>Cleveland-Cliffs Inc.  Butler Works  (Formerly AK Steel)</t>
  </si>
  <si>
    <t>1 Armco Drive</t>
  </si>
  <si>
    <t>Lyndora</t>
  </si>
  <si>
    <t>16045</t>
  </si>
  <si>
    <t>Rochester Gas &amp; Electric</t>
  </si>
  <si>
    <t>89 East Ave</t>
  </si>
  <si>
    <t>14649</t>
  </si>
  <si>
    <t>SEMO Electric Coop (MO)</t>
  </si>
  <si>
    <t>1505 S Main St</t>
  </si>
  <si>
    <t>Poplar Bluff Municipal Utilities (MO)</t>
  </si>
  <si>
    <t>2901 Barron Rd</t>
  </si>
  <si>
    <t>Southeast Colorado Power</t>
  </si>
  <si>
    <t>27850 Harris road</t>
  </si>
  <si>
    <t>LaJunta</t>
  </si>
  <si>
    <t>Glenwood Springs Electric System</t>
  </si>
  <si>
    <t>2301 Wulfsohn Road</t>
  </si>
  <si>
    <t>Odessa Municipal Utilities (MO)</t>
  </si>
  <si>
    <t>900 W Dryden</t>
  </si>
  <si>
    <t>64076</t>
  </si>
  <si>
    <t>Central Missouri Electric Coop</t>
  </si>
  <si>
    <t>22702 N Hwy 65</t>
  </si>
  <si>
    <t>65302-0939</t>
  </si>
  <si>
    <t>City Electric Supply Ft. Walton</t>
  </si>
  <si>
    <t>66 Eglin Pkwy NE</t>
  </si>
  <si>
    <t>Marshall Municipal Utilities (MO)</t>
  </si>
  <si>
    <t>75 East Morgan</t>
  </si>
  <si>
    <t>65340</t>
  </si>
  <si>
    <t>Mayer Ft. Walton</t>
  </si>
  <si>
    <t>15 Shell Ave SE</t>
  </si>
  <si>
    <t>Vistra Energy</t>
  </si>
  <si>
    <t>1500 Eastport Plaza Drive</t>
  </si>
  <si>
    <t>62234</t>
  </si>
  <si>
    <t>KC Electric</t>
  </si>
  <si>
    <t>281 Main St</t>
  </si>
  <si>
    <t>80836</t>
  </si>
  <si>
    <t>Fort Morgan Utilities</t>
  </si>
  <si>
    <t>710 Railroad st</t>
  </si>
  <si>
    <t>Firelands Electric, Inc.</t>
  </si>
  <si>
    <t>7495 Industrial Parkway</t>
  </si>
  <si>
    <t>Lorain</t>
  </si>
  <si>
    <t>44053</t>
  </si>
  <si>
    <t>Team Fishel</t>
  </si>
  <si>
    <t>Suwanee Valley Electric Coop</t>
  </si>
  <si>
    <t>11350 100th St.</t>
  </si>
  <si>
    <t>Live Oak</t>
  </si>
  <si>
    <t>32060</t>
  </si>
  <si>
    <t>Withlacoochee River Electric</t>
  </si>
  <si>
    <t>14651 21st Street</t>
  </si>
  <si>
    <t>Dade City</t>
  </si>
  <si>
    <t>Mead &amp; White Electric</t>
  </si>
  <si>
    <t>9895 Red Arrow Highway</t>
  </si>
  <si>
    <t>Bridgman</t>
  </si>
  <si>
    <t>49106</t>
  </si>
  <si>
    <t>Gunnison Co Electric Assoc</t>
  </si>
  <si>
    <t>37250 W Hwy 50</t>
  </si>
  <si>
    <t>Gunnison</t>
  </si>
  <si>
    <t>81230-0180</t>
  </si>
  <si>
    <t>TECO (Tampa Electric)</t>
  </si>
  <si>
    <t>2200 East Sligh Avenue</t>
  </si>
  <si>
    <t>CORN BELT ENERGY CORP</t>
  </si>
  <si>
    <t>1 Energy Way</t>
  </si>
  <si>
    <t>61702</t>
  </si>
  <si>
    <t>Estes Park Light and Power Dept.</t>
  </si>
  <si>
    <t>615 Elm road</t>
  </si>
  <si>
    <t>Estes Park</t>
  </si>
  <si>
    <t>800517</t>
  </si>
  <si>
    <t>Highline Electric</t>
  </si>
  <si>
    <t>1300 S Interocean Ave</t>
  </si>
  <si>
    <t>Pike - Power Secure MH</t>
  </si>
  <si>
    <t>7898 Armstrong Rd</t>
  </si>
  <si>
    <t>32583</t>
  </si>
  <si>
    <t>City of Minden (LA)</t>
  </si>
  <si>
    <t>520 Broadway</t>
  </si>
  <si>
    <t>71058</t>
  </si>
  <si>
    <t>San Miguel Power Assoc</t>
  </si>
  <si>
    <t>1050 Main St</t>
  </si>
  <si>
    <t>Nucla</t>
  </si>
  <si>
    <t>81424</t>
  </si>
  <si>
    <t>FL Keys Electric Coop</t>
  </si>
  <si>
    <t>91600 Overseas Hwy</t>
  </si>
  <si>
    <t>Tavernier</t>
  </si>
  <si>
    <t>33070</t>
  </si>
  <si>
    <t>Hooper Corporation</t>
  </si>
  <si>
    <t>2030 Pennsylvania Ave</t>
  </si>
  <si>
    <t>Lawson State College</t>
  </si>
  <si>
    <t>3060 Wilson Road SW</t>
  </si>
  <si>
    <t>35221</t>
  </si>
  <si>
    <t>San Luis Valley REC</t>
  </si>
  <si>
    <t>3625 US Hwy 160 N</t>
  </si>
  <si>
    <t>Monte Vista</t>
  </si>
  <si>
    <t>81144</t>
  </si>
  <si>
    <t>Arizona Public Service Co. (APS)</t>
  </si>
  <si>
    <t>2121 W. Cheryl Dr.</t>
  </si>
  <si>
    <t>85021</t>
  </si>
  <si>
    <t>Grand Valley Rural Power Lines</t>
  </si>
  <si>
    <t>845 22nd Rd</t>
  </si>
  <si>
    <t>81505</t>
  </si>
  <si>
    <t>Marlow Marine</t>
  </si>
  <si>
    <t>4204  13th St Ct</t>
  </si>
  <si>
    <t>34221</t>
  </si>
  <si>
    <t>Midsouth Mechanical</t>
  </si>
  <si>
    <t>114 Corporate Park E Dr</t>
  </si>
  <si>
    <t>Montrose Environmental Solutions</t>
  </si>
  <si>
    <t>120 E. MLK Blvd</t>
  </si>
  <si>
    <t>33603</t>
  </si>
  <si>
    <t>Northstar Demolition- FL</t>
  </si>
  <si>
    <t>15760 West Poweline St</t>
  </si>
  <si>
    <t>Crystal River</t>
  </si>
  <si>
    <t>34428</t>
  </si>
  <si>
    <t>Omni Industrial</t>
  </si>
  <si>
    <t>5973 Miller Bluff Rd</t>
  </si>
  <si>
    <t>Owen Electric Inc.- Contractor</t>
  </si>
  <si>
    <t>1775 lakeside Av</t>
  </si>
  <si>
    <t>32084</t>
  </si>
  <si>
    <t>Pike Electric - Florida</t>
  </si>
  <si>
    <t>100 Pike Way</t>
  </si>
  <si>
    <t>Mount Airy</t>
  </si>
  <si>
    <t>27030</t>
  </si>
  <si>
    <t>Rex Lumber</t>
  </si>
  <si>
    <t>5299 Alabama St</t>
  </si>
  <si>
    <t>32449</t>
  </si>
  <si>
    <t>Stellar Energy</t>
  </si>
  <si>
    <t>3015 Hartley Rd</t>
  </si>
  <si>
    <t>Suncoast Electric</t>
  </si>
  <si>
    <t>7199 30thAv N</t>
  </si>
  <si>
    <t>St. Petesburg</t>
  </si>
  <si>
    <t>33710</t>
  </si>
  <si>
    <t>Transformer Exchange</t>
  </si>
  <si>
    <t>Universal Electric</t>
  </si>
  <si>
    <t>4400 Shelfer rd</t>
  </si>
  <si>
    <t>Talahassee</t>
  </si>
  <si>
    <t>32308</t>
  </si>
  <si>
    <t>WW Gay Mechanical-Fire Prot. Div.</t>
  </si>
  <si>
    <t>524 Stockton St</t>
  </si>
  <si>
    <t>Adams Cold Storage</t>
  </si>
  <si>
    <t>701 McKean St</t>
  </si>
  <si>
    <t>Auburndal</t>
  </si>
  <si>
    <t>Delaware County Electric Coop Inc  [DCEC]</t>
  </si>
  <si>
    <t>AERC Recycling Solutions</t>
  </si>
  <si>
    <t>4317-J Fortune Place</t>
  </si>
  <si>
    <t>Melbourne</t>
  </si>
  <si>
    <t>Boonville Municipal Commission</t>
  </si>
  <si>
    <t>Little Valley Electric Light Dept</t>
  </si>
  <si>
    <t>Electric Cities of Georgia</t>
  </si>
  <si>
    <t>1470 Riveredge Pkwy</t>
  </si>
  <si>
    <t>Georgia</t>
  </si>
  <si>
    <t>30328</t>
  </si>
  <si>
    <t>Entergy - Monroe, LA</t>
  </si>
  <si>
    <t>Murray City Power</t>
  </si>
  <si>
    <t>153 W 4800 S</t>
  </si>
  <si>
    <t>Murray City</t>
  </si>
  <si>
    <t>84107</t>
  </si>
  <si>
    <t>Lehi City Power</t>
  </si>
  <si>
    <t>560 Glen Carter Dr</t>
  </si>
  <si>
    <t>Lehi</t>
  </si>
  <si>
    <t>84043</t>
  </si>
  <si>
    <t>Provo City Energy Dept</t>
  </si>
  <si>
    <t>251 W 800 N</t>
  </si>
  <si>
    <t>Provo</t>
  </si>
  <si>
    <t>84601</t>
  </si>
  <si>
    <t>Electric Cooperatives of Mississippi</t>
  </si>
  <si>
    <t>665 Highland Colony Parkway</t>
  </si>
  <si>
    <t>Spanish Fork Public Works</t>
  </si>
  <si>
    <t>2160 North 175 East</t>
  </si>
  <si>
    <t>Spanish Fork</t>
  </si>
  <si>
    <t>84660</t>
  </si>
  <si>
    <t>Utility Maintenance Specialists</t>
  </si>
  <si>
    <t>4007 Vida Shaw Rd</t>
  </si>
  <si>
    <t>Jonesville Light and Water</t>
  </si>
  <si>
    <t>309 Division Street</t>
  </si>
  <si>
    <t>Seminole Electric Coop, Inc</t>
  </si>
  <si>
    <t>890 North Highway 17</t>
  </si>
  <si>
    <t>32177</t>
  </si>
  <si>
    <t>Farmers' Electric Coop Inc (NM)</t>
  </si>
  <si>
    <t>3701 Thornton St.</t>
  </si>
  <si>
    <t>Clovis</t>
  </si>
  <si>
    <t>88101</t>
  </si>
  <si>
    <t>Utility Transformer BR</t>
  </si>
  <si>
    <t>814 S. 1040 W.</t>
  </si>
  <si>
    <t>Town of Welsh</t>
  </si>
  <si>
    <t>201 South Elms St.</t>
  </si>
  <si>
    <t>Welsh</t>
  </si>
  <si>
    <t>70591</t>
  </si>
  <si>
    <t>City of Abbeville</t>
  </si>
  <si>
    <t>717 Veteran's Memorial Drive</t>
  </si>
  <si>
    <t>70511</t>
  </si>
  <si>
    <t>Southern Power Systems</t>
  </si>
  <si>
    <t>8501 Joor Rd</t>
  </si>
  <si>
    <t>70818</t>
  </si>
  <si>
    <t>Entergy</t>
  </si>
  <si>
    <t>Otero County Electric Coop Inc</t>
  </si>
  <si>
    <t>404 Burro Ave</t>
  </si>
  <si>
    <t>Cloudcroft</t>
  </si>
  <si>
    <t>88317</t>
  </si>
  <si>
    <t>Weakley County Municipal Electric System,[WEMES]</t>
  </si>
  <si>
    <t>11181 Highway 22</t>
  </si>
  <si>
    <t>MARTIN</t>
  </si>
  <si>
    <t>38237</t>
  </si>
  <si>
    <t>Ernest P. Breaux Electrical, LLC</t>
  </si>
  <si>
    <t>2812 Broken Arrow road</t>
  </si>
  <si>
    <t>Western Pneumatic</t>
  </si>
  <si>
    <t>2601 McDonald Ave</t>
  </si>
  <si>
    <t>EMS Electric</t>
  </si>
  <si>
    <t>905 Industrial Parkway</t>
  </si>
  <si>
    <t>Multi-States Electric (TGC)</t>
  </si>
  <si>
    <t>15223 Ireton Road</t>
  </si>
  <si>
    <t>Cornerstone Chemical Company</t>
  </si>
  <si>
    <t>10800 River Road</t>
  </si>
  <si>
    <t>Waggarman</t>
  </si>
  <si>
    <t>Anixter Power Solutions- Duson, LA</t>
  </si>
  <si>
    <t>2161 Cameron Street</t>
  </si>
  <si>
    <t>Duson</t>
  </si>
  <si>
    <t>70529</t>
  </si>
  <si>
    <t>Stewart &amp; Stevenson</t>
  </si>
  <si>
    <t>1133 1st Avenue EMDSI Bldg</t>
  </si>
  <si>
    <t>Trey Hebert</t>
  </si>
  <si>
    <t>14430 Brown Rd</t>
  </si>
  <si>
    <t>Baker</t>
  </si>
  <si>
    <t>70714</t>
  </si>
  <si>
    <t>Ted Hebert LLC</t>
  </si>
  <si>
    <t>Fisk Electric</t>
  </si>
  <si>
    <t>181 James Drive West</t>
  </si>
  <si>
    <t>St Rose</t>
  </si>
  <si>
    <t>70087</t>
  </si>
  <si>
    <t>Central Electric of Monroe</t>
  </si>
  <si>
    <t>300 Downing Pines Road</t>
  </si>
  <si>
    <t>71292</t>
  </si>
  <si>
    <t>City of Winnfield</t>
  </si>
  <si>
    <t>804 East  Lafayette</t>
  </si>
  <si>
    <t>Winnfield</t>
  </si>
  <si>
    <t>71483</t>
  </si>
  <si>
    <t>Eaton Corp - LA</t>
  </si>
  <si>
    <t>17100 Manchac Park Lane</t>
  </si>
  <si>
    <t>Louisiana College</t>
  </si>
  <si>
    <t>1140 College Drive</t>
  </si>
  <si>
    <t>Nicholls State University</t>
  </si>
  <si>
    <t>906 E 1st St.</t>
  </si>
  <si>
    <t>Thibodaux</t>
  </si>
  <si>
    <t>70301</t>
  </si>
  <si>
    <t>City of Wellington Electric Dept</t>
  </si>
  <si>
    <t>504 S. Blaine</t>
  </si>
  <si>
    <t>19424 Park Row, Ste 100</t>
  </si>
  <si>
    <t>77084</t>
  </si>
  <si>
    <t>Bayou Electrical Service</t>
  </si>
  <si>
    <t>1843 Peters Road</t>
  </si>
  <si>
    <t>Illinois Electric Cooperative [IEC]</t>
  </si>
  <si>
    <t>2 S Main St</t>
  </si>
  <si>
    <t>62694-1222</t>
  </si>
  <si>
    <t>Mayer Mobile</t>
  </si>
  <si>
    <t>4315 Halls Mill Rd</t>
  </si>
  <si>
    <t>Signal Fluid Solutions</t>
  </si>
  <si>
    <t>3403 Niki Way</t>
  </si>
  <si>
    <t>92507</t>
  </si>
  <si>
    <t>Brunswick EMC</t>
  </si>
  <si>
    <t>795 Ocean Hwy W</t>
  </si>
  <si>
    <t>Brunswick</t>
  </si>
  <si>
    <t>28462</t>
  </si>
  <si>
    <t>Horry EMC</t>
  </si>
  <si>
    <t>2774 Cultra Rd</t>
  </si>
  <si>
    <t>29528</t>
  </si>
  <si>
    <t>Santee Electric CoOp</t>
  </si>
  <si>
    <t>424 Sumter Hwy</t>
  </si>
  <si>
    <t>Kingstree</t>
  </si>
  <si>
    <t>29556</t>
  </si>
  <si>
    <t>Coastal Electric Co-Op</t>
  </si>
  <si>
    <t>2269 Jeffries Hwy</t>
  </si>
  <si>
    <t>Walterboro</t>
  </si>
  <si>
    <t>29488</t>
  </si>
  <si>
    <t>Palmetto Electric Coop</t>
  </si>
  <si>
    <t>Hardeeville</t>
  </si>
  <si>
    <t>29927</t>
  </si>
  <si>
    <t>Easley Combined Utilities</t>
  </si>
  <si>
    <t>150 Utility St</t>
  </si>
  <si>
    <t>Easley</t>
  </si>
  <si>
    <t>29641</t>
  </si>
  <si>
    <t>The Lemoine Company</t>
  </si>
  <si>
    <t>15555 Airline Highway</t>
  </si>
  <si>
    <t>Riceland-Jonesboro,AR</t>
  </si>
  <si>
    <t>Riceland</t>
  </si>
  <si>
    <t>Alexandria Armature Works Inc</t>
  </si>
  <si>
    <t>3412 Broadway Avenue</t>
  </si>
  <si>
    <t>71302</t>
  </si>
  <si>
    <t>Wathena Electric</t>
  </si>
  <si>
    <t>206 St Joseph St</t>
  </si>
  <si>
    <t>Wathena</t>
  </si>
  <si>
    <t>66090</t>
  </si>
  <si>
    <t>Plaquemine Parish</t>
  </si>
  <si>
    <t>59705 Bayou Road</t>
  </si>
  <si>
    <t>70765</t>
  </si>
  <si>
    <t>Offshore Energy</t>
  </si>
  <si>
    <t>Northway High Voltage &amp; Line</t>
  </si>
  <si>
    <t>3013 E Avenue H</t>
  </si>
  <si>
    <t>93535</t>
  </si>
  <si>
    <t>Michels</t>
  </si>
  <si>
    <t>5870 Fisher Ed</t>
  </si>
  <si>
    <t>East syracusw</t>
  </si>
  <si>
    <t>Welford Electric</t>
  </si>
  <si>
    <t>3288 Hickory Grove Rd.</t>
  </si>
  <si>
    <t>City of Woolstock</t>
  </si>
  <si>
    <t>101 Mission</t>
  </si>
  <si>
    <t>Woolstock</t>
  </si>
  <si>
    <t>50599</t>
  </si>
  <si>
    <t>Western Massachusetts Electric Co [WMECO]</t>
  </si>
  <si>
    <t>City Light &amp; Power West Point</t>
  </si>
  <si>
    <t>664LT Echelberger Road</t>
  </si>
  <si>
    <t>10996</t>
  </si>
  <si>
    <t>NSTAR Electric &amp; Gas Corp</t>
  </si>
  <si>
    <t>Calhoun County Electric Coop Association</t>
  </si>
  <si>
    <t>1015 Tonawanda St</t>
  </si>
  <si>
    <t>Rockwell City</t>
  </si>
  <si>
    <t>50579</t>
  </si>
  <si>
    <t>Colquitt EMC</t>
  </si>
  <si>
    <t>15 Rowland Drive</t>
  </si>
  <si>
    <t>31768</t>
  </si>
  <si>
    <t>Gowrie Municipal Utilities</t>
  </si>
  <si>
    <t>1102 Main St</t>
  </si>
  <si>
    <t>Gowrie</t>
  </si>
  <si>
    <t>50543</t>
  </si>
  <si>
    <t>Reading Mun Lght</t>
  </si>
  <si>
    <t>Farnhamville Municipal Utility</t>
  </si>
  <si>
    <t>325 Main St</t>
  </si>
  <si>
    <t>Farnhamville</t>
  </si>
  <si>
    <t>50538</t>
  </si>
  <si>
    <t>Calpine Geysers Plant</t>
  </si>
  <si>
    <t>11756 Socrates Mine Road</t>
  </si>
  <si>
    <t>95461</t>
  </si>
  <si>
    <t>Reading Municipal Light Dept  [RMLD]</t>
  </si>
  <si>
    <t>City of Amory</t>
  </si>
  <si>
    <t>129 Main Street North</t>
  </si>
  <si>
    <t>Peabody Mun. Light Plant</t>
  </si>
  <si>
    <t>201 Warren St</t>
  </si>
  <si>
    <t>Peabody</t>
  </si>
  <si>
    <t>1960</t>
  </si>
  <si>
    <t>Braintree Electric Dept.</t>
  </si>
  <si>
    <t>150 Potter Rd.</t>
  </si>
  <si>
    <t>Braintree</t>
  </si>
  <si>
    <t>Tetra Tech</t>
  </si>
  <si>
    <t>661 Andersen Drive</t>
  </si>
  <si>
    <t>15220</t>
  </si>
  <si>
    <t>Port Engineering</t>
  </si>
  <si>
    <t>Westfield Gas &amp; Electric Light Dept</t>
  </si>
  <si>
    <t>100 Elm St.</t>
  </si>
  <si>
    <t>1086</t>
  </si>
  <si>
    <t>Boylston Municipal Light Department</t>
  </si>
  <si>
    <t>Marblehead Muni Light Department</t>
  </si>
  <si>
    <t>80 Commerce St.</t>
  </si>
  <si>
    <t>Marblehead</t>
  </si>
  <si>
    <t>1945</t>
  </si>
  <si>
    <t>Mount Vernon Water and Electric (MO)</t>
  </si>
  <si>
    <t>319 E Dallas</t>
  </si>
  <si>
    <t>Noble Supply</t>
  </si>
  <si>
    <t>302 Weymouth Street</t>
  </si>
  <si>
    <t>Rockland</t>
  </si>
  <si>
    <t>2370</t>
  </si>
  <si>
    <t>Transformer Gaskets Components TGC</t>
  </si>
  <si>
    <t>491 Bowling Green Road</t>
  </si>
  <si>
    <t>39095</t>
  </si>
  <si>
    <t>Hudson Light and Power Department (MA)</t>
  </si>
  <si>
    <t>49 Forest Ave</t>
  </si>
  <si>
    <t>1749</t>
  </si>
  <si>
    <t>Littleton Elec Lt &amp;Wtr</t>
  </si>
  <si>
    <t>39 Ayer St.</t>
  </si>
  <si>
    <t>1460</t>
  </si>
  <si>
    <t>Rigling Electric Inc.</t>
  </si>
  <si>
    <t>3852 Cincinnati Brookville Road</t>
  </si>
  <si>
    <t>45013</t>
  </si>
  <si>
    <t>Michigan Sugar Company</t>
  </si>
  <si>
    <t>1343 Greenwood Street</t>
  </si>
  <si>
    <t>Norwood Municipal Light Dept</t>
  </si>
  <si>
    <t>Burlington electrical testing co</t>
  </si>
  <si>
    <t>300 cedar Ave</t>
  </si>
  <si>
    <t>Croydon</t>
  </si>
  <si>
    <t>19021</t>
  </si>
  <si>
    <t>Reedy Creek Energy Services</t>
  </si>
  <si>
    <t>5300 Center Dr</t>
  </si>
  <si>
    <t>Lake Buena Vista</t>
  </si>
  <si>
    <t>32830</t>
  </si>
  <si>
    <t>Shrewsbury Electric [SELCO]</t>
  </si>
  <si>
    <t>100 Maple Ave</t>
  </si>
  <si>
    <t>Concord Municipal Light Plant</t>
  </si>
  <si>
    <t>1175 Elm St.</t>
  </si>
  <si>
    <t>Masonite Corp.</t>
  </si>
  <si>
    <t>1001 S. 4th Avenue</t>
  </si>
  <si>
    <t>Pasadena Power and Light</t>
  </si>
  <si>
    <t>311 West Mountain St</t>
  </si>
  <si>
    <t>91109</t>
  </si>
  <si>
    <t>Rich Mountain EC</t>
  </si>
  <si>
    <t>515 Janssen Ave.</t>
  </si>
  <si>
    <t>71953</t>
  </si>
  <si>
    <t>OzarkS Electric Coop (AR)</t>
  </si>
  <si>
    <t>B&amp;B Transformer</t>
  </si>
  <si>
    <t>320 Scott Ave</t>
  </si>
  <si>
    <t>Mathes Electric Supply Ft. Walton</t>
  </si>
  <si>
    <t>4935, 58 Carson Dr NE</t>
  </si>
  <si>
    <t>City of Tarrant</t>
  </si>
  <si>
    <t>2533 Commerce Way</t>
  </si>
  <si>
    <t>Tarrant</t>
  </si>
  <si>
    <t>35217</t>
  </si>
  <si>
    <t>MW Industrial Services, Inc.</t>
  </si>
  <si>
    <t>1080 Sylacauga Fayetteville Hwy</t>
  </si>
  <si>
    <t>Sheffield Utilities</t>
  </si>
  <si>
    <t>300 N Nashville Ave</t>
  </si>
  <si>
    <t>Dakota Energy Cooperative, Inc. (SD)</t>
  </si>
  <si>
    <t>40294 US-14</t>
  </si>
  <si>
    <t>Huron</t>
  </si>
  <si>
    <t>57350</t>
  </si>
  <si>
    <t>North Attleborough Electric Dept [NAED]</t>
  </si>
  <si>
    <t>South Hadley Electric Light Dept</t>
  </si>
  <si>
    <t>85 Main St.</t>
  </si>
  <si>
    <t>South Hadley</t>
  </si>
  <si>
    <t>1075</t>
  </si>
  <si>
    <t>West Boylston Mun Light</t>
  </si>
  <si>
    <t>Sterling Mun. Light Dept.</t>
  </si>
  <si>
    <t>Cherryland Electric Coop</t>
  </si>
  <si>
    <t>5930 US Route 31 South</t>
  </si>
  <si>
    <t>Grawn</t>
  </si>
  <si>
    <t>49637</t>
  </si>
  <si>
    <t>Zeeland Board of Public Works</t>
  </si>
  <si>
    <t>350 E. Washington Avenue</t>
  </si>
  <si>
    <t>Zeeland</t>
  </si>
  <si>
    <t>49464</t>
  </si>
  <si>
    <t>Stephenson Department of Public Works</t>
  </si>
  <si>
    <t>W. 628 Samuel Street</t>
  </si>
  <si>
    <t>Stephenson</t>
  </si>
  <si>
    <t>49887</t>
  </si>
  <si>
    <t>South Haven Department of Public Works</t>
  </si>
  <si>
    <t>1199 Eighth Avenue</t>
  </si>
  <si>
    <t>South Haven</t>
  </si>
  <si>
    <t>49090</t>
  </si>
  <si>
    <t>Sierra Electric Coop</t>
  </si>
  <si>
    <t>610 NM-195, Elephant Butte, NM 87935</t>
  </si>
  <si>
    <t>Elephant Butte</t>
  </si>
  <si>
    <t>87935</t>
  </si>
  <si>
    <t>Saint Louis Municipal Electric</t>
  </si>
  <si>
    <t>701 Woodside Drive</t>
  </si>
  <si>
    <t>Saint Louis</t>
  </si>
  <si>
    <t>48880</t>
  </si>
  <si>
    <t>Yaffe Recycler</t>
  </si>
  <si>
    <t>1200 S G St</t>
  </si>
  <si>
    <t>Muskogee</t>
  </si>
  <si>
    <t>74403</t>
  </si>
  <si>
    <t>Petoskey Electric</t>
  </si>
  <si>
    <t>110 W. Sheridan Street</t>
  </si>
  <si>
    <t>Norway, MI Department of Power &amp; Light</t>
  </si>
  <si>
    <t>1000 Saginaw</t>
  </si>
  <si>
    <t>Norway</t>
  </si>
  <si>
    <t>49870</t>
  </si>
  <si>
    <t>HEPACO Birmingham</t>
  </si>
  <si>
    <t>5649 Miller Industrial Blvd</t>
  </si>
  <si>
    <t>Lowell Light &amp; Power Board</t>
  </si>
  <si>
    <t>127 N. Broadway St.</t>
  </si>
  <si>
    <t>Lowell</t>
  </si>
  <si>
    <t>49331</t>
  </si>
  <si>
    <t>Price Public Utilities (UT)</t>
  </si>
  <si>
    <t>185 E Main St</t>
  </si>
  <si>
    <t>Price</t>
  </si>
  <si>
    <t>84501</t>
  </si>
  <si>
    <t>Hart Energy Department</t>
  </si>
  <si>
    <t>3907 N. Oceana Drive</t>
  </si>
  <si>
    <t>Hart</t>
  </si>
  <si>
    <t>49420</t>
  </si>
  <si>
    <t>High Point Electric</t>
  </si>
  <si>
    <t>816 E Green St</t>
  </si>
  <si>
    <t>High Point</t>
  </si>
  <si>
    <t>27260</t>
  </si>
  <si>
    <t>Griffith Electric &amp; Construction Inc.</t>
  </si>
  <si>
    <t>5682 Research Drive  Suite E</t>
  </si>
  <si>
    <t>Huntington Beach</t>
  </si>
  <si>
    <t>92649</t>
  </si>
  <si>
    <t>Harbor Springs Municipal Utility</t>
  </si>
  <si>
    <t>204 E. Fairview</t>
  </si>
  <si>
    <t>Harbor Springs</t>
  </si>
  <si>
    <t>49740</t>
  </si>
  <si>
    <t>Southwestern Power Administration (OK)</t>
  </si>
  <si>
    <t>1 West Third Street, Suite 1600</t>
  </si>
  <si>
    <t>74103</t>
  </si>
  <si>
    <t>Escanaba Electric Department</t>
  </si>
  <si>
    <t>1711 Sheridan Road</t>
  </si>
  <si>
    <t>Escanaba</t>
  </si>
  <si>
    <t>49829</t>
  </si>
  <si>
    <t>Town of Waynesville</t>
  </si>
  <si>
    <t>129 Legion Dr</t>
  </si>
  <si>
    <t>28786</t>
  </si>
  <si>
    <t>McLeansboro Municipal Light and Water (IL)</t>
  </si>
  <si>
    <t>102 W. Main St.</t>
  </si>
  <si>
    <t>McLeansboro</t>
  </si>
  <si>
    <t>62859</t>
  </si>
  <si>
    <t>CARMI WATER &amp; LIGHT DEPT (IL)</t>
  </si>
  <si>
    <t>829 Church St</t>
  </si>
  <si>
    <t>Carmi</t>
  </si>
  <si>
    <t>62821</t>
  </si>
  <si>
    <t>City Of Newton</t>
  </si>
  <si>
    <t>101 North Street / Kaufman</t>
  </si>
  <si>
    <t>EnergyUnited</t>
  </si>
  <si>
    <t>567 Mocksville Hwy</t>
  </si>
  <si>
    <t>Statesville</t>
  </si>
  <si>
    <t>28625</t>
  </si>
  <si>
    <t>ML Electric</t>
  </si>
  <si>
    <t>15837 Stagg Street,</t>
  </si>
  <si>
    <t>Dowagiac Dept of Public Service</t>
  </si>
  <si>
    <t>241 S. Front Street</t>
  </si>
  <si>
    <t>Dowagiac</t>
  </si>
  <si>
    <t>49047</t>
  </si>
  <si>
    <t>Gulf Coast Electric Motor Service</t>
  </si>
  <si>
    <t>3810 Hopkins St</t>
  </si>
  <si>
    <t>All Phase Services, LLC</t>
  </si>
  <si>
    <t>528 Jenkins Rd. Blakely</t>
  </si>
  <si>
    <t>Crystal Falls Electrical Dept</t>
  </si>
  <si>
    <t>401 Superior Avenue</t>
  </si>
  <si>
    <t>Crystal Falls</t>
  </si>
  <si>
    <t>49920</t>
  </si>
  <si>
    <t>Croswell Municipal Light &amp; Power Dept</t>
  </si>
  <si>
    <t>120 E. Sanborne Avenue</t>
  </si>
  <si>
    <t>Croswell</t>
  </si>
  <si>
    <t>48422</t>
  </si>
  <si>
    <t>PA Rural Electric Assoc</t>
  </si>
  <si>
    <t>212 Locust st</t>
  </si>
  <si>
    <t>17108</t>
  </si>
  <si>
    <t>Baraga Municipal Water &amp; Light Plant</t>
  </si>
  <si>
    <t>100 Hemlock Street</t>
  </si>
  <si>
    <t>Baraga</t>
  </si>
  <si>
    <t>49908</t>
  </si>
  <si>
    <t>Okolona Electric Department  Justin Sullivan</t>
  </si>
  <si>
    <t>217 W. Main St.</t>
  </si>
  <si>
    <t>Okalona</t>
  </si>
  <si>
    <t>38860</t>
  </si>
  <si>
    <t>Eaton Rapids City Govt</t>
  </si>
  <si>
    <t>301 Market Street</t>
  </si>
  <si>
    <t>Eaton Rapids</t>
  </si>
  <si>
    <t>48827</t>
  </si>
  <si>
    <t>Friedland Industries</t>
  </si>
  <si>
    <t>T&amp;M Controls and Electric</t>
  </si>
  <si>
    <t>270 Commerce Park Ct.</t>
  </si>
  <si>
    <t>89032</t>
  </si>
  <si>
    <t>Carr &amp; Duff</t>
  </si>
  <si>
    <t>2100 Byberry rd</t>
  </si>
  <si>
    <t>Friedland Industry</t>
  </si>
  <si>
    <t>Peninsula Copper Industries, Inc.</t>
  </si>
  <si>
    <t>Ron Osburn- North Little Rock</t>
  </si>
  <si>
    <t>Wesley B Jones Electrical, Inc.</t>
  </si>
  <si>
    <t>P.O. Box 822585</t>
  </si>
  <si>
    <t>39182</t>
  </si>
  <si>
    <t>Portland Board of Light and Power</t>
  </si>
  <si>
    <t>259 Kent Street</t>
  </si>
  <si>
    <t>48875</t>
  </si>
  <si>
    <t>Maricopa Water District</t>
  </si>
  <si>
    <t>14825 W Grand Ave</t>
  </si>
  <si>
    <t>Surprise</t>
  </si>
  <si>
    <t>85374</t>
  </si>
  <si>
    <t>Louisiana Chemical Equipment Company</t>
  </si>
  <si>
    <t>11100 highway 225 PO Box 1490</t>
  </si>
  <si>
    <t>LaPorte</t>
  </si>
  <si>
    <t>77572</t>
  </si>
  <si>
    <t>IRBY Utilities - SAN</t>
  </si>
  <si>
    <t>5908 La Colonia</t>
  </si>
  <si>
    <t>Florida Power and Light</t>
  </si>
  <si>
    <t>2455 Port West Blvd</t>
  </si>
  <si>
    <t>Riviera Beach</t>
  </si>
  <si>
    <t>Electric Power Systems International, Inc (TGC)</t>
  </si>
  <si>
    <t>15 Millpark Court</t>
  </si>
  <si>
    <t>Maryland Heights</t>
  </si>
  <si>
    <t>63043</t>
  </si>
  <si>
    <t>Aberdeen Utilities (Danny Morris)</t>
  </si>
  <si>
    <t>612 West Commerce Street</t>
  </si>
  <si>
    <t>Twin Pines Coal</t>
  </si>
  <si>
    <t>14464 Rockhouse Rd.</t>
  </si>
  <si>
    <t>HomeWorks Tri-County Electric Coop Inc</t>
  </si>
  <si>
    <t>7973 E. Grand River</t>
  </si>
  <si>
    <t>Michigan Sugar</t>
  </si>
  <si>
    <t>122 Uptown Drive</t>
  </si>
  <si>
    <t>Monroe City Electric Department (Utah)</t>
  </si>
  <si>
    <t>10 N Main St</t>
  </si>
  <si>
    <t>84754</t>
  </si>
  <si>
    <t>Montana-Dakota Utilities</t>
  </si>
  <si>
    <t>400 N 4th St</t>
  </si>
  <si>
    <t>Bismark</t>
  </si>
  <si>
    <t>58501</t>
  </si>
  <si>
    <t>Capital Electric Coop Inc</t>
  </si>
  <si>
    <t>City of Anthon (IA)</t>
  </si>
  <si>
    <t>301 East Main Street</t>
  </si>
  <si>
    <t>Anthon</t>
  </si>
  <si>
    <t>51004</t>
  </si>
  <si>
    <t>Abbeville Public Utilities</t>
  </si>
  <si>
    <t>306 Cambridge St</t>
  </si>
  <si>
    <t>McCormick CPW</t>
  </si>
  <si>
    <t>912 S Main St</t>
  </si>
  <si>
    <t>McCormick</t>
  </si>
  <si>
    <t>29835</t>
  </si>
  <si>
    <t>Rock Hill Electric</t>
  </si>
  <si>
    <t>757 S Anderson Rd</t>
  </si>
  <si>
    <t>Rock Hill</t>
  </si>
  <si>
    <t>29730</t>
  </si>
  <si>
    <t>Flowell Electric Association</t>
  </si>
  <si>
    <t>495 North 3200 West</t>
  </si>
  <si>
    <t>Fillmore</t>
  </si>
  <si>
    <t>84631</t>
  </si>
  <si>
    <t>Mid-Carolina Electric Coop</t>
  </si>
  <si>
    <t>254 Longs Pond Rd</t>
  </si>
  <si>
    <t>29072</t>
  </si>
  <si>
    <t>Laurens Electric</t>
  </si>
  <si>
    <t>2254 Hwy 14</t>
  </si>
  <si>
    <t>Basin Electric Power Coop</t>
  </si>
  <si>
    <t>Florida Electrical Services</t>
  </si>
  <si>
    <t>171 E Robinson St</t>
  </si>
  <si>
    <t>Mt. Wheeler Power Inc</t>
  </si>
  <si>
    <t>1600 Great Basin Blvd</t>
  </si>
  <si>
    <t>Ely</t>
  </si>
  <si>
    <t>89301</t>
  </si>
  <si>
    <t>Stark International</t>
  </si>
  <si>
    <t>600 Archimedes Street</t>
  </si>
  <si>
    <t>New Glasgow</t>
  </si>
  <si>
    <t>B2H 2T3</t>
  </si>
  <si>
    <t>Ocala Utility Services</t>
  </si>
  <si>
    <t>1805 N. E. 30Th Ave. Building 400</t>
  </si>
  <si>
    <t>Lower Valley Energy</t>
  </si>
  <si>
    <t>236 N Washington</t>
  </si>
  <si>
    <t>83110</t>
  </si>
  <si>
    <t>Yampa Valley Electric</t>
  </si>
  <si>
    <t>2211 Elk River Rd</t>
  </si>
  <si>
    <t>Steamboat Springs</t>
  </si>
  <si>
    <t>80487</t>
  </si>
  <si>
    <t>Powder River Energy Corp</t>
  </si>
  <si>
    <t>221 W Main St</t>
  </si>
  <si>
    <t>Sundance</t>
  </si>
  <si>
    <t>82729</t>
  </si>
  <si>
    <t>AEP</t>
  </si>
  <si>
    <t>First Energy</t>
  </si>
  <si>
    <t>Washington Electric Coop Inc  [WECI]</t>
  </si>
  <si>
    <t>Alameda Municipal Power</t>
  </si>
  <si>
    <t>2000 Grand St.</t>
  </si>
  <si>
    <t>Alameda</t>
  </si>
  <si>
    <t>94501</t>
  </si>
  <si>
    <t>Holy Cross Energy(Gypsum)</t>
  </si>
  <si>
    <t>132 Buckhorn Valley Blvd</t>
  </si>
  <si>
    <t>Gypsum</t>
  </si>
  <si>
    <t>81637</t>
  </si>
  <si>
    <t>Klickitat PUD</t>
  </si>
  <si>
    <t>1313 S. Columbus ave</t>
  </si>
  <si>
    <t>Goldendale</t>
  </si>
  <si>
    <t>98620</t>
  </si>
  <si>
    <t>The Energy Cooperative</t>
  </si>
  <si>
    <t>1500 Granville Road</t>
  </si>
  <si>
    <t>43058</t>
  </si>
  <si>
    <t>McMinnville Water &amp; Light</t>
  </si>
  <si>
    <t>855 NE Marsh Lane</t>
  </si>
  <si>
    <t>97128</t>
  </si>
  <si>
    <t>Cuyahoga Falls Electric System</t>
  </si>
  <si>
    <t>2550 Bailey Road</t>
  </si>
  <si>
    <t>Cuyahoga Falls</t>
  </si>
  <si>
    <t>44221</t>
  </si>
  <si>
    <t>Bowling Green Utilities</t>
  </si>
  <si>
    <t>304 N. Church Street</t>
  </si>
  <si>
    <t>MISSOULA ELEC COOP</t>
  </si>
  <si>
    <t>1700 W Broadway St</t>
  </si>
  <si>
    <t>Missoula</t>
  </si>
  <si>
    <t>59808</t>
  </si>
  <si>
    <t>Westerville Electric Division</t>
  </si>
  <si>
    <t>139 E Broadway</t>
  </si>
  <si>
    <t>43081-1507</t>
  </si>
  <si>
    <t>Umatilla Electric COOP</t>
  </si>
  <si>
    <t>750 W Elm ave</t>
  </si>
  <si>
    <t>Hemiston</t>
  </si>
  <si>
    <t>Fall River Rural Electric Coop</t>
  </si>
  <si>
    <t>1150 N 3400 E</t>
  </si>
  <si>
    <t>Ashton</t>
  </si>
  <si>
    <t>83420</t>
  </si>
  <si>
    <t>Pleasant Hill Community Line</t>
  </si>
  <si>
    <t>2985 Inkpaduta Avenue</t>
  </si>
  <si>
    <t>Webster City</t>
  </si>
  <si>
    <t>50595</t>
  </si>
  <si>
    <t>Benton PUD</t>
  </si>
  <si>
    <t>2721 W 10th Ave</t>
  </si>
  <si>
    <t>Kenniwick</t>
  </si>
  <si>
    <t>99336</t>
  </si>
  <si>
    <t>Yellowstone Valley Electric</t>
  </si>
  <si>
    <t>150 Cooperative Way</t>
  </si>
  <si>
    <t>Huntley</t>
  </si>
  <si>
    <t>59037</t>
  </si>
  <si>
    <t>Buckeye Rural Electric Coop Inc</t>
  </si>
  <si>
    <t>City Electric Supply Milton</t>
  </si>
  <si>
    <t>3961 Avalon Blvd</t>
  </si>
  <si>
    <t>North America Service</t>
  </si>
  <si>
    <t>10 Paluso Dr</t>
  </si>
  <si>
    <t>Vision Electrical Contractors</t>
  </si>
  <si>
    <t>10165 NW 31st Ct</t>
  </si>
  <si>
    <t>Lincolnton Electric Dept</t>
  </si>
  <si>
    <t>128 Motz Ave</t>
  </si>
  <si>
    <t>Lincolnton</t>
  </si>
  <si>
    <t>28092</t>
  </si>
  <si>
    <t>Enviroserve (Formally Sunpro)</t>
  </si>
  <si>
    <t>7640 Whipple Ave. NW</t>
  </si>
  <si>
    <t>44720</t>
  </si>
  <si>
    <t>South Central Power Co.</t>
  </si>
  <si>
    <t>2780 Coonpath Road Northeast</t>
  </si>
  <si>
    <t>43130-0250</t>
  </si>
  <si>
    <t>Blue Ridge Electric CoOp</t>
  </si>
  <si>
    <t>734 W Main St</t>
  </si>
  <si>
    <t>Pickens</t>
  </si>
  <si>
    <t>29671</t>
  </si>
  <si>
    <t>Arizona G&amp;T Cooperatives</t>
  </si>
  <si>
    <t>1000 S. Highway 80</t>
  </si>
  <si>
    <t>85602</t>
  </si>
  <si>
    <t>Pacific County PUD 2</t>
  </si>
  <si>
    <t>405 Duryea St.</t>
  </si>
  <si>
    <t>Raymond</t>
  </si>
  <si>
    <t>98577</t>
  </si>
  <si>
    <t>Douglas County PUD</t>
  </si>
  <si>
    <t>1151 Valley Mall Pkwy</t>
  </si>
  <si>
    <t>East Wenatchee</t>
  </si>
  <si>
    <t>98802</t>
  </si>
  <si>
    <t>Independence Excavating</t>
  </si>
  <si>
    <t>5720 Schaaf Road</t>
  </si>
  <si>
    <t>Columbia River PUD</t>
  </si>
  <si>
    <t>64001 Columbia River Hwy</t>
  </si>
  <si>
    <t>Saint Helens</t>
  </si>
  <si>
    <t>97051</t>
  </si>
  <si>
    <t>Salem Electric</t>
  </si>
  <si>
    <t>633 7th street NW</t>
  </si>
  <si>
    <t>97304</t>
  </si>
  <si>
    <t>Central Electric Coop (SD)</t>
  </si>
  <si>
    <t>25487 403rd Ave</t>
  </si>
  <si>
    <t>57301</t>
  </si>
  <si>
    <t>Lehigh Hanson Cement</t>
  </si>
  <si>
    <t>700  25th Street NW</t>
  </si>
  <si>
    <t>Mason City</t>
  </si>
  <si>
    <t>50401</t>
  </si>
  <si>
    <t>WUTV Fox-29 TV</t>
  </si>
  <si>
    <t>699 Hertel Avenue</t>
  </si>
  <si>
    <t>14207</t>
  </si>
  <si>
    <t>Orcas Power &amp; Light Co-Op</t>
  </si>
  <si>
    <t>183 Mt Baker Rd</t>
  </si>
  <si>
    <t>Eastsound</t>
  </si>
  <si>
    <t>98245</t>
  </si>
  <si>
    <t>Florida Department of Corrections - FDC</t>
  </si>
  <si>
    <t>501 S Calhoun St</t>
  </si>
  <si>
    <t>Jackson Energy Authority (JEA)</t>
  </si>
  <si>
    <t>320 US Highway 45 Bypass</t>
  </si>
  <si>
    <t>Humboldt Utilities</t>
  </si>
  <si>
    <t>207 S 13th Avenue</t>
  </si>
  <si>
    <t>Milan Public Utilities (TN)</t>
  </si>
  <si>
    <t>1085 2nd Street</t>
  </si>
  <si>
    <t>MIlan</t>
  </si>
  <si>
    <t>38358</t>
  </si>
  <si>
    <t>Trenton Light and Water Department</t>
  </si>
  <si>
    <t>EML - Electronic Metrology Laboratory LLC</t>
  </si>
  <si>
    <t>318 Seaboard Ln #318</t>
  </si>
  <si>
    <t>Centralists Public Works</t>
  </si>
  <si>
    <t>1100 N. Tower Abe</t>
  </si>
  <si>
    <t>Centralists</t>
  </si>
  <si>
    <t>Phoenix Communities</t>
  </si>
  <si>
    <t>1330 Charlestown rd</t>
  </si>
  <si>
    <t>Pepco</t>
  </si>
  <si>
    <t>33210 Lakeland Blvd.</t>
  </si>
  <si>
    <t>44095</t>
  </si>
  <si>
    <t>Maine Technical Services</t>
  </si>
  <si>
    <t>8283 Seneca Turnpick</t>
  </si>
  <si>
    <t>13323</t>
  </si>
  <si>
    <t>Dyersburg Electric System</t>
  </si>
  <si>
    <t>211 E. Court St.</t>
  </si>
  <si>
    <t>Dyersburg</t>
  </si>
  <si>
    <t>38025</t>
  </si>
  <si>
    <t>CED-Sefco Electric-Vicksburg</t>
  </si>
  <si>
    <t>150 Count Lane</t>
  </si>
  <si>
    <t>Union City Energy Authority (TN)</t>
  </si>
  <si>
    <t>312 North Division Street</t>
  </si>
  <si>
    <t>38261</t>
  </si>
  <si>
    <t>Covington Electric System</t>
  </si>
  <si>
    <t>1469 South Main Street</t>
  </si>
  <si>
    <t>38019</t>
  </si>
  <si>
    <t>CBRE</t>
  </si>
  <si>
    <t>655 Papermill Rd</t>
  </si>
  <si>
    <t>Brownsville Utility Department</t>
  </si>
  <si>
    <t>75 N. Lafayette Ave.</t>
  </si>
  <si>
    <t>Brownsville</t>
  </si>
  <si>
    <t>38012</t>
  </si>
  <si>
    <t>Bluestone Environmental</t>
  </si>
  <si>
    <t>196 Beach Lake Highway</t>
  </si>
  <si>
    <t>Homesdale</t>
  </si>
  <si>
    <t>18431</t>
  </si>
  <si>
    <t>Patriot Coal Corporation</t>
  </si>
  <si>
    <t>Doe Run Company</t>
  </si>
  <si>
    <t>2527 Market St</t>
  </si>
  <si>
    <t>Marcus hook energy</t>
  </si>
  <si>
    <t>100 green st</t>
  </si>
  <si>
    <t>Marcus hook</t>
  </si>
  <si>
    <t>19061</t>
  </si>
  <si>
    <t>Southwest Tenn EMC</t>
  </si>
  <si>
    <t>1000 East Main Street</t>
  </si>
  <si>
    <t>Tri-County Electric Membership Corp  [TCEMC]</t>
  </si>
  <si>
    <t>405 College St.</t>
  </si>
  <si>
    <t>37083</t>
  </si>
  <si>
    <t>Collins Electric Co, Inc</t>
  </si>
  <si>
    <t>53 Second Ave</t>
  </si>
  <si>
    <t>1020</t>
  </si>
  <si>
    <t>Tradebe Environmental Services, LLC</t>
  </si>
  <si>
    <t>1433 E. 83rd Avenue  Suite 200</t>
  </si>
  <si>
    <t>Merrillville</t>
  </si>
  <si>
    <t>46410</t>
  </si>
  <si>
    <t>PSC Environmental</t>
  </si>
  <si>
    <t>1411 W. Gaylord St</t>
  </si>
  <si>
    <t>Hemlock Fairground</t>
  </si>
  <si>
    <t>7370 Fair St.  po box 263</t>
  </si>
  <si>
    <t>Hemlock</t>
  </si>
  <si>
    <t>14466</t>
  </si>
  <si>
    <t>Tri County EMC</t>
  </si>
  <si>
    <t>310 W. Clinton St.</t>
  </si>
  <si>
    <t>31032</t>
  </si>
  <si>
    <t>Melt Solutions</t>
  </si>
  <si>
    <t>201 East Charles Street</t>
  </si>
  <si>
    <t>46952</t>
  </si>
  <si>
    <t>Lansdale Borough Utilities</t>
  </si>
  <si>
    <t>1 Vine St</t>
  </si>
  <si>
    <t>Lansdale</t>
  </si>
  <si>
    <t>19446-3601</t>
  </si>
  <si>
    <t>Arcadis</t>
  </si>
  <si>
    <t>50 Fountain Plaza Suite 600</t>
  </si>
  <si>
    <t>14202</t>
  </si>
  <si>
    <t>Arnot Ogden Medical Center</t>
  </si>
  <si>
    <t>600 Roe Ave</t>
  </si>
  <si>
    <t>14905</t>
  </si>
  <si>
    <t>WestRock Distribution Center (Valley)</t>
  </si>
  <si>
    <t>1479 Valley Industrial Blvd</t>
  </si>
  <si>
    <t>Valley</t>
  </si>
  <si>
    <t>36854</t>
  </si>
  <si>
    <t>Nalara</t>
  </si>
  <si>
    <t>309 Williamson Ave</t>
  </si>
  <si>
    <t>36804</t>
  </si>
  <si>
    <t>Swan Electric Company, Inc.</t>
  </si>
  <si>
    <t>6133 Aurelius Road</t>
  </si>
  <si>
    <t>48911</t>
  </si>
  <si>
    <t>Kiemle-Hankins</t>
  </si>
  <si>
    <t>P. O. Box 507</t>
  </si>
  <si>
    <t>43697</t>
  </si>
  <si>
    <t>Jiminy Peak Mountain</t>
  </si>
  <si>
    <t>37 Corey rd</t>
  </si>
  <si>
    <t>Hancock</t>
  </si>
  <si>
    <t>1237</t>
  </si>
  <si>
    <t>Nashville Electric</t>
  </si>
  <si>
    <t>1214 Church St.</t>
  </si>
  <si>
    <t>37246</t>
  </si>
  <si>
    <t>NextEra Energy</t>
  </si>
  <si>
    <t>626 Lafayette Rd.</t>
  </si>
  <si>
    <t>Seabrook</t>
  </si>
  <si>
    <t>3874</t>
  </si>
  <si>
    <t>Sweetwater Utilities Board</t>
  </si>
  <si>
    <t>310 East Walnut Street</t>
  </si>
  <si>
    <t>Sweetwater</t>
  </si>
  <si>
    <t>37874</t>
  </si>
  <si>
    <t>Volunteer Energy Coop (VEC)</t>
  </si>
  <si>
    <t>18359 Tennessee 58</t>
  </si>
  <si>
    <t>37322</t>
  </si>
  <si>
    <t>Meriwether Lewis Electric Coop [MLEC]</t>
  </si>
  <si>
    <t>1625 Highway 100</t>
  </si>
  <si>
    <t>37033</t>
  </si>
  <si>
    <t>DICKSON ELECTRIC DEPT</t>
  </si>
  <si>
    <t>236 Cowan Rd.</t>
  </si>
  <si>
    <t>Dickson</t>
  </si>
  <si>
    <t>37056</t>
  </si>
  <si>
    <t>Dunn Electrical Service</t>
  </si>
  <si>
    <t>1448 Madison Street</t>
  </si>
  <si>
    <t>Hankook Tire</t>
  </si>
  <si>
    <t>3950 International Blvd.</t>
  </si>
  <si>
    <t>The City of Buford</t>
  </si>
  <si>
    <t>Buford</t>
  </si>
  <si>
    <t>Carroll County Electric Department (TN)</t>
  </si>
  <si>
    <t>103 West Paris Street</t>
  </si>
  <si>
    <t>38344</t>
  </si>
  <si>
    <t>Bolivar Energy Authority</t>
  </si>
  <si>
    <t>815 Tennessee Street</t>
  </si>
  <si>
    <t>38008</t>
  </si>
  <si>
    <t>Fort Loudoun Electric Coop [FLEC]</t>
  </si>
  <si>
    <t>116 Tellico Port Rd</t>
  </si>
  <si>
    <t>Vonore</t>
  </si>
  <si>
    <t>37885</t>
  </si>
  <si>
    <t>Maryville City Utilities</t>
  </si>
  <si>
    <t>Sevierville Electric System</t>
  </si>
  <si>
    <t>302 Bruce Street</t>
  </si>
  <si>
    <t>Sevierville</t>
  </si>
  <si>
    <t>37862</t>
  </si>
  <si>
    <t>Appalachian Electric Cooperative</t>
  </si>
  <si>
    <t>1109 Hill Dr.</t>
  </si>
  <si>
    <t>New Market</t>
  </si>
  <si>
    <t>37820</t>
  </si>
  <si>
    <t>Alcoa Electric Dept</t>
  </si>
  <si>
    <t>725 Universal Street</t>
  </si>
  <si>
    <t>Solvay Electric Dept</t>
  </si>
  <si>
    <t>507 Charles Ave.</t>
  </si>
  <si>
    <t>Union Power</t>
  </si>
  <si>
    <t>1525 N rocky RIver Rd</t>
  </si>
  <si>
    <t>28110</t>
  </si>
  <si>
    <t>CLEVELAND UTILITIES</t>
  </si>
  <si>
    <t>2450 Guthrie Avenue Northwest</t>
  </si>
  <si>
    <t>37311</t>
  </si>
  <si>
    <t>A Contact Electric Rentals LP (TGC)</t>
  </si>
  <si>
    <t>2217 Aldine Bender Road</t>
  </si>
  <si>
    <t>Dayton Electric Department</t>
  </si>
  <si>
    <t>399 1st Ave</t>
  </si>
  <si>
    <t>37321</t>
  </si>
  <si>
    <t>Athens Utilities Board</t>
  </si>
  <si>
    <t>100 Englewood Road</t>
  </si>
  <si>
    <t>37371</t>
  </si>
  <si>
    <t>Rockwood Electric Utility (TN)</t>
  </si>
  <si>
    <t>341 W Rockwood Street</t>
  </si>
  <si>
    <t>37854</t>
  </si>
  <si>
    <t>Morristown Utility Commission</t>
  </si>
  <si>
    <t>441 W. Main St.</t>
  </si>
  <si>
    <t>Morristown</t>
  </si>
  <si>
    <t>14285</t>
  </si>
  <si>
    <t>McCall-Thomas Engineering Co.</t>
  </si>
  <si>
    <t>Oak Ridge Electric Division</t>
  </si>
  <si>
    <t>100 Woodbury Lane</t>
  </si>
  <si>
    <t>Plateau Electric Coop</t>
  </si>
  <si>
    <t>16200 Scott Highway</t>
  </si>
  <si>
    <t>Oneida</t>
  </si>
  <si>
    <t>37841</t>
  </si>
  <si>
    <t>Princeton Municipal Light Dept.</t>
  </si>
  <si>
    <t>168 Worcester Rd</t>
  </si>
  <si>
    <t>1541</t>
  </si>
  <si>
    <t>Newport Utilities Board</t>
  </si>
  <si>
    <t>114 Willis Road</t>
  </si>
  <si>
    <t>37821</t>
  </si>
  <si>
    <t>LaFollette Utilities</t>
  </si>
  <si>
    <t>302 N. Tennessee Ave</t>
  </si>
  <si>
    <t>LaFollette</t>
  </si>
  <si>
    <t>21495</t>
  </si>
  <si>
    <t>Elizabethton Electric System  [EES]</t>
  </si>
  <si>
    <t>400 Hatcher Lane</t>
  </si>
  <si>
    <t>Elizabethton</t>
  </si>
  <si>
    <t>25582</t>
  </si>
  <si>
    <t>Clinton Utilities Board (TN)</t>
  </si>
  <si>
    <t>1001 Charles G Seivers Blvd</t>
  </si>
  <si>
    <t>Powell Valley Electric Coop  [PVA]</t>
  </si>
  <si>
    <t>325 Straight Creek Rd.</t>
  </si>
  <si>
    <t>New Tazewell</t>
  </si>
  <si>
    <t>28965</t>
  </si>
  <si>
    <t>Caney Fork Electric Coop Inc</t>
  </si>
  <si>
    <t>920 Smithville Hwy</t>
  </si>
  <si>
    <t>30344</t>
  </si>
  <si>
    <t>Mountain Electric Coop</t>
  </si>
  <si>
    <t>604 S. Church St.</t>
  </si>
  <si>
    <t>Mountain City</t>
  </si>
  <si>
    <t>31994</t>
  </si>
  <si>
    <t>Atlantic Transformer Services</t>
  </si>
  <si>
    <t>Bayville</t>
  </si>
  <si>
    <t>Bristol Tennessee Essential Services [BTES]</t>
  </si>
  <si>
    <t>2470 Volunteer Parkway</t>
  </si>
  <si>
    <t>37620</t>
  </si>
  <si>
    <t>Lenoir City Utilities Board [LCUB]</t>
  </si>
  <si>
    <t>7698 Creekwood Park Boulevard</t>
  </si>
  <si>
    <t>Lenoir City</t>
  </si>
  <si>
    <t>37771</t>
  </si>
  <si>
    <t>Brozelco, Inc.</t>
  </si>
  <si>
    <t>229 Dunavant Drive</t>
  </si>
  <si>
    <t>37853</t>
  </si>
  <si>
    <t>Greeneville Light &amp; Power</t>
  </si>
  <si>
    <t>106 Wren Street</t>
  </si>
  <si>
    <t>Greeneville</t>
  </si>
  <si>
    <t>37745</t>
  </si>
  <si>
    <t>Dakota American Transformer (TGC)</t>
  </si>
  <si>
    <t>1000 W. Elm Avenue</t>
  </si>
  <si>
    <t>Flandreau</t>
  </si>
  <si>
    <t>57028</t>
  </si>
  <si>
    <t>Johnson City Power Board  [JCPB]</t>
  </si>
  <si>
    <t>350 Christian Church Road</t>
  </si>
  <si>
    <t>Johnson City</t>
  </si>
  <si>
    <t>37615</t>
  </si>
  <si>
    <t>Knoxville Utilities Board</t>
  </si>
  <si>
    <t>Middlebrook Pk WB @ KUB</t>
  </si>
  <si>
    <t>37921</t>
  </si>
  <si>
    <t>Loudon Utilities</t>
  </si>
  <si>
    <t>2323 Keene Street</t>
  </si>
  <si>
    <t>Loudon</t>
  </si>
  <si>
    <t>37774</t>
  </si>
  <si>
    <t>Chickasaw Electric Coop</t>
  </si>
  <si>
    <t>17970 Highway 64 East</t>
  </si>
  <si>
    <t>Pulaski Electric System</t>
  </si>
  <si>
    <t>400 West Shoal Street</t>
  </si>
  <si>
    <t>Pulaski</t>
  </si>
  <si>
    <t>38478</t>
  </si>
  <si>
    <t>Tennessee Valley Electric Cooperative, Inc.</t>
  </si>
  <si>
    <t>590 Florence Rd.</t>
  </si>
  <si>
    <t>Paris Board of Public Utilities  [PAR]</t>
  </si>
  <si>
    <t>4047 State Highway 218 Bypass</t>
  </si>
  <si>
    <t>Lexington Electric System (TN)</t>
  </si>
  <si>
    <t>280 Factory Drive</t>
  </si>
  <si>
    <t>37033-0240</t>
  </si>
  <si>
    <t>Columbia Power &amp; Water Systems (TN)</t>
  </si>
  <si>
    <t>201 Pickens Lane</t>
  </si>
  <si>
    <t>38401</t>
  </si>
  <si>
    <t>Murfreesboro Electric Dept</t>
  </si>
  <si>
    <t>205 N. Walnut street</t>
  </si>
  <si>
    <t>Murfreesboro</t>
  </si>
  <si>
    <t>37130</t>
  </si>
  <si>
    <t>Duck River EMC</t>
  </si>
  <si>
    <t>Cumberland Electric Membership Corp  [CEMC]</t>
  </si>
  <si>
    <t>1940 Madison Street</t>
  </si>
  <si>
    <t>Middle Tennessee Electric Membership Corp [METEMC]</t>
  </si>
  <si>
    <t>555 New Salem Road</t>
  </si>
  <si>
    <t>37129</t>
  </si>
  <si>
    <t>Amarillo Electric Service (TGC)</t>
  </si>
  <si>
    <t>201 South Shore Drive</t>
  </si>
  <si>
    <t>79118</t>
  </si>
  <si>
    <t>American Lubricants</t>
  </si>
  <si>
    <t>Consolidated Electrical Distribution</t>
  </si>
  <si>
    <t>Planned Systems International Inc</t>
  </si>
  <si>
    <t>3717 Columbia Pike</t>
  </si>
  <si>
    <t>22204</t>
  </si>
  <si>
    <t>Ace Bolt &amp; Screw</t>
  </si>
  <si>
    <t>530 Julienne St</t>
  </si>
  <si>
    <t>Mississippi</t>
  </si>
  <si>
    <t>Power Solutions, LLC</t>
  </si>
  <si>
    <t>Oconee EMC</t>
  </si>
  <si>
    <t>Clark County Rural Electric Membership Corp</t>
  </si>
  <si>
    <t>7810 State Rd 60</t>
  </si>
  <si>
    <t>Sellersburg</t>
  </si>
  <si>
    <t>47172</t>
  </si>
  <si>
    <t>Harrison County REMC</t>
  </si>
  <si>
    <t>1165 Old Forest Rd</t>
  </si>
  <si>
    <t>Corydon</t>
  </si>
  <si>
    <t>47112</t>
  </si>
  <si>
    <t>h.c. Zang Agency, Inc.</t>
  </si>
  <si>
    <t>6204 Goodrich Rd</t>
  </si>
  <si>
    <t>Clarence Center</t>
  </si>
  <si>
    <t>14032</t>
  </si>
  <si>
    <t>Altamaha EMC</t>
  </si>
  <si>
    <t>30436</t>
  </si>
  <si>
    <t>Ensafe</t>
  </si>
  <si>
    <t>220 Athens Way</t>
  </si>
  <si>
    <t>37228</t>
  </si>
  <si>
    <t>Richmond Power and Light</t>
  </si>
  <si>
    <t>2000 US Hwy 27 So</t>
  </si>
  <si>
    <t>47374</t>
  </si>
  <si>
    <t>Tipmont Rural Electric Membership Corp</t>
  </si>
  <si>
    <t>403 S. Main St.</t>
  </si>
  <si>
    <t>iN</t>
  </si>
  <si>
    <t>Triple H Specialty of AL</t>
  </si>
  <si>
    <t>105 Waits Dr</t>
  </si>
  <si>
    <t>Jackson County REMC</t>
  </si>
  <si>
    <t>274 E. Base Rd</t>
  </si>
  <si>
    <t>Hendricks Power Coop</t>
  </si>
  <si>
    <t>86 N CR-500 E</t>
  </si>
  <si>
    <t>46123</t>
  </si>
  <si>
    <t>City of Prescott, AR</t>
  </si>
  <si>
    <t>118 W. Elm St.</t>
  </si>
  <si>
    <t>Southeastern Indiana Rural Elec Membership Corp [SEIREMC]</t>
  </si>
  <si>
    <t>712 South Buckeye St.</t>
  </si>
  <si>
    <t>Osgood</t>
  </si>
  <si>
    <t>47037</t>
  </si>
  <si>
    <t>Peabody Energy</t>
  </si>
  <si>
    <t>7100 Eagle Crest Blvd</t>
  </si>
  <si>
    <t>47715</t>
  </si>
  <si>
    <t>Jay County Rural Electric Membership Corp</t>
  </si>
  <si>
    <t>484 S 200 W</t>
  </si>
  <si>
    <t>47371</t>
  </si>
  <si>
    <t>Whitewater Valley Rural Electric Membership Corp</t>
  </si>
  <si>
    <t>101 BROWNSVILLE AVE</t>
  </si>
  <si>
    <t>47353</t>
  </si>
  <si>
    <t>Reece Oil/Co-alliance</t>
  </si>
  <si>
    <t>5250 East US Highway 36 - Building 1000</t>
  </si>
  <si>
    <t>Prairie Power Inc.</t>
  </si>
  <si>
    <t>3130 Pleasant Run</t>
  </si>
  <si>
    <t>62711</t>
  </si>
  <si>
    <t>CCC Group</t>
  </si>
  <si>
    <t>1652 E. Broadway Avenue</t>
  </si>
  <si>
    <t>Coles-Moultrie Electric Coop</t>
  </si>
  <si>
    <t>104 Dewitt Ave</t>
  </si>
  <si>
    <t>61938-0709</t>
  </si>
  <si>
    <t>NINE STAR CONNECT</t>
  </si>
  <si>
    <t>Liquid Waste Removal</t>
  </si>
  <si>
    <t>500 Polk St.</t>
  </si>
  <si>
    <t>46143</t>
  </si>
  <si>
    <t>Waynetown Municipal Electric Dept</t>
  </si>
  <si>
    <t>Lower Mount Bethel Energy</t>
  </si>
  <si>
    <t>6079 DePues Ferry Road</t>
  </si>
  <si>
    <t>18013</t>
  </si>
  <si>
    <t>Winski Brothers Inc</t>
  </si>
  <si>
    <t>Fields Environmental, Inc.</t>
  </si>
  <si>
    <t>1309 West Vernal Pike</t>
  </si>
  <si>
    <t>Rural Electric Convenience Cooperative Co.</t>
  </si>
  <si>
    <t>3973 W State Rte 104</t>
  </si>
  <si>
    <t>62615-0019</t>
  </si>
  <si>
    <t>Sunbelt Transformer</t>
  </si>
  <si>
    <t>2063 Blount Rd.</t>
  </si>
  <si>
    <t>Huston Electric</t>
  </si>
  <si>
    <t>2723 Old Romney Road</t>
  </si>
  <si>
    <t>47909</t>
  </si>
  <si>
    <t>Western Oil Inc</t>
  </si>
  <si>
    <t>1 Duchess Way</t>
  </si>
  <si>
    <t>2865</t>
  </si>
  <si>
    <t>Indiana Railroad Commission</t>
  </si>
  <si>
    <t>Invironmental Technologies LLC</t>
  </si>
  <si>
    <t>MasterBrand</t>
  </si>
  <si>
    <t>Normet; Division of TVF Inc.</t>
  </si>
  <si>
    <t>NWM</t>
  </si>
  <si>
    <t>REA</t>
  </si>
  <si>
    <t>RISING SUN UTILITIES</t>
  </si>
  <si>
    <t>Southern Indiana Recycling</t>
  </si>
  <si>
    <t>Campbell Soup - Napolean, OH</t>
  </si>
  <si>
    <t>Napolean</t>
  </si>
  <si>
    <t>Underwood Machine Transport</t>
  </si>
  <si>
    <t>940 W Troy Ave</t>
  </si>
  <si>
    <t>46225</t>
  </si>
  <si>
    <t>Harold K Scholz Co.</t>
  </si>
  <si>
    <t>7800 Serum Ave</t>
  </si>
  <si>
    <t>Ralston</t>
  </si>
  <si>
    <t>68127</t>
  </si>
  <si>
    <t>Monroe County Electric Coop  [MCEC] (IL)</t>
  </si>
  <si>
    <t>6132 State Route 3</t>
  </si>
  <si>
    <t>WALKERTON UTILITIES</t>
  </si>
  <si>
    <t>Newkirk Electric Associates, Inc</t>
  </si>
  <si>
    <t>1875 Roberts Street</t>
  </si>
  <si>
    <t>Delaware County Fairgrounds</t>
  </si>
  <si>
    <t>Auburn (IN) Electric Department</t>
  </si>
  <si>
    <t>5066 Co. Rd. 29</t>
  </si>
  <si>
    <t>46706</t>
  </si>
  <si>
    <t>PSARA Technologies, INC</t>
  </si>
  <si>
    <t>1550 W. Third Street</t>
  </si>
  <si>
    <t>Williamsport Electric Light &amp; Power</t>
  </si>
  <si>
    <t>29 North Monroe Street</t>
  </si>
  <si>
    <t>Kankakee Valley Rural Electric Membership Corp [KVREMC]</t>
  </si>
  <si>
    <t>8642 W US Hwy 30</t>
  </si>
  <si>
    <t>Wanatah</t>
  </si>
  <si>
    <t>46390</t>
  </si>
  <si>
    <t>Anderson Columbia Co Inc</t>
  </si>
  <si>
    <t>950 Business Park Rd</t>
  </si>
  <si>
    <t>32343</t>
  </si>
  <si>
    <t>Cemex - St Catherine Mine</t>
  </si>
  <si>
    <t>3919 CR 273</t>
  </si>
  <si>
    <t>Bedrock Resources - Ocala hdqrted, mines in Sumterville</t>
  </si>
  <si>
    <t>2441 King St</t>
  </si>
  <si>
    <t>Gaddy Electric</t>
  </si>
  <si>
    <t>145 N. Industrial Park Dr</t>
  </si>
  <si>
    <t>Yates Construction</t>
  </si>
  <si>
    <t>One Gully Avenue</t>
  </si>
  <si>
    <t>Data Center Power Equipment</t>
  </si>
  <si>
    <t>Circuit Breaker Sales</t>
  </si>
  <si>
    <t>5385 Gateway Boulevard</t>
  </si>
  <si>
    <t>Oklahoma Gas and Electric (AR)</t>
  </si>
  <si>
    <t>city of camila</t>
  </si>
  <si>
    <t>OKLAHOMA ELEC COOP</t>
  </si>
  <si>
    <t>242 24th Ave NW</t>
  </si>
  <si>
    <t>BP Amoco Chemical Company</t>
  </si>
  <si>
    <t>2800 FM 519 East</t>
  </si>
  <si>
    <t>Texas City</t>
  </si>
  <si>
    <t>77592</t>
  </si>
  <si>
    <t>American Cement</t>
  </si>
  <si>
    <t>4750 CR 470</t>
  </si>
  <si>
    <t>outside Industrial Electric</t>
  </si>
  <si>
    <t>Doubletree Systems</t>
  </si>
  <si>
    <t>Osmose Utilities Services</t>
  </si>
  <si>
    <t>Sea Ray Boats</t>
  </si>
  <si>
    <t>100 Sea Ray Dr</t>
  </si>
  <si>
    <t>Flagler Beach</t>
  </si>
  <si>
    <t>32136</t>
  </si>
  <si>
    <t>Efacec USA, Inc</t>
  </si>
  <si>
    <t>ER Jahna Industries- Independent Mine</t>
  </si>
  <si>
    <t>8455 County Rd 474</t>
  </si>
  <si>
    <t>34714</t>
  </si>
  <si>
    <t>Ranger Construction dba White Rock Quarries</t>
  </si>
  <si>
    <t>101 Sansburys Way</t>
  </si>
  <si>
    <t>George Young Co.</t>
  </si>
  <si>
    <t>509 Heron Dr</t>
  </si>
  <si>
    <t>Swedesboro</t>
  </si>
  <si>
    <t>8085</t>
  </si>
  <si>
    <t>Ponder Environmental Services</t>
  </si>
  <si>
    <t>4563 E. 2nd Street</t>
  </si>
  <si>
    <t>Sunbelt Forest Products</t>
  </si>
  <si>
    <t>US Hwy 17+Spirit Lake Rd</t>
  </si>
  <si>
    <t>33831</t>
  </si>
  <si>
    <t>Dejesa Soluciones Electricas</t>
  </si>
  <si>
    <t>Dodd Electric LLC</t>
  </si>
  <si>
    <t>Littleton Electric Services</t>
  </si>
  <si>
    <t>1001 Barry St.</t>
  </si>
  <si>
    <t>HB Electric</t>
  </si>
  <si>
    <t>1121 North Providence rd</t>
  </si>
  <si>
    <t>Media</t>
  </si>
  <si>
    <t>19063</t>
  </si>
  <si>
    <t>Mercer County Courthouse</t>
  </si>
  <si>
    <t>138 Diamond Street</t>
  </si>
  <si>
    <t>Mercer</t>
  </si>
  <si>
    <t>16137</t>
  </si>
  <si>
    <t>Henry Electric, Inc</t>
  </si>
  <si>
    <t>3709 Transportation Drive</t>
  </si>
  <si>
    <t>City of Newbern - NC</t>
  </si>
  <si>
    <t>300 Pollock St.</t>
  </si>
  <si>
    <t>28560</t>
  </si>
  <si>
    <t>Kinston Public Service</t>
  </si>
  <si>
    <t>207 E. King Street</t>
  </si>
  <si>
    <t>28502</t>
  </si>
  <si>
    <t>Palm Beach Aggregates</t>
  </si>
  <si>
    <t>20125 SR 80</t>
  </si>
  <si>
    <t>Loxahatchee</t>
  </si>
  <si>
    <t>33470</t>
  </si>
  <si>
    <t>SDI Aggregates</t>
  </si>
  <si>
    <t>9350 S. Dixie Hwy #1250</t>
  </si>
  <si>
    <t>Simpson Contrution/ Coal</t>
  </si>
  <si>
    <t>El Dorado Utilities and Water</t>
  </si>
  <si>
    <t>Lawerence Electric</t>
  </si>
  <si>
    <t>Milam Construction</t>
  </si>
  <si>
    <t>Dayton Electric</t>
  </si>
  <si>
    <t>2500 Edgly Rd</t>
  </si>
  <si>
    <t>Levittown</t>
  </si>
  <si>
    <t>19057</t>
  </si>
  <si>
    <t>Alexis Oil Company</t>
  </si>
  <si>
    <t>219 Glider Cir</t>
  </si>
  <si>
    <t>Asset Engineering</t>
  </si>
  <si>
    <t>153 East Center Street</t>
  </si>
  <si>
    <t>H. Brown Inc.</t>
  </si>
  <si>
    <t>1678 Highway 190</t>
  </si>
  <si>
    <t>MS Environmental Consultants</t>
  </si>
  <si>
    <t>5618 Superior Drive; Suite E</t>
  </si>
  <si>
    <t>TW Services</t>
  </si>
  <si>
    <t>Metromont</t>
  </si>
  <si>
    <t>4151 US 17</t>
  </si>
  <si>
    <t>Sandvik Mining and Construction</t>
  </si>
  <si>
    <t>1300 CR 235</t>
  </si>
  <si>
    <t>32615</t>
  </si>
  <si>
    <t>Valmont-Newmark</t>
  </si>
  <si>
    <t>AK Steel - Dearborn Works</t>
  </si>
  <si>
    <t>14661 Rotunda Drive</t>
  </si>
  <si>
    <t>Dearborn</t>
  </si>
  <si>
    <t>48120</t>
  </si>
  <si>
    <t>Carroll EMC (GA)</t>
  </si>
  <si>
    <t>155 GA-113</t>
  </si>
  <si>
    <t>Anita Municipal Utilities</t>
  </si>
  <si>
    <t>828 Main Street</t>
  </si>
  <si>
    <t>Anita</t>
  </si>
  <si>
    <t>50020</t>
  </si>
  <si>
    <t>Clean Management Environmental Group</t>
  </si>
  <si>
    <t>915 industrial rd</t>
  </si>
  <si>
    <t>Sc</t>
  </si>
  <si>
    <t>City of Forsyth</t>
  </si>
  <si>
    <t>Bethany Municipal Utility (MO)</t>
  </si>
  <si>
    <t>808 South 11th Street</t>
  </si>
  <si>
    <t>64424</t>
  </si>
  <si>
    <t>City of Albany (MO)</t>
  </si>
  <si>
    <t>310 S Macon St</t>
  </si>
  <si>
    <t>Stanberry Light and Water (MO)</t>
  </si>
  <si>
    <t>113 Main St</t>
  </si>
  <si>
    <t>Stanberry</t>
  </si>
  <si>
    <t>64489</t>
  </si>
  <si>
    <t>Rock Port Municipal Utilities (MO)</t>
  </si>
  <si>
    <t>102 west clay street</t>
  </si>
  <si>
    <t>Stanton Municipal Utility</t>
  </si>
  <si>
    <t>415 Broad Ave</t>
  </si>
  <si>
    <t>51573</t>
  </si>
  <si>
    <t>Southwest Iowa Rural Electric Coop</t>
  </si>
  <si>
    <t>1801 Grove Avenue</t>
  </si>
  <si>
    <t>Dairyland Power Cooperative</t>
  </si>
  <si>
    <t>3200 East Ave South</t>
  </si>
  <si>
    <t>54602</t>
  </si>
  <si>
    <t>Winterset Municipal Utilities</t>
  </si>
  <si>
    <t>321 N 1st Street</t>
  </si>
  <si>
    <t>Winterset</t>
  </si>
  <si>
    <t>50273</t>
  </si>
  <si>
    <t>Lenox Municipal Utilities</t>
  </si>
  <si>
    <t>Lenox</t>
  </si>
  <si>
    <t>50851</t>
  </si>
  <si>
    <t>El Dorado Springs Utilities (MO)</t>
  </si>
  <si>
    <t>135 W. Spring Street</t>
  </si>
  <si>
    <t>Lamoni Municipal Utilities</t>
  </si>
  <si>
    <t>111 South Chestnut Street</t>
  </si>
  <si>
    <t>Lamoni</t>
  </si>
  <si>
    <t>50140</t>
  </si>
  <si>
    <t>Carlisle Municipal Utilities</t>
  </si>
  <si>
    <t>405 Railroad</t>
  </si>
  <si>
    <t>Carlisle</t>
  </si>
  <si>
    <t>50047</t>
  </si>
  <si>
    <t>Coon Rapids Municipal Utilities</t>
  </si>
  <si>
    <t>123 3rd Avenue South</t>
  </si>
  <si>
    <t>50058</t>
  </si>
  <si>
    <t>Tipton Municipal Utilities</t>
  </si>
  <si>
    <t>407 Lynn Street</t>
  </si>
  <si>
    <t>52772</t>
  </si>
  <si>
    <t>North West Rural Electric Coop (IA)</t>
  </si>
  <si>
    <t>1505 Albany Pl SE</t>
  </si>
  <si>
    <t>Harrison County REC</t>
  </si>
  <si>
    <t>105 Enterprise Dr.</t>
  </si>
  <si>
    <t>Waverly Utilities</t>
  </si>
  <si>
    <t>1002 Adams Pkwy</t>
  </si>
  <si>
    <t>50677</t>
  </si>
  <si>
    <t>Iowa Lakes Electric Coop</t>
  </si>
  <si>
    <t>702 S 1st St</t>
  </si>
  <si>
    <t>Estherville</t>
  </si>
  <si>
    <t>51334</t>
  </si>
  <si>
    <t>Pella Coop Electric Association</t>
  </si>
  <si>
    <t>2615 Washington St</t>
  </si>
  <si>
    <t>Pella Municipal Utility</t>
  </si>
  <si>
    <t>222 Truman Road</t>
  </si>
  <si>
    <t>Webster City Light &amp; Power</t>
  </si>
  <si>
    <t>309 3rd St</t>
  </si>
  <si>
    <t>Metalworking Lubricants</t>
  </si>
  <si>
    <t>1509 S Senate Avenue</t>
  </si>
  <si>
    <t>Midland Power Cooperative</t>
  </si>
  <si>
    <t>1005 E Lincoln Way</t>
  </si>
  <si>
    <t>50129</t>
  </si>
  <si>
    <t>Chemours Delisle Plant</t>
  </si>
  <si>
    <t>7685 Kiln Delisle Rd</t>
  </si>
  <si>
    <t>Pass Christian</t>
  </si>
  <si>
    <t>39751-0430</t>
  </si>
  <si>
    <t>Monett Light and Water Department</t>
  </si>
  <si>
    <t>217 Fifth Street</t>
  </si>
  <si>
    <t>Monett</t>
  </si>
  <si>
    <t>65708</t>
  </si>
  <si>
    <t>Neal's Electric</t>
  </si>
  <si>
    <t>214 East Nezpique Street</t>
  </si>
  <si>
    <t>Maquoketa Valley Electric Cooperative (IA)</t>
  </si>
  <si>
    <t>109 N Huber St</t>
  </si>
  <si>
    <t>Anamosa</t>
  </si>
  <si>
    <t>52205</t>
  </si>
  <si>
    <t>Riceland-Stuttgart</t>
  </si>
  <si>
    <t>146 Highway 146 Spur</t>
  </si>
  <si>
    <t>Stuttgart</t>
  </si>
  <si>
    <t>72160</t>
  </si>
  <si>
    <t>Maquoketa Municipal Electric Utility</t>
  </si>
  <si>
    <t>201 E Pleasant St</t>
  </si>
  <si>
    <t>Maquoketa</t>
  </si>
  <si>
    <t>52060</t>
  </si>
  <si>
    <t>Muscatine Power and Water</t>
  </si>
  <si>
    <t>3205 Cedar Street</t>
  </si>
  <si>
    <t>Raccoon Valley Electric Cooperative</t>
  </si>
  <si>
    <t>28725 Highway 30</t>
  </si>
  <si>
    <t>Access Energy Coop</t>
  </si>
  <si>
    <t>1800 W. Washington Street</t>
  </si>
  <si>
    <t>52641</t>
  </si>
  <si>
    <t>Montezuma Light &amp; Power</t>
  </si>
  <si>
    <t>501 E Main Street</t>
  </si>
  <si>
    <t>50171</t>
  </si>
  <si>
    <t>Brown - Atchison Electric</t>
  </si>
  <si>
    <t>1712 Central</t>
  </si>
  <si>
    <t>Colonial Pipeline</t>
  </si>
  <si>
    <t>1476 Highway 61</t>
  </si>
  <si>
    <t>70748</t>
  </si>
  <si>
    <t>Septa Frazer shop</t>
  </si>
  <si>
    <t>32 sproul Rd</t>
  </si>
  <si>
    <t>frazer</t>
  </si>
  <si>
    <t>19355</t>
  </si>
  <si>
    <t>T.I.P Rural Electric Coop</t>
  </si>
  <si>
    <t>612 W. Des Moines St.</t>
  </si>
  <si>
    <t>Brookllyn</t>
  </si>
  <si>
    <t>City of Elberton</t>
  </si>
  <si>
    <t>Elberton</t>
  </si>
  <si>
    <t>Traer Municipal Utilities</t>
  </si>
  <si>
    <t>649 2nd St.</t>
  </si>
  <si>
    <t>Traer</t>
  </si>
  <si>
    <t>50675</t>
  </si>
  <si>
    <t>New London Municipal Utility</t>
  </si>
  <si>
    <t>La Porte Municipal Utilities</t>
  </si>
  <si>
    <t>200 Main St</t>
  </si>
  <si>
    <t>La Porte City</t>
  </si>
  <si>
    <t>50651</t>
  </si>
  <si>
    <t>Farmers Electric Coop (IA)</t>
  </si>
  <si>
    <t>2389 IA-92</t>
  </si>
  <si>
    <t>Fairbank Municipal Utility</t>
  </si>
  <si>
    <t>116 East Main Street</t>
  </si>
  <si>
    <t>Fairbank</t>
  </si>
  <si>
    <t>50629</t>
  </si>
  <si>
    <t>Boone Valley Electric Coop</t>
  </si>
  <si>
    <t>PO Box 71</t>
  </si>
  <si>
    <t>Alton Municipal Utilities</t>
  </si>
  <si>
    <t>905 3rd Avenue</t>
  </si>
  <si>
    <t>Alton</t>
  </si>
  <si>
    <t>51003</t>
  </si>
  <si>
    <t>Manning Municipal Utilities</t>
  </si>
  <si>
    <t>321 Center Street</t>
  </si>
  <si>
    <t>Manning</t>
  </si>
  <si>
    <t>51455</t>
  </si>
  <si>
    <t>SAPPA</t>
  </si>
  <si>
    <t>Formosa Plastic</t>
  </si>
  <si>
    <t>780 School House Rd</t>
  </si>
  <si>
    <t>19726</t>
  </si>
  <si>
    <t>VEC Inc</t>
  </si>
  <si>
    <t>Cornterstone Chemical</t>
  </si>
  <si>
    <t>Waggaman</t>
  </si>
  <si>
    <t>USCG</t>
  </si>
  <si>
    <t>Southwestern Power Administration</t>
  </si>
  <si>
    <t>305 N Floyd St</t>
  </si>
  <si>
    <t>West valley Demonstration</t>
  </si>
  <si>
    <t>10282 Rick Spring Rd</t>
  </si>
  <si>
    <t>West Valley</t>
  </si>
  <si>
    <t>14171</t>
  </si>
  <si>
    <t>Abscope Environmental</t>
  </si>
  <si>
    <t>1 commercial Dr</t>
  </si>
  <si>
    <t>Canastota</t>
  </si>
  <si>
    <t>13032</t>
  </si>
  <si>
    <t>City of Aztec</t>
  </si>
  <si>
    <t>Randy Malbrough</t>
  </si>
  <si>
    <t>Interfor</t>
  </si>
  <si>
    <t>G&amp;G</t>
  </si>
  <si>
    <t>TVA Belafonte Nuclear Plant</t>
  </si>
  <si>
    <t>Hollywood, AL 35752</t>
  </si>
  <si>
    <t>Army Corp of Engineers</t>
  </si>
  <si>
    <t>Northstar Demolition and Remediation Services</t>
  </si>
  <si>
    <t>Bird Electric</t>
  </si>
  <si>
    <t>City of Lubbock Texas</t>
  </si>
  <si>
    <t>Irby Selma</t>
  </si>
  <si>
    <t>Blaney Electric</t>
  </si>
  <si>
    <t>City Electric Supply</t>
  </si>
  <si>
    <t>Wisconsin Ballast</t>
  </si>
  <si>
    <t>Braun Electric Co., Inc.</t>
  </si>
  <si>
    <t>Magnetek industrial services</t>
  </si>
  <si>
    <t>Halbert Brothers, Inc.</t>
  </si>
  <si>
    <t>17400 Chestnut St</t>
  </si>
  <si>
    <t>91748</t>
  </si>
  <si>
    <t>City Service Electric Inc.</t>
  </si>
  <si>
    <t>Integrity Enterprises</t>
  </si>
  <si>
    <t>Kincade Oil Company</t>
  </si>
  <si>
    <t>EC Source Service</t>
  </si>
  <si>
    <t>Jeff Davis EPA</t>
  </si>
  <si>
    <t>CMEX</t>
  </si>
  <si>
    <t>3150 15th St</t>
  </si>
  <si>
    <t>Ward Energy</t>
  </si>
  <si>
    <t>Wakefield Electirc Dept (VA)</t>
  </si>
  <si>
    <t>200 W Main St.</t>
  </si>
  <si>
    <t>23888</t>
  </si>
  <si>
    <t>Kemron Environmental Services</t>
  </si>
  <si>
    <t>Tri State Supply</t>
  </si>
  <si>
    <t>100 Buffalo Center Lane</t>
  </si>
  <si>
    <t>15301</t>
  </si>
  <si>
    <t>Entergy Bastrop</t>
  </si>
  <si>
    <t>901 Cherry Ridge</t>
  </si>
  <si>
    <t>Globe Development Group LLC</t>
  </si>
  <si>
    <t>4520 Worth St</t>
  </si>
  <si>
    <t>Silverline Construction</t>
  </si>
  <si>
    <t>3510 Garman Rd</t>
  </si>
  <si>
    <t>The Morse Group</t>
  </si>
  <si>
    <t>1390 Gateway Blvd.</t>
  </si>
  <si>
    <t>53511</t>
  </si>
  <si>
    <t>City of Alamagordo</t>
  </si>
  <si>
    <t>2600 North Flordia Avenue</t>
  </si>
  <si>
    <t>Alamogordo</t>
  </si>
  <si>
    <t>88310</t>
  </si>
  <si>
    <t>Finger Lakes Gaming and Racetrack</t>
  </si>
  <si>
    <t>5857 State Route 96</t>
  </si>
  <si>
    <t>14425</t>
  </si>
  <si>
    <t>Northern Neck Electric Coop</t>
  </si>
  <si>
    <t>85 St Johns St</t>
  </si>
  <si>
    <t>22572</t>
  </si>
  <si>
    <t>American Wrecking Inc.</t>
  </si>
  <si>
    <t>2459 Lee Ave # 1</t>
  </si>
  <si>
    <t>91733</t>
  </si>
  <si>
    <t>Village of Clinton, MI Electric Department</t>
  </si>
  <si>
    <t>119 E. Michigan Ave.</t>
  </si>
  <si>
    <t>49236</t>
  </si>
  <si>
    <t>Recon Comany</t>
  </si>
  <si>
    <t>ABB MO/AR</t>
  </si>
  <si>
    <t>G. R. Sponaugle Service</t>
  </si>
  <si>
    <t>4391 Chambers Hill Road</t>
  </si>
  <si>
    <t>17111</t>
  </si>
  <si>
    <t>JFM Real Estate</t>
  </si>
  <si>
    <t>320 N. Jensen Rd</t>
  </si>
  <si>
    <t>Grayson Rural Electric Coop Corp</t>
  </si>
  <si>
    <t>109 Bagby Park St.</t>
  </si>
  <si>
    <t>Grayson</t>
  </si>
  <si>
    <t>41143</t>
  </si>
  <si>
    <t>City of Farmington (MO)</t>
  </si>
  <si>
    <t>2 Industrial Drive</t>
  </si>
  <si>
    <t>Farmingtom</t>
  </si>
  <si>
    <t>63640</t>
  </si>
  <si>
    <t>Frankfort (KY) Electric &amp; Water Plant Board</t>
  </si>
  <si>
    <t>305 Hickory Dr</t>
  </si>
  <si>
    <t>40601</t>
  </si>
  <si>
    <t>City of Malden (MO)</t>
  </si>
  <si>
    <t>111 E. Laclede St.</t>
  </si>
  <si>
    <t>Malden</t>
  </si>
  <si>
    <t>63863</t>
  </si>
  <si>
    <t>Fleming-Mason Energy Coop</t>
  </si>
  <si>
    <t>1449 Elizaville Rd</t>
  </si>
  <si>
    <t>Flemingsburg</t>
  </si>
  <si>
    <t>41041-0328</t>
  </si>
  <si>
    <t>Salt River Electric Coop</t>
  </si>
  <si>
    <t>111 West Brashear Ave</t>
  </si>
  <si>
    <t>Cumberland Valley Electric Coop</t>
  </si>
  <si>
    <t>6219 North US Hwy 25 East</t>
  </si>
  <si>
    <t>40734</t>
  </si>
  <si>
    <t>Acutran Transformers</t>
  </si>
  <si>
    <t>1711 Route 588</t>
  </si>
  <si>
    <t>Fombell</t>
  </si>
  <si>
    <t>16123</t>
  </si>
  <si>
    <t>Winnetka Village Electric System (IL)</t>
  </si>
  <si>
    <t>510 Green Bay Rd</t>
  </si>
  <si>
    <t>Winnetka</t>
  </si>
  <si>
    <t>60093</t>
  </si>
  <si>
    <t>Central Illinois Reclosure</t>
  </si>
  <si>
    <t>Falmouth City Utilities</t>
  </si>
  <si>
    <t>230 Main St</t>
  </si>
  <si>
    <t>Falmouth</t>
  </si>
  <si>
    <t>41040</t>
  </si>
  <si>
    <t>Corbin Utilities Commission</t>
  </si>
  <si>
    <t>1515 Cumberland Falls Hwy</t>
  </si>
  <si>
    <t>Corbin</t>
  </si>
  <si>
    <t>40702</t>
  </si>
  <si>
    <t>SE-MA-NO Electric Cooperative (MO)</t>
  </si>
  <si>
    <t>601 N Business 60 HWY, PO Box 318</t>
  </si>
  <si>
    <t>65704-0318</t>
  </si>
  <si>
    <t>Clark Energy Cooperative Inc</t>
  </si>
  <si>
    <t>2640 Iron Works Rd.</t>
  </si>
  <si>
    <t>40392</t>
  </si>
  <si>
    <t>Blue Grass Energy Coop Corp [BGE]</t>
  </si>
  <si>
    <t>1201 Lexington Rd.</t>
  </si>
  <si>
    <t>40340</t>
  </si>
  <si>
    <t>West Point Elec</t>
  </si>
  <si>
    <t>335 Washington St.</t>
  </si>
  <si>
    <t>39773</t>
  </si>
  <si>
    <t>Berea Municipal Utilities</t>
  </si>
  <si>
    <t>200 Harrison Rd.</t>
  </si>
  <si>
    <t>Berea</t>
  </si>
  <si>
    <t>40403</t>
  </si>
  <si>
    <t>Kandel Cold Storage</t>
  </si>
  <si>
    <t>365 Munroe Falls Road</t>
  </si>
  <si>
    <t>Jackson Demolition</t>
  </si>
  <si>
    <t>397 Anthont Street</t>
  </si>
  <si>
    <t>Schenectady</t>
  </si>
  <si>
    <t>12308</t>
  </si>
  <si>
    <t>Powercom Enterprises</t>
  </si>
  <si>
    <t>13628 229th Dr. SE</t>
  </si>
  <si>
    <t>Issaquah</t>
  </si>
  <si>
    <t>City of Banning Electric Department</t>
  </si>
  <si>
    <t>176 E Lincoln St</t>
  </si>
  <si>
    <t>Banning</t>
  </si>
  <si>
    <t>92220-0998</t>
  </si>
  <si>
    <t>Broadview Waste Services</t>
  </si>
  <si>
    <t>7610 Energy Parkway</t>
  </si>
  <si>
    <t>21226</t>
  </si>
  <si>
    <t>Newco Electric</t>
  </si>
  <si>
    <t>301 W. 12th Street</t>
  </si>
  <si>
    <t>16501</t>
  </si>
  <si>
    <t>Big Sandy Electric Coop</t>
  </si>
  <si>
    <t>504 11th Street</t>
  </si>
  <si>
    <t>Paintsville</t>
  </si>
  <si>
    <t>41240</t>
  </si>
  <si>
    <t>Vistra Energy (Duck Creek PP)</t>
  </si>
  <si>
    <t>NORTH LITTLE ROCK**</t>
  </si>
  <si>
    <t>1400 W Maryland Ave</t>
  </si>
  <si>
    <t>Sherwood</t>
  </si>
  <si>
    <t>Barbourville Utilities</t>
  </si>
  <si>
    <t>202 Daniel Boone Dr</t>
  </si>
  <si>
    <t>Barbourville</t>
  </si>
  <si>
    <t>40906-5600</t>
  </si>
  <si>
    <t>Ash Grove Cement</t>
  </si>
  <si>
    <t>1801 N Santa Fe Ave</t>
  </si>
  <si>
    <t>Jackson Purchase Energy Corp  [JPEC]</t>
  </si>
  <si>
    <t>2900 Irvin Cobb Dr</t>
  </si>
  <si>
    <t>42002-4030</t>
  </si>
  <si>
    <t>New Albany Light Gas And Water</t>
  </si>
  <si>
    <t>100 Cleveland Street</t>
  </si>
  <si>
    <t>New Albany</t>
  </si>
  <si>
    <t>38652</t>
  </si>
  <si>
    <t>Wild Rice Electric Cooperative</t>
  </si>
  <si>
    <t>502 North Main</t>
  </si>
  <si>
    <t>Mahnomen</t>
  </si>
  <si>
    <t>56557</t>
  </si>
  <si>
    <t>CEI Electrical Contractors</t>
  </si>
  <si>
    <t>P. O. Box 1934</t>
  </si>
  <si>
    <t>Salish Construction</t>
  </si>
  <si>
    <t>PO box 99987</t>
  </si>
  <si>
    <t>Lakewood</t>
  </si>
  <si>
    <t>98496</t>
  </si>
  <si>
    <t>Lake view Light &amp; Power</t>
  </si>
  <si>
    <t>11509 Bridgeport way S.W</t>
  </si>
  <si>
    <t>98499</t>
  </si>
  <si>
    <t>Grays Harbor Pud</t>
  </si>
  <si>
    <t>2720 summer Ave</t>
  </si>
  <si>
    <t>98520</t>
  </si>
  <si>
    <t>Mayfield Electric and Water System</t>
  </si>
  <si>
    <t>PO Box 347</t>
  </si>
  <si>
    <t>East Kentucky Power Cooperative</t>
  </si>
  <si>
    <t>4775 Lexington Road</t>
  </si>
  <si>
    <t>40391</t>
  </si>
  <si>
    <t>Nolin Rural Electric Coop Corp</t>
  </si>
  <si>
    <t>411 Ring Rd</t>
  </si>
  <si>
    <t>42701</t>
  </si>
  <si>
    <t>Owensboro Municipal Utilities (OMU)</t>
  </si>
  <si>
    <t>2070 Tamarack Road</t>
  </si>
  <si>
    <t>42302-0806</t>
  </si>
  <si>
    <t>Farmers Rural Electric Coop Corp (KY)</t>
  </si>
  <si>
    <t>504 South Broadway</t>
  </si>
  <si>
    <t>Russellville Electric Plant Board</t>
  </si>
  <si>
    <t>165 East Fourth St</t>
  </si>
  <si>
    <t>42276</t>
  </si>
  <si>
    <t>Bowling Green Municipal Utilities</t>
  </si>
  <si>
    <t>801 Center Street</t>
  </si>
  <si>
    <t>42102</t>
  </si>
  <si>
    <t>GridTech Power</t>
  </si>
  <si>
    <t>5684 Wilsons Mill Road</t>
  </si>
  <si>
    <t>27520</t>
  </si>
  <si>
    <t>Olsson Electric</t>
  </si>
  <si>
    <t>1919 Laura Street</t>
  </si>
  <si>
    <t>US Army Corps. of Engineers-Arkansas</t>
  </si>
  <si>
    <t>700 W. Capital Ave. arm 7315</t>
  </si>
  <si>
    <t>72203</t>
  </si>
  <si>
    <t>Tulstar</t>
  </si>
  <si>
    <t>5510 S Lewis Avenue</t>
  </si>
  <si>
    <t>KENERGY CORP</t>
  </si>
  <si>
    <t>6402 Old Corydon Rd</t>
  </si>
  <si>
    <t>Slater Municipal Utilities (MO)</t>
  </si>
  <si>
    <t>109 W Main</t>
  </si>
  <si>
    <t>Slater</t>
  </si>
  <si>
    <t>65349</t>
  </si>
  <si>
    <t>Monroe City Utilities (MO)</t>
  </si>
  <si>
    <t>200 E. Summer Street</t>
  </si>
  <si>
    <t>Monroe City</t>
  </si>
  <si>
    <t>63456</t>
  </si>
  <si>
    <t>Resort Improvement District #1</t>
  </si>
  <si>
    <t>9126 shelter Cove Rd</t>
  </si>
  <si>
    <t>Whitehorn</t>
  </si>
  <si>
    <t>95589</t>
  </si>
  <si>
    <t>BERLIN MUNI ELEC PLANT</t>
  </si>
  <si>
    <t>Food Makers Bakery Equipment, Inc.</t>
  </si>
  <si>
    <t>16019 Adelante Street</t>
  </si>
  <si>
    <t>Irwindale</t>
  </si>
  <si>
    <t>TID Turlock Irrigation District</t>
  </si>
  <si>
    <t>333 East Canal Street</t>
  </si>
  <si>
    <t>Turlock</t>
  </si>
  <si>
    <t>95381-0949</t>
  </si>
  <si>
    <t>Merrimac Municipal Light &amp; Water Dept [MLWD]</t>
  </si>
  <si>
    <t>Wieland Metal Services</t>
  </si>
  <si>
    <t>2081 McCrea Street</t>
  </si>
  <si>
    <t>PTC Alliance</t>
  </si>
  <si>
    <t>640 Keystone Street</t>
  </si>
  <si>
    <t>Pueblo Of Acoma Utility Authority</t>
  </si>
  <si>
    <t>PO Box 330</t>
  </si>
  <si>
    <t>Acoma</t>
  </si>
  <si>
    <t>87034</t>
  </si>
  <si>
    <t>Coles Environmental</t>
  </si>
  <si>
    <t>1620E Brundage Lane</t>
  </si>
  <si>
    <t>BREESE WATER &amp; LIGHT DEPT (IL)</t>
  </si>
  <si>
    <t>800 N First Street</t>
  </si>
  <si>
    <t>Midwest Energy (ColbyKS)</t>
  </si>
  <si>
    <t>1125 Range Ave</t>
  </si>
  <si>
    <t>Maul Electric</t>
  </si>
  <si>
    <t>10 Griggs Drive</t>
  </si>
  <si>
    <t>8810</t>
  </si>
  <si>
    <t>Pieper Electric, Inc.</t>
  </si>
  <si>
    <t>5477 Westridge Court</t>
  </si>
  <si>
    <t>53151</t>
  </si>
  <si>
    <t>Hull Municipal Light Plant</t>
  </si>
  <si>
    <t>15 Edgewater Rd.</t>
  </si>
  <si>
    <t>Hull</t>
  </si>
  <si>
    <t>2045</t>
  </si>
  <si>
    <t>Oxford Electric Department</t>
  </si>
  <si>
    <t>300 Mcelroy Drive</t>
  </si>
  <si>
    <t>Mississippi University for Women</t>
  </si>
  <si>
    <t>1100 College Street</t>
  </si>
  <si>
    <t>University of Mississippi</t>
  </si>
  <si>
    <t>700 Hathorn Road</t>
  </si>
  <si>
    <t>Water Valley Electric Department</t>
  </si>
  <si>
    <t>110 Gore Circle</t>
  </si>
  <si>
    <t>Water Valley</t>
  </si>
  <si>
    <t>38965</t>
  </si>
  <si>
    <t>Northeast MS EPA</t>
  </si>
  <si>
    <t>10 Private Road 2050</t>
  </si>
  <si>
    <t>Tallahatchie Valley Electric Power Association</t>
  </si>
  <si>
    <t>250 Power Dr.</t>
  </si>
  <si>
    <t>Batesville</t>
  </si>
  <si>
    <t>38606</t>
  </si>
  <si>
    <t>HEC – Hayward Environmental Consulting</t>
  </si>
  <si>
    <t>9852 Crescent Center Dr #801</t>
  </si>
  <si>
    <t>Rancho Cucamonga</t>
  </si>
  <si>
    <t>91730</t>
  </si>
  <si>
    <t>Pontotoc Electric Power Association</t>
  </si>
  <si>
    <t>12 S. Main St.</t>
  </si>
  <si>
    <t>Ponotoc</t>
  </si>
  <si>
    <t>38863</t>
  </si>
  <si>
    <t>Enerstar Electric Cooperative (IL)</t>
  </si>
  <si>
    <t>11597 IL Hwy 1</t>
  </si>
  <si>
    <t>61944-8447</t>
  </si>
  <si>
    <t>Holyoke Gas &amp; Electric  [HG&amp;E]</t>
  </si>
  <si>
    <t>80 Jackson St.  102 cabot</t>
  </si>
  <si>
    <t>1040</t>
  </si>
  <si>
    <t>City of Burlington Electric Department</t>
  </si>
  <si>
    <t>119 s. 12th st</t>
  </si>
  <si>
    <t>Griffin Electric TX</t>
  </si>
  <si>
    <t>2730 old woodville rd</t>
  </si>
  <si>
    <t>Western Illinois Electric Coop [WIEC]</t>
  </si>
  <si>
    <t>524 N Madison St</t>
  </si>
  <si>
    <t>62321</t>
  </si>
  <si>
    <t>Electrical Corporation of America (ECA Service)</t>
  </si>
  <si>
    <t>7320 Arlington Avenue</t>
  </si>
  <si>
    <t>Raytown</t>
  </si>
  <si>
    <t>64133-6567</t>
  </si>
  <si>
    <t>Muth Electric</t>
  </si>
  <si>
    <t>Chris Torrence Electric &amp; Utility</t>
  </si>
  <si>
    <t>954 NW 244th St Dr</t>
  </si>
  <si>
    <t>32669</t>
  </si>
  <si>
    <t>BWXT Nuclear Operations Group, Inc.</t>
  </si>
  <si>
    <t>91 Stirling Avenue</t>
  </si>
  <si>
    <t>Barberton</t>
  </si>
  <si>
    <t>44203</t>
  </si>
  <si>
    <t>Paxton Municipal Light Dept  [PMLD]</t>
  </si>
  <si>
    <t>578 Pleasant Street</t>
  </si>
  <si>
    <t>1612</t>
  </si>
  <si>
    <t>Ashburnham Municipal Light Department</t>
  </si>
  <si>
    <t>GROVELAND MUNICIPAL UTILITY</t>
  </si>
  <si>
    <t>23 School St.</t>
  </si>
  <si>
    <t>Groveland</t>
  </si>
  <si>
    <t>1834</t>
  </si>
  <si>
    <t>Prentiss County EPA</t>
  </si>
  <si>
    <t>302 w church street</t>
  </si>
  <si>
    <t>Boonville</t>
  </si>
  <si>
    <t>38829</t>
  </si>
  <si>
    <t>United Electric Co-op Inc. (PA)</t>
  </si>
  <si>
    <t>29 United Rd</t>
  </si>
  <si>
    <t>Dubois</t>
  </si>
  <si>
    <t>15801</t>
  </si>
  <si>
    <t>Borough of Chambersburg</t>
  </si>
  <si>
    <t>80 South Franklin Street</t>
  </si>
  <si>
    <t>17201</t>
  </si>
  <si>
    <t>633 E. 138th Street</t>
  </si>
  <si>
    <t>Dolton</t>
  </si>
  <si>
    <t>60419</t>
  </si>
  <si>
    <t>Hingham Municipal Lighting Plant [HMLP]</t>
  </si>
  <si>
    <t>Holden Mun Light Dept</t>
  </si>
  <si>
    <t>Graettinger Municipal Utilities</t>
  </si>
  <si>
    <t>101 W Hoffman St</t>
  </si>
  <si>
    <t>Graettinger</t>
  </si>
  <si>
    <t>51342</t>
  </si>
  <si>
    <t>Newton (IL) Electric Light Department</t>
  </si>
  <si>
    <t>108 N Van Buren St</t>
  </si>
  <si>
    <t>Ipswich Municipal Utility</t>
  </si>
  <si>
    <t>272 High St</t>
  </si>
  <si>
    <t>Ipswich</t>
  </si>
  <si>
    <t>1938</t>
  </si>
  <si>
    <t>Summit Construction</t>
  </si>
  <si>
    <t>Fermi Reasearch Alliance, LLC</t>
  </si>
  <si>
    <t>Kirk &amp; Wilson STreets  PO Box 500</t>
  </si>
  <si>
    <t>Templeton Municipal Light &amp; Water Plant</t>
  </si>
  <si>
    <t>Western United Electric Supply Corporation</t>
  </si>
  <si>
    <t>100 Bromley Business Parkway</t>
  </si>
  <si>
    <t>Wellesley Municipal Light</t>
  </si>
  <si>
    <t>CORE Environmental Services, Inc.</t>
  </si>
  <si>
    <t>3960 William Flynn Highway   Suite 100</t>
  </si>
  <si>
    <t>Allison Park</t>
  </si>
  <si>
    <t>15101</t>
  </si>
  <si>
    <t>IDEAS Inc.</t>
  </si>
  <si>
    <t>9107 Pleasantwood Ave NW</t>
  </si>
  <si>
    <t>Micropen Technologies Corp</t>
  </si>
  <si>
    <t>93 Paper Mill St</t>
  </si>
  <si>
    <t>Honeoye Falls</t>
  </si>
  <si>
    <t>14472</t>
  </si>
  <si>
    <t>RWE Renewables Americas, LLC</t>
  </si>
  <si>
    <t>353 North Clark Street_x000D_
Floor 30</t>
  </si>
  <si>
    <t>60654</t>
  </si>
  <si>
    <t>Allegheny Petroleum Products</t>
  </si>
  <si>
    <t>999 Airbrake Ave</t>
  </si>
  <si>
    <t>Wilmerding</t>
  </si>
  <si>
    <t>15148</t>
  </si>
  <si>
    <t>Black &amp; McDonald (Kansas, MO)</t>
  </si>
  <si>
    <t>6001 East Front Street</t>
  </si>
  <si>
    <t>High Voltage Maintenance Corp - Illinois</t>
  </si>
  <si>
    <t>941 Busse Road</t>
  </si>
  <si>
    <t>Long Beach Convention &amp; Entertainment Center</t>
  </si>
  <si>
    <t>Naval Research Laboratory</t>
  </si>
  <si>
    <t>4555 Overlook Ave SW_x000D_
Building 71</t>
  </si>
  <si>
    <t>District of Columbia</t>
  </si>
  <si>
    <t>20375</t>
  </si>
  <si>
    <t>Wolseley Industrial Group 1248</t>
  </si>
  <si>
    <t>2301 Aluminum Avenue</t>
  </si>
  <si>
    <t>23661</t>
  </si>
  <si>
    <t>Transformer Services Inc</t>
  </si>
  <si>
    <t>7905 NW Cherry Lane</t>
  </si>
  <si>
    <t>97124</t>
  </si>
  <si>
    <t>Electrical Equipment Company</t>
  </si>
  <si>
    <t>P.O. Box 37339</t>
  </si>
  <si>
    <t>27627</t>
  </si>
  <si>
    <t>Corsicana Utilities Department</t>
  </si>
  <si>
    <t>200 North 12th Street</t>
  </si>
  <si>
    <t>Corsicana</t>
  </si>
  <si>
    <t>75110</t>
  </si>
  <si>
    <t>City of Bartlett, TX</t>
  </si>
  <si>
    <t>140 West Clark Street</t>
  </si>
  <si>
    <t>Eaton's Engineering &amp; Srvices Division</t>
  </si>
  <si>
    <t>Rutland, VT Recreation &amp; Parks Department</t>
  </si>
  <si>
    <t>52 Washington Street</t>
  </si>
  <si>
    <t>05701</t>
  </si>
  <si>
    <t>Applied Engineering Services</t>
  </si>
  <si>
    <t>5975 Castle Creek Parkway North Drive</t>
  </si>
  <si>
    <t>46250</t>
  </si>
  <si>
    <t>American Electric Power - Gavin (AEP)</t>
  </si>
  <si>
    <t>P.O. Box 24400</t>
  </si>
  <si>
    <t>44701</t>
  </si>
  <si>
    <t>Taurus Power &amp; Controls Inc</t>
  </si>
  <si>
    <t>9999 SW Avery St</t>
  </si>
  <si>
    <t>Tualatin</t>
  </si>
  <si>
    <t>97062</t>
  </si>
  <si>
    <t>URS Federal Services, Inc.</t>
  </si>
  <si>
    <t>20501 Seneca Meadows Pkwy</t>
  </si>
  <si>
    <t>20876-_</t>
  </si>
  <si>
    <t>Justrite/formally C.I. Agent Solutions</t>
  </si>
  <si>
    <t>9000 Wessex Place_x000D_
Suite 202</t>
  </si>
  <si>
    <t>40222</t>
  </si>
  <si>
    <t>K W Maintenance Services, LLC</t>
  </si>
  <si>
    <t>3801 Voorde Drive</t>
  </si>
  <si>
    <t>South Bend</t>
  </si>
  <si>
    <t>46628</t>
  </si>
  <si>
    <t>City of Santa Rosa</t>
  </si>
  <si>
    <t>4300 Llano Road</t>
  </si>
  <si>
    <t>Santa Rosa</t>
  </si>
  <si>
    <t>95407</t>
  </si>
  <si>
    <t>Home Oil &amp; Gas Company</t>
  </si>
  <si>
    <t>P.O. BOX 397</t>
  </si>
  <si>
    <t>Oakvale Construction</t>
  </si>
  <si>
    <t>P.O. Box 150</t>
  </si>
  <si>
    <t>Crestview Broadcasting Company</t>
  </si>
  <si>
    <t>506 W First Av</t>
  </si>
  <si>
    <t>Jasper City Municipal Utility</t>
  </si>
  <si>
    <t>610 West Main Street</t>
  </si>
  <si>
    <t>47547-0029</t>
  </si>
  <si>
    <t>Airgas/formally Air Liquide Electronics US LP</t>
  </si>
  <si>
    <t>Schneider Electric USA Inc.</t>
  </si>
  <si>
    <t>1415 South Roselle Road</t>
  </si>
  <si>
    <t>Palatine</t>
  </si>
  <si>
    <t>60067</t>
  </si>
  <si>
    <t>Usne Inc. - Utility Service New England</t>
  </si>
  <si>
    <t>310 Lockhouse Road</t>
  </si>
  <si>
    <t>01085</t>
  </si>
  <si>
    <t>John H Glenn Research Ctr NASA</t>
  </si>
  <si>
    <t>21000 Brookpark Road</t>
  </si>
  <si>
    <t>44135</t>
  </si>
  <si>
    <t>Alfa Transformer Co</t>
  </si>
  <si>
    <t>6107 S Zero St</t>
  </si>
  <si>
    <t>Fort Smith</t>
  </si>
  <si>
    <t>Arkansas</t>
  </si>
  <si>
    <t>72903</t>
  </si>
  <si>
    <t>Riley Electric, Inc.</t>
  </si>
  <si>
    <t>19148</t>
  </si>
  <si>
    <t>4480 Riverside Drive</t>
  </si>
  <si>
    <t>31210</t>
  </si>
  <si>
    <t>Scuffe, LLC</t>
  </si>
  <si>
    <t>P. O. Box 83</t>
  </si>
  <si>
    <t>East Meredith</t>
  </si>
  <si>
    <t>13757</t>
  </si>
  <si>
    <t>Shermco Industries</t>
  </si>
  <si>
    <t>37666 Amrhein Road</t>
  </si>
  <si>
    <t>Michels Power, Inc.</t>
  </si>
  <si>
    <t>5870 Fisher Road</t>
  </si>
  <si>
    <t>South-Con</t>
  </si>
  <si>
    <t>Ahlstrom Schaeffer Electric Corp</t>
  </si>
  <si>
    <t>Empire Renewable Energy</t>
  </si>
  <si>
    <t>Indiana University Environmental Health and Safety</t>
  </si>
  <si>
    <t>Rising Edge Group</t>
  </si>
  <si>
    <t>825 16th Street</t>
  </si>
  <si>
    <t>Newport Beach</t>
  </si>
  <si>
    <t>92663</t>
  </si>
  <si>
    <t>Buffalo Electric - LA</t>
  </si>
  <si>
    <t>High Voltage Specialists Inc</t>
  </si>
  <si>
    <t>Teichert Materials and Bear River Aggregates</t>
  </si>
  <si>
    <t>Aurora Higher Education Center</t>
  </si>
  <si>
    <t>DEL Electric</t>
  </si>
  <si>
    <t>11125 Pepper Road</t>
  </si>
  <si>
    <t>Cockeysville</t>
  </si>
  <si>
    <t>21031</t>
  </si>
  <si>
    <t>Triton Transformer</t>
  </si>
  <si>
    <t>Madix, Inc.-Goodwater, AL</t>
  </si>
  <si>
    <t>PAR Electric Contractors</t>
  </si>
  <si>
    <t>4770 N Belleview Ave, Ste 300</t>
  </si>
  <si>
    <t>64116</t>
  </si>
  <si>
    <t>Anderson &amp; Wood Construction Co., Inc.</t>
  </si>
  <si>
    <t>P.O. Box 4959</t>
  </si>
  <si>
    <t>Sinclair Broadcast Group</t>
  </si>
  <si>
    <t>PO Box 77</t>
  </si>
  <si>
    <t>Eaton (WI)</t>
  </si>
  <si>
    <t>2300 Badger Drive</t>
  </si>
  <si>
    <t>53188</t>
  </si>
  <si>
    <t>Inv Energy</t>
  </si>
  <si>
    <t>1 South Wacker Drive</t>
  </si>
  <si>
    <t>60606</t>
  </si>
  <si>
    <t>Beemac Trucking LLC</t>
  </si>
  <si>
    <t>503 Martindale Street</t>
  </si>
  <si>
    <t>15212</t>
  </si>
  <si>
    <t>Kansas Electric Cooperative</t>
  </si>
  <si>
    <t>DistributionNOW</t>
  </si>
  <si>
    <t>7402 N Eldridge Pkwy</t>
  </si>
  <si>
    <t>77041</t>
  </si>
  <si>
    <t>Jobstarr Technoserve</t>
  </si>
  <si>
    <t>8580 Dr. A.  Santos Ave</t>
  </si>
  <si>
    <t>Paranaque,</t>
  </si>
  <si>
    <t>Vallen Distribution Inc</t>
  </si>
  <si>
    <t>TBT Group</t>
  </si>
  <si>
    <t>191 Heller Place</t>
  </si>
  <si>
    <t>Bellmawr</t>
  </si>
  <si>
    <t>08031</t>
  </si>
  <si>
    <t>RESA Power</t>
  </si>
  <si>
    <t>P.O. Box 96</t>
  </si>
  <si>
    <t>Multi-States Electric (Competitor)</t>
  </si>
  <si>
    <t>Integrated Power Services - Birmingham</t>
  </si>
  <si>
    <t>3100 Pinson Valley Parkway_x000D_
Birmingham, Alabama 35217</t>
  </si>
  <si>
    <t>Esa Inc</t>
  </si>
  <si>
    <t>1901 Easton Blvd</t>
  </si>
  <si>
    <t>50316</t>
  </si>
  <si>
    <t>Diamond Cut Inc</t>
  </si>
  <si>
    <t>3104 W 76Th St</t>
  </si>
  <si>
    <t>Iowa Demolition Inc</t>
  </si>
  <si>
    <t>Dave Schmitt Construction Co Inc</t>
  </si>
  <si>
    <t>250 50Th Ave Sw</t>
  </si>
  <si>
    <t>Decarlo Corporation</t>
  </si>
  <si>
    <t>260 Ne 44Th Ave</t>
  </si>
  <si>
    <t>Pro Restore DKI</t>
  </si>
  <si>
    <t>3505 SE Crossroads Dr</t>
  </si>
  <si>
    <t>Grimes</t>
  </si>
  <si>
    <t>50111</t>
  </si>
  <si>
    <t>Borderless Services, LLC</t>
  </si>
  <si>
    <t>9521B Riverside Parkway</t>
  </si>
  <si>
    <t>74137</t>
  </si>
  <si>
    <t>Village of Prospect</t>
  </si>
  <si>
    <t>200 N. East Street</t>
  </si>
  <si>
    <t>Prospect</t>
  </si>
  <si>
    <t>43342</t>
  </si>
  <si>
    <t>Blanchester Board of Public Affairs</t>
  </si>
  <si>
    <t>Cement Products, Inc.</t>
  </si>
  <si>
    <t>389 Park Avenue East</t>
  </si>
  <si>
    <t>44905</t>
  </si>
  <si>
    <t>City Of Liberty (TX)</t>
  </si>
  <si>
    <t>1100 North Main</t>
  </si>
  <si>
    <t>77575</t>
  </si>
  <si>
    <t>Boise Cascade - Lena</t>
  </si>
  <si>
    <t>Lena</t>
  </si>
  <si>
    <t>Venado Oil &amp; Gas LLC</t>
  </si>
  <si>
    <t>13301 Galleria Cir #300</t>
  </si>
  <si>
    <t>78738</t>
  </si>
  <si>
    <t>Nix Electric Company (TGC)</t>
  </si>
  <si>
    <t>720 S.E. Loop 289</t>
  </si>
  <si>
    <t>RCR Electrical Contractors</t>
  </si>
  <si>
    <t>209 Broad St</t>
  </si>
  <si>
    <t>Palmra</t>
  </si>
  <si>
    <t>8065</t>
  </si>
  <si>
    <t>Cleveland Public Power  [CPP]</t>
  </si>
  <si>
    <t>Early Environmental</t>
  </si>
  <si>
    <t>857 Kentucky St.
Po Box 1483</t>
  </si>
  <si>
    <t>40066</t>
  </si>
  <si>
    <t>Cherokee Nation Environmental Solutions</t>
  </si>
  <si>
    <t>10838 East Marshall Street, Suite 200</t>
  </si>
  <si>
    <t>Dunleavy Construction</t>
  </si>
  <si>
    <t>4605 N Elston Ave</t>
  </si>
  <si>
    <t>60630</t>
  </si>
  <si>
    <t>Kinsale Contracting Group Inc</t>
  </si>
  <si>
    <t>648 Blackhawk Dr</t>
  </si>
  <si>
    <t>Westmont</t>
  </si>
  <si>
    <t>60559</t>
  </si>
  <si>
    <t>Panko Electric</t>
  </si>
  <si>
    <t>1080 Chenango Street</t>
  </si>
  <si>
    <t>13901</t>
  </si>
  <si>
    <t>City of Pacifica</t>
  </si>
  <si>
    <t>151 Milagra Drive</t>
  </si>
  <si>
    <t>Pacifica</t>
  </si>
  <si>
    <t>94044</t>
  </si>
  <si>
    <t>320 E Seven Mile Rd</t>
  </si>
  <si>
    <t>48203</t>
  </si>
  <si>
    <t>TPS Gulf Southeast</t>
  </si>
  <si>
    <t>GearTec</t>
  </si>
  <si>
    <t>4245 Hamann Industrial Parkway</t>
  </si>
  <si>
    <t>Union Rural Electric Coop Inc  [URE]</t>
  </si>
  <si>
    <t>Codale</t>
  </si>
  <si>
    <t>362 South Commerce Loop</t>
  </si>
  <si>
    <t>Orem</t>
  </si>
  <si>
    <t>84058</t>
  </si>
  <si>
    <t>Specialty Engineering, Inc</t>
  </si>
  <si>
    <t>5900 NE 88th Street Bld B Ste 205</t>
  </si>
  <si>
    <t>98665</t>
  </si>
  <si>
    <t>H &amp; H Electric Company, Inc.</t>
  </si>
  <si>
    <t>13580 Celeste Rd</t>
  </si>
  <si>
    <t>Ward Electric Company</t>
  </si>
  <si>
    <t>9586 E. I25 Frontage Rd</t>
  </si>
  <si>
    <t>80504</t>
  </si>
  <si>
    <t>City of Dover</t>
  </si>
  <si>
    <t>520 W. THIRD STREET</t>
  </si>
  <si>
    <t>DOVER</t>
  </si>
  <si>
    <t>Environmental Services, Inc.</t>
  </si>
  <si>
    <t>90 Brookfield Street</t>
  </si>
  <si>
    <t>South Windsor</t>
  </si>
  <si>
    <t>6074</t>
  </si>
  <si>
    <t>Allen Transformer</t>
  </si>
  <si>
    <t>City of Cleveland</t>
  </si>
  <si>
    <t>Teton Communications Inc</t>
  </si>
  <si>
    <t>545 Utah Cir</t>
  </si>
  <si>
    <t>83402</t>
  </si>
  <si>
    <t>Carroll Electric Cooperative Inc</t>
  </si>
  <si>
    <t>350 Canton Road NW</t>
  </si>
  <si>
    <t>44615</t>
  </si>
  <si>
    <t>FlyGuys</t>
  </si>
  <si>
    <t>120 Clinto St</t>
  </si>
  <si>
    <t>LaFayette</t>
  </si>
  <si>
    <t>70501</t>
  </si>
  <si>
    <t>COLUMBIANA MUNICIPAL UTILITIES</t>
  </si>
  <si>
    <t>536 W. Park Street</t>
  </si>
  <si>
    <t>Columbiana</t>
  </si>
  <si>
    <t>44408</t>
  </si>
  <si>
    <t>Thunder Bay Electric, Inc.</t>
  </si>
  <si>
    <t>1693 M-32 West</t>
  </si>
  <si>
    <t>McPherson Refinery</t>
  </si>
  <si>
    <t>2000 S Main St</t>
  </si>
  <si>
    <t>WEG Transformers USA</t>
  </si>
  <si>
    <t>One Pauwels Drive</t>
  </si>
  <si>
    <t>63090</t>
  </si>
  <si>
    <t>Envi Environmental</t>
  </si>
  <si>
    <t>10247 Dewhurst Road</t>
  </si>
  <si>
    <t>Elyria</t>
  </si>
  <si>
    <t>44035</t>
  </si>
  <si>
    <t>Excel Energy( Pueblo) power plant</t>
  </si>
  <si>
    <t>2005 Lime Road</t>
  </si>
  <si>
    <t>Pueblo</t>
  </si>
  <si>
    <t>81006</t>
  </si>
  <si>
    <t>Austin Utilities (MN)</t>
  </si>
  <si>
    <t>1908 14th Street NE</t>
  </si>
  <si>
    <t>55912</t>
  </si>
  <si>
    <t>Evraz Rocky-mountain Steel</t>
  </si>
  <si>
    <t>1612  Abriendo</t>
  </si>
  <si>
    <t>81004</t>
  </si>
  <si>
    <t>Madelia Municipal Light and Power (MN)</t>
  </si>
  <si>
    <t>414 Center Avenue</t>
  </si>
  <si>
    <t>Madelia</t>
  </si>
  <si>
    <t>56052</t>
  </si>
  <si>
    <t>Eatonville Power &amp; Light</t>
  </si>
  <si>
    <t>201 center street W</t>
  </si>
  <si>
    <t>Dalton Utilities</t>
  </si>
  <si>
    <t>Dalton</t>
  </si>
  <si>
    <t>Cargill - Chillicothe</t>
  </si>
  <si>
    <t>331 S. Watt Street</t>
  </si>
  <si>
    <t>45601</t>
  </si>
  <si>
    <t>Cherry-Todd Electric Coop</t>
  </si>
  <si>
    <t>West 2nd Street</t>
  </si>
  <si>
    <t>Mission</t>
  </si>
  <si>
    <t>57555</t>
  </si>
  <si>
    <t>Community Electric Coop</t>
  </si>
  <si>
    <t>52 W Windsor Blvd</t>
  </si>
  <si>
    <t>23487-0267</t>
  </si>
  <si>
    <t>Hempstead Electric Dept</t>
  </si>
  <si>
    <t>1125 Austin St</t>
  </si>
  <si>
    <t>Hempstead</t>
  </si>
  <si>
    <t>77445</t>
  </si>
  <si>
    <t>Eaton Corp - NJ</t>
  </si>
  <si>
    <t>1115 Globe Ave Suite A</t>
  </si>
  <si>
    <t>Mountainside</t>
  </si>
  <si>
    <t>7092</t>
  </si>
  <si>
    <t>CITY OF HEMPHILL</t>
  </si>
  <si>
    <t>211 Starr Street</t>
  </si>
  <si>
    <t>Hemphill</t>
  </si>
  <si>
    <t>75948</t>
  </si>
  <si>
    <t>Front Royal Municipal Electric Light Dept</t>
  </si>
  <si>
    <t>520-A E Sixth St</t>
  </si>
  <si>
    <t>Front Royal</t>
  </si>
  <si>
    <t>22630-1560</t>
  </si>
  <si>
    <t>Hearne Municipal Electric</t>
  </si>
  <si>
    <t>209 Cedar Street</t>
  </si>
  <si>
    <t>Hearne</t>
  </si>
  <si>
    <t>77859</t>
  </si>
  <si>
    <t>Hallettsville Municipal Utilities</t>
  </si>
  <si>
    <t>101 Main St</t>
  </si>
  <si>
    <t>Hallettsville</t>
  </si>
  <si>
    <t>77964</t>
  </si>
  <si>
    <t>JDC Phosphate</t>
  </si>
  <si>
    <t>3200 SR 630 W</t>
  </si>
  <si>
    <t>Gonzales Electric System (TX)</t>
  </si>
  <si>
    <t>4950 Washington Blvd</t>
  </si>
  <si>
    <t>77707</t>
  </si>
  <si>
    <t>Giddings Lighting &amp; Power System</t>
  </si>
  <si>
    <t>118 E Richmond St</t>
  </si>
  <si>
    <t>Giddings</t>
  </si>
  <si>
    <t>78942</t>
  </si>
  <si>
    <t>Radford Electric Dept</t>
  </si>
  <si>
    <t>701 17th St</t>
  </si>
  <si>
    <t>Radford</t>
  </si>
  <si>
    <t>24141-3424</t>
  </si>
  <si>
    <t>Robstown Utility Systems</t>
  </si>
  <si>
    <t>78380</t>
  </si>
  <si>
    <t>East Texas Electric Coop.</t>
  </si>
  <si>
    <t>2905 Westward Drive</t>
  </si>
  <si>
    <t>West side hammer electric</t>
  </si>
  <si>
    <t>1325 Clay St</t>
  </si>
  <si>
    <t>18018</t>
  </si>
  <si>
    <t>Utility Contractors’ Association</t>
  </si>
  <si>
    <t>300 Congress Street</t>
  </si>
  <si>
    <t>2169</t>
  </si>
  <si>
    <t>Wellsboro Electric Co [WECo]</t>
  </si>
  <si>
    <t>33 Austin St., Wellsboro, PA  16901</t>
  </si>
  <si>
    <t>Wellsboro</t>
  </si>
  <si>
    <t>16901</t>
  </si>
  <si>
    <t>Herndon Electric</t>
  </si>
  <si>
    <t>221 West Carroll St</t>
  </si>
  <si>
    <t>Ayden Public Works</t>
  </si>
  <si>
    <t>4144 N West Ave</t>
  </si>
  <si>
    <t>Ayden</t>
  </si>
  <si>
    <t>28513</t>
  </si>
  <si>
    <t>Tyler Pipe Company</t>
  </si>
  <si>
    <t>11910 County Road 492</t>
  </si>
  <si>
    <t>75706</t>
  </si>
  <si>
    <t>Network International</t>
  </si>
  <si>
    <t>3555 Timmons Lane, Suite 1200</t>
  </si>
  <si>
    <t>WestRock - Demopolis, AL</t>
  </si>
  <si>
    <t>28270 Old U.S. 80</t>
  </si>
  <si>
    <t>Farmers Electric Cooperative Tx</t>
  </si>
  <si>
    <t>2000 E I-30</t>
  </si>
  <si>
    <t>75403</t>
  </si>
  <si>
    <t>KBS Electrical Distributors, Inc.</t>
  </si>
  <si>
    <t>7554 Highway 21 East  PO Box 4591</t>
  </si>
  <si>
    <t>77805</t>
  </si>
  <si>
    <t>Electric Power Systems - Texas</t>
  </si>
  <si>
    <t>900 Landa St. Suite 104</t>
  </si>
  <si>
    <t>Industrial Surplus</t>
  </si>
  <si>
    <t>Blountville Airport</t>
  </si>
  <si>
    <t>2711 Hwy 75</t>
  </si>
  <si>
    <t>Blountville</t>
  </si>
  <si>
    <t>37617</t>
  </si>
  <si>
    <t>Environmental Service Group</t>
  </si>
  <si>
    <t>1008 Corporate Lane</t>
  </si>
  <si>
    <t>Export</t>
  </si>
  <si>
    <t>15632</t>
  </si>
  <si>
    <t>Siemens Energy Management</t>
  </si>
  <si>
    <t>7000 Siemens Road</t>
  </si>
  <si>
    <t>Wendell</t>
  </si>
  <si>
    <t>27591</t>
  </si>
  <si>
    <t>Alcor Energy Solutions</t>
  </si>
  <si>
    <t>7754 E Velocity Way Ste 109</t>
  </si>
  <si>
    <t>Applied Power Systems</t>
  </si>
  <si>
    <t>5300 Claus Road Box #25 / Bldg 172</t>
  </si>
  <si>
    <t>Babcock &amp; Wilcox</t>
  </si>
  <si>
    <t>2830 South 1030 West</t>
  </si>
  <si>
    <t>84119</t>
  </si>
  <si>
    <t>Bechtel</t>
  </si>
  <si>
    <t>12011 Sunset Hills Road</t>
  </si>
  <si>
    <t>Reston</t>
  </si>
  <si>
    <t>20190</t>
  </si>
  <si>
    <t>Botnari Electrical Services</t>
  </si>
  <si>
    <t>1012 N Magnolia Ave</t>
  </si>
  <si>
    <t>92801</t>
  </si>
  <si>
    <t>CG Power and Industrial Solutions Limited (Avantha)</t>
  </si>
  <si>
    <t>3625 NW 82nd Avenue ste 202</t>
  </si>
  <si>
    <t>Doral</t>
  </si>
  <si>
    <t>33166</t>
  </si>
  <si>
    <t>Devon Energy Corporation</t>
  </si>
  <si>
    <t>333 West Sheridan Avenue</t>
  </si>
  <si>
    <t>Oklahoma City,</t>
  </si>
  <si>
    <t>73102</t>
  </si>
  <si>
    <t>AEP Victoria Texas</t>
  </si>
  <si>
    <t>458 West Crestwood Drive</t>
  </si>
  <si>
    <t>77901</t>
  </si>
  <si>
    <t>Hampton Tedder Technical Services</t>
  </si>
  <si>
    <t>3747 W Roanoke Ave,</t>
  </si>
  <si>
    <t>International Brotherhood Electrical Contractors (IBEW)</t>
  </si>
  <si>
    <t>900 Seventh Street NW</t>
  </si>
  <si>
    <t>DC</t>
  </si>
  <si>
    <t>20001</t>
  </si>
  <si>
    <t>MHZ Electronics</t>
  </si>
  <si>
    <t>2801 E Washington Street</t>
  </si>
  <si>
    <t>MYR Group</t>
  </si>
  <si>
    <t>1701 Golf Road Suite 3-1012</t>
  </si>
  <si>
    <t>Brownsville Public Utilites Board</t>
  </si>
  <si>
    <t>Sayers Construction, LLC</t>
  </si>
  <si>
    <t>510 Hearn St, Austin, TX 78703</t>
  </si>
  <si>
    <t>78703</t>
  </si>
  <si>
    <t>Western Electrical Services, Inc</t>
  </si>
  <si>
    <t>5680 South 32nd Street</t>
  </si>
  <si>
    <t>Young &amp;  Company</t>
  </si>
  <si>
    <t>530 S. Marengo Avenue</t>
  </si>
  <si>
    <t>91101</t>
  </si>
  <si>
    <t>JNG Enterprise</t>
  </si>
  <si>
    <t>5802 Eldridge Glen Dr.</t>
  </si>
  <si>
    <t>SABINE COGEN</t>
  </si>
  <si>
    <t>4647 FM 1006</t>
  </si>
  <si>
    <t>ORANGE</t>
  </si>
  <si>
    <t>77630</t>
  </si>
  <si>
    <t>Arlo Environmental</t>
  </si>
  <si>
    <t>ProEnergy</t>
  </si>
  <si>
    <t>2001 ProEnergy Blvd</t>
  </si>
  <si>
    <t>65301</t>
  </si>
  <si>
    <t>PROMEXICO (CLOSED ENTITY)</t>
  </si>
  <si>
    <t>Sunbelt Rentals [Pump &amp; Power Services]</t>
  </si>
  <si>
    <t>2341 Deerfield Drive</t>
  </si>
  <si>
    <t>Fort Mill</t>
  </si>
  <si>
    <t>29715</t>
  </si>
  <si>
    <t>US Commercial Service</t>
  </si>
  <si>
    <t>230 N. First Ave., Suite 502</t>
  </si>
  <si>
    <t>VF Transformer</t>
  </si>
  <si>
    <t>31W222 West Bartlett road</t>
  </si>
  <si>
    <t>60103</t>
  </si>
  <si>
    <t>Central Arizona Project</t>
  </si>
  <si>
    <t>23636 N 7th Street</t>
  </si>
  <si>
    <t>85024</t>
  </si>
  <si>
    <t>City of Chandler</t>
  </si>
  <si>
    <t>905 E Queen Creek Rd</t>
  </si>
  <si>
    <t>85286</t>
  </si>
  <si>
    <t>Tri-County Electric Co-Op Southwest Division</t>
  </si>
  <si>
    <t>1623 Weatherford Highway</t>
  </si>
  <si>
    <t>Holly Frontier</t>
  </si>
  <si>
    <t>1700 S. Union Ave</t>
  </si>
  <si>
    <t>74107</t>
  </si>
  <si>
    <t>Integrated Power Company</t>
  </si>
  <si>
    <t>PO Box  631783</t>
  </si>
  <si>
    <t>80163</t>
  </si>
  <si>
    <t>Timberline Construction, Inc</t>
  </si>
  <si>
    <t>2326 Dyess Ave</t>
  </si>
  <si>
    <t>Newton Municipal Utilities (TX)</t>
  </si>
  <si>
    <t>101 North Street</t>
  </si>
  <si>
    <t>Yuma Proving Ground</t>
  </si>
  <si>
    <t>301 C Street Bld 2100 RM.8</t>
  </si>
  <si>
    <t>Adaman Mutual Water Co</t>
  </si>
  <si>
    <t>106251 W Glendale Ave</t>
  </si>
  <si>
    <t>Litchfield Park</t>
  </si>
  <si>
    <t>85340</t>
  </si>
  <si>
    <t>City of Cerritos</t>
  </si>
  <si>
    <t>18125 Bloomfield Avenue</t>
  </si>
  <si>
    <t>City of Phoenix</t>
  </si>
  <si>
    <t>200 W Washington</t>
  </si>
  <si>
    <t>85001</t>
  </si>
  <si>
    <t>Sabine River Authority Of Texas</t>
  </si>
  <si>
    <t>450 Spur 135</t>
  </si>
  <si>
    <t>Burkville</t>
  </si>
  <si>
    <t>75932</t>
  </si>
  <si>
    <t>Comision Federal De Electricidad</t>
  </si>
  <si>
    <t>C.P. 83000</t>
  </si>
  <si>
    <t>MX</t>
  </si>
  <si>
    <t>Sonora</t>
  </si>
  <si>
    <t>Hunt Power</t>
  </si>
  <si>
    <t>1900 North Akard Street</t>
  </si>
  <si>
    <t>Jay Dee Contractors, Inc</t>
  </si>
  <si>
    <t>38777 Schoolcraft rd</t>
  </si>
  <si>
    <t>NEI Electric Power</t>
  </si>
  <si>
    <t>11049 W 44th Ave Ste 100</t>
  </si>
  <si>
    <t>Wheat Ridge</t>
  </si>
  <si>
    <t>80033</t>
  </si>
  <si>
    <t>Novinium</t>
  </si>
  <si>
    <t>22820 Russel rd</t>
  </si>
  <si>
    <t>98032</t>
  </si>
  <si>
    <t>SandRidge Energy</t>
  </si>
  <si>
    <t>123 Robert S Kerr</t>
  </si>
  <si>
    <t>South Coast Surplus &amp; American Metals Management</t>
  </si>
  <si>
    <t>Valley Transformer Inc. (TGC)</t>
  </si>
  <si>
    <t>21318 E. Gilbert Ave</t>
  </si>
  <si>
    <t>Otis Orchards</t>
  </si>
  <si>
    <t>99027</t>
  </si>
  <si>
    <t>Cap Rock Energy Corporation</t>
  </si>
  <si>
    <t>500 w Wall St</t>
  </si>
  <si>
    <t>79701</t>
  </si>
  <si>
    <t>C B Inc</t>
  </si>
  <si>
    <t>704 E. Hazleton Ave</t>
  </si>
  <si>
    <t>95203</t>
  </si>
  <si>
    <t>COMANCHE COUNTY ELEC COOP</t>
  </si>
  <si>
    <t>1801 COUNTY ROAD 338</t>
  </si>
  <si>
    <t>EARLY</t>
  </si>
  <si>
    <t>76802</t>
  </si>
  <si>
    <t>John Fetchet Co</t>
  </si>
  <si>
    <t>15711 Station Rd</t>
  </si>
  <si>
    <t>44028</t>
  </si>
  <si>
    <t>Madsen, Kneppers &amp; Associates, Inc.</t>
  </si>
  <si>
    <t>11024 N 28th Drive ste 105</t>
  </si>
  <si>
    <t>85029</t>
  </si>
  <si>
    <t>MGC Contractors</t>
  </si>
  <si>
    <t>4110 E Elwood Street</t>
  </si>
  <si>
    <t>Platt River Power Authority</t>
  </si>
  <si>
    <t>2000 E Horsetooth Rd</t>
  </si>
  <si>
    <t>80525</t>
  </si>
  <si>
    <t>Terracon Consultants, Inc</t>
  </si>
  <si>
    <t>4685 S Ash Ave #4</t>
  </si>
  <si>
    <t>Aguila Irrigation Distrist</t>
  </si>
  <si>
    <t>160 N Pasadena</t>
  </si>
  <si>
    <t>APS Redhawk Power Plant</t>
  </si>
  <si>
    <t>11600 S 363 Rd Ave</t>
  </si>
  <si>
    <t>85322</t>
  </si>
  <si>
    <t>CalEnergy Generation</t>
  </si>
  <si>
    <t>7030 Gentry Road</t>
  </si>
  <si>
    <t>Calipatria</t>
  </si>
  <si>
    <t>92233</t>
  </si>
  <si>
    <t>California ISO</t>
  </si>
  <si>
    <t>250 Outcropping Way</t>
  </si>
  <si>
    <t>95630</t>
  </si>
  <si>
    <t>Calpine South Point Energy Center</t>
  </si>
  <si>
    <t>3775 E Courtwright Rd</t>
  </si>
  <si>
    <t>Luling Electric Dept</t>
  </si>
  <si>
    <t>TESSCO</t>
  </si>
  <si>
    <t>1031 Andrews Hwy, Suite 450</t>
  </si>
  <si>
    <t>79702</t>
  </si>
  <si>
    <t>Petro Harvester</t>
  </si>
  <si>
    <t>5851 Legacy Circle, Suite 500</t>
  </si>
  <si>
    <t>Plano</t>
  </si>
  <si>
    <t>75024</t>
  </si>
  <si>
    <t>Commercial Forms</t>
  </si>
  <si>
    <t>City of Corona Dept of Water and Power</t>
  </si>
  <si>
    <t>755 Public Safety Way</t>
  </si>
  <si>
    <t>92882</t>
  </si>
  <si>
    <t>Bells Processing</t>
  </si>
  <si>
    <t>Sunbelt Transformers</t>
  </si>
  <si>
    <t>6301 Seven Seas Ave</t>
  </si>
  <si>
    <t>Maricopa County Electrical District #7</t>
  </si>
  <si>
    <t>14629 W Peoria Ave</t>
  </si>
  <si>
    <t>Waddell</t>
  </si>
  <si>
    <t>85355</t>
  </si>
  <si>
    <t>National Security Technologies USDOE</t>
  </si>
  <si>
    <t>Mecury</t>
  </si>
  <si>
    <t>Equisales</t>
  </si>
  <si>
    <t>RWK Electric Co, Inc.</t>
  </si>
  <si>
    <t>Ralphs Industrial Electronics</t>
  </si>
  <si>
    <t>P.O. Box 60700</t>
  </si>
  <si>
    <t>Louisiana</t>
  </si>
  <si>
    <t>Dynegy - Lee Entergy</t>
  </si>
  <si>
    <t>1674 Red Brick Road</t>
  </si>
  <si>
    <t>61021</t>
  </si>
  <si>
    <t>NES Power</t>
  </si>
  <si>
    <t>1214 Church Street</t>
  </si>
  <si>
    <t>Mission Critical Facilities International</t>
  </si>
  <si>
    <t>Metal Processors Inc</t>
  </si>
  <si>
    <t>1404 Allen St</t>
  </si>
  <si>
    <t>Harry B. Miller Company</t>
  </si>
  <si>
    <t>426 Elm Avenue</t>
  </si>
  <si>
    <t>North Wales</t>
  </si>
  <si>
    <t>19454</t>
  </si>
  <si>
    <t>City of Geneva</t>
  </si>
  <si>
    <t>517 South Commerce Street</t>
  </si>
  <si>
    <t>Geneva</t>
  </si>
  <si>
    <t>36340</t>
  </si>
  <si>
    <t>Industrail Distribution Group</t>
  </si>
  <si>
    <t>2100 Oaks Parkway</t>
  </si>
  <si>
    <t>Belmont</t>
  </si>
  <si>
    <t>28012</t>
  </si>
  <si>
    <t>Partner Technologies Inc</t>
  </si>
  <si>
    <t>1155 Park St</t>
  </si>
  <si>
    <t>Regina</t>
  </si>
  <si>
    <t>Saskatchewan</t>
  </si>
  <si>
    <t>S4N 4Y8</t>
  </si>
  <si>
    <t>Halco Electric Co</t>
  </si>
  <si>
    <t>5773 Venice Boulevard</t>
  </si>
  <si>
    <t>90019</t>
  </si>
  <si>
    <t>Arrow Construction Company - Sacramento</t>
  </si>
  <si>
    <t>1850 Diesel Drive</t>
  </si>
  <si>
    <t>95838</t>
  </si>
  <si>
    <t>RoyOMartin</t>
  </si>
  <si>
    <t>1923 U.S. Highway 287 West</t>
  </si>
  <si>
    <t>Briston Construction, LLC</t>
  </si>
  <si>
    <t>309 E. 10th Drive</t>
  </si>
  <si>
    <t>J A H Power Services</t>
  </si>
  <si>
    <t>Entergy-Little Rock</t>
  </si>
  <si>
    <t>5001 Thibault Rd. Bldg A</t>
  </si>
  <si>
    <t>Marcello Distributors</t>
  </si>
  <si>
    <t>P. O BOX 270</t>
  </si>
  <si>
    <t>Donaldsonville</t>
  </si>
  <si>
    <t>70346</t>
  </si>
  <si>
    <t>Marathon Petroluem</t>
  </si>
  <si>
    <t>539 South Main Street</t>
  </si>
  <si>
    <t>Vantran Industries Inc</t>
  </si>
  <si>
    <t>CLE Electric, Inc.</t>
  </si>
  <si>
    <t>22115 South Vermont Avenue</t>
  </si>
  <si>
    <t>90502</t>
  </si>
  <si>
    <t>Specialized Professional Services, Inc</t>
  </si>
  <si>
    <t>312 Bank Street</t>
  </si>
  <si>
    <t>44254</t>
  </si>
  <si>
    <t>Viking Electric</t>
  </si>
  <si>
    <t>EMMS Electric</t>
  </si>
  <si>
    <t>303 Big Road</t>
  </si>
  <si>
    <t>Zieglerville</t>
  </si>
  <si>
    <t>19492</t>
  </si>
  <si>
    <t>Power West Engineering</t>
  </si>
  <si>
    <t>3692 2100 South</t>
  </si>
  <si>
    <t>84120</t>
  </si>
  <si>
    <t>DeCarlo Demolition Company</t>
  </si>
  <si>
    <t>D&amp;R Electric Inc.</t>
  </si>
  <si>
    <t>30423 S. County Road 4415</t>
  </si>
  <si>
    <t>Transformer Associates</t>
  </si>
  <si>
    <t>831 Market Ave N.</t>
  </si>
  <si>
    <t>44702</t>
  </si>
  <si>
    <t>Tri-state</t>
  </si>
  <si>
    <t>Re-Con Company, Inc.</t>
  </si>
  <si>
    <t>Full Power Electrical</t>
  </si>
  <si>
    <t>7877579000</t>
  </si>
  <si>
    <t>Carolina</t>
  </si>
  <si>
    <t>00984</t>
  </si>
  <si>
    <t>Brandon And Clark Inc</t>
  </si>
  <si>
    <t>City of Alexander City (TGC)</t>
  </si>
  <si>
    <t>4 Court Square</t>
  </si>
  <si>
    <t>Tru-Duct</t>
  </si>
  <si>
    <t>Dewberry</t>
  </si>
  <si>
    <t>Intermountain Power</t>
  </si>
  <si>
    <t>850 W Brush Wellman Rd</t>
  </si>
  <si>
    <t>Utah</t>
  </si>
  <si>
    <t>84624</t>
  </si>
  <si>
    <t>Electric Power Systems Intl, Inc - NC</t>
  </si>
  <si>
    <t>Greenwood Utilities (TGC)</t>
  </si>
  <si>
    <t>101 Wright Pl</t>
  </si>
  <si>
    <t>Two Wire Electric Supply Co., Inc.</t>
  </si>
  <si>
    <t>835 South West Street</t>
  </si>
  <si>
    <t>Shermco Industries Inc</t>
  </si>
  <si>
    <t>P.O. Box 540545</t>
  </si>
  <si>
    <t>77354</t>
  </si>
  <si>
    <t>Altitude Energy</t>
  </si>
  <si>
    <t>PO BOX 359</t>
  </si>
  <si>
    <t>Keenesburg</t>
  </si>
  <si>
    <t>80643</t>
  </si>
  <si>
    <t>Hy-Test Industries</t>
  </si>
  <si>
    <t>PO Box 826</t>
  </si>
  <si>
    <t>07081</t>
  </si>
  <si>
    <t>High Voltage Maintenance (MI)</t>
  </si>
  <si>
    <t>24371 Catherine Industrial Drive</t>
  </si>
  <si>
    <t>48375</t>
  </si>
  <si>
    <t>CVREnergy</t>
  </si>
  <si>
    <t>Lighting Resources</t>
  </si>
  <si>
    <t>Emerald Coast Recycling</t>
  </si>
  <si>
    <t>2312 Industrial Dr</t>
  </si>
  <si>
    <t>Robert's Service Group</t>
  </si>
  <si>
    <t>820 North Hague Avenue</t>
  </si>
  <si>
    <t>43204</t>
  </si>
  <si>
    <t>Matrix North American Construction Ltd</t>
  </si>
  <si>
    <t>1974 Sproul Road, Ste.300</t>
  </si>
  <si>
    <t>Broomall</t>
  </si>
  <si>
    <t>19008</t>
  </si>
  <si>
    <t>Delta Testing Services Inc</t>
  </si>
  <si>
    <t>1922 MLK Jr. Drive</t>
  </si>
  <si>
    <t>76504</t>
  </si>
  <si>
    <t>Mobile Fair Grounds</t>
  </si>
  <si>
    <t>North American Trade Group</t>
  </si>
  <si>
    <t>18948 Freeport Dr</t>
  </si>
  <si>
    <t>77356</t>
  </si>
  <si>
    <t>American Industrial Motor Service</t>
  </si>
  <si>
    <t>235 W. Oklahoma Ave</t>
  </si>
  <si>
    <t>Bockmon &amp; Woody Electric Co</t>
  </si>
  <si>
    <t>PO BOX 1018_x000D_
1528 El Pinal Drive</t>
  </si>
  <si>
    <t>95201</t>
  </si>
  <si>
    <t>City of Moundridge Kansas</t>
  </si>
  <si>
    <t>225 S Christian Ave</t>
  </si>
  <si>
    <t>Moundridge</t>
  </si>
  <si>
    <t>Kansas</t>
  </si>
  <si>
    <t>67107</t>
  </si>
  <si>
    <t>Ohio Power Company</t>
  </si>
  <si>
    <t>Equipment &amp; Salvage Sales</t>
  </si>
  <si>
    <t>Moses Lake</t>
  </si>
  <si>
    <t>98837</t>
  </si>
  <si>
    <t>Jenkins Electric Company</t>
  </si>
  <si>
    <t>P.O. Box 32127</t>
  </si>
  <si>
    <t>28232</t>
  </si>
  <si>
    <t>Zachary High Voltage</t>
  </si>
  <si>
    <t>616 Davis Drive</t>
  </si>
  <si>
    <t>79416</t>
  </si>
  <si>
    <t>Cape Electrical Supply Inc</t>
  </si>
  <si>
    <t>West Central Electric Coop</t>
  </si>
  <si>
    <t>400 WEST 2ND</t>
  </si>
  <si>
    <t>Murdo</t>
  </si>
  <si>
    <t>57559</t>
  </si>
  <si>
    <t>Substation Maintenence</t>
  </si>
  <si>
    <t>P.O. Box 1412</t>
  </si>
  <si>
    <t>City of Troy Kansas</t>
  </si>
  <si>
    <t>QUALITROL LLC (TGC)</t>
  </si>
  <si>
    <t>1385 Fairport Road</t>
  </si>
  <si>
    <t>Fairport</t>
  </si>
  <si>
    <t>Stuart C. Irby</t>
  </si>
  <si>
    <t>5208 Sycamore Drive</t>
  </si>
  <si>
    <t>32503-2266</t>
  </si>
  <si>
    <t>Knotts &amp; Co</t>
  </si>
  <si>
    <t>P.O. Box 1335</t>
  </si>
  <si>
    <t>Electro-Test &amp; Maintenance Inc</t>
  </si>
  <si>
    <t>5401 Circle Street</t>
  </si>
  <si>
    <t>Black Hawk</t>
  </si>
  <si>
    <t>57718</t>
  </si>
  <si>
    <t>City of Ramona OK</t>
  </si>
  <si>
    <t>City of Dewey Oklahoma</t>
  </si>
  <si>
    <t>411 E Don Tyler Ave</t>
  </si>
  <si>
    <t>Dewey</t>
  </si>
  <si>
    <t>Oklahoma</t>
  </si>
  <si>
    <t>74029</t>
  </si>
  <si>
    <t>Warren Steel Specialities Corporaiton</t>
  </si>
  <si>
    <t>P.O. Box 1391</t>
  </si>
  <si>
    <t>44482</t>
  </si>
  <si>
    <t>Polypore International, LP</t>
  </si>
  <si>
    <t>11430 N. Community House Road, Suite 350</t>
  </si>
  <si>
    <t>28277-1591</t>
  </si>
  <si>
    <t>Brigham Young University</t>
  </si>
  <si>
    <t>965 Cascade Run Ct</t>
  </si>
  <si>
    <t>2310 Blue Ridge Dr</t>
  </si>
  <si>
    <t>Blue Ridge</t>
  </si>
  <si>
    <t>30513</t>
  </si>
  <si>
    <t>Steel Dynamics</t>
  </si>
  <si>
    <t>Gilbert Electric</t>
  </si>
  <si>
    <t>Martin Engineering</t>
  </si>
  <si>
    <t>City of Bryant SD</t>
  </si>
  <si>
    <t>Oil Service Inc</t>
  </si>
  <si>
    <t>2899 Grand Ave</t>
  </si>
  <si>
    <t>15225</t>
  </si>
  <si>
    <t>Electric Manufacturing &amp; Contracting Company - Chesapeake</t>
  </si>
  <si>
    <t>3703 Cook Boulevard</t>
  </si>
  <si>
    <t>Chesapeake</t>
  </si>
  <si>
    <t>23323</t>
  </si>
  <si>
    <t>HIGH TO LOW VOLTAGE</t>
  </si>
  <si>
    <t>SE Regional Process Control</t>
  </si>
  <si>
    <t>City of Ochelata OK</t>
  </si>
  <si>
    <t>Jicarilla Apache Nation Power Authority</t>
  </si>
  <si>
    <t>50 North Mundo Drive</t>
  </si>
  <si>
    <t>Dulce</t>
  </si>
  <si>
    <t>87528</t>
  </si>
  <si>
    <t>Instel Power Products</t>
  </si>
  <si>
    <t>303 Greer Road</t>
  </si>
  <si>
    <t>Simpsonville</t>
  </si>
  <si>
    <t>29681</t>
  </si>
  <si>
    <t>Morlandt Electric</t>
  </si>
  <si>
    <t>California Department of Water Resources</t>
  </si>
  <si>
    <t>1416 9th St</t>
  </si>
  <si>
    <t>Federal Aviation Administration</t>
  </si>
  <si>
    <t>6834 Commerce Avenue</t>
  </si>
  <si>
    <t>79915</t>
  </si>
  <si>
    <t>City of Claremore</t>
  </si>
  <si>
    <t>Central Illinois Recloser</t>
  </si>
  <si>
    <t>775 Dudleyville Rd.</t>
  </si>
  <si>
    <t>ILL</t>
  </si>
  <si>
    <t>62246-</t>
  </si>
  <si>
    <t>Cooper Power Systems - Waukesha</t>
  </si>
  <si>
    <t>Bartlesville OK</t>
  </si>
  <si>
    <t>City of Fresno Utilities</t>
  </si>
  <si>
    <t>San José Clean Energy</t>
  </si>
  <si>
    <t>200 E Santa Clara St</t>
  </si>
  <si>
    <t>95113</t>
  </si>
  <si>
    <t>Krueger Associates Inc</t>
  </si>
  <si>
    <t>500 S Lynn Riggs Blvd_x000D_
#296</t>
  </si>
  <si>
    <t>Effingham county</t>
  </si>
  <si>
    <t>311 Highway 119</t>
  </si>
  <si>
    <t>31329</t>
  </si>
  <si>
    <t>East Bay Municipal Utility District</t>
  </si>
  <si>
    <t>375 11th St</t>
  </si>
  <si>
    <t>94607</t>
  </si>
  <si>
    <t>Boser Tech Ltd</t>
  </si>
  <si>
    <t>Victorville Municipal Utilities</t>
  </si>
  <si>
    <t>Rhino Power</t>
  </si>
  <si>
    <t>Burney Forest Power</t>
  </si>
  <si>
    <t>American Bridge Company</t>
  </si>
  <si>
    <t>1000 American Bridge Way</t>
  </si>
  <si>
    <t>Coraopolis</t>
  </si>
  <si>
    <t>15108</t>
  </si>
  <si>
    <t>B&amp;D Construction</t>
  </si>
  <si>
    <t>ANIXTER (HD Supply- Huntsville)</t>
  </si>
  <si>
    <t>417 Commerce Drive</t>
  </si>
  <si>
    <t>35801</t>
  </si>
  <si>
    <t>RESA Power Services/NPM Services</t>
  </si>
  <si>
    <t>4552 Happy Valley Road</t>
  </si>
  <si>
    <t>Cave City</t>
  </si>
  <si>
    <t>42127</t>
  </si>
  <si>
    <t>Pathfinder HHD, LLC</t>
  </si>
  <si>
    <t>1129 NW 10th Street</t>
  </si>
  <si>
    <t>73099</t>
  </si>
  <si>
    <t>California Resources</t>
  </si>
  <si>
    <t>9200 Oakdale Ave</t>
  </si>
  <si>
    <t>Le Meyer Co.</t>
  </si>
  <si>
    <t>1655 Hubbard Avenue</t>
  </si>
  <si>
    <t>NWL Inc,</t>
  </si>
  <si>
    <t>312 Rising Sun Road</t>
  </si>
  <si>
    <t>Bordentown</t>
  </si>
  <si>
    <t>08505</t>
  </si>
  <si>
    <t>UT-Battelle, LLC</t>
  </si>
  <si>
    <t>505 King Avenue</t>
  </si>
  <si>
    <t>43201</t>
  </si>
  <si>
    <t>Northwest Lineman College</t>
  </si>
  <si>
    <t>7600 S Meridian Rd</t>
  </si>
  <si>
    <t>Idaho</t>
  </si>
  <si>
    <t>83642</t>
  </si>
  <si>
    <t>City of Owasso</t>
  </si>
  <si>
    <t>Electrical Reliability Services</t>
  </si>
  <si>
    <t>City and County of San Francisco</t>
  </si>
  <si>
    <t>1 Dr Carlton B Goodlett Pl</t>
  </si>
  <si>
    <t>94102</t>
  </si>
  <si>
    <t>Storms-McMullen Electric, Inc.</t>
  </si>
  <si>
    <t>4007 Guion Lane</t>
  </si>
  <si>
    <t>Haley's Winding</t>
  </si>
  <si>
    <t>201 Kettering St.</t>
  </si>
  <si>
    <t>Advanced Testing Systems Inc</t>
  </si>
  <si>
    <t>15 Trowbridge Drive</t>
  </si>
  <si>
    <t>06801</t>
  </si>
  <si>
    <t>Electrical &amp; Electronic Controls</t>
  </si>
  <si>
    <t>3881 Danbury Rd</t>
  </si>
  <si>
    <t>10509</t>
  </si>
  <si>
    <t>MS Wildlife &amp; Fisheries</t>
  </si>
  <si>
    <t>1505 Eastover Drive</t>
  </si>
  <si>
    <t>39216</t>
  </si>
  <si>
    <t>DELCO Electric</t>
  </si>
  <si>
    <t>Parker Hannifin (MO)</t>
  </si>
  <si>
    <t>Wastelinq</t>
  </si>
  <si>
    <t>8901 Jameel Road #180</t>
  </si>
  <si>
    <t>77040</t>
  </si>
  <si>
    <t>Alamo Transformer</t>
  </si>
  <si>
    <t>City of Sperry OK</t>
  </si>
  <si>
    <t>116 West Main Street</t>
  </si>
  <si>
    <t>27596</t>
  </si>
  <si>
    <t>Eaton Corporation - PA</t>
  </si>
  <si>
    <t>130 Commonwealth Drive</t>
  </si>
  <si>
    <t>Eastern High Voltage Inc</t>
  </si>
  <si>
    <t>11a South Gold Drive</t>
  </si>
  <si>
    <t>Robbinsville Township</t>
  </si>
  <si>
    <t>08691</t>
  </si>
  <si>
    <t>American Industrial Motor Services</t>
  </si>
  <si>
    <t>235 West Oklahoma Avenue</t>
  </si>
  <si>
    <t>Sercel Inc</t>
  </si>
  <si>
    <t>17200 Park Row</t>
  </si>
  <si>
    <t>DYMAX Service, LLC/RESA Power</t>
  </si>
  <si>
    <t>3890 Pheasant Ridge Drive Northeast</t>
  </si>
  <si>
    <t>Demand Enterprises</t>
  </si>
  <si>
    <t>6279 Woodenshoe Road</t>
  </si>
  <si>
    <t>TEX-US Substation Services</t>
  </si>
  <si>
    <t>1923 U.S. 287</t>
  </si>
  <si>
    <t>Eutex</t>
  </si>
  <si>
    <t>1225 North Loop West #705</t>
  </si>
  <si>
    <t>77008</t>
  </si>
  <si>
    <t>TAW INC</t>
  </si>
  <si>
    <t>5070 Swindell Road</t>
  </si>
  <si>
    <t>33810</t>
  </si>
  <si>
    <t>Dow Corning Corp</t>
  </si>
  <si>
    <t>P.O. Box 0998</t>
  </si>
  <si>
    <t>48686</t>
  </si>
  <si>
    <t>Going Going Gone. Demolition, Inc.</t>
  </si>
  <si>
    <t>R.D. Holder Oil Co.</t>
  </si>
  <si>
    <t>600 N Dayton Lakeview Rd</t>
  </si>
  <si>
    <t>New Carlisle</t>
  </si>
  <si>
    <t>45344</t>
  </si>
  <si>
    <t>Nucor Coldfinish</t>
  </si>
  <si>
    <t>Daniel Baye (web inquiry)</t>
  </si>
  <si>
    <t>JJ&amp;J Electric</t>
  </si>
  <si>
    <t>City of Llano</t>
  </si>
  <si>
    <t>Llano</t>
  </si>
  <si>
    <t>City of Mason, TX</t>
  </si>
  <si>
    <t>Tradinter Development</t>
  </si>
  <si>
    <t>8035 Northwest 60th Street</t>
  </si>
  <si>
    <t>Ohm Sales, Inc</t>
  </si>
  <si>
    <t>Fastech</t>
  </si>
  <si>
    <t>Deep South Utility Services</t>
  </si>
  <si>
    <t>AMTRAK</t>
  </si>
  <si>
    <t>6301 Quad Avenue</t>
  </si>
  <si>
    <t>21205</t>
  </si>
  <si>
    <t>Allied Oil And Supply Inc</t>
  </si>
  <si>
    <t>2208 S 24th St</t>
  </si>
  <si>
    <t>Nebraska</t>
  </si>
  <si>
    <t>68108</t>
  </si>
  <si>
    <t>Duke Entergy-Greenville</t>
  </si>
  <si>
    <t>425 Forest Way</t>
  </si>
  <si>
    <t>29607</t>
  </si>
  <si>
    <t>Ge Grid Solutions LLC</t>
  </si>
  <si>
    <t>1 Power Lane</t>
  </si>
  <si>
    <t>WESCO Distribution Inc. - VA</t>
  </si>
  <si>
    <t>12141 Wilfong Court</t>
  </si>
  <si>
    <t>Midlothian</t>
  </si>
  <si>
    <t>23112</t>
  </si>
  <si>
    <t>Vector Electric &amp; Control</t>
  </si>
  <si>
    <t>39423 Babin Road</t>
  </si>
  <si>
    <t>Center for Energy and Environment</t>
  </si>
  <si>
    <t>212 3rd Ave N Suite 560</t>
  </si>
  <si>
    <t>55401</t>
  </si>
  <si>
    <t>The McPherson Companies, Inc.</t>
  </si>
  <si>
    <t>5051 Cardinal Street</t>
  </si>
  <si>
    <t>Trussville</t>
  </si>
  <si>
    <t>35173</t>
  </si>
  <si>
    <t>Saint-Gobain</t>
  </si>
  <si>
    <t>110 Bond Road</t>
  </si>
  <si>
    <t>Charlton</t>
  </si>
  <si>
    <t>01087</t>
  </si>
  <si>
    <t>First Energy - West Penn Power</t>
  </si>
  <si>
    <t>401 Coyle Curtain Road</t>
  </si>
  <si>
    <t>Monongahela</t>
  </si>
  <si>
    <t>15063</t>
  </si>
  <si>
    <t>TKC Enterprises Inc.</t>
  </si>
  <si>
    <t>1121 Winston Street</t>
  </si>
  <si>
    <t>75060</t>
  </si>
  <si>
    <t>TDI-PS:First En-Connellsville</t>
  </si>
  <si>
    <t>311 South 7th Street</t>
  </si>
  <si>
    <t>Connellsville</t>
  </si>
  <si>
    <t>15425</t>
  </si>
  <si>
    <t>Lubbock Power &amp; Light</t>
  </si>
  <si>
    <t>Eaton Corp. - LA</t>
  </si>
  <si>
    <t>W. H. Thomas Oil Co., Inc.</t>
  </si>
  <si>
    <t>702 Greasy Ridge Rd</t>
  </si>
  <si>
    <t>Alabama</t>
  </si>
  <si>
    <t>Enterprise Products (IL)</t>
  </si>
  <si>
    <t>875 Texas Eastern Road</t>
  </si>
  <si>
    <t>Buncombe</t>
  </si>
  <si>
    <t>62912</t>
  </si>
  <si>
    <t>Noramco/North American Trade Center</t>
  </si>
  <si>
    <t>WESCO STATE COLLEGE</t>
  </si>
  <si>
    <t>118 Hawbaker Industrial Drive</t>
  </si>
  <si>
    <t>State College</t>
  </si>
  <si>
    <t>16803</t>
  </si>
  <si>
    <t>City of Grand Island Utilities</t>
  </si>
  <si>
    <t>1116 West North Front Street</t>
  </si>
  <si>
    <t>Systems Control Associates</t>
  </si>
  <si>
    <t>337 Marba Road</t>
  </si>
  <si>
    <t>Severna Park</t>
  </si>
  <si>
    <t>21146</t>
  </si>
  <si>
    <t>North Coast Electric Co</t>
  </si>
  <si>
    <t>5410 Fairbanks Street</t>
  </si>
  <si>
    <t>Falls Machine (AZ cst)</t>
  </si>
  <si>
    <t>Mike Kuihl</t>
  </si>
  <si>
    <t>ET Capital Inc -  formally ET Solutions</t>
  </si>
  <si>
    <t>4900 Hopyard Road</t>
  </si>
  <si>
    <t>Des Moines Water Works</t>
  </si>
  <si>
    <t>2201 George Flagg Pkwy</t>
  </si>
  <si>
    <t>Iowa</t>
  </si>
  <si>
    <t>50321</t>
  </si>
  <si>
    <t>Gresco Utility Supply Inc</t>
  </si>
  <si>
    <t>1135 Rumble Rd</t>
  </si>
  <si>
    <t>31029</t>
  </si>
  <si>
    <t>Adirondack Regional Airport</t>
  </si>
  <si>
    <t>96 Airport Road</t>
  </si>
  <si>
    <t>Saranac Lake</t>
  </si>
  <si>
    <t>12983</t>
  </si>
  <si>
    <t>Clear Lake Lumber, Inc.</t>
  </si>
  <si>
    <t>409 Main Street</t>
  </si>
  <si>
    <t>Spartansburg</t>
  </si>
  <si>
    <t>16434</t>
  </si>
  <si>
    <t>Dominion Energy</t>
  </si>
  <si>
    <t>120 Tredegar St</t>
  </si>
  <si>
    <t>Virginia</t>
  </si>
  <si>
    <t>Porter Walker LLC</t>
  </si>
  <si>
    <t>115 Dyer Street</t>
  </si>
  <si>
    <t>Salt River Project</t>
  </si>
  <si>
    <t>1500 N Mill Ave</t>
  </si>
  <si>
    <t>Arizona</t>
  </si>
  <si>
    <t>Walthall Oil Co</t>
  </si>
  <si>
    <t>2510 Allen Rd</t>
  </si>
  <si>
    <t>31216</t>
  </si>
  <si>
    <t>Hydro Resources-Rocky Mnt Inc</t>
  </si>
  <si>
    <t>13027 County Road 18</t>
  </si>
  <si>
    <t>Fort Lupton</t>
  </si>
  <si>
    <t>80621</t>
  </si>
  <si>
    <t>City of San Saba</t>
  </si>
  <si>
    <t>Ontario Power Generation Inc</t>
  </si>
  <si>
    <t>700 University Ave</t>
  </si>
  <si>
    <t>Toronto</t>
  </si>
  <si>
    <t>M5G 1X6</t>
  </si>
  <si>
    <t>WhitCo Supply  LLC</t>
  </si>
  <si>
    <t>200 North Morgan Avenue</t>
  </si>
  <si>
    <t>Broussard</t>
  </si>
  <si>
    <t>70518</t>
  </si>
  <si>
    <t>A-Line TDS</t>
  </si>
  <si>
    <t>1500 N. Main Street</t>
  </si>
  <si>
    <t>ElectriComm, Inc.</t>
  </si>
  <si>
    <t>P.O. Box 8324</t>
  </si>
  <si>
    <t>Quincy Columbia Basin Irrigation District</t>
  </si>
  <si>
    <t>1720 Central Avenue South</t>
  </si>
  <si>
    <t>98848</t>
  </si>
  <si>
    <t>Petro-Rite Inc</t>
  </si>
  <si>
    <t>P.O. Box 3203</t>
  </si>
  <si>
    <t>Crow Marcrum Inc.</t>
  </si>
  <si>
    <t>1699 25th Avenue</t>
  </si>
  <si>
    <t>RED Technologies, LLC</t>
  </si>
  <si>
    <t>209 Pickering Street</t>
  </si>
  <si>
    <t>06480</t>
  </si>
  <si>
    <t>Kaman Industrial Technologies Corp</t>
  </si>
  <si>
    <t>213 West Wayne Street</t>
  </si>
  <si>
    <t>46802</t>
  </si>
  <si>
    <t>AC Electric Corp.</t>
  </si>
  <si>
    <t>120 Merrow Rd</t>
  </si>
  <si>
    <t>04210</t>
  </si>
  <si>
    <t>Graybar Saint Louis Service Center</t>
  </si>
  <si>
    <t>8170 Lackland Road</t>
  </si>
  <si>
    <t>Anaergia Inc</t>
  </si>
  <si>
    <t>5780 Fleet St</t>
  </si>
  <si>
    <t>Carlsbad</t>
  </si>
  <si>
    <t>92008</t>
  </si>
  <si>
    <t>H &amp; H Transformer</t>
  </si>
  <si>
    <t>8075 Pontiac Street</t>
  </si>
  <si>
    <t>IRG Power Systems (TGC)</t>
  </si>
  <si>
    <t>9333 Dielman Industrial Drive</t>
  </si>
  <si>
    <t>Olivette</t>
  </si>
  <si>
    <t>SOLminer Farms LLC</t>
  </si>
  <si>
    <t>Power Services, Inc.</t>
  </si>
  <si>
    <t>19030 Rio Vista Drive</t>
  </si>
  <si>
    <t>36532</t>
  </si>
  <si>
    <t>Transformer Inspection Retrofill Company</t>
  </si>
  <si>
    <t>2704 Normandy Road</t>
  </si>
  <si>
    <t>Royal Oak</t>
  </si>
  <si>
    <t>48073</t>
  </si>
  <si>
    <t>DYMAX Service LLC/RESA Power LLC</t>
  </si>
  <si>
    <t>4213 Kropf Avenue Southwest</t>
  </si>
  <si>
    <t>Bloom Eletrical Supply</t>
  </si>
  <si>
    <t>3003 Dickerson Pike</t>
  </si>
  <si>
    <t>37207</t>
  </si>
  <si>
    <t>Control Electrique RK Inc.</t>
  </si>
  <si>
    <t>126 Rue Savard</t>
  </si>
  <si>
    <t>Matane</t>
  </si>
  <si>
    <t>QC</t>
  </si>
  <si>
    <t>G4W</t>
  </si>
  <si>
    <t>University of Colorado Boulder</t>
  </si>
  <si>
    <t>80309</t>
  </si>
  <si>
    <t>Basham Oil</t>
  </si>
  <si>
    <t>2428 Roanoke Avenue Southwest</t>
  </si>
  <si>
    <t>24015</t>
  </si>
  <si>
    <t>Curtis Products Inc</t>
  </si>
  <si>
    <t>401 N Bendix Dr</t>
  </si>
  <si>
    <t>Powercom Corp</t>
  </si>
  <si>
    <t>709 Rose Rd</t>
  </si>
  <si>
    <t>Lake Zurich</t>
  </si>
  <si>
    <t>Illinois</t>
  </si>
  <si>
    <t>60047</t>
  </si>
  <si>
    <t>Speciality Transformer</t>
  </si>
  <si>
    <t>2869 South West Temple</t>
  </si>
  <si>
    <t>City of Doerun</t>
  </si>
  <si>
    <t>American MTS</t>
  </si>
  <si>
    <t>1825 North Rocky River Road</t>
  </si>
  <si>
    <t>Primary Source Electric</t>
  </si>
  <si>
    <t>5930 Southmoor Drive</t>
  </si>
  <si>
    <t>Progressive Supply</t>
  </si>
  <si>
    <t>1025 Rose Creek Drive</t>
  </si>
  <si>
    <t>Woodstock</t>
  </si>
  <si>
    <t>30189</t>
  </si>
  <si>
    <t>W L Gore &amp; Associates Inc - Elk Creek</t>
  </si>
  <si>
    <t>295 Blue Ball Road</t>
  </si>
  <si>
    <t>Womack Electric Supply Co</t>
  </si>
  <si>
    <t>518 Newton St</t>
  </si>
  <si>
    <t>Energy United EMC</t>
  </si>
  <si>
    <t>567 Mocksville Highway</t>
  </si>
  <si>
    <t>Dexsil Corp</t>
  </si>
  <si>
    <t>1 Hamden Park Drive</t>
  </si>
  <si>
    <t>Hamden</t>
  </si>
  <si>
    <t>06517</t>
  </si>
  <si>
    <t>Weidmann Electrical Technology Inc.</t>
  </si>
  <si>
    <t>137 Gordon Mills Way</t>
  </si>
  <si>
    <t>Saint Johnsbury</t>
  </si>
  <si>
    <t>05819</t>
  </si>
  <si>
    <t>American Plumbing &amp; Electrical</t>
  </si>
  <si>
    <t>1735 Alton Road</t>
  </si>
  <si>
    <t>Miami Beach</t>
  </si>
  <si>
    <t>33139</t>
  </si>
  <si>
    <t>Electronic Concepts Inc</t>
  </si>
  <si>
    <t>526 Industrial Way W_x000D_
P.O. Box 1278</t>
  </si>
  <si>
    <t>Eatontown</t>
  </si>
  <si>
    <t>07724</t>
  </si>
  <si>
    <t>Strata Solar LLC</t>
  </si>
  <si>
    <t>800 Taylor St</t>
  </si>
  <si>
    <t>Durham</t>
  </si>
  <si>
    <t>North Carolina</t>
  </si>
  <si>
    <t>27701</t>
  </si>
  <si>
    <t>APS Power Solutions</t>
  </si>
  <si>
    <t>319 Vann Drive_x000D_
E196</t>
  </si>
  <si>
    <t>38305</t>
  </si>
  <si>
    <t>Cayce Mill Supply Co</t>
  </si>
  <si>
    <t>2225 Pembroke Road</t>
  </si>
  <si>
    <t>42240</t>
  </si>
  <si>
    <t>the University of TX at Dallas</t>
  </si>
  <si>
    <t>800 West Campbell Road</t>
  </si>
  <si>
    <t>Richardson</t>
  </si>
  <si>
    <t>75080</t>
  </si>
  <si>
    <t>Sbs Electric Supply Co</t>
  </si>
  <si>
    <t>625 S Cherry St</t>
  </si>
  <si>
    <t>35630</t>
  </si>
  <si>
    <t>SOUND &amp; SEA TECHNOLOGY Inc.</t>
  </si>
  <si>
    <t>3507 Shelby Road</t>
  </si>
  <si>
    <t>Lynnwood</t>
  </si>
  <si>
    <t>98087</t>
  </si>
  <si>
    <t>United Therapeutics Corporation</t>
  </si>
  <si>
    <t>1040 Spring Street</t>
  </si>
  <si>
    <t>Silver Spring</t>
  </si>
  <si>
    <t>20910</t>
  </si>
  <si>
    <t>Donald Weig</t>
  </si>
  <si>
    <t>8416 South Summerville Road</t>
  </si>
  <si>
    <t>53525</t>
  </si>
  <si>
    <t>Environmental and Infrastructure Group</t>
  </si>
  <si>
    <t>204 Mill St</t>
  </si>
  <si>
    <t>19007</t>
  </si>
  <si>
    <t>Real Alloy</t>
  </si>
  <si>
    <t>368 West Garfield Avenue</t>
  </si>
  <si>
    <t>Welldog</t>
  </si>
  <si>
    <t>621 East 17th Avenue_x000D_
Unit 2555</t>
  </si>
  <si>
    <t>80293</t>
  </si>
  <si>
    <t>EMI of Kansas City</t>
  </si>
  <si>
    <t>861 S. 66th Terrace</t>
  </si>
  <si>
    <t>Mahan LLC</t>
  </si>
  <si>
    <t>13506 West 155th Place North</t>
  </si>
  <si>
    <t>Dashiell Corp - Deer Park</t>
  </si>
  <si>
    <t>1300 Underwood Road</t>
  </si>
  <si>
    <t>Eaton Corportation - WV</t>
  </si>
  <si>
    <t>416 Industrial Drive</t>
  </si>
  <si>
    <t>25813</t>
  </si>
  <si>
    <t>American Water Works Association</t>
  </si>
  <si>
    <t>6666 W Quincy Ave</t>
  </si>
  <si>
    <t>Colorado</t>
  </si>
  <si>
    <t>80235</t>
  </si>
  <si>
    <t>Monday</t>
  </si>
  <si>
    <t>Tuesday</t>
  </si>
  <si>
    <t>Wednesday</t>
  </si>
  <si>
    <t>Thursday</t>
  </si>
  <si>
    <t>Friday</t>
  </si>
  <si>
    <t>Column1</t>
  </si>
  <si>
    <t>25 Florey Street</t>
  </si>
  <si>
    <t>931 North McDonough Street</t>
  </si>
  <si>
    <t>1251 South Decatur St</t>
  </si>
  <si>
    <t>33.4677415,-88.7891262</t>
  </si>
  <si>
    <t>AIzaSyAlrj1tmPvPqtWOixqSEOiydRyKyZiBHjo</t>
  </si>
  <si>
    <t>28.104897,-81.631729</t>
  </si>
  <si>
    <t>33.1225678,-89.0535044</t>
  </si>
  <si>
    <t>33.0588435,-89.5903167</t>
  </si>
  <si>
    <t>30.6307191,-84.4146814</t>
  </si>
  <si>
    <t>30.9518734,-85.5125157</t>
  </si>
  <si>
    <t>33.7440023,-90.7248187</t>
  </si>
  <si>
    <t>30.2853231,-81.405824</t>
  </si>
  <si>
    <t>31.7140272,-86.2643253</t>
  </si>
  <si>
    <t>34.2001086,-90.5709323</t>
  </si>
  <si>
    <t>34.4798123,-87.7340372</t>
  </si>
  <si>
    <t>33.5829154,-86.632742</t>
  </si>
  <si>
    <t>32.9053466,-86.7085767</t>
  </si>
  <si>
    <t>30.721413,-86.5662155</t>
  </si>
  <si>
    <t>32.3618738,-86.299616</t>
  </si>
  <si>
    <t>26.8495948,-80.0583981</t>
  </si>
  <si>
    <t>33.1796344,-87.5531051</t>
  </si>
  <si>
    <t>32.4827796,-85.5596159</t>
  </si>
  <si>
    <t>31.2698358,-86.2433576</t>
  </si>
  <si>
    <t>34.4348071,-86.9329862</t>
  </si>
  <si>
    <t>Start</t>
  </si>
  <si>
    <t>End</t>
  </si>
  <si>
    <t>Route</t>
  </si>
  <si>
    <t>931 North McDonough Street, Montgomery, AL, 36104</t>
  </si>
  <si>
    <t>605 Mississippi 182, Starkville, MS, 39759</t>
  </si>
  <si>
    <t>116 Terrace Dr, Haines City, FL, 33844</t>
  </si>
  <si>
    <t>118 South Columbus Avenue, Louisville, MS, 39339</t>
  </si>
  <si>
    <t>124 W Washington, Kosciusko, MS, 39090</t>
  </si>
  <si>
    <t>711 N Main St., Havana, FL, 32333</t>
  </si>
  <si>
    <t>5282 Peanut Rd., Graceville, FL, 32440</t>
  </si>
  <si>
    <t xml:space="preserve">, Cleveland, MS, </t>
  </si>
  <si>
    <t>1460 Shetter Avenue, Jacksonville Beach, FL, 32250</t>
  </si>
  <si>
    <t>65 6th Street, Luverne, AL, 36049</t>
  </si>
  <si>
    <t>240 Hicks Street, Clarksdale, MS, 38614</t>
  </si>
  <si>
    <t>475 Walnut Gate Rd, Russellville, AL, 35654</t>
  </si>
  <si>
    <t>2656 Queenstown Road, Birmingham, AL, 35210</t>
  </si>
  <si>
    <t>19953 US-31 AL, Thorsby, AL, 35171</t>
  </si>
  <si>
    <t>120 John King Rd, Crestview, FL, 32539</t>
  </si>
  <si>
    <t>1251 South Decatur St, Montgomery, AL, 36101</t>
  </si>
  <si>
    <t>11780 US Hwy 1 Suite 208N, Palm Beach Gardens, FL, 33408</t>
  </si>
  <si>
    <t>3435 Eric Cir E, Tuscaloosa, AL, 35401</t>
  </si>
  <si>
    <t>2134 Highway 29 South, Brewton, AL, 36426</t>
  </si>
  <si>
    <t>104 Adams Road, Opp, AL, 36467</t>
  </si>
  <si>
    <t>1010 Sparkman Street, Hartselle, AL, 35640</t>
  </si>
  <si>
    <t>Total</t>
  </si>
  <si>
    <t>100 Waits Dr, Andalusia, AL, 36421</t>
  </si>
  <si>
    <t>Capacity</t>
  </si>
  <si>
    <t>Capacity/Mile</t>
  </si>
  <si>
    <t>Average Capacity/Mile:</t>
  </si>
  <si>
    <t>4509 State Hwy 83 North, Defuniak Springs, FL, 32433</t>
  </si>
  <si>
    <t>30.7855890, -86.1210990</t>
  </si>
  <si>
    <t>Locations</t>
  </si>
  <si>
    <t># Trucks Available</t>
  </si>
  <si>
    <t>Capacity/Truck</t>
  </si>
  <si>
    <t>32.3895645, -86.3050869</t>
  </si>
  <si>
    <t>Total Distance</t>
  </si>
  <si>
    <t>Units/Mile</t>
  </si>
  <si>
    <t>Units/Pickup</t>
  </si>
  <si>
    <t>Total Units</t>
  </si>
  <si>
    <t>1. Time-dependent travel (same-day vs overnight)</t>
  </si>
  <si>
    <t>3. Relationship between unit type and available truck space</t>
  </si>
  <si>
    <t>4. Upgraded GUI</t>
  </si>
  <si>
    <t>5. Route mapping</t>
  </si>
  <si>
    <t>6. Repair unit planning</t>
  </si>
  <si>
    <t>7. Trailer type availability</t>
  </si>
  <si>
    <t>8. Milk runs</t>
  </si>
  <si>
    <t>9. Potential improvements in measurement</t>
  </si>
  <si>
    <t>10. Dynamic routing</t>
  </si>
  <si>
    <t>11. KPI tracking</t>
  </si>
  <si>
    <t>If capacity available and 8 hrs reached, plan 2nd day travel</t>
  </si>
  <si>
    <t>Five week-day schedule</t>
  </si>
  <si>
    <t>Mandatory scheduling (priority over pickup)</t>
  </si>
  <si>
    <t>Mandatory pickup on particular day</t>
  </si>
  <si>
    <t>11.5 hrs max/day (driving + pickup/dropoff)</t>
  </si>
  <si>
    <t>14 hrs max/day , 11 driving hrs</t>
  </si>
  <si>
    <t>If capacity available and max hrs reached, plan 2nd day travel</t>
  </si>
  <si>
    <t>Time to load/unload: units + 5 (mins)</t>
  </si>
  <si>
    <t>Routing continues until end of week</t>
  </si>
  <si>
    <t>Any time during the week (delivery)</t>
  </si>
  <si>
    <t>Time (hours)</t>
  </si>
  <si>
    <t>Pickup Units</t>
  </si>
  <si>
    <t>Delivery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</si>
</sst>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indexed="8"/>
      <name val="Calibri"/>
      <family val="2"/>
      <scheme val="minor"/>
    </font>
    <font>
      <sz val="11"/>
      <color theme="1"/>
      <name val="Calibri"/>
      <family val="2"/>
      <scheme val="minor"/>
    </font>
    <font>
      <b/>
      <sz val="12"/>
      <color rgb="FF56585B"/>
      <name val="Calibri"/>
      <family val="2"/>
    </font>
    <font>
      <sz val="12"/>
      <color rgb="FF000000"/>
      <name val="Calibri"/>
      <family val="2"/>
    </font>
    <font>
      <sz val="8"/>
      <name val="Calibri"/>
      <family val="2"/>
      <scheme val="minor"/>
    </font>
    <font>
      <sz val="12"/>
      <color rgb="FF000000"/>
      <name val="Calibri"/>
    </font>
    <font>
      <b/>
      <sz val="12"/>
      <color rgb="FF56585B"/>
      <name val="Calibri"/>
    </font>
    <font>
      <sz val="11"/>
      <color rgb="FF006100"/>
      <name val="Calibri"/>
      <family val="2"/>
      <scheme val="minor"/>
    </font>
    <font>
      <sz val="11"/>
      <name val="Calibri"/>
      <family val="2"/>
      <scheme val="minor"/>
    </font>
    <font>
      <b/>
      <sz val="14"/>
      <color rgb="FF000000"/>
      <name val="Calibri"/>
      <family val="2"/>
      <scheme val="minor"/>
    </font>
    <font>
      <sz val="11"/>
      <color rgb="FF000000"/>
      <name val="Calibri"/>
      <family val="2"/>
    </font>
  </fonts>
  <fills count="10">
    <fill>
      <patternFill patternType="none"/>
    </fill>
    <fill>
      <patternFill patternType="gray125"/>
    </fill>
    <fill>
      <patternFill patternType="solid">
        <fgColor rgb="FFE9E8E5"/>
      </patternFill>
    </fill>
    <fill>
      <patternFill patternType="solid">
        <fgColor rgb="FFFFFFFF"/>
      </patternFill>
    </fill>
    <fill>
      <patternFill patternType="solid">
        <fgColor rgb="FFFFFFFF"/>
        <bgColor indexed="64"/>
      </patternFill>
    </fill>
    <fill>
      <patternFill patternType="solid">
        <fgColor rgb="FFE9E8E5"/>
        <bgColor indexed="64"/>
      </patternFill>
    </fill>
    <fill>
      <patternFill patternType="solid">
        <fgColor rgb="FFC6EFCE"/>
      </patternFill>
    </fill>
    <fill>
      <patternFill patternType="solid">
        <fgColor theme="5" tint="0.79998168889431442"/>
        <bgColor indexed="65"/>
      </patternFill>
    </fill>
    <fill>
      <patternFill patternType="solid">
        <fgColor rgb="FFEAB9FD"/>
        <bgColor indexed="64"/>
      </patternFill>
    </fill>
    <fill>
      <patternFill patternType="solid">
        <fgColor rgb="FFC5DFFF"/>
        <bgColor indexed="64"/>
      </patternFill>
    </fill>
  </fills>
  <borders count="4">
    <border>
      <left/>
      <right/>
      <top/>
      <bottom/>
      <diagonal/>
    </border>
    <border>
      <left style="thin">
        <color rgb="FFD5D3D1"/>
      </left>
      <right style="thin">
        <color rgb="FFD5D3D1"/>
      </right>
      <top style="thin">
        <color rgb="FFD5D3D1"/>
      </top>
      <bottom style="thin">
        <color rgb="FFD5D3D1"/>
      </bottom>
      <diagonal/>
    </border>
    <border>
      <left style="thin">
        <color rgb="FFD5D3D1"/>
      </left>
      <right style="thin">
        <color rgb="FFD5D3D1"/>
      </right>
      <top/>
      <bottom style="thin">
        <color rgb="FFD5D3D1"/>
      </bottom>
      <diagonal/>
    </border>
    <border>
      <left style="thin">
        <color rgb="FFD5D3D1"/>
      </left>
      <right style="thin">
        <color rgb="FFD5D3D1"/>
      </right>
      <top style="thin">
        <color rgb="FFD5D3D1"/>
      </top>
      <bottom/>
      <diagonal/>
    </border>
  </borders>
  <cellStyleXfs count="3">
    <xf numFmtId="0" fontId="0" fillId="0" borderId="0"/>
    <xf numFmtId="0" fontId="7" fillId="6" borderId="0" applyNumberFormat="0" applyBorder="0" applyAlignment="0" applyProtection="0"/>
    <xf numFmtId="0" fontId="1" fillId="7" borderId="0" applyNumberFormat="0" applyBorder="0" applyAlignment="0" applyProtection="0"/>
  </cellStyleXfs>
  <cellXfs count="17">
    <xf numFmtId="0" fontId="0" fillId="0" borderId="0" xfId="0"/>
    <xf numFmtId="0" fontId="3" fillId="3" borderId="1" xfId="0" applyNumberFormat="1" applyFont="1" applyFill="1" applyBorder="1" applyAlignment="1">
      <alignment horizontal="left"/>
    </xf>
    <xf numFmtId="0" fontId="3" fillId="3" borderId="1" xfId="0" applyNumberFormat="1" applyFont="1" applyFill="1" applyBorder="1" applyAlignment="1">
      <alignment horizontal="right"/>
    </xf>
    <xf numFmtId="0" fontId="2" fillId="2" borderId="2" xfId="0" applyFont="1" applyFill="1" applyBorder="1"/>
    <xf numFmtId="0" fontId="3" fillId="3" borderId="3" xfId="0" applyNumberFormat="1" applyFont="1" applyFill="1" applyBorder="1" applyAlignment="1">
      <alignment horizontal="left"/>
    </xf>
    <xf numFmtId="0" fontId="3" fillId="3" borderId="3" xfId="0" applyNumberFormat="1" applyFont="1" applyFill="1" applyBorder="1" applyAlignment="1">
      <alignment horizontal="right"/>
    </xf>
    <xf numFmtId="0" fontId="5" fillId="4" borderId="1" xfId="0" applyNumberFormat="1" applyFont="1" applyFill="1" applyBorder="1" applyAlignment="1">
      <alignment horizontal="left"/>
    </xf>
    <xf numFmtId="0" fontId="5" fillId="4" borderId="2" xfId="0" applyNumberFormat="1" applyFont="1" applyFill="1" applyBorder="1" applyAlignment="1">
      <alignment horizontal="left"/>
    </xf>
    <xf numFmtId="0" fontId="5" fillId="4" borderId="3" xfId="0" applyNumberFormat="1" applyFont="1" applyFill="1" applyBorder="1" applyAlignment="1">
      <alignment horizontal="left"/>
    </xf>
    <xf numFmtId="0" fontId="6" fillId="5" borderId="2" xfId="0" applyFont="1" applyFill="1" applyBorder="1"/>
    <xf numFmtId="0" fontId="7" fillId="8" borderId="0" xfId="1" applyFill="1"/>
    <xf numFmtId="0" fontId="8" fillId="9" borderId="0" xfId="2" applyFont="1" applyFill="1"/>
    <xf numFmtId="0" fontId="3" fillId="4" borderId="1" xfId="0" applyNumberFormat="1" applyFont="1" applyFill="1" applyBorder="1" applyAlignment="1">
      <alignment horizontal="left"/>
    </xf>
    <xf numFmtId="0" fontId="9" fillId="0" borderId="0" xfId="0" applyFont="1"/>
    <xf numFmtId="2" fontId="8" fillId="9" borderId="0" xfId="2" applyNumberFormat="1" applyFont="1" applyFill="1"/>
    <xf numFmtId="2" fontId="0" fillId="0" borderId="0" xfId="0" applyNumberFormat="1"/>
    <xf numFmtId="0" fontId="0" fillId="0" borderId="0" xfId="0" applyAlignment="1">
      <alignment horizontal="center"/>
    </xf>
  </cellXfs>
  <cellStyles count="3">
    <cellStyle name="20% - Accent2" xfId="2" builtinId="34"/>
    <cellStyle name="Good" xfId="1" builtinId="26"/>
    <cellStyle name="Normal" xfId="0" builtinId="0"/>
  </cellStyles>
  <dxfs count="32">
    <dxf>
      <font>
        <color theme="0"/>
      </font>
    </dxf>
    <dxf>
      <font>
        <color theme="0"/>
      </font>
    </dxf>
    <dxf>
      <font>
        <color theme="0"/>
      </font>
    </dxf>
    <dxf>
      <fill>
        <patternFill>
          <bgColor rgb="FFFFC7CE"/>
        </patternFill>
      </fill>
    </dxf>
    <dxf>
      <fill>
        <patternFill>
          <bgColor rgb="FFFFC7CE"/>
        </patternFill>
      </fill>
    </dxf>
    <dxf>
      <fill>
        <patternFill>
          <bgColor rgb="FFFFC7CE"/>
        </patternFill>
      </fill>
    </dxf>
    <dxf>
      <fill>
        <patternFill>
          <bgColor rgb="FFFFC7CE"/>
        </patternFill>
      </fill>
    </dxf>
    <dxf>
      <font>
        <color theme="0"/>
      </font>
    </dxf>
    <dxf>
      <fill>
        <patternFill>
          <bgColor rgb="FFFFC7CE"/>
        </patternFill>
      </fill>
    </dxf>
    <dxf>
      <fill>
        <patternFill>
          <bgColor rgb="FFFFC7CE"/>
        </patternFill>
      </fill>
    </dxf>
    <dxf>
      <font>
        <color theme="0"/>
      </font>
    </dxf>
    <dxf>
      <fill>
        <patternFill>
          <bgColor rgb="FFFFC7CE"/>
        </patternFill>
      </fill>
    </dxf>
    <dxf>
      <fill>
        <patternFill>
          <bgColor rgb="FFFFC7CE"/>
        </patternFill>
      </fill>
    </dxf>
    <dxf>
      <fill>
        <patternFill>
          <bgColor rgb="FFFFC7CE"/>
        </patternFill>
      </fill>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righ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border outline="0">
        <top style="thin">
          <color rgb="FFD5D3D1"/>
        </top>
      </border>
    </dxf>
    <dxf>
      <border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scheme val="none"/>
      </font>
      <fill>
        <patternFill patternType="solid">
          <fgColor indexed="64"/>
          <bgColor rgb="FFFFFFFF"/>
        </patternFill>
      </fill>
      <alignment horizontal="left" vertical="bottom" textRotation="0" wrapText="0" indent="0" justifyLastLine="0" shrinkToFit="0" readingOrder="0"/>
    </dxf>
    <dxf>
      <border outline="0">
        <bottom style="thin">
          <color rgb="FFD5D3D1"/>
        </bottom>
      </border>
    </dxf>
    <dxf>
      <font>
        <b/>
        <i val="0"/>
        <strike val="0"/>
        <condense val="0"/>
        <extend val="0"/>
        <outline val="0"/>
        <shadow val="0"/>
        <u val="none"/>
        <vertAlign val="baseline"/>
        <sz val="12"/>
        <color rgb="FF56585B"/>
        <name val="Calibri"/>
        <scheme val="none"/>
      </font>
      <fill>
        <patternFill patternType="solid">
          <fgColor indexed="64"/>
          <bgColor rgb="FFE9E8E5"/>
        </patternFill>
      </fill>
      <border diagonalUp="0" diagonalDown="0" outline="0">
        <left style="thin">
          <color rgb="FFD5D3D1"/>
        </left>
        <right style="thin">
          <color rgb="FFD5D3D1"/>
        </right>
        <top/>
        <bottom/>
      </border>
    </dxf>
  </dxfs>
  <tableStyles count="0" defaultTableStyle="TableStyleMedium2" defaultPivotStyle="PivotStyleLight16"/>
  <colors>
    <mruColors>
      <color rgb="FFC5DFFF"/>
      <color rgb="FFEAB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5</xdr:row>
          <xdr:rowOff>30480</xdr:rowOff>
        </xdr:from>
        <xdr:to>
          <xdr:col>7</xdr:col>
          <xdr:colOff>274320</xdr:colOff>
          <xdr:row>6</xdr:row>
          <xdr:rowOff>76200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xdr:colOff>
          <xdr:row>7</xdr:row>
          <xdr:rowOff>0</xdr:rowOff>
        </xdr:from>
        <xdr:to>
          <xdr:col>7</xdr:col>
          <xdr:colOff>297180</xdr:colOff>
          <xdr:row>8</xdr:row>
          <xdr:rowOff>45720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ut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routes"/>
      <sheetName val="m-distances"/>
      <sheetName val="m-units"/>
      <sheetName val="m-sumDists"/>
      <sheetName val="m-sumUnits"/>
      <sheetName val="m-times"/>
      <sheetName val="t-routes"/>
      <sheetName val="t-distances"/>
      <sheetName val="t-units"/>
      <sheetName val="t-sumDists"/>
      <sheetName val="t-sumUnits"/>
      <sheetName val="t-times"/>
      <sheetName val="w-routes"/>
      <sheetName val="w-distances"/>
      <sheetName val="w-units"/>
      <sheetName val="w-sumDists"/>
      <sheetName val="w-sumUnits"/>
      <sheetName val="w-times"/>
      <sheetName val="th-routes"/>
      <sheetName val="th-distances"/>
      <sheetName val="th-units"/>
      <sheetName val="th-sumDists"/>
      <sheetName val="th-sumUnits"/>
      <sheetName val="th-times"/>
      <sheetName val="f-routes"/>
      <sheetName val="f-distances"/>
      <sheetName val="f-units"/>
      <sheetName val="f-sumDists"/>
      <sheetName val="f-sumUnits"/>
      <sheetName val="f-times"/>
    </sheetNames>
    <sheetDataSet>
      <sheetData sheetId="0">
        <row r="2">
          <cell r="B2">
            <v>1</v>
          </cell>
          <cell r="C2">
            <v>7</v>
          </cell>
        </row>
        <row r="3">
          <cell r="B3">
            <v>7</v>
          </cell>
          <cell r="C3">
            <v>15</v>
          </cell>
        </row>
        <row r="4">
          <cell r="B4">
            <v>15</v>
          </cell>
          <cell r="C4">
            <v>1</v>
          </cell>
        </row>
        <row r="5">
          <cell r="B5">
            <v>1</v>
          </cell>
          <cell r="C5">
            <v>20</v>
          </cell>
        </row>
        <row r="6">
          <cell r="B6">
            <v>20</v>
          </cell>
          <cell r="C6">
            <v>10</v>
          </cell>
        </row>
        <row r="7">
          <cell r="B7">
            <v>10</v>
          </cell>
          <cell r="C7">
            <v>16</v>
          </cell>
        </row>
        <row r="8">
          <cell r="B8">
            <v>16</v>
          </cell>
          <cell r="C8">
            <v>1</v>
          </cell>
        </row>
        <row r="9">
          <cell r="B9">
            <v>1</v>
          </cell>
          <cell r="C9">
            <v>19</v>
          </cell>
        </row>
        <row r="10">
          <cell r="B10">
            <v>19</v>
          </cell>
          <cell r="C10">
            <v>22</v>
          </cell>
        </row>
        <row r="11">
          <cell r="B11">
            <v>22</v>
          </cell>
          <cell r="C11">
            <v>1</v>
          </cell>
        </row>
      </sheetData>
      <sheetData sheetId="1">
        <row r="2">
          <cell r="B2">
            <v>46</v>
          </cell>
        </row>
        <row r="3">
          <cell r="B3">
            <v>76</v>
          </cell>
        </row>
        <row r="4">
          <cell r="B4">
            <v>32</v>
          </cell>
        </row>
        <row r="5">
          <cell r="B5">
            <v>38</v>
          </cell>
        </row>
        <row r="6">
          <cell r="B6">
            <v>35</v>
          </cell>
        </row>
        <row r="7">
          <cell r="B7">
            <v>50</v>
          </cell>
        </row>
        <row r="8">
          <cell r="B8">
            <v>120</v>
          </cell>
        </row>
        <row r="9">
          <cell r="B9">
            <v>143</v>
          </cell>
        </row>
        <row r="10">
          <cell r="B10">
            <v>48</v>
          </cell>
        </row>
        <row r="11">
          <cell r="B11">
            <v>122</v>
          </cell>
        </row>
      </sheetData>
      <sheetData sheetId="2">
        <row r="2">
          <cell r="B2">
            <v>29</v>
          </cell>
        </row>
        <row r="3">
          <cell r="B3">
            <v>20</v>
          </cell>
        </row>
        <row r="4">
          <cell r="B4">
            <v>0</v>
          </cell>
        </row>
        <row r="5">
          <cell r="B5">
            <v>23</v>
          </cell>
        </row>
        <row r="6">
          <cell r="B6">
            <v>12</v>
          </cell>
        </row>
        <row r="7">
          <cell r="B7">
            <v>15</v>
          </cell>
        </row>
        <row r="8">
          <cell r="B8">
            <v>0</v>
          </cell>
        </row>
        <row r="9">
          <cell r="B9">
            <v>25</v>
          </cell>
        </row>
        <row r="10">
          <cell r="B10">
            <v>18</v>
          </cell>
        </row>
        <row r="11">
          <cell r="B11">
            <v>0</v>
          </cell>
        </row>
      </sheetData>
      <sheetData sheetId="3">
        <row r="2">
          <cell r="B2">
            <v>46</v>
          </cell>
        </row>
        <row r="3">
          <cell r="B3">
            <v>122</v>
          </cell>
        </row>
        <row r="4">
          <cell r="B4">
            <v>154</v>
          </cell>
        </row>
        <row r="5">
          <cell r="B5">
            <v>38</v>
          </cell>
        </row>
        <row r="6">
          <cell r="B6">
            <v>73</v>
          </cell>
        </row>
        <row r="7">
          <cell r="B7">
            <v>123</v>
          </cell>
        </row>
        <row r="8">
          <cell r="B8">
            <v>243</v>
          </cell>
        </row>
        <row r="9">
          <cell r="B9">
            <v>143</v>
          </cell>
        </row>
        <row r="10">
          <cell r="B10">
            <v>191</v>
          </cell>
        </row>
        <row r="11">
          <cell r="B11">
            <v>313</v>
          </cell>
        </row>
      </sheetData>
      <sheetData sheetId="4">
        <row r="2">
          <cell r="B2">
            <v>29</v>
          </cell>
        </row>
        <row r="3">
          <cell r="B3">
            <v>49</v>
          </cell>
        </row>
        <row r="4">
          <cell r="B4">
            <v>49</v>
          </cell>
        </row>
        <row r="5">
          <cell r="B5">
            <v>23</v>
          </cell>
        </row>
        <row r="6">
          <cell r="B6">
            <v>35</v>
          </cell>
        </row>
        <row r="7">
          <cell r="B7">
            <v>50</v>
          </cell>
        </row>
        <row r="8">
          <cell r="B8">
            <v>50</v>
          </cell>
        </row>
        <row r="9">
          <cell r="B9">
            <v>25</v>
          </cell>
        </row>
        <row r="10">
          <cell r="B10">
            <v>43</v>
          </cell>
        </row>
        <row r="11">
          <cell r="B11">
            <v>43</v>
          </cell>
        </row>
      </sheetData>
      <sheetData sheetId="5">
        <row r="2">
          <cell r="B2">
            <v>1.454722222222222</v>
          </cell>
        </row>
        <row r="3">
          <cell r="B3">
            <v>3.1455555555555561</v>
          </cell>
        </row>
        <row r="4">
          <cell r="B4">
            <v>4.661944444444444</v>
          </cell>
        </row>
        <row r="5">
          <cell r="B5">
            <v>1.178333333333333</v>
          </cell>
        </row>
        <row r="6">
          <cell r="B6">
            <v>2.128055555555556</v>
          </cell>
        </row>
        <row r="7">
          <cell r="B7">
            <v>3.3994444444444452</v>
          </cell>
        </row>
        <row r="8">
          <cell r="B8">
            <v>6.5397222222222222</v>
          </cell>
        </row>
        <row r="9">
          <cell r="B9">
            <v>3.2197222222222219</v>
          </cell>
        </row>
        <row r="10">
          <cell r="B10">
            <v>4.3688888888888888</v>
          </cell>
        </row>
        <row r="11">
          <cell r="B11">
            <v>7.5080555555555559</v>
          </cell>
        </row>
      </sheetData>
      <sheetData sheetId="6">
        <row r="2">
          <cell r="B2">
            <v>1</v>
          </cell>
          <cell r="C2">
            <v>6</v>
          </cell>
        </row>
        <row r="3">
          <cell r="B3">
            <v>6</v>
          </cell>
          <cell r="C3">
            <v>13</v>
          </cell>
        </row>
        <row r="4">
          <cell r="B4">
            <v>13</v>
          </cell>
          <cell r="C4">
            <v>18</v>
          </cell>
        </row>
        <row r="5">
          <cell r="B5">
            <v>1</v>
          </cell>
          <cell r="C5">
            <v>14</v>
          </cell>
        </row>
        <row r="6">
          <cell r="B6">
            <v>14</v>
          </cell>
          <cell r="C6">
            <v>21</v>
          </cell>
        </row>
        <row r="7">
          <cell r="B7">
            <v>21</v>
          </cell>
          <cell r="C7">
            <v>5</v>
          </cell>
        </row>
        <row r="8">
          <cell r="B8">
            <v>1</v>
          </cell>
          <cell r="C8">
            <v>12</v>
          </cell>
        </row>
        <row r="9">
          <cell r="B9">
            <v>12</v>
          </cell>
          <cell r="C9">
            <v>2</v>
          </cell>
        </row>
      </sheetData>
      <sheetData sheetId="7">
        <row r="2">
          <cell r="B2">
            <v>116</v>
          </cell>
        </row>
        <row r="3">
          <cell r="B3">
            <v>283</v>
          </cell>
        </row>
        <row r="4">
          <cell r="B4">
            <v>68</v>
          </cell>
        </row>
        <row r="5">
          <cell r="B5">
            <v>169</v>
          </cell>
        </row>
        <row r="6">
          <cell r="B6">
            <v>116</v>
          </cell>
        </row>
        <row r="7">
          <cell r="B7">
            <v>226</v>
          </cell>
        </row>
        <row r="8">
          <cell r="B8">
            <v>319</v>
          </cell>
        </row>
        <row r="9">
          <cell r="B9">
            <v>109</v>
          </cell>
        </row>
      </sheetData>
      <sheetData sheetId="8">
        <row r="2">
          <cell r="B2">
            <v>12</v>
          </cell>
        </row>
        <row r="3">
          <cell r="B3">
            <v>22</v>
          </cell>
        </row>
        <row r="4">
          <cell r="B4">
            <v>10</v>
          </cell>
        </row>
        <row r="5">
          <cell r="B5">
            <v>17</v>
          </cell>
        </row>
        <row r="6">
          <cell r="B6">
            <v>20</v>
          </cell>
        </row>
        <row r="7">
          <cell r="B7">
            <v>13</v>
          </cell>
        </row>
        <row r="8">
          <cell r="B8">
            <v>26</v>
          </cell>
        </row>
        <row r="9">
          <cell r="B9">
            <v>21</v>
          </cell>
        </row>
      </sheetData>
      <sheetData sheetId="9">
        <row r="2">
          <cell r="B2">
            <v>116</v>
          </cell>
        </row>
        <row r="3">
          <cell r="B3">
            <v>399</v>
          </cell>
        </row>
        <row r="4">
          <cell r="B4">
            <v>467</v>
          </cell>
        </row>
        <row r="5">
          <cell r="B5">
            <v>169</v>
          </cell>
        </row>
        <row r="6">
          <cell r="B6">
            <v>285</v>
          </cell>
        </row>
        <row r="7">
          <cell r="B7">
            <v>511</v>
          </cell>
        </row>
        <row r="8">
          <cell r="B8">
            <v>319</v>
          </cell>
        </row>
        <row r="9">
          <cell r="B9">
            <v>428</v>
          </cell>
        </row>
      </sheetData>
      <sheetData sheetId="10">
        <row r="2">
          <cell r="B2">
            <v>12</v>
          </cell>
        </row>
        <row r="3">
          <cell r="B3">
            <v>34</v>
          </cell>
        </row>
        <row r="4">
          <cell r="B4">
            <v>44</v>
          </cell>
        </row>
        <row r="5">
          <cell r="B5">
            <v>17</v>
          </cell>
        </row>
        <row r="6">
          <cell r="B6">
            <v>37</v>
          </cell>
        </row>
        <row r="7">
          <cell r="B7">
            <v>50</v>
          </cell>
        </row>
        <row r="8">
          <cell r="B8">
            <v>26</v>
          </cell>
        </row>
        <row r="9">
          <cell r="B9">
            <v>47</v>
          </cell>
        </row>
      </sheetData>
      <sheetData sheetId="11">
        <row r="2">
          <cell r="B2">
            <v>2.1744444444444451</v>
          </cell>
        </row>
        <row r="3">
          <cell r="B3">
            <v>7.3591666666666669</v>
          </cell>
        </row>
        <row r="4">
          <cell r="B4">
            <v>8.642777777777777</v>
          </cell>
        </row>
        <row r="5">
          <cell r="B5">
            <v>3.29</v>
          </cell>
        </row>
        <row r="6">
          <cell r="B6">
            <v>5.4924999999999997</v>
          </cell>
        </row>
        <row r="7">
          <cell r="B7">
            <v>9.7713888888888896</v>
          </cell>
        </row>
        <row r="8">
          <cell r="B8">
            <v>5.6819444444444436</v>
          </cell>
        </row>
        <row r="9">
          <cell r="B9">
            <v>8.1963888888888885</v>
          </cell>
        </row>
      </sheetData>
      <sheetData sheetId="12">
        <row r="2">
          <cell r="B2">
            <v>18</v>
          </cell>
          <cell r="C2">
            <v>1</v>
          </cell>
        </row>
        <row r="3">
          <cell r="B3">
            <v>5</v>
          </cell>
          <cell r="C3">
            <v>1</v>
          </cell>
        </row>
        <row r="4">
          <cell r="B4">
            <v>2</v>
          </cell>
          <cell r="C4">
            <v>1</v>
          </cell>
        </row>
      </sheetData>
      <sheetData sheetId="13">
        <row r="2">
          <cell r="B2">
            <v>219</v>
          </cell>
        </row>
        <row r="3">
          <cell r="B3">
            <v>310</v>
          </cell>
        </row>
        <row r="4">
          <cell r="B4">
            <v>290</v>
          </cell>
        </row>
      </sheetData>
      <sheetData sheetId="14">
        <row r="2">
          <cell r="B2">
            <v>0</v>
          </cell>
        </row>
        <row r="3">
          <cell r="B3">
            <v>0</v>
          </cell>
        </row>
        <row r="4">
          <cell r="B4">
            <v>0</v>
          </cell>
        </row>
      </sheetData>
      <sheetData sheetId="15">
        <row r="2">
          <cell r="B2">
            <v>219</v>
          </cell>
        </row>
        <row r="3">
          <cell r="B3">
            <v>310</v>
          </cell>
        </row>
        <row r="4">
          <cell r="B4">
            <v>290</v>
          </cell>
        </row>
      </sheetData>
      <sheetData sheetId="16">
        <row r="2">
          <cell r="B2">
            <v>44</v>
          </cell>
        </row>
        <row r="3">
          <cell r="B3">
            <v>50</v>
          </cell>
        </row>
        <row r="4">
          <cell r="B4">
            <v>47</v>
          </cell>
        </row>
      </sheetData>
      <sheetData sheetId="17">
        <row r="2">
          <cell r="B2">
            <v>4.7688888888888892</v>
          </cell>
        </row>
        <row r="3">
          <cell r="B3">
            <v>6.5780555555555562</v>
          </cell>
        </row>
        <row r="4">
          <cell r="B4">
            <v>6.049722222222222</v>
          </cell>
        </row>
      </sheetData>
      <sheetData sheetId="18">
        <row r="2">
          <cell r="B2">
            <v>1</v>
          </cell>
          <cell r="C2">
            <v>1</v>
          </cell>
        </row>
        <row r="3">
          <cell r="B3">
            <v>1</v>
          </cell>
          <cell r="C3">
            <v>1</v>
          </cell>
        </row>
        <row r="4">
          <cell r="B4">
            <v>1</v>
          </cell>
          <cell r="C4">
            <v>1</v>
          </cell>
        </row>
      </sheetData>
      <sheetData sheetId="19">
        <row r="2">
          <cell r="B2">
            <v>0</v>
          </cell>
        </row>
        <row r="3">
          <cell r="B3">
            <v>0</v>
          </cell>
        </row>
        <row r="4">
          <cell r="B4">
            <v>0</v>
          </cell>
        </row>
      </sheetData>
      <sheetData sheetId="20">
        <row r="2">
          <cell r="B2">
            <v>0</v>
          </cell>
        </row>
        <row r="3">
          <cell r="B3">
            <v>0</v>
          </cell>
        </row>
        <row r="4">
          <cell r="B4">
            <v>0</v>
          </cell>
        </row>
      </sheetData>
      <sheetData sheetId="21">
        <row r="2">
          <cell r="B2">
            <v>0</v>
          </cell>
        </row>
        <row r="3">
          <cell r="B3">
            <v>0</v>
          </cell>
        </row>
        <row r="4">
          <cell r="B4">
            <v>0</v>
          </cell>
        </row>
      </sheetData>
      <sheetData sheetId="22">
        <row r="2">
          <cell r="B2">
            <v>44</v>
          </cell>
        </row>
        <row r="3">
          <cell r="B3">
            <v>50</v>
          </cell>
        </row>
        <row r="4">
          <cell r="B4">
            <v>47</v>
          </cell>
        </row>
      </sheetData>
      <sheetData sheetId="23">
        <row r="2">
          <cell r="B2">
            <v>0.81666666666666665</v>
          </cell>
        </row>
        <row r="3">
          <cell r="B3">
            <v>0.91666666666666663</v>
          </cell>
        </row>
        <row r="4">
          <cell r="B4">
            <v>0.8666666666666667</v>
          </cell>
        </row>
      </sheetData>
      <sheetData sheetId="24">
        <row r="2">
          <cell r="B2">
            <v>1</v>
          </cell>
          <cell r="C2">
            <v>1</v>
          </cell>
        </row>
        <row r="3">
          <cell r="B3">
            <v>1</v>
          </cell>
          <cell r="C3">
            <v>1</v>
          </cell>
        </row>
        <row r="4">
          <cell r="B4">
            <v>1</v>
          </cell>
          <cell r="C4">
            <v>1</v>
          </cell>
        </row>
      </sheetData>
      <sheetData sheetId="25">
        <row r="2">
          <cell r="B2">
            <v>0</v>
          </cell>
        </row>
        <row r="3">
          <cell r="B3">
            <v>0</v>
          </cell>
        </row>
        <row r="4">
          <cell r="B4">
            <v>0</v>
          </cell>
        </row>
      </sheetData>
      <sheetData sheetId="26">
        <row r="2">
          <cell r="B2">
            <v>0</v>
          </cell>
        </row>
        <row r="3">
          <cell r="B3">
            <v>0</v>
          </cell>
        </row>
        <row r="4">
          <cell r="B4">
            <v>0</v>
          </cell>
        </row>
      </sheetData>
      <sheetData sheetId="27">
        <row r="2">
          <cell r="B2">
            <v>0</v>
          </cell>
        </row>
        <row r="3">
          <cell r="B3">
            <v>0</v>
          </cell>
        </row>
        <row r="4">
          <cell r="B4">
            <v>0</v>
          </cell>
        </row>
      </sheetData>
      <sheetData sheetId="28">
        <row r="2">
          <cell r="B2">
            <v>44</v>
          </cell>
        </row>
        <row r="3">
          <cell r="B3">
            <v>50</v>
          </cell>
        </row>
        <row r="4">
          <cell r="B4">
            <v>47</v>
          </cell>
        </row>
      </sheetData>
      <sheetData sheetId="29">
        <row r="2">
          <cell r="B2">
            <v>0.81666666666666665</v>
          </cell>
        </row>
        <row r="3">
          <cell r="B3">
            <v>0.91666666666666663</v>
          </cell>
        </row>
        <row r="4">
          <cell r="B4">
            <v>0.8666666666666667</v>
          </cell>
        </row>
      </sheetData>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21</v>
    <v>8</v>
    <v>21</v>
    <v>1</v>
  </rv>
  <rv s="1">
    <v>8</v>
    <v>1</v>
  </rv>
  <rv s="0">
    <v>0</v>
    <v>8</v>
    <v>21</v>
    <v>1</v>
  </rv>
</rvData>
</file>

<file path=xl/richData/rdrichvaluestructure.xml><?xml version="1.0" encoding="utf-8"?>
<rvStructures xmlns="http://schemas.microsoft.com/office/spreadsheetml/2017/richdata" count="2">
  <s t="_error">
    <k n="colOffset" t="i"/>
    <k n="errorType" t="i"/>
    <k n="rwOffset"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542192-33DD-4390-B62A-6B92AF5A5C59}" name="Table1" displayName="Table1" ref="A1:M5664" totalsRowShown="0" headerRowDxfId="31" dataDxfId="29" headerRowBorderDxfId="30" tableBorderDxfId="28" totalsRowBorderDxfId="27">
  <autoFilter ref="A1:M5664" xr:uid="{ED3E4153-7E58-4E25-A22C-B92B1BF70490}">
    <filterColumn colId="6">
      <filters>
        <filter val="FTI"/>
      </filters>
    </filterColumn>
  </autoFilter>
  <tableColumns count="13">
    <tableColumn id="2" xr3:uid="{7A5A49BC-512F-4E98-9501-3DAE82973B2B}" name="Account Name" dataDxfId="26"/>
    <tableColumn id="12" xr3:uid="{BBA839F2-C9E5-49C4-9264-99F1F380CC6F}" name="Monday" dataDxfId="25"/>
    <tableColumn id="13" xr3:uid="{3252179E-6924-49CD-BABF-1735C36CE107}" name="Tuesday" dataDxfId="24"/>
    <tableColumn id="5" xr3:uid="{18F4C585-E87E-4BFE-9FA2-6995803098AA}" name="Wednesday" dataDxfId="23"/>
    <tableColumn id="6" xr3:uid="{C5413C4C-C293-408A-B492-D551B0470411}" name="Thursday" dataDxfId="22"/>
    <tableColumn id="4" xr3:uid="{3597F941-4914-4428-B9E6-ACD0A678C0D1}" name="Friday" dataDxfId="21"/>
    <tableColumn id="3" xr3:uid="{7E39AE04-3BFB-404E-908B-0F97326D1790}" name="Primary Plant" dataDxfId="20"/>
    <tableColumn id="7" xr3:uid="{960D1E20-B173-4C63-BB00-D6E39B2CFBA3}" name="Distance" dataDxfId="19"/>
    <tableColumn id="8" xr3:uid="{E468EB51-A44C-4807-871F-5CBE9499E993}" name="Billing Street" dataDxfId="18"/>
    <tableColumn id="9" xr3:uid="{29E00EC3-2433-40A9-A395-AC6C37C1E33A}" name="Billing City" dataDxfId="17"/>
    <tableColumn id="10" xr3:uid="{1AB2EB92-4E82-4DF6-BBA9-2610EAB2B1FA}" name="Billing State/Province" dataDxfId="16"/>
    <tableColumn id="11" xr3:uid="{EA89260E-D0AD-417A-BF47-DCC219A01E59}" name="Billing Zip/Postal Code" dataDxfId="15"/>
    <tableColumn id="1" xr3:uid="{1D0E711E-3D50-4771-88D8-8CC0103AD810}" name="Column1" dataDxfId="14">
      <calculatedColumnFormula>_xlfn.CONCAT(Table1[[#This Row],[Billing Street]], ", ", Table1[[#This Row],[Billing City]], ", ", Table1[[#This Row],[Billing State/Province]], ", ", Table1[[#This Row],[Billing Zip/Postal Code]])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664"/>
  <sheetViews>
    <sheetView topLeftCell="I1" workbookViewId="0">
      <selection activeCell="M5" sqref="M5"/>
    </sheetView>
  </sheetViews>
  <sheetFormatPr defaultRowHeight="14.4" x14ac:dyDescent="0.3"/>
  <cols>
    <col min="1" max="1" width="43.33203125" customWidth="1"/>
    <col min="2" max="5" width="15.6640625" customWidth="1"/>
    <col min="6" max="6" width="25.109375" bestFit="1" customWidth="1"/>
    <col min="7" max="7" width="10.6640625" customWidth="1"/>
    <col min="8" max="8" width="12.6640625" customWidth="1"/>
    <col min="9" max="9" width="31" customWidth="1"/>
    <col min="10" max="10" width="24" customWidth="1"/>
    <col min="11" max="11" width="25" customWidth="1"/>
    <col min="13" max="13" width="85.5546875" bestFit="1" customWidth="1"/>
  </cols>
  <sheetData>
    <row r="1" spans="1:13" ht="15.6" x14ac:dyDescent="0.3">
      <c r="A1" s="3" t="s">
        <v>0</v>
      </c>
      <c r="B1" s="3" t="s">
        <v>16138</v>
      </c>
      <c r="C1" s="3" t="s">
        <v>16139</v>
      </c>
      <c r="D1" s="3" t="s">
        <v>16140</v>
      </c>
      <c r="E1" s="3" t="s">
        <v>16141</v>
      </c>
      <c r="F1" s="3" t="s">
        <v>16142</v>
      </c>
      <c r="G1" s="3" t="s">
        <v>1</v>
      </c>
      <c r="H1" s="3" t="s">
        <v>2</v>
      </c>
      <c r="I1" s="3" t="s">
        <v>3</v>
      </c>
      <c r="J1" s="3" t="s">
        <v>4</v>
      </c>
      <c r="K1" s="3" t="s">
        <v>5</v>
      </c>
      <c r="L1" s="3" t="s">
        <v>6</v>
      </c>
      <c r="M1" s="9" t="s">
        <v>16143</v>
      </c>
    </row>
    <row r="2" spans="1:13" ht="15.6" hidden="1" x14ac:dyDescent="0.3">
      <c r="A2" s="1" t="s">
        <v>7</v>
      </c>
      <c r="B2" s="1"/>
      <c r="C2" s="1"/>
      <c r="D2" s="1"/>
      <c r="E2" s="1"/>
      <c r="F2" s="1"/>
      <c r="G2" s="1" t="s">
        <v>8</v>
      </c>
      <c r="H2" s="2">
        <v>292</v>
      </c>
      <c r="I2" s="1" t="s">
        <v>9</v>
      </c>
      <c r="J2" s="1" t="s">
        <v>10</v>
      </c>
      <c r="K2" s="1" t="s">
        <v>11</v>
      </c>
      <c r="L2" s="1" t="s">
        <v>12</v>
      </c>
      <c r="M2" s="7" t="str">
        <f>_xlfn.CONCAT(Table1[[#This Row],[Billing Street]], ", ", Table1[[#This Row],[Billing City]], ", ", Table1[[#This Row],[Billing State/Province]], ", ", Table1[[#This Row],[Billing Zip/Postal Code]])</f>
        <v>#3 Industrial Loop Drive, Hannibal, MO, 63401</v>
      </c>
    </row>
    <row r="3" spans="1:13" ht="15.6" hidden="1" x14ac:dyDescent="0.3">
      <c r="A3" s="1" t="s">
        <v>14</v>
      </c>
      <c r="B3" s="1"/>
      <c r="C3" s="1"/>
      <c r="D3" s="1"/>
      <c r="E3" s="1"/>
      <c r="F3" s="1"/>
      <c r="G3" s="1" t="s">
        <v>8</v>
      </c>
      <c r="H3" s="2">
        <v>220</v>
      </c>
      <c r="I3" s="1" t="s">
        <v>15</v>
      </c>
      <c r="J3" s="1" t="s">
        <v>16</v>
      </c>
      <c r="K3" s="1" t="s">
        <v>11</v>
      </c>
      <c r="L3" s="1" t="s">
        <v>17</v>
      </c>
      <c r="M3" s="6" t="str">
        <f>_xlfn.CONCAT(Table1[[#This Row],[Billing Street]], ", ", Table1[[#This Row],[Billing City]], ", ", Table1[[#This Row],[Billing State/Province]], ", ", Table1[[#This Row],[Billing Zip/Postal Code]])</f>
        <v>201 US-36 BUS, Chillicothe, MO, 64601</v>
      </c>
    </row>
    <row r="4" spans="1:13" ht="15.6" hidden="1" x14ac:dyDescent="0.3">
      <c r="A4" s="1" t="s">
        <v>18</v>
      </c>
      <c r="B4" s="1"/>
      <c r="C4" s="1"/>
      <c r="D4" s="1"/>
      <c r="E4" s="1"/>
      <c r="F4" s="1"/>
      <c r="G4" s="1" t="s">
        <v>8</v>
      </c>
      <c r="H4" s="2">
        <v>398</v>
      </c>
      <c r="I4" s="1" t="s">
        <v>19</v>
      </c>
      <c r="J4" s="1" t="s">
        <v>20</v>
      </c>
      <c r="K4" s="1" t="s">
        <v>21</v>
      </c>
      <c r="L4" s="1" t="s">
        <v>22</v>
      </c>
      <c r="M4" s="6" t="str">
        <f>_xlfn.CONCAT(Table1[[#This Row],[Billing Street]], ", ", Table1[[#This Row],[Billing City]], ", ", Table1[[#This Row],[Billing State/Province]], ", ", Table1[[#This Row],[Billing Zip/Postal Code]])</f>
        <v>506 7th st, Grundy Center, IA, 50638</v>
      </c>
    </row>
    <row r="5" spans="1:13" ht="15.6" x14ac:dyDescent="0.3">
      <c r="A5" s="1" t="s">
        <v>23</v>
      </c>
      <c r="B5" s="1"/>
      <c r="C5" s="1"/>
      <c r="D5" s="1"/>
      <c r="E5" s="1"/>
      <c r="F5" s="1" t="str" cm="1">
        <f t="array" ref="F5">GetCoordinates(M5)</f>
        <v>32.3895645, -86.3050869</v>
      </c>
      <c r="G5" s="1" t="s">
        <v>24</v>
      </c>
      <c r="H5" s="2">
        <v>116</v>
      </c>
      <c r="I5" s="1" t="s">
        <v>16145</v>
      </c>
      <c r="J5" s="1" t="s">
        <v>25</v>
      </c>
      <c r="K5" s="1" t="s">
        <v>26</v>
      </c>
      <c r="L5" s="1" t="s">
        <v>27</v>
      </c>
      <c r="M5" s="6" t="str">
        <f>_xlfn.CONCAT(Table1[[#This Row],[Billing Street]], ", ", Table1[[#This Row],[Billing City]], ", ", Table1[[#This Row],[Billing State/Province]], ", ", Table1[[#This Row],[Billing Zip/Postal Code]])</f>
        <v>931 North McDonough Street, Montgomery, AL, 36104</v>
      </c>
    </row>
    <row r="6" spans="1:13" ht="15.6" x14ac:dyDescent="0.3">
      <c r="A6" s="1" t="s">
        <v>28</v>
      </c>
      <c r="B6" s="1"/>
      <c r="C6" s="1"/>
      <c r="D6" s="1"/>
      <c r="E6" s="1"/>
      <c r="F6" s="1" t="str" cm="1">
        <f t="array" ref="F6">GetCoordinates(M6)</f>
        <v>33.4677415, -88.7891262</v>
      </c>
      <c r="G6" s="1" t="s">
        <v>24</v>
      </c>
      <c r="H6" s="2">
        <v>253</v>
      </c>
      <c r="I6" s="1" t="s">
        <v>29</v>
      </c>
      <c r="J6" s="1" t="s">
        <v>30</v>
      </c>
      <c r="K6" s="1" t="s">
        <v>31</v>
      </c>
      <c r="L6" s="1" t="s">
        <v>32</v>
      </c>
      <c r="M6" s="6" t="str">
        <f>_xlfn.CONCAT(Table1[[#This Row],[Billing Street]], ", ", Table1[[#This Row],[Billing City]], ", ", Table1[[#This Row],[Billing State/Province]], ", ", Table1[[#This Row],[Billing Zip/Postal Code]])</f>
        <v>605 Mississippi 182, Starkville, MS, 39759</v>
      </c>
    </row>
    <row r="7" spans="1:13" ht="15.6" x14ac:dyDescent="0.3">
      <c r="A7" s="1" t="s">
        <v>33</v>
      </c>
      <c r="B7" s="1"/>
      <c r="C7" s="1"/>
      <c r="D7" s="1"/>
      <c r="E7" s="1"/>
      <c r="F7" s="1" t="str" cm="1">
        <f t="array" ref="F7">GetCoordinates(M7)</f>
        <v>28.1048970, -81.6317290</v>
      </c>
      <c r="G7" s="1" t="s">
        <v>24</v>
      </c>
      <c r="H7" s="2">
        <v>325</v>
      </c>
      <c r="I7" s="1" t="s">
        <v>34</v>
      </c>
      <c r="J7" s="1" t="s">
        <v>35</v>
      </c>
      <c r="K7" s="1" t="s">
        <v>36</v>
      </c>
      <c r="L7" s="1" t="s">
        <v>37</v>
      </c>
      <c r="M7" s="6" t="str">
        <f>_xlfn.CONCAT(Table1[[#This Row],[Billing Street]], ", ", Table1[[#This Row],[Billing City]], ", ", Table1[[#This Row],[Billing State/Province]], ", ", Table1[[#This Row],[Billing Zip/Postal Code]])</f>
        <v>116 Terrace Dr, Haines City, FL, 33844</v>
      </c>
    </row>
    <row r="8" spans="1:13" ht="15.6" hidden="1" x14ac:dyDescent="0.3">
      <c r="A8" s="1" t="s">
        <v>38</v>
      </c>
      <c r="B8" s="1"/>
      <c r="C8" s="1"/>
      <c r="D8" s="1"/>
      <c r="E8" s="1"/>
      <c r="F8" s="1"/>
      <c r="G8" s="1" t="s">
        <v>8</v>
      </c>
      <c r="H8" s="2">
        <v>257</v>
      </c>
      <c r="I8" s="1" t="s">
        <v>39</v>
      </c>
      <c r="J8" s="1" t="s">
        <v>40</v>
      </c>
      <c r="K8" s="1" t="s">
        <v>11</v>
      </c>
      <c r="L8" s="1" t="s">
        <v>41</v>
      </c>
      <c r="M8" s="6" t="str">
        <f>_xlfn.CONCAT(Table1[[#This Row],[Billing Street]], ", ", Table1[[#This Row],[Billing City]], ", ", Table1[[#This Row],[Billing State/Province]], ", ", Table1[[#This Row],[Billing Zip/Postal Code]])</f>
        <v>305 N Park St, Sullivan, MO, 63080</v>
      </c>
    </row>
    <row r="9" spans="1:13" ht="15.6" hidden="1" x14ac:dyDescent="0.3">
      <c r="A9" s="1" t="s">
        <v>42</v>
      </c>
      <c r="B9" s="1"/>
      <c r="C9" s="1"/>
      <c r="D9" s="1"/>
      <c r="E9" s="1"/>
      <c r="F9" s="1"/>
      <c r="G9" s="1" t="s">
        <v>43</v>
      </c>
      <c r="H9" s="2">
        <v>121</v>
      </c>
      <c r="I9" s="1" t="s">
        <v>13</v>
      </c>
      <c r="J9" s="1" t="s">
        <v>44</v>
      </c>
      <c r="K9" s="1" t="s">
        <v>45</v>
      </c>
      <c r="L9" s="1" t="s">
        <v>46</v>
      </c>
      <c r="M9" s="6" t="str">
        <f>_xlfn.CONCAT(Table1[[#This Row],[Billing Street]], ", ", Table1[[#This Row],[Billing City]], ", ", Table1[[#This Row],[Billing State/Province]], ", ", Table1[[#This Row],[Billing Zip/Postal Code]])</f>
        <v>, Dublin,, OH, 43017</v>
      </c>
    </row>
    <row r="10" spans="1:13" ht="15.6" hidden="1" x14ac:dyDescent="0.3">
      <c r="A10" s="1" t="s">
        <v>47</v>
      </c>
      <c r="B10" s="1"/>
      <c r="C10" s="1"/>
      <c r="D10" s="1"/>
      <c r="E10" s="1"/>
      <c r="F10" s="1"/>
      <c r="G10" s="1" t="s">
        <v>48</v>
      </c>
      <c r="H10" s="2">
        <v>0</v>
      </c>
      <c r="I10" s="1" t="s">
        <v>49</v>
      </c>
      <c r="J10" s="1" t="s">
        <v>50</v>
      </c>
      <c r="K10" s="1" t="s">
        <v>51</v>
      </c>
      <c r="L10" s="1" t="s">
        <v>52</v>
      </c>
      <c r="M10" s="6" t="str">
        <f>_xlfn.CONCAT(Table1[[#This Row],[Billing Street]], ", ", Table1[[#This Row],[Billing City]], ", ", Table1[[#This Row],[Billing State/Province]], ", ", Table1[[#This Row],[Billing Zip/Postal Code]])</f>
        <v>4921 Conflans Road, Irving, TX, 75061</v>
      </c>
    </row>
    <row r="11" spans="1:13" ht="15.6" hidden="1" x14ac:dyDescent="0.3">
      <c r="A11" s="1" t="s">
        <v>53</v>
      </c>
      <c r="B11" s="1"/>
      <c r="C11" s="1"/>
      <c r="D11" s="1"/>
      <c r="E11" s="1"/>
      <c r="F11" s="1"/>
      <c r="G11" s="1" t="s">
        <v>54</v>
      </c>
      <c r="H11" s="2">
        <v>34</v>
      </c>
      <c r="I11" s="1" t="s">
        <v>55</v>
      </c>
      <c r="J11" s="1" t="s">
        <v>56</v>
      </c>
      <c r="K11" s="1" t="s">
        <v>57</v>
      </c>
      <c r="L11" s="1" t="s">
        <v>58</v>
      </c>
      <c r="M11" s="6" t="str">
        <f>_xlfn.CONCAT(Table1[[#This Row],[Billing Street]], ", ", Table1[[#This Row],[Billing City]], ", ", Table1[[#This Row],[Billing State/Province]], ", ", Table1[[#This Row],[Billing Zip/Postal Code]])</f>
        <v>1920 Main Street   Suite 300, Irvne, CA, 92614</v>
      </c>
    </row>
    <row r="12" spans="1:13" ht="15.6" hidden="1" x14ac:dyDescent="0.3">
      <c r="A12" s="1" t="s">
        <v>59</v>
      </c>
      <c r="B12" s="1"/>
      <c r="C12" s="1"/>
      <c r="D12" s="1"/>
      <c r="E12" s="1"/>
      <c r="F12" s="1"/>
      <c r="G12" s="1" t="s">
        <v>54</v>
      </c>
      <c r="H12" s="2">
        <v>86</v>
      </c>
      <c r="I12" s="1" t="s">
        <v>60</v>
      </c>
      <c r="J12" s="1" t="s">
        <v>61</v>
      </c>
      <c r="K12" s="1" t="s">
        <v>57</v>
      </c>
      <c r="L12" s="1" t="s">
        <v>62</v>
      </c>
      <c r="M12" s="6" t="str">
        <f>_xlfn.CONCAT(Table1[[#This Row],[Billing Street]], ", ", Table1[[#This Row],[Billing City]], ", ", Table1[[#This Row],[Billing State/Province]], ", ", Table1[[#This Row],[Billing Zip/Postal Code]])</f>
        <v>2490 Grand Ave, Vista, CA, 92081</v>
      </c>
    </row>
    <row r="13" spans="1:13" ht="15.6" hidden="1" x14ac:dyDescent="0.3">
      <c r="A13" s="1" t="s">
        <v>63</v>
      </c>
      <c r="B13" s="1"/>
      <c r="C13" s="1"/>
      <c r="D13" s="1"/>
      <c r="E13" s="1"/>
      <c r="F13" s="1"/>
      <c r="G13" s="1" t="s">
        <v>54</v>
      </c>
      <c r="H13" s="2">
        <v>331</v>
      </c>
      <c r="I13" s="1" t="s">
        <v>64</v>
      </c>
      <c r="J13" s="1" t="s">
        <v>65</v>
      </c>
      <c r="K13" s="1" t="s">
        <v>57</v>
      </c>
      <c r="L13" s="1" t="s">
        <v>66</v>
      </c>
      <c r="M13" s="6" t="str">
        <f>_xlfn.CONCAT(Table1[[#This Row],[Billing Street]], ", ", Table1[[#This Row],[Billing City]], ", ", Table1[[#This Row],[Billing State/Province]], ", ", Table1[[#This Row],[Billing Zip/Postal Code]])</f>
        <v>3400 Crow Canyon Road, San Ramon, CA, 94583</v>
      </c>
    </row>
    <row r="14" spans="1:13" ht="15.6" x14ac:dyDescent="0.3">
      <c r="A14" s="1" t="s">
        <v>67</v>
      </c>
      <c r="B14" s="1"/>
      <c r="C14" s="1"/>
      <c r="D14" s="1"/>
      <c r="E14" s="1"/>
      <c r="F14" s="1" t="str" cm="1">
        <f t="array" ref="F14">GetCoordinates(M14)</f>
        <v>33.1225678, -89.0535044</v>
      </c>
      <c r="G14" s="1" t="s">
        <v>24</v>
      </c>
      <c r="H14" s="2">
        <v>239</v>
      </c>
      <c r="I14" s="1" t="s">
        <v>68</v>
      </c>
      <c r="J14" s="1" t="s">
        <v>69</v>
      </c>
      <c r="K14" s="1" t="s">
        <v>31</v>
      </c>
      <c r="L14" s="1" t="s">
        <v>70</v>
      </c>
      <c r="M14" s="6" t="str">
        <f>_xlfn.CONCAT(Table1[[#This Row],[Billing Street]], ", ", Table1[[#This Row],[Billing City]], ", ", Table1[[#This Row],[Billing State/Province]], ", ", Table1[[#This Row],[Billing Zip/Postal Code]])</f>
        <v>118 South Columbus Avenue, Louisville, MS, 39339</v>
      </c>
    </row>
    <row r="15" spans="1:13" ht="15.6" x14ac:dyDescent="0.3">
      <c r="A15" s="1" t="s">
        <v>71</v>
      </c>
      <c r="B15" s="1"/>
      <c r="C15" s="1"/>
      <c r="D15" s="1"/>
      <c r="E15" s="1"/>
      <c r="F15" s="1" t="str" cm="1">
        <f t="array" ref="F15">GetCoordinates(M15)</f>
        <v>33.0588435, -89.5903167</v>
      </c>
      <c r="G15" s="1" t="s">
        <v>24</v>
      </c>
      <c r="H15" s="2">
        <v>260</v>
      </c>
      <c r="I15" s="1" t="s">
        <v>72</v>
      </c>
      <c r="J15" s="1" t="s">
        <v>73</v>
      </c>
      <c r="K15" s="1" t="s">
        <v>31</v>
      </c>
      <c r="L15" s="1" t="s">
        <v>74</v>
      </c>
      <c r="M15" s="6" t="str">
        <f>_xlfn.CONCAT(Table1[[#This Row],[Billing Street]], ", ", Table1[[#This Row],[Billing City]], ", ", Table1[[#This Row],[Billing State/Province]], ", ", Table1[[#This Row],[Billing Zip/Postal Code]])</f>
        <v>124 W Washington, Kosciusko, MS, 39090</v>
      </c>
    </row>
    <row r="16" spans="1:13" ht="15.6" x14ac:dyDescent="0.3">
      <c r="A16" s="1" t="s">
        <v>75</v>
      </c>
      <c r="B16" s="1"/>
      <c r="C16" s="1"/>
      <c r="D16" s="1"/>
      <c r="E16" s="1"/>
      <c r="F16" s="1" t="str" cm="1">
        <f t="array" ref="F16">GetCoordinates(M16)</f>
        <v>30.6307191, -84.4146814</v>
      </c>
      <c r="G16" s="1" t="s">
        <v>24</v>
      </c>
      <c r="H16" s="2">
        <v>101</v>
      </c>
      <c r="I16" s="1" t="s">
        <v>76</v>
      </c>
      <c r="J16" s="1" t="s">
        <v>77</v>
      </c>
      <c r="K16" s="1" t="s">
        <v>36</v>
      </c>
      <c r="L16" s="1" t="s">
        <v>78</v>
      </c>
      <c r="M16" s="6" t="str">
        <f>_xlfn.CONCAT(Table1[[#This Row],[Billing Street]], ", ", Table1[[#This Row],[Billing City]], ", ", Table1[[#This Row],[Billing State/Province]], ", ", Table1[[#This Row],[Billing Zip/Postal Code]])</f>
        <v>711 N Main St., Havana, FL, 32333</v>
      </c>
    </row>
    <row r="17" spans="1:13" ht="15.6" hidden="1" x14ac:dyDescent="0.3">
      <c r="A17" s="1" t="s">
        <v>79</v>
      </c>
      <c r="B17" s="1"/>
      <c r="C17" s="1"/>
      <c r="D17" s="1"/>
      <c r="E17" s="1"/>
      <c r="F17" s="1"/>
      <c r="G17" s="1" t="s">
        <v>43</v>
      </c>
      <c r="H17" s="2">
        <v>134</v>
      </c>
      <c r="I17" s="1" t="s">
        <v>80</v>
      </c>
      <c r="J17" s="1" t="s">
        <v>81</v>
      </c>
      <c r="K17" s="1" t="s">
        <v>82</v>
      </c>
      <c r="L17" s="1" t="s">
        <v>83</v>
      </c>
      <c r="M17" s="6" t="str">
        <f>_xlfn.CONCAT(Table1[[#This Row],[Billing Street]], ", ", Table1[[#This Row],[Billing City]], ", ", Table1[[#This Row],[Billing State/Province]], ", ", Table1[[#This Row],[Billing Zip/Postal Code]])</f>
        <v>1200 W. West Maple Road, Walled Lake, MI, 48390</v>
      </c>
    </row>
    <row r="18" spans="1:13" ht="15.6" x14ac:dyDescent="0.3">
      <c r="A18" s="1" t="s">
        <v>84</v>
      </c>
      <c r="B18" s="1"/>
      <c r="C18" s="1"/>
      <c r="D18" s="1"/>
      <c r="E18" s="1"/>
      <c r="F18" s="1" t="str" cm="1">
        <f t="array" ref="F18">GetCoordinates(M18)</f>
        <v>30.9518734, -85.5125157</v>
      </c>
      <c r="G18" s="1" t="s">
        <v>24</v>
      </c>
      <c r="H18" s="2">
        <v>39</v>
      </c>
      <c r="I18" s="1" t="s">
        <v>85</v>
      </c>
      <c r="J18" s="1" t="s">
        <v>86</v>
      </c>
      <c r="K18" s="1" t="s">
        <v>36</v>
      </c>
      <c r="L18" s="1" t="s">
        <v>87</v>
      </c>
      <c r="M18" s="6" t="str">
        <f>_xlfn.CONCAT(Table1[[#This Row],[Billing Street]], ", ", Table1[[#This Row],[Billing City]], ", ", Table1[[#This Row],[Billing State/Province]], ", ", Table1[[#This Row],[Billing Zip/Postal Code]])</f>
        <v>5282 Peanut Rd., Graceville, FL, 32440</v>
      </c>
    </row>
    <row r="19" spans="1:13" ht="15.6" hidden="1" x14ac:dyDescent="0.3">
      <c r="A19" s="1" t="s">
        <v>88</v>
      </c>
      <c r="B19" s="1"/>
      <c r="C19" s="1"/>
      <c r="D19" s="1"/>
      <c r="E19" s="1"/>
      <c r="F19" s="1"/>
      <c r="G19" s="1" t="s">
        <v>54</v>
      </c>
      <c r="H19" s="2">
        <v>7813</v>
      </c>
      <c r="I19" s="1" t="s">
        <v>13</v>
      </c>
      <c r="J19" s="1" t="s">
        <v>13</v>
      </c>
      <c r="K19" s="1" t="s">
        <v>57</v>
      </c>
      <c r="L19" s="1" t="s">
        <v>13</v>
      </c>
      <c r="M19" s="6" t="str">
        <f>_xlfn.CONCAT(Table1[[#This Row],[Billing Street]], ", ", Table1[[#This Row],[Billing City]], ", ", Table1[[#This Row],[Billing State/Province]], ", ", Table1[[#This Row],[Billing Zip/Postal Code]])</f>
        <v xml:space="preserve">, , CA, </v>
      </c>
    </row>
    <row r="20" spans="1:13" ht="15.6" hidden="1" x14ac:dyDescent="0.3">
      <c r="A20" s="1" t="s">
        <v>89</v>
      </c>
      <c r="B20" s="1"/>
      <c r="C20" s="1"/>
      <c r="D20" s="1"/>
      <c r="E20" s="1"/>
      <c r="F20" s="1"/>
      <c r="G20" s="1" t="s">
        <v>54</v>
      </c>
      <c r="H20" s="2">
        <v>310</v>
      </c>
      <c r="I20" s="1" t="s">
        <v>90</v>
      </c>
      <c r="J20" s="1" t="s">
        <v>91</v>
      </c>
      <c r="K20" s="1" t="s">
        <v>57</v>
      </c>
      <c r="L20" s="1" t="s">
        <v>92</v>
      </c>
      <c r="M20" s="6" t="str">
        <f>_xlfn.CONCAT(Table1[[#This Row],[Billing Street]], ", ", Table1[[#This Row],[Billing City]], ", ", Table1[[#This Row],[Billing State/Province]], ", ", Table1[[#This Row],[Billing Zip/Postal Code]])</f>
        <v>1705 Martin Ave, Santa Clara, CA, 95050</v>
      </c>
    </row>
    <row r="21" spans="1:13" ht="15.6" hidden="1" x14ac:dyDescent="0.3">
      <c r="A21" s="1" t="s">
        <v>79</v>
      </c>
      <c r="B21" s="1"/>
      <c r="C21" s="1"/>
      <c r="D21" s="1"/>
      <c r="E21" s="1"/>
      <c r="F21" s="1"/>
      <c r="G21" s="1" t="s">
        <v>43</v>
      </c>
      <c r="H21" s="2">
        <v>513</v>
      </c>
      <c r="I21" s="1" t="s">
        <v>93</v>
      </c>
      <c r="J21" s="1" t="s">
        <v>94</v>
      </c>
      <c r="K21" s="1" t="s">
        <v>95</v>
      </c>
      <c r="L21" s="1" t="s">
        <v>96</v>
      </c>
      <c r="M21" s="6" t="str">
        <f>_xlfn.CONCAT(Table1[[#This Row],[Billing Street]], ", ", Table1[[#This Row],[Billing City]], ", ", Table1[[#This Row],[Billing State/Province]], ", ", Table1[[#This Row],[Billing Zip/Postal Code]])</f>
        <v>40 Washington St, Westborough, MA, 01581</v>
      </c>
    </row>
    <row r="22" spans="1:13" ht="15.6" hidden="1" x14ac:dyDescent="0.3">
      <c r="A22" s="1" t="s">
        <v>97</v>
      </c>
      <c r="B22" s="1"/>
      <c r="C22" s="1"/>
      <c r="D22" s="1"/>
      <c r="E22" s="1"/>
      <c r="F22" s="1"/>
      <c r="G22" s="1" t="s">
        <v>98</v>
      </c>
      <c r="H22" s="2">
        <v>162</v>
      </c>
      <c r="I22" s="1" t="s">
        <v>99</v>
      </c>
      <c r="J22" s="1" t="s">
        <v>100</v>
      </c>
      <c r="K22" s="1" t="s">
        <v>101</v>
      </c>
      <c r="L22" s="1" t="s">
        <v>102</v>
      </c>
      <c r="M22" s="6" t="str">
        <f>_xlfn.CONCAT(Table1[[#This Row],[Billing Street]], ", ", Table1[[#This Row],[Billing City]], ", ", Table1[[#This Row],[Billing State/Province]], ", ", Table1[[#This Row],[Billing Zip/Postal Code]])</f>
        <v>1726 Lily Pond Road, Albany, GA, 31701</v>
      </c>
    </row>
    <row r="23" spans="1:13" ht="15.6" x14ac:dyDescent="0.3">
      <c r="A23" s="1" t="s">
        <v>103</v>
      </c>
      <c r="B23" s="1"/>
      <c r="C23" s="1"/>
      <c r="D23" s="1"/>
      <c r="E23" s="1"/>
      <c r="F23" s="1" t="str" cm="1">
        <f t="array" ref="F23">GetCoordinates(M23)</f>
        <v>33.7440023, -90.7248187</v>
      </c>
      <c r="G23" s="1" t="s">
        <v>24</v>
      </c>
      <c r="H23" s="2">
        <v>5988</v>
      </c>
      <c r="I23" s="1" t="s">
        <v>13</v>
      </c>
      <c r="J23" s="1" t="s">
        <v>104</v>
      </c>
      <c r="K23" s="1" t="s">
        <v>31</v>
      </c>
      <c r="L23" s="1" t="s">
        <v>13</v>
      </c>
      <c r="M23" s="6" t="str">
        <f>_xlfn.CONCAT(Table1[[#This Row],[Billing Street]], ", ", Table1[[#This Row],[Billing City]], ", ", Table1[[#This Row],[Billing State/Province]], ", ", Table1[[#This Row],[Billing Zip/Postal Code]])</f>
        <v xml:space="preserve">, Cleveland, MS, </v>
      </c>
    </row>
    <row r="24" spans="1:13" ht="15.6" hidden="1" x14ac:dyDescent="0.3">
      <c r="A24" s="1" t="s">
        <v>105</v>
      </c>
      <c r="B24" s="1"/>
      <c r="C24" s="1"/>
      <c r="D24" s="1"/>
      <c r="E24" s="1"/>
      <c r="F24" s="1"/>
      <c r="G24" s="1" t="s">
        <v>54</v>
      </c>
      <c r="H24" s="2">
        <v>407</v>
      </c>
      <c r="I24" s="1" t="s">
        <v>106</v>
      </c>
      <c r="J24" s="1" t="s">
        <v>107</v>
      </c>
      <c r="K24" s="1" t="s">
        <v>57</v>
      </c>
      <c r="L24" s="1" t="s">
        <v>108</v>
      </c>
      <c r="M24" s="6" t="str">
        <f>_xlfn.CONCAT(Table1[[#This Row],[Billing Street]], ", ", Table1[[#This Row],[Billing City]], ", ", Table1[[#This Row],[Billing State/Province]], ", ", Table1[[#This Row],[Billing Zip/Postal Code]])</f>
        <v>550 Westside Rd., Healdsburg, CA, 95448</v>
      </c>
    </row>
    <row r="25" spans="1:13" ht="15.6" x14ac:dyDescent="0.3">
      <c r="A25" s="1" t="s">
        <v>109</v>
      </c>
      <c r="B25" s="1"/>
      <c r="C25" s="1"/>
      <c r="D25" s="1"/>
      <c r="E25" s="1"/>
      <c r="F25" s="1" t="str" cm="1">
        <f t="array" ref="F25">GetCoordinates(M25)</f>
        <v>30.2853231, -81.4058240</v>
      </c>
      <c r="G25" s="1" t="s">
        <v>24</v>
      </c>
      <c r="H25" s="2">
        <v>282</v>
      </c>
      <c r="I25" s="1" t="s">
        <v>110</v>
      </c>
      <c r="J25" s="1" t="s">
        <v>111</v>
      </c>
      <c r="K25" s="1" t="s">
        <v>36</v>
      </c>
      <c r="L25" s="1" t="s">
        <v>112</v>
      </c>
      <c r="M25" s="6" t="str">
        <f>_xlfn.CONCAT(Table1[[#This Row],[Billing Street]], ", ", Table1[[#This Row],[Billing City]], ", ", Table1[[#This Row],[Billing State/Province]], ", ", Table1[[#This Row],[Billing Zip/Postal Code]])</f>
        <v>1460 Shetter Avenue, Jacksonville Beach, FL, 32250</v>
      </c>
    </row>
    <row r="26" spans="1:13" ht="15.6" hidden="1" x14ac:dyDescent="0.3">
      <c r="A26" s="1" t="s">
        <v>113</v>
      </c>
      <c r="B26" s="1"/>
      <c r="C26" s="1"/>
      <c r="D26" s="1"/>
      <c r="E26" s="1"/>
      <c r="F26" s="1"/>
      <c r="G26" s="1" t="s">
        <v>54</v>
      </c>
      <c r="H26" s="2">
        <v>446</v>
      </c>
      <c r="I26" s="1" t="s">
        <v>114</v>
      </c>
      <c r="J26" s="1" t="s">
        <v>115</v>
      </c>
      <c r="K26" s="1" t="s">
        <v>57</v>
      </c>
      <c r="L26" s="1" t="s">
        <v>116</v>
      </c>
      <c r="M26" s="6" t="str">
        <f>_xlfn.CONCAT(Table1[[#This Row],[Billing Street]], ", ", Table1[[#This Row],[Billing City]], ", ", Table1[[#This Row],[Billing State/Province]], ", ", Table1[[#This Row],[Billing Zip/Postal Code]])</f>
        <v>1320 Airport Rd., Ukiah, CA, 95482</v>
      </c>
    </row>
    <row r="27" spans="1:13" ht="15.6" hidden="1" x14ac:dyDescent="0.3">
      <c r="A27" s="1" t="s">
        <v>117</v>
      </c>
      <c r="B27" s="1"/>
      <c r="C27" s="1"/>
      <c r="D27" s="1"/>
      <c r="E27" s="1"/>
      <c r="F27" s="1"/>
      <c r="G27" s="1" t="s">
        <v>54</v>
      </c>
      <c r="H27" s="2">
        <v>33</v>
      </c>
      <c r="I27" s="1" t="s">
        <v>118</v>
      </c>
      <c r="J27" s="1" t="s">
        <v>119</v>
      </c>
      <c r="K27" s="1" t="s">
        <v>57</v>
      </c>
      <c r="L27" s="1" t="s">
        <v>120</v>
      </c>
      <c r="M27" s="6" t="str">
        <f>_xlfn.CONCAT(Table1[[#This Row],[Billing Street]], ", ", Table1[[#This Row],[Billing City]], ", ", Table1[[#This Row],[Billing State/Province]], ", ", Table1[[#This Row],[Billing Zip/Postal Code]])</f>
        <v>222 N Mountain Ave, Ste 109B, Upland, CA, 91786</v>
      </c>
    </row>
    <row r="28" spans="1:13" ht="15.6" hidden="1" x14ac:dyDescent="0.3">
      <c r="A28" s="1" t="s">
        <v>121</v>
      </c>
      <c r="B28" s="1"/>
      <c r="C28" s="1"/>
      <c r="D28" s="1"/>
      <c r="E28" s="1"/>
      <c r="F28" s="1"/>
      <c r="G28" s="1" t="s">
        <v>54</v>
      </c>
      <c r="H28" s="2">
        <v>342</v>
      </c>
      <c r="I28" s="1" t="s">
        <v>122</v>
      </c>
      <c r="J28" s="1" t="s">
        <v>123</v>
      </c>
      <c r="K28" s="1" t="s">
        <v>57</v>
      </c>
      <c r="L28" s="1" t="s">
        <v>124</v>
      </c>
      <c r="M28" s="6" t="str">
        <f>_xlfn.CONCAT(Table1[[#This Row],[Billing Street]], ", ", Table1[[#This Row],[Billing City]], ", ", Table1[[#This Row],[Billing State/Province]], ", ", Table1[[#This Row],[Billing Zip/Postal Code]])</f>
        <v>696 W. 10th St, Pittsburg, CA, 94565</v>
      </c>
    </row>
    <row r="29" spans="1:13" ht="15.6" hidden="1" x14ac:dyDescent="0.3">
      <c r="A29" s="1" t="s">
        <v>125</v>
      </c>
      <c r="B29" s="1"/>
      <c r="C29" s="1"/>
      <c r="D29" s="1"/>
      <c r="E29" s="1"/>
      <c r="F29" s="1"/>
      <c r="G29" s="1" t="s">
        <v>8</v>
      </c>
      <c r="H29" s="2">
        <v>695</v>
      </c>
      <c r="I29" s="1" t="s">
        <v>126</v>
      </c>
      <c r="J29" s="1" t="s">
        <v>127</v>
      </c>
      <c r="K29" s="1" t="s">
        <v>128</v>
      </c>
      <c r="L29" s="1" t="s">
        <v>129</v>
      </c>
      <c r="M29" s="6" t="str">
        <f>_xlfn.CONCAT(Table1[[#This Row],[Billing Street]], ", ", Table1[[#This Row],[Billing City]], ", ", Table1[[#This Row],[Billing State/Province]], ", ", Table1[[#This Row],[Billing Zip/Postal Code]])</f>
        <v>2626 Courtland St, Duluth, MN, 55806</v>
      </c>
    </row>
    <row r="30" spans="1:13" ht="15.6" hidden="1" x14ac:dyDescent="0.3">
      <c r="A30" s="1" t="s">
        <v>130</v>
      </c>
      <c r="B30" s="1"/>
      <c r="C30" s="1"/>
      <c r="D30" s="1"/>
      <c r="E30" s="1"/>
      <c r="F30" s="1"/>
      <c r="G30" s="1" t="s">
        <v>43</v>
      </c>
      <c r="H30" s="2">
        <v>354</v>
      </c>
      <c r="I30" s="1" t="s">
        <v>131</v>
      </c>
      <c r="J30" s="1" t="s">
        <v>132</v>
      </c>
      <c r="K30" s="1" t="s">
        <v>133</v>
      </c>
      <c r="L30" s="1" t="s">
        <v>134</v>
      </c>
      <c r="M30" s="6" t="str">
        <f>_xlfn.CONCAT(Table1[[#This Row],[Billing Street]], ", ", Table1[[#This Row],[Billing City]], ", ", Table1[[#This Row],[Billing State/Province]], ", ", Table1[[#This Row],[Billing Zip/Postal Code]])</f>
        <v>4755 W Beloit Rd, West Milwaukee, WI, 53214</v>
      </c>
    </row>
    <row r="31" spans="1:13" ht="15.6" hidden="1" x14ac:dyDescent="0.3">
      <c r="A31" s="1" t="s">
        <v>135</v>
      </c>
      <c r="B31" s="1"/>
      <c r="C31" s="1"/>
      <c r="D31" s="1"/>
      <c r="E31" s="1"/>
      <c r="F31" s="1"/>
      <c r="G31" s="1" t="s">
        <v>54</v>
      </c>
      <c r="H31" s="2">
        <v>7813</v>
      </c>
      <c r="I31" s="1" t="s">
        <v>13</v>
      </c>
      <c r="J31" s="1" t="s">
        <v>13</v>
      </c>
      <c r="K31" s="1" t="s">
        <v>57</v>
      </c>
      <c r="L31" s="1" t="s">
        <v>13</v>
      </c>
      <c r="M31" s="6" t="str">
        <f>_xlfn.CONCAT(Table1[[#This Row],[Billing Street]], ", ", Table1[[#This Row],[Billing City]], ", ", Table1[[#This Row],[Billing State/Province]], ", ", Table1[[#This Row],[Billing Zip/Postal Code]])</f>
        <v xml:space="preserve">, , CA, </v>
      </c>
    </row>
    <row r="32" spans="1:13" ht="15.6" hidden="1" x14ac:dyDescent="0.3">
      <c r="A32" s="1" t="s">
        <v>130</v>
      </c>
      <c r="B32" s="1"/>
      <c r="C32" s="1"/>
      <c r="D32" s="1"/>
      <c r="E32" s="1"/>
      <c r="F32" s="1"/>
      <c r="G32" s="1" t="s">
        <v>43</v>
      </c>
      <c r="H32" s="2">
        <v>354</v>
      </c>
      <c r="I32" s="1" t="s">
        <v>131</v>
      </c>
      <c r="J32" s="1" t="s">
        <v>132</v>
      </c>
      <c r="K32" s="1" t="s">
        <v>133</v>
      </c>
      <c r="L32" s="1" t="s">
        <v>134</v>
      </c>
      <c r="M32" s="6" t="str">
        <f>_xlfn.CONCAT(Table1[[#This Row],[Billing Street]], ", ", Table1[[#This Row],[Billing City]], ", ", Table1[[#This Row],[Billing State/Province]], ", ", Table1[[#This Row],[Billing Zip/Postal Code]])</f>
        <v>4755 W Beloit Rd, West Milwaukee, WI, 53214</v>
      </c>
    </row>
    <row r="33" spans="1:13" ht="15.6" hidden="1" x14ac:dyDescent="0.3">
      <c r="A33" s="1" t="s">
        <v>136</v>
      </c>
      <c r="B33" s="1"/>
      <c r="C33" s="1"/>
      <c r="D33" s="1"/>
      <c r="E33" s="1"/>
      <c r="F33" s="1"/>
      <c r="G33" s="1" t="s">
        <v>8</v>
      </c>
      <c r="H33" s="2">
        <v>547</v>
      </c>
      <c r="I33" s="1" t="s">
        <v>137</v>
      </c>
      <c r="J33" s="1" t="s">
        <v>138</v>
      </c>
      <c r="K33" s="1" t="s">
        <v>128</v>
      </c>
      <c r="L33" s="1" t="s">
        <v>139</v>
      </c>
      <c r="M33" s="6" t="str">
        <f>_xlfn.CONCAT(Table1[[#This Row],[Billing Street]], ", ", Table1[[#This Row],[Billing City]], ", ", Table1[[#This Row],[Billing State/Province]], ", ", Table1[[#This Row],[Billing Zip/Postal Code]])</f>
        <v>8555 123rd St W #2, Savage, MN, 55378</v>
      </c>
    </row>
    <row r="34" spans="1:13" ht="15.6" hidden="1" x14ac:dyDescent="0.3">
      <c r="A34" s="1" t="s">
        <v>140</v>
      </c>
      <c r="B34" s="1"/>
      <c r="C34" s="1"/>
      <c r="D34" s="1"/>
      <c r="E34" s="1"/>
      <c r="F34" s="1"/>
      <c r="G34" s="1" t="s">
        <v>54</v>
      </c>
      <c r="H34" s="2">
        <v>460</v>
      </c>
      <c r="I34" s="1" t="s">
        <v>141</v>
      </c>
      <c r="J34" s="1" t="s">
        <v>142</v>
      </c>
      <c r="K34" s="1" t="s">
        <v>57</v>
      </c>
      <c r="L34" s="1" t="s">
        <v>143</v>
      </c>
      <c r="M34" s="6" t="str">
        <f>_xlfn.CONCAT(Table1[[#This Row],[Billing Street]], ", ", Table1[[#This Row],[Billing City]], ", ", Table1[[#This Row],[Billing State/Province]], ", ", Table1[[#This Row],[Billing Zip/Postal Code]])</f>
        <v>1605 Chestnut St, Susanville, CA, 96130</v>
      </c>
    </row>
    <row r="35" spans="1:13" ht="15.6" hidden="1" x14ac:dyDescent="0.3">
      <c r="A35" s="1" t="s">
        <v>144</v>
      </c>
      <c r="B35" s="1"/>
      <c r="C35" s="1"/>
      <c r="D35" s="1"/>
      <c r="E35" s="1"/>
      <c r="F35" s="1"/>
      <c r="G35" s="1" t="s">
        <v>8</v>
      </c>
      <c r="H35" s="2">
        <v>164</v>
      </c>
      <c r="I35" s="1" t="s">
        <v>145</v>
      </c>
      <c r="J35" s="1" t="s">
        <v>146</v>
      </c>
      <c r="K35" s="1" t="s">
        <v>147</v>
      </c>
      <c r="L35" s="1" t="s">
        <v>148</v>
      </c>
      <c r="M35" s="6" t="str">
        <f>_xlfn.CONCAT(Table1[[#This Row],[Billing Street]], ", ", Table1[[#This Row],[Billing City]], ", ", Table1[[#This Row],[Billing State/Province]], ", ", Table1[[#This Row],[Billing Zip/Postal Code]])</f>
        <v>12157 Copunty Road 3570, Ada, OK, 74820</v>
      </c>
    </row>
    <row r="36" spans="1:13" ht="15.6" hidden="1" x14ac:dyDescent="0.3">
      <c r="A36" s="1" t="s">
        <v>149</v>
      </c>
      <c r="B36" s="1"/>
      <c r="C36" s="1"/>
      <c r="D36" s="1"/>
      <c r="E36" s="1"/>
      <c r="F36" s="1"/>
      <c r="G36" s="1" t="s">
        <v>43</v>
      </c>
      <c r="H36" s="2">
        <v>334</v>
      </c>
      <c r="I36" s="1" t="s">
        <v>150</v>
      </c>
      <c r="J36" s="1" t="s">
        <v>151</v>
      </c>
      <c r="K36" s="1" t="s">
        <v>152</v>
      </c>
      <c r="L36" s="1" t="s">
        <v>153</v>
      </c>
      <c r="M36" s="6" t="str">
        <f>_xlfn.CONCAT(Table1[[#This Row],[Billing Street]], ", ", Table1[[#This Row],[Billing City]], ", ", Table1[[#This Row],[Billing State/Province]], ", ", Table1[[#This Row],[Billing Zip/Postal Code]])</f>
        <v>17601 SW Hwy, Orland Park, IL, 60467</v>
      </c>
    </row>
    <row r="37" spans="1:13" ht="15.6" hidden="1" x14ac:dyDescent="0.3">
      <c r="A37" s="1" t="s">
        <v>154</v>
      </c>
      <c r="B37" s="1"/>
      <c r="C37" s="1"/>
      <c r="D37" s="1"/>
      <c r="E37" s="1"/>
      <c r="F37" s="1"/>
      <c r="G37" s="1" t="s">
        <v>8</v>
      </c>
      <c r="H37" s="2">
        <v>521</v>
      </c>
      <c r="I37" s="1" t="s">
        <v>155</v>
      </c>
      <c r="J37" s="1" t="s">
        <v>156</v>
      </c>
      <c r="K37" s="1" t="s">
        <v>128</v>
      </c>
      <c r="L37" s="1" t="s">
        <v>157</v>
      </c>
      <c r="M37" s="6" t="str">
        <f>_xlfn.CONCAT(Table1[[#This Row],[Billing Street]], ", ", Table1[[#This Row],[Billing City]], ", ", Table1[[#This Row],[Billing State/Province]], ", ", Table1[[#This Row],[Billing Zip/Postal Code]])</f>
        <v>505 boright street, Le Sueur, MN, 56058</v>
      </c>
    </row>
    <row r="38" spans="1:13" ht="15.6" hidden="1" x14ac:dyDescent="0.3">
      <c r="A38" s="1" t="s">
        <v>158</v>
      </c>
      <c r="B38" s="1"/>
      <c r="C38" s="1"/>
      <c r="D38" s="1"/>
      <c r="E38" s="1"/>
      <c r="F38" s="1"/>
      <c r="G38" s="1" t="s">
        <v>54</v>
      </c>
      <c r="H38" s="2">
        <v>344</v>
      </c>
      <c r="I38" s="1" t="s">
        <v>159</v>
      </c>
      <c r="J38" s="1" t="s">
        <v>160</v>
      </c>
      <c r="K38" s="1" t="s">
        <v>57</v>
      </c>
      <c r="L38" s="1" t="s">
        <v>161</v>
      </c>
      <c r="M38" s="6" t="str">
        <f>_xlfn.CONCAT(Table1[[#This Row],[Billing Street]], ", ", Table1[[#This Row],[Billing City]], ", ", Table1[[#This Row],[Billing State/Province]], ", ", Table1[[#This Row],[Billing Zip/Postal Code]])</f>
        <v>1401 Willow Pass Road, Suite 5000, Concord, CA, 94250</v>
      </c>
    </row>
    <row r="39" spans="1:13" ht="15.6" hidden="1" x14ac:dyDescent="0.3">
      <c r="A39" s="1" t="s">
        <v>162</v>
      </c>
      <c r="B39" s="1"/>
      <c r="C39" s="1"/>
      <c r="D39" s="1"/>
      <c r="E39" s="1"/>
      <c r="F39" s="1"/>
      <c r="G39" s="1" t="s">
        <v>8</v>
      </c>
      <c r="H39" s="2">
        <v>207</v>
      </c>
      <c r="I39" s="1" t="s">
        <v>163</v>
      </c>
      <c r="J39" s="1" t="s">
        <v>164</v>
      </c>
      <c r="K39" s="1" t="s">
        <v>165</v>
      </c>
      <c r="L39" s="1" t="s">
        <v>166</v>
      </c>
      <c r="M39" s="6" t="str">
        <f>_xlfn.CONCAT(Table1[[#This Row],[Billing Street]], ", ", Table1[[#This Row],[Billing City]], ", ", Table1[[#This Row],[Billing State/Province]], ", ", Table1[[#This Row],[Billing Zip/Postal Code]])</f>
        <v>1223 E Broadway St,, Morrilton, AR, 72110</v>
      </c>
    </row>
    <row r="40" spans="1:13" ht="15.6" hidden="1" x14ac:dyDescent="0.3">
      <c r="A40" s="1" t="s">
        <v>167</v>
      </c>
      <c r="B40" s="1"/>
      <c r="C40" s="1"/>
      <c r="D40" s="1"/>
      <c r="E40" s="1"/>
      <c r="F40" s="1"/>
      <c r="G40" s="1" t="s">
        <v>43</v>
      </c>
      <c r="H40" s="2">
        <v>625</v>
      </c>
      <c r="I40" s="1" t="s">
        <v>168</v>
      </c>
      <c r="J40" s="1" t="s">
        <v>169</v>
      </c>
      <c r="K40" s="1" t="s">
        <v>133</v>
      </c>
      <c r="L40" s="1" t="s">
        <v>170</v>
      </c>
      <c r="M40" s="6" t="str">
        <f>_xlfn.CONCAT(Table1[[#This Row],[Billing Street]], ", ", Table1[[#This Row],[Billing City]], ", ", Table1[[#This Row],[Billing State/Province]], ", ", Table1[[#This Row],[Billing Zip/Postal Code]])</f>
        <v>1001 State Route 35, Centuria, WI, 54824</v>
      </c>
    </row>
    <row r="41" spans="1:13" ht="15.6" hidden="1" x14ac:dyDescent="0.3">
      <c r="A41" s="1" t="s">
        <v>171</v>
      </c>
      <c r="B41" s="1"/>
      <c r="C41" s="1"/>
      <c r="D41" s="1"/>
      <c r="E41" s="1"/>
      <c r="F41" s="1"/>
      <c r="G41" s="1" t="s">
        <v>43</v>
      </c>
      <c r="H41" s="2">
        <v>646</v>
      </c>
      <c r="I41" s="1" t="s">
        <v>172</v>
      </c>
      <c r="J41" s="1" t="s">
        <v>173</v>
      </c>
      <c r="K41" s="1" t="s">
        <v>133</v>
      </c>
      <c r="L41" s="1" t="s">
        <v>174</v>
      </c>
      <c r="M41" s="6" t="str">
        <f>_xlfn.CONCAT(Table1[[#This Row],[Billing Street]], ", ", Table1[[#This Row],[Billing City]], ", ", Table1[[#This Row],[Billing State/Province]], ", ", Table1[[#This Row],[Billing Zip/Postal Code]])</f>
        <v>1513 Belknap St, Superior, WI, 54880</v>
      </c>
    </row>
    <row r="42" spans="1:13" ht="15.6" hidden="1" x14ac:dyDescent="0.3">
      <c r="A42" s="1" t="s">
        <v>175</v>
      </c>
      <c r="B42" s="1"/>
      <c r="C42" s="1"/>
      <c r="D42" s="1"/>
      <c r="E42" s="1"/>
      <c r="F42" s="1"/>
      <c r="G42" s="1" t="s">
        <v>43</v>
      </c>
      <c r="H42" s="2">
        <v>340</v>
      </c>
      <c r="I42" s="1" t="s">
        <v>176</v>
      </c>
      <c r="J42" s="1" t="s">
        <v>177</v>
      </c>
      <c r="K42" s="1" t="s">
        <v>152</v>
      </c>
      <c r="L42" s="1" t="s">
        <v>178</v>
      </c>
      <c r="M42" s="6" t="str">
        <f>_xlfn.CONCAT(Table1[[#This Row],[Billing Street]], ", ", Table1[[#This Row],[Billing City]], ", ", Table1[[#This Row],[Billing State/Province]], ", ", Table1[[#This Row],[Billing Zip/Postal Code]])</f>
        <v>831 Oakton St., Elk Grove Village, IL, 60007</v>
      </c>
    </row>
    <row r="43" spans="1:13" ht="15.6" hidden="1" x14ac:dyDescent="0.3">
      <c r="A43" s="1" t="s">
        <v>179</v>
      </c>
      <c r="B43" s="1"/>
      <c r="C43" s="1"/>
      <c r="D43" s="1"/>
      <c r="E43" s="1"/>
      <c r="F43" s="1"/>
      <c r="G43" s="1" t="s">
        <v>54</v>
      </c>
      <c r="H43" s="2">
        <v>7813</v>
      </c>
      <c r="I43" s="1" t="s">
        <v>13</v>
      </c>
      <c r="J43" s="1" t="s">
        <v>13</v>
      </c>
      <c r="K43" s="1" t="s">
        <v>57</v>
      </c>
      <c r="L43" s="1" t="s">
        <v>13</v>
      </c>
      <c r="M43" s="6" t="str">
        <f>_xlfn.CONCAT(Table1[[#This Row],[Billing Street]], ", ", Table1[[#This Row],[Billing City]], ", ", Table1[[#This Row],[Billing State/Province]], ", ", Table1[[#This Row],[Billing Zip/Postal Code]])</f>
        <v xml:space="preserve">, , CA, </v>
      </c>
    </row>
    <row r="44" spans="1:13" ht="15.6" hidden="1" x14ac:dyDescent="0.3">
      <c r="A44" s="1" t="s">
        <v>180</v>
      </c>
      <c r="B44" s="1"/>
      <c r="C44" s="1"/>
      <c r="D44" s="1"/>
      <c r="E44" s="1"/>
      <c r="F44" s="1"/>
      <c r="G44" s="1" t="s">
        <v>54</v>
      </c>
      <c r="H44" s="2">
        <v>345</v>
      </c>
      <c r="I44" s="1" t="s">
        <v>181</v>
      </c>
      <c r="J44" s="1" t="s">
        <v>182</v>
      </c>
      <c r="K44" s="1" t="s">
        <v>57</v>
      </c>
      <c r="L44" s="1" t="s">
        <v>183</v>
      </c>
      <c r="M44" s="6" t="str">
        <f>_xlfn.CONCAT(Table1[[#This Row],[Billing Street]], ", ", Table1[[#This Row],[Billing City]], ", ", Table1[[#This Row],[Billing State/Province]], ", ", Table1[[#This Row],[Billing Zip/Postal Code]])</f>
        <v>898 Pennsylvania Ave, San Francisco, CA, 94107</v>
      </c>
    </row>
    <row r="45" spans="1:13" ht="15.6" hidden="1" x14ac:dyDescent="0.3">
      <c r="A45" s="1" t="s">
        <v>184</v>
      </c>
      <c r="B45" s="1"/>
      <c r="C45" s="1"/>
      <c r="D45" s="1"/>
      <c r="E45" s="1"/>
      <c r="F45" s="1"/>
      <c r="G45" s="1" t="s">
        <v>8</v>
      </c>
      <c r="H45" s="2">
        <v>387</v>
      </c>
      <c r="I45" s="1" t="s">
        <v>13</v>
      </c>
      <c r="J45" s="1" t="s">
        <v>185</v>
      </c>
      <c r="K45" s="1" t="s">
        <v>21</v>
      </c>
      <c r="L45" s="1" t="s">
        <v>186</v>
      </c>
      <c r="M45" s="6" t="str">
        <f>_xlfn.CONCAT(Table1[[#This Row],[Billing Street]], ", ", Table1[[#This Row],[Billing City]], ", ", Table1[[#This Row],[Billing State/Province]], ", ", Table1[[#This Row],[Billing Zip/Postal Code]])</f>
        <v>, Iowa City, IA, 52242</v>
      </c>
    </row>
    <row r="46" spans="1:13" ht="15.6" hidden="1" x14ac:dyDescent="0.3">
      <c r="A46" s="1" t="s">
        <v>187</v>
      </c>
      <c r="B46" s="1"/>
      <c r="C46" s="1"/>
      <c r="D46" s="1"/>
      <c r="E46" s="1"/>
      <c r="F46" s="1"/>
      <c r="G46" s="1" t="s">
        <v>54</v>
      </c>
      <c r="H46" s="2">
        <v>55</v>
      </c>
      <c r="I46" s="1" t="s">
        <v>188</v>
      </c>
      <c r="J46" s="1" t="s">
        <v>189</v>
      </c>
      <c r="K46" s="1" t="s">
        <v>57</v>
      </c>
      <c r="L46" s="1" t="s">
        <v>190</v>
      </c>
      <c r="M46" s="6" t="str">
        <f>_xlfn.CONCAT(Table1[[#This Row],[Billing Street]], ", ", Table1[[#This Row],[Billing City]], ", ", Table1[[#This Row],[Billing State/Province]], ", ", Table1[[#This Row],[Billing Zip/Postal Code]])</f>
        <v>7330 Sycamore Canyon Blvd. Ste 1, Riverside, CA, 92508</v>
      </c>
    </row>
    <row r="47" spans="1:13" ht="15.6" hidden="1" x14ac:dyDescent="0.3">
      <c r="A47" s="1" t="s">
        <v>191</v>
      </c>
      <c r="B47" s="1"/>
      <c r="C47" s="1"/>
      <c r="D47" s="1"/>
      <c r="E47" s="1"/>
      <c r="F47" s="1"/>
      <c r="G47" s="1" t="s">
        <v>54</v>
      </c>
      <c r="H47" s="2">
        <v>316</v>
      </c>
      <c r="I47" s="1" t="s">
        <v>192</v>
      </c>
      <c r="J47" s="1" t="s">
        <v>193</v>
      </c>
      <c r="K47" s="1" t="s">
        <v>57</v>
      </c>
      <c r="L47" s="1" t="s">
        <v>194</v>
      </c>
      <c r="M47" s="6" t="str">
        <f>_xlfn.CONCAT(Table1[[#This Row],[Billing Street]], ", ", Table1[[#This Row],[Billing City]], ", ", Table1[[#This Row],[Billing State/Province]], ", ", Table1[[#This Row],[Billing Zip/Postal Code]])</f>
        <v>1265 Montecito Ave, Mountain View, CA, 94043</v>
      </c>
    </row>
    <row r="48" spans="1:13" ht="15.6" hidden="1" x14ac:dyDescent="0.3">
      <c r="A48" s="1" t="s">
        <v>195</v>
      </c>
      <c r="B48" s="1"/>
      <c r="C48" s="1"/>
      <c r="D48" s="1"/>
      <c r="E48" s="1"/>
      <c r="F48" s="1"/>
      <c r="G48" s="1" t="s">
        <v>8</v>
      </c>
      <c r="H48" s="2">
        <v>232</v>
      </c>
      <c r="I48" s="1" t="s">
        <v>196</v>
      </c>
      <c r="J48" s="1" t="s">
        <v>197</v>
      </c>
      <c r="K48" s="1" t="s">
        <v>198</v>
      </c>
      <c r="L48" s="1" t="s">
        <v>199</v>
      </c>
      <c r="M48" s="6" t="str">
        <f>_xlfn.CONCAT(Table1[[#This Row],[Billing Street]], ", ", Table1[[#This Row],[Billing City]], ", ", Table1[[#This Row],[Billing State/Province]], ", ", Table1[[#This Row],[Billing Zip/Postal Code]])</f>
        <v>1600 O Street, Auburn, NE, 68305</v>
      </c>
    </row>
    <row r="49" spans="1:13" ht="15.6" hidden="1" x14ac:dyDescent="0.3">
      <c r="A49" s="1" t="s">
        <v>200</v>
      </c>
      <c r="B49" s="1"/>
      <c r="C49" s="1"/>
      <c r="D49" s="1"/>
      <c r="E49" s="1"/>
      <c r="F49" s="1"/>
      <c r="G49" s="1" t="s">
        <v>54</v>
      </c>
      <c r="H49" s="2">
        <v>103</v>
      </c>
      <c r="I49" s="1" t="s">
        <v>201</v>
      </c>
      <c r="J49" s="1" t="s">
        <v>202</v>
      </c>
      <c r="K49" s="1" t="s">
        <v>57</v>
      </c>
      <c r="L49" s="1" t="s">
        <v>203</v>
      </c>
      <c r="M49" s="6" t="str">
        <f>_xlfn.CONCAT(Table1[[#This Row],[Billing Street]], ", ", Table1[[#This Row],[Billing City]], ", ", Table1[[#This Row],[Billing State/Province]], ", ", Table1[[#This Row],[Billing Zip/Postal Code]])</f>
        <v>10800 Stockdale Hwy, Bakersfield, CA, 93311</v>
      </c>
    </row>
    <row r="50" spans="1:13" ht="15.6" hidden="1" x14ac:dyDescent="0.3">
      <c r="A50" s="1" t="s">
        <v>204</v>
      </c>
      <c r="B50" s="1"/>
      <c r="C50" s="1"/>
      <c r="D50" s="1"/>
      <c r="E50" s="1"/>
      <c r="F50" s="1"/>
      <c r="G50" s="1" t="s">
        <v>205</v>
      </c>
      <c r="H50" s="2">
        <v>549</v>
      </c>
      <c r="I50" s="1" t="s">
        <v>206</v>
      </c>
      <c r="J50" s="1" t="s">
        <v>207</v>
      </c>
      <c r="K50" s="1" t="s">
        <v>208</v>
      </c>
      <c r="L50" s="1" t="s">
        <v>209</v>
      </c>
      <c r="M50" s="6" t="str">
        <f>_xlfn.CONCAT(Table1[[#This Row],[Billing Street]], ", ", Table1[[#This Row],[Billing City]], ", ", Table1[[#This Row],[Billing State/Province]], ", ", Table1[[#This Row],[Billing Zip/Postal Code]])</f>
        <v>1521 Hancock Expressway, Colorado Springs, CO, 80907</v>
      </c>
    </row>
    <row r="51" spans="1:13" ht="15.6" hidden="1" x14ac:dyDescent="0.3">
      <c r="A51" s="1" t="s">
        <v>210</v>
      </c>
      <c r="B51" s="1"/>
      <c r="C51" s="1"/>
      <c r="D51" s="1"/>
      <c r="E51" s="1"/>
      <c r="F51" s="1"/>
      <c r="G51" s="1" t="s">
        <v>8</v>
      </c>
      <c r="H51" s="2">
        <v>292</v>
      </c>
      <c r="I51" s="1" t="s">
        <v>211</v>
      </c>
      <c r="J51" s="1" t="s">
        <v>212</v>
      </c>
      <c r="K51" s="1" t="s">
        <v>198</v>
      </c>
      <c r="L51" s="1" t="s">
        <v>213</v>
      </c>
      <c r="M51" s="6" t="str">
        <f>_xlfn.CONCAT(Table1[[#This Row],[Billing Street]], ", ", Table1[[#This Row],[Billing City]], ", ", Table1[[#This Row],[Billing State/Province]], ", ", Table1[[#This Row],[Billing Zip/Postal Code]])</f>
        <v>1111 South 103rd St, Omaha, NE, 68124</v>
      </c>
    </row>
    <row r="52" spans="1:13" ht="15.6" hidden="1" x14ac:dyDescent="0.3">
      <c r="A52" s="1" t="s">
        <v>214</v>
      </c>
      <c r="B52" s="1"/>
      <c r="C52" s="1"/>
      <c r="D52" s="1"/>
      <c r="E52" s="1"/>
      <c r="F52" s="1"/>
      <c r="G52" s="1" t="s">
        <v>43</v>
      </c>
      <c r="H52" s="2">
        <v>351</v>
      </c>
      <c r="I52" s="1" t="s">
        <v>215</v>
      </c>
      <c r="J52" s="1" t="s">
        <v>216</v>
      </c>
      <c r="K52" s="1" t="s">
        <v>133</v>
      </c>
      <c r="L52" s="1" t="s">
        <v>217</v>
      </c>
      <c r="M52" s="6" t="str">
        <f>_xlfn.CONCAT(Table1[[#This Row],[Billing Street]], ", ", Table1[[#This Row],[Billing City]], ", ", Table1[[#This Row],[Billing State/Province]], ", ", Table1[[#This Row],[Billing Zip/Postal Code]])</f>
        <v>231 W. Michigan Street, Milwaukee, WI, 53290</v>
      </c>
    </row>
    <row r="53" spans="1:13" ht="15.6" hidden="1" x14ac:dyDescent="0.3">
      <c r="A53" s="1" t="s">
        <v>218</v>
      </c>
      <c r="B53" s="1"/>
      <c r="C53" s="1"/>
      <c r="D53" s="1"/>
      <c r="E53" s="1"/>
      <c r="F53" s="1"/>
      <c r="G53" s="1" t="s">
        <v>8</v>
      </c>
      <c r="H53" s="2">
        <v>556</v>
      </c>
      <c r="I53" s="1" t="s">
        <v>219</v>
      </c>
      <c r="J53" s="1" t="s">
        <v>220</v>
      </c>
      <c r="K53" s="1" t="s">
        <v>208</v>
      </c>
      <c r="L53" s="1" t="s">
        <v>221</v>
      </c>
      <c r="M53" s="6" t="str">
        <f>_xlfn.CONCAT(Table1[[#This Row],[Billing Street]], ", ", Table1[[#This Row],[Billing City]], ", ", Table1[[#This Row],[Billing State/Province]], ", ", Table1[[#This Row],[Billing Zip/Postal Code]])</f>
        <v>1100 S Sherman, Longmont, CO, 80501</v>
      </c>
    </row>
    <row r="54" spans="1:13" ht="15.6" hidden="1" x14ac:dyDescent="0.3">
      <c r="A54" s="1" t="s">
        <v>222</v>
      </c>
      <c r="B54" s="1"/>
      <c r="C54" s="1"/>
      <c r="D54" s="1"/>
      <c r="E54" s="1"/>
      <c r="F54" s="1"/>
      <c r="G54" s="1" t="s">
        <v>43</v>
      </c>
      <c r="H54" s="2">
        <v>425</v>
      </c>
      <c r="I54" s="1" t="s">
        <v>223</v>
      </c>
      <c r="J54" s="1" t="s">
        <v>224</v>
      </c>
      <c r="K54" s="1" t="s">
        <v>133</v>
      </c>
      <c r="L54" s="1" t="s">
        <v>225</v>
      </c>
      <c r="M54" s="6" t="str">
        <f>_xlfn.CONCAT(Table1[[#This Row],[Billing Street]], ", ", Table1[[#This Row],[Billing City]], ", ", Table1[[#This Row],[Billing State/Province]], ", ", Table1[[#This Row],[Billing Zip/Postal Code]])</f>
        <v>400 E North Water St, New London, WI, 54961</v>
      </c>
    </row>
    <row r="55" spans="1:13" ht="15.6" hidden="1" x14ac:dyDescent="0.3">
      <c r="A55" s="1" t="s">
        <v>226</v>
      </c>
      <c r="B55" s="1"/>
      <c r="C55" s="1"/>
      <c r="D55" s="1"/>
      <c r="E55" s="1"/>
      <c r="F55" s="1"/>
      <c r="G55" s="1" t="s">
        <v>8</v>
      </c>
      <c r="H55" s="2">
        <v>629</v>
      </c>
      <c r="I55" s="1" t="s">
        <v>227</v>
      </c>
      <c r="J55" s="1" t="s">
        <v>228</v>
      </c>
      <c r="K55" s="1" t="s">
        <v>229</v>
      </c>
      <c r="L55" s="1" t="s">
        <v>230</v>
      </c>
      <c r="M55" s="6" t="str">
        <f>_xlfn.CONCAT(Table1[[#This Row],[Billing Street]], ", ", Table1[[#This Row],[Billing City]], ", ", Table1[[#This Row],[Billing State/Province]], ", ", Table1[[#This Row],[Billing Zip/Postal Code]])</f>
        <v>625 9th Street, Rapid City, SD, 57701</v>
      </c>
    </row>
    <row r="56" spans="1:13" ht="15.6" hidden="1" x14ac:dyDescent="0.3">
      <c r="A56" s="1" t="s">
        <v>231</v>
      </c>
      <c r="B56" s="1"/>
      <c r="C56" s="1"/>
      <c r="D56" s="1"/>
      <c r="E56" s="1"/>
      <c r="F56" s="1"/>
      <c r="G56" s="1" t="s">
        <v>98</v>
      </c>
      <c r="H56" s="2">
        <v>126</v>
      </c>
      <c r="I56" s="1" t="s">
        <v>232</v>
      </c>
      <c r="J56" s="1" t="s">
        <v>233</v>
      </c>
      <c r="K56" s="1" t="s">
        <v>234</v>
      </c>
      <c r="L56" s="1" t="s">
        <v>235</v>
      </c>
      <c r="M56" s="6" t="str">
        <f>_xlfn.CONCAT(Table1[[#This Row],[Billing Street]], ", ", Table1[[#This Row],[Billing City]], ", ", Table1[[#This Row],[Billing State/Province]], ", ", Table1[[#This Row],[Billing Zip/Postal Code]])</f>
        <v>201B West Butler Road Ste 123, Mauldin, SC, 29662</v>
      </c>
    </row>
    <row r="57" spans="1:13" ht="15.6" hidden="1" x14ac:dyDescent="0.3">
      <c r="A57" s="1" t="s">
        <v>236</v>
      </c>
      <c r="B57" s="1"/>
      <c r="C57" s="1"/>
      <c r="D57" s="1"/>
      <c r="E57" s="1"/>
      <c r="F57" s="1"/>
      <c r="G57" s="1" t="s">
        <v>43</v>
      </c>
      <c r="H57" s="2">
        <v>5776</v>
      </c>
      <c r="I57" s="1" t="s">
        <v>13</v>
      </c>
      <c r="J57" s="1" t="s">
        <v>13</v>
      </c>
      <c r="K57" s="1" t="s">
        <v>237</v>
      </c>
      <c r="L57" s="1" t="s">
        <v>13</v>
      </c>
      <c r="M57" s="6" t="str">
        <f>_xlfn.CONCAT(Table1[[#This Row],[Billing Street]], ", ", Table1[[#This Row],[Billing City]], ", ", Table1[[#This Row],[Billing State/Province]], ", ", Table1[[#This Row],[Billing Zip/Postal Code]])</f>
        <v xml:space="preserve">, , IN, </v>
      </c>
    </row>
    <row r="58" spans="1:13" ht="15.6" hidden="1" x14ac:dyDescent="0.3">
      <c r="A58" s="1" t="s">
        <v>238</v>
      </c>
      <c r="B58" s="1"/>
      <c r="C58" s="1"/>
      <c r="D58" s="1"/>
      <c r="E58" s="1"/>
      <c r="F58" s="1"/>
      <c r="G58" s="1" t="s">
        <v>43</v>
      </c>
      <c r="H58" s="2">
        <v>50</v>
      </c>
      <c r="I58" s="1" t="s">
        <v>239</v>
      </c>
      <c r="J58" s="1" t="s">
        <v>240</v>
      </c>
      <c r="K58" s="1" t="s">
        <v>241</v>
      </c>
      <c r="L58" s="1" t="s">
        <v>242</v>
      </c>
      <c r="M58" s="6" t="str">
        <f>_xlfn.CONCAT(Table1[[#This Row],[Billing Street]], ", ", Table1[[#This Row],[Billing City]], ", ", Table1[[#This Row],[Billing State/Province]], ", ", Table1[[#This Row],[Billing Zip/Postal Code]])</f>
        <v>54 South Sharpsville Avenue, Sharon, PA, 16146</v>
      </c>
    </row>
    <row r="59" spans="1:13" ht="15.6" hidden="1" x14ac:dyDescent="0.3">
      <c r="A59" s="1" t="s">
        <v>243</v>
      </c>
      <c r="B59" s="1"/>
      <c r="C59" s="1"/>
      <c r="D59" s="1"/>
      <c r="E59" s="1"/>
      <c r="F59" s="1"/>
      <c r="G59" s="1" t="s">
        <v>43</v>
      </c>
      <c r="H59" s="2">
        <v>5776</v>
      </c>
      <c r="I59" s="1" t="s">
        <v>13</v>
      </c>
      <c r="J59" s="1" t="s">
        <v>13</v>
      </c>
      <c r="K59" s="1" t="s">
        <v>237</v>
      </c>
      <c r="L59" s="1" t="s">
        <v>13</v>
      </c>
      <c r="M59" s="6" t="str">
        <f>_xlfn.CONCAT(Table1[[#This Row],[Billing Street]], ", ", Table1[[#This Row],[Billing City]], ", ", Table1[[#This Row],[Billing State/Province]], ", ", Table1[[#This Row],[Billing Zip/Postal Code]])</f>
        <v xml:space="preserve">, , IN, </v>
      </c>
    </row>
    <row r="60" spans="1:13" ht="15.6" hidden="1" x14ac:dyDescent="0.3">
      <c r="A60" s="1" t="s">
        <v>244</v>
      </c>
      <c r="B60" s="1"/>
      <c r="C60" s="1"/>
      <c r="D60" s="1"/>
      <c r="E60" s="1"/>
      <c r="F60" s="1"/>
      <c r="G60" s="1" t="s">
        <v>43</v>
      </c>
      <c r="H60" s="2">
        <v>326</v>
      </c>
      <c r="I60" s="1" t="s">
        <v>245</v>
      </c>
      <c r="J60" s="1" t="s">
        <v>246</v>
      </c>
      <c r="K60" s="1" t="s">
        <v>241</v>
      </c>
      <c r="L60" s="1" t="s">
        <v>247</v>
      </c>
      <c r="M60" s="6" t="str">
        <f>_xlfn.CONCAT(Table1[[#This Row],[Billing Street]], ", ", Table1[[#This Row],[Billing City]], ", ", Table1[[#This Row],[Billing State/Province]], ", ", Table1[[#This Row],[Billing Zip/Postal Code]])</f>
        <v>2200 Northwood Ave, Easton, PA, 18045</v>
      </c>
    </row>
    <row r="61" spans="1:13" ht="15.6" hidden="1" x14ac:dyDescent="0.3">
      <c r="A61" s="1" t="s">
        <v>248</v>
      </c>
      <c r="B61" s="1"/>
      <c r="C61" s="1"/>
      <c r="D61" s="1"/>
      <c r="E61" s="1"/>
      <c r="F61" s="1"/>
      <c r="G61" s="1" t="s">
        <v>43</v>
      </c>
      <c r="H61" s="2">
        <v>5776</v>
      </c>
      <c r="I61" s="1" t="s">
        <v>13</v>
      </c>
      <c r="J61" s="1" t="s">
        <v>13</v>
      </c>
      <c r="K61" s="1" t="s">
        <v>237</v>
      </c>
      <c r="L61" s="1" t="s">
        <v>13</v>
      </c>
      <c r="M61" s="6" t="str">
        <f>_xlfn.CONCAT(Table1[[#This Row],[Billing Street]], ", ", Table1[[#This Row],[Billing City]], ", ", Table1[[#This Row],[Billing State/Province]], ", ", Table1[[#This Row],[Billing Zip/Postal Code]])</f>
        <v xml:space="preserve">, , IN, </v>
      </c>
    </row>
    <row r="62" spans="1:13" ht="15.6" hidden="1" x14ac:dyDescent="0.3">
      <c r="A62" s="1" t="s">
        <v>249</v>
      </c>
      <c r="B62" s="1"/>
      <c r="C62" s="1"/>
      <c r="D62" s="1"/>
      <c r="E62" s="1"/>
      <c r="F62" s="1"/>
      <c r="G62" s="1" t="s">
        <v>8</v>
      </c>
      <c r="H62" s="2">
        <v>628</v>
      </c>
      <c r="I62" s="1" t="s">
        <v>250</v>
      </c>
      <c r="J62" s="1" t="s">
        <v>251</v>
      </c>
      <c r="K62" s="1" t="s">
        <v>128</v>
      </c>
      <c r="L62" s="1" t="s">
        <v>252</v>
      </c>
      <c r="M62" s="6" t="str">
        <f>_xlfn.CONCAT(Table1[[#This Row],[Billing Street]], ", ", Table1[[#This Row],[Billing City]], ", ", Table1[[#This Row],[Billing State/Province]], ", ", Table1[[#This Row],[Billing Zip/Postal Code]])</f>
        <v>201 1st St #2210, Randall, MN, 56475</v>
      </c>
    </row>
    <row r="63" spans="1:13" ht="15.6" hidden="1" x14ac:dyDescent="0.3">
      <c r="A63" s="1" t="s">
        <v>253</v>
      </c>
      <c r="B63" s="1"/>
      <c r="C63" s="1"/>
      <c r="D63" s="1"/>
      <c r="E63" s="1"/>
      <c r="F63" s="1"/>
      <c r="G63" s="1" t="s">
        <v>43</v>
      </c>
      <c r="H63" s="2">
        <v>5776</v>
      </c>
      <c r="I63" s="1" t="s">
        <v>13</v>
      </c>
      <c r="J63" s="1" t="s">
        <v>254</v>
      </c>
      <c r="K63" s="1" t="s">
        <v>237</v>
      </c>
      <c r="L63" s="1" t="s">
        <v>13</v>
      </c>
      <c r="M63" s="6" t="str">
        <f>_xlfn.CONCAT(Table1[[#This Row],[Billing Street]], ", ", Table1[[#This Row],[Billing City]], ", ", Table1[[#This Row],[Billing State/Province]], ", ", Table1[[#This Row],[Billing Zip/Postal Code]])</f>
        <v xml:space="preserve">, Fort Wayne, IN, </v>
      </c>
    </row>
    <row r="64" spans="1:13" ht="15.6" hidden="1" x14ac:dyDescent="0.3">
      <c r="A64" s="1" t="s">
        <v>255</v>
      </c>
      <c r="B64" s="1"/>
      <c r="C64" s="1"/>
      <c r="D64" s="1"/>
      <c r="E64" s="1"/>
      <c r="F64" s="1"/>
      <c r="G64" s="1" t="s">
        <v>8</v>
      </c>
      <c r="H64" s="2">
        <v>574</v>
      </c>
      <c r="I64" s="1" t="s">
        <v>256</v>
      </c>
      <c r="J64" s="1" t="s">
        <v>257</v>
      </c>
      <c r="K64" s="1" t="s">
        <v>128</v>
      </c>
      <c r="L64" s="1" t="s">
        <v>258</v>
      </c>
      <c r="M64" s="6" t="str">
        <f>_xlfn.CONCAT(Table1[[#This Row],[Billing Street]], ", ", Table1[[#This Row],[Billing City]], ", ", Table1[[#This Row],[Billing State/Province]], ", ", Table1[[#This Row],[Billing Zip/Postal Code]])</f>
        <v>1400 Viet Place, Rogers, MN, 55374</v>
      </c>
    </row>
    <row r="65" spans="1:13" ht="15.6" hidden="1" x14ac:dyDescent="0.3">
      <c r="A65" s="1" t="s">
        <v>259</v>
      </c>
      <c r="B65" s="1"/>
      <c r="C65" s="1"/>
      <c r="D65" s="1"/>
      <c r="E65" s="1"/>
      <c r="F65" s="1"/>
      <c r="G65" s="1" t="s">
        <v>43</v>
      </c>
      <c r="H65" s="2">
        <v>275</v>
      </c>
      <c r="I65" s="1" t="s">
        <v>260</v>
      </c>
      <c r="J65" s="1" t="s">
        <v>261</v>
      </c>
      <c r="K65" s="1" t="s">
        <v>237</v>
      </c>
      <c r="L65" s="1" t="s">
        <v>262</v>
      </c>
      <c r="M65" s="6" t="str">
        <f>_xlfn.CONCAT(Table1[[#This Row],[Billing Street]], ", ", Table1[[#This Row],[Billing City]], ", ", Table1[[#This Row],[Billing State/Province]], ", ", Table1[[#This Row],[Billing Zip/Postal Code]])</f>
        <v>722 North High School Road, Indianapolis, IN, 46214</v>
      </c>
    </row>
    <row r="66" spans="1:13" ht="15.6" hidden="1" x14ac:dyDescent="0.3">
      <c r="A66" s="1" t="s">
        <v>263</v>
      </c>
      <c r="B66" s="1"/>
      <c r="C66" s="1"/>
      <c r="D66" s="1"/>
      <c r="E66" s="1"/>
      <c r="F66" s="1"/>
      <c r="G66" s="1" t="s">
        <v>205</v>
      </c>
      <c r="H66" s="2">
        <v>504</v>
      </c>
      <c r="I66" s="1" t="s">
        <v>264</v>
      </c>
      <c r="J66" s="1" t="s">
        <v>265</v>
      </c>
      <c r="K66" s="1" t="s">
        <v>266</v>
      </c>
      <c r="L66" s="1" t="s">
        <v>267</v>
      </c>
      <c r="M66" s="6" t="str">
        <f>_xlfn.CONCAT(Table1[[#This Row],[Billing Street]], ", ", Table1[[#This Row],[Billing City]], ", ", Table1[[#This Row],[Billing State/Province]], ", ", Table1[[#This Row],[Billing Zip/Postal Code]])</f>
        <v>121 N Main Ave,, Portales, NM, 88130</v>
      </c>
    </row>
    <row r="67" spans="1:13" ht="15.6" hidden="1" x14ac:dyDescent="0.3">
      <c r="A67" s="1" t="s">
        <v>268</v>
      </c>
      <c r="B67" s="1"/>
      <c r="C67" s="1"/>
      <c r="D67" s="1"/>
      <c r="E67" s="1"/>
      <c r="F67" s="1"/>
      <c r="G67" s="1" t="s">
        <v>8</v>
      </c>
      <c r="H67" s="2">
        <v>287</v>
      </c>
      <c r="I67" s="1" t="s">
        <v>269</v>
      </c>
      <c r="J67" s="1" t="s">
        <v>270</v>
      </c>
      <c r="K67" s="1" t="s">
        <v>165</v>
      </c>
      <c r="L67" s="1" t="s">
        <v>271</v>
      </c>
      <c r="M67" s="6" t="str">
        <f>_xlfn.CONCAT(Table1[[#This Row],[Billing Street]], ", ", Table1[[#This Row],[Billing City]], ", ", Table1[[#This Row],[Billing State/Province]], ", ", Table1[[#This Row],[Billing Zip/Postal Code]])</f>
        <v>700 Bradley Ferry Road, Camden, AR, 71701</v>
      </c>
    </row>
    <row r="68" spans="1:13" ht="15.6" hidden="1" x14ac:dyDescent="0.3">
      <c r="A68" s="1" t="s">
        <v>272</v>
      </c>
      <c r="B68" s="1"/>
      <c r="C68" s="1"/>
      <c r="D68" s="1"/>
      <c r="E68" s="1"/>
      <c r="F68" s="1"/>
      <c r="G68" s="1" t="s">
        <v>43</v>
      </c>
      <c r="H68" s="2">
        <v>413</v>
      </c>
      <c r="I68" s="1" t="s">
        <v>273</v>
      </c>
      <c r="J68" s="1" t="s">
        <v>274</v>
      </c>
      <c r="K68" s="1" t="s">
        <v>275</v>
      </c>
      <c r="L68" s="1" t="s">
        <v>276</v>
      </c>
      <c r="M68" s="6" t="str">
        <f>_xlfn.CONCAT(Table1[[#This Row],[Billing Street]], ", ", Table1[[#This Row],[Billing City]], ", ", Table1[[#This Row],[Billing State/Province]], ", ", Table1[[#This Row],[Billing Zip/Postal Code]])</f>
        <v>1909 State Highway 420, Massena, ny, 13662</v>
      </c>
    </row>
    <row r="69" spans="1:13" ht="15.6" hidden="1" x14ac:dyDescent="0.3">
      <c r="A69" s="1" t="s">
        <v>277</v>
      </c>
      <c r="B69" s="1"/>
      <c r="C69" s="1"/>
      <c r="D69" s="1"/>
      <c r="E69" s="1"/>
      <c r="F69" s="1"/>
      <c r="G69" s="1" t="s">
        <v>43</v>
      </c>
      <c r="H69" s="2">
        <v>395</v>
      </c>
      <c r="I69" s="1" t="s">
        <v>278</v>
      </c>
      <c r="J69" s="1" t="s">
        <v>279</v>
      </c>
      <c r="K69" s="1" t="s">
        <v>152</v>
      </c>
      <c r="L69" s="1" t="s">
        <v>280</v>
      </c>
      <c r="M69" s="6" t="str">
        <f>_xlfn.CONCAT(Table1[[#This Row],[Billing Street]], ", ", Table1[[#This Row],[Billing City]], ", ", Table1[[#This Row],[Billing State/Province]], ", ", Table1[[#This Row],[Billing Zip/Postal Code]])</f>
        <v>333 Lincoln Hey, Rochelle, IL, 61068</v>
      </c>
    </row>
    <row r="70" spans="1:13" ht="15.6" hidden="1" x14ac:dyDescent="0.3">
      <c r="A70" s="1" t="s">
        <v>281</v>
      </c>
      <c r="B70" s="1"/>
      <c r="C70" s="1"/>
      <c r="D70" s="1"/>
      <c r="E70" s="1"/>
      <c r="F70" s="1"/>
      <c r="G70" s="1" t="s">
        <v>43</v>
      </c>
      <c r="H70" s="2">
        <v>5776</v>
      </c>
      <c r="I70" s="1" t="s">
        <v>13</v>
      </c>
      <c r="J70" s="1" t="s">
        <v>282</v>
      </c>
      <c r="K70" s="1" t="s">
        <v>237</v>
      </c>
      <c r="L70" s="1" t="s">
        <v>13</v>
      </c>
      <c r="M70" s="6" t="str">
        <f>_xlfn.CONCAT(Table1[[#This Row],[Billing Street]], ", ", Table1[[#This Row],[Billing City]], ", ", Table1[[#This Row],[Billing State/Province]], ", ", Table1[[#This Row],[Billing Zip/Postal Code]])</f>
        <v xml:space="preserve">, indianapolis, IN, </v>
      </c>
    </row>
    <row r="71" spans="1:13" ht="15.6" hidden="1" x14ac:dyDescent="0.3">
      <c r="A71" s="1" t="s">
        <v>283</v>
      </c>
      <c r="B71" s="1"/>
      <c r="C71" s="1"/>
      <c r="D71" s="1"/>
      <c r="E71" s="1"/>
      <c r="F71" s="1"/>
      <c r="G71" s="1" t="s">
        <v>43</v>
      </c>
      <c r="H71" s="2">
        <v>297</v>
      </c>
      <c r="I71" s="1" t="s">
        <v>284</v>
      </c>
      <c r="J71" s="1" t="s">
        <v>285</v>
      </c>
      <c r="K71" s="1" t="s">
        <v>237</v>
      </c>
      <c r="L71" s="1" t="s">
        <v>286</v>
      </c>
      <c r="M71" s="6" t="str">
        <f>_xlfn.CONCAT(Table1[[#This Row],[Billing Street]], ", ", Table1[[#This Row],[Billing City]], ", ", Table1[[#This Row],[Billing State/Province]], ", ", Table1[[#This Row],[Billing Zip/Postal Code]])</f>
        <v>24 S. Van Rensselaer St P.O. Box 280, Rensselaer, IN, 47978</v>
      </c>
    </row>
    <row r="72" spans="1:13" ht="15.6" hidden="1" x14ac:dyDescent="0.3">
      <c r="A72" s="1" t="s">
        <v>287</v>
      </c>
      <c r="B72" s="1"/>
      <c r="C72" s="1"/>
      <c r="D72" s="1"/>
      <c r="E72" s="1"/>
      <c r="F72" s="1"/>
      <c r="G72" s="1" t="s">
        <v>43</v>
      </c>
      <c r="H72" s="2">
        <v>218</v>
      </c>
      <c r="I72" s="1" t="s">
        <v>288</v>
      </c>
      <c r="J72" s="1" t="s">
        <v>289</v>
      </c>
      <c r="K72" s="1" t="s">
        <v>237</v>
      </c>
      <c r="L72" s="1" t="s">
        <v>290</v>
      </c>
      <c r="M72" s="6" t="str">
        <f>_xlfn.CONCAT(Table1[[#This Row],[Billing Street]], ", ", Table1[[#This Row],[Billing City]], ", ", Table1[[#This Row],[Billing State/Province]], ", ", Table1[[#This Row],[Billing Zip/Postal Code]])</f>
        <v>118 E. Front Street, South Whitley, IN, 46787</v>
      </c>
    </row>
    <row r="73" spans="1:13" ht="15.6" hidden="1" x14ac:dyDescent="0.3">
      <c r="A73" s="1" t="s">
        <v>291</v>
      </c>
      <c r="B73" s="1"/>
      <c r="C73" s="1"/>
      <c r="D73" s="1"/>
      <c r="E73" s="1"/>
      <c r="F73" s="1"/>
      <c r="G73" s="1" t="s">
        <v>8</v>
      </c>
      <c r="H73" s="2">
        <v>225</v>
      </c>
      <c r="I73" s="1" t="s">
        <v>292</v>
      </c>
      <c r="J73" s="1" t="s">
        <v>293</v>
      </c>
      <c r="K73" s="1" t="s">
        <v>11</v>
      </c>
      <c r="L73" s="1" t="s">
        <v>294</v>
      </c>
      <c r="M73" s="6" t="str">
        <f>_xlfn.CONCAT(Table1[[#This Row],[Billing Street]], ", ", Table1[[#This Row],[Billing City]], ", ", Table1[[#This Row],[Billing State/Province]], ", ", Table1[[#This Row],[Billing Zip/Postal Code]])</f>
        <v>PO Box 168, Salisbury, MO, 65281</v>
      </c>
    </row>
    <row r="74" spans="1:13" ht="15.6" hidden="1" x14ac:dyDescent="0.3">
      <c r="A74" s="1" t="s">
        <v>295</v>
      </c>
      <c r="B74" s="1"/>
      <c r="C74" s="1"/>
      <c r="D74" s="1"/>
      <c r="E74" s="1"/>
      <c r="F74" s="1"/>
      <c r="G74" s="1" t="s">
        <v>8</v>
      </c>
      <c r="H74" s="2">
        <v>168</v>
      </c>
      <c r="I74" s="1" t="s">
        <v>296</v>
      </c>
      <c r="J74" s="1" t="s">
        <v>297</v>
      </c>
      <c r="K74" s="1" t="s">
        <v>11</v>
      </c>
      <c r="L74" s="1" t="s">
        <v>298</v>
      </c>
      <c r="M74" s="6" t="str">
        <f>_xlfn.CONCAT(Table1[[#This Row],[Billing Street]], ", ", Table1[[#This Row],[Billing City]], ", ", Table1[[#This Row],[Billing State/Province]], ", ", Table1[[#This Row],[Billing Zip/Postal Code]])</f>
        <v>401 S Jefferson St, Lebanon, MO, 65536</v>
      </c>
    </row>
    <row r="75" spans="1:13" ht="15.6" hidden="1" x14ac:dyDescent="0.3">
      <c r="A75" s="1" t="s">
        <v>299</v>
      </c>
      <c r="B75" s="1"/>
      <c r="C75" s="1"/>
      <c r="D75" s="1"/>
      <c r="E75" s="1"/>
      <c r="F75" s="1"/>
      <c r="G75" s="1" t="s">
        <v>43</v>
      </c>
      <c r="H75" s="2">
        <v>458</v>
      </c>
      <c r="I75" s="1" t="s">
        <v>300</v>
      </c>
      <c r="J75" s="1" t="s">
        <v>301</v>
      </c>
      <c r="K75" s="1" t="s">
        <v>152</v>
      </c>
      <c r="L75" s="1" t="s">
        <v>302</v>
      </c>
      <c r="M75" s="6" t="str">
        <f>_xlfn.CONCAT(Table1[[#This Row],[Billing Street]], ", ", Table1[[#This Row],[Billing City]], ", ", Table1[[#This Row],[Billing State/Province]], ", ", Table1[[#This Row],[Billing Zip/Postal Code]])</f>
        <v>500 1st Street, Carlyle, IL, 62231</v>
      </c>
    </row>
    <row r="76" spans="1:13" ht="15.6" hidden="1" x14ac:dyDescent="0.3">
      <c r="A76" s="1" t="s">
        <v>303</v>
      </c>
      <c r="B76" s="1"/>
      <c r="C76" s="1"/>
      <c r="D76" s="1"/>
      <c r="E76" s="1"/>
      <c r="F76" s="1"/>
      <c r="G76" s="1" t="s">
        <v>8</v>
      </c>
      <c r="H76" s="2">
        <v>216</v>
      </c>
      <c r="I76" s="1" t="s">
        <v>304</v>
      </c>
      <c r="J76" s="1" t="s">
        <v>305</v>
      </c>
      <c r="K76" s="1" t="s">
        <v>11</v>
      </c>
      <c r="L76" s="1" t="s">
        <v>306</v>
      </c>
      <c r="M76" s="6" t="str">
        <f>_xlfn.CONCAT(Table1[[#This Row],[Billing Street]], ", ", Table1[[#This Row],[Billing City]], ", ", Table1[[#This Row],[Billing State/Province]], ", ", Table1[[#This Row],[Billing Zip/Postal Code]])</f>
        <v>117 S. Main St., Fayette, MO, 65248</v>
      </c>
    </row>
    <row r="77" spans="1:13" ht="15.6" x14ac:dyDescent="0.3">
      <c r="A77" s="1" t="s">
        <v>307</v>
      </c>
      <c r="B77" s="1"/>
      <c r="C77" s="1"/>
      <c r="D77" s="1"/>
      <c r="E77" s="1"/>
      <c r="F77" s="1" t="str" cm="1">
        <f t="array" ref="F77">GetCoordinates(M77)</f>
        <v>31.7140272, -86.2643253</v>
      </c>
      <c r="G77" s="1" t="s">
        <v>24</v>
      </c>
      <c r="H77" s="2">
        <v>69</v>
      </c>
      <c r="I77" s="1" t="s">
        <v>308</v>
      </c>
      <c r="J77" s="1" t="s">
        <v>309</v>
      </c>
      <c r="K77" s="1" t="s">
        <v>26</v>
      </c>
      <c r="L77" s="1" t="s">
        <v>310</v>
      </c>
      <c r="M77" s="6" t="str">
        <f>_xlfn.CONCAT(Table1[[#This Row],[Billing Street]], ", ", Table1[[#This Row],[Billing City]], ", ", Table1[[#This Row],[Billing State/Province]], ", ", Table1[[#This Row],[Billing Zip/Postal Code]])</f>
        <v>65 6th Street, Luverne, AL, 36049</v>
      </c>
    </row>
    <row r="78" spans="1:13" ht="15.6" hidden="1" x14ac:dyDescent="0.3">
      <c r="A78" s="1" t="s">
        <v>311</v>
      </c>
      <c r="B78" s="1"/>
      <c r="C78" s="1"/>
      <c r="D78" s="1"/>
      <c r="E78" s="1"/>
      <c r="F78" s="1"/>
      <c r="G78" s="1" t="s">
        <v>43</v>
      </c>
      <c r="H78" s="2">
        <v>5776</v>
      </c>
      <c r="I78" s="1" t="s">
        <v>13</v>
      </c>
      <c r="J78" s="1" t="s">
        <v>13</v>
      </c>
      <c r="K78" s="1" t="s">
        <v>237</v>
      </c>
      <c r="L78" s="1" t="s">
        <v>13</v>
      </c>
      <c r="M78" s="6" t="str">
        <f>_xlfn.CONCAT(Table1[[#This Row],[Billing Street]], ", ", Table1[[#This Row],[Billing City]], ", ", Table1[[#This Row],[Billing State/Province]], ", ", Table1[[#This Row],[Billing Zip/Postal Code]])</f>
        <v xml:space="preserve">, , IN, </v>
      </c>
    </row>
    <row r="79" spans="1:13" ht="15.6" hidden="1" x14ac:dyDescent="0.3">
      <c r="A79" s="1" t="s">
        <v>312</v>
      </c>
      <c r="B79" s="1"/>
      <c r="C79" s="1"/>
      <c r="D79" s="1"/>
      <c r="E79" s="1"/>
      <c r="F79" s="1"/>
      <c r="G79" s="1" t="s">
        <v>54</v>
      </c>
      <c r="H79" s="2">
        <v>6</v>
      </c>
      <c r="I79" s="1" t="s">
        <v>313</v>
      </c>
      <c r="J79" s="1" t="s">
        <v>314</v>
      </c>
      <c r="K79" s="1" t="s">
        <v>57</v>
      </c>
      <c r="L79" s="1" t="s">
        <v>315</v>
      </c>
      <c r="M79" s="6" t="str">
        <f>_xlfn.CONCAT(Table1[[#This Row],[Billing Street]], ", ", Table1[[#This Row],[Billing City]], ", ", Table1[[#This Row],[Billing State/Province]], ", ", Table1[[#This Row],[Billing Zip/Postal Code]])</f>
        <v>5701 Smithway Street, Commerce, CA, 90040</v>
      </c>
    </row>
    <row r="80" spans="1:13" ht="15.6" hidden="1" x14ac:dyDescent="0.3">
      <c r="A80" s="1" t="s">
        <v>316</v>
      </c>
      <c r="B80" s="1"/>
      <c r="C80" s="1"/>
      <c r="D80" s="1"/>
      <c r="E80" s="1"/>
      <c r="F80" s="1"/>
      <c r="G80" s="1" t="s">
        <v>43</v>
      </c>
      <c r="H80" s="2">
        <v>5776</v>
      </c>
      <c r="I80" s="1" t="s">
        <v>13</v>
      </c>
      <c r="J80" s="1" t="s">
        <v>13</v>
      </c>
      <c r="K80" s="1" t="s">
        <v>237</v>
      </c>
      <c r="L80" s="1" t="s">
        <v>13</v>
      </c>
      <c r="M80" s="6" t="str">
        <f>_xlfn.CONCAT(Table1[[#This Row],[Billing Street]], ", ", Table1[[#This Row],[Billing City]], ", ", Table1[[#This Row],[Billing State/Province]], ", ", Table1[[#This Row],[Billing Zip/Postal Code]])</f>
        <v xml:space="preserve">, , IN, </v>
      </c>
    </row>
    <row r="81" spans="1:13" ht="15.6" hidden="1" x14ac:dyDescent="0.3">
      <c r="A81" s="1" t="s">
        <v>317</v>
      </c>
      <c r="B81" s="1"/>
      <c r="C81" s="1"/>
      <c r="D81" s="1"/>
      <c r="E81" s="1"/>
      <c r="F81" s="1"/>
      <c r="G81" s="1" t="s">
        <v>8</v>
      </c>
      <c r="H81" s="2">
        <v>151</v>
      </c>
      <c r="I81" s="1" t="s">
        <v>318</v>
      </c>
      <c r="J81" s="1" t="s">
        <v>319</v>
      </c>
      <c r="K81" s="1" t="s">
        <v>11</v>
      </c>
      <c r="L81" s="1" t="s">
        <v>320</v>
      </c>
      <c r="M81" s="6" t="str">
        <f>_xlfn.CONCAT(Table1[[#This Row],[Billing Street]], ", ", Table1[[#This Row],[Billing City]], ", ", Table1[[#This Row],[Billing State/Province]], ", ", Table1[[#This Row],[Billing Zip/Postal Code]])</f>
        <v>301 West Jackson, Marshfield, MO, 65706</v>
      </c>
    </row>
    <row r="82" spans="1:13" ht="15.6" hidden="1" x14ac:dyDescent="0.3">
      <c r="A82" s="1" t="s">
        <v>321</v>
      </c>
      <c r="B82" s="1"/>
      <c r="C82" s="1"/>
      <c r="D82" s="1"/>
      <c r="E82" s="1"/>
      <c r="F82" s="1"/>
      <c r="G82" s="1" t="s">
        <v>43</v>
      </c>
      <c r="H82" s="2">
        <v>259</v>
      </c>
      <c r="I82" s="1" t="s">
        <v>13</v>
      </c>
      <c r="J82" s="1" t="s">
        <v>261</v>
      </c>
      <c r="K82" s="1" t="s">
        <v>237</v>
      </c>
      <c r="L82" s="1" t="s">
        <v>322</v>
      </c>
      <c r="M82" s="6" t="str">
        <f>_xlfn.CONCAT(Table1[[#This Row],[Billing Street]], ", ", Table1[[#This Row],[Billing City]], ", ", Table1[[#This Row],[Billing State/Province]], ", ", Table1[[#This Row],[Billing Zip/Postal Code]])</f>
        <v>, Indianapolis, IN, 46256</v>
      </c>
    </row>
    <row r="83" spans="1:13" ht="15.6" hidden="1" x14ac:dyDescent="0.3">
      <c r="A83" s="1" t="s">
        <v>323</v>
      </c>
      <c r="B83" s="1"/>
      <c r="C83" s="1"/>
      <c r="D83" s="1"/>
      <c r="E83" s="1"/>
      <c r="F83" s="1"/>
      <c r="G83" s="1" t="s">
        <v>8</v>
      </c>
      <c r="H83" s="2">
        <v>194</v>
      </c>
      <c r="I83" s="1" t="s">
        <v>324</v>
      </c>
      <c r="J83" s="1" t="s">
        <v>325</v>
      </c>
      <c r="K83" s="1" t="s">
        <v>11</v>
      </c>
      <c r="L83" s="1" t="s">
        <v>326</v>
      </c>
      <c r="M83" s="6" t="str">
        <f>_xlfn.CONCAT(Table1[[#This Row],[Billing Street]], ", ", Table1[[#This Row],[Billing City]], ", ", Table1[[#This Row],[Billing State/Province]], ", ", Table1[[#This Row],[Billing Zip/Postal Code]])</f>
        <v>618 Main St., Cabool, MO, 65689</v>
      </c>
    </row>
    <row r="84" spans="1:13" ht="15.6" hidden="1" x14ac:dyDescent="0.3">
      <c r="A84" s="1" t="s">
        <v>327</v>
      </c>
      <c r="B84" s="1"/>
      <c r="C84" s="1"/>
      <c r="D84" s="1"/>
      <c r="E84" s="1"/>
      <c r="F84" s="1"/>
      <c r="G84" s="1" t="s">
        <v>43</v>
      </c>
      <c r="H84" s="2">
        <v>383</v>
      </c>
      <c r="I84" s="1" t="s">
        <v>328</v>
      </c>
      <c r="J84" s="1" t="s">
        <v>329</v>
      </c>
      <c r="K84" s="1" t="s">
        <v>152</v>
      </c>
      <c r="L84" s="1" t="s">
        <v>330</v>
      </c>
      <c r="M84" s="6" t="str">
        <f>_xlfn.CONCAT(Table1[[#This Row],[Billing Street]], ", ", Table1[[#This Row],[Billing City]], ", ", Table1[[#This Row],[Billing State/Province]], ", ", Table1[[#This Row],[Billing Zip/Postal Code]])</f>
        <v>401-405E Allen St, Farmer City, IL, 61842-0049</v>
      </c>
    </row>
    <row r="85" spans="1:13" ht="15.6" hidden="1" x14ac:dyDescent="0.3">
      <c r="A85" s="1" t="s">
        <v>331</v>
      </c>
      <c r="B85" s="1"/>
      <c r="C85" s="1"/>
      <c r="D85" s="1"/>
      <c r="E85" s="1"/>
      <c r="F85" s="1"/>
      <c r="G85" s="1" t="s">
        <v>43</v>
      </c>
      <c r="H85" s="2">
        <v>436</v>
      </c>
      <c r="I85" s="1" t="s">
        <v>332</v>
      </c>
      <c r="J85" s="1" t="s">
        <v>333</v>
      </c>
      <c r="K85" s="1" t="s">
        <v>152</v>
      </c>
      <c r="L85" s="1" t="s">
        <v>334</v>
      </c>
      <c r="M85" s="6" t="str">
        <f>_xlfn.CONCAT(Table1[[#This Row],[Billing Street]], ", ", Table1[[#This Row],[Billing City]], ", ", Table1[[#This Row],[Billing State/Province]], ", ", Table1[[#This Row],[Billing Zip/Postal Code]])</f>
        <v>1200 Riverton Rd., Riverton, IL, 62561</v>
      </c>
    </row>
    <row r="86" spans="1:13" ht="15.6" hidden="1" x14ac:dyDescent="0.3">
      <c r="A86" s="1" t="s">
        <v>335</v>
      </c>
      <c r="B86" s="1"/>
      <c r="C86" s="1"/>
      <c r="D86" s="1"/>
      <c r="E86" s="1"/>
      <c r="F86" s="1"/>
      <c r="G86" s="1" t="s">
        <v>43</v>
      </c>
      <c r="H86" s="2">
        <v>5776</v>
      </c>
      <c r="I86" s="1" t="s">
        <v>13</v>
      </c>
      <c r="J86" s="1" t="s">
        <v>13</v>
      </c>
      <c r="K86" s="1" t="s">
        <v>237</v>
      </c>
      <c r="L86" s="1" t="s">
        <v>13</v>
      </c>
      <c r="M86" s="6" t="str">
        <f>_xlfn.CONCAT(Table1[[#This Row],[Billing Street]], ", ", Table1[[#This Row],[Billing City]], ", ", Table1[[#This Row],[Billing State/Province]], ", ", Table1[[#This Row],[Billing Zip/Postal Code]])</f>
        <v xml:space="preserve">, , IN, </v>
      </c>
    </row>
    <row r="87" spans="1:13" ht="15.6" hidden="1" x14ac:dyDescent="0.3">
      <c r="A87" s="1" t="s">
        <v>336</v>
      </c>
      <c r="B87" s="1"/>
      <c r="C87" s="1"/>
      <c r="D87" s="1"/>
      <c r="E87" s="1"/>
      <c r="F87" s="1"/>
      <c r="G87" s="1" t="s">
        <v>43</v>
      </c>
      <c r="H87" s="2">
        <v>399</v>
      </c>
      <c r="I87" s="1" t="s">
        <v>337</v>
      </c>
      <c r="J87" s="1" t="s">
        <v>338</v>
      </c>
      <c r="K87" s="1" t="s">
        <v>237</v>
      </c>
      <c r="L87" s="1" t="s">
        <v>339</v>
      </c>
      <c r="M87" s="6" t="str">
        <f>_xlfn.CONCAT(Table1[[#This Row],[Billing Street]], ", ", Table1[[#This Row],[Billing City]], ", ", Table1[[#This Row],[Billing State/Province]], ", ", Table1[[#This Row],[Billing Zip/Postal Code]])</f>
        <v>2321 Commercial Drive, Evansville, IN, 47719</v>
      </c>
    </row>
    <row r="88" spans="1:13" ht="15.6" hidden="1" x14ac:dyDescent="0.3">
      <c r="A88" s="1" t="s">
        <v>340</v>
      </c>
      <c r="B88" s="1"/>
      <c r="C88" s="1"/>
      <c r="D88" s="1"/>
      <c r="E88" s="1"/>
      <c r="F88" s="1"/>
      <c r="G88" s="1" t="s">
        <v>43</v>
      </c>
      <c r="H88" s="2">
        <v>326</v>
      </c>
      <c r="I88" s="1" t="s">
        <v>341</v>
      </c>
      <c r="J88" s="1" t="s">
        <v>246</v>
      </c>
      <c r="K88" s="1" t="s">
        <v>241</v>
      </c>
      <c r="L88" s="1" t="s">
        <v>247</v>
      </c>
      <c r="M88" s="6" t="str">
        <f>_xlfn.CONCAT(Table1[[#This Row],[Billing Street]], ", ", Table1[[#This Row],[Billing City]], ", ", Table1[[#This Row],[Billing State/Province]], ", ", Table1[[#This Row],[Billing Zip/Postal Code]])</f>
        <v>2200 Northwood Avenue, Easton, PA, 18045</v>
      </c>
    </row>
    <row r="89" spans="1:13" ht="15.6" hidden="1" x14ac:dyDescent="0.3">
      <c r="A89" s="1" t="s">
        <v>342</v>
      </c>
      <c r="B89" s="1"/>
      <c r="C89" s="1"/>
      <c r="D89" s="1"/>
      <c r="E89" s="1"/>
      <c r="F89" s="1"/>
      <c r="G89" s="1" t="s">
        <v>54</v>
      </c>
      <c r="H89" s="2">
        <v>32</v>
      </c>
      <c r="I89" s="1" t="s">
        <v>343</v>
      </c>
      <c r="J89" s="1" t="s">
        <v>344</v>
      </c>
      <c r="K89" s="1" t="s">
        <v>57</v>
      </c>
      <c r="L89" s="1" t="s">
        <v>345</v>
      </c>
      <c r="M89" s="6" t="str">
        <f>_xlfn.CONCAT(Table1[[#This Row],[Billing Street]], ", ", Table1[[#This Row],[Billing City]], ", ", Table1[[#This Row],[Billing State/Province]], ", ", Table1[[#This Row],[Billing Zip/Postal Code]])</f>
        <v>1601 E. Edinger Ave., Santa Ana, CA, 92705</v>
      </c>
    </row>
    <row r="90" spans="1:13" ht="15.6" hidden="1" x14ac:dyDescent="0.3">
      <c r="A90" s="1" t="s">
        <v>346</v>
      </c>
      <c r="B90" s="1"/>
      <c r="C90" s="1"/>
      <c r="D90" s="1"/>
      <c r="E90" s="1"/>
      <c r="F90" s="1"/>
      <c r="G90" s="1" t="s">
        <v>205</v>
      </c>
      <c r="H90" s="2">
        <v>326</v>
      </c>
      <c r="I90" s="1" t="s">
        <v>347</v>
      </c>
      <c r="J90" s="1" t="s">
        <v>348</v>
      </c>
      <c r="K90" s="1" t="s">
        <v>266</v>
      </c>
      <c r="L90" s="1" t="s">
        <v>349</v>
      </c>
      <c r="M90" s="6" t="str">
        <f>_xlfn.CONCAT(Table1[[#This Row],[Billing Street]], ", ", Table1[[#This Row],[Billing City]], ", ", Table1[[#This Row],[Billing State/Province]], ", ", Table1[[#This Row],[Billing Zip/Postal Code]])</f>
        <v>7311 La Morada PL NW, Albuquerque, NM, 87120</v>
      </c>
    </row>
    <row r="91" spans="1:13" ht="15.6" hidden="1" x14ac:dyDescent="0.3">
      <c r="A91" s="1" t="s">
        <v>350</v>
      </c>
      <c r="B91" s="1"/>
      <c r="C91" s="1"/>
      <c r="D91" s="1"/>
      <c r="E91" s="1"/>
      <c r="F91" s="1"/>
      <c r="G91" s="1" t="s">
        <v>54</v>
      </c>
      <c r="H91" s="2">
        <v>15</v>
      </c>
      <c r="I91" s="1" t="s">
        <v>351</v>
      </c>
      <c r="J91" s="1" t="s">
        <v>352</v>
      </c>
      <c r="K91" s="1" t="s">
        <v>57</v>
      </c>
      <c r="L91" s="1" t="s">
        <v>353</v>
      </c>
      <c r="M91" s="6" t="str">
        <f>_xlfn.CONCAT(Table1[[#This Row],[Billing Street]], ", ", Table1[[#This Row],[Billing City]], ", ", Table1[[#This Row],[Billing State/Province]], ", ", Table1[[#This Row],[Billing Zip/Postal Code]])</f>
        <v>14000 Valley Blvd, City of Industry, CA, 91746</v>
      </c>
    </row>
    <row r="92" spans="1:13" ht="15.6" hidden="1" x14ac:dyDescent="0.3">
      <c r="A92" s="1" t="s">
        <v>354</v>
      </c>
      <c r="B92" s="1"/>
      <c r="C92" s="1"/>
      <c r="D92" s="1"/>
      <c r="E92" s="1"/>
      <c r="F92" s="1"/>
      <c r="G92" s="1" t="s">
        <v>8</v>
      </c>
      <c r="H92" s="2">
        <v>524</v>
      </c>
      <c r="I92" s="1" t="s">
        <v>355</v>
      </c>
      <c r="J92" s="1" t="s">
        <v>356</v>
      </c>
      <c r="K92" s="1" t="s">
        <v>51</v>
      </c>
      <c r="L92" s="1" t="s">
        <v>357</v>
      </c>
      <c r="M92" s="6" t="str">
        <f>_xlfn.CONCAT(Table1[[#This Row],[Billing Street]], ", ", Table1[[#This Row],[Billing City]], ", ", Table1[[#This Row],[Billing State/Province]], ", ", Table1[[#This Row],[Billing Zip/Postal Code]])</f>
        <v>355 FM 306, New Braunfels, TX, 78130</v>
      </c>
    </row>
    <row r="93" spans="1:13" ht="15.6" hidden="1" x14ac:dyDescent="0.3">
      <c r="A93" s="1" t="s">
        <v>358</v>
      </c>
      <c r="B93" s="1"/>
      <c r="C93" s="1"/>
      <c r="D93" s="1"/>
      <c r="E93" s="1"/>
      <c r="F93" s="1"/>
      <c r="G93" s="1" t="s">
        <v>98</v>
      </c>
      <c r="H93" s="2">
        <v>209</v>
      </c>
      <c r="I93" s="1" t="s">
        <v>359</v>
      </c>
      <c r="J93" s="1" t="s">
        <v>360</v>
      </c>
      <c r="K93" s="1" t="s">
        <v>101</v>
      </c>
      <c r="L93" s="1" t="s">
        <v>361</v>
      </c>
      <c r="M93" s="6" t="str">
        <f>_xlfn.CONCAT(Table1[[#This Row],[Billing Street]], ", ", Table1[[#This Row],[Billing City]], ", ", Table1[[#This Row],[Billing State/Province]], ", ", Table1[[#This Row],[Billing Zip/Postal Code]])</f>
        <v>326 Fletcher ST, Thomasville, GA, 31799</v>
      </c>
    </row>
    <row r="94" spans="1:13" ht="15.6" x14ac:dyDescent="0.3">
      <c r="A94" s="1" t="s">
        <v>362</v>
      </c>
      <c r="B94" s="1"/>
      <c r="C94" s="1"/>
      <c r="D94" s="1"/>
      <c r="E94" s="1"/>
      <c r="F94" s="1" t="str" cm="1">
        <f t="array" ref="F94">GetCoordinates(M94)</f>
        <v>34.2001086, -90.5709323</v>
      </c>
      <c r="G94" s="1" t="s">
        <v>24</v>
      </c>
      <c r="H94" s="2">
        <v>353</v>
      </c>
      <c r="I94" s="1" t="s">
        <v>363</v>
      </c>
      <c r="J94" s="1" t="s">
        <v>364</v>
      </c>
      <c r="K94" s="1" t="s">
        <v>31</v>
      </c>
      <c r="L94" s="1" t="s">
        <v>365</v>
      </c>
      <c r="M94" s="6" t="str">
        <f>_xlfn.CONCAT(Table1[[#This Row],[Billing Street]], ", ", Table1[[#This Row],[Billing City]], ", ", Table1[[#This Row],[Billing State/Province]], ", ", Table1[[#This Row],[Billing Zip/Postal Code]])</f>
        <v>240 Hicks Street, Clarksdale, MS, 38614</v>
      </c>
    </row>
    <row r="95" spans="1:13" ht="15.6" x14ac:dyDescent="0.3">
      <c r="A95" s="1" t="s">
        <v>366</v>
      </c>
      <c r="B95" s="1"/>
      <c r="C95" s="1"/>
      <c r="D95" s="1"/>
      <c r="E95" s="1"/>
      <c r="F95" s="1" t="str" cm="1">
        <f t="array" ref="F95">GetCoordinates(M95)</f>
        <v>34.4798123, -87.7340372</v>
      </c>
      <c r="G95" s="1" t="s">
        <v>24</v>
      </c>
      <c r="H95" s="2">
        <v>276</v>
      </c>
      <c r="I95" s="1" t="s">
        <v>367</v>
      </c>
      <c r="J95" s="1" t="s">
        <v>368</v>
      </c>
      <c r="K95" s="1" t="s">
        <v>26</v>
      </c>
      <c r="L95" s="1" t="s">
        <v>369</v>
      </c>
      <c r="M95" s="6" t="str">
        <f>_xlfn.CONCAT(Table1[[#This Row],[Billing Street]], ", ", Table1[[#This Row],[Billing City]], ", ", Table1[[#This Row],[Billing State/Province]], ", ", Table1[[#This Row],[Billing Zip/Postal Code]])</f>
        <v>475 Walnut Gate Rd, Russellville, AL, 35654</v>
      </c>
    </row>
    <row r="96" spans="1:13" ht="15.6" x14ac:dyDescent="0.3">
      <c r="A96" s="1" t="s">
        <v>370</v>
      </c>
      <c r="B96" s="1"/>
      <c r="C96" s="1"/>
      <c r="D96" s="1"/>
      <c r="E96" s="1"/>
      <c r="F96" s="1" t="str" cm="1">
        <f t="array" ref="F96">GetCoordinates(M96)</f>
        <v>33.5829154, -86.6327420</v>
      </c>
      <c r="G96" s="1" t="s">
        <v>24</v>
      </c>
      <c r="H96" s="2">
        <v>200</v>
      </c>
      <c r="I96" s="1" t="s">
        <v>371</v>
      </c>
      <c r="J96" s="1" t="s">
        <v>372</v>
      </c>
      <c r="K96" s="1" t="s">
        <v>26</v>
      </c>
      <c r="L96" s="1" t="s">
        <v>373</v>
      </c>
      <c r="M96" s="6" t="str">
        <f>_xlfn.CONCAT(Table1[[#This Row],[Billing Street]], ", ", Table1[[#This Row],[Billing City]], ", ", Table1[[#This Row],[Billing State/Province]], ", ", Table1[[#This Row],[Billing Zip/Postal Code]])</f>
        <v>2656 Queenstown Road, Birmingham, AL, 35210</v>
      </c>
    </row>
    <row r="97" spans="1:13" ht="15.6" x14ac:dyDescent="0.3">
      <c r="A97" s="1" t="s">
        <v>374</v>
      </c>
      <c r="B97" s="1"/>
      <c r="C97" s="1"/>
      <c r="D97" s="1"/>
      <c r="E97" s="1"/>
      <c r="F97" s="1" t="str" cm="1">
        <f t="array" ref="F97">GetCoordinates(M97)</f>
        <v>32.9053466, -86.7085767</v>
      </c>
      <c r="G97" s="1" t="s">
        <v>24</v>
      </c>
      <c r="H97" s="2">
        <v>154</v>
      </c>
      <c r="I97" s="1" t="s">
        <v>375</v>
      </c>
      <c r="J97" s="1" t="s">
        <v>376</v>
      </c>
      <c r="K97" s="1" t="s">
        <v>26</v>
      </c>
      <c r="L97" s="1" t="s">
        <v>377</v>
      </c>
      <c r="M97" s="6" t="str">
        <f>_xlfn.CONCAT(Table1[[#This Row],[Billing Street]], ", ", Table1[[#This Row],[Billing City]], ", ", Table1[[#This Row],[Billing State/Province]], ", ", Table1[[#This Row],[Billing Zip/Postal Code]])</f>
        <v>19953 US-31 AL, Thorsby, AL, 35171</v>
      </c>
    </row>
    <row r="98" spans="1:13" ht="15.6" hidden="1" x14ac:dyDescent="0.3">
      <c r="A98" s="1" t="s">
        <v>378</v>
      </c>
      <c r="B98" s="1"/>
      <c r="C98" s="1"/>
      <c r="D98" s="1"/>
      <c r="E98" s="1"/>
      <c r="F98" s="1"/>
      <c r="G98" s="1" t="s">
        <v>43</v>
      </c>
      <c r="H98" s="2">
        <v>5776</v>
      </c>
      <c r="I98" s="1" t="s">
        <v>13</v>
      </c>
      <c r="J98" s="1" t="s">
        <v>13</v>
      </c>
      <c r="K98" s="1" t="s">
        <v>237</v>
      </c>
      <c r="L98" s="1" t="s">
        <v>13</v>
      </c>
      <c r="M98" s="6" t="str">
        <f>_xlfn.CONCAT(Table1[[#This Row],[Billing Street]], ", ", Table1[[#This Row],[Billing City]], ", ", Table1[[#This Row],[Billing State/Province]], ", ", Table1[[#This Row],[Billing Zip/Postal Code]])</f>
        <v xml:space="preserve">, , IN, </v>
      </c>
    </row>
    <row r="99" spans="1:13" ht="15.6" x14ac:dyDescent="0.3">
      <c r="A99" s="1" t="s">
        <v>379</v>
      </c>
      <c r="B99" s="1"/>
      <c r="C99" s="1"/>
      <c r="D99" s="12"/>
      <c r="E99" s="1"/>
      <c r="F99" s="1" t="str" cm="1">
        <f t="array" ref="F99">GetCoordinates(M99)</f>
        <v>30.7214130, -86.5662155</v>
      </c>
      <c r="G99" s="1" t="s">
        <v>24</v>
      </c>
      <c r="H99" s="2">
        <v>27</v>
      </c>
      <c r="I99" s="1" t="s">
        <v>380</v>
      </c>
      <c r="J99" s="1" t="s">
        <v>381</v>
      </c>
      <c r="K99" s="1" t="s">
        <v>36</v>
      </c>
      <c r="L99" s="1" t="s">
        <v>382</v>
      </c>
      <c r="M99" s="6" t="str">
        <f>_xlfn.CONCAT(Table1[[#This Row],[Billing Street]], ", ", Table1[[#This Row],[Billing City]], ", ", Table1[[#This Row],[Billing State/Province]], ", ", Table1[[#This Row],[Billing Zip/Postal Code]])</f>
        <v>120 John King Rd, Crestview, FL, 32539</v>
      </c>
    </row>
    <row r="100" spans="1:13" ht="15.6" x14ac:dyDescent="0.3">
      <c r="A100" s="1" t="s">
        <v>383</v>
      </c>
      <c r="B100" s="1"/>
      <c r="C100" s="1"/>
      <c r="D100" s="12"/>
      <c r="E100" s="1"/>
      <c r="F100" s="1" t="str" cm="1">
        <f t="array" ref="F100">GetCoordinates(M100)</f>
        <v>32.3618738, -86.2996160</v>
      </c>
      <c r="G100" s="1" t="s">
        <v>24</v>
      </c>
      <c r="H100" s="2">
        <v>114</v>
      </c>
      <c r="I100" s="1" t="s">
        <v>16146</v>
      </c>
      <c r="J100" s="1" t="s">
        <v>25</v>
      </c>
      <c r="K100" s="1" t="s">
        <v>26</v>
      </c>
      <c r="L100" s="1" t="s">
        <v>384</v>
      </c>
      <c r="M100" s="6" t="str">
        <f>_xlfn.CONCAT(Table1[[#This Row],[Billing Street]], ", ", Table1[[#This Row],[Billing City]], ", ", Table1[[#This Row],[Billing State/Province]], ", ", Table1[[#This Row],[Billing Zip/Postal Code]])</f>
        <v>1251 South Decatur St, Montgomery, AL, 36101</v>
      </c>
    </row>
    <row r="101" spans="1:13" ht="15.6" hidden="1" x14ac:dyDescent="0.3">
      <c r="A101" s="1" t="s">
        <v>385</v>
      </c>
      <c r="B101" s="1"/>
      <c r="C101" s="1"/>
      <c r="D101" s="1"/>
      <c r="E101" s="1"/>
      <c r="F101" s="1"/>
      <c r="G101" s="1" t="s">
        <v>43</v>
      </c>
      <c r="H101" s="2">
        <v>5776</v>
      </c>
      <c r="I101" s="1" t="s">
        <v>13</v>
      </c>
      <c r="J101" s="1" t="s">
        <v>13</v>
      </c>
      <c r="K101" s="1" t="s">
        <v>237</v>
      </c>
      <c r="L101" s="1" t="s">
        <v>13</v>
      </c>
      <c r="M101" s="6" t="str">
        <f>_xlfn.CONCAT(Table1[[#This Row],[Billing Street]], ", ", Table1[[#This Row],[Billing City]], ", ", Table1[[#This Row],[Billing State/Province]], ", ", Table1[[#This Row],[Billing Zip/Postal Code]])</f>
        <v xml:space="preserve">, , IN, </v>
      </c>
    </row>
    <row r="102" spans="1:13" ht="15.6" hidden="1" x14ac:dyDescent="0.3">
      <c r="A102" s="1" t="s">
        <v>386</v>
      </c>
      <c r="B102" s="1"/>
      <c r="C102" s="1"/>
      <c r="D102" s="1"/>
      <c r="E102" s="1"/>
      <c r="F102" s="1"/>
      <c r="G102" s="1" t="s">
        <v>43</v>
      </c>
      <c r="H102" s="2">
        <v>31</v>
      </c>
      <c r="I102" s="1" t="s">
        <v>387</v>
      </c>
      <c r="J102" s="1" t="s">
        <v>388</v>
      </c>
      <c r="K102" s="1" t="s">
        <v>45</v>
      </c>
      <c r="L102" s="1" t="s">
        <v>389</v>
      </c>
      <c r="M102" s="6" t="str">
        <f>_xlfn.CONCAT(Table1[[#This Row],[Billing Street]], ", ", Table1[[#This Row],[Billing City]], ", ", Table1[[#This Row],[Billing State/Province]], ", ", Table1[[#This Row],[Billing Zip/Postal Code]])</f>
        <v>35850 Schneider Court, Avon, OH, 44011</v>
      </c>
    </row>
    <row r="103" spans="1:13" ht="15.6" hidden="1" x14ac:dyDescent="0.3">
      <c r="A103" s="1" t="s">
        <v>390</v>
      </c>
      <c r="B103" s="1"/>
      <c r="C103" s="1"/>
      <c r="D103" s="1"/>
      <c r="E103" s="1"/>
      <c r="F103" s="1"/>
      <c r="G103" s="1" t="s">
        <v>43</v>
      </c>
      <c r="H103" s="2">
        <v>185</v>
      </c>
      <c r="I103" s="1" t="s">
        <v>391</v>
      </c>
      <c r="J103" s="1" t="s">
        <v>392</v>
      </c>
      <c r="K103" s="1" t="s">
        <v>237</v>
      </c>
      <c r="L103" s="1" t="s">
        <v>393</v>
      </c>
      <c r="M103" s="6" t="str">
        <f>_xlfn.CONCAT(Table1[[#This Row],[Billing Street]], ", ", Table1[[#This Row],[Billing City]], ", ", Table1[[#This Row],[Billing State/Province]], ", ", Table1[[#This Row],[Billing Zip/Postal Code]])</f>
        <v>1385 S Old US 27, Angola, IN, 46703-0359</v>
      </c>
    </row>
    <row r="104" spans="1:13" ht="15.6" hidden="1" x14ac:dyDescent="0.3">
      <c r="A104" s="1" t="s">
        <v>394</v>
      </c>
      <c r="B104" s="1"/>
      <c r="C104" s="1"/>
      <c r="D104" s="1"/>
      <c r="E104" s="1"/>
      <c r="F104" s="1"/>
      <c r="G104" s="1" t="s">
        <v>43</v>
      </c>
      <c r="H104" s="2">
        <v>109</v>
      </c>
      <c r="I104" s="1" t="s">
        <v>395</v>
      </c>
      <c r="J104" s="1" t="s">
        <v>396</v>
      </c>
      <c r="K104" s="1" t="s">
        <v>82</v>
      </c>
      <c r="L104" s="1" t="s">
        <v>397</v>
      </c>
      <c r="M104" s="6" t="str">
        <f>_xlfn.CONCAT(Table1[[#This Row],[Billing Street]], ", ", Table1[[#This Row],[Billing City]], ", ", Table1[[#This Row],[Billing State/Province]], ", ", Table1[[#This Row],[Billing Zip/Postal Code]])</f>
        <v>8631 W. Jefferson Avenue, Detroit, MI, 48209</v>
      </c>
    </row>
    <row r="105" spans="1:13" ht="15.6" hidden="1" x14ac:dyDescent="0.3">
      <c r="A105" s="1" t="s">
        <v>398</v>
      </c>
      <c r="B105" s="1"/>
      <c r="C105" s="1"/>
      <c r="D105" s="1"/>
      <c r="E105" s="1"/>
      <c r="F105" s="1"/>
      <c r="G105" s="1" t="s">
        <v>43</v>
      </c>
      <c r="H105" s="2">
        <v>5776</v>
      </c>
      <c r="I105" s="1" t="s">
        <v>13</v>
      </c>
      <c r="J105" s="1" t="s">
        <v>13</v>
      </c>
      <c r="K105" s="1" t="s">
        <v>237</v>
      </c>
      <c r="L105" s="1" t="s">
        <v>13</v>
      </c>
      <c r="M105" s="6" t="str">
        <f>_xlfn.CONCAT(Table1[[#This Row],[Billing Street]], ", ", Table1[[#This Row],[Billing City]], ", ", Table1[[#This Row],[Billing State/Province]], ", ", Table1[[#This Row],[Billing Zip/Postal Code]])</f>
        <v xml:space="preserve">, , IN, </v>
      </c>
    </row>
    <row r="106" spans="1:13" ht="15.6" hidden="1" x14ac:dyDescent="0.3">
      <c r="A106" s="1" t="s">
        <v>399</v>
      </c>
      <c r="B106" s="1"/>
      <c r="C106" s="1"/>
      <c r="D106" s="1"/>
      <c r="E106" s="1"/>
      <c r="F106" s="1"/>
      <c r="G106" s="1" t="s">
        <v>43</v>
      </c>
      <c r="H106" s="2">
        <v>5776</v>
      </c>
      <c r="I106" s="1" t="s">
        <v>13</v>
      </c>
      <c r="J106" s="1" t="s">
        <v>13</v>
      </c>
      <c r="K106" s="1" t="s">
        <v>45</v>
      </c>
      <c r="L106" s="1" t="s">
        <v>13</v>
      </c>
      <c r="M106" s="6" t="str">
        <f>_xlfn.CONCAT(Table1[[#This Row],[Billing Street]], ", ", Table1[[#This Row],[Billing City]], ", ", Table1[[#This Row],[Billing State/Province]], ", ", Table1[[#This Row],[Billing Zip/Postal Code]])</f>
        <v xml:space="preserve">, , OH, </v>
      </c>
    </row>
    <row r="107" spans="1:13" ht="15.6" hidden="1" x14ac:dyDescent="0.3">
      <c r="A107" s="1" t="s">
        <v>400</v>
      </c>
      <c r="B107" s="1"/>
      <c r="C107" s="1"/>
      <c r="D107" s="1"/>
      <c r="E107" s="1"/>
      <c r="F107" s="1"/>
      <c r="G107" s="1" t="s">
        <v>8</v>
      </c>
      <c r="H107" s="2">
        <v>6528</v>
      </c>
      <c r="I107" s="1" t="s">
        <v>13</v>
      </c>
      <c r="J107" s="1" t="s">
        <v>401</v>
      </c>
      <c r="K107" s="1" t="s">
        <v>11</v>
      </c>
      <c r="L107" s="1" t="s">
        <v>13</v>
      </c>
      <c r="M107" s="6" t="str">
        <f>_xlfn.CONCAT(Table1[[#This Row],[Billing Street]], ", ", Table1[[#This Row],[Billing City]], ", ", Table1[[#This Row],[Billing State/Province]], ", ", Table1[[#This Row],[Billing Zip/Postal Code]])</f>
        <v xml:space="preserve">, Higginsville, MO, </v>
      </c>
    </row>
    <row r="108" spans="1:13" ht="15.6" hidden="1" x14ac:dyDescent="0.3">
      <c r="A108" s="1" t="s">
        <v>402</v>
      </c>
      <c r="B108" s="1"/>
      <c r="C108" s="1"/>
      <c r="D108" s="1"/>
      <c r="E108" s="1"/>
      <c r="F108" s="1"/>
      <c r="G108" s="1" t="s">
        <v>54</v>
      </c>
      <c r="H108" s="2">
        <v>960</v>
      </c>
      <c r="I108" s="1" t="s">
        <v>403</v>
      </c>
      <c r="J108" s="1" t="s">
        <v>404</v>
      </c>
      <c r="K108" s="1" t="s">
        <v>405</v>
      </c>
      <c r="L108" s="1" t="s">
        <v>406</v>
      </c>
      <c r="M108" s="6" t="str">
        <f>_xlfn.CONCAT(Table1[[#This Row],[Billing Street]], ", ", Table1[[#This Row],[Billing City]], ", ", Table1[[#This Row],[Billing State/Province]], ", ", Table1[[#This Row],[Billing Zip/Postal Code]])</f>
        <v>700 Fifth Ave Ste 3300, Seattle, WA, 34023</v>
      </c>
    </row>
    <row r="109" spans="1:13" ht="15.6" hidden="1" x14ac:dyDescent="0.3">
      <c r="A109" s="1" t="s">
        <v>407</v>
      </c>
      <c r="B109" s="1"/>
      <c r="C109" s="1"/>
      <c r="D109" s="1"/>
      <c r="E109" s="1"/>
      <c r="F109" s="1"/>
      <c r="G109" s="1" t="s">
        <v>8</v>
      </c>
      <c r="H109" s="2">
        <v>536</v>
      </c>
      <c r="I109" s="1" t="s">
        <v>408</v>
      </c>
      <c r="J109" s="1" t="s">
        <v>409</v>
      </c>
      <c r="K109" s="1" t="s">
        <v>410</v>
      </c>
      <c r="L109" s="1" t="s">
        <v>411</v>
      </c>
      <c r="M109" s="6" t="str">
        <f>_xlfn.CONCAT(Table1[[#This Row],[Billing Street]], ", ", Table1[[#This Row],[Billing City]], ", ", Table1[[#This Row],[Billing State/Province]], ", ", Table1[[#This Row],[Billing Zip/Postal Code]])</f>
        <v>220 Main St, Pine Bluffs, WY, 82082</v>
      </c>
    </row>
    <row r="110" spans="1:13" ht="15.6" hidden="1" x14ac:dyDescent="0.3">
      <c r="A110" s="1" t="s">
        <v>412</v>
      </c>
      <c r="B110" s="1"/>
      <c r="C110" s="1"/>
      <c r="D110" s="1"/>
      <c r="E110" s="1"/>
      <c r="F110" s="1"/>
      <c r="G110" s="1" t="s">
        <v>8</v>
      </c>
      <c r="H110" s="2">
        <v>449</v>
      </c>
      <c r="I110" s="1" t="s">
        <v>413</v>
      </c>
      <c r="J110" s="1" t="s">
        <v>414</v>
      </c>
      <c r="K110" s="1" t="s">
        <v>208</v>
      </c>
      <c r="L110" s="1" t="s">
        <v>415</v>
      </c>
      <c r="M110" s="6" t="str">
        <f>_xlfn.CONCAT(Table1[[#This Row],[Billing Street]], ", ", Table1[[#This Row],[Billing City]], ", ", Table1[[#This Row],[Billing State/Province]], ", ", Table1[[#This Row],[Billing Zip/Postal Code]])</f>
        <v>100 W 2nd St, Julesburg, CO, 80737</v>
      </c>
    </row>
    <row r="111" spans="1:13" ht="15.6" hidden="1" x14ac:dyDescent="0.3">
      <c r="A111" s="1" t="s">
        <v>416</v>
      </c>
      <c r="B111" s="1"/>
      <c r="C111" s="1"/>
      <c r="D111" s="1"/>
      <c r="E111" s="1"/>
      <c r="F111" s="1"/>
      <c r="G111" s="1" t="s">
        <v>8</v>
      </c>
      <c r="H111" s="2">
        <v>386</v>
      </c>
      <c r="I111" s="1" t="s">
        <v>417</v>
      </c>
      <c r="J111" s="1" t="s">
        <v>418</v>
      </c>
      <c r="K111" s="1" t="s">
        <v>208</v>
      </c>
      <c r="L111" s="1" t="s">
        <v>419</v>
      </c>
      <c r="M111" s="6" t="str">
        <f>_xlfn.CONCAT(Table1[[#This Row],[Billing Street]], ", ", Table1[[#This Row],[Billing City]], ", ", Table1[[#This Row],[Billing State/Province]], ", ", Table1[[#This Row],[Billing Zip/Postal Code]])</f>
        <v>748 Main St, Springfield, CO, 81073</v>
      </c>
    </row>
    <row r="112" spans="1:13" ht="15.6" hidden="1" x14ac:dyDescent="0.3">
      <c r="A112" s="1" t="s">
        <v>420</v>
      </c>
      <c r="B112" s="1"/>
      <c r="C112" s="1"/>
      <c r="D112" s="1"/>
      <c r="E112" s="1"/>
      <c r="F112" s="1"/>
      <c r="G112" s="1" t="s">
        <v>43</v>
      </c>
      <c r="H112" s="2">
        <v>70</v>
      </c>
      <c r="I112" s="1" t="s">
        <v>421</v>
      </c>
      <c r="J112" s="1" t="s">
        <v>422</v>
      </c>
      <c r="K112" s="1" t="s">
        <v>45</v>
      </c>
      <c r="L112" s="1" t="s">
        <v>423</v>
      </c>
      <c r="M112" s="6" t="str">
        <f>_xlfn.CONCAT(Table1[[#This Row],[Billing Street]], ", ", Table1[[#This Row],[Billing City]], ", ", Table1[[#This Row],[Billing State/Province]], ", ", Table1[[#This Row],[Billing Zip/Postal Code]])</f>
        <v>73 W. State Street, Shelby, OH, 44875</v>
      </c>
    </row>
    <row r="113" spans="1:13" ht="15.6" hidden="1" x14ac:dyDescent="0.3">
      <c r="A113" s="1" t="s">
        <v>424</v>
      </c>
      <c r="B113" s="1"/>
      <c r="C113" s="1"/>
      <c r="D113" s="1"/>
      <c r="E113" s="1"/>
      <c r="F113" s="1"/>
      <c r="G113" s="1" t="s">
        <v>8</v>
      </c>
      <c r="H113" s="2">
        <v>549</v>
      </c>
      <c r="I113" s="1" t="s">
        <v>425</v>
      </c>
      <c r="J113" s="1" t="s">
        <v>220</v>
      </c>
      <c r="K113" s="1" t="s">
        <v>426</v>
      </c>
      <c r="L113" s="1" t="s">
        <v>427</v>
      </c>
      <c r="M113" s="6" t="str">
        <f>_xlfn.CONCAT(Table1[[#This Row],[Billing Street]], ", ", Table1[[#This Row],[Billing City]], ", ", Table1[[#This Row],[Billing State/Province]], ", ", Table1[[#This Row],[Billing Zip/Postal Code]])</f>
        <v>9536 I25 Frontage rd, Longmont, Co, 80304</v>
      </c>
    </row>
    <row r="114" spans="1:13" ht="15.6" x14ac:dyDescent="0.3">
      <c r="A114" s="1" t="s">
        <v>428</v>
      </c>
      <c r="B114" s="1"/>
      <c r="C114" s="1"/>
      <c r="D114" s="1"/>
      <c r="E114" s="1"/>
      <c r="F114" s="1" t="str" cm="1">
        <f t="array" ref="F114">GetCoordinates(M114)</f>
        <v>26.8495948, -80.0583981</v>
      </c>
      <c r="G114" s="1" t="s">
        <v>24</v>
      </c>
      <c r="H114" s="2">
        <v>454</v>
      </c>
      <c r="I114" s="1" t="s">
        <v>429</v>
      </c>
      <c r="J114" s="1" t="s">
        <v>430</v>
      </c>
      <c r="K114" s="1" t="s">
        <v>36</v>
      </c>
      <c r="L114" s="1" t="s">
        <v>431</v>
      </c>
      <c r="M114" s="6" t="str">
        <f>_xlfn.CONCAT(Table1[[#This Row],[Billing Street]], ", ", Table1[[#This Row],[Billing City]], ", ", Table1[[#This Row],[Billing State/Province]], ", ", Table1[[#This Row],[Billing Zip/Postal Code]])</f>
        <v>11780 US Hwy 1 Suite 208N, Palm Beach Gardens, FL, 33408</v>
      </c>
    </row>
    <row r="115" spans="1:13" ht="15.6" hidden="1" x14ac:dyDescent="0.3">
      <c r="A115" s="1" t="s">
        <v>432</v>
      </c>
      <c r="B115" s="1"/>
      <c r="C115" s="1"/>
      <c r="D115" s="1"/>
      <c r="E115" s="1"/>
      <c r="F115" s="1"/>
      <c r="G115" s="1" t="s">
        <v>8</v>
      </c>
      <c r="H115" s="2">
        <v>155</v>
      </c>
      <c r="I115" s="1" t="s">
        <v>433</v>
      </c>
      <c r="J115" s="1" t="s">
        <v>434</v>
      </c>
      <c r="K115" s="1" t="s">
        <v>147</v>
      </c>
      <c r="L115" s="1" t="s">
        <v>435</v>
      </c>
      <c r="M115" s="6" t="str">
        <f>_xlfn.CONCAT(Table1[[#This Row],[Billing Street]], ", ", Table1[[#This Row],[Billing City]], ", ", Table1[[#This Row],[Billing State/Province]], ", ", Table1[[#This Row],[Billing Zip/Postal Code]])</f>
        <v>4300 W River Park Dr., Oklahoma City, OK, 73108</v>
      </c>
    </row>
    <row r="116" spans="1:13" ht="15.6" x14ac:dyDescent="0.3">
      <c r="A116" s="1" t="s">
        <v>436</v>
      </c>
      <c r="B116" s="1"/>
      <c r="C116" s="1"/>
      <c r="D116" s="1"/>
      <c r="E116" s="1"/>
      <c r="F116" s="1" t="str" cm="1">
        <f t="array" ref="F116">GetCoordinates(M116)</f>
        <v>33.1796344, -87.5531051</v>
      </c>
      <c r="G116" s="1" t="s">
        <v>24</v>
      </c>
      <c r="H116" s="2">
        <v>190</v>
      </c>
      <c r="I116" s="1" t="s">
        <v>437</v>
      </c>
      <c r="J116" s="1" t="s">
        <v>438</v>
      </c>
      <c r="K116" s="1" t="s">
        <v>26</v>
      </c>
      <c r="L116" s="1" t="s">
        <v>439</v>
      </c>
      <c r="M116" s="6" t="str">
        <f>_xlfn.CONCAT(Table1[[#This Row],[Billing Street]], ", ", Table1[[#This Row],[Billing City]], ", ", Table1[[#This Row],[Billing State/Province]], ", ", Table1[[#This Row],[Billing Zip/Postal Code]])</f>
        <v>3435 Eric Cir E, Tuscaloosa, AL, 35401</v>
      </c>
    </row>
    <row r="117" spans="1:13" ht="15.6" hidden="1" x14ac:dyDescent="0.3">
      <c r="A117" s="1" t="s">
        <v>440</v>
      </c>
      <c r="B117" s="1"/>
      <c r="C117" s="1"/>
      <c r="D117" s="1"/>
      <c r="E117" s="1"/>
      <c r="F117" s="1"/>
      <c r="G117" s="1" t="s">
        <v>54</v>
      </c>
      <c r="H117" s="2">
        <v>49</v>
      </c>
      <c r="I117" s="1" t="s">
        <v>441</v>
      </c>
      <c r="J117" s="1" t="s">
        <v>189</v>
      </c>
      <c r="K117" s="1" t="s">
        <v>57</v>
      </c>
      <c r="L117" s="1" t="s">
        <v>442</v>
      </c>
      <c r="M117" s="6" t="str">
        <f>_xlfn.CONCAT(Table1[[#This Row],[Billing Street]], ", ", Table1[[#This Row],[Billing City]], ", ", Table1[[#This Row],[Billing State/Province]], ", ", Table1[[#This Row],[Billing Zip/Postal Code]])</f>
        <v>2520 Rubidoux Blvd, Riverside, CA, 92509</v>
      </c>
    </row>
    <row r="118" spans="1:13" ht="15.6" hidden="1" x14ac:dyDescent="0.3">
      <c r="A118" s="1" t="s">
        <v>443</v>
      </c>
      <c r="B118" s="1"/>
      <c r="C118" s="1"/>
      <c r="D118" s="1"/>
      <c r="E118" s="1"/>
      <c r="F118" s="1"/>
      <c r="G118" s="1" t="s">
        <v>8</v>
      </c>
      <c r="H118" s="2">
        <v>605</v>
      </c>
      <c r="I118" s="1" t="s">
        <v>444</v>
      </c>
      <c r="J118" s="1" t="s">
        <v>445</v>
      </c>
      <c r="K118" s="1" t="s">
        <v>410</v>
      </c>
      <c r="L118" s="1" t="s">
        <v>446</v>
      </c>
      <c r="M118" s="6" t="str">
        <f>_xlfn.CONCAT(Table1[[#This Row],[Billing Street]], ", ", Table1[[#This Row],[Billing City]], ", ", Table1[[#This Row],[Billing State/Province]], ", ", Table1[[#This Row],[Billing Zip/Postal Code]])</f>
        <v>P.O. Box 667, Guernsey, WY, 82214</v>
      </c>
    </row>
    <row r="119" spans="1:13" ht="15.6" hidden="1" x14ac:dyDescent="0.3">
      <c r="A119" s="1" t="s">
        <v>447</v>
      </c>
      <c r="B119" s="1"/>
      <c r="C119" s="1"/>
      <c r="D119" s="1"/>
      <c r="E119" s="1"/>
      <c r="F119" s="1"/>
      <c r="G119" s="1" t="s">
        <v>43</v>
      </c>
      <c r="H119" s="2">
        <v>163</v>
      </c>
      <c r="I119" s="1" t="s">
        <v>448</v>
      </c>
      <c r="J119" s="1" t="s">
        <v>449</v>
      </c>
      <c r="K119" s="1" t="s">
        <v>45</v>
      </c>
      <c r="L119" s="1" t="s">
        <v>450</v>
      </c>
      <c r="M119" s="6" t="str">
        <f>_xlfn.CONCAT(Table1[[#This Row],[Billing Street]], ", ", Table1[[#This Row],[Billing City]], ", ", Table1[[#This Row],[Billing State/Province]], ", ", Table1[[#This Row],[Billing Zip/Postal Code]])</f>
        <v>1601 Magda Drive, Montpelier, OH, 43543</v>
      </c>
    </row>
    <row r="120" spans="1:13" ht="15.6" hidden="1" x14ac:dyDescent="0.3">
      <c r="A120" s="1" t="s">
        <v>451</v>
      </c>
      <c r="B120" s="1"/>
      <c r="C120" s="1"/>
      <c r="D120" s="1"/>
      <c r="E120" s="1"/>
      <c r="F120" s="1"/>
      <c r="G120" s="1" t="s">
        <v>43</v>
      </c>
      <c r="H120" s="2">
        <v>5776</v>
      </c>
      <c r="I120" s="1" t="s">
        <v>13</v>
      </c>
      <c r="J120" s="1" t="s">
        <v>13</v>
      </c>
      <c r="K120" s="1" t="s">
        <v>152</v>
      </c>
      <c r="L120" s="1" t="s">
        <v>13</v>
      </c>
      <c r="M120" s="6" t="str">
        <f>_xlfn.CONCAT(Table1[[#This Row],[Billing Street]], ", ", Table1[[#This Row],[Billing City]], ", ", Table1[[#This Row],[Billing State/Province]], ", ", Table1[[#This Row],[Billing Zip/Postal Code]])</f>
        <v xml:space="preserve">, , IL, </v>
      </c>
    </row>
    <row r="121" spans="1:13" ht="15.6" hidden="1" x14ac:dyDescent="0.3">
      <c r="A121" s="1" t="s">
        <v>452</v>
      </c>
      <c r="B121" s="1"/>
      <c r="C121" s="1"/>
      <c r="D121" s="1"/>
      <c r="E121" s="1"/>
      <c r="F121" s="1"/>
      <c r="G121" s="1" t="s">
        <v>43</v>
      </c>
      <c r="H121" s="2">
        <v>168</v>
      </c>
      <c r="I121" s="1" t="s">
        <v>453</v>
      </c>
      <c r="J121" s="1" t="s">
        <v>454</v>
      </c>
      <c r="K121" s="1" t="s">
        <v>45</v>
      </c>
      <c r="L121" s="1" t="s">
        <v>455</v>
      </c>
      <c r="M121" s="6" t="str">
        <f>_xlfn.CONCAT(Table1[[#This Row],[Billing Street]], ", ", Table1[[#This Row],[Billing City]], ", ", Table1[[#This Row],[Billing State/Province]], ", ", Table1[[#This Row],[Billing Zip/Postal Code]])</f>
        <v>201 Hemm Avenue, Piqua, OH, 45356</v>
      </c>
    </row>
    <row r="122" spans="1:13" ht="15.6" hidden="1" x14ac:dyDescent="0.3">
      <c r="A122" s="1" t="s">
        <v>456</v>
      </c>
      <c r="B122" s="1"/>
      <c r="C122" s="1"/>
      <c r="D122" s="1"/>
      <c r="E122" s="1"/>
      <c r="F122" s="1"/>
      <c r="G122" s="1" t="s">
        <v>43</v>
      </c>
      <c r="H122" s="2">
        <v>5776</v>
      </c>
      <c r="I122" s="1" t="s">
        <v>13</v>
      </c>
      <c r="J122" s="1" t="s">
        <v>13</v>
      </c>
      <c r="K122" s="1" t="s">
        <v>45</v>
      </c>
      <c r="L122" s="1" t="s">
        <v>13</v>
      </c>
      <c r="M122" s="6" t="str">
        <f>_xlfn.CONCAT(Table1[[#This Row],[Billing Street]], ", ", Table1[[#This Row],[Billing City]], ", ", Table1[[#This Row],[Billing State/Province]], ", ", Table1[[#This Row],[Billing Zip/Postal Code]])</f>
        <v xml:space="preserve">, , OH, </v>
      </c>
    </row>
    <row r="123" spans="1:13" ht="15.6" hidden="1" x14ac:dyDescent="0.3">
      <c r="A123" s="1" t="s">
        <v>457</v>
      </c>
      <c r="B123" s="1"/>
      <c r="C123" s="1"/>
      <c r="D123" s="1"/>
      <c r="E123" s="1"/>
      <c r="F123" s="1"/>
      <c r="G123" s="1" t="s">
        <v>8</v>
      </c>
      <c r="H123" s="2">
        <v>442</v>
      </c>
      <c r="I123" s="1" t="s">
        <v>458</v>
      </c>
      <c r="J123" s="1" t="s">
        <v>459</v>
      </c>
      <c r="K123" s="1" t="s">
        <v>21</v>
      </c>
      <c r="L123" s="1" t="s">
        <v>460</v>
      </c>
      <c r="M123" s="6" t="str">
        <f>_xlfn.CONCAT(Table1[[#This Row],[Billing Street]], ", ", Table1[[#This Row],[Billing City]], ", ", Table1[[#This Row],[Billing State/Province]], ", ", Table1[[#This Row],[Billing Zip/Postal Code]])</f>
        <v>3340 Quail Ave, Forest City, IA, 50436</v>
      </c>
    </row>
    <row r="124" spans="1:13" ht="15.6" hidden="1" x14ac:dyDescent="0.3">
      <c r="A124" s="1" t="s">
        <v>461</v>
      </c>
      <c r="B124" s="1"/>
      <c r="C124" s="1"/>
      <c r="D124" s="1"/>
      <c r="E124" s="1"/>
      <c r="F124" s="1"/>
      <c r="G124" s="1" t="s">
        <v>43</v>
      </c>
      <c r="H124" s="2">
        <v>93</v>
      </c>
      <c r="I124" s="1" t="s">
        <v>462</v>
      </c>
      <c r="J124" s="1" t="s">
        <v>463</v>
      </c>
      <c r="K124" s="1" t="s">
        <v>45</v>
      </c>
      <c r="L124" s="1" t="s">
        <v>464</v>
      </c>
      <c r="M124" s="6" t="str">
        <f>_xlfn.CONCAT(Table1[[#This Row],[Billing Street]], ", ", Table1[[#This Row],[Billing City]], ", ", Table1[[#This Row],[Billing State/Province]], ", ", Table1[[#This Row],[Billing Zip/Postal Code]])</f>
        <v>17 S. Liberty Street, New Concord, OH, 43762</v>
      </c>
    </row>
    <row r="125" spans="1:13" ht="15.6" hidden="1" x14ac:dyDescent="0.3">
      <c r="A125" s="1" t="s">
        <v>465</v>
      </c>
      <c r="B125" s="1"/>
      <c r="C125" s="1"/>
      <c r="D125" s="1"/>
      <c r="E125" s="1"/>
      <c r="F125" s="1"/>
      <c r="G125" s="1" t="s">
        <v>43</v>
      </c>
      <c r="H125" s="2">
        <v>39</v>
      </c>
      <c r="I125" s="1" t="s">
        <v>466</v>
      </c>
      <c r="J125" s="1" t="s">
        <v>467</v>
      </c>
      <c r="K125" s="1" t="s">
        <v>45</v>
      </c>
      <c r="L125" s="1" t="s">
        <v>468</v>
      </c>
      <c r="M125" s="6" t="str">
        <f>_xlfn.CONCAT(Table1[[#This Row],[Billing Street]], ", ", Table1[[#This Row],[Billing City]], ", ", Table1[[#This Row],[Billing State/Province]], ", ", Table1[[#This Row],[Billing Zip/Postal Code]])</f>
        <v>22898 West Road P.O. Box 158, wellington, OH, 44090</v>
      </c>
    </row>
    <row r="126" spans="1:13" ht="15.6" hidden="1" x14ac:dyDescent="0.3">
      <c r="A126" s="1" t="s">
        <v>469</v>
      </c>
      <c r="B126" s="1"/>
      <c r="C126" s="1"/>
      <c r="D126" s="1"/>
      <c r="E126" s="1"/>
      <c r="F126" s="1"/>
      <c r="G126" s="1" t="s">
        <v>205</v>
      </c>
      <c r="H126" s="2">
        <v>267</v>
      </c>
      <c r="I126" s="1" t="s">
        <v>470</v>
      </c>
      <c r="J126" s="1" t="s">
        <v>471</v>
      </c>
      <c r="K126" s="1" t="s">
        <v>472</v>
      </c>
      <c r="L126" s="1" t="s">
        <v>473</v>
      </c>
      <c r="M126" s="6" t="str">
        <f>_xlfn.CONCAT(Table1[[#This Row],[Billing Street]], ", ", Table1[[#This Row],[Billing City]], ", ", Table1[[#This Row],[Billing State/Province]], ", ", Table1[[#This Row],[Billing Zip/Postal Code]])</f>
        <v>526 W 600 North, Hurricane, UT, 84737</v>
      </c>
    </row>
    <row r="127" spans="1:13" ht="15.6" hidden="1" x14ac:dyDescent="0.3">
      <c r="A127" s="1" t="s">
        <v>474</v>
      </c>
      <c r="B127" s="1"/>
      <c r="C127" s="1"/>
      <c r="D127" s="1"/>
      <c r="E127" s="1"/>
      <c r="F127" s="1"/>
      <c r="G127" s="1" t="s">
        <v>43</v>
      </c>
      <c r="H127" s="2">
        <v>5776</v>
      </c>
      <c r="I127" s="1" t="s">
        <v>13</v>
      </c>
      <c r="J127" s="1" t="s">
        <v>13</v>
      </c>
      <c r="K127" s="1" t="s">
        <v>152</v>
      </c>
      <c r="L127" s="1" t="s">
        <v>13</v>
      </c>
      <c r="M127" s="6" t="str">
        <f>_xlfn.CONCAT(Table1[[#This Row],[Billing Street]], ", ", Table1[[#This Row],[Billing City]], ", ", Table1[[#This Row],[Billing State/Province]], ", ", Table1[[#This Row],[Billing Zip/Postal Code]])</f>
        <v xml:space="preserve">, , IL, </v>
      </c>
    </row>
    <row r="128" spans="1:13" ht="15.6" hidden="1" x14ac:dyDescent="0.3">
      <c r="A128" s="1" t="s">
        <v>475</v>
      </c>
      <c r="B128" s="1"/>
      <c r="C128" s="1"/>
      <c r="D128" s="1"/>
      <c r="E128" s="1"/>
      <c r="F128" s="1"/>
      <c r="G128" s="1" t="s">
        <v>43</v>
      </c>
      <c r="H128" s="2">
        <v>5776</v>
      </c>
      <c r="I128" s="1" t="s">
        <v>13</v>
      </c>
      <c r="J128" s="1" t="s">
        <v>13</v>
      </c>
      <c r="K128" s="1" t="s">
        <v>152</v>
      </c>
      <c r="L128" s="1" t="s">
        <v>13</v>
      </c>
      <c r="M128" s="6" t="str">
        <f>_xlfn.CONCAT(Table1[[#This Row],[Billing Street]], ", ", Table1[[#This Row],[Billing City]], ", ", Table1[[#This Row],[Billing State/Province]], ", ", Table1[[#This Row],[Billing Zip/Postal Code]])</f>
        <v xml:space="preserve">, , IL, </v>
      </c>
    </row>
    <row r="129" spans="1:13" ht="15.6" hidden="1" x14ac:dyDescent="0.3">
      <c r="A129" s="1" t="s">
        <v>476</v>
      </c>
      <c r="B129" s="1"/>
      <c r="C129" s="1"/>
      <c r="D129" s="1"/>
      <c r="E129" s="1"/>
      <c r="F129" s="1"/>
      <c r="G129" s="1" t="s">
        <v>205</v>
      </c>
      <c r="H129" s="2">
        <v>21</v>
      </c>
      <c r="I129" s="1" t="s">
        <v>477</v>
      </c>
      <c r="J129" s="1" t="s">
        <v>478</v>
      </c>
      <c r="K129" s="1" t="s">
        <v>479</v>
      </c>
      <c r="L129" s="1" t="s">
        <v>480</v>
      </c>
      <c r="M129" s="6" t="str">
        <f>_xlfn.CONCAT(Table1[[#This Row],[Billing Street]], ", ", Table1[[#This Row],[Billing City]], ", ", Table1[[#This Row],[Billing State/Province]], ", ", Table1[[#This Row],[Billing Zip/Postal Code]])</f>
        <v>3450 N. Higley Rd. Suite 101, Mesa, AZ, 85215</v>
      </c>
    </row>
    <row r="130" spans="1:13" ht="15.6" hidden="1" x14ac:dyDescent="0.3">
      <c r="A130" s="1" t="s">
        <v>481</v>
      </c>
      <c r="B130" s="1"/>
      <c r="C130" s="1"/>
      <c r="D130" s="1"/>
      <c r="E130" s="1"/>
      <c r="F130" s="1"/>
      <c r="G130" s="1" t="s">
        <v>8</v>
      </c>
      <c r="H130" s="2">
        <v>578</v>
      </c>
      <c r="I130" s="1" t="s">
        <v>482</v>
      </c>
      <c r="J130" s="1" t="s">
        <v>483</v>
      </c>
      <c r="K130" s="1" t="s">
        <v>208</v>
      </c>
      <c r="L130" s="1" t="s">
        <v>484</v>
      </c>
      <c r="M130" s="6" t="str">
        <f>_xlfn.CONCAT(Table1[[#This Row],[Billing Street]], ", ", Table1[[#This Row],[Billing City]], ", ", Table1[[#This Row],[Billing State/Province]], ", ", Table1[[#This Row],[Billing Zip/Postal Code]])</f>
        <v>294 S Worth St, Center, CO, 81125</v>
      </c>
    </row>
    <row r="131" spans="1:13" ht="15.6" hidden="1" x14ac:dyDescent="0.3">
      <c r="A131" s="1" t="s">
        <v>485</v>
      </c>
      <c r="B131" s="1"/>
      <c r="C131" s="1"/>
      <c r="D131" s="1"/>
      <c r="E131" s="1"/>
      <c r="F131" s="1"/>
      <c r="G131" s="1" t="s">
        <v>8</v>
      </c>
      <c r="H131" s="2">
        <v>435</v>
      </c>
      <c r="I131" s="1" t="s">
        <v>486</v>
      </c>
      <c r="J131" s="1" t="s">
        <v>487</v>
      </c>
      <c r="K131" s="1" t="s">
        <v>208</v>
      </c>
      <c r="L131" s="1" t="s">
        <v>488</v>
      </c>
      <c r="M131" s="6" t="str">
        <f>_xlfn.CONCAT(Table1[[#This Row],[Billing Street]], ", ", Table1[[#This Row],[Billing City]], ", ", Table1[[#This Row],[Billing State/Province]], ", ", Table1[[#This Row],[Billing Zip/Postal Code]])</f>
        <v>407 East Denver Street, Holyoke, CO, 80734</v>
      </c>
    </row>
    <row r="132" spans="1:13" ht="15.6" hidden="1" x14ac:dyDescent="0.3">
      <c r="A132" s="1" t="s">
        <v>489</v>
      </c>
      <c r="B132" s="1"/>
      <c r="C132" s="1"/>
      <c r="D132" s="1"/>
      <c r="E132" s="1"/>
      <c r="F132" s="1"/>
      <c r="G132" s="1" t="s">
        <v>8</v>
      </c>
      <c r="H132" s="2">
        <v>149</v>
      </c>
      <c r="I132" s="1" t="s">
        <v>490</v>
      </c>
      <c r="J132" s="1" t="s">
        <v>434</v>
      </c>
      <c r="K132" s="1" t="s">
        <v>147</v>
      </c>
      <c r="L132" s="1" t="s">
        <v>491</v>
      </c>
      <c r="M132" s="6" t="str">
        <f>_xlfn.CONCAT(Table1[[#This Row],[Billing Street]], ", ", Table1[[#This Row],[Billing City]], ", ", Table1[[#This Row],[Billing State/Province]], ", ", Table1[[#This Row],[Billing Zip/Postal Code]])</f>
        <v>308 N. Fonshill Ave. Oklahoma City, OK 73117, Oklahoma City, OK, 73117</v>
      </c>
    </row>
    <row r="133" spans="1:13" ht="15.6" hidden="1" x14ac:dyDescent="0.3">
      <c r="A133" s="1" t="s">
        <v>492</v>
      </c>
      <c r="B133" s="1"/>
      <c r="C133" s="1"/>
      <c r="D133" s="1"/>
      <c r="E133" s="1"/>
      <c r="F133" s="1"/>
      <c r="G133" s="1" t="s">
        <v>8</v>
      </c>
      <c r="H133" s="2">
        <v>414</v>
      </c>
      <c r="I133" s="1" t="s">
        <v>493</v>
      </c>
      <c r="J133" s="1" t="s">
        <v>494</v>
      </c>
      <c r="K133" s="1" t="s">
        <v>208</v>
      </c>
      <c r="L133" s="1" t="s">
        <v>495</v>
      </c>
      <c r="M133" s="6" t="str">
        <f>_xlfn.CONCAT(Table1[[#This Row],[Billing Street]], ", ", Table1[[#This Row],[Billing City]], ", ", Table1[[#This Row],[Billing State/Province]], ", ", Table1[[#This Row],[Billing Zip/Postal Code]])</f>
        <v>150 Ash St, Wray, CO, 80758</v>
      </c>
    </row>
    <row r="134" spans="1:13" ht="15.6" hidden="1" x14ac:dyDescent="0.3">
      <c r="A134" s="1" t="s">
        <v>496</v>
      </c>
      <c r="B134" s="1"/>
      <c r="C134" s="1"/>
      <c r="D134" s="1"/>
      <c r="E134" s="1"/>
      <c r="F134" s="1"/>
      <c r="G134" s="1" t="s">
        <v>8</v>
      </c>
      <c r="H134" s="2">
        <v>872</v>
      </c>
      <c r="I134" s="1" t="s">
        <v>497</v>
      </c>
      <c r="J134" s="1" t="s">
        <v>498</v>
      </c>
      <c r="K134" s="1" t="s">
        <v>410</v>
      </c>
      <c r="L134" s="1" t="s">
        <v>499</v>
      </c>
      <c r="M134" s="6" t="str">
        <f>_xlfn.CONCAT(Table1[[#This Row],[Billing Street]], ", ", Table1[[#This Row],[Billing City]], ", ", Table1[[#This Row],[Billing State/Province]], ", ", Table1[[#This Row],[Billing Zip/Postal Code]])</f>
        <v>755 Highway 14A, Powell, WY, 82435</v>
      </c>
    </row>
    <row r="135" spans="1:13" ht="15.6" hidden="1" x14ac:dyDescent="0.3">
      <c r="A135" s="1" t="s">
        <v>500</v>
      </c>
      <c r="B135" s="1"/>
      <c r="C135" s="1"/>
      <c r="D135" s="1"/>
      <c r="E135" s="1"/>
      <c r="F135" s="1"/>
      <c r="G135" s="1" t="s">
        <v>8</v>
      </c>
      <c r="H135" s="2">
        <v>223</v>
      </c>
      <c r="I135" s="1" t="s">
        <v>501</v>
      </c>
      <c r="J135" s="1" t="s">
        <v>502</v>
      </c>
      <c r="K135" s="1" t="s">
        <v>11</v>
      </c>
      <c r="L135" s="1" t="s">
        <v>503</v>
      </c>
      <c r="M135" s="6" t="str">
        <f>_xlfn.CONCAT(Table1[[#This Row],[Billing Street]], ", ", Table1[[#This Row],[Billing City]], ", ", Table1[[#This Row],[Billing State/Province]], ", ", Table1[[#This Row],[Billing Zip/Postal Code]])</f>
        <v>105 E Ash St., Columbia, MO, 65205</v>
      </c>
    </row>
    <row r="136" spans="1:13" ht="15.6" x14ac:dyDescent="0.3">
      <c r="A136" s="1" t="s">
        <v>504</v>
      </c>
      <c r="B136" s="1"/>
      <c r="C136" s="1"/>
      <c r="D136" s="1"/>
      <c r="E136" s="1"/>
      <c r="F136" s="1" t="str" cm="1">
        <f t="array" ref="F136">GetCoordinates(M136)</f>
        <v>32.4827796, -85.5596159</v>
      </c>
      <c r="G136" s="1" t="s">
        <v>24</v>
      </c>
      <c r="H136" s="2">
        <v>59</v>
      </c>
      <c r="I136" s="1" t="s">
        <v>505</v>
      </c>
      <c r="J136" s="1" t="s">
        <v>506</v>
      </c>
      <c r="K136" s="1" t="s">
        <v>26</v>
      </c>
      <c r="L136" s="1" t="s">
        <v>507</v>
      </c>
      <c r="M136" s="6" t="str">
        <f>_xlfn.CONCAT(Table1[[#This Row],[Billing Street]], ", ", Table1[[#This Row],[Billing City]], ", ", Table1[[#This Row],[Billing State/Province]], ", ", Table1[[#This Row],[Billing Zip/Postal Code]])</f>
        <v>2134 Highway 29 South, Brewton, AL, 36426</v>
      </c>
    </row>
    <row r="137" spans="1:13" ht="15.6" x14ac:dyDescent="0.3">
      <c r="A137" s="1" t="s">
        <v>508</v>
      </c>
      <c r="B137" s="1"/>
      <c r="C137" s="1"/>
      <c r="D137" s="1"/>
      <c r="E137" s="1"/>
      <c r="F137" s="1" t="str" cm="1">
        <f t="array" ref="F137">GetCoordinates(M137)</f>
        <v>31.2698358, -86.2433576</v>
      </c>
      <c r="G137" s="1" t="s">
        <v>24</v>
      </c>
      <c r="H137" s="2">
        <v>39</v>
      </c>
      <c r="I137" s="1" t="s">
        <v>509</v>
      </c>
      <c r="J137" s="1" t="s">
        <v>510</v>
      </c>
      <c r="K137" s="1" t="s">
        <v>26</v>
      </c>
      <c r="L137" s="1" t="s">
        <v>511</v>
      </c>
      <c r="M137" s="6" t="str">
        <f>_xlfn.CONCAT(Table1[[#This Row],[Billing Street]], ", ", Table1[[#This Row],[Billing City]], ", ", Table1[[#This Row],[Billing State/Province]], ", ", Table1[[#This Row],[Billing Zip/Postal Code]])</f>
        <v>104 Adams Road, Opp, AL, 36467</v>
      </c>
    </row>
    <row r="138" spans="1:13" ht="15.6" x14ac:dyDescent="0.3">
      <c r="A138" s="1" t="s">
        <v>512</v>
      </c>
      <c r="B138" s="1"/>
      <c r="C138" t="s">
        <v>16197</v>
      </c>
      <c r="D138" s="1"/>
      <c r="E138" s="1"/>
      <c r="F138" s="1" t="str" cm="1">
        <f t="array" ref="F138">GetCoordinates(M138)</f>
        <v>34.4348071, -86.9329862</v>
      </c>
      <c r="G138" s="1" t="s">
        <v>24</v>
      </c>
      <c r="H138" s="2">
        <v>262</v>
      </c>
      <c r="I138" s="1" t="s">
        <v>513</v>
      </c>
      <c r="J138" s="1" t="s">
        <v>514</v>
      </c>
      <c r="K138" s="1" t="s">
        <v>26</v>
      </c>
      <c r="L138" s="1" t="s">
        <v>515</v>
      </c>
      <c r="M138" s="6" t="str">
        <f>_xlfn.CONCAT(Table1[[#This Row],[Billing Street]], ", ", Table1[[#This Row],[Billing City]], ", ", Table1[[#This Row],[Billing State/Province]], ", ", Table1[[#This Row],[Billing Zip/Postal Code]])</f>
        <v>1010 Sparkman Street, Hartselle, AL, 35640</v>
      </c>
    </row>
    <row r="139" spans="1:13" ht="15.6" hidden="1" x14ac:dyDescent="0.3">
      <c r="A139" s="1" t="s">
        <v>516</v>
      </c>
      <c r="B139" s="1"/>
      <c r="C139" s="1"/>
      <c r="D139" s="1"/>
      <c r="E139" s="1"/>
      <c r="F139" s="1"/>
      <c r="G139" s="1" t="s">
        <v>205</v>
      </c>
      <c r="H139" s="2">
        <v>6</v>
      </c>
      <c r="I139" s="1" t="s">
        <v>517</v>
      </c>
      <c r="J139" s="1" t="s">
        <v>518</v>
      </c>
      <c r="K139" s="1" t="s">
        <v>479</v>
      </c>
      <c r="L139" s="1" t="s">
        <v>519</v>
      </c>
      <c r="M139" s="6" t="str">
        <f>_xlfn.CONCAT(Table1[[#This Row],[Billing Street]], ", ", Table1[[#This Row],[Billing City]], ", ", Table1[[#This Row],[Billing State/Province]], ", ", Table1[[#This Row],[Billing Zip/Postal Code]])</f>
        <v>5736 W Jefferson St, Phoenix, AZ, 85043</v>
      </c>
    </row>
    <row r="140" spans="1:13" ht="15.6" x14ac:dyDescent="0.3">
      <c r="A140" s="1" t="s">
        <v>520</v>
      </c>
      <c r="B140" s="1"/>
      <c r="C140" s="1"/>
      <c r="D140" s="1"/>
      <c r="E140" s="1"/>
      <c r="F140" s="1" t="str" cm="1">
        <f t="array" ref="F140">GetCoordinates(M140)</f>
        <v>31.3266784, -86.4602759</v>
      </c>
      <c r="G140" s="1" t="s">
        <v>24</v>
      </c>
      <c r="H140" s="2">
        <v>47</v>
      </c>
      <c r="I140" s="1" t="s">
        <v>521</v>
      </c>
      <c r="J140" s="1" t="s">
        <v>522</v>
      </c>
      <c r="K140" s="1" t="s">
        <v>26</v>
      </c>
      <c r="L140" s="1" t="s">
        <v>523</v>
      </c>
      <c r="M140" s="6" t="str">
        <f>_xlfn.CONCAT(Table1[[#This Row],[Billing Street]], ", ", Table1[[#This Row],[Billing City]], ", ", Table1[[#This Row],[Billing State/Province]], ", ", Table1[[#This Row],[Billing Zip/Postal Code]])</f>
        <v>100 Waits Dr, Andalusia, AL, 36421</v>
      </c>
    </row>
    <row r="141" spans="1:13" ht="15.6" x14ac:dyDescent="0.3">
      <c r="A141" s="1" t="s">
        <v>524</v>
      </c>
      <c r="B141" s="1"/>
      <c r="C141" s="1" t="str" cm="1">
        <f t="array" ref="C141">GetCoordinates(C138)</f>
        <v>30.7855890, -86.1210990</v>
      </c>
      <c r="D141" s="1"/>
      <c r="E141" s="1"/>
      <c r="F141" s="1"/>
      <c r="G141" s="1" t="s">
        <v>24</v>
      </c>
      <c r="H141" s="2">
        <v>269</v>
      </c>
      <c r="I141" s="1" t="s">
        <v>525</v>
      </c>
      <c r="J141" s="1" t="s">
        <v>526</v>
      </c>
      <c r="K141" s="1" t="s">
        <v>26</v>
      </c>
      <c r="L141" s="1" t="s">
        <v>527</v>
      </c>
      <c r="M141" s="6" t="str">
        <f>_xlfn.CONCAT(Table1[[#This Row],[Billing Street]], ", ", Table1[[#This Row],[Billing City]], ", ", Table1[[#This Row],[Billing State/Province]], ", ", Table1[[#This Row],[Billing Zip/Postal Code]])</f>
        <v>Central Parkway, Decatur, AL, 35603</v>
      </c>
    </row>
    <row r="142" spans="1:13" ht="15.6" x14ac:dyDescent="0.3">
      <c r="A142" s="1" t="s">
        <v>528</v>
      </c>
      <c r="B142" s="1"/>
      <c r="C142" s="1"/>
      <c r="D142" s="1"/>
      <c r="E142" s="1"/>
      <c r="F142" s="1"/>
      <c r="G142" s="1" t="s">
        <v>24</v>
      </c>
      <c r="H142" s="2">
        <v>119</v>
      </c>
      <c r="I142" s="1" t="s">
        <v>529</v>
      </c>
      <c r="J142" s="1" t="s">
        <v>530</v>
      </c>
      <c r="K142" s="1" t="s">
        <v>26</v>
      </c>
      <c r="L142" s="1" t="s">
        <v>531</v>
      </c>
      <c r="M142" s="6" t="str">
        <f>_xlfn.CONCAT(Table1[[#This Row],[Billing Street]], ", ", Table1[[#This Row],[Billing City]], ", ", Table1[[#This Row],[Billing State/Province]], ", ", Table1[[#This Row],[Billing Zip/Postal Code]])</f>
        <v>1379 Ciba Road, McIntosh, AL, 36553</v>
      </c>
    </row>
    <row r="143" spans="1:13" ht="15.6" x14ac:dyDescent="0.3">
      <c r="A143" s="1" t="s">
        <v>532</v>
      </c>
      <c r="B143" s="1"/>
      <c r="C143" s="1"/>
      <c r="D143" s="1"/>
      <c r="E143" s="1"/>
      <c r="F143" s="1"/>
      <c r="G143" s="1" t="s">
        <v>24</v>
      </c>
      <c r="H143" s="2">
        <v>5988</v>
      </c>
      <c r="I143" s="1" t="s">
        <v>533</v>
      </c>
      <c r="J143" s="1" t="s">
        <v>534</v>
      </c>
      <c r="K143" s="1" t="s">
        <v>26</v>
      </c>
      <c r="L143" s="1" t="s">
        <v>535</v>
      </c>
      <c r="M143" s="6" t="str">
        <f>_xlfn.CONCAT(Table1[[#This Row],[Billing Street]], ", ", Table1[[#This Row],[Billing City]], ", ", Table1[[#This Row],[Billing State/Province]], ", ", Table1[[#This Row],[Billing Zip/Postal Code]])</f>
        <v>1101 3rd Ave., Bessemer, AL, 35021</v>
      </c>
    </row>
    <row r="144" spans="1:13" ht="15.6" x14ac:dyDescent="0.3">
      <c r="A144" s="1" t="s">
        <v>536</v>
      </c>
      <c r="B144" s="1"/>
      <c r="C144" s="1"/>
      <c r="D144" s="1"/>
      <c r="E144" s="1"/>
      <c r="F144" s="1"/>
      <c r="G144" s="1" t="s">
        <v>24</v>
      </c>
      <c r="H144" s="2">
        <v>5988</v>
      </c>
      <c r="I144" s="1" t="s">
        <v>537</v>
      </c>
      <c r="J144" s="1" t="s">
        <v>538</v>
      </c>
      <c r="K144" s="1" t="s">
        <v>26</v>
      </c>
      <c r="L144" s="1" t="s">
        <v>539</v>
      </c>
      <c r="M144" s="6" t="str">
        <f>_xlfn.CONCAT(Table1[[#This Row],[Billing Street]], ", ", Table1[[#This Row],[Billing City]], ", ", Table1[[#This Row],[Billing State/Province]], ", ", Table1[[#This Row],[Billing Zip/Postal Code]])</f>
        <v>25700 Highway 24, Trinity, AL, 35673</v>
      </c>
    </row>
    <row r="145" spans="1:13" ht="15.6" x14ac:dyDescent="0.3">
      <c r="A145" s="1" t="s">
        <v>540</v>
      </c>
      <c r="B145" s="1"/>
      <c r="C145" s="1"/>
      <c r="D145" s="1"/>
      <c r="E145" s="1"/>
      <c r="F145" s="1"/>
      <c r="G145" s="1" t="s">
        <v>24</v>
      </c>
      <c r="H145" s="2">
        <v>5988</v>
      </c>
      <c r="I145" s="1" t="s">
        <v>541</v>
      </c>
      <c r="J145" s="1" t="s">
        <v>542</v>
      </c>
      <c r="K145" s="1" t="s">
        <v>26</v>
      </c>
      <c r="L145" s="1" t="s">
        <v>13</v>
      </c>
      <c r="M145" s="6" t="str">
        <f>_xlfn.CONCAT(Table1[[#This Row],[Billing Street]], ", ", Table1[[#This Row],[Billing City]], ", ", Table1[[#This Row],[Billing State/Province]], ", ", Table1[[#This Row],[Billing Zip/Postal Code]])</f>
        <v xml:space="preserve">256-500-5038, Alexander City, AL, </v>
      </c>
    </row>
    <row r="146" spans="1:13" ht="15.6" x14ac:dyDescent="0.3">
      <c r="A146" s="1" t="s">
        <v>543</v>
      </c>
      <c r="B146" s="1"/>
      <c r="C146" s="1"/>
      <c r="D146" s="1"/>
      <c r="E146" s="1"/>
      <c r="F146" s="1"/>
      <c r="G146" s="1" t="s">
        <v>24</v>
      </c>
      <c r="H146" s="2">
        <v>5988</v>
      </c>
      <c r="I146" s="1" t="s">
        <v>544</v>
      </c>
      <c r="J146" s="1" t="s">
        <v>545</v>
      </c>
      <c r="K146" s="1" t="s">
        <v>26</v>
      </c>
      <c r="L146" s="1" t="s">
        <v>546</v>
      </c>
      <c r="M146" s="6" t="str">
        <f>_xlfn.CONCAT(Table1[[#This Row],[Billing Street]], ", ", Table1[[#This Row],[Billing City]], ", ", Table1[[#This Row],[Billing State/Province]], ", ", Table1[[#This Row],[Billing Zip/Postal Code]])</f>
        <v>540 Rural Street, Evergreen, AL, 36401</v>
      </c>
    </row>
    <row r="147" spans="1:13" ht="15.6" x14ac:dyDescent="0.3">
      <c r="A147" s="1" t="s">
        <v>547</v>
      </c>
      <c r="B147" s="1"/>
      <c r="C147" s="1"/>
      <c r="D147" s="1"/>
      <c r="E147" s="1"/>
      <c r="F147" s="1"/>
      <c r="G147" s="1" t="s">
        <v>24</v>
      </c>
      <c r="H147" s="2">
        <v>116</v>
      </c>
      <c r="I147" s="1" t="s">
        <v>548</v>
      </c>
      <c r="J147" s="1" t="s">
        <v>549</v>
      </c>
      <c r="K147" s="1" t="s">
        <v>26</v>
      </c>
      <c r="L147" s="1" t="s">
        <v>550</v>
      </c>
      <c r="M147" s="6" t="str">
        <f>_xlfn.CONCAT(Table1[[#This Row],[Billing Street]], ", ", Table1[[#This Row],[Billing City]], ", ", Table1[[#This Row],[Billing State/Province]], ", ", Table1[[#This Row],[Billing Zip/Postal Code]])</f>
        <v>1 Steel Dr, Calvert, AL, 36513</v>
      </c>
    </row>
    <row r="148" spans="1:13" ht="15.6" hidden="1" x14ac:dyDescent="0.3">
      <c r="A148" s="1" t="s">
        <v>551</v>
      </c>
      <c r="B148" s="1"/>
      <c r="C148" s="1"/>
      <c r="D148" s="1"/>
      <c r="E148" s="1"/>
      <c r="F148" s="1"/>
      <c r="G148" s="1" t="s">
        <v>8</v>
      </c>
      <c r="H148" s="2">
        <v>6528</v>
      </c>
      <c r="I148" s="1" t="s">
        <v>552</v>
      </c>
      <c r="J148" s="1" t="s">
        <v>553</v>
      </c>
      <c r="K148" s="1" t="s">
        <v>554</v>
      </c>
      <c r="L148" s="1" t="s">
        <v>13</v>
      </c>
      <c r="M148" s="6" t="str">
        <f>_xlfn.CONCAT(Table1[[#This Row],[Billing Street]], ", ", Table1[[#This Row],[Billing City]], ", ", Table1[[#This Row],[Billing State/Province]], ", ", Table1[[#This Row],[Billing Zip/Postal Code]])</f>
        <v xml:space="preserve">1850 w Oklahoma, Ulysses, KS, </v>
      </c>
    </row>
    <row r="149" spans="1:13" ht="15.6" hidden="1" x14ac:dyDescent="0.3">
      <c r="A149" s="1" t="s">
        <v>555</v>
      </c>
      <c r="B149" s="1"/>
      <c r="C149" s="1"/>
      <c r="D149" s="1"/>
      <c r="E149" s="1"/>
      <c r="F149" s="1"/>
      <c r="G149" s="1" t="s">
        <v>8</v>
      </c>
      <c r="H149" s="2">
        <v>491</v>
      </c>
      <c r="I149" s="1" t="s">
        <v>556</v>
      </c>
      <c r="J149" s="1" t="s">
        <v>557</v>
      </c>
      <c r="K149" s="1" t="s">
        <v>51</v>
      </c>
      <c r="L149" s="1" t="s">
        <v>558</v>
      </c>
      <c r="M149" s="6" t="str">
        <f>_xlfn.CONCAT(Table1[[#This Row],[Billing Street]], ", ", Table1[[#This Row],[Billing City]], ", ", Table1[[#This Row],[Billing State/Province]], ", ", Table1[[#This Row],[Billing Zip/Postal Code]])</f>
        <v>3433 North Sam Houston Pkwy West, Houston, TX, 77086</v>
      </c>
    </row>
    <row r="150" spans="1:13" ht="15.6" hidden="1" x14ac:dyDescent="0.3">
      <c r="A150" s="1" t="s">
        <v>559</v>
      </c>
      <c r="B150" s="1"/>
      <c r="C150" s="1"/>
      <c r="D150" s="1"/>
      <c r="E150" s="1"/>
      <c r="F150" s="1"/>
      <c r="G150" s="1" t="s">
        <v>8</v>
      </c>
      <c r="H150" s="2">
        <v>293</v>
      </c>
      <c r="I150" s="1" t="s">
        <v>560</v>
      </c>
      <c r="J150" s="1" t="s">
        <v>561</v>
      </c>
      <c r="K150" s="1" t="s">
        <v>51</v>
      </c>
      <c r="L150" s="1" t="s">
        <v>562</v>
      </c>
      <c r="M150" s="6" t="str">
        <f>_xlfn.CONCAT(Table1[[#This Row],[Billing Street]], ", ", Table1[[#This Row],[Billing City]], ", ", Table1[[#This Row],[Billing State/Province]], ", ", Table1[[#This Row],[Billing Zip/Postal Code]])</f>
        <v>652 southwestern Blvd, Coppell, TX, 75019</v>
      </c>
    </row>
    <row r="151" spans="1:13" ht="15.6" x14ac:dyDescent="0.3">
      <c r="A151" s="1" t="s">
        <v>563</v>
      </c>
      <c r="B151" s="1"/>
      <c r="C151" s="1"/>
      <c r="D151" s="1"/>
      <c r="E151" s="1"/>
      <c r="F151" s="1"/>
      <c r="G151" s="1" t="s">
        <v>24</v>
      </c>
      <c r="H151" s="2">
        <v>5988</v>
      </c>
      <c r="I151" s="1" t="s">
        <v>564</v>
      </c>
      <c r="J151" s="1" t="s">
        <v>565</v>
      </c>
      <c r="K151" s="1" t="s">
        <v>26</v>
      </c>
      <c r="L151" s="1" t="s">
        <v>566</v>
      </c>
      <c r="M151" s="6" t="str">
        <f>_xlfn.CONCAT(Table1[[#This Row],[Billing Street]], ", ", Table1[[#This Row],[Billing City]], ", ", Table1[[#This Row],[Billing State/Province]], ", ", Table1[[#This Row],[Billing Zip/Postal Code]])</f>
        <v>100 Dollar Street, Tuskegee, AL, 36083</v>
      </c>
    </row>
    <row r="152" spans="1:13" ht="15.6" x14ac:dyDescent="0.3">
      <c r="A152" s="1" t="s">
        <v>567</v>
      </c>
      <c r="B152" s="1"/>
      <c r="C152" s="1"/>
      <c r="D152" s="1"/>
      <c r="E152" s="1"/>
      <c r="F152" s="1"/>
      <c r="G152" s="1" t="s">
        <v>24</v>
      </c>
      <c r="H152" s="2">
        <v>99</v>
      </c>
      <c r="I152" s="1" t="s">
        <v>568</v>
      </c>
      <c r="J152" s="1" t="s">
        <v>569</v>
      </c>
      <c r="K152" s="1" t="s">
        <v>26</v>
      </c>
      <c r="L152" s="1" t="s">
        <v>570</v>
      </c>
      <c r="M152" s="6" t="str">
        <f>_xlfn.CONCAT(Table1[[#This Row],[Billing Street]], ", ", Table1[[#This Row],[Billing City]], ", ", Table1[[#This Row],[Billing State/Province]], ", ", Table1[[#This Row],[Billing Zip/Postal Code]])</f>
        <v>49191 Rabun Rd, Bay Minette, AL, 36507</v>
      </c>
    </row>
    <row r="153" spans="1:13" ht="15.6" hidden="1" x14ac:dyDescent="0.3">
      <c r="A153" s="1" t="s">
        <v>571</v>
      </c>
      <c r="B153" s="1"/>
      <c r="C153" s="1"/>
      <c r="D153" s="1"/>
      <c r="E153" s="1"/>
      <c r="F153" s="1"/>
      <c r="G153" s="1" t="s">
        <v>205</v>
      </c>
      <c r="H153" s="2">
        <v>1</v>
      </c>
      <c r="I153" s="1" t="s">
        <v>572</v>
      </c>
      <c r="J153" s="1" t="s">
        <v>518</v>
      </c>
      <c r="K153" s="1" t="s">
        <v>479</v>
      </c>
      <c r="L153" s="1" t="s">
        <v>573</v>
      </c>
      <c r="M153" s="6" t="str">
        <f>_xlfn.CONCAT(Table1[[#This Row],[Billing Street]], ", ", Table1[[#This Row],[Billing City]], ", ", Table1[[#This Row],[Billing State/Province]], ", ", Table1[[#This Row],[Billing Zip/Postal Code]])</f>
        <v>2132 South 5th Avenue, Phoenix, AZ, 85003</v>
      </c>
    </row>
    <row r="154" spans="1:13" ht="15.6" x14ac:dyDescent="0.3">
      <c r="A154" s="1" t="s">
        <v>574</v>
      </c>
      <c r="B154" s="1"/>
      <c r="C154" s="1"/>
      <c r="D154" s="1"/>
      <c r="E154" s="1"/>
      <c r="F154" s="1"/>
      <c r="G154" s="1" t="s">
        <v>24</v>
      </c>
      <c r="H154" s="2">
        <v>372</v>
      </c>
      <c r="I154" s="1" t="s">
        <v>575</v>
      </c>
      <c r="J154" s="1" t="s">
        <v>576</v>
      </c>
      <c r="K154" s="1" t="s">
        <v>577</v>
      </c>
      <c r="L154" s="1" t="s">
        <v>578</v>
      </c>
      <c r="M154" s="6" t="str">
        <f>_xlfn.CONCAT(Table1[[#This Row],[Billing Street]], ", ", Table1[[#This Row],[Billing City]], ", ", Table1[[#This Row],[Billing State/Province]], ", ", Table1[[#This Row],[Billing Zip/Postal Code]])</f>
        <v>4725 Highway 28 East, Pineville, LA, 71360</v>
      </c>
    </row>
    <row r="155" spans="1:13" ht="15.6" x14ac:dyDescent="0.3">
      <c r="A155" s="1" t="s">
        <v>579</v>
      </c>
      <c r="B155" s="1"/>
      <c r="C155" s="1"/>
      <c r="D155" s="1"/>
      <c r="E155" s="1"/>
      <c r="F155" s="1"/>
      <c r="G155" s="1" t="s">
        <v>24</v>
      </c>
      <c r="H155" s="2">
        <v>406</v>
      </c>
      <c r="I155" s="1" t="s">
        <v>580</v>
      </c>
      <c r="J155" s="1" t="s">
        <v>581</v>
      </c>
      <c r="K155" s="1" t="s">
        <v>36</v>
      </c>
      <c r="L155" s="1" t="s">
        <v>582</v>
      </c>
      <c r="M155" s="6" t="str">
        <f>_xlfn.CONCAT(Table1[[#This Row],[Billing Street]], ", ", Table1[[#This Row],[Billing City]], ", ", Table1[[#This Row],[Billing State/Province]], ", ", Table1[[#This Row],[Billing Zip/Postal Code]])</f>
        <v>301 2Nd St. Nw., Moore Haven, FL, 33471</v>
      </c>
    </row>
    <row r="156" spans="1:13" ht="15.6" hidden="1" x14ac:dyDescent="0.3">
      <c r="A156" s="1" t="s">
        <v>583</v>
      </c>
      <c r="B156" s="1"/>
      <c r="C156" s="1"/>
      <c r="D156" s="1"/>
      <c r="E156" s="1"/>
      <c r="F156" s="1"/>
      <c r="G156" s="1" t="s">
        <v>43</v>
      </c>
      <c r="H156" s="2">
        <v>5776</v>
      </c>
      <c r="I156" s="1" t="s">
        <v>584</v>
      </c>
      <c r="J156" s="1" t="s">
        <v>585</v>
      </c>
      <c r="K156" s="1" t="s">
        <v>586</v>
      </c>
      <c r="L156" s="1" t="s">
        <v>587</v>
      </c>
      <c r="M156" s="6" t="str">
        <f>_xlfn.CONCAT(Table1[[#This Row],[Billing Street]], ", ", Table1[[#This Row],[Billing City]], ", ", Table1[[#This Row],[Billing State/Province]], ", ", Table1[[#This Row],[Billing Zip/Postal Code]])</f>
        <v>165 Grove street suite 10, Franklin, ma, 2038</v>
      </c>
    </row>
    <row r="157" spans="1:13" ht="15.6" hidden="1" x14ac:dyDescent="0.3">
      <c r="A157" s="1" t="s">
        <v>588</v>
      </c>
      <c r="B157" s="1"/>
      <c r="C157" s="1"/>
      <c r="D157" s="1"/>
      <c r="E157" s="1"/>
      <c r="F157" s="1"/>
      <c r="G157" s="1" t="s">
        <v>98</v>
      </c>
      <c r="H157" s="2">
        <v>28</v>
      </c>
      <c r="I157" s="1" t="s">
        <v>589</v>
      </c>
      <c r="J157" s="1" t="s">
        <v>590</v>
      </c>
      <c r="K157" s="1" t="s">
        <v>101</v>
      </c>
      <c r="L157" s="1" t="s">
        <v>591</v>
      </c>
      <c r="M157" s="6" t="str">
        <f>_xlfn.CONCAT(Table1[[#This Row],[Billing Street]], ", ", Table1[[#This Row],[Billing City]], ", ", Table1[[#This Row],[Billing State/Province]], ", ", Table1[[#This Row],[Billing Zip/Postal Code]])</f>
        <v>535 Marksmen Ct, Fayetville, GA, 30214</v>
      </c>
    </row>
    <row r="158" spans="1:13" ht="15.6" hidden="1" x14ac:dyDescent="0.3">
      <c r="A158" s="1" t="s">
        <v>592</v>
      </c>
      <c r="B158" s="1"/>
      <c r="C158" s="1"/>
      <c r="D158" s="1"/>
      <c r="E158" s="1"/>
      <c r="F158" s="1"/>
      <c r="G158" s="1" t="s">
        <v>8</v>
      </c>
      <c r="H158" s="2">
        <v>6528</v>
      </c>
      <c r="I158" s="1" t="s">
        <v>593</v>
      </c>
      <c r="J158" s="1" t="s">
        <v>594</v>
      </c>
      <c r="K158" s="1" t="s">
        <v>11</v>
      </c>
      <c r="L158" s="1" t="s">
        <v>13</v>
      </c>
      <c r="M158" s="6" t="str">
        <f>_xlfn.CONCAT(Table1[[#This Row],[Billing Street]], ", ", Table1[[#This Row],[Billing City]], ", ", Table1[[#This Row],[Billing State/Province]], ", ", Table1[[#This Row],[Billing Zip/Postal Code]])</f>
        <v xml:space="preserve">Evans St, Ava, MO, </v>
      </c>
    </row>
    <row r="159" spans="1:13" ht="15.6" hidden="1" x14ac:dyDescent="0.3">
      <c r="A159" s="1" t="s">
        <v>595</v>
      </c>
      <c r="B159" s="1"/>
      <c r="C159" s="1"/>
      <c r="D159" s="1"/>
      <c r="E159" s="1"/>
      <c r="F159" s="1"/>
      <c r="G159" s="1" t="s">
        <v>8</v>
      </c>
      <c r="H159" s="2">
        <v>95</v>
      </c>
      <c r="I159" s="1" t="s">
        <v>596</v>
      </c>
      <c r="J159" s="1" t="s">
        <v>597</v>
      </c>
      <c r="K159" s="1" t="s">
        <v>11</v>
      </c>
      <c r="L159" s="1" t="s">
        <v>598</v>
      </c>
      <c r="M159" s="6" t="str">
        <f>_xlfn.CONCAT(Table1[[#This Row],[Billing Street]], ", ", Table1[[#This Row],[Billing City]], ", ", Table1[[#This Row],[Billing State/Province]], ", ", Table1[[#This Row],[Billing Zip/Postal Code]])</f>
        <v>107 E. Eighth St., Lockwood, MO, 65682</v>
      </c>
    </row>
    <row r="160" spans="1:13" ht="15.6" hidden="1" x14ac:dyDescent="0.3">
      <c r="A160" s="1" t="s">
        <v>599</v>
      </c>
      <c r="B160" s="1"/>
      <c r="C160" s="1"/>
      <c r="D160" s="1"/>
      <c r="E160" s="1"/>
      <c r="F160" s="1"/>
      <c r="G160" s="1" t="s">
        <v>8</v>
      </c>
      <c r="H160" s="2">
        <v>213</v>
      </c>
      <c r="I160" s="1" t="s">
        <v>600</v>
      </c>
      <c r="J160" s="1" t="s">
        <v>601</v>
      </c>
      <c r="K160" s="1" t="s">
        <v>11</v>
      </c>
      <c r="L160" s="1" t="s">
        <v>602</v>
      </c>
      <c r="M160" s="6" t="str">
        <f>_xlfn.CONCAT(Table1[[#This Row],[Billing Street]], ", ", Table1[[#This Row],[Billing City]], ", ", Table1[[#This Row],[Billing State/Province]], ", ", Table1[[#This Row],[Billing Zip/Postal Code]])</f>
        <v>191 Main St, Newburg, MO, 65550</v>
      </c>
    </row>
    <row r="161" spans="1:13" ht="15.6" x14ac:dyDescent="0.3">
      <c r="A161" s="1" t="s">
        <v>603</v>
      </c>
      <c r="B161" s="1"/>
      <c r="C161" s="1"/>
      <c r="D161" s="1"/>
      <c r="E161" s="1"/>
      <c r="F161" s="1"/>
      <c r="G161" s="1" t="s">
        <v>24</v>
      </c>
      <c r="H161" s="2">
        <v>5988</v>
      </c>
      <c r="I161" s="1" t="s">
        <v>604</v>
      </c>
      <c r="J161" s="1" t="s">
        <v>605</v>
      </c>
      <c r="K161" s="1" t="s">
        <v>31</v>
      </c>
      <c r="L161" s="1" t="s">
        <v>606</v>
      </c>
      <c r="M161" s="6" t="str">
        <f>_xlfn.CONCAT(Table1[[#This Row],[Billing Street]], ", ", Table1[[#This Row],[Billing City]], ", ", Table1[[#This Row],[Billing State/Province]], ", ", Table1[[#This Row],[Billing Zip/Postal Code]])</f>
        <v>201 Factory Road, Mt. Olive, MS, 39119</v>
      </c>
    </row>
    <row r="162" spans="1:13" ht="15.6" x14ac:dyDescent="0.3">
      <c r="A162" s="1" t="s">
        <v>607</v>
      </c>
      <c r="B162" s="1"/>
      <c r="C162" s="1"/>
      <c r="D162" s="1"/>
      <c r="E162" s="1"/>
      <c r="F162" s="1"/>
      <c r="G162" s="1" t="s">
        <v>24</v>
      </c>
      <c r="H162" s="2">
        <v>380</v>
      </c>
      <c r="I162" s="1" t="s">
        <v>608</v>
      </c>
      <c r="J162" s="1" t="s">
        <v>609</v>
      </c>
      <c r="K162" s="1" t="s">
        <v>36</v>
      </c>
      <c r="L162" s="1" t="s">
        <v>610</v>
      </c>
      <c r="M162" s="6" t="str">
        <f>_xlfn.CONCAT(Table1[[#This Row],[Billing Street]], ", ", Table1[[#This Row],[Billing City]], ", ", Table1[[#This Row],[Billing State/Province]], ", ", Table1[[#This Row],[Billing Zip/Postal Code]])</f>
        <v>4980 Bayline Dr., North Fort Myers, FL, 33917</v>
      </c>
    </row>
    <row r="163" spans="1:13" ht="15.6" hidden="1" x14ac:dyDescent="0.3">
      <c r="A163" s="1" t="s">
        <v>611</v>
      </c>
      <c r="B163" s="1"/>
      <c r="C163" s="1"/>
      <c r="D163" s="1"/>
      <c r="E163" s="1"/>
      <c r="F163" s="1"/>
      <c r="G163" s="1" t="s">
        <v>43</v>
      </c>
      <c r="H163" s="2">
        <v>475</v>
      </c>
      <c r="I163" s="1" t="s">
        <v>612</v>
      </c>
      <c r="J163" s="1" t="s">
        <v>613</v>
      </c>
      <c r="K163" s="1" t="s">
        <v>152</v>
      </c>
      <c r="L163" s="1" t="s">
        <v>614</v>
      </c>
      <c r="M163" s="6" t="str">
        <f>_xlfn.CONCAT(Table1[[#This Row],[Billing Street]], ", ", Table1[[#This Row],[Billing City]], ", ", Table1[[#This Row],[Billing State/Province]], ", ", Table1[[#This Row],[Billing Zip/Postal Code]])</f>
        <v>148 E Hail St., Bushnell, IL, 61422</v>
      </c>
    </row>
    <row r="164" spans="1:13" ht="15.6" x14ac:dyDescent="0.3">
      <c r="A164" s="1" t="s">
        <v>615</v>
      </c>
      <c r="B164" s="1"/>
      <c r="C164" s="1"/>
      <c r="D164" s="1"/>
      <c r="E164" s="1"/>
      <c r="F164" s="1"/>
      <c r="G164" s="1" t="s">
        <v>24</v>
      </c>
      <c r="H164" s="2">
        <v>415</v>
      </c>
      <c r="I164" s="1" t="s">
        <v>616</v>
      </c>
      <c r="J164" s="1" t="s">
        <v>617</v>
      </c>
      <c r="K164" s="1" t="s">
        <v>36</v>
      </c>
      <c r="L164" s="1" t="s">
        <v>618</v>
      </c>
      <c r="M164" s="6" t="str">
        <f>_xlfn.CONCAT(Table1[[#This Row],[Billing Street]], ", ", Table1[[#This Row],[Billing City]], ", ", Table1[[#This Row],[Billing State/Province]], ", ", Table1[[#This Row],[Billing Zip/Postal Code]])</f>
        <v>1701 S 37th St, Fort Pierce, FL, 34947</v>
      </c>
    </row>
    <row r="165" spans="1:13" ht="15.6" x14ac:dyDescent="0.3">
      <c r="A165" s="1" t="s">
        <v>619</v>
      </c>
      <c r="B165" s="1"/>
      <c r="C165" s="1"/>
      <c r="D165" s="1"/>
      <c r="E165" s="1"/>
      <c r="F165" s="1"/>
      <c r="G165" s="1" t="s">
        <v>24</v>
      </c>
      <c r="H165" s="2">
        <v>89</v>
      </c>
      <c r="I165" s="1" t="s">
        <v>620</v>
      </c>
      <c r="J165" s="1" t="s">
        <v>621</v>
      </c>
      <c r="K165" s="1" t="s">
        <v>36</v>
      </c>
      <c r="L165" s="1" t="s">
        <v>622</v>
      </c>
      <c r="M165" s="6" t="str">
        <f>_xlfn.CONCAT(Table1[[#This Row],[Billing Street]], ", ", Table1[[#This Row],[Billing City]], ", ", Table1[[#This Row],[Billing State/Province]], ", ", Table1[[#This Row],[Billing Zip/Postal Code]])</f>
        <v>404 W. Jefferson St.423 W. Washington St. – Warehouse, Quincy, FL, 32351</v>
      </c>
    </row>
    <row r="166" spans="1:13" ht="15.6" hidden="1" x14ac:dyDescent="0.3">
      <c r="A166" s="1" t="s">
        <v>623</v>
      </c>
      <c r="B166" s="1"/>
      <c r="C166" s="1"/>
      <c r="D166" s="1"/>
      <c r="E166" s="1"/>
      <c r="F166" s="1"/>
      <c r="G166" s="1" t="s">
        <v>8</v>
      </c>
      <c r="H166" s="2">
        <v>301</v>
      </c>
      <c r="I166" s="1" t="s">
        <v>624</v>
      </c>
      <c r="J166" s="1" t="s">
        <v>625</v>
      </c>
      <c r="K166" s="1" t="s">
        <v>51</v>
      </c>
      <c r="L166" s="1" t="s">
        <v>626</v>
      </c>
      <c r="M166" s="6" t="str">
        <f>_xlfn.CONCAT(Table1[[#This Row],[Billing Street]], ", ", Table1[[#This Row],[Billing City]], ", ", Table1[[#This Row],[Billing State/Province]], ", ", Table1[[#This Row],[Billing Zip/Postal Code]])</f>
        <v>1999 Bryan St, Dallas, TX, 75201</v>
      </c>
    </row>
    <row r="167" spans="1:13" ht="15.6" hidden="1" x14ac:dyDescent="0.3">
      <c r="A167" s="1" t="s">
        <v>627</v>
      </c>
      <c r="B167" s="1"/>
      <c r="C167" s="1"/>
      <c r="D167" s="1"/>
      <c r="E167" s="1"/>
      <c r="F167" s="1"/>
      <c r="G167" s="1" t="s">
        <v>43</v>
      </c>
      <c r="H167" s="2">
        <v>416</v>
      </c>
      <c r="I167" s="1" t="s">
        <v>628</v>
      </c>
      <c r="J167" s="1" t="s">
        <v>629</v>
      </c>
      <c r="K167" s="1" t="s">
        <v>152</v>
      </c>
      <c r="L167" s="1" t="s">
        <v>630</v>
      </c>
      <c r="M167" s="6" t="str">
        <f>_xlfn.CONCAT(Table1[[#This Row],[Billing Street]], ", ", Table1[[#This Row],[Billing City]], ", ", Table1[[#This Row],[Billing State/Province]], ", ", Table1[[#This Row],[Billing Zip/Postal Code]])</f>
        <v>7784 Old Hwy 50, Flora, IL, 62839</v>
      </c>
    </row>
    <row r="168" spans="1:13" ht="15.6" x14ac:dyDescent="0.3">
      <c r="A168" s="1" t="s">
        <v>631</v>
      </c>
      <c r="B168" s="1"/>
      <c r="C168" s="1"/>
      <c r="D168" s="1"/>
      <c r="E168" s="1"/>
      <c r="F168" s="1"/>
      <c r="G168" s="1" t="s">
        <v>24</v>
      </c>
      <c r="H168" s="2">
        <v>5988</v>
      </c>
      <c r="I168" s="1" t="s">
        <v>632</v>
      </c>
      <c r="J168" s="1" t="s">
        <v>633</v>
      </c>
      <c r="K168" s="1" t="s">
        <v>26</v>
      </c>
      <c r="L168" s="1" t="s">
        <v>634</v>
      </c>
      <c r="M168" s="6" t="str">
        <f>_xlfn.CONCAT(Table1[[#This Row],[Billing Street]], ", ", Table1[[#This Row],[Billing City]], ", ", Table1[[#This Row],[Billing State/Province]], ", ", Table1[[#This Row],[Billing Zip/Postal Code]])</f>
        <v>2000 Industrial Canal Road, Mobile, AL, 36601</v>
      </c>
    </row>
    <row r="169" spans="1:13" ht="15.6" x14ac:dyDescent="0.3">
      <c r="A169" s="1" t="s">
        <v>635</v>
      </c>
      <c r="B169" s="1"/>
      <c r="C169" s="1"/>
      <c r="D169" s="1"/>
      <c r="E169" s="1"/>
      <c r="F169" s="1"/>
      <c r="G169" s="1" t="s">
        <v>24</v>
      </c>
      <c r="H169" s="2">
        <v>5988</v>
      </c>
      <c r="I169" s="1" t="s">
        <v>636</v>
      </c>
      <c r="J169" s="1" t="s">
        <v>637</v>
      </c>
      <c r="K169" s="1" t="s">
        <v>26</v>
      </c>
      <c r="L169" s="1" t="s">
        <v>638</v>
      </c>
      <c r="M169" s="6" t="str">
        <f>_xlfn.CONCAT(Table1[[#This Row],[Billing Street]], ", ", Table1[[#This Row],[Billing City]], ", ", Table1[[#This Row],[Billing State/Province]], ", ", Table1[[#This Row],[Billing Zip/Postal Code]])</f>
        <v>9000 US-43, Jackson, AL, 36545</v>
      </c>
    </row>
    <row r="170" spans="1:13" ht="15.6" hidden="1" x14ac:dyDescent="0.3">
      <c r="A170" s="1" t="s">
        <v>639</v>
      </c>
      <c r="B170" s="1"/>
      <c r="C170" s="1"/>
      <c r="D170" s="1"/>
      <c r="E170" s="1"/>
      <c r="F170" s="1"/>
      <c r="G170" s="1" t="s">
        <v>8</v>
      </c>
      <c r="H170" s="2">
        <v>328</v>
      </c>
      <c r="I170" s="1" t="s">
        <v>640</v>
      </c>
      <c r="J170" s="1" t="s">
        <v>637</v>
      </c>
      <c r="K170" s="1" t="s">
        <v>11</v>
      </c>
      <c r="L170" s="1" t="s">
        <v>641</v>
      </c>
      <c r="M170" s="6" t="str">
        <f>_xlfn.CONCAT(Table1[[#This Row],[Billing Street]], ", ", Table1[[#This Row],[Billing City]], ", ", Table1[[#This Row],[Billing State/Province]], ", ", Table1[[#This Row],[Billing Zip/Postal Code]])</f>
        <v>101 Court Street, Jackson, MO, 63755</v>
      </c>
    </row>
    <row r="171" spans="1:13" ht="15.6" hidden="1" x14ac:dyDescent="0.3">
      <c r="A171" s="1" t="s">
        <v>642</v>
      </c>
      <c r="B171" s="1"/>
      <c r="C171" s="1"/>
      <c r="D171" s="1"/>
      <c r="E171" s="1"/>
      <c r="F171" s="1"/>
      <c r="G171" s="1" t="s">
        <v>43</v>
      </c>
      <c r="H171" s="2">
        <v>448</v>
      </c>
      <c r="I171" s="1" t="s">
        <v>643</v>
      </c>
      <c r="J171" s="1" t="s">
        <v>644</v>
      </c>
      <c r="K171" s="1" t="s">
        <v>152</v>
      </c>
      <c r="L171" s="1" t="s">
        <v>645</v>
      </c>
      <c r="M171" s="6" t="str">
        <f>_xlfn.CONCAT(Table1[[#This Row],[Billing Street]], ", ", Table1[[#This Row],[Billing City]], ", ", Table1[[#This Row],[Billing State/Province]], ", ", Table1[[#This Row],[Billing Zip/Postal Code]])</f>
        <v>116 E. Mulberry St., Chatham, IL, 62629</v>
      </c>
    </row>
    <row r="172" spans="1:13" ht="15.6" hidden="1" x14ac:dyDescent="0.3">
      <c r="A172" s="1" t="s">
        <v>646</v>
      </c>
      <c r="B172" s="1"/>
      <c r="C172" s="1"/>
      <c r="D172" s="1"/>
      <c r="E172" s="1"/>
      <c r="F172" s="1"/>
      <c r="G172" s="1" t="s">
        <v>43</v>
      </c>
      <c r="H172" s="2">
        <v>457</v>
      </c>
      <c r="I172" s="1" t="s">
        <v>647</v>
      </c>
      <c r="J172" s="1" t="s">
        <v>648</v>
      </c>
      <c r="K172" s="1" t="s">
        <v>152</v>
      </c>
      <c r="L172" s="1" t="s">
        <v>649</v>
      </c>
      <c r="M172" s="6" t="str">
        <f>_xlfn.CONCAT(Table1[[#This Row],[Billing Street]], ", ", Table1[[#This Row],[Billing City]], ", ", Table1[[#This Row],[Billing State/Province]], ", ", Table1[[#This Row],[Billing Zip/Postal Code]])</f>
        <v>793 U.S. 20, Elizabeth, IL, 61028</v>
      </c>
    </row>
    <row r="173" spans="1:13" ht="15.6" x14ac:dyDescent="0.3">
      <c r="A173" s="1" t="s">
        <v>650</v>
      </c>
      <c r="B173" s="1"/>
      <c r="C173" s="1"/>
      <c r="D173" s="1"/>
      <c r="E173" s="1"/>
      <c r="F173" s="1"/>
      <c r="G173" s="1" t="s">
        <v>24</v>
      </c>
      <c r="H173" s="2">
        <v>57</v>
      </c>
      <c r="I173" s="1" t="s">
        <v>651</v>
      </c>
      <c r="J173" s="1" t="s">
        <v>652</v>
      </c>
      <c r="K173" s="1" t="s">
        <v>26</v>
      </c>
      <c r="L173" s="1" t="s">
        <v>653</v>
      </c>
      <c r="M173" s="6" t="str">
        <f>_xlfn.CONCAT(Table1[[#This Row],[Billing Street]], ", ", Table1[[#This Row],[Billing City]], ", ", Table1[[#This Row],[Billing State/Province]], ", ", Table1[[#This Row],[Billing Zip/Postal Code]])</f>
        <v>2341 N Range St, Dothan, AL, 36303</v>
      </c>
    </row>
    <row r="174" spans="1:13" ht="15.6" x14ac:dyDescent="0.3">
      <c r="A174" s="1" t="s">
        <v>654</v>
      </c>
      <c r="B174" s="1"/>
      <c r="C174" s="1"/>
      <c r="D174" s="1"/>
      <c r="E174" s="1"/>
      <c r="F174" s="1"/>
      <c r="G174" s="1" t="s">
        <v>24</v>
      </c>
      <c r="H174" s="2">
        <v>460</v>
      </c>
      <c r="I174" s="1" t="s">
        <v>655</v>
      </c>
      <c r="J174" s="1" t="s">
        <v>656</v>
      </c>
      <c r="K174" s="1" t="s">
        <v>36</v>
      </c>
      <c r="L174" s="1" t="s">
        <v>657</v>
      </c>
      <c r="M174" s="6" t="str">
        <f>_xlfn.CONCAT(Table1[[#This Row],[Billing Street]], ", ", Table1[[#This Row],[Billing City]], ", ", Table1[[#This Row],[Billing State/Province]], ", ", Table1[[#This Row],[Billing Zip/Postal Code]])</f>
        <v>3301 Gun Club Rd, West Palm Beach, FL, 33406</v>
      </c>
    </row>
    <row r="175" spans="1:13" ht="15.6" hidden="1" x14ac:dyDescent="0.3">
      <c r="A175" s="1" t="s">
        <v>658</v>
      </c>
      <c r="B175" s="1"/>
      <c r="C175" s="1"/>
      <c r="D175" s="1"/>
      <c r="E175" s="1"/>
      <c r="F175" s="1"/>
      <c r="G175" s="1" t="s">
        <v>8</v>
      </c>
      <c r="H175" s="2">
        <v>107</v>
      </c>
      <c r="I175" s="1" t="s">
        <v>659</v>
      </c>
      <c r="J175" s="1" t="s">
        <v>660</v>
      </c>
      <c r="K175" s="1" t="s">
        <v>11</v>
      </c>
      <c r="L175" s="1" t="s">
        <v>661</v>
      </c>
      <c r="M175" s="6" t="str">
        <f>_xlfn.CONCAT(Table1[[#This Row],[Billing Street]], ", ", Table1[[#This Row],[Billing City]], ", ", Table1[[#This Row],[Billing State/Province]], ", ", Table1[[#This Row],[Billing Zip/Postal Code]])</f>
        <v>4815 E Highway 54, El Dorado Springs, MO, 64744</v>
      </c>
    </row>
    <row r="176" spans="1:13" ht="15.6" hidden="1" x14ac:dyDescent="0.3">
      <c r="A176" s="1" t="s">
        <v>662</v>
      </c>
      <c r="B176" s="1"/>
      <c r="C176" s="1"/>
      <c r="D176" s="1"/>
      <c r="E176" s="1"/>
      <c r="F176" s="1"/>
      <c r="G176" s="1" t="s">
        <v>8</v>
      </c>
      <c r="H176" s="2">
        <v>150</v>
      </c>
      <c r="I176" s="1" t="s">
        <v>663</v>
      </c>
      <c r="J176" s="1" t="s">
        <v>319</v>
      </c>
      <c r="K176" s="1" t="s">
        <v>11</v>
      </c>
      <c r="L176" s="1" t="s">
        <v>320</v>
      </c>
      <c r="M176" s="6" t="str">
        <f>_xlfn.CONCAT(Table1[[#This Row],[Billing Street]], ", ", Table1[[#This Row],[Billing City]], ", ", Table1[[#This Row],[Billing State/Province]], ", ", Table1[[#This Row],[Billing Zip/Postal Code]])</f>
        <v>120 Vivian Drive, PO Box 87, Marshfield, MO, 65706</v>
      </c>
    </row>
    <row r="177" spans="1:13" ht="15.6" hidden="1" x14ac:dyDescent="0.3">
      <c r="A177" s="1" t="s">
        <v>664</v>
      </c>
      <c r="B177" s="1"/>
      <c r="C177" s="1"/>
      <c r="D177" s="1"/>
      <c r="E177" s="1"/>
      <c r="F177" s="1"/>
      <c r="G177" s="1" t="s">
        <v>43</v>
      </c>
      <c r="H177" s="2">
        <v>486</v>
      </c>
      <c r="I177" s="1" t="s">
        <v>665</v>
      </c>
      <c r="J177" s="1" t="s">
        <v>666</v>
      </c>
      <c r="K177" s="1" t="s">
        <v>152</v>
      </c>
      <c r="L177" s="1" t="s">
        <v>667</v>
      </c>
      <c r="M177" s="6" t="str">
        <f>_xlfn.CONCAT(Table1[[#This Row],[Billing Street]], ", ", Table1[[#This Row],[Billing City]], ", ", Table1[[#This Row],[Billing State/Province]], ", ", Table1[[#This Row],[Billing Zip/Postal Code]])</f>
        <v>1210 W Jackson St, Macomb, IL, 61455</v>
      </c>
    </row>
    <row r="178" spans="1:13" ht="15.6" hidden="1" x14ac:dyDescent="0.3">
      <c r="A178" s="1" t="s">
        <v>668</v>
      </c>
      <c r="B178" s="1"/>
      <c r="C178" s="1"/>
      <c r="D178" s="1"/>
      <c r="E178" s="1"/>
      <c r="F178" s="1"/>
      <c r="G178" s="1" t="s">
        <v>43</v>
      </c>
      <c r="H178" s="2">
        <v>288</v>
      </c>
      <c r="I178" s="1" t="s">
        <v>669</v>
      </c>
      <c r="J178" s="1" t="s">
        <v>670</v>
      </c>
      <c r="K178" s="1" t="s">
        <v>671</v>
      </c>
      <c r="L178" s="1" t="s">
        <v>672</v>
      </c>
      <c r="M178" s="6" t="str">
        <f>_xlfn.CONCAT(Table1[[#This Row],[Billing Street]], ", ", Table1[[#This Row],[Billing City]], ", ", Table1[[#This Row],[Billing State/Province]], ", ", Table1[[#This Row],[Billing Zip/Postal Code]])</f>
        <v>7209 RT 281, Preble, NY, 13141</v>
      </c>
    </row>
    <row r="179" spans="1:13" ht="15.6" hidden="1" x14ac:dyDescent="0.3">
      <c r="A179" s="1" t="s">
        <v>673</v>
      </c>
      <c r="B179" s="1"/>
      <c r="C179" s="1"/>
      <c r="D179" s="1"/>
      <c r="E179" s="1"/>
      <c r="F179" s="1"/>
      <c r="G179" s="1" t="s">
        <v>43</v>
      </c>
      <c r="H179" s="2">
        <v>288</v>
      </c>
      <c r="I179" s="1" t="s">
        <v>674</v>
      </c>
      <c r="J179" s="1" t="s">
        <v>675</v>
      </c>
      <c r="K179" s="1" t="s">
        <v>671</v>
      </c>
      <c r="L179" s="1" t="s">
        <v>676</v>
      </c>
      <c r="M179" s="6" t="str">
        <f>_xlfn.CONCAT(Table1[[#This Row],[Billing Street]], ", ", Table1[[#This Row],[Billing City]], ", ", Table1[[#This Row],[Billing State/Province]], ", ", Table1[[#This Row],[Billing Zip/Postal Code]])</f>
        <v>1500 Campus Drive, Vestal, NY, 13850</v>
      </c>
    </row>
    <row r="180" spans="1:13" ht="15.6" x14ac:dyDescent="0.3">
      <c r="A180" s="1" t="s">
        <v>677</v>
      </c>
      <c r="B180" s="1"/>
      <c r="C180" s="1"/>
      <c r="D180" s="1"/>
      <c r="E180" s="1"/>
      <c r="F180" s="1"/>
      <c r="G180" s="1" t="s">
        <v>24</v>
      </c>
      <c r="H180" s="2">
        <v>97</v>
      </c>
      <c r="I180" s="1" t="s">
        <v>678</v>
      </c>
      <c r="J180" s="1" t="s">
        <v>679</v>
      </c>
      <c r="K180" s="1" t="s">
        <v>26</v>
      </c>
      <c r="L180" s="1" t="s">
        <v>680</v>
      </c>
      <c r="M180" s="6" t="str">
        <f>_xlfn.CONCAT(Table1[[#This Row],[Billing Street]], ", ", Table1[[#This Row],[Billing City]], ", ", Table1[[#This Row],[Billing State/Province]], ", ", Table1[[#This Row],[Billing Zip/Postal Code]])</f>
        <v>1150 State Docks Road, Eufaula, AL, 36027</v>
      </c>
    </row>
    <row r="181" spans="1:13" ht="15.6" hidden="1" x14ac:dyDescent="0.3">
      <c r="A181" s="1" t="s">
        <v>681</v>
      </c>
      <c r="B181" s="1"/>
      <c r="C181" s="1"/>
      <c r="D181" s="1"/>
      <c r="E181" s="1"/>
      <c r="F181" s="1"/>
      <c r="G181" s="1" t="s">
        <v>205</v>
      </c>
      <c r="H181" s="2">
        <v>597</v>
      </c>
      <c r="I181" s="1" t="s">
        <v>682</v>
      </c>
      <c r="J181" s="1" t="s">
        <v>683</v>
      </c>
      <c r="K181" s="1" t="s">
        <v>51</v>
      </c>
      <c r="L181" s="1" t="s">
        <v>684</v>
      </c>
      <c r="M181" s="6" t="str">
        <f>_xlfn.CONCAT(Table1[[#This Row],[Billing Street]], ", ", Table1[[#This Row],[Billing City]], ", ", Table1[[#This Row],[Billing State/Province]], ", ", Table1[[#This Row],[Billing Zip/Postal Code]])</f>
        <v>790 S Buchanan St, Amarillo, TX, 79101</v>
      </c>
    </row>
    <row r="182" spans="1:13" ht="15.6" hidden="1" x14ac:dyDescent="0.3">
      <c r="A182" s="1" t="s">
        <v>685</v>
      </c>
      <c r="B182" s="1"/>
      <c r="C182" s="1"/>
      <c r="D182" s="1"/>
      <c r="E182" s="1"/>
      <c r="F182" s="1"/>
      <c r="G182" s="1" t="s">
        <v>205</v>
      </c>
      <c r="H182" s="2">
        <v>348</v>
      </c>
      <c r="I182" s="1" t="s">
        <v>686</v>
      </c>
      <c r="J182" s="1" t="s">
        <v>687</v>
      </c>
      <c r="K182" s="1" t="s">
        <v>51</v>
      </c>
      <c r="L182" s="1" t="s">
        <v>688</v>
      </c>
      <c r="M182" s="6" t="str">
        <f>_xlfn.CONCAT(Table1[[#This Row],[Billing Street]], ", ", Table1[[#This Row],[Billing City]], ", ", Table1[[#This Row],[Billing State/Province]], ", ", Table1[[#This Row],[Billing Zip/Postal Code]])</f>
        <v>PO Box 982, El Paso, TX, 79960</v>
      </c>
    </row>
    <row r="183" spans="1:13" ht="15.6" hidden="1" x14ac:dyDescent="0.3">
      <c r="A183" s="1" t="s">
        <v>689</v>
      </c>
      <c r="B183" s="1"/>
      <c r="C183" s="1"/>
      <c r="D183" s="1"/>
      <c r="E183" s="1"/>
      <c r="F183" s="1"/>
      <c r="G183" s="1" t="s">
        <v>8</v>
      </c>
      <c r="H183" s="2">
        <v>512</v>
      </c>
      <c r="I183" s="1" t="s">
        <v>690</v>
      </c>
      <c r="J183" s="1" t="s">
        <v>691</v>
      </c>
      <c r="K183" s="1" t="s">
        <v>198</v>
      </c>
      <c r="L183" s="1" t="s">
        <v>692</v>
      </c>
      <c r="M183" s="6" t="str">
        <f>_xlfn.CONCAT(Table1[[#This Row],[Billing Street]], ", ", Table1[[#This Row],[Billing City]], ", ", Table1[[#This Row],[Billing State/Province]], ", ", Table1[[#This Row],[Billing Zip/Postal Code]])</f>
        <v>809 Main Street, Bridgeport, NE, 69336</v>
      </c>
    </row>
    <row r="184" spans="1:13" ht="15.6" hidden="1" x14ac:dyDescent="0.3">
      <c r="A184" s="1" t="s">
        <v>693</v>
      </c>
      <c r="B184" s="1"/>
      <c r="C184" s="1"/>
      <c r="D184" s="1"/>
      <c r="E184" s="1"/>
      <c r="F184" s="1"/>
      <c r="G184" s="1" t="s">
        <v>8</v>
      </c>
      <c r="H184" s="2">
        <v>543</v>
      </c>
      <c r="I184" s="1" t="s">
        <v>694</v>
      </c>
      <c r="J184" s="1" t="s">
        <v>695</v>
      </c>
      <c r="K184" s="1" t="s">
        <v>198</v>
      </c>
      <c r="L184" s="1" t="s">
        <v>696</v>
      </c>
      <c r="M184" s="6" t="str">
        <f>_xlfn.CONCAT(Table1[[#This Row],[Billing Street]], ", ", Table1[[#This Row],[Billing City]], ", ", Table1[[#This Row],[Billing State/Province]], ", ", Table1[[#This Row],[Billing Zip/Postal Code]])</f>
        <v>190038 Yale Avenue, Scottsbluff, NE, 69361</v>
      </c>
    </row>
    <row r="185" spans="1:13" ht="15.6" hidden="1" x14ac:dyDescent="0.3">
      <c r="A185" s="1" t="s">
        <v>697</v>
      </c>
      <c r="B185" s="1"/>
      <c r="C185" s="1"/>
      <c r="D185" s="1"/>
      <c r="E185" s="1"/>
      <c r="F185" s="1"/>
      <c r="G185" s="1" t="s">
        <v>8</v>
      </c>
      <c r="H185" s="2">
        <v>540</v>
      </c>
      <c r="I185" s="1" t="s">
        <v>698</v>
      </c>
      <c r="J185" s="1" t="s">
        <v>699</v>
      </c>
      <c r="K185" s="1" t="s">
        <v>198</v>
      </c>
      <c r="L185" s="1" t="s">
        <v>700</v>
      </c>
      <c r="M185" s="6" t="str">
        <f>_xlfn.CONCAT(Table1[[#This Row],[Billing Street]], ", ", Table1[[#This Row],[Billing City]], ", ", Table1[[#This Row],[Billing State/Province]], ", ", Table1[[#This Row],[Billing Zip/Postal Code]])</f>
        <v>5613 State Highway 87, Box 249, Hay Springs, NE, 69347</v>
      </c>
    </row>
    <row r="186" spans="1:13" ht="15.6" hidden="1" x14ac:dyDescent="0.3">
      <c r="A186" s="1" t="s">
        <v>701</v>
      </c>
      <c r="B186" s="1"/>
      <c r="C186" s="1"/>
      <c r="D186" s="1"/>
      <c r="E186" s="1"/>
      <c r="F186" s="1"/>
      <c r="G186" s="1" t="s">
        <v>8</v>
      </c>
      <c r="H186" s="2">
        <v>519</v>
      </c>
      <c r="I186" s="1" t="s">
        <v>702</v>
      </c>
      <c r="J186" s="1" t="s">
        <v>703</v>
      </c>
      <c r="K186" s="1" t="s">
        <v>198</v>
      </c>
      <c r="L186" s="1" t="s">
        <v>704</v>
      </c>
      <c r="M186" s="6" t="str">
        <f>_xlfn.CONCAT(Table1[[#This Row],[Billing Street]], ", ", Table1[[#This Row],[Billing City]], ", ", Table1[[#This Row],[Billing State/Province]], ", ", Table1[[#This Row],[Billing Zip/Postal Code]])</f>
        <v>251 Brayton Road, Box 677, Alliance, NE, 69301</v>
      </c>
    </row>
    <row r="187" spans="1:13" ht="15.6" hidden="1" x14ac:dyDescent="0.3">
      <c r="A187" s="1" t="s">
        <v>705</v>
      </c>
      <c r="B187" s="1"/>
      <c r="C187" s="1"/>
      <c r="D187" s="1"/>
      <c r="E187" s="1"/>
      <c r="F187" s="1"/>
      <c r="G187" s="1" t="s">
        <v>8</v>
      </c>
      <c r="H187" s="2">
        <v>301</v>
      </c>
      <c r="I187" s="1" t="s">
        <v>706</v>
      </c>
      <c r="J187" s="1" t="s">
        <v>707</v>
      </c>
      <c r="K187" s="1" t="s">
        <v>198</v>
      </c>
      <c r="L187" s="1" t="s">
        <v>708</v>
      </c>
      <c r="M187" s="6" t="str">
        <f>_xlfn.CONCAT(Table1[[#This Row],[Billing Street]], ", ", Table1[[#This Row],[Billing City]], ", ", Table1[[#This Row],[Billing State/Province]], ", ", Table1[[#This Row],[Billing Zip/Postal Code]])</f>
        <v>115 West 3rd Street, Stromsburg, NE, 68666-0465</v>
      </c>
    </row>
    <row r="188" spans="1:13" ht="15.6" hidden="1" x14ac:dyDescent="0.3">
      <c r="A188" s="1" t="s">
        <v>709</v>
      </c>
      <c r="B188" s="1"/>
      <c r="C188" s="1"/>
      <c r="D188" s="1"/>
      <c r="E188" s="1"/>
      <c r="F188" s="1"/>
      <c r="G188" s="1" t="s">
        <v>43</v>
      </c>
      <c r="H188" s="2">
        <v>123</v>
      </c>
      <c r="I188" s="1" t="s">
        <v>710</v>
      </c>
      <c r="J188" s="1" t="s">
        <v>711</v>
      </c>
      <c r="K188" s="1" t="s">
        <v>45</v>
      </c>
      <c r="L188" s="1" t="s">
        <v>712</v>
      </c>
      <c r="M188" s="6" t="str">
        <f>_xlfn.CONCAT(Table1[[#This Row],[Billing Street]], ", ", Table1[[#This Row],[Billing City]], ", ", Table1[[#This Row],[Billing State/Province]], ", ", Table1[[#This Row],[Billing Zip/Postal Code]])</f>
        <v>4675 Lakehurst Court  Suite 250, Columbus, OH, 43016</v>
      </c>
    </row>
    <row r="189" spans="1:13" ht="15.6" x14ac:dyDescent="0.3">
      <c r="A189" s="1" t="s">
        <v>713</v>
      </c>
      <c r="B189" s="1"/>
      <c r="C189" s="1"/>
      <c r="D189" s="1"/>
      <c r="E189" s="1"/>
      <c r="F189" s="1"/>
      <c r="G189" s="1" t="s">
        <v>24</v>
      </c>
      <c r="H189" s="2">
        <v>69</v>
      </c>
      <c r="I189" s="1" t="s">
        <v>714</v>
      </c>
      <c r="J189" s="1" t="s">
        <v>715</v>
      </c>
      <c r="K189" s="1" t="s">
        <v>36</v>
      </c>
      <c r="L189" s="1" t="s">
        <v>716</v>
      </c>
      <c r="M189" s="6" t="str">
        <f>_xlfn.CONCAT(Table1[[#This Row],[Billing Street]], ", ", Table1[[#This Row],[Billing City]], ", ", Table1[[#This Row],[Billing State/Province]], ", ", Table1[[#This Row],[Billing Zip/Postal Code]])</f>
        <v>197 Lurton St, Pensacola, FL, 32505</v>
      </c>
    </row>
    <row r="190" spans="1:13" ht="15.6" hidden="1" x14ac:dyDescent="0.3">
      <c r="A190" s="1" t="s">
        <v>717</v>
      </c>
      <c r="B190" s="1"/>
      <c r="C190" s="1"/>
      <c r="D190" s="1"/>
      <c r="E190" s="1"/>
      <c r="F190" s="1"/>
      <c r="G190" s="1" t="s">
        <v>43</v>
      </c>
      <c r="H190" s="2">
        <v>378</v>
      </c>
      <c r="I190" s="1" t="s">
        <v>718</v>
      </c>
      <c r="J190" s="1" t="s">
        <v>719</v>
      </c>
      <c r="K190" s="1" t="s">
        <v>720</v>
      </c>
      <c r="L190" s="1" t="s">
        <v>721</v>
      </c>
      <c r="M190" s="6" t="str">
        <f>_xlfn.CONCAT(Table1[[#This Row],[Billing Street]], ", ", Table1[[#This Row],[Billing City]], ", ", Table1[[#This Row],[Billing State/Province]], ", ", Table1[[#This Row],[Billing Zip/Postal Code]])</f>
        <v>900 Leesville ave, Rahway, NJ, 7065</v>
      </c>
    </row>
    <row r="191" spans="1:13" ht="15.6" hidden="1" x14ac:dyDescent="0.3">
      <c r="A191" s="1" t="s">
        <v>722</v>
      </c>
      <c r="B191" s="1"/>
      <c r="C191" s="1"/>
      <c r="D191" s="1"/>
      <c r="E191" s="1"/>
      <c r="F191" s="1"/>
      <c r="G191" s="1" t="s">
        <v>8</v>
      </c>
      <c r="H191" s="2">
        <v>201</v>
      </c>
      <c r="I191" s="1" t="s">
        <v>723</v>
      </c>
      <c r="J191" s="1" t="s">
        <v>724</v>
      </c>
      <c r="K191" s="1" t="s">
        <v>11</v>
      </c>
      <c r="L191" s="1" t="s">
        <v>725</v>
      </c>
      <c r="M191" s="6" t="str">
        <f>_xlfn.CONCAT(Table1[[#This Row],[Billing Street]], ", ", Table1[[#This Row],[Billing City]], ", ", Table1[[#This Row],[Billing State/Province]], ", ", Table1[[#This Row],[Billing Zip/Postal Code]])</f>
        <v>900 W. Main, PO Box 190, Willow Springs, MO, 65793</v>
      </c>
    </row>
    <row r="192" spans="1:13" ht="15.6" hidden="1" x14ac:dyDescent="0.3">
      <c r="A192" s="1" t="s">
        <v>726</v>
      </c>
      <c r="B192" s="1"/>
      <c r="C192" s="1"/>
      <c r="D192" s="1"/>
      <c r="E192" s="1"/>
      <c r="F192" s="1"/>
      <c r="G192" s="1" t="s">
        <v>8</v>
      </c>
      <c r="H192" s="2">
        <v>486</v>
      </c>
      <c r="I192" s="1" t="s">
        <v>727</v>
      </c>
      <c r="J192" s="1" t="s">
        <v>728</v>
      </c>
      <c r="K192" s="1" t="s">
        <v>198</v>
      </c>
      <c r="L192" s="1" t="s">
        <v>729</v>
      </c>
      <c r="M192" s="6" t="str">
        <f>_xlfn.CONCAT(Table1[[#This Row],[Billing Street]], ", ", Table1[[#This Row],[Billing City]], ", ", Table1[[#This Row],[Billing State/Province]], ", ", Table1[[#This Row],[Billing Zip/Postal Code]])</f>
        <v>1034 Forrest St, Sidney, NE, 69162</v>
      </c>
    </row>
    <row r="193" spans="1:13" ht="15.6" hidden="1" x14ac:dyDescent="0.3">
      <c r="A193" s="1" t="s">
        <v>730</v>
      </c>
      <c r="B193" s="1"/>
      <c r="C193" s="1"/>
      <c r="D193" s="1"/>
      <c r="E193" s="1"/>
      <c r="F193" s="1"/>
      <c r="G193" s="1" t="s">
        <v>8</v>
      </c>
      <c r="H193" s="2">
        <v>348</v>
      </c>
      <c r="I193" s="1" t="s">
        <v>731</v>
      </c>
      <c r="J193" s="1" t="s">
        <v>732</v>
      </c>
      <c r="K193" s="1" t="s">
        <v>198</v>
      </c>
      <c r="L193" s="1" t="s">
        <v>733</v>
      </c>
      <c r="M193" s="6" t="str">
        <f>_xlfn.CONCAT(Table1[[#This Row],[Billing Street]], ", ", Table1[[#This Row],[Billing City]], ", ", Table1[[#This Row],[Billing State/Province]], ", ", Table1[[#This Row],[Billing Zip/Postal Code]])</f>
        <v>1174 McCook, McCook, NE, 69001</v>
      </c>
    </row>
    <row r="194" spans="1:13" ht="15.6" hidden="1" x14ac:dyDescent="0.3">
      <c r="A194" s="1" t="s">
        <v>734</v>
      </c>
      <c r="B194" s="1"/>
      <c r="C194" s="1"/>
      <c r="D194" s="1"/>
      <c r="E194" s="1"/>
      <c r="F194" s="1"/>
      <c r="G194" s="1" t="s">
        <v>8</v>
      </c>
      <c r="H194" s="2">
        <v>521</v>
      </c>
      <c r="I194" s="1" t="s">
        <v>735</v>
      </c>
      <c r="J194" s="1" t="s">
        <v>703</v>
      </c>
      <c r="K194" s="1" t="s">
        <v>198</v>
      </c>
      <c r="L194" s="1" t="s">
        <v>704</v>
      </c>
      <c r="M194" s="6" t="str">
        <f>_xlfn.CONCAT(Table1[[#This Row],[Billing Street]], ", ", Table1[[#This Row],[Billing City]], ", ", Table1[[#This Row],[Billing State/Province]], ", ", Table1[[#This Row],[Billing Zip/Postal Code]])</f>
        <v>1313 W. 1st Street /  P.O. Box D, Alliance, NE, 69301</v>
      </c>
    </row>
    <row r="195" spans="1:13" ht="15.6" hidden="1" x14ac:dyDescent="0.3">
      <c r="A195" s="1" t="s">
        <v>736</v>
      </c>
      <c r="B195" s="1"/>
      <c r="C195" s="1"/>
      <c r="D195" s="1"/>
      <c r="E195" s="1"/>
      <c r="F195" s="1"/>
      <c r="G195" s="1" t="s">
        <v>8</v>
      </c>
      <c r="H195" s="2">
        <v>326</v>
      </c>
      <c r="I195" s="1" t="s">
        <v>737</v>
      </c>
      <c r="J195" s="1" t="s">
        <v>738</v>
      </c>
      <c r="K195" s="1" t="s">
        <v>198</v>
      </c>
      <c r="L195" s="1" t="s">
        <v>739</v>
      </c>
      <c r="M195" s="6" t="str">
        <f>_xlfn.CONCAT(Table1[[#This Row],[Billing Street]], ", ", Table1[[#This Row],[Billing City]], ", ", Table1[[#This Row],[Billing State/Province]], ", ", Table1[[#This Row],[Billing Zip/Postal Code]])</f>
        <v>422 Howard Avenue, St. Paul, NE, 68873-0105</v>
      </c>
    </row>
    <row r="196" spans="1:13" ht="15.6" hidden="1" x14ac:dyDescent="0.3">
      <c r="A196" s="1" t="s">
        <v>740</v>
      </c>
      <c r="B196" s="1"/>
      <c r="C196" s="1"/>
      <c r="D196" s="1"/>
      <c r="E196" s="1"/>
      <c r="F196" s="1"/>
      <c r="G196" s="1" t="s">
        <v>8</v>
      </c>
      <c r="H196" s="2">
        <v>318</v>
      </c>
      <c r="I196" s="1" t="s">
        <v>741</v>
      </c>
      <c r="J196" s="1" t="s">
        <v>711</v>
      </c>
      <c r="K196" s="1" t="s">
        <v>198</v>
      </c>
      <c r="L196" s="1" t="s">
        <v>742</v>
      </c>
      <c r="M196" s="6" t="str">
        <f>_xlfn.CONCAT(Table1[[#This Row],[Billing Street]], ", ", Table1[[#This Row],[Billing City]], ", ", Table1[[#This Row],[Billing State/Province]], ", ", Table1[[#This Row],[Billing Zip/Postal Code]])</f>
        <v>2404 15th Street, Columbus, NE, 68601</v>
      </c>
    </row>
    <row r="197" spans="1:13" ht="15.6" hidden="1" x14ac:dyDescent="0.3">
      <c r="A197" s="1" t="s">
        <v>743</v>
      </c>
      <c r="B197" s="1"/>
      <c r="C197" s="1"/>
      <c r="D197" s="1"/>
      <c r="E197" s="1"/>
      <c r="F197" s="1"/>
      <c r="G197" s="1" t="s">
        <v>8</v>
      </c>
      <c r="H197" s="2">
        <v>303</v>
      </c>
      <c r="I197" s="1" t="s">
        <v>744</v>
      </c>
      <c r="J197" s="1" t="s">
        <v>745</v>
      </c>
      <c r="K197" s="1" t="s">
        <v>198</v>
      </c>
      <c r="L197" s="1" t="s">
        <v>746</v>
      </c>
      <c r="M197" s="6" t="str">
        <f>_xlfn.CONCAT(Table1[[#This Row],[Billing Street]], ", ", Table1[[#This Row],[Billing City]], ", ", Table1[[#This Row],[Billing State/Province]], ", ", Table1[[#This Row],[Billing Zip/Postal Code]])</f>
        <v>1331 N 4th Street, David City, NE, 68632</v>
      </c>
    </row>
    <row r="198" spans="1:13" ht="15.6" hidden="1" x14ac:dyDescent="0.3">
      <c r="A198" s="1" t="s">
        <v>747</v>
      </c>
      <c r="B198" s="1"/>
      <c r="C198" s="1"/>
      <c r="D198" s="1"/>
      <c r="E198" s="1"/>
      <c r="F198" s="1"/>
      <c r="G198" s="1" t="s">
        <v>8</v>
      </c>
      <c r="H198" s="2">
        <v>374</v>
      </c>
      <c r="I198" s="1" t="s">
        <v>748</v>
      </c>
      <c r="J198" s="1" t="s">
        <v>749</v>
      </c>
      <c r="K198" s="1" t="s">
        <v>198</v>
      </c>
      <c r="L198" s="1" t="s">
        <v>750</v>
      </c>
      <c r="M198" s="6" t="str">
        <f>_xlfn.CONCAT(Table1[[#This Row],[Billing Street]], ", ", Table1[[#This Row],[Billing City]], ", ", Table1[[#This Row],[Billing State/Province]], ", ", Table1[[#This Row],[Billing Zip/Postal Code]])</f>
        <v>221 Main Street, Palisade, NE, 69040</v>
      </c>
    </row>
    <row r="199" spans="1:13" ht="15.6" hidden="1" x14ac:dyDescent="0.3">
      <c r="A199" s="1" t="s">
        <v>751</v>
      </c>
      <c r="B199" s="1"/>
      <c r="C199" s="1"/>
      <c r="D199" s="1"/>
      <c r="E199" s="1"/>
      <c r="F199" s="1"/>
      <c r="G199" s="1" t="s">
        <v>8</v>
      </c>
      <c r="H199" s="2">
        <v>420</v>
      </c>
      <c r="I199" s="1" t="s">
        <v>752</v>
      </c>
      <c r="J199" s="1" t="s">
        <v>753</v>
      </c>
      <c r="K199" s="1" t="s">
        <v>198</v>
      </c>
      <c r="L199" s="1" t="s">
        <v>754</v>
      </c>
      <c r="M199" s="6" t="str">
        <f>_xlfn.CONCAT(Table1[[#This Row],[Billing Street]], ", ", Table1[[#This Row],[Billing City]], ", ", Table1[[#This Row],[Billing State/Province]], ", ", Table1[[#This Row],[Billing Zip/Postal Code]])</f>
        <v>104 Washington Ave., Box 970, Grant, NE, 69140</v>
      </c>
    </row>
    <row r="200" spans="1:13" ht="15.6" hidden="1" x14ac:dyDescent="0.3">
      <c r="A200" s="1" t="s">
        <v>755</v>
      </c>
      <c r="B200" s="1"/>
      <c r="C200" s="1"/>
      <c r="D200" s="1"/>
      <c r="E200" s="1"/>
      <c r="F200" s="1"/>
      <c r="G200" s="1" t="s">
        <v>8</v>
      </c>
      <c r="H200" s="2">
        <v>525</v>
      </c>
      <c r="I200" s="1" t="s">
        <v>756</v>
      </c>
      <c r="J200" s="1" t="s">
        <v>757</v>
      </c>
      <c r="K200" s="1" t="s">
        <v>198</v>
      </c>
      <c r="L200" s="1" t="s">
        <v>758</v>
      </c>
      <c r="M200" s="6" t="str">
        <f>_xlfn.CONCAT(Table1[[#This Row],[Billing Street]], ", ", Table1[[#This Row],[Billing City]], ", ", Table1[[#This Row],[Billing State/Province]], ", ", Table1[[#This Row],[Billing Zip/Postal Code]])</f>
        <v>128 West 8th Street, Bayard, NE, 69334</v>
      </c>
    </row>
    <row r="201" spans="1:13" ht="15.6" hidden="1" x14ac:dyDescent="0.3">
      <c r="A201" s="1" t="s">
        <v>759</v>
      </c>
      <c r="B201" s="1"/>
      <c r="C201" s="1"/>
      <c r="D201" s="1"/>
      <c r="E201" s="1"/>
      <c r="F201" s="1"/>
      <c r="G201" s="1" t="s">
        <v>8</v>
      </c>
      <c r="H201" s="2">
        <v>310</v>
      </c>
      <c r="I201" s="1" t="s">
        <v>760</v>
      </c>
      <c r="J201" s="1" t="s">
        <v>761</v>
      </c>
      <c r="K201" s="1" t="s">
        <v>198</v>
      </c>
      <c r="L201" s="1" t="s">
        <v>762</v>
      </c>
      <c r="M201" s="6" t="str">
        <f>_xlfn.CONCAT(Table1[[#This Row],[Billing Street]], ", ", Table1[[#This Row],[Billing City]], ", ", Table1[[#This Row],[Billing State/Province]], ", ", Table1[[#This Row],[Billing Zip/Postal Code]])</f>
        <v>502 East Main, Holdrege, NE, 68949-04</v>
      </c>
    </row>
    <row r="202" spans="1:13" ht="15.6" hidden="1" x14ac:dyDescent="0.3">
      <c r="A202" s="1" t="s">
        <v>763</v>
      </c>
      <c r="B202" s="1"/>
      <c r="C202" s="1"/>
      <c r="D202" s="1"/>
      <c r="E202" s="1"/>
      <c r="F202" s="1"/>
      <c r="G202" s="1" t="s">
        <v>8</v>
      </c>
      <c r="H202" s="2">
        <v>284</v>
      </c>
      <c r="I202" s="1" t="s">
        <v>764</v>
      </c>
      <c r="J202" s="1" t="s">
        <v>765</v>
      </c>
      <c r="K202" s="1" t="s">
        <v>198</v>
      </c>
      <c r="L202" s="1" t="s">
        <v>766</v>
      </c>
      <c r="M202" s="6" t="str">
        <f>_xlfn.CONCAT(Table1[[#This Row],[Billing Street]], ", ", Table1[[#This Row],[Billing City]], ", ", Table1[[#This Row],[Billing State/Province]], ", ", Table1[[#This Row],[Billing Zip/Postal Code]])</f>
        <v>2122 SOUTH LINCOLN AVENUE, York, NE, 68467</v>
      </c>
    </row>
    <row r="203" spans="1:13" ht="15.6" hidden="1" x14ac:dyDescent="0.3">
      <c r="A203" s="1" t="s">
        <v>767</v>
      </c>
      <c r="B203" s="1"/>
      <c r="C203" s="1"/>
      <c r="D203" s="1"/>
      <c r="E203" s="1"/>
      <c r="F203" s="1"/>
      <c r="G203" s="1" t="s">
        <v>8</v>
      </c>
      <c r="H203" s="2">
        <v>529</v>
      </c>
      <c r="I203" s="1" t="s">
        <v>768</v>
      </c>
      <c r="J203" s="1" t="s">
        <v>769</v>
      </c>
      <c r="K203" s="1" t="s">
        <v>51</v>
      </c>
      <c r="L203" s="1" t="s">
        <v>770</v>
      </c>
      <c r="M203" s="6" t="str">
        <f>_xlfn.CONCAT(Table1[[#This Row],[Billing Street]], ", ", Table1[[#This Row],[Billing City]], ", ", Table1[[#This Row],[Billing State/Province]], ", ", Table1[[#This Row],[Billing Zip/Postal Code]])</f>
        <v>PO Box 629, Goldsmith, TX, 79741</v>
      </c>
    </row>
    <row r="204" spans="1:13" ht="15.6" x14ac:dyDescent="0.3">
      <c r="A204" s="1" t="s">
        <v>771</v>
      </c>
      <c r="B204" s="1"/>
      <c r="C204" s="1"/>
      <c r="D204" s="1"/>
      <c r="E204" s="1"/>
      <c r="F204" s="1"/>
      <c r="G204" s="1" t="s">
        <v>24</v>
      </c>
      <c r="H204" s="2">
        <v>466</v>
      </c>
      <c r="I204" s="1" t="s">
        <v>772</v>
      </c>
      <c r="J204" s="1" t="s">
        <v>773</v>
      </c>
      <c r="K204" s="1" t="s">
        <v>36</v>
      </c>
      <c r="L204" s="1" t="s">
        <v>774</v>
      </c>
      <c r="M204" s="6" t="str">
        <f>_xlfn.CONCAT(Table1[[#This Row],[Billing Street]], ", ", Table1[[#This Row],[Billing City]], ", ", Table1[[#This Row],[Billing State/Province]], ", ", Table1[[#This Row],[Billing Zip/Postal Code]])</f>
        <v>4885 Park Ridge Blvd, Boynton Beach, FL, 33426</v>
      </c>
    </row>
    <row r="205" spans="1:13" ht="15.6" hidden="1" x14ac:dyDescent="0.3">
      <c r="A205" s="1" t="s">
        <v>775</v>
      </c>
      <c r="B205" s="1"/>
      <c r="C205" s="1"/>
      <c r="D205" s="1"/>
      <c r="E205" s="1"/>
      <c r="F205" s="1"/>
      <c r="G205" s="1" t="s">
        <v>8</v>
      </c>
      <c r="H205" s="2">
        <v>396</v>
      </c>
      <c r="I205" s="1" t="s">
        <v>13</v>
      </c>
      <c r="J205" s="1" t="s">
        <v>776</v>
      </c>
      <c r="K205" s="1" t="s">
        <v>198</v>
      </c>
      <c r="L205" s="1" t="s">
        <v>777</v>
      </c>
      <c r="M205" s="6" t="str">
        <f>_xlfn.CONCAT(Table1[[#This Row],[Billing Street]], ", ", Table1[[#This Row],[Billing City]], ", ", Table1[[#This Row],[Billing State/Province]], ", ", Table1[[#This Row],[Billing Zip/Postal Code]])</f>
        <v>, Harington, NE, 68739</v>
      </c>
    </row>
    <row r="206" spans="1:13" ht="15.6" hidden="1" x14ac:dyDescent="0.3">
      <c r="A206" s="1" t="s">
        <v>778</v>
      </c>
      <c r="B206" s="1"/>
      <c r="C206" s="1"/>
      <c r="D206" s="1"/>
      <c r="E206" s="1"/>
      <c r="F206" s="1"/>
      <c r="G206" s="1" t="s">
        <v>43</v>
      </c>
      <c r="H206" s="2">
        <v>5776</v>
      </c>
      <c r="I206" s="1" t="s">
        <v>779</v>
      </c>
      <c r="J206" s="1" t="s">
        <v>780</v>
      </c>
      <c r="K206" s="1" t="s">
        <v>781</v>
      </c>
      <c r="L206" s="1" t="s">
        <v>782</v>
      </c>
      <c r="M206" s="6" t="str">
        <f>_xlfn.CONCAT(Table1[[#This Row],[Billing Street]], ", ", Table1[[#This Row],[Billing City]], ", ", Table1[[#This Row],[Billing State/Province]], ", ", Table1[[#This Row],[Billing Zip/Postal Code]])</f>
        <v>9119 Frankford Ave., Philadelphia, pa, 19114</v>
      </c>
    </row>
    <row r="207" spans="1:13" ht="15.6" hidden="1" x14ac:dyDescent="0.3">
      <c r="A207" s="1" t="s">
        <v>783</v>
      </c>
      <c r="B207" s="1"/>
      <c r="C207" s="1"/>
      <c r="D207" s="1"/>
      <c r="E207" s="1"/>
      <c r="F207" s="1"/>
      <c r="G207" s="1" t="s">
        <v>8</v>
      </c>
      <c r="H207" s="2">
        <v>558</v>
      </c>
      <c r="I207" s="1" t="s">
        <v>784</v>
      </c>
      <c r="J207" s="1" t="s">
        <v>785</v>
      </c>
      <c r="K207" s="1" t="s">
        <v>198</v>
      </c>
      <c r="L207" s="1" t="s">
        <v>786</v>
      </c>
      <c r="M207" s="6" t="str">
        <f>_xlfn.CONCAT(Table1[[#This Row],[Billing Street]], ", ", Table1[[#This Row],[Billing City]], ", ", Table1[[#This Row],[Billing State/Province]], ", ", Table1[[#This Row],[Billing Zip/Postal Code]])</f>
        <v>118 Center Ave, Morrill, NE, 69358</v>
      </c>
    </row>
    <row r="208" spans="1:13" ht="15.6" hidden="1" x14ac:dyDescent="0.3">
      <c r="A208" s="1" t="s">
        <v>787</v>
      </c>
      <c r="B208" s="1"/>
      <c r="C208" s="1"/>
      <c r="D208" s="1"/>
      <c r="E208" s="1"/>
      <c r="F208" s="1"/>
      <c r="G208" s="1" t="s">
        <v>8</v>
      </c>
      <c r="H208" s="2">
        <v>231</v>
      </c>
      <c r="I208" s="1" t="s">
        <v>788</v>
      </c>
      <c r="J208" s="1" t="s">
        <v>789</v>
      </c>
      <c r="K208" s="1" t="s">
        <v>198</v>
      </c>
      <c r="L208" s="1" t="s">
        <v>790</v>
      </c>
      <c r="M208" s="6" t="str">
        <f>_xlfn.CONCAT(Table1[[#This Row],[Billing Street]], ", ", Table1[[#This Row],[Billing City]], ", ", Table1[[#This Row],[Billing State/Province]], ", ", Table1[[#This Row],[Billing Zip/Postal Code]])</f>
        <v>606 Irving St, Beatrice, NE 68310, Beatrice, NE, 68310</v>
      </c>
    </row>
    <row r="209" spans="1:13" ht="15.6" hidden="1" x14ac:dyDescent="0.3">
      <c r="A209" s="1" t="s">
        <v>791</v>
      </c>
      <c r="B209" s="1"/>
      <c r="C209" s="1"/>
      <c r="D209" s="1"/>
      <c r="E209" s="1"/>
      <c r="F209" s="1"/>
      <c r="G209" s="1" t="s">
        <v>8</v>
      </c>
      <c r="H209" s="2">
        <v>342</v>
      </c>
      <c r="I209" s="1" t="s">
        <v>792</v>
      </c>
      <c r="J209" s="1" t="s">
        <v>793</v>
      </c>
      <c r="K209" s="1" t="s">
        <v>198</v>
      </c>
      <c r="L209" s="1" t="s">
        <v>794</v>
      </c>
      <c r="M209" s="6" t="str">
        <f>_xlfn.CONCAT(Table1[[#This Row],[Billing Street]], ", ", Table1[[#This Row],[Billing City]], ", ", Table1[[#This Row],[Billing State/Province]], ", ", Table1[[#This Row],[Billing Zip/Postal Code]])</f>
        <v>335 Main Street, Lyons, NE, 68038</v>
      </c>
    </row>
    <row r="210" spans="1:13" ht="15.6" hidden="1" x14ac:dyDescent="0.3">
      <c r="A210" s="1" t="s">
        <v>795</v>
      </c>
      <c r="B210" s="1"/>
      <c r="C210" s="1"/>
      <c r="D210" s="1"/>
      <c r="E210" s="1"/>
      <c r="F210" s="1"/>
      <c r="G210" s="1" t="s">
        <v>8</v>
      </c>
      <c r="H210" s="2">
        <v>471</v>
      </c>
      <c r="I210" s="1" t="s">
        <v>796</v>
      </c>
      <c r="J210" s="1" t="s">
        <v>797</v>
      </c>
      <c r="K210" s="1" t="s">
        <v>198</v>
      </c>
      <c r="L210" s="1" t="s">
        <v>798</v>
      </c>
      <c r="M210" s="6" t="str">
        <f>_xlfn.CONCAT(Table1[[#This Row],[Billing Street]], ", ", Table1[[#This Row],[Billing City]], ", ", Table1[[#This Row],[Billing State/Province]], ", ", Table1[[#This Row],[Billing Zip/Postal Code]])</f>
        <v>814 Sheldon Street, Lodgepole, NE, 69149</v>
      </c>
    </row>
    <row r="211" spans="1:13" ht="15.6" hidden="1" x14ac:dyDescent="0.3">
      <c r="A211" s="1" t="s">
        <v>799</v>
      </c>
      <c r="B211" s="1"/>
      <c r="C211" s="1"/>
      <c r="D211" s="1"/>
      <c r="E211" s="1"/>
      <c r="F211" s="1"/>
      <c r="G211" s="1" t="s">
        <v>8</v>
      </c>
      <c r="H211" s="2">
        <v>513</v>
      </c>
      <c r="I211" s="1" t="s">
        <v>800</v>
      </c>
      <c r="J211" s="1" t="s">
        <v>557</v>
      </c>
      <c r="K211" s="1" t="s">
        <v>51</v>
      </c>
      <c r="L211" s="1" t="s">
        <v>801</v>
      </c>
      <c r="M211" s="6" t="str">
        <f>_xlfn.CONCAT(Table1[[#This Row],[Billing Street]], ", ", Table1[[#This Row],[Billing City]], ", ", Table1[[#This Row],[Billing State/Province]], ", ", Table1[[#This Row],[Billing Zip/Postal Code]])</f>
        <v>12301 Kurland Dr, Fourth Floor, Houston, TX, 77034</v>
      </c>
    </row>
    <row r="212" spans="1:13" ht="15.6" hidden="1" x14ac:dyDescent="0.3">
      <c r="A212" s="1" t="s">
        <v>802</v>
      </c>
      <c r="B212" s="1"/>
      <c r="C212" s="1"/>
      <c r="D212" s="1"/>
      <c r="E212" s="1"/>
      <c r="F212" s="1"/>
      <c r="G212" s="1" t="s">
        <v>8</v>
      </c>
      <c r="H212" s="2">
        <v>330</v>
      </c>
      <c r="I212" s="1" t="s">
        <v>803</v>
      </c>
      <c r="J212" s="1" t="s">
        <v>804</v>
      </c>
      <c r="K212" s="1" t="s">
        <v>198</v>
      </c>
      <c r="L212" s="1" t="s">
        <v>805</v>
      </c>
      <c r="M212" s="6" t="str">
        <f>_xlfn.CONCAT(Table1[[#This Row],[Billing Street]], ", ", Table1[[#This Row],[Billing City]], ", ", Table1[[#This Row],[Billing State/Province]], ", ", Table1[[#This Row],[Billing Zip/Postal Code]])</f>
        <v>613 N 13th st, Tekamah, NE, 68061</v>
      </c>
    </row>
    <row r="213" spans="1:13" ht="15.6" hidden="1" x14ac:dyDescent="0.3">
      <c r="A213" s="1" t="s">
        <v>806</v>
      </c>
      <c r="B213" s="1"/>
      <c r="C213" s="1"/>
      <c r="D213" s="1"/>
      <c r="E213" s="1"/>
      <c r="F213" s="1"/>
      <c r="G213" s="1" t="s">
        <v>8</v>
      </c>
      <c r="H213" s="2">
        <v>251</v>
      </c>
      <c r="I213" s="1" t="s">
        <v>807</v>
      </c>
      <c r="J213" s="1" t="s">
        <v>808</v>
      </c>
      <c r="K213" s="1" t="s">
        <v>198</v>
      </c>
      <c r="L213" s="1" t="s">
        <v>809</v>
      </c>
      <c r="M213" s="6" t="str">
        <f>_xlfn.CONCAT(Table1[[#This Row],[Billing Street]], ", ", Table1[[#This Row],[Billing City]], ", ", Table1[[#This Row],[Billing State/Province]], ", ", Table1[[#This Row],[Billing Zip/Postal Code]])</f>
        <v>275 Main St, Nelson, NE, 68961</v>
      </c>
    </row>
    <row r="214" spans="1:13" ht="15.6" hidden="1" x14ac:dyDescent="0.3">
      <c r="A214" s="1" t="s">
        <v>810</v>
      </c>
      <c r="B214" s="1"/>
      <c r="C214" s="1"/>
      <c r="D214" s="1"/>
      <c r="E214" s="1"/>
      <c r="F214" s="1"/>
      <c r="G214" s="1" t="s">
        <v>8</v>
      </c>
      <c r="H214" s="2">
        <v>270</v>
      </c>
      <c r="I214" s="1" t="s">
        <v>811</v>
      </c>
      <c r="J214" s="1" t="s">
        <v>812</v>
      </c>
      <c r="K214" s="1" t="s">
        <v>51</v>
      </c>
      <c r="L214" s="1" t="s">
        <v>813</v>
      </c>
      <c r="M214" s="6" t="str">
        <f>_xlfn.CONCAT(Table1[[#This Row],[Billing Street]], ", ", Table1[[#This Row],[Billing City]], ", ", Table1[[#This Row],[Billing State/Province]], ", ", Table1[[#This Row],[Billing Zip/Postal Code]])</f>
        <v>1400 Scott Ave, Wichita Falls, TX, 76301</v>
      </c>
    </row>
    <row r="215" spans="1:13" ht="15.6" hidden="1" x14ac:dyDescent="0.3">
      <c r="A215" s="1" t="s">
        <v>814</v>
      </c>
      <c r="B215" s="1"/>
      <c r="C215" s="1"/>
      <c r="D215" s="1"/>
      <c r="E215" s="1"/>
      <c r="F215" s="1"/>
      <c r="G215" s="1" t="s">
        <v>8</v>
      </c>
      <c r="H215" s="2">
        <v>513</v>
      </c>
      <c r="I215" s="1" t="s">
        <v>815</v>
      </c>
      <c r="J215" s="1" t="s">
        <v>816</v>
      </c>
      <c r="K215" s="1" t="s">
        <v>51</v>
      </c>
      <c r="L215" s="1" t="s">
        <v>817</v>
      </c>
      <c r="M215" s="6" t="str">
        <f>_xlfn.CONCAT(Table1[[#This Row],[Billing Street]], ", ", Table1[[#This Row],[Billing City]], ", ", Table1[[#This Row],[Billing State/Province]], ", ", Table1[[#This Row],[Billing Zip/Postal Code]])</f>
        <v>101 E Gillis Ave, Eldorado, TX, 76936</v>
      </c>
    </row>
    <row r="216" spans="1:13" ht="15.6" hidden="1" x14ac:dyDescent="0.3">
      <c r="A216" s="1" t="s">
        <v>818</v>
      </c>
      <c r="B216" s="1"/>
      <c r="C216" s="1"/>
      <c r="D216" s="1"/>
      <c r="E216" s="1"/>
      <c r="F216" s="1"/>
      <c r="G216" s="1" t="s">
        <v>8</v>
      </c>
      <c r="H216" s="2">
        <v>400</v>
      </c>
      <c r="I216" s="1" t="s">
        <v>819</v>
      </c>
      <c r="J216" s="1" t="s">
        <v>820</v>
      </c>
      <c r="K216" s="1" t="s">
        <v>51</v>
      </c>
      <c r="L216" s="1" t="s">
        <v>821</v>
      </c>
      <c r="M216" s="6" t="str">
        <f>_xlfn.CONCAT(Table1[[#This Row],[Billing Street]], ", ", Table1[[#This Row],[Billing City]], ", ", Table1[[#This Row],[Billing State/Province]], ", ", Table1[[#This Row],[Billing Zip/Postal Code]])</f>
        <v>226 Co Rd 287, Merkel, TX, 79536</v>
      </c>
    </row>
    <row r="217" spans="1:13" ht="15.6" x14ac:dyDescent="0.3">
      <c r="A217" s="1" t="s">
        <v>822</v>
      </c>
      <c r="B217" s="1"/>
      <c r="C217" s="1"/>
      <c r="D217" s="1"/>
      <c r="E217" s="1"/>
      <c r="F217" s="1"/>
      <c r="G217" s="1" t="s">
        <v>24</v>
      </c>
      <c r="H217" s="2">
        <v>5988</v>
      </c>
      <c r="I217" s="1" t="s">
        <v>823</v>
      </c>
      <c r="J217" s="1" t="s">
        <v>824</v>
      </c>
      <c r="K217" s="1" t="s">
        <v>26</v>
      </c>
      <c r="L217" s="1" t="s">
        <v>825</v>
      </c>
      <c r="M217" s="6" t="str">
        <f>_xlfn.CONCAT(Table1[[#This Row],[Billing Street]], ", ", Table1[[#This Row],[Billing City]], ", ", Table1[[#This Row],[Billing State/Province]], ", ", Table1[[#This Row],[Billing Zip/Postal Code]])</f>
        <v>106 Gene E Stewart Blvd, Sylacauga, AL, 35151</v>
      </c>
    </row>
    <row r="218" spans="1:13" ht="15.6" hidden="1" x14ac:dyDescent="0.3">
      <c r="A218" s="1" t="s">
        <v>826</v>
      </c>
      <c r="B218" s="1"/>
      <c r="C218" s="1"/>
      <c r="D218" s="1"/>
      <c r="E218" s="1"/>
      <c r="F218" s="1"/>
      <c r="G218" s="1" t="s">
        <v>205</v>
      </c>
      <c r="H218" s="2">
        <v>556</v>
      </c>
      <c r="I218" s="1" t="s">
        <v>827</v>
      </c>
      <c r="J218" s="1" t="s">
        <v>828</v>
      </c>
      <c r="K218" s="1" t="s">
        <v>472</v>
      </c>
      <c r="L218" s="1" t="s">
        <v>829</v>
      </c>
      <c r="M218" s="6" t="str">
        <f>_xlfn.CONCAT(Table1[[#This Row],[Billing Street]], ", ", Table1[[#This Row],[Billing City]], ", ", Table1[[#This Row],[Billing State/Province]], ", ", Table1[[#This Row],[Billing Zip/Postal Code]])</f>
        <v>1455 East Power Plant Road, Brigham City, UT, 84302</v>
      </c>
    </row>
    <row r="219" spans="1:13" ht="15.6" hidden="1" x14ac:dyDescent="0.3">
      <c r="A219" s="1" t="s">
        <v>830</v>
      </c>
      <c r="B219" s="1"/>
      <c r="C219" s="1"/>
      <c r="D219" s="1"/>
      <c r="E219" s="1"/>
      <c r="F219" s="1"/>
      <c r="G219" s="1" t="s">
        <v>8</v>
      </c>
      <c r="H219" s="2">
        <v>340</v>
      </c>
      <c r="I219" s="1" t="s">
        <v>831</v>
      </c>
      <c r="J219" s="1" t="s">
        <v>832</v>
      </c>
      <c r="K219" s="1" t="s">
        <v>198</v>
      </c>
      <c r="L219" s="1" t="s">
        <v>833</v>
      </c>
      <c r="M219" s="6" t="str">
        <f>_xlfn.CONCAT(Table1[[#This Row],[Billing Street]], ", ", Table1[[#This Row],[Billing City]], ", ", Table1[[#This Row],[Billing State/Province]], ", ", Table1[[#This Row],[Billing Zip/Postal Code]])</f>
        <v>210 North 4th Street, Indianola, NE, 69034</v>
      </c>
    </row>
    <row r="220" spans="1:13" ht="15.6" hidden="1" x14ac:dyDescent="0.3">
      <c r="A220" s="1" t="s">
        <v>834</v>
      </c>
      <c r="B220" s="1"/>
      <c r="C220" s="1"/>
      <c r="D220" s="1"/>
      <c r="E220" s="1"/>
      <c r="F220" s="1"/>
      <c r="G220" s="1" t="s">
        <v>8</v>
      </c>
      <c r="H220" s="2">
        <v>229</v>
      </c>
      <c r="I220" s="1" t="s">
        <v>835</v>
      </c>
      <c r="J220" s="1" t="s">
        <v>836</v>
      </c>
      <c r="K220" s="1" t="s">
        <v>198</v>
      </c>
      <c r="L220" s="1" t="s">
        <v>837</v>
      </c>
      <c r="M220" s="6" t="str">
        <f>_xlfn.CONCAT(Table1[[#This Row],[Billing Street]], ", ", Table1[[#This Row],[Billing City]], ", ", Table1[[#This Row],[Billing State/Province]], ", ", Table1[[#This Row],[Billing Zip/Postal Code]])</f>
        <v>307 Indiana St, Hubble, NE, 68375</v>
      </c>
    </row>
    <row r="221" spans="1:13" ht="15.6" hidden="1" x14ac:dyDescent="0.3">
      <c r="A221" s="1" t="s">
        <v>838</v>
      </c>
      <c r="B221" s="1"/>
      <c r="C221" s="1"/>
      <c r="D221" s="1"/>
      <c r="E221" s="1"/>
      <c r="F221" s="1"/>
      <c r="G221" s="1" t="s">
        <v>8</v>
      </c>
      <c r="H221" s="2">
        <v>327</v>
      </c>
      <c r="I221" s="1" t="s">
        <v>839</v>
      </c>
      <c r="J221" s="1" t="s">
        <v>840</v>
      </c>
      <c r="K221" s="1" t="s">
        <v>198</v>
      </c>
      <c r="L221" s="1" t="s">
        <v>841</v>
      </c>
      <c r="M221" s="6" t="str">
        <f>_xlfn.CONCAT(Table1[[#This Row],[Billing Street]], ", ", Table1[[#This Row],[Billing City]], ", ", Table1[[#This Row],[Billing State/Province]], ", ", Table1[[#This Row],[Billing Zip/Postal Code]])</f>
        <v>418 Center Avenue, Holbrook, NE, 68948</v>
      </c>
    </row>
    <row r="222" spans="1:13" ht="15.6" hidden="1" x14ac:dyDescent="0.3">
      <c r="A222" s="1" t="s">
        <v>842</v>
      </c>
      <c r="B222" s="1"/>
      <c r="C222" s="1"/>
      <c r="D222" s="1"/>
      <c r="E222" s="1"/>
      <c r="F222" s="1"/>
      <c r="G222" s="1" t="s">
        <v>205</v>
      </c>
      <c r="H222" s="2">
        <v>23</v>
      </c>
      <c r="I222" s="1" t="s">
        <v>843</v>
      </c>
      <c r="J222" s="1" t="s">
        <v>844</v>
      </c>
      <c r="K222" s="1" t="s">
        <v>479</v>
      </c>
      <c r="L222" s="1" t="s">
        <v>845</v>
      </c>
      <c r="M222" s="6" t="str">
        <f>_xlfn.CONCAT(Table1[[#This Row],[Billing Street]], ", ", Table1[[#This Row],[Billing City]], ", ", Table1[[#This Row],[Billing State/Province]], ", ", Table1[[#This Row],[Billing Zip/Postal Code]])</f>
        <v>12821 186th Ave., Buckeye, AZ, 85326</v>
      </c>
    </row>
    <row r="223" spans="1:13" ht="15.6" hidden="1" x14ac:dyDescent="0.3">
      <c r="A223" s="1" t="s">
        <v>846</v>
      </c>
      <c r="B223" s="1"/>
      <c r="C223" s="1"/>
      <c r="D223" s="1"/>
      <c r="E223" s="1"/>
      <c r="F223" s="1"/>
      <c r="G223" s="1" t="s">
        <v>8</v>
      </c>
      <c r="H223" s="2">
        <v>293</v>
      </c>
      <c r="I223" s="1" t="s">
        <v>847</v>
      </c>
      <c r="J223" s="1" t="s">
        <v>848</v>
      </c>
      <c r="K223" s="1" t="s">
        <v>198</v>
      </c>
      <c r="L223" s="1" t="s">
        <v>849</v>
      </c>
      <c r="M223" s="6" t="str">
        <f>_xlfn.CONCAT(Table1[[#This Row],[Billing Street]], ", ", Table1[[#This Row],[Billing City]], ", ", Table1[[#This Row],[Billing State/Province]], ", ", Table1[[#This Row],[Billing Zip/Postal Code]])</f>
        <v>248 Commercial Avenue, Hildreth, NE, 68947</v>
      </c>
    </row>
    <row r="224" spans="1:13" ht="15.6" hidden="1" x14ac:dyDescent="0.3">
      <c r="A224" s="1" t="s">
        <v>850</v>
      </c>
      <c r="B224" s="1"/>
      <c r="C224" s="1"/>
      <c r="D224" s="1"/>
      <c r="E224" s="1"/>
      <c r="F224" s="1"/>
      <c r="G224" s="1" t="s">
        <v>8</v>
      </c>
      <c r="H224" s="2">
        <v>254</v>
      </c>
      <c r="I224" s="1" t="s">
        <v>851</v>
      </c>
      <c r="J224" s="1" t="s">
        <v>852</v>
      </c>
      <c r="K224" s="1" t="s">
        <v>198</v>
      </c>
      <c r="L224" s="1" t="s">
        <v>853</v>
      </c>
      <c r="M224" s="6" t="str">
        <f>_xlfn.CONCAT(Table1[[#This Row],[Billing Street]], ", ", Table1[[#This Row],[Billing City]], ", ", Table1[[#This Row],[Billing State/Province]], ", ", Table1[[#This Row],[Billing Zip/Postal Code]])</f>
        <v>115 Locust Street, Hickman, NE, 68372</v>
      </c>
    </row>
    <row r="225" spans="1:13" ht="15.6" hidden="1" x14ac:dyDescent="0.3">
      <c r="A225" s="1" t="s">
        <v>854</v>
      </c>
      <c r="B225" s="1"/>
      <c r="C225" s="1"/>
      <c r="D225" s="1"/>
      <c r="E225" s="1"/>
      <c r="F225" s="1"/>
      <c r="G225" s="1" t="s">
        <v>8</v>
      </c>
      <c r="H225" s="2">
        <v>292</v>
      </c>
      <c r="I225" s="1" t="s">
        <v>855</v>
      </c>
      <c r="J225" s="1" t="s">
        <v>856</v>
      </c>
      <c r="K225" s="1" t="s">
        <v>198</v>
      </c>
      <c r="L225" s="1" t="s">
        <v>857</v>
      </c>
      <c r="M225" s="6" t="str">
        <f>_xlfn.CONCAT(Table1[[#This Row],[Billing Street]], ", ", Table1[[#This Row],[Billing City]], ", ", Table1[[#This Row],[Billing State/Province]], ", ", Table1[[#This Row],[Billing Zip/Postal Code]])</f>
        <v>126 North 3rd Street, Hampton, NE, 68843</v>
      </c>
    </row>
    <row r="226" spans="1:13" ht="15.6" hidden="1" x14ac:dyDescent="0.3">
      <c r="A226" s="1" t="s">
        <v>858</v>
      </c>
      <c r="B226" s="1"/>
      <c r="C226" s="1"/>
      <c r="D226" s="1"/>
      <c r="E226" s="1"/>
      <c r="F226" s="1"/>
      <c r="G226" s="1" t="s">
        <v>8</v>
      </c>
      <c r="H226" s="2">
        <v>275</v>
      </c>
      <c r="I226" s="1" t="s">
        <v>859</v>
      </c>
      <c r="J226" s="1" t="s">
        <v>860</v>
      </c>
      <c r="K226" s="1" t="s">
        <v>198</v>
      </c>
      <c r="L226" s="1" t="s">
        <v>861</v>
      </c>
      <c r="M226" s="6" t="str">
        <f>_xlfn.CONCAT(Table1[[#This Row],[Billing Street]], ", ", Table1[[#This Row],[Billing City]], ", ", Table1[[#This Row],[Billing State/Province]], ", ", Table1[[#This Row],[Billing Zip/Postal Code]])</f>
        <v>619 Main Street, Greenwood, NE, 68366</v>
      </c>
    </row>
    <row r="227" spans="1:13" ht="15.6" hidden="1" x14ac:dyDescent="0.3">
      <c r="A227" s="1" t="s">
        <v>862</v>
      </c>
      <c r="B227" s="1"/>
      <c r="C227" s="1"/>
      <c r="D227" s="1"/>
      <c r="E227" s="1"/>
      <c r="F227" s="1"/>
      <c r="G227" s="1" t="s">
        <v>8</v>
      </c>
      <c r="H227" s="2">
        <v>420</v>
      </c>
      <c r="I227" s="1" t="s">
        <v>863</v>
      </c>
      <c r="J227" s="1" t="s">
        <v>753</v>
      </c>
      <c r="K227" s="1" t="s">
        <v>198</v>
      </c>
      <c r="L227" s="1" t="s">
        <v>754</v>
      </c>
      <c r="M227" s="6" t="str">
        <f>_xlfn.CONCAT(Table1[[#This Row],[Billing Street]], ", ", Table1[[#This Row],[Billing City]], ", ", Table1[[#This Row],[Billing State/Province]], ", ", Table1[[#This Row],[Billing Zip/Postal Code]])</f>
        <v>342 Central Avenue, Grant, NE, 69140</v>
      </c>
    </row>
    <row r="228" spans="1:13" ht="15.6" hidden="1" x14ac:dyDescent="0.3">
      <c r="A228" s="1" t="s">
        <v>864</v>
      </c>
      <c r="B228" s="1"/>
      <c r="C228" s="1"/>
      <c r="D228" s="1"/>
      <c r="E228" s="1"/>
      <c r="F228" s="1"/>
      <c r="G228" s="1" t="s">
        <v>205</v>
      </c>
      <c r="H228" s="2">
        <v>457</v>
      </c>
      <c r="I228" s="1" t="s">
        <v>865</v>
      </c>
      <c r="J228" s="1" t="s">
        <v>866</v>
      </c>
      <c r="K228" s="1" t="s">
        <v>472</v>
      </c>
      <c r="L228" s="1" t="s">
        <v>867</v>
      </c>
      <c r="M228" s="6" t="str">
        <f>_xlfn.CONCAT(Table1[[#This Row],[Billing Street]], ", ", Table1[[#This Row],[Billing City]], ", ", Table1[[#This Row],[Billing State/Province]], ", ", Table1[[#This Row],[Billing Zip/Postal Code]])</f>
        <v>30 W 100 S, Salem, UT, 84653</v>
      </c>
    </row>
    <row r="229" spans="1:13" ht="15.6" hidden="1" x14ac:dyDescent="0.3">
      <c r="A229" s="1" t="s">
        <v>868</v>
      </c>
      <c r="B229" s="1"/>
      <c r="C229" s="1"/>
      <c r="D229" s="1"/>
      <c r="E229" s="1"/>
      <c r="F229" s="1"/>
      <c r="G229" s="1" t="s">
        <v>8</v>
      </c>
      <c r="H229" s="2">
        <v>292</v>
      </c>
      <c r="I229" s="1" t="s">
        <v>869</v>
      </c>
      <c r="J229" s="1" t="s">
        <v>870</v>
      </c>
      <c r="K229" s="1" t="s">
        <v>198</v>
      </c>
      <c r="L229" s="1" t="s">
        <v>871</v>
      </c>
      <c r="M229" s="6" t="str">
        <f>_xlfn.CONCAT(Table1[[#This Row],[Billing Street]], ", ", Table1[[#This Row],[Billing City]], ", ", Table1[[#This Row],[Billing State/Province]], ", ", Table1[[#This Row],[Billing Zip/Postal Code]])</f>
        <v>32 Dow St, Giltner, NE, 68841</v>
      </c>
    </row>
    <row r="230" spans="1:13" ht="15.6" hidden="1" x14ac:dyDescent="0.3">
      <c r="A230" s="1" t="s">
        <v>872</v>
      </c>
      <c r="B230" s="1"/>
      <c r="C230" s="1"/>
      <c r="D230" s="1"/>
      <c r="E230" s="1"/>
      <c r="F230" s="1"/>
      <c r="G230" s="1" t="s">
        <v>8</v>
      </c>
      <c r="H230" s="2">
        <v>422</v>
      </c>
      <c r="I230" s="1" t="s">
        <v>873</v>
      </c>
      <c r="J230" s="1" t="s">
        <v>874</v>
      </c>
      <c r="K230" s="1" t="s">
        <v>208</v>
      </c>
      <c r="L230" s="1" t="s">
        <v>875</v>
      </c>
      <c r="M230" s="6" t="str">
        <f>_xlfn.CONCAT(Table1[[#This Row],[Billing Street]], ", ", Table1[[#This Row],[Billing City]], ", ", Table1[[#This Row],[Billing State/Province]], ", ", Table1[[#This Row],[Billing Zip/Postal Code]])</f>
        <v>733 Moore ave, Las Animas, CO, 81054</v>
      </c>
    </row>
    <row r="231" spans="1:13" ht="15.6" hidden="1" x14ac:dyDescent="0.3">
      <c r="A231" s="1" t="s">
        <v>876</v>
      </c>
      <c r="B231" s="1"/>
      <c r="C231" s="1"/>
      <c r="D231" s="1"/>
      <c r="E231" s="1"/>
      <c r="F231" s="1"/>
      <c r="G231" s="1" t="s">
        <v>48</v>
      </c>
      <c r="H231" s="2">
        <v>0</v>
      </c>
      <c r="I231" s="1" t="s">
        <v>13</v>
      </c>
      <c r="J231" s="1" t="s">
        <v>877</v>
      </c>
      <c r="K231" s="1" t="s">
        <v>45</v>
      </c>
      <c r="L231" s="1" t="s">
        <v>13</v>
      </c>
      <c r="M231" s="6" t="str">
        <f>_xlfn.CONCAT(Table1[[#This Row],[Billing Street]], ", ", Table1[[#This Row],[Billing City]], ", ", Table1[[#This Row],[Billing State/Province]], ", ", Table1[[#This Row],[Billing Zip/Postal Code]])</f>
        <v xml:space="preserve">, North Canton, OH, </v>
      </c>
    </row>
    <row r="232" spans="1:13" ht="15.6" hidden="1" x14ac:dyDescent="0.3">
      <c r="A232" s="1" t="s">
        <v>878</v>
      </c>
      <c r="B232" s="1"/>
      <c r="C232" s="1"/>
      <c r="D232" s="1"/>
      <c r="E232" s="1"/>
      <c r="F232" s="1"/>
      <c r="G232" s="1" t="s">
        <v>43</v>
      </c>
      <c r="H232" s="2">
        <v>104</v>
      </c>
      <c r="I232" s="1" t="s">
        <v>879</v>
      </c>
      <c r="J232" s="1" t="s">
        <v>880</v>
      </c>
      <c r="K232" s="1" t="s">
        <v>45</v>
      </c>
      <c r="L232" s="1" t="s">
        <v>881</v>
      </c>
      <c r="M232" s="6" t="str">
        <f>_xlfn.CONCAT(Table1[[#This Row],[Billing Street]], ", ", Table1[[#This Row],[Billing City]], ", ", Table1[[#This Row],[Billing State/Province]], ", ", Table1[[#This Row],[Billing Zip/Postal Code]])</f>
        <v>1127 N. Vance Street, Carey, OH, 43316</v>
      </c>
    </row>
    <row r="233" spans="1:13" ht="15.6" hidden="1" x14ac:dyDescent="0.3">
      <c r="A233" s="1" t="s">
        <v>882</v>
      </c>
      <c r="B233" s="1"/>
      <c r="C233" s="1"/>
      <c r="D233" s="1"/>
      <c r="E233" s="1"/>
      <c r="F233" s="1"/>
      <c r="G233" s="1" t="s">
        <v>43</v>
      </c>
      <c r="H233" s="2">
        <v>108</v>
      </c>
      <c r="I233" s="1" t="s">
        <v>883</v>
      </c>
      <c r="J233" s="1" t="s">
        <v>884</v>
      </c>
      <c r="K233" s="1" t="s">
        <v>45</v>
      </c>
      <c r="L233" s="1" t="s">
        <v>885</v>
      </c>
      <c r="M233" s="6" t="str">
        <f>_xlfn.CONCAT(Table1[[#This Row],[Billing Street]], ", ", Table1[[#This Row],[Billing City]], ", ", Table1[[#This Row],[Billing State/Province]], ", ", Table1[[#This Row],[Billing Zip/Postal Code]])</f>
        <v>104 Gibson Street, Arcadia, OH, 44804</v>
      </c>
    </row>
    <row r="234" spans="1:13" ht="15.6" hidden="1" x14ac:dyDescent="0.3">
      <c r="A234" s="1" t="s">
        <v>886</v>
      </c>
      <c r="B234" s="1"/>
      <c r="C234" s="1"/>
      <c r="D234" s="1"/>
      <c r="E234" s="1"/>
      <c r="F234" s="1"/>
      <c r="G234" s="1" t="s">
        <v>8</v>
      </c>
      <c r="H234" s="2">
        <v>689</v>
      </c>
      <c r="I234" s="1" t="s">
        <v>887</v>
      </c>
      <c r="J234" s="1" t="s">
        <v>888</v>
      </c>
      <c r="K234" s="1" t="s">
        <v>208</v>
      </c>
      <c r="L234" s="1" t="s">
        <v>889</v>
      </c>
      <c r="M234" s="6" t="str">
        <f>_xlfn.CONCAT(Table1[[#This Row],[Billing Street]], ", ", Table1[[#This Row],[Billing City]], ", ", Table1[[#This Row],[Billing State/Province]], ", ", Table1[[#This Row],[Billing Zip/Postal Code]])</f>
        <v>640 W 4th St, Delta, CO, 81416</v>
      </c>
    </row>
    <row r="235" spans="1:13" ht="15.6" hidden="1" x14ac:dyDescent="0.3">
      <c r="A235" s="1" t="s">
        <v>890</v>
      </c>
      <c r="B235" s="1"/>
      <c r="C235" s="1"/>
      <c r="D235" s="1"/>
      <c r="E235" s="1"/>
      <c r="F235" s="1"/>
      <c r="G235" s="1" t="s">
        <v>8</v>
      </c>
      <c r="H235" s="2">
        <v>161</v>
      </c>
      <c r="I235" s="1" t="s">
        <v>891</v>
      </c>
      <c r="J235" s="1" t="s">
        <v>892</v>
      </c>
      <c r="K235" s="1" t="s">
        <v>11</v>
      </c>
      <c r="L235" s="1" t="s">
        <v>893</v>
      </c>
      <c r="M235" s="6" t="str">
        <f>_xlfn.CONCAT(Table1[[#This Row],[Billing Street]], ", ", Table1[[#This Row],[Billing City]], ", ", Table1[[#This Row],[Billing State/Province]], ", ", Table1[[#This Row],[Billing Zip/Postal Code]])</f>
        <v>121 Ne 72Nd St, Gladstone, MO, 64118</v>
      </c>
    </row>
    <row r="236" spans="1:13" ht="15.6" hidden="1" x14ac:dyDescent="0.3">
      <c r="A236" s="1" t="s">
        <v>894</v>
      </c>
      <c r="B236" s="1"/>
      <c r="C236" s="1"/>
      <c r="D236" s="1"/>
      <c r="E236" s="1"/>
      <c r="F236" s="1"/>
      <c r="G236" s="1" t="s">
        <v>8</v>
      </c>
      <c r="H236" s="2">
        <v>138</v>
      </c>
      <c r="I236" s="1" t="s">
        <v>895</v>
      </c>
      <c r="J236" s="1" t="s">
        <v>896</v>
      </c>
      <c r="K236" s="1" t="s">
        <v>11</v>
      </c>
      <c r="L236" s="1" t="s">
        <v>897</v>
      </c>
      <c r="M236" s="6" t="str">
        <f>_xlfn.CONCAT(Table1[[#This Row],[Billing Street]], ", ", Table1[[#This Row],[Billing City]], ", ", Table1[[#This Row],[Billing State/Province]], ", ", Table1[[#This Row],[Billing Zip/Postal Code]])</f>
        <v>941 W 141St Ter, Suite B, Kansas City, MO, 64145</v>
      </c>
    </row>
    <row r="237" spans="1:13" ht="15.6" hidden="1" x14ac:dyDescent="0.3">
      <c r="A237" s="1" t="s">
        <v>898</v>
      </c>
      <c r="B237" s="1"/>
      <c r="C237" s="1"/>
      <c r="D237" s="1"/>
      <c r="E237" s="1"/>
      <c r="F237" s="1"/>
      <c r="G237" s="1" t="s">
        <v>8</v>
      </c>
      <c r="H237" s="2">
        <v>316</v>
      </c>
      <c r="I237" s="1" t="s">
        <v>899</v>
      </c>
      <c r="J237" s="1" t="s">
        <v>900</v>
      </c>
      <c r="K237" s="1" t="s">
        <v>11</v>
      </c>
      <c r="L237" s="1" t="s">
        <v>901</v>
      </c>
      <c r="M237" s="6" t="str">
        <f>_xlfn.CONCAT(Table1[[#This Row],[Billing Street]], ", ", Table1[[#This Row],[Billing City]], ", ", Table1[[#This Row],[Billing State/Province]], ", ", Table1[[#This Row],[Billing Zip/Postal Code]])</f>
        <v>1139 Olive St, Suite 300, St Louis, MO, 63101</v>
      </c>
    </row>
    <row r="238" spans="1:13" ht="15.6" hidden="1" x14ac:dyDescent="0.3">
      <c r="A238" s="1" t="s">
        <v>902</v>
      </c>
      <c r="B238" s="1"/>
      <c r="C238" s="1"/>
      <c r="D238" s="1"/>
      <c r="E238" s="1"/>
      <c r="F238" s="1"/>
      <c r="G238" s="1" t="s">
        <v>8</v>
      </c>
      <c r="H238" s="2">
        <v>301</v>
      </c>
      <c r="I238" s="1" t="s">
        <v>903</v>
      </c>
      <c r="J238" s="1" t="s">
        <v>904</v>
      </c>
      <c r="K238" s="1" t="s">
        <v>11</v>
      </c>
      <c r="L238" s="1" t="s">
        <v>905</v>
      </c>
      <c r="M238" s="6" t="str">
        <f>_xlfn.CONCAT(Table1[[#This Row],[Billing Street]], ", ", Table1[[#This Row],[Billing City]], ", ", Table1[[#This Row],[Billing State/Province]], ", ", Table1[[#This Row],[Billing Zip/Postal Code]])</f>
        <v>1631 Headland Dr, Fenton, MO, 63026</v>
      </c>
    </row>
    <row r="239" spans="1:13" ht="15.6" hidden="1" x14ac:dyDescent="0.3">
      <c r="A239" s="1" t="s">
        <v>906</v>
      </c>
      <c r="B239" s="1"/>
      <c r="C239" s="1"/>
      <c r="D239" s="1"/>
      <c r="E239" s="1"/>
      <c r="F239" s="1"/>
      <c r="G239" s="1" t="s">
        <v>8</v>
      </c>
      <c r="H239" s="2">
        <v>153</v>
      </c>
      <c r="I239" s="1" t="s">
        <v>907</v>
      </c>
      <c r="J239" s="1" t="s">
        <v>896</v>
      </c>
      <c r="K239" s="1" t="s">
        <v>11</v>
      </c>
      <c r="L239" s="1" t="s">
        <v>908</v>
      </c>
      <c r="M239" s="6" t="str">
        <f>_xlfn.CONCAT(Table1[[#This Row],[Billing Street]], ", ", Table1[[#This Row],[Billing City]], ", ", Table1[[#This Row],[Billing State/Province]], ", ", Table1[[#This Row],[Billing Zip/Postal Code]])</f>
        <v>2316 Troost Ave, Kansas City, MO, 64108</v>
      </c>
    </row>
    <row r="240" spans="1:13" ht="15.6" hidden="1" x14ac:dyDescent="0.3">
      <c r="A240" s="1" t="s">
        <v>909</v>
      </c>
      <c r="B240" s="1"/>
      <c r="C240" s="1"/>
      <c r="D240" s="1"/>
      <c r="E240" s="1"/>
      <c r="F240" s="1"/>
      <c r="G240" s="1" t="s">
        <v>8</v>
      </c>
      <c r="H240" s="2">
        <v>316</v>
      </c>
      <c r="I240" s="1" t="s">
        <v>910</v>
      </c>
      <c r="J240" s="1" t="s">
        <v>900</v>
      </c>
      <c r="K240" s="1" t="s">
        <v>11</v>
      </c>
      <c r="L240" s="1" t="s">
        <v>901</v>
      </c>
      <c r="M240" s="6" t="str">
        <f>_xlfn.CONCAT(Table1[[#This Row],[Billing Street]], ", ", Table1[[#This Row],[Billing City]], ", ", Table1[[#This Row],[Billing State/Province]], ", ", Table1[[#This Row],[Billing Zip/Postal Code]])</f>
        <v>915 Olive St Apt 902, St Louis, MO, 63101</v>
      </c>
    </row>
    <row r="241" spans="1:13" ht="15.6" hidden="1" x14ac:dyDescent="0.3">
      <c r="A241" s="1" t="s">
        <v>911</v>
      </c>
      <c r="B241" s="1"/>
      <c r="C241" s="1"/>
      <c r="D241" s="1"/>
      <c r="E241" s="1"/>
      <c r="F241" s="1"/>
      <c r="G241" s="1" t="s">
        <v>8</v>
      </c>
      <c r="H241" s="2">
        <v>157</v>
      </c>
      <c r="I241" s="1" t="s">
        <v>912</v>
      </c>
      <c r="J241" s="1" t="s">
        <v>189</v>
      </c>
      <c r="K241" s="1" t="s">
        <v>11</v>
      </c>
      <c r="L241" s="1" t="s">
        <v>913</v>
      </c>
      <c r="M241" s="6" t="str">
        <f>_xlfn.CONCAT(Table1[[#This Row],[Billing Street]], ", ", Table1[[#This Row],[Billing City]], ", ", Table1[[#This Row],[Billing State/Province]], ", ", Table1[[#This Row],[Billing Zip/Postal Code]])</f>
        <v>424 Nw Business Park Ln, Riverside, MO, 64150</v>
      </c>
    </row>
    <row r="242" spans="1:13" ht="15.6" hidden="1" x14ac:dyDescent="0.3">
      <c r="A242" s="1" t="s">
        <v>914</v>
      </c>
      <c r="B242" s="1"/>
      <c r="C242" s="1"/>
      <c r="D242" s="1"/>
      <c r="E242" s="1"/>
      <c r="F242" s="1"/>
      <c r="G242" s="1" t="s">
        <v>8</v>
      </c>
      <c r="H242" s="2">
        <v>303</v>
      </c>
      <c r="I242" s="1" t="s">
        <v>915</v>
      </c>
      <c r="J242" s="1" t="s">
        <v>900</v>
      </c>
      <c r="K242" s="1" t="s">
        <v>11</v>
      </c>
      <c r="L242" s="1" t="s">
        <v>916</v>
      </c>
      <c r="M242" s="6" t="str">
        <f>_xlfn.CONCAT(Table1[[#This Row],[Billing Street]], ", ", Table1[[#This Row],[Billing City]], ", ", Table1[[#This Row],[Billing State/Province]], ", ", Table1[[#This Row],[Billing Zip/Postal Code]])</f>
        <v>1215 Fern Ridge Pkwy, Suite 110, St Louis, MO, 63141</v>
      </c>
    </row>
    <row r="243" spans="1:13" ht="15.6" hidden="1" x14ac:dyDescent="0.3">
      <c r="A243" s="1" t="s">
        <v>917</v>
      </c>
      <c r="B243" s="1"/>
      <c r="C243" s="1"/>
      <c r="D243" s="1"/>
      <c r="E243" s="1"/>
      <c r="F243" s="1"/>
      <c r="G243" s="1" t="s">
        <v>8</v>
      </c>
      <c r="H243" s="2">
        <v>306</v>
      </c>
      <c r="I243" s="1" t="s">
        <v>918</v>
      </c>
      <c r="J243" s="1" t="s">
        <v>900</v>
      </c>
      <c r="K243" s="1" t="s">
        <v>11</v>
      </c>
      <c r="L243" s="1" t="s">
        <v>919</v>
      </c>
      <c r="M243" s="6" t="str">
        <f>_xlfn.CONCAT(Table1[[#This Row],[Billing Street]], ", ", Table1[[#This Row],[Billing City]], ", ", Table1[[#This Row],[Billing State/Province]], ", ", Table1[[#This Row],[Billing Zip/Postal Code]])</f>
        <v>9909 Manchester Rd, St Louis, MO, 63122</v>
      </c>
    </row>
    <row r="244" spans="1:13" ht="15.6" hidden="1" x14ac:dyDescent="0.3">
      <c r="A244" s="1" t="s">
        <v>920</v>
      </c>
      <c r="B244" s="1"/>
      <c r="C244" s="1"/>
      <c r="D244" s="1"/>
      <c r="E244" s="1"/>
      <c r="F244" s="1"/>
      <c r="G244" s="1" t="s">
        <v>8</v>
      </c>
      <c r="H244" s="2">
        <v>235</v>
      </c>
      <c r="I244" s="1" t="s">
        <v>921</v>
      </c>
      <c r="J244" s="1" t="s">
        <v>922</v>
      </c>
      <c r="K244" s="1" t="s">
        <v>11</v>
      </c>
      <c r="L244" s="1" t="s">
        <v>923</v>
      </c>
      <c r="M244" s="6" t="str">
        <f>_xlfn.CONCAT(Table1[[#This Row],[Billing Street]], ", ", Table1[[#This Row],[Billing City]], ", ", Table1[[#This Row],[Billing State/Province]], ", ", Table1[[#This Row],[Billing Zip/Postal Code]])</f>
        <v>16220 N Route U, Centralia, MO, 65240</v>
      </c>
    </row>
    <row r="245" spans="1:13" ht="15.6" hidden="1" x14ac:dyDescent="0.3">
      <c r="A245" s="1" t="s">
        <v>924</v>
      </c>
      <c r="B245" s="1"/>
      <c r="C245" s="1"/>
      <c r="D245" s="1"/>
      <c r="E245" s="1"/>
      <c r="F245" s="1"/>
      <c r="G245" s="1" t="s">
        <v>8</v>
      </c>
      <c r="H245" s="2">
        <v>159</v>
      </c>
      <c r="I245" s="1" t="s">
        <v>925</v>
      </c>
      <c r="J245" s="1" t="s">
        <v>896</v>
      </c>
      <c r="K245" s="1" t="s">
        <v>11</v>
      </c>
      <c r="L245" s="1" t="s">
        <v>926</v>
      </c>
      <c r="M245" s="6" t="str">
        <f>_xlfn.CONCAT(Table1[[#This Row],[Billing Street]], ", ", Table1[[#This Row],[Billing City]], ", ", Table1[[#This Row],[Billing State/Province]], ", ", Table1[[#This Row],[Billing Zip/Postal Code]])</f>
        <v>8525 Ne 38Th St, Kansas City, MO, 64161</v>
      </c>
    </row>
    <row r="246" spans="1:13" ht="15.6" hidden="1" x14ac:dyDescent="0.3">
      <c r="A246" s="1" t="s">
        <v>927</v>
      </c>
      <c r="B246" s="1"/>
      <c r="C246" s="1"/>
      <c r="D246" s="1"/>
      <c r="E246" s="1"/>
      <c r="F246" s="1"/>
      <c r="G246" s="1" t="s">
        <v>8</v>
      </c>
      <c r="H246" s="2">
        <v>151</v>
      </c>
      <c r="I246" s="1" t="s">
        <v>928</v>
      </c>
      <c r="J246" s="1" t="s">
        <v>896</v>
      </c>
      <c r="K246" s="1" t="s">
        <v>11</v>
      </c>
      <c r="L246" s="1" t="s">
        <v>929</v>
      </c>
      <c r="M246" s="6" t="str">
        <f>_xlfn.CONCAT(Table1[[#This Row],[Billing Street]], ", ", Table1[[#This Row],[Billing City]], ", ", Table1[[#This Row],[Billing State/Province]], ", ", Table1[[#This Row],[Billing Zip/Postal Code]])</f>
        <v>3634 Troost Ave, Kansas City, MO, 64109</v>
      </c>
    </row>
    <row r="247" spans="1:13" ht="15.6" hidden="1" x14ac:dyDescent="0.3">
      <c r="A247" s="1" t="s">
        <v>930</v>
      </c>
      <c r="B247" s="1"/>
      <c r="C247" s="1"/>
      <c r="D247" s="1"/>
      <c r="E247" s="1"/>
      <c r="F247" s="1"/>
      <c r="G247" s="1" t="s">
        <v>8</v>
      </c>
      <c r="H247" s="2">
        <v>152</v>
      </c>
      <c r="I247" s="1" t="s">
        <v>931</v>
      </c>
      <c r="J247" s="1" t="s">
        <v>932</v>
      </c>
      <c r="K247" s="1" t="s">
        <v>11</v>
      </c>
      <c r="L247" s="1" t="s">
        <v>933</v>
      </c>
      <c r="M247" s="6" t="str">
        <f>_xlfn.CONCAT(Table1[[#This Row],[Billing Street]], ", ", Table1[[#This Row],[Billing City]], ", ", Table1[[#This Row],[Billing State/Province]], ", ", Table1[[#This Row],[Billing Zip/Postal Code]])</f>
        <v>8422 Sw State Route 7, Blue Springs, MO, 64014</v>
      </c>
    </row>
    <row r="248" spans="1:13" ht="15.6" hidden="1" x14ac:dyDescent="0.3">
      <c r="A248" s="1" t="s">
        <v>934</v>
      </c>
      <c r="B248" s="1"/>
      <c r="C248" s="1"/>
      <c r="D248" s="1"/>
      <c r="E248" s="1"/>
      <c r="F248" s="1"/>
      <c r="G248" s="1" t="s">
        <v>8</v>
      </c>
      <c r="H248" s="2">
        <v>315</v>
      </c>
      <c r="I248" s="1" t="s">
        <v>935</v>
      </c>
      <c r="J248" s="1" t="s">
        <v>900</v>
      </c>
      <c r="K248" s="1" t="s">
        <v>11</v>
      </c>
      <c r="L248" s="1" t="s">
        <v>936</v>
      </c>
      <c r="M248" s="6" t="str">
        <f>_xlfn.CONCAT(Table1[[#This Row],[Billing Street]], ", ", Table1[[#This Row],[Billing City]], ", ", Table1[[#This Row],[Billing State/Province]], ", ", Table1[[#This Row],[Billing Zip/Postal Code]])</f>
        <v>1525 S Broadway, St Louis, MO, 63104</v>
      </c>
    </row>
    <row r="249" spans="1:13" ht="15.6" hidden="1" x14ac:dyDescent="0.3">
      <c r="A249" s="1" t="s">
        <v>937</v>
      </c>
      <c r="B249" s="1"/>
      <c r="C249" s="1"/>
      <c r="D249" s="1"/>
      <c r="E249" s="1"/>
      <c r="F249" s="1"/>
      <c r="G249" s="1" t="s">
        <v>8</v>
      </c>
      <c r="H249" s="2">
        <v>315</v>
      </c>
      <c r="I249" s="1" t="s">
        <v>938</v>
      </c>
      <c r="J249" s="1" t="s">
        <v>900</v>
      </c>
      <c r="K249" s="1" t="s">
        <v>11</v>
      </c>
      <c r="L249" s="1" t="s">
        <v>939</v>
      </c>
      <c r="M249" s="6" t="str">
        <f>_xlfn.CONCAT(Table1[[#This Row],[Billing Street]], ", ", Table1[[#This Row],[Billing City]], ", ", Table1[[#This Row],[Billing State/Province]], ", ", Table1[[#This Row],[Billing Zip/Postal Code]])</f>
        <v>415 S 18Th St, Suite 105, St Louis, MO, 63103</v>
      </c>
    </row>
    <row r="250" spans="1:13" ht="15.6" hidden="1" x14ac:dyDescent="0.3">
      <c r="A250" s="1" t="s">
        <v>940</v>
      </c>
      <c r="B250" s="1"/>
      <c r="C250" s="1"/>
      <c r="D250" s="1"/>
      <c r="E250" s="1"/>
      <c r="F250" s="1"/>
      <c r="G250" s="1" t="s">
        <v>98</v>
      </c>
      <c r="H250" s="2">
        <v>5887</v>
      </c>
      <c r="I250" s="1" t="s">
        <v>941</v>
      </c>
      <c r="J250" s="1" t="s">
        <v>942</v>
      </c>
      <c r="K250" s="1" t="s">
        <v>234</v>
      </c>
      <c r="L250" s="1" t="s">
        <v>943</v>
      </c>
      <c r="M250" s="6" t="str">
        <f>_xlfn.CONCAT(Table1[[#This Row],[Billing Street]], ", ", Table1[[#This Row],[Billing City]], ", ", Table1[[#This Row],[Billing State/Province]], ", ", Table1[[#This Row],[Billing Zip/Postal Code]])</f>
        <v>707 South Arant St, Pageland, SC, 29728</v>
      </c>
    </row>
    <row r="251" spans="1:13" ht="15.6" hidden="1" x14ac:dyDescent="0.3">
      <c r="A251" s="1" t="s">
        <v>944</v>
      </c>
      <c r="B251" s="1"/>
      <c r="C251" s="1"/>
      <c r="D251" s="1"/>
      <c r="E251" s="1"/>
      <c r="F251" s="1"/>
      <c r="G251" s="1" t="s">
        <v>43</v>
      </c>
      <c r="H251" s="2">
        <v>5776</v>
      </c>
      <c r="I251" s="1" t="s">
        <v>945</v>
      </c>
      <c r="J251" s="1" t="s">
        <v>946</v>
      </c>
      <c r="K251" s="1" t="s">
        <v>781</v>
      </c>
      <c r="L251" s="1" t="s">
        <v>947</v>
      </c>
      <c r="M251" s="6" t="str">
        <f>_xlfn.CONCAT(Table1[[#This Row],[Billing Street]], ", ", Table1[[#This Row],[Billing City]], ", ", Table1[[#This Row],[Billing State/Province]], ", ", Table1[[#This Row],[Billing Zip/Postal Code]])</f>
        <v>206 Carter Dr, West Chester, pa, 19382</v>
      </c>
    </row>
    <row r="252" spans="1:13" ht="15.6" x14ac:dyDescent="0.3">
      <c r="A252" s="1" t="s">
        <v>948</v>
      </c>
      <c r="B252" s="1"/>
      <c r="C252" s="1"/>
      <c r="D252" s="1"/>
      <c r="E252" s="1"/>
      <c r="F252" s="1"/>
      <c r="G252" s="1" t="s">
        <v>24</v>
      </c>
      <c r="H252" s="2">
        <v>5988</v>
      </c>
      <c r="I252" s="1" t="s">
        <v>949</v>
      </c>
      <c r="J252" s="1" t="s">
        <v>950</v>
      </c>
      <c r="K252" s="1" t="s">
        <v>951</v>
      </c>
      <c r="L252" s="1" t="s">
        <v>952</v>
      </c>
      <c r="M252" s="6" t="str">
        <f>_xlfn.CONCAT(Table1[[#This Row],[Billing Street]], ", ", Table1[[#This Row],[Billing City]], ", ", Table1[[#This Row],[Billing State/Province]], ", ", Table1[[#This Row],[Billing Zip/Postal Code]])</f>
        <v>687 Warrenton Lane, Vicksburg, Ms, 39180</v>
      </c>
    </row>
    <row r="253" spans="1:13" ht="15.6" hidden="1" x14ac:dyDescent="0.3">
      <c r="A253" s="1" t="s">
        <v>953</v>
      </c>
      <c r="B253" s="1"/>
      <c r="C253" s="1"/>
      <c r="D253" s="1"/>
      <c r="E253" s="1"/>
      <c r="F253" s="1"/>
      <c r="G253" s="1" t="s">
        <v>8</v>
      </c>
      <c r="H253" s="2">
        <v>531</v>
      </c>
      <c r="I253" s="1" t="s">
        <v>954</v>
      </c>
      <c r="J253" s="1" t="s">
        <v>955</v>
      </c>
      <c r="K253" s="1" t="s">
        <v>51</v>
      </c>
      <c r="L253" s="1" t="s">
        <v>956</v>
      </c>
      <c r="M253" s="6" t="str">
        <f>_xlfn.CONCAT(Table1[[#This Row],[Billing Street]], ", ", Table1[[#This Row],[Billing City]], ", ", Table1[[#This Row],[Billing State/Province]], ", ", Table1[[#This Row],[Billing Zip/Postal Code]])</f>
        <v>3027 N. Austin, Seguin, TX, 78156</v>
      </c>
    </row>
    <row r="254" spans="1:13" ht="15.6" hidden="1" x14ac:dyDescent="0.3">
      <c r="A254" s="1" t="s">
        <v>957</v>
      </c>
      <c r="B254" s="1"/>
      <c r="C254" s="1"/>
      <c r="D254" s="1"/>
      <c r="E254" s="1"/>
      <c r="F254" s="1"/>
      <c r="G254" s="1" t="s">
        <v>8</v>
      </c>
      <c r="H254" s="2">
        <v>514</v>
      </c>
      <c r="I254" s="1" t="s">
        <v>958</v>
      </c>
      <c r="J254" s="1" t="s">
        <v>959</v>
      </c>
      <c r="K254" s="1" t="s">
        <v>51</v>
      </c>
      <c r="L254" s="1" t="s">
        <v>960</v>
      </c>
      <c r="M254" s="6" t="str">
        <f>_xlfn.CONCAT(Table1[[#This Row],[Billing Street]], ", ", Table1[[#This Row],[Billing City]], ", ", Table1[[#This Row],[Billing State/Province]], ", ", Table1[[#This Row],[Billing Zip/Postal Code]])</f>
        <v>535 N Main St, Schulenburg, TX, 78956</v>
      </c>
    </row>
    <row r="255" spans="1:13" ht="15.6" hidden="1" x14ac:dyDescent="0.3">
      <c r="A255" s="1" t="s">
        <v>961</v>
      </c>
      <c r="B255" s="1"/>
      <c r="C255" s="1"/>
      <c r="D255" s="1"/>
      <c r="E255" s="1"/>
      <c r="F255" s="1"/>
      <c r="G255" s="1" t="s">
        <v>98</v>
      </c>
      <c r="H255" s="2">
        <v>5887</v>
      </c>
      <c r="I255" s="1" t="s">
        <v>962</v>
      </c>
      <c r="J255" s="1" t="s">
        <v>963</v>
      </c>
      <c r="K255" s="1" t="s">
        <v>234</v>
      </c>
      <c r="L255" s="1" t="s">
        <v>964</v>
      </c>
      <c r="M255" s="6" t="str">
        <f>_xlfn.CONCAT(Table1[[#This Row],[Billing Street]], ", ", Table1[[#This Row],[Billing City]], ", ", Table1[[#This Row],[Billing State/Province]], ", ", Table1[[#This Row],[Billing Zip/Postal Code]])</f>
        <v>350 Sprinkle Ave, Orangeburg, SC, 29115</v>
      </c>
    </row>
    <row r="256" spans="1:13" ht="15.6" hidden="1" x14ac:dyDescent="0.3">
      <c r="A256" s="1" t="s">
        <v>965</v>
      </c>
      <c r="B256" s="1"/>
      <c r="C256" s="1"/>
      <c r="D256" s="1"/>
      <c r="E256" s="1"/>
      <c r="F256" s="1"/>
      <c r="G256" s="1" t="s">
        <v>43</v>
      </c>
      <c r="H256" s="2">
        <v>297</v>
      </c>
      <c r="I256" s="1" t="s">
        <v>966</v>
      </c>
      <c r="J256" s="1" t="s">
        <v>967</v>
      </c>
      <c r="K256" s="1" t="s">
        <v>237</v>
      </c>
      <c r="L256" s="1" t="s">
        <v>968</v>
      </c>
      <c r="M256" s="6" t="str">
        <f>_xlfn.CONCAT(Table1[[#This Row],[Billing Street]], ", ", Table1[[#This Row],[Billing City]], ", ", Table1[[#This Row],[Billing State/Province]], ", ", Table1[[#This Row],[Billing Zip/Postal Code]])</f>
        <v>US Highway 12, Portage, IN, 46368</v>
      </c>
    </row>
    <row r="257" spans="1:13" ht="15.6" hidden="1" x14ac:dyDescent="0.3">
      <c r="A257" s="1" t="s">
        <v>969</v>
      </c>
      <c r="B257" s="1"/>
      <c r="C257" s="1"/>
      <c r="D257" s="1"/>
      <c r="E257" s="1"/>
      <c r="F257" s="1"/>
      <c r="G257" s="1" t="s">
        <v>8</v>
      </c>
      <c r="H257" s="2">
        <v>269</v>
      </c>
      <c r="I257" s="1" t="s">
        <v>970</v>
      </c>
      <c r="J257" s="1" t="s">
        <v>971</v>
      </c>
      <c r="K257" s="1" t="s">
        <v>51</v>
      </c>
      <c r="L257" s="1" t="s">
        <v>13</v>
      </c>
      <c r="M257" s="6" t="str">
        <f>_xlfn.CONCAT(Table1[[#This Row],[Billing Street]], ", ", Table1[[#This Row],[Billing City]], ", ", Table1[[#This Row],[Billing State/Province]], ", ", Table1[[#This Row],[Billing Zip/Postal Code]])</f>
        <v xml:space="preserve">202 Railroad Ave, Sanger, TX, </v>
      </c>
    </row>
    <row r="258" spans="1:13" ht="15.6" hidden="1" x14ac:dyDescent="0.3">
      <c r="A258" s="1" t="s">
        <v>972</v>
      </c>
      <c r="B258" s="1"/>
      <c r="C258" s="1"/>
      <c r="D258" s="1"/>
      <c r="E258" s="1"/>
      <c r="F258" s="1"/>
      <c r="G258" s="1" t="s">
        <v>98</v>
      </c>
      <c r="H258" s="2">
        <v>5887</v>
      </c>
      <c r="I258" s="1" t="s">
        <v>973</v>
      </c>
      <c r="J258" s="1" t="s">
        <v>860</v>
      </c>
      <c r="K258" s="1" t="s">
        <v>234</v>
      </c>
      <c r="L258" s="1" t="s">
        <v>974</v>
      </c>
      <c r="M258" s="6" t="str">
        <f>_xlfn.CONCAT(Table1[[#This Row],[Billing Street]], ", ", Table1[[#This Row],[Billing City]], ", ", Table1[[#This Row],[Billing State/Province]], ", ", Table1[[#This Row],[Billing Zip/Postal Code]])</f>
        <v>810 Hwy 225 South, Greenwood, SC, 29646</v>
      </c>
    </row>
    <row r="259" spans="1:13" ht="15.6" hidden="1" x14ac:dyDescent="0.3">
      <c r="A259" s="1" t="s">
        <v>975</v>
      </c>
      <c r="B259" s="1"/>
      <c r="C259" s="1"/>
      <c r="D259" s="1"/>
      <c r="E259" s="1"/>
      <c r="F259" s="1"/>
      <c r="G259" s="1" t="s">
        <v>8</v>
      </c>
      <c r="H259" s="2">
        <v>483</v>
      </c>
      <c r="I259" s="1" t="s">
        <v>976</v>
      </c>
      <c r="J259" s="1" t="s">
        <v>977</v>
      </c>
      <c r="K259" s="1" t="s">
        <v>51</v>
      </c>
      <c r="L259" s="1" t="s">
        <v>978</v>
      </c>
      <c r="M259" s="6" t="str">
        <f>_xlfn.CONCAT(Table1[[#This Row],[Billing Street]], ", ", Table1[[#This Row],[Billing City]], ", ", Table1[[#This Row],[Billing State/Province]], ", ", Table1[[#This Row],[Billing Zip/Postal Code]])</f>
        <v>1301 S. Capital of Texas Hwy,SteB-315, Austin, TX, 78746</v>
      </c>
    </row>
    <row r="260" spans="1:13" ht="15.6" x14ac:dyDescent="0.3">
      <c r="A260" s="1" t="s">
        <v>979</v>
      </c>
      <c r="B260" s="1"/>
      <c r="C260" s="1"/>
      <c r="D260" s="1"/>
      <c r="E260" s="1"/>
      <c r="F260" s="1"/>
      <c r="G260" s="1" t="s">
        <v>24</v>
      </c>
      <c r="H260" s="2">
        <v>5988</v>
      </c>
      <c r="I260" s="1" t="s">
        <v>980</v>
      </c>
      <c r="J260" s="1" t="s">
        <v>981</v>
      </c>
      <c r="K260" s="1" t="s">
        <v>31</v>
      </c>
      <c r="L260" s="1" t="s">
        <v>982</v>
      </c>
      <c r="M260" s="6" t="str">
        <f>_xlfn.CONCAT(Table1[[#This Row],[Billing Street]], ", ", Table1[[#This Row],[Billing City]], ", ", Table1[[#This Row],[Billing State/Province]], ", ", Table1[[#This Row],[Billing Zip/Postal Code]])</f>
        <v>4201 Mckinney Avenue, Gulfport, MS, 39051</v>
      </c>
    </row>
    <row r="261" spans="1:13" ht="15.6" hidden="1" x14ac:dyDescent="0.3">
      <c r="A261" s="1" t="s">
        <v>983</v>
      </c>
      <c r="B261" s="1"/>
      <c r="C261" s="1"/>
      <c r="D261" s="1"/>
      <c r="E261" s="1"/>
      <c r="F261" s="1"/>
      <c r="G261" s="1" t="s">
        <v>54</v>
      </c>
      <c r="H261" s="2">
        <v>24</v>
      </c>
      <c r="I261" s="1" t="s">
        <v>984</v>
      </c>
      <c r="J261" s="1" t="s">
        <v>985</v>
      </c>
      <c r="K261" s="1" t="s">
        <v>57</v>
      </c>
      <c r="L261" s="1" t="s">
        <v>986</v>
      </c>
      <c r="M261" s="6" t="str">
        <f>_xlfn.CONCAT(Table1[[#This Row],[Billing Street]], ", ", Table1[[#This Row],[Billing City]], ", ", Table1[[#This Row],[Billing State/Province]], ", ", Table1[[#This Row],[Billing Zip/Postal Code]])</f>
        <v>201 S. Anaheim Blvd Suite 601, Anaheim, CA, 92805</v>
      </c>
    </row>
    <row r="262" spans="1:13" ht="15.6" hidden="1" x14ac:dyDescent="0.3">
      <c r="A262" s="1" t="s">
        <v>987</v>
      </c>
      <c r="B262" s="1"/>
      <c r="C262" s="1"/>
      <c r="D262" s="1"/>
      <c r="E262" s="1"/>
      <c r="F262" s="1"/>
      <c r="G262" s="1" t="s">
        <v>8</v>
      </c>
      <c r="H262" s="2">
        <v>328</v>
      </c>
      <c r="I262" s="1" t="s">
        <v>988</v>
      </c>
      <c r="J262" s="1" t="s">
        <v>989</v>
      </c>
      <c r="K262" s="1" t="s">
        <v>165</v>
      </c>
      <c r="L262" s="1" t="s">
        <v>990</v>
      </c>
      <c r="M262" s="6" t="str">
        <f>_xlfn.CONCAT(Table1[[#This Row],[Billing Street]], ", ", Table1[[#This Row],[Billing City]], ", ", Table1[[#This Row],[Billing State/Province]], ", ", Table1[[#This Row],[Billing Zip/Postal Code]])</f>
        <v>303 West Hale, Osceola, AR, 72370</v>
      </c>
    </row>
    <row r="263" spans="1:13" ht="15.6" hidden="1" x14ac:dyDescent="0.3">
      <c r="A263" s="1" t="s">
        <v>991</v>
      </c>
      <c r="B263" s="1"/>
      <c r="C263" s="1"/>
      <c r="D263" s="1"/>
      <c r="E263" s="1"/>
      <c r="F263" s="1"/>
      <c r="G263" s="1" t="s">
        <v>54</v>
      </c>
      <c r="H263" s="2">
        <v>59</v>
      </c>
      <c r="I263" s="1" t="s">
        <v>992</v>
      </c>
      <c r="J263" s="1" t="s">
        <v>993</v>
      </c>
      <c r="K263" s="1" t="s">
        <v>57</v>
      </c>
      <c r="L263" s="1" t="s">
        <v>994</v>
      </c>
      <c r="M263" s="6" t="str">
        <f>_xlfn.CONCAT(Table1[[#This Row],[Billing Street]], ", ", Table1[[#This Row],[Billing City]], ", ", Table1[[#This Row],[Billing State/Province]], ", ", Table1[[#This Row],[Billing Zip/Postal Code]])</f>
        <v>7979 Palm Ave., Highland, CA, 92346</v>
      </c>
    </row>
    <row r="264" spans="1:13" ht="15.6" x14ac:dyDescent="0.3">
      <c r="A264" s="1" t="s">
        <v>995</v>
      </c>
      <c r="B264" s="1"/>
      <c r="C264" s="1"/>
      <c r="D264" s="1"/>
      <c r="E264" s="1"/>
      <c r="F264" s="1"/>
      <c r="G264" s="1" t="s">
        <v>24</v>
      </c>
      <c r="H264" s="2">
        <v>156</v>
      </c>
      <c r="I264" s="1" t="s">
        <v>996</v>
      </c>
      <c r="J264" s="1" t="s">
        <v>997</v>
      </c>
      <c r="K264" s="1" t="s">
        <v>26</v>
      </c>
      <c r="L264" s="1" t="s">
        <v>998</v>
      </c>
      <c r="M264" s="6" t="str">
        <f>_xlfn.CONCAT(Table1[[#This Row],[Billing Street]], ", ", Table1[[#This Row],[Billing City]], ", ", Table1[[#This Row],[Billing State/Province]], ", ", Table1[[#This Row],[Billing Zip/Postal Code]])</f>
        <v>291 4th Place SE, Lafayette, AL, 36862</v>
      </c>
    </row>
    <row r="265" spans="1:13" ht="15.6" hidden="1" x14ac:dyDescent="0.3">
      <c r="A265" s="1" t="s">
        <v>999</v>
      </c>
      <c r="B265" s="1"/>
      <c r="C265" s="1"/>
      <c r="D265" s="1"/>
      <c r="E265" s="1"/>
      <c r="F265" s="1"/>
      <c r="G265" s="1" t="s">
        <v>98</v>
      </c>
      <c r="H265" s="2">
        <v>12</v>
      </c>
      <c r="I265" s="1" t="s">
        <v>1000</v>
      </c>
      <c r="J265" s="1" t="s">
        <v>1001</v>
      </c>
      <c r="K265" s="1" t="s">
        <v>101</v>
      </c>
      <c r="L265" s="1" t="s">
        <v>1002</v>
      </c>
      <c r="M265" s="6" t="str">
        <f>_xlfn.CONCAT(Table1[[#This Row],[Billing Street]], ", ", Table1[[#This Row],[Billing City]], ", ", Table1[[#This Row],[Billing State/Province]], ", ", Table1[[#This Row],[Billing Zip/Postal Code]])</f>
        <v>590 Means Street NW Suite 200, Atlanta, GA, 30318</v>
      </c>
    </row>
    <row r="266" spans="1:13" ht="15.6" hidden="1" x14ac:dyDescent="0.3">
      <c r="A266" s="1" t="s">
        <v>1003</v>
      </c>
      <c r="B266" s="1"/>
      <c r="C266" s="1"/>
      <c r="D266" s="1"/>
      <c r="E266" s="1"/>
      <c r="F266" s="1"/>
      <c r="G266" s="1" t="s">
        <v>8</v>
      </c>
      <c r="H266" s="2">
        <v>294</v>
      </c>
      <c r="I266" s="1" t="s">
        <v>1004</v>
      </c>
      <c r="J266" s="1" t="s">
        <v>1005</v>
      </c>
      <c r="K266" s="1" t="s">
        <v>165</v>
      </c>
      <c r="L266" s="1" t="s">
        <v>1006</v>
      </c>
      <c r="M266" s="6" t="str">
        <f>_xlfn.CONCAT(Table1[[#This Row],[Billing Street]], ", ", Table1[[#This Row],[Billing City]], ", ", Table1[[#This Row],[Billing State/Province]], ", ", Table1[[#This Row],[Billing Zip/Postal Code]])</f>
        <v>2298 US-64, Wynne, AR, 72396</v>
      </c>
    </row>
    <row r="267" spans="1:13" ht="15.6" x14ac:dyDescent="0.3">
      <c r="A267" s="1" t="s">
        <v>1007</v>
      </c>
      <c r="B267" s="1"/>
      <c r="C267" s="1"/>
      <c r="D267" s="1"/>
      <c r="E267" s="1"/>
      <c r="F267" s="1"/>
      <c r="G267" s="1" t="s">
        <v>24</v>
      </c>
      <c r="H267" s="2">
        <v>36</v>
      </c>
      <c r="I267" s="1" t="s">
        <v>1008</v>
      </c>
      <c r="J267" s="1" t="s">
        <v>1009</v>
      </c>
      <c r="K267" s="1" t="s">
        <v>26</v>
      </c>
      <c r="L267" s="1" t="s">
        <v>1010</v>
      </c>
      <c r="M267" s="6" t="str">
        <f>_xlfn.CONCAT(Table1[[#This Row],[Billing Street]], ", ", Table1[[#This Row],[Billing City]], ", ", Table1[[#This Row],[Billing State/Province]], ", ", Table1[[#This Row],[Billing Zip/Postal Code]])</f>
        <v>203 W. Main, Hartford, AL, 36334</v>
      </c>
    </row>
    <row r="268" spans="1:13" ht="15.6" hidden="1" x14ac:dyDescent="0.3">
      <c r="A268" s="1" t="s">
        <v>1011</v>
      </c>
      <c r="B268" s="1"/>
      <c r="C268" s="1"/>
      <c r="D268" s="1"/>
      <c r="E268" s="1"/>
      <c r="F268" s="1"/>
      <c r="G268" s="1" t="s">
        <v>8</v>
      </c>
      <c r="H268" s="2">
        <v>301</v>
      </c>
      <c r="I268" s="1" t="s">
        <v>1012</v>
      </c>
      <c r="J268" s="1" t="s">
        <v>1013</v>
      </c>
      <c r="K268" s="1" t="s">
        <v>165</v>
      </c>
      <c r="L268" s="1" t="s">
        <v>1014</v>
      </c>
      <c r="M268" s="6" t="str">
        <f>_xlfn.CONCAT(Table1[[#This Row],[Billing Street]], ", ", Table1[[#This Row],[Billing City]], ", ", Table1[[#This Row],[Billing State/Province]], ", ", Table1[[#This Row],[Billing Zip/Postal Code]])</f>
        <v>3201 Highway 1 North, Forrest City, AR, 72335</v>
      </c>
    </row>
    <row r="269" spans="1:13" ht="15.6" hidden="1" x14ac:dyDescent="0.3">
      <c r="A269" s="1" t="s">
        <v>1015</v>
      </c>
      <c r="B269" s="1"/>
      <c r="C269" s="1"/>
      <c r="D269" s="1"/>
      <c r="E269" s="1"/>
      <c r="F269" s="1"/>
      <c r="G269" s="1" t="s">
        <v>8</v>
      </c>
      <c r="H269" s="2">
        <v>138</v>
      </c>
      <c r="I269" s="1" t="s">
        <v>1016</v>
      </c>
      <c r="J269" s="1" t="s">
        <v>1017</v>
      </c>
      <c r="K269" s="1" t="s">
        <v>11</v>
      </c>
      <c r="L269" s="1" t="s">
        <v>1018</v>
      </c>
      <c r="M269" s="6" t="str">
        <f>_xlfn.CONCAT(Table1[[#This Row],[Billing Street]], ", ", Table1[[#This Row],[Billing City]], ", ", Table1[[#This Row],[Billing State/Province]], ", ", Table1[[#This Row],[Billing Zip/Postal Code]])</f>
        <v>2449 State Highway 76 E, Branson, MO, 65615</v>
      </c>
    </row>
    <row r="270" spans="1:13" ht="15.6" hidden="1" x14ac:dyDescent="0.3">
      <c r="A270" s="1" t="s">
        <v>1019</v>
      </c>
      <c r="B270" s="1"/>
      <c r="C270" s="1"/>
      <c r="D270" s="1"/>
      <c r="E270" s="1"/>
      <c r="F270" s="1"/>
      <c r="G270" s="1" t="s">
        <v>8</v>
      </c>
      <c r="H270" s="2">
        <v>55</v>
      </c>
      <c r="I270" s="1" t="s">
        <v>1020</v>
      </c>
      <c r="J270" s="1" t="s">
        <v>1021</v>
      </c>
      <c r="K270" s="1" t="s">
        <v>554</v>
      </c>
      <c r="L270" s="1" t="s">
        <v>1022</v>
      </c>
      <c r="M270" s="6" t="str">
        <f>_xlfn.CONCAT(Table1[[#This Row],[Billing Street]], ", ", Table1[[#This Row],[Billing City]], ", ", Table1[[#This Row],[Billing State/Province]], ", ", Table1[[#This Row],[Billing Zip/Postal Code]])</f>
        <v>1216 Hawaii Rd, Humboldt, KS, 66748</v>
      </c>
    </row>
    <row r="271" spans="1:13" ht="15.6" x14ac:dyDescent="0.3">
      <c r="A271" s="1" t="s">
        <v>1023</v>
      </c>
      <c r="B271" s="1"/>
      <c r="C271" s="1"/>
      <c r="D271" s="1"/>
      <c r="E271" s="1"/>
      <c r="F271" s="1"/>
      <c r="G271" s="1" t="s">
        <v>24</v>
      </c>
      <c r="H271" s="2">
        <v>135</v>
      </c>
      <c r="I271" s="1" t="s">
        <v>1024</v>
      </c>
      <c r="J271" s="1" t="s">
        <v>1025</v>
      </c>
      <c r="K271" s="1" t="s">
        <v>26</v>
      </c>
      <c r="L271" s="1" t="s">
        <v>1026</v>
      </c>
      <c r="M271" s="6" t="str">
        <f>_xlfn.CONCAT(Table1[[#This Row],[Billing Street]], ", ", Table1[[#This Row],[Billing City]], ", ", Table1[[#This Row],[Billing State/Province]], ", ", Table1[[#This Row],[Billing Zip/Postal Code]])</f>
        <v>2717 Lee Road 166, Opeliika, AL, 36801</v>
      </c>
    </row>
    <row r="272" spans="1:13" ht="15.6" x14ac:dyDescent="0.3">
      <c r="A272" s="1" t="s">
        <v>1027</v>
      </c>
      <c r="B272" s="1"/>
      <c r="C272" s="1"/>
      <c r="D272" s="1"/>
      <c r="E272" s="1"/>
      <c r="F272" s="1"/>
      <c r="G272" s="1" t="s">
        <v>24</v>
      </c>
      <c r="H272" s="2">
        <v>97</v>
      </c>
      <c r="I272" s="1" t="s">
        <v>1028</v>
      </c>
      <c r="J272" s="1" t="s">
        <v>1029</v>
      </c>
      <c r="K272" s="1" t="s">
        <v>26</v>
      </c>
      <c r="L272" s="1" t="s">
        <v>1030</v>
      </c>
      <c r="M272" s="6" t="str">
        <f>_xlfn.CONCAT(Table1[[#This Row],[Billing Street]], ", ", Table1[[#This Row],[Billing City]], ", ", Table1[[#This Row],[Billing State/Province]], ", ", Table1[[#This Row],[Billing Zip/Postal Code]])</f>
        <v>17175 John Glenn Ave, Robertsdale, AL, 36567</v>
      </c>
    </row>
    <row r="273" spans="1:13" ht="15.6" hidden="1" x14ac:dyDescent="0.3">
      <c r="A273" s="1" t="s">
        <v>1031</v>
      </c>
      <c r="B273" s="1"/>
      <c r="C273" s="1"/>
      <c r="D273" s="1"/>
      <c r="E273" s="1"/>
      <c r="F273" s="1"/>
      <c r="G273" s="1" t="s">
        <v>54</v>
      </c>
      <c r="H273" s="2">
        <v>99</v>
      </c>
      <c r="I273" s="1" t="s">
        <v>1032</v>
      </c>
      <c r="J273" s="1" t="s">
        <v>202</v>
      </c>
      <c r="K273" s="1" t="s">
        <v>57</v>
      </c>
      <c r="L273" s="1" t="s">
        <v>1033</v>
      </c>
      <c r="M273" s="6" t="str">
        <f>_xlfn.CONCAT(Table1[[#This Row],[Billing Street]], ", ", Table1[[#This Row],[Billing City]], ", ", Table1[[#This Row],[Billing State/Province]], ", ", Table1[[#This Row],[Billing Zip/Postal Code]])</f>
        <v>4600 Ashe Rd   Suite 311, Bakersfield, CA, 93313</v>
      </c>
    </row>
    <row r="274" spans="1:13" ht="15.6" hidden="1" x14ac:dyDescent="0.3">
      <c r="A274" s="1" t="s">
        <v>1034</v>
      </c>
      <c r="B274" s="1"/>
      <c r="C274" s="1"/>
      <c r="D274" s="1"/>
      <c r="E274" s="1"/>
      <c r="F274" s="1"/>
      <c r="G274" s="1" t="s">
        <v>8</v>
      </c>
      <c r="H274" s="2">
        <v>497</v>
      </c>
      <c r="I274" s="1" t="s">
        <v>1035</v>
      </c>
      <c r="J274" s="1" t="s">
        <v>557</v>
      </c>
      <c r="K274" s="1" t="s">
        <v>51</v>
      </c>
      <c r="L274" s="1" t="s">
        <v>1036</v>
      </c>
      <c r="M274" s="6" t="str">
        <f>_xlfn.CONCAT(Table1[[#This Row],[Billing Street]], ", ", Table1[[#This Row],[Billing City]], ", ", Table1[[#This Row],[Billing State/Province]], ", ", Table1[[#This Row],[Billing Zip/Postal Code]])</f>
        <v>5700 NW Central Dr. Ste 240, Houston, TX, 77092</v>
      </c>
    </row>
    <row r="275" spans="1:13" ht="15.6" hidden="1" x14ac:dyDescent="0.3">
      <c r="A275" s="1" t="s">
        <v>1037</v>
      </c>
      <c r="B275" s="1"/>
      <c r="C275" s="1"/>
      <c r="D275" s="1"/>
      <c r="E275" s="1"/>
      <c r="F275" s="1"/>
      <c r="G275" s="1" t="s">
        <v>48</v>
      </c>
      <c r="H275" s="2">
        <v>0</v>
      </c>
      <c r="I275" s="1" t="s">
        <v>1038</v>
      </c>
      <c r="J275" s="1" t="s">
        <v>1039</v>
      </c>
      <c r="K275" s="1" t="s">
        <v>57</v>
      </c>
      <c r="L275" s="1" t="s">
        <v>1040</v>
      </c>
      <c r="M275" s="6" t="str">
        <f>_xlfn.CONCAT(Table1[[#This Row],[Billing Street]], ", ", Table1[[#This Row],[Billing City]], ", ", Table1[[#This Row],[Billing State/Province]], ", ", Table1[[#This Row],[Billing Zip/Postal Code]])</f>
        <v>141 N. Glendale Ave, Glendale, CA, 91206</v>
      </c>
    </row>
    <row r="276" spans="1:13" ht="15.6" hidden="1" x14ac:dyDescent="0.3">
      <c r="A276" s="1" t="s">
        <v>1041</v>
      </c>
      <c r="B276" s="1"/>
      <c r="C276" s="1"/>
      <c r="D276" s="1"/>
      <c r="E276" s="1"/>
      <c r="F276" s="1"/>
      <c r="G276" s="1" t="s">
        <v>8</v>
      </c>
      <c r="H276" s="2">
        <v>301</v>
      </c>
      <c r="I276" s="1" t="s">
        <v>1042</v>
      </c>
      <c r="J276" s="1" t="s">
        <v>900</v>
      </c>
      <c r="K276" s="1" t="s">
        <v>11</v>
      </c>
      <c r="L276" s="1" t="s">
        <v>905</v>
      </c>
      <c r="M276" s="6" t="str">
        <f>_xlfn.CONCAT(Table1[[#This Row],[Billing Street]], ", ", Table1[[#This Row],[Billing City]], ", ", Table1[[#This Row],[Billing State/Province]], ", ", Table1[[#This Row],[Billing Zip/Postal Code]])</f>
        <v>1572 Larkin Williams Rd, St Louis, MO, 63026</v>
      </c>
    </row>
    <row r="277" spans="1:13" ht="15.6" hidden="1" x14ac:dyDescent="0.3">
      <c r="A277" s="1" t="s">
        <v>1043</v>
      </c>
      <c r="B277" s="1"/>
      <c r="C277" s="1"/>
      <c r="D277" s="1"/>
      <c r="E277" s="1"/>
      <c r="F277" s="1"/>
      <c r="G277" s="1" t="s">
        <v>54</v>
      </c>
      <c r="H277" s="2">
        <v>7813</v>
      </c>
      <c r="I277" s="1" t="s">
        <v>13</v>
      </c>
      <c r="J277" s="1" t="s">
        <v>13</v>
      </c>
      <c r="K277" s="1" t="s">
        <v>57</v>
      </c>
      <c r="L277" s="1" t="s">
        <v>13</v>
      </c>
      <c r="M277" s="6" t="str">
        <f>_xlfn.CONCAT(Table1[[#This Row],[Billing Street]], ", ", Table1[[#This Row],[Billing City]], ", ", Table1[[#This Row],[Billing State/Province]], ", ", Table1[[#This Row],[Billing Zip/Postal Code]])</f>
        <v xml:space="preserve">, , CA, </v>
      </c>
    </row>
    <row r="278" spans="1:13" ht="15.6" hidden="1" x14ac:dyDescent="0.3">
      <c r="A278" s="1" t="s">
        <v>1044</v>
      </c>
      <c r="B278" s="1"/>
      <c r="C278" s="1"/>
      <c r="D278" s="1"/>
      <c r="E278" s="1"/>
      <c r="F278" s="1"/>
      <c r="G278" s="1" t="s">
        <v>98</v>
      </c>
      <c r="H278" s="2">
        <v>5887</v>
      </c>
      <c r="I278" s="1" t="s">
        <v>13</v>
      </c>
      <c r="J278" s="1" t="s">
        <v>1045</v>
      </c>
      <c r="K278" s="1" t="s">
        <v>101</v>
      </c>
      <c r="L278" s="1" t="s">
        <v>13</v>
      </c>
      <c r="M278" s="6" t="str">
        <f>_xlfn.CONCAT(Table1[[#This Row],[Billing Street]], ", ", Table1[[#This Row],[Billing City]], ", ", Table1[[#This Row],[Billing State/Province]], ", ", Table1[[#This Row],[Billing Zip/Postal Code]])</f>
        <v xml:space="preserve">, Cairo, GA, </v>
      </c>
    </row>
    <row r="279" spans="1:13" ht="15.6" hidden="1" x14ac:dyDescent="0.3">
      <c r="A279" s="1" t="s">
        <v>1046</v>
      </c>
      <c r="B279" s="1"/>
      <c r="C279" s="1"/>
      <c r="D279" s="1"/>
      <c r="E279" s="1"/>
      <c r="F279" s="1"/>
      <c r="G279" s="1" t="s">
        <v>54</v>
      </c>
      <c r="H279" s="2">
        <v>48</v>
      </c>
      <c r="I279" s="1" t="s">
        <v>1047</v>
      </c>
      <c r="J279" s="1" t="s">
        <v>189</v>
      </c>
      <c r="K279" s="1" t="s">
        <v>57</v>
      </c>
      <c r="L279" s="1" t="s">
        <v>1048</v>
      </c>
      <c r="M279" s="6" t="str">
        <f>_xlfn.CONCAT(Table1[[#This Row],[Billing Street]], ", ", Table1[[#This Row],[Billing City]], ", ", Table1[[#This Row],[Billing State/Province]], ", ", Table1[[#This Row],[Billing Zip/Postal Code]])</f>
        <v>2911 Adams, Riverside, CA, 92504</v>
      </c>
    </row>
    <row r="280" spans="1:13" ht="15.6" hidden="1" x14ac:dyDescent="0.3">
      <c r="A280" s="1" t="s">
        <v>1049</v>
      </c>
      <c r="B280" s="1"/>
      <c r="C280" s="1"/>
      <c r="D280" s="1"/>
      <c r="E280" s="1"/>
      <c r="F280" s="1"/>
      <c r="G280" s="1" t="s">
        <v>43</v>
      </c>
      <c r="H280" s="2">
        <v>110</v>
      </c>
      <c r="I280" s="1" t="s">
        <v>1050</v>
      </c>
      <c r="J280" s="1" t="s">
        <v>1051</v>
      </c>
      <c r="K280" s="1" t="s">
        <v>45</v>
      </c>
      <c r="L280" s="1" t="s">
        <v>1052</v>
      </c>
      <c r="M280" s="6" t="str">
        <f>_xlfn.CONCAT(Table1[[#This Row],[Billing Street]], ", ", Table1[[#This Row],[Billing City]], ", ", Table1[[#This Row],[Billing State/Province]], ", ", Table1[[#This Row],[Billing Zip/Postal Code]])</f>
        <v>6519 Fairfield Drive, Northwood, OH, 43619</v>
      </c>
    </row>
    <row r="281" spans="1:13" ht="15.6" hidden="1" x14ac:dyDescent="0.3">
      <c r="A281" s="1" t="s">
        <v>1053</v>
      </c>
      <c r="B281" s="1"/>
      <c r="C281" s="1"/>
      <c r="D281" s="1"/>
      <c r="E281" s="1"/>
      <c r="F281" s="1"/>
      <c r="G281" s="1" t="s">
        <v>43</v>
      </c>
      <c r="H281" s="2">
        <v>5776</v>
      </c>
      <c r="I281" s="1" t="s">
        <v>1054</v>
      </c>
      <c r="J281" s="1" t="s">
        <v>1055</v>
      </c>
      <c r="K281" s="1" t="s">
        <v>95</v>
      </c>
      <c r="L281" s="1" t="s">
        <v>1056</v>
      </c>
      <c r="M281" s="6" t="str">
        <f>_xlfn.CONCAT(Table1[[#This Row],[Billing Street]], ", ", Table1[[#This Row],[Billing City]], ", ", Table1[[#This Row],[Billing State/Province]], ", ", Table1[[#This Row],[Billing Zip/Postal Code]])</f>
        <v>42 Longwater Drive, Norwell, MA, 2061</v>
      </c>
    </row>
    <row r="282" spans="1:13" ht="15.6" hidden="1" x14ac:dyDescent="0.3">
      <c r="A282" s="1" t="s">
        <v>1057</v>
      </c>
      <c r="B282" s="1"/>
      <c r="C282" s="1"/>
      <c r="D282" s="1"/>
      <c r="E282" s="1"/>
      <c r="F282" s="1"/>
      <c r="G282" s="1" t="s">
        <v>54</v>
      </c>
      <c r="H282" s="2">
        <v>175</v>
      </c>
      <c r="I282" s="1" t="s">
        <v>1058</v>
      </c>
      <c r="J282" s="1" t="s">
        <v>1059</v>
      </c>
      <c r="K282" s="1" t="s">
        <v>57</v>
      </c>
      <c r="L282" s="1" t="s">
        <v>1060</v>
      </c>
      <c r="M282" s="6" t="str">
        <f>_xlfn.CONCAT(Table1[[#This Row],[Billing Street]], ", ", Table1[[#This Row],[Billing City]], ", ", Table1[[#This Row],[Billing State/Province]], ", ", Table1[[#This Row],[Billing Zip/Postal Code]])</f>
        <v>333 E. Barioni Blvd, Imperial, CA, 92251</v>
      </c>
    </row>
    <row r="283" spans="1:13" ht="15.6" hidden="1" x14ac:dyDescent="0.3">
      <c r="A283" s="1" t="s">
        <v>1061</v>
      </c>
      <c r="B283" s="1"/>
      <c r="C283" s="1"/>
      <c r="D283" s="1"/>
      <c r="E283" s="1"/>
      <c r="F283" s="1"/>
      <c r="G283" s="1" t="s">
        <v>205</v>
      </c>
      <c r="H283" s="2">
        <v>5</v>
      </c>
      <c r="I283" s="1" t="s">
        <v>1062</v>
      </c>
      <c r="J283" s="1" t="s">
        <v>518</v>
      </c>
      <c r="K283" s="1" t="s">
        <v>479</v>
      </c>
      <c r="L283" s="1" t="s">
        <v>1063</v>
      </c>
      <c r="M283" s="6" t="str">
        <f>_xlfn.CONCAT(Table1[[#This Row],[Billing Street]], ", ", Table1[[#This Row],[Billing City]], ", ", Table1[[#This Row],[Billing State/Province]], ", ", Table1[[#This Row],[Billing Zip/Postal Code]])</f>
        <v>4829 S 38th St, Phoenix, AZ, 85040</v>
      </c>
    </row>
    <row r="284" spans="1:13" ht="15.6" hidden="1" x14ac:dyDescent="0.3">
      <c r="A284" s="1" t="s">
        <v>1064</v>
      </c>
      <c r="B284" s="1"/>
      <c r="C284" s="1"/>
      <c r="D284" s="1"/>
      <c r="E284" s="1"/>
      <c r="F284" s="1"/>
      <c r="G284" s="1" t="s">
        <v>8</v>
      </c>
      <c r="H284" s="2">
        <v>304</v>
      </c>
      <c r="I284" s="1" t="s">
        <v>1065</v>
      </c>
      <c r="J284" s="1" t="s">
        <v>1066</v>
      </c>
      <c r="K284" s="1" t="s">
        <v>165</v>
      </c>
      <c r="L284" s="1" t="s">
        <v>1067</v>
      </c>
      <c r="M284" s="6" t="str">
        <f>_xlfn.CONCAT(Table1[[#This Row],[Billing Street]], ", ", Table1[[#This Row],[Billing City]], ", ", Table1[[#This Row],[Billing State/Province]], ", ", Table1[[#This Row],[Billing Zip/Postal Code]])</f>
        <v>194 W. Court St., PIGGOTT, AR, 72454</v>
      </c>
    </row>
    <row r="285" spans="1:13" ht="15.6" x14ac:dyDescent="0.3">
      <c r="A285" s="1" t="s">
        <v>1068</v>
      </c>
      <c r="B285" s="1"/>
      <c r="C285" s="1"/>
      <c r="D285" s="1"/>
      <c r="E285" s="1"/>
      <c r="F285" s="1"/>
      <c r="G285" s="1" t="s">
        <v>24</v>
      </c>
      <c r="H285" s="2">
        <v>208</v>
      </c>
      <c r="I285" s="1" t="s">
        <v>1069</v>
      </c>
      <c r="J285" s="1" t="s">
        <v>1070</v>
      </c>
      <c r="K285" s="1" t="s">
        <v>31</v>
      </c>
      <c r="L285" s="1" t="s">
        <v>1071</v>
      </c>
      <c r="M285" s="6" t="str">
        <f>_xlfn.CONCAT(Table1[[#This Row],[Billing Street]], ", ", Table1[[#This Row],[Billing City]], ", ", Table1[[#This Row],[Billing State/Province]], ", ", Table1[[#This Row],[Billing Zip/Postal Code]])</f>
        <v>Southern Pine Electric, 834 MS-28, Taylorsville, MS, 39168</v>
      </c>
    </row>
    <row r="286" spans="1:13" ht="15.6" x14ac:dyDescent="0.3">
      <c r="A286" s="1" t="s">
        <v>1072</v>
      </c>
      <c r="B286" s="1"/>
      <c r="C286" s="1"/>
      <c r="D286" s="1"/>
      <c r="E286" s="1"/>
      <c r="F286" s="1"/>
      <c r="G286" s="1" t="s">
        <v>24</v>
      </c>
      <c r="H286" s="2">
        <v>5988</v>
      </c>
      <c r="I286" s="1" t="s">
        <v>1073</v>
      </c>
      <c r="J286" s="1" t="s">
        <v>1074</v>
      </c>
      <c r="K286" s="1" t="s">
        <v>31</v>
      </c>
      <c r="L286" s="1" t="s">
        <v>1075</v>
      </c>
      <c r="M286" s="6" t="str">
        <f>_xlfn.CONCAT(Table1[[#This Row],[Billing Street]], ", ", Table1[[#This Row],[Billing City]], ", ", Table1[[#This Row],[Billing State/Province]], ", ", Table1[[#This Row],[Billing Zip/Postal Code]])</f>
        <v>3105 West 4th Street, Hattiesburg, MS, 39406</v>
      </c>
    </row>
    <row r="287" spans="1:13" ht="15.6" hidden="1" x14ac:dyDescent="0.3">
      <c r="A287" s="1" t="s">
        <v>1076</v>
      </c>
      <c r="B287" s="1"/>
      <c r="C287" s="1"/>
      <c r="D287" s="1"/>
      <c r="E287" s="1"/>
      <c r="F287" s="1"/>
      <c r="G287" s="1" t="s">
        <v>54</v>
      </c>
      <c r="H287" s="2">
        <v>503</v>
      </c>
      <c r="I287" s="1" t="s">
        <v>1077</v>
      </c>
      <c r="J287" s="1" t="s">
        <v>1078</v>
      </c>
      <c r="K287" s="1" t="s">
        <v>57</v>
      </c>
      <c r="L287" s="1" t="s">
        <v>1079</v>
      </c>
      <c r="M287" s="6" t="str">
        <f>_xlfn.CONCAT(Table1[[#This Row],[Billing Street]], ", ", Table1[[#This Row],[Billing City]], ", ", Table1[[#This Row],[Billing State/Province]], ", ", Table1[[#This Row],[Billing Zip/Postal Code]])</f>
        <v>20055 Viking Way Bldg. # 2, Redding, CA, 96049-6071</v>
      </c>
    </row>
    <row r="288" spans="1:13" ht="15.6" hidden="1" x14ac:dyDescent="0.3">
      <c r="A288" s="1" t="s">
        <v>1080</v>
      </c>
      <c r="B288" s="1"/>
      <c r="C288" s="1"/>
      <c r="D288" s="1"/>
      <c r="E288" s="1"/>
      <c r="F288" s="1"/>
      <c r="G288" s="1" t="s">
        <v>43</v>
      </c>
      <c r="H288" s="2">
        <v>5776</v>
      </c>
      <c r="I288" s="1" t="s">
        <v>1081</v>
      </c>
      <c r="J288" s="1" t="s">
        <v>1082</v>
      </c>
      <c r="K288" s="1" t="s">
        <v>586</v>
      </c>
      <c r="L288" s="1" t="s">
        <v>1083</v>
      </c>
      <c r="M288" s="6" t="str">
        <f>_xlfn.CONCAT(Table1[[#This Row],[Billing Street]], ", ", Table1[[#This Row],[Billing City]], ", ", Table1[[#This Row],[Billing State/Province]], ", ", Table1[[#This Row],[Billing Zip/Postal Code]])</f>
        <v>60 Tenean St, Boston, ma, 2122</v>
      </c>
    </row>
    <row r="289" spans="1:13" ht="15.6" x14ac:dyDescent="0.3">
      <c r="A289" s="1" t="s">
        <v>1084</v>
      </c>
      <c r="B289" s="1"/>
      <c r="C289" s="1"/>
      <c r="D289" s="1"/>
      <c r="E289" s="1"/>
      <c r="F289" s="1"/>
      <c r="G289" s="1" t="s">
        <v>24</v>
      </c>
      <c r="H289" s="2">
        <v>5988</v>
      </c>
      <c r="I289" s="1" t="s">
        <v>1085</v>
      </c>
      <c r="J289" s="1" t="s">
        <v>25</v>
      </c>
      <c r="K289" s="1" t="s">
        <v>26</v>
      </c>
      <c r="L289" s="1" t="s">
        <v>1086</v>
      </c>
      <c r="M289" s="6" t="str">
        <f>_xlfn.CONCAT(Table1[[#This Row],[Billing Street]], ", ", Table1[[#This Row],[Billing City]], ", ", Table1[[#This Row],[Billing State/Province]], ", ", Table1[[#This Row],[Billing Zip/Postal Code]])</f>
        <v>340 Technacenter Dr, Montgomery, AL, 36117</v>
      </c>
    </row>
    <row r="290" spans="1:13" ht="15.6" hidden="1" x14ac:dyDescent="0.3">
      <c r="A290" s="1" t="s">
        <v>1087</v>
      </c>
      <c r="B290" s="1"/>
      <c r="C290" s="1"/>
      <c r="D290" s="1"/>
      <c r="E290" s="1"/>
      <c r="F290" s="1"/>
      <c r="G290" s="1" t="s">
        <v>54</v>
      </c>
      <c r="H290" s="2">
        <v>328</v>
      </c>
      <c r="I290" s="1" t="s">
        <v>1088</v>
      </c>
      <c r="J290" s="1" t="s">
        <v>1089</v>
      </c>
      <c r="K290" s="1" t="s">
        <v>57</v>
      </c>
      <c r="L290" s="1" t="s">
        <v>1090</v>
      </c>
      <c r="M290" s="6" t="str">
        <f>_xlfn.CONCAT(Table1[[#This Row],[Billing Street]], ", ", Table1[[#This Row],[Billing City]], ", ", Table1[[#This Row],[Billing State/Province]], ", ", Table1[[#This Row],[Billing Zip/Postal Code]])</f>
        <v>1331 S. Ham Lane, Lodi, CA, 95242</v>
      </c>
    </row>
    <row r="291" spans="1:13" ht="15.6" x14ac:dyDescent="0.3">
      <c r="A291" s="1" t="s">
        <v>1091</v>
      </c>
      <c r="B291" s="1"/>
      <c r="C291" s="1"/>
      <c r="D291" s="1"/>
      <c r="E291" s="1"/>
      <c r="F291" s="1"/>
      <c r="G291" s="1" t="s">
        <v>24</v>
      </c>
      <c r="H291" s="2">
        <v>5988</v>
      </c>
      <c r="I291" s="1" t="s">
        <v>1092</v>
      </c>
      <c r="J291" s="1" t="s">
        <v>1093</v>
      </c>
      <c r="K291" s="1" t="s">
        <v>26</v>
      </c>
      <c r="L291" s="1" t="s">
        <v>1094</v>
      </c>
      <c r="M291" s="6" t="str">
        <f>_xlfn.CONCAT(Table1[[#This Row],[Billing Street]], ", ", Table1[[#This Row],[Billing City]], ", ", Table1[[#This Row],[Billing State/Province]], ", ", Table1[[#This Row],[Billing Zip/Postal Code]])</f>
        <v>2189 Notasulga Rd, Tallassee, AL, 36078</v>
      </c>
    </row>
    <row r="292" spans="1:13" ht="15.6" x14ac:dyDescent="0.3">
      <c r="A292" s="1" t="s">
        <v>1095</v>
      </c>
      <c r="B292" s="1"/>
      <c r="C292" s="1"/>
      <c r="D292" s="1"/>
      <c r="E292" s="1"/>
      <c r="F292" s="1"/>
      <c r="G292" s="1" t="s">
        <v>24</v>
      </c>
      <c r="H292" s="2">
        <v>5988</v>
      </c>
      <c r="I292" s="1" t="s">
        <v>1096</v>
      </c>
      <c r="J292" s="1" t="s">
        <v>1097</v>
      </c>
      <c r="K292" s="1" t="s">
        <v>26</v>
      </c>
      <c r="L292" s="1" t="s">
        <v>1098</v>
      </c>
      <c r="M292" s="6" t="str">
        <f>_xlfn.CONCAT(Table1[[#This Row],[Billing Street]], ", ", Table1[[#This Row],[Billing City]], ", ", Table1[[#This Row],[Billing State/Province]], ", ", Table1[[#This Row],[Billing Zip/Postal Code]])</f>
        <v>3111 McFarland Blvd, Northport, AL, 35476</v>
      </c>
    </row>
    <row r="293" spans="1:13" ht="15.6" hidden="1" x14ac:dyDescent="0.3">
      <c r="A293" s="1" t="s">
        <v>1099</v>
      </c>
      <c r="B293" s="1"/>
      <c r="C293" s="1"/>
      <c r="D293" s="1"/>
      <c r="E293" s="1"/>
      <c r="F293" s="1"/>
      <c r="G293" s="1" t="s">
        <v>43</v>
      </c>
      <c r="H293" s="2">
        <v>305</v>
      </c>
      <c r="I293" s="1" t="s">
        <v>1100</v>
      </c>
      <c r="J293" s="1" t="s">
        <v>1101</v>
      </c>
      <c r="K293" s="1" t="s">
        <v>237</v>
      </c>
      <c r="L293" s="1" t="s">
        <v>1102</v>
      </c>
      <c r="M293" s="6" t="str">
        <f>_xlfn.CONCAT(Table1[[#This Row],[Billing Street]], ", ", Table1[[#This Row],[Billing City]], ", ", Table1[[#This Row],[Billing State/Province]], ", ", Table1[[#This Row],[Billing Zip/Postal Code]])</f>
        <v>1201 E. Summit Street, Crown Point, IN, 46307</v>
      </c>
    </row>
    <row r="294" spans="1:13" ht="15.6" hidden="1" x14ac:dyDescent="0.3">
      <c r="A294" s="1" t="s">
        <v>1103</v>
      </c>
      <c r="B294" s="1"/>
      <c r="C294" s="1"/>
      <c r="D294" s="1"/>
      <c r="E294" s="1"/>
      <c r="F294" s="1"/>
      <c r="G294" s="1" t="s">
        <v>43</v>
      </c>
      <c r="H294" s="2">
        <v>286</v>
      </c>
      <c r="I294" s="1" t="s">
        <v>1104</v>
      </c>
      <c r="J294" s="1" t="s">
        <v>1105</v>
      </c>
      <c r="K294" s="1" t="s">
        <v>1106</v>
      </c>
      <c r="L294" s="1" t="s">
        <v>1107</v>
      </c>
      <c r="M294" s="6" t="str">
        <f>_xlfn.CONCAT(Table1[[#This Row],[Billing Street]], ", ", Table1[[#This Row],[Billing City]], ", ", Table1[[#This Row],[Billing State/Province]], ", ", Table1[[#This Row],[Billing Zip/Postal Code]])</f>
        <v>1300 Racquet Rd, Baltimore, md, 21209</v>
      </c>
    </row>
    <row r="295" spans="1:13" ht="15.6" hidden="1" x14ac:dyDescent="0.3">
      <c r="A295" s="1" t="s">
        <v>1108</v>
      </c>
      <c r="B295" s="1"/>
      <c r="C295" s="1"/>
      <c r="D295" s="1"/>
      <c r="E295" s="1"/>
      <c r="F295" s="1"/>
      <c r="G295" s="1" t="s">
        <v>54</v>
      </c>
      <c r="H295" s="2">
        <v>319</v>
      </c>
      <c r="I295" s="1" t="s">
        <v>1109</v>
      </c>
      <c r="J295" s="1" t="s">
        <v>1110</v>
      </c>
      <c r="K295" s="1" t="s">
        <v>57</v>
      </c>
      <c r="L295" s="1" t="s">
        <v>1111</v>
      </c>
      <c r="M295" s="6" t="str">
        <f>_xlfn.CONCAT(Table1[[#This Row],[Billing Street]], ", ", Table1[[#This Row],[Billing City]], ", ", Table1[[#This Row],[Billing State/Province]], ", ", Table1[[#This Row],[Billing Zip/Postal Code]])</f>
        <v>3201 E. Bayshore Rd, Palo Alto, CA, 94303</v>
      </c>
    </row>
    <row r="296" spans="1:13" ht="15.6" hidden="1" x14ac:dyDescent="0.3">
      <c r="A296" s="1" t="s">
        <v>1112</v>
      </c>
      <c r="B296" s="1"/>
      <c r="C296" s="1"/>
      <c r="D296" s="1"/>
      <c r="E296" s="1"/>
      <c r="F296" s="1"/>
      <c r="G296" s="1" t="s">
        <v>43</v>
      </c>
      <c r="H296" s="2">
        <v>328</v>
      </c>
      <c r="I296" s="1" t="s">
        <v>1113</v>
      </c>
      <c r="J296" s="1" t="s">
        <v>1114</v>
      </c>
      <c r="K296" s="1" t="s">
        <v>1115</v>
      </c>
      <c r="L296" s="1" t="s">
        <v>1116</v>
      </c>
      <c r="M296" s="6" t="str">
        <f>_xlfn.CONCAT(Table1[[#This Row],[Billing Street]], ", ", Table1[[#This Row],[Billing City]], ", ", Table1[[#This Row],[Billing State/Province]], ", ", Table1[[#This Row],[Billing Zip/Postal Code]])</f>
        <v>701 Coronet Dr, Bristol, VA, 24201</v>
      </c>
    </row>
    <row r="297" spans="1:13" ht="15.6" x14ac:dyDescent="0.3">
      <c r="A297" s="1" t="s">
        <v>1117</v>
      </c>
      <c r="B297" s="1"/>
      <c r="C297" s="1"/>
      <c r="D297" s="1"/>
      <c r="E297" s="1"/>
      <c r="F297" s="1"/>
      <c r="G297" s="1" t="s">
        <v>24</v>
      </c>
      <c r="H297" s="2">
        <v>332</v>
      </c>
      <c r="I297" s="1" t="s">
        <v>1118</v>
      </c>
      <c r="J297" s="1" t="s">
        <v>1119</v>
      </c>
      <c r="K297" s="1" t="s">
        <v>36</v>
      </c>
      <c r="L297" s="1" t="s">
        <v>1120</v>
      </c>
      <c r="M297" s="6" t="str">
        <f>_xlfn.CONCAT(Table1[[#This Row],[Billing Street]], ", ", Table1[[#This Row],[Billing City]], ", ", Table1[[#This Row],[Billing State/Province]], ", ", Table1[[#This Row],[Billing Zip/Postal Code]])</f>
        <v>1150 Field St, New Smyrna Beach, FL, 32170</v>
      </c>
    </row>
    <row r="298" spans="1:13" ht="15.6" hidden="1" x14ac:dyDescent="0.3">
      <c r="A298" s="1" t="s">
        <v>1121</v>
      </c>
      <c r="B298" s="1"/>
      <c r="C298" s="1"/>
      <c r="D298" s="1"/>
      <c r="E298" s="1"/>
      <c r="F298" s="1"/>
      <c r="G298" s="1" t="s">
        <v>54</v>
      </c>
      <c r="H298" s="2">
        <v>25</v>
      </c>
      <c r="I298" s="1" t="s">
        <v>1122</v>
      </c>
      <c r="J298" s="1" t="s">
        <v>1123</v>
      </c>
      <c r="K298" s="1" t="s">
        <v>57</v>
      </c>
      <c r="L298" s="1" t="s">
        <v>1124</v>
      </c>
      <c r="M298" s="6" t="str">
        <f>_xlfn.CONCAT(Table1[[#This Row],[Billing Street]], ", ", Table1[[#This Row],[Billing City]], ", ", Table1[[#This Row],[Billing State/Province]], ", ", Table1[[#This Row],[Billing Zip/Postal Code]])</f>
        <v>14660 Chestnut St, Westminster, CA, 92683</v>
      </c>
    </row>
    <row r="299" spans="1:13" ht="15.6" hidden="1" x14ac:dyDescent="0.3">
      <c r="A299" s="1" t="s">
        <v>1125</v>
      </c>
      <c r="B299" s="1"/>
      <c r="C299" s="1"/>
      <c r="D299" s="1"/>
      <c r="E299" s="1"/>
      <c r="F299" s="1"/>
      <c r="G299" s="1" t="s">
        <v>54</v>
      </c>
      <c r="H299" s="2">
        <v>140</v>
      </c>
      <c r="I299" s="1" t="s">
        <v>1126</v>
      </c>
      <c r="J299" s="1" t="s">
        <v>1127</v>
      </c>
      <c r="K299" s="1" t="s">
        <v>57</v>
      </c>
      <c r="L299" s="1" t="s">
        <v>1128</v>
      </c>
      <c r="M299" s="6" t="str">
        <f>_xlfn.CONCAT(Table1[[#This Row],[Billing Street]], ", ", Table1[[#This Row],[Billing City]], ", ", Table1[[#This Row],[Billing State/Province]], ", ", Table1[[#This Row],[Billing Zip/Postal Code]])</f>
        <v>1700 Stinton Rd., Santa Maria, CA, 93458</v>
      </c>
    </row>
    <row r="300" spans="1:13" ht="15.6" hidden="1" x14ac:dyDescent="0.3">
      <c r="A300" s="1" t="s">
        <v>1129</v>
      </c>
      <c r="B300" s="1"/>
      <c r="C300" s="1"/>
      <c r="D300" s="1"/>
      <c r="E300" s="1"/>
      <c r="F300" s="1"/>
      <c r="G300" s="1" t="s">
        <v>54</v>
      </c>
      <c r="H300" s="2">
        <v>53</v>
      </c>
      <c r="I300" s="1" t="s">
        <v>1130</v>
      </c>
      <c r="J300" s="1" t="s">
        <v>1131</v>
      </c>
      <c r="K300" s="1" t="s">
        <v>57</v>
      </c>
      <c r="L300" s="1" t="s">
        <v>1132</v>
      </c>
      <c r="M300" s="6" t="str">
        <f>_xlfn.CONCAT(Table1[[#This Row],[Billing Street]], ", ", Table1[[#This Row],[Billing City]], ", ", Table1[[#This Row],[Billing State/Province]], ", ", Table1[[#This Row],[Billing Zip/Postal Code]])</f>
        <v>150 S. 10th St., Colton, CA, 92324</v>
      </c>
    </row>
    <row r="301" spans="1:13" ht="15.6" hidden="1" x14ac:dyDescent="0.3">
      <c r="A301" s="1" t="s">
        <v>1133</v>
      </c>
      <c r="B301" s="1"/>
      <c r="C301" s="1"/>
      <c r="D301" s="1"/>
      <c r="E301" s="1"/>
      <c r="F301" s="1"/>
      <c r="G301" s="1" t="s">
        <v>98</v>
      </c>
      <c r="H301" s="2">
        <v>300</v>
      </c>
      <c r="I301" s="1" t="s">
        <v>1134</v>
      </c>
      <c r="J301" s="1" t="s">
        <v>1021</v>
      </c>
      <c r="K301" s="1" t="s">
        <v>1135</v>
      </c>
      <c r="L301" s="1" t="s">
        <v>1136</v>
      </c>
      <c r="M301" s="6" t="str">
        <f>_xlfn.CONCAT(Table1[[#This Row],[Billing Street]], ", ", Table1[[#This Row],[Billing City]], ", ", Table1[[#This Row],[Billing State/Province]], ", ", Table1[[#This Row],[Billing Zip/Postal Code]])</f>
        <v>2549 North 9th Avenue, Humboldt, TN, 38343</v>
      </c>
    </row>
    <row r="302" spans="1:13" ht="15.6" hidden="1" x14ac:dyDescent="0.3">
      <c r="A302" s="1" t="s">
        <v>1137</v>
      </c>
      <c r="B302" s="1"/>
      <c r="C302" s="1"/>
      <c r="D302" s="1"/>
      <c r="E302" s="1"/>
      <c r="F302" s="1"/>
      <c r="G302" s="1" t="s">
        <v>54</v>
      </c>
      <c r="H302" s="2">
        <v>7813</v>
      </c>
      <c r="I302" s="1" t="s">
        <v>13</v>
      </c>
      <c r="J302" s="1" t="s">
        <v>13</v>
      </c>
      <c r="K302" s="1" t="s">
        <v>57</v>
      </c>
      <c r="L302" s="1" t="s">
        <v>13</v>
      </c>
      <c r="M302" s="6" t="str">
        <f>_xlfn.CONCAT(Table1[[#This Row],[Billing Street]], ", ", Table1[[#This Row],[Billing City]], ", ", Table1[[#This Row],[Billing State/Province]], ", ", Table1[[#This Row],[Billing Zip/Postal Code]])</f>
        <v xml:space="preserve">, , CA, </v>
      </c>
    </row>
    <row r="303" spans="1:13" ht="15.6" hidden="1" x14ac:dyDescent="0.3">
      <c r="A303" s="1" t="s">
        <v>1138</v>
      </c>
      <c r="B303" s="1"/>
      <c r="C303" s="1"/>
      <c r="D303" s="1"/>
      <c r="E303" s="1"/>
      <c r="F303" s="1"/>
      <c r="G303" s="1" t="s">
        <v>54</v>
      </c>
      <c r="H303" s="2">
        <v>160</v>
      </c>
      <c r="I303" s="1" t="s">
        <v>1139</v>
      </c>
      <c r="J303" s="1" t="s">
        <v>1140</v>
      </c>
      <c r="K303" s="1" t="s">
        <v>57</v>
      </c>
      <c r="L303" s="1" t="s">
        <v>1141</v>
      </c>
      <c r="M303" s="6" t="str">
        <f>_xlfn.CONCAT(Table1[[#This Row],[Billing Street]], ", ", Table1[[#This Row],[Billing City]], ", ", Table1[[#This Row],[Billing State/Province]], ", ", Table1[[#This Row],[Billing Zip/Postal Code]])</f>
        <v>200 Suburban Road Suite A, San Luis Obispo, CA, 93401</v>
      </c>
    </row>
    <row r="304" spans="1:13" ht="15.6" hidden="1" x14ac:dyDescent="0.3">
      <c r="A304" s="1" t="s">
        <v>1142</v>
      </c>
      <c r="B304" s="1"/>
      <c r="C304" s="1"/>
      <c r="D304" s="1"/>
      <c r="E304" s="1"/>
      <c r="F304" s="1"/>
      <c r="G304" s="1" t="s">
        <v>8</v>
      </c>
      <c r="H304" s="2">
        <v>285</v>
      </c>
      <c r="I304" s="1" t="s">
        <v>1143</v>
      </c>
      <c r="J304" s="1" t="s">
        <v>1144</v>
      </c>
      <c r="K304" s="1" t="s">
        <v>11</v>
      </c>
      <c r="L304" s="1" t="s">
        <v>1145</v>
      </c>
      <c r="M304" s="6" t="str">
        <f>_xlfn.CONCAT(Table1[[#This Row],[Billing Street]], ", ", Table1[[#This Row],[Billing City]], ", ", Table1[[#This Row],[Billing State/Province]], ", ", Table1[[#This Row],[Billing Zip/Postal Code]])</f>
        <v>4169 Highway PP, Poplar Bluff, MO, 63902-0670</v>
      </c>
    </row>
    <row r="305" spans="1:13" ht="15.6" hidden="1" x14ac:dyDescent="0.3">
      <c r="A305" s="1" t="s">
        <v>1146</v>
      </c>
      <c r="B305" s="1"/>
      <c r="C305" s="1"/>
      <c r="D305" s="1"/>
      <c r="E305" s="1"/>
      <c r="F305" s="1"/>
      <c r="G305" s="1" t="s">
        <v>205</v>
      </c>
      <c r="H305" s="2">
        <v>577</v>
      </c>
      <c r="I305" s="1" t="s">
        <v>1147</v>
      </c>
      <c r="J305" s="1" t="s">
        <v>1148</v>
      </c>
      <c r="K305" s="1" t="s">
        <v>51</v>
      </c>
      <c r="L305" s="1" t="s">
        <v>1149</v>
      </c>
      <c r="M305" s="6" t="str">
        <f>_xlfn.CONCAT(Table1[[#This Row],[Billing Street]], ", ", Table1[[#This Row],[Billing City]], ", ", Table1[[#This Row],[Billing State/Province]], ", ", Table1[[#This Row],[Billing Zip/Postal Code]])</f>
        <v>300 S Faundree Rd, Odessa, TX, 79765</v>
      </c>
    </row>
    <row r="306" spans="1:13" ht="15.6" hidden="1" x14ac:dyDescent="0.3">
      <c r="A306" s="1" t="s">
        <v>1150</v>
      </c>
      <c r="B306" s="1"/>
      <c r="C306" s="1"/>
      <c r="D306" s="1"/>
      <c r="E306" s="1"/>
      <c r="F306" s="1"/>
      <c r="G306" s="1" t="s">
        <v>54</v>
      </c>
      <c r="H306" s="2">
        <v>7813</v>
      </c>
      <c r="I306" s="1" t="s">
        <v>13</v>
      </c>
      <c r="J306" s="1" t="s">
        <v>13</v>
      </c>
      <c r="K306" s="1" t="s">
        <v>57</v>
      </c>
      <c r="L306" s="1" t="s">
        <v>13</v>
      </c>
      <c r="M306" s="6" t="str">
        <f>_xlfn.CONCAT(Table1[[#This Row],[Billing Street]], ", ", Table1[[#This Row],[Billing City]], ", ", Table1[[#This Row],[Billing State/Province]], ", ", Table1[[#This Row],[Billing Zip/Postal Code]])</f>
        <v xml:space="preserve">, , CA, </v>
      </c>
    </row>
    <row r="307" spans="1:13" ht="15.6" hidden="1" x14ac:dyDescent="0.3">
      <c r="A307" s="1" t="s">
        <v>1151</v>
      </c>
      <c r="B307" s="1"/>
      <c r="C307" s="1"/>
      <c r="D307" s="1"/>
      <c r="E307" s="1"/>
      <c r="F307" s="1"/>
      <c r="G307" s="1" t="s">
        <v>43</v>
      </c>
      <c r="H307" s="2">
        <v>5776</v>
      </c>
      <c r="I307" s="1" t="s">
        <v>1152</v>
      </c>
      <c r="J307" s="1" t="s">
        <v>1153</v>
      </c>
      <c r="K307" s="1" t="s">
        <v>1154</v>
      </c>
      <c r="L307" s="1" t="s">
        <v>1155</v>
      </c>
      <c r="M307" s="6" t="str">
        <f>_xlfn.CONCAT(Table1[[#This Row],[Billing Street]], ", ", Table1[[#This Row],[Billing City]], ", ", Table1[[#This Row],[Billing State/Province]], ", ", Table1[[#This Row],[Billing Zip/Postal Code]])</f>
        <v>206 Gale Lane, Kennett Square, Pa, 19348</v>
      </c>
    </row>
    <row r="308" spans="1:13" ht="15.6" hidden="1" x14ac:dyDescent="0.3">
      <c r="A308" s="1" t="s">
        <v>1156</v>
      </c>
      <c r="B308" s="1"/>
      <c r="C308" s="1"/>
      <c r="D308" s="1"/>
      <c r="E308" s="1"/>
      <c r="F308" s="1"/>
      <c r="G308" s="1" t="s">
        <v>54</v>
      </c>
      <c r="H308" s="2">
        <v>106</v>
      </c>
      <c r="I308" s="1" t="s">
        <v>1157</v>
      </c>
      <c r="J308" s="1" t="s">
        <v>1158</v>
      </c>
      <c r="K308" s="1" t="s">
        <v>57</v>
      </c>
      <c r="L308" s="1" t="s">
        <v>1159</v>
      </c>
      <c r="M308" s="6" t="str">
        <f>_xlfn.CONCAT(Table1[[#This Row],[Billing Street]], ", ", Table1[[#This Row],[Billing City]], ", ", Table1[[#This Row],[Billing State/Province]], ", ", Table1[[#This Row],[Billing Zip/Postal Code]])</f>
        <v>8315 Century Park Court, San Diego, CA, 92123</v>
      </c>
    </row>
    <row r="309" spans="1:13" ht="15.6" hidden="1" x14ac:dyDescent="0.3">
      <c r="A309" s="1" t="s">
        <v>1160</v>
      </c>
      <c r="B309" s="1"/>
      <c r="C309" s="1"/>
      <c r="D309" s="1"/>
      <c r="E309" s="1"/>
      <c r="F309" s="1"/>
      <c r="G309" s="1" t="s">
        <v>54</v>
      </c>
      <c r="H309" s="2">
        <v>31</v>
      </c>
      <c r="I309" s="1" t="s">
        <v>1161</v>
      </c>
      <c r="J309" s="1" t="s">
        <v>985</v>
      </c>
      <c r="K309" s="1" t="s">
        <v>57</v>
      </c>
      <c r="L309" s="1" t="s">
        <v>1162</v>
      </c>
      <c r="M309" s="6" t="str">
        <f>_xlfn.CONCAT(Table1[[#This Row],[Billing Street]], ", ", Table1[[#This Row],[Billing City]], ", ", Table1[[#This Row],[Billing State/Province]], ", ", Table1[[#This Row],[Billing Zip/Postal Code]])</f>
        <v>315 S. Anise ST., Anaheim, CA, 29808</v>
      </c>
    </row>
    <row r="310" spans="1:13" ht="15.6" hidden="1" x14ac:dyDescent="0.3">
      <c r="A310" s="1" t="s">
        <v>1163</v>
      </c>
      <c r="B310" s="1"/>
      <c r="C310" s="1"/>
      <c r="D310" s="1"/>
      <c r="E310" s="1"/>
      <c r="F310" s="1"/>
      <c r="G310" s="1" t="s">
        <v>8</v>
      </c>
      <c r="H310" s="2">
        <v>186</v>
      </c>
      <c r="I310" s="1" t="s">
        <v>1164</v>
      </c>
      <c r="J310" s="1" t="s">
        <v>1165</v>
      </c>
      <c r="K310" s="1" t="s">
        <v>11</v>
      </c>
      <c r="L310" s="1" t="s">
        <v>1166</v>
      </c>
      <c r="M310" s="6" t="str">
        <f>_xlfn.CONCAT(Table1[[#This Row],[Billing Street]], ", ", Table1[[#This Row],[Billing City]], ", ", Table1[[#This Row],[Billing State/Province]], ", ", Table1[[#This Row],[Billing Zip/Postal Code]])</f>
        <v>203 E National Street, PO Box 798, Richland, MO, 65556</v>
      </c>
    </row>
    <row r="311" spans="1:13" ht="15.6" hidden="1" x14ac:dyDescent="0.3">
      <c r="A311" s="1" t="s">
        <v>1167</v>
      </c>
      <c r="B311" s="1"/>
      <c r="C311" s="1"/>
      <c r="D311" s="1"/>
      <c r="E311" s="1"/>
      <c r="F311" s="1"/>
      <c r="G311" s="1" t="s">
        <v>43</v>
      </c>
      <c r="H311" s="2">
        <v>218</v>
      </c>
      <c r="I311" s="1" t="s">
        <v>1168</v>
      </c>
      <c r="J311" s="1" t="s">
        <v>1169</v>
      </c>
      <c r="K311" s="1" t="s">
        <v>1170</v>
      </c>
      <c r="L311" s="1" t="s">
        <v>1171</v>
      </c>
      <c r="M311" s="6" t="str">
        <f>_xlfn.CONCAT(Table1[[#This Row],[Billing Street]], ", ", Table1[[#This Row],[Billing City]], ", ", Table1[[#This Row],[Billing State/Province]], ", ", Table1[[#This Row],[Billing Zip/Postal Code]])</f>
        <v>330 Riviera Road, Mount Nebo, WV, 26679</v>
      </c>
    </row>
    <row r="312" spans="1:13" ht="15.6" hidden="1" x14ac:dyDescent="0.3">
      <c r="A312" s="1" t="s">
        <v>1172</v>
      </c>
      <c r="B312" s="1"/>
      <c r="C312" s="1"/>
      <c r="D312" s="1"/>
      <c r="E312" s="1"/>
      <c r="F312" s="1"/>
      <c r="G312" s="1" t="s">
        <v>48</v>
      </c>
      <c r="H312" s="2">
        <v>0</v>
      </c>
      <c r="I312" s="1" t="s">
        <v>1173</v>
      </c>
      <c r="J312" s="1" t="s">
        <v>434</v>
      </c>
      <c r="K312" s="1" t="s">
        <v>147</v>
      </c>
      <c r="L312" s="1" t="s">
        <v>1174</v>
      </c>
      <c r="M312" s="6" t="str">
        <f>_xlfn.CONCAT(Table1[[#This Row],[Billing Street]], ", ", Table1[[#This Row],[Billing City]], ", ", Table1[[#This Row],[Billing State/Province]], ", ", Table1[[#This Row],[Billing Zip/Postal Code]])</f>
        <v>P.O. Box 271565, Oklahoma City, OK, 73137</v>
      </c>
    </row>
    <row r="313" spans="1:13" ht="15.6" hidden="1" x14ac:dyDescent="0.3">
      <c r="A313" s="1" t="s">
        <v>1175</v>
      </c>
      <c r="B313" s="1"/>
      <c r="C313" s="1"/>
      <c r="D313" s="1"/>
      <c r="E313" s="1"/>
      <c r="F313" s="1"/>
      <c r="G313" s="1" t="s">
        <v>98</v>
      </c>
      <c r="H313" s="2">
        <v>331</v>
      </c>
      <c r="I313" s="1" t="s">
        <v>1176</v>
      </c>
      <c r="J313" s="1" t="s">
        <v>1177</v>
      </c>
      <c r="K313" s="1" t="s">
        <v>1178</v>
      </c>
      <c r="L313" s="1" t="s">
        <v>1179</v>
      </c>
      <c r="M313" s="6" t="str">
        <f>_xlfn.CONCAT(Table1[[#This Row],[Billing Street]], ", ", Table1[[#This Row],[Billing City]], ", ", Table1[[#This Row],[Billing State/Province]], ", ", Table1[[#This Row],[Billing Zip/Postal Code]])</f>
        <v>1009 Schieffelin Rd., Apex, NC, 27502</v>
      </c>
    </row>
    <row r="314" spans="1:13" ht="15.6" hidden="1" x14ac:dyDescent="0.3">
      <c r="A314" s="1" t="s">
        <v>1180</v>
      </c>
      <c r="B314" s="1"/>
      <c r="C314" s="1"/>
      <c r="D314" s="1"/>
      <c r="E314" s="1"/>
      <c r="F314" s="1"/>
      <c r="G314" s="1" t="s">
        <v>98</v>
      </c>
      <c r="H314" s="2">
        <v>5887</v>
      </c>
      <c r="I314" s="1" t="s">
        <v>1181</v>
      </c>
      <c r="J314" s="1" t="s">
        <v>1182</v>
      </c>
      <c r="K314" s="1" t="s">
        <v>101</v>
      </c>
      <c r="L314" s="1" t="s">
        <v>13</v>
      </c>
      <c r="M314" s="6" t="str">
        <f>_xlfn.CONCAT(Table1[[#This Row],[Billing Street]], ", ", Table1[[#This Row],[Billing City]], ", ", Table1[[#This Row],[Billing State/Province]], ", ", Table1[[#This Row],[Billing Zip/Postal Code]])</f>
        <v xml:space="preserve">147 E. Cleveland St., Nahunta, GA, </v>
      </c>
    </row>
    <row r="315" spans="1:13" ht="15.6" hidden="1" x14ac:dyDescent="0.3">
      <c r="A315" s="1" t="s">
        <v>1183</v>
      </c>
      <c r="B315" s="1"/>
      <c r="C315" s="1"/>
      <c r="D315" s="1"/>
      <c r="E315" s="1"/>
      <c r="F315" s="1"/>
      <c r="G315" s="1" t="s">
        <v>98</v>
      </c>
      <c r="H315" s="2">
        <v>19</v>
      </c>
      <c r="I315" s="1" t="s">
        <v>1184</v>
      </c>
      <c r="J315" s="1" t="s">
        <v>1185</v>
      </c>
      <c r="K315" s="1" t="s">
        <v>101</v>
      </c>
      <c r="L315" s="1" t="s">
        <v>1186</v>
      </c>
      <c r="M315" s="6" t="str">
        <f>_xlfn.CONCAT(Table1[[#This Row],[Billing Street]], ", ", Table1[[#This Row],[Billing City]], ", ", Table1[[#This Row],[Billing State/Province]], ", ", Table1[[#This Row],[Billing Zip/Postal Code]])</f>
        <v>675 NORTH MARIETTA PARKWAY, MARIETTA, GA, 30060</v>
      </c>
    </row>
    <row r="316" spans="1:13" ht="15.6" hidden="1" x14ac:dyDescent="0.3">
      <c r="A316" s="1" t="s">
        <v>1187</v>
      </c>
      <c r="B316" s="1"/>
      <c r="C316" s="1"/>
      <c r="D316" s="1"/>
      <c r="E316" s="1"/>
      <c r="F316" s="1"/>
      <c r="G316" s="1" t="s">
        <v>205</v>
      </c>
      <c r="H316" s="2">
        <v>457</v>
      </c>
      <c r="I316" s="1" t="s">
        <v>1188</v>
      </c>
      <c r="J316" s="1" t="s">
        <v>866</v>
      </c>
      <c r="K316" s="1" t="s">
        <v>472</v>
      </c>
      <c r="L316" s="1" t="s">
        <v>867</v>
      </c>
      <c r="M316" s="6" t="str">
        <f>_xlfn.CONCAT(Table1[[#This Row],[Billing Street]], ", ", Table1[[#This Row],[Billing City]], ", ", Table1[[#This Row],[Billing State/Province]], ", ", Table1[[#This Row],[Billing Zip/Postal Code]])</f>
        <v>PO Box 724, Salem, UT, 84653</v>
      </c>
    </row>
    <row r="317" spans="1:13" ht="15.6" hidden="1" x14ac:dyDescent="0.3">
      <c r="A317" s="1" t="s">
        <v>1189</v>
      </c>
      <c r="B317" s="1"/>
      <c r="C317" s="1"/>
      <c r="D317" s="1"/>
      <c r="E317" s="1"/>
      <c r="F317" s="1"/>
      <c r="G317" s="1" t="s">
        <v>43</v>
      </c>
      <c r="H317" s="2">
        <v>529</v>
      </c>
      <c r="I317" s="1" t="s">
        <v>1190</v>
      </c>
      <c r="J317" s="1" t="s">
        <v>852</v>
      </c>
      <c r="K317" s="1" t="s">
        <v>1191</v>
      </c>
      <c r="L317" s="1" t="s">
        <v>1192</v>
      </c>
      <c r="M317" s="6" t="str">
        <f>_xlfn.CONCAT(Table1[[#This Row],[Billing Street]], ", ", Table1[[#This Row],[Billing City]], ", ", Table1[[#This Row],[Billing State/Province]], ", ", Table1[[#This Row],[Billing Zip/Postal Code]])</f>
        <v>1104 Moscow Ave, Hickman, KY, 42050</v>
      </c>
    </row>
    <row r="318" spans="1:13" ht="15.6" hidden="1" x14ac:dyDescent="0.3">
      <c r="A318" s="1" t="s">
        <v>1193</v>
      </c>
      <c r="B318" s="1"/>
      <c r="C318" s="1"/>
      <c r="D318" s="1"/>
      <c r="E318" s="1"/>
      <c r="F318" s="1"/>
      <c r="G318" s="1" t="s">
        <v>98</v>
      </c>
      <c r="H318" s="2">
        <v>6</v>
      </c>
      <c r="I318" s="1" t="s">
        <v>1194</v>
      </c>
      <c r="J318" s="1" t="s">
        <v>1195</v>
      </c>
      <c r="K318" s="1" t="s">
        <v>101</v>
      </c>
      <c r="L318" s="1" t="s">
        <v>1196</v>
      </c>
      <c r="M318" s="6" t="str">
        <f>_xlfn.CONCAT(Table1[[#This Row],[Billing Street]], ", ", Table1[[#This Row],[Billing City]], ", ", Table1[[#This Row],[Billing State/Province]], ", ", Table1[[#This Row],[Billing Zip/Postal Code]])</f>
        <v>345 Lively Avenue, Norcross, GA, 30071</v>
      </c>
    </row>
    <row r="319" spans="1:13" ht="15.6" hidden="1" x14ac:dyDescent="0.3">
      <c r="A319" s="1" t="s">
        <v>1197</v>
      </c>
      <c r="B319" s="1"/>
      <c r="C319" s="1"/>
      <c r="D319" s="1"/>
      <c r="E319" s="1"/>
      <c r="F319" s="1"/>
      <c r="G319" s="1" t="s">
        <v>43</v>
      </c>
      <c r="H319" s="2">
        <v>420</v>
      </c>
      <c r="I319" s="1" t="s">
        <v>1198</v>
      </c>
      <c r="J319" s="1" t="s">
        <v>1199</v>
      </c>
      <c r="K319" s="1" t="s">
        <v>152</v>
      </c>
      <c r="L319" s="1" t="s">
        <v>1200</v>
      </c>
      <c r="M319" s="6" t="str">
        <f>_xlfn.CONCAT(Table1[[#This Row],[Billing Street]], ", ", Table1[[#This Row],[Billing City]], ", ", Table1[[#This Row],[Billing State/Province]], ", ", Table1[[#This Row],[Billing Zip/Postal Code]])</f>
        <v>1501 W Main St, Fairfield, IL, 62837</v>
      </c>
    </row>
    <row r="320" spans="1:13" ht="15.6" x14ac:dyDescent="0.3">
      <c r="A320" s="1" t="s">
        <v>1201</v>
      </c>
      <c r="B320" s="1"/>
      <c r="C320" s="1"/>
      <c r="D320" s="1"/>
      <c r="E320" s="1"/>
      <c r="F320" s="1"/>
      <c r="G320" s="1" t="s">
        <v>24</v>
      </c>
      <c r="H320" s="2">
        <v>258</v>
      </c>
      <c r="I320" s="1" t="s">
        <v>1202</v>
      </c>
      <c r="J320" s="1" t="s">
        <v>1203</v>
      </c>
      <c r="K320" s="1" t="s">
        <v>26</v>
      </c>
      <c r="L320" s="1" t="s">
        <v>1204</v>
      </c>
      <c r="M320" s="6" t="str">
        <f>_xlfn.CONCAT(Table1[[#This Row],[Billing Street]], ", ", Table1[[#This Row],[Billing City]], ", ", Table1[[#This Row],[Billing State/Province]], ", ", Table1[[#This Row],[Billing Zip/Postal Code]])</f>
        <v>3196 Co. Hwy 55, Hamilton, AL, 35570</v>
      </c>
    </row>
    <row r="321" spans="1:13" ht="15.6" hidden="1" x14ac:dyDescent="0.3">
      <c r="A321" s="1" t="s">
        <v>1205</v>
      </c>
      <c r="B321" s="1"/>
      <c r="C321" s="1"/>
      <c r="D321" s="1"/>
      <c r="E321" s="1"/>
      <c r="F321" s="1"/>
      <c r="G321" s="1" t="s">
        <v>8</v>
      </c>
      <c r="H321" s="2">
        <v>257</v>
      </c>
      <c r="I321" s="1" t="s">
        <v>1206</v>
      </c>
      <c r="J321" s="1" t="s">
        <v>1207</v>
      </c>
      <c r="K321" s="1" t="s">
        <v>147</v>
      </c>
      <c r="L321" s="1" t="s">
        <v>1208</v>
      </c>
      <c r="M321" s="6" t="str">
        <f>_xlfn.CONCAT(Table1[[#This Row],[Billing Street]], ", ", Table1[[#This Row],[Billing City]], ", ", Table1[[#This Row],[Billing State/Province]], ", ", Table1[[#This Row],[Billing Zip/Postal Code]])</f>
        <v>115 E 3rd St, Manitou, OK, 73555</v>
      </c>
    </row>
    <row r="322" spans="1:13" ht="15.6" hidden="1" x14ac:dyDescent="0.3">
      <c r="A322" s="1" t="s">
        <v>1209</v>
      </c>
      <c r="B322" s="1"/>
      <c r="C322" s="1"/>
      <c r="D322" s="1"/>
      <c r="E322" s="1"/>
      <c r="F322" s="1"/>
      <c r="G322" s="1" t="s">
        <v>8</v>
      </c>
      <c r="H322" s="2">
        <v>75</v>
      </c>
      <c r="I322" s="1" t="s">
        <v>1210</v>
      </c>
      <c r="J322" s="1" t="s">
        <v>1211</v>
      </c>
      <c r="K322" s="1" t="s">
        <v>147</v>
      </c>
      <c r="L322" s="1" t="s">
        <v>1212</v>
      </c>
      <c r="M322" s="6" t="str">
        <f>_xlfn.CONCAT(Table1[[#This Row],[Billing Street]], ", ", Table1[[#This Row],[Billing City]], ", ", Table1[[#This Row],[Billing State/Province]], ", ", Table1[[#This Row],[Billing Zip/Postal Code]])</f>
        <v>300 coonrod dr, Mannford, OK, 74044</v>
      </c>
    </row>
    <row r="323" spans="1:13" ht="15.6" hidden="1" x14ac:dyDescent="0.3">
      <c r="A323" s="1" t="s">
        <v>1213</v>
      </c>
      <c r="B323" s="1"/>
      <c r="C323" s="1"/>
      <c r="D323" s="1"/>
      <c r="E323" s="1"/>
      <c r="F323" s="1"/>
      <c r="G323" s="1" t="s">
        <v>98</v>
      </c>
      <c r="H323" s="2">
        <v>91</v>
      </c>
      <c r="I323" s="1" t="s">
        <v>1214</v>
      </c>
      <c r="J323" s="1" t="s">
        <v>1215</v>
      </c>
      <c r="K323" s="1" t="s">
        <v>101</v>
      </c>
      <c r="L323" s="1" t="s">
        <v>1216</v>
      </c>
      <c r="M323" s="6" t="str">
        <f>_xlfn.CONCAT(Table1[[#This Row],[Billing Street]], ", ", Table1[[#This Row],[Billing City]], ", ", Table1[[#This Row],[Billing State/Province]], ", ", Table1[[#This Row],[Billing Zip/Postal Code]])</f>
        <v>500 ANTHOINE STREET, FORT VALLEY, GA, 31030</v>
      </c>
    </row>
    <row r="324" spans="1:13" ht="15.6" hidden="1" x14ac:dyDescent="0.3">
      <c r="A324" s="1" t="s">
        <v>1217</v>
      </c>
      <c r="B324" s="1"/>
      <c r="C324" s="1"/>
      <c r="D324" s="1"/>
      <c r="E324" s="1"/>
      <c r="F324" s="1"/>
      <c r="G324" s="1" t="s">
        <v>98</v>
      </c>
      <c r="H324" s="2">
        <v>5887</v>
      </c>
      <c r="I324" s="1" t="s">
        <v>1218</v>
      </c>
      <c r="J324" s="1" t="s">
        <v>1219</v>
      </c>
      <c r="K324" s="1" t="s">
        <v>101</v>
      </c>
      <c r="L324" s="1" t="s">
        <v>13</v>
      </c>
      <c r="M324" s="6" t="str">
        <f>_xlfn.CONCAT(Table1[[#This Row],[Billing Street]], ", ", Table1[[#This Row],[Billing City]], ", ", Table1[[#This Row],[Billing State/Province]], ", ", Table1[[#This Row],[Billing Zip/Postal Code]])</f>
        <v xml:space="preserve">342 E. Brazell St, Reidsville, GA, </v>
      </c>
    </row>
    <row r="325" spans="1:13" ht="15.6" hidden="1" x14ac:dyDescent="0.3">
      <c r="A325" s="1" t="s">
        <v>1220</v>
      </c>
      <c r="B325" s="1"/>
      <c r="C325" s="1"/>
      <c r="D325" s="1"/>
      <c r="E325" s="1"/>
      <c r="F325" s="1"/>
      <c r="G325" s="1" t="s">
        <v>98</v>
      </c>
      <c r="H325" s="2">
        <v>21</v>
      </c>
      <c r="I325" s="1" t="s">
        <v>1221</v>
      </c>
      <c r="J325" s="1" t="s">
        <v>1222</v>
      </c>
      <c r="K325" s="1" t="s">
        <v>101</v>
      </c>
      <c r="L325" s="1" t="s">
        <v>1223</v>
      </c>
      <c r="M325" s="6" t="str">
        <f>_xlfn.CONCAT(Table1[[#This Row],[Billing Street]], ", ", Table1[[#This Row],[Billing City]], ", ", Table1[[#This Row],[Billing State/Province]], ", ", Table1[[#This Row],[Billing Zip/Postal Code]])</f>
        <v>1000 EMC Parkway, Marietta, GA, 30061</v>
      </c>
    </row>
    <row r="326" spans="1:13" ht="15.6" hidden="1" x14ac:dyDescent="0.3">
      <c r="A326" s="1" t="s">
        <v>1224</v>
      </c>
      <c r="B326" s="1"/>
      <c r="C326" s="1"/>
      <c r="D326" s="1"/>
      <c r="E326" s="1"/>
      <c r="F326" s="1"/>
      <c r="G326" s="1" t="s">
        <v>98</v>
      </c>
      <c r="H326" s="2">
        <v>161</v>
      </c>
      <c r="I326" s="1" t="s">
        <v>1225</v>
      </c>
      <c r="J326" s="1" t="s">
        <v>1226</v>
      </c>
      <c r="K326" s="1" t="s">
        <v>101</v>
      </c>
      <c r="L326" s="1" t="s">
        <v>1227</v>
      </c>
      <c r="M326" s="6" t="str">
        <f>_xlfn.CONCAT(Table1[[#This Row],[Billing Street]], ", ", Table1[[#This Row],[Billing City]], ", ", Table1[[#This Row],[Billing State/Province]], ", ", Table1[[#This Row],[Billing Zip/Postal Code]])</f>
        <v>105 E. King Street, Sylvester, GA, 31791</v>
      </c>
    </row>
    <row r="327" spans="1:13" ht="15.6" hidden="1" x14ac:dyDescent="0.3">
      <c r="A327" s="1" t="s">
        <v>1228</v>
      </c>
      <c r="B327" s="1"/>
      <c r="C327" s="1"/>
      <c r="D327" s="1"/>
      <c r="E327" s="1"/>
      <c r="F327" s="1"/>
      <c r="G327" s="1" t="s">
        <v>8</v>
      </c>
      <c r="H327" s="2">
        <v>6528</v>
      </c>
      <c r="I327" s="1" t="s">
        <v>13</v>
      </c>
      <c r="J327" s="1" t="s">
        <v>1229</v>
      </c>
      <c r="K327" s="1" t="s">
        <v>147</v>
      </c>
      <c r="L327" s="1" t="s">
        <v>13</v>
      </c>
      <c r="M327" s="6" t="str">
        <f>_xlfn.CONCAT(Table1[[#This Row],[Billing Street]], ", ", Table1[[#This Row],[Billing City]], ", ", Table1[[#This Row],[Billing State/Province]], ", ", Table1[[#This Row],[Billing Zip/Postal Code]])</f>
        <v xml:space="preserve">, Olustee, OK, </v>
      </c>
    </row>
    <row r="328" spans="1:13" ht="15.6" hidden="1" x14ac:dyDescent="0.3">
      <c r="A328" s="1" t="s">
        <v>1230</v>
      </c>
      <c r="B328" s="1"/>
      <c r="C328" s="1"/>
      <c r="D328" s="1"/>
      <c r="E328" s="1"/>
      <c r="F328" s="1"/>
      <c r="G328" s="1" t="s">
        <v>98</v>
      </c>
      <c r="H328" s="2">
        <v>5887</v>
      </c>
      <c r="I328" s="1" t="s">
        <v>1231</v>
      </c>
      <c r="J328" s="1" t="s">
        <v>1232</v>
      </c>
      <c r="K328" s="1" t="s">
        <v>101</v>
      </c>
      <c r="L328" s="1" t="s">
        <v>13</v>
      </c>
      <c r="M328" s="6" t="str">
        <f>_xlfn.CONCAT(Table1[[#This Row],[Billing Street]], ", ", Table1[[#This Row],[Billing City]], ", ", Table1[[#This Row],[Billing State/Province]], ", ", Table1[[#This Row],[Billing Zip/Postal Code]])</f>
        <v xml:space="preserve">1506 Hwy 29, West Point, GA, </v>
      </c>
    </row>
    <row r="329" spans="1:13" ht="15.6" hidden="1" x14ac:dyDescent="0.3">
      <c r="A329" s="1" t="s">
        <v>1233</v>
      </c>
      <c r="B329" s="1"/>
      <c r="C329" s="1"/>
      <c r="D329" s="1"/>
      <c r="E329" s="1"/>
      <c r="F329" s="1"/>
      <c r="G329" s="1" t="s">
        <v>8</v>
      </c>
      <c r="H329" s="2">
        <v>6528</v>
      </c>
      <c r="I329" s="1" t="s">
        <v>13</v>
      </c>
      <c r="J329" s="1" t="s">
        <v>1234</v>
      </c>
      <c r="K329" s="1" t="s">
        <v>147</v>
      </c>
      <c r="L329" s="1" t="s">
        <v>13</v>
      </c>
      <c r="M329" s="6" t="str">
        <f>_xlfn.CONCAT(Table1[[#This Row],[Billing Street]], ", ", Table1[[#This Row],[Billing City]], ", ", Table1[[#This Row],[Billing State/Province]], ", ", Table1[[#This Row],[Billing Zip/Postal Code]])</f>
        <v xml:space="preserve">, Pawhuska, OK, </v>
      </c>
    </row>
    <row r="330" spans="1:13" ht="15.6" hidden="1" x14ac:dyDescent="0.3">
      <c r="A330" s="1" t="s">
        <v>1235</v>
      </c>
      <c r="B330" s="1"/>
      <c r="C330" s="1"/>
      <c r="D330" s="1"/>
      <c r="E330" s="1"/>
      <c r="F330" s="1"/>
      <c r="G330" s="1" t="s">
        <v>8</v>
      </c>
      <c r="H330" s="2">
        <v>6528</v>
      </c>
      <c r="I330" s="1" t="s">
        <v>13</v>
      </c>
      <c r="J330" s="1" t="s">
        <v>1236</v>
      </c>
      <c r="K330" s="1" t="s">
        <v>147</v>
      </c>
      <c r="L330" s="1" t="s">
        <v>13</v>
      </c>
      <c r="M330" s="6" t="str">
        <f>_xlfn.CONCAT(Table1[[#This Row],[Billing Street]], ", ", Table1[[#This Row],[Billing City]], ", ", Table1[[#This Row],[Billing State/Province]], ", ", Table1[[#This Row],[Billing Zip/Postal Code]])</f>
        <v xml:space="preserve">, Pawnee, OK, </v>
      </c>
    </row>
    <row r="331" spans="1:13" ht="15.6" hidden="1" x14ac:dyDescent="0.3">
      <c r="A331" s="1" t="s">
        <v>1237</v>
      </c>
      <c r="B331" s="1"/>
      <c r="C331" s="1"/>
      <c r="D331" s="1"/>
      <c r="E331" s="1"/>
      <c r="F331" s="1"/>
      <c r="G331" s="1" t="s">
        <v>8</v>
      </c>
      <c r="H331" s="2">
        <v>123</v>
      </c>
      <c r="I331" s="1" t="s">
        <v>1238</v>
      </c>
      <c r="J331" s="1" t="s">
        <v>1239</v>
      </c>
      <c r="K331" s="1" t="s">
        <v>147</v>
      </c>
      <c r="L331" s="1" t="s">
        <v>1240</v>
      </c>
      <c r="M331" s="6" t="str">
        <f>_xlfn.CONCAT(Table1[[#This Row],[Billing Street]], ", ", Table1[[#This Row],[Billing City]], ", ", Table1[[#This Row],[Billing State/Province]], ", ", Table1[[#This Row],[Billing Zip/Postal Code]])</f>
        <v>102 S 2nd St, Pond Creek, OK, 73766</v>
      </c>
    </row>
    <row r="332" spans="1:13" ht="15.6" hidden="1" x14ac:dyDescent="0.3">
      <c r="A332" s="1" t="s">
        <v>1241</v>
      </c>
      <c r="B332" s="1"/>
      <c r="C332" s="1"/>
      <c r="D332" s="1"/>
      <c r="E332" s="1"/>
      <c r="F332" s="1"/>
      <c r="G332" s="1" t="s">
        <v>8</v>
      </c>
      <c r="H332" s="2">
        <v>122</v>
      </c>
      <c r="I332" s="1" t="s">
        <v>1242</v>
      </c>
      <c r="J332" s="1" t="s">
        <v>1243</v>
      </c>
      <c r="K332" s="1" t="s">
        <v>147</v>
      </c>
      <c r="L332" s="1" t="s">
        <v>1244</v>
      </c>
      <c r="M332" s="6" t="str">
        <f>_xlfn.CONCAT(Table1[[#This Row],[Billing Street]], ", ", Table1[[#This Row],[Billing City]], ", ", Table1[[#This Row],[Billing State/Province]], ", ", Table1[[#This Row],[Billing Zip/Postal Code]])</f>
        <v>820 N Jim Thorpe Blvd, Prague, OK, 74864</v>
      </c>
    </row>
    <row r="333" spans="1:13" ht="15.6" hidden="1" x14ac:dyDescent="0.3">
      <c r="A333" s="1" t="s">
        <v>1245</v>
      </c>
      <c r="B333" s="1"/>
      <c r="C333" s="1"/>
      <c r="D333" s="1"/>
      <c r="E333" s="1"/>
      <c r="F333" s="1"/>
      <c r="G333" s="1" t="s">
        <v>98</v>
      </c>
      <c r="H333" s="2">
        <v>19</v>
      </c>
      <c r="I333" s="1" t="s">
        <v>1246</v>
      </c>
      <c r="J333" s="1" t="s">
        <v>1247</v>
      </c>
      <c r="K333" s="1" t="s">
        <v>101</v>
      </c>
      <c r="L333" s="1" t="s">
        <v>1248</v>
      </c>
      <c r="M333" s="6" t="str">
        <f>_xlfn.CONCAT(Table1[[#This Row],[Billing Street]], ", ", Table1[[#This Row],[Billing City]], ", ", Table1[[#This Row],[Billing State/Province]], ", ", Table1[[#This Row],[Billing Zip/Postal Code]])</f>
        <v>1886 W. Harvard Avenue, College Park, GA, 30337</v>
      </c>
    </row>
    <row r="334" spans="1:13" ht="15.6" hidden="1" x14ac:dyDescent="0.3">
      <c r="A334" s="1" t="s">
        <v>1249</v>
      </c>
      <c r="B334" s="1"/>
      <c r="C334" s="1"/>
      <c r="D334" s="1"/>
      <c r="E334" s="1"/>
      <c r="F334" s="1"/>
      <c r="G334" s="1" t="s">
        <v>8</v>
      </c>
      <c r="H334" s="2">
        <v>171</v>
      </c>
      <c r="I334" s="1" t="s">
        <v>1250</v>
      </c>
      <c r="J334" s="1" t="s">
        <v>1251</v>
      </c>
      <c r="K334" s="1" t="s">
        <v>147</v>
      </c>
      <c r="L334" s="1" t="s">
        <v>1252</v>
      </c>
      <c r="M334" s="6" t="str">
        <f>_xlfn.CONCAT(Table1[[#This Row],[Billing Street]], ", ", Table1[[#This Row],[Billing City]], ", ", Table1[[#This Row],[Billing State/Province]], ", ", Table1[[#This Row],[Billing Zip/Postal Code]])</f>
        <v>701 S 6th Ave, Purcell, OK, 73080</v>
      </c>
    </row>
    <row r="335" spans="1:13" ht="15.6" hidden="1" x14ac:dyDescent="0.3">
      <c r="A335" s="1" t="s">
        <v>1253</v>
      </c>
      <c r="B335" s="1"/>
      <c r="C335" s="1"/>
      <c r="D335" s="1"/>
      <c r="E335" s="1"/>
      <c r="F335" s="1"/>
      <c r="G335" s="1" t="s">
        <v>8</v>
      </c>
      <c r="H335" s="2">
        <v>229</v>
      </c>
      <c r="I335" s="1" t="s">
        <v>1254</v>
      </c>
      <c r="J335" s="1" t="s">
        <v>1255</v>
      </c>
      <c r="K335" s="1" t="s">
        <v>11</v>
      </c>
      <c r="L335" s="1" t="s">
        <v>1256</v>
      </c>
      <c r="M335" s="6" t="str">
        <f>_xlfn.CONCAT(Table1[[#This Row],[Billing Street]], ", ", Table1[[#This Row],[Billing City]], ", ", Table1[[#This Row],[Billing State/Province]], ", ", Table1[[#This Row],[Billing Zip/Postal Code]])</f>
        <v>Second and Market Streets, Thayer, MO, 65791</v>
      </c>
    </row>
    <row r="336" spans="1:13" ht="15.6" hidden="1" x14ac:dyDescent="0.3">
      <c r="A336" s="1" t="s">
        <v>1257</v>
      </c>
      <c r="B336" s="1"/>
      <c r="C336" s="1"/>
      <c r="D336" s="1"/>
      <c r="E336" s="1"/>
      <c r="F336" s="1"/>
      <c r="G336" s="1" t="s">
        <v>8</v>
      </c>
      <c r="H336" s="2">
        <v>287</v>
      </c>
      <c r="I336" s="1" t="s">
        <v>1258</v>
      </c>
      <c r="J336" s="1" t="s">
        <v>1144</v>
      </c>
      <c r="K336" s="1" t="s">
        <v>11</v>
      </c>
      <c r="L336" s="1" t="s">
        <v>1259</v>
      </c>
      <c r="M336" s="6" t="str">
        <f>_xlfn.CONCAT(Table1[[#This Row],[Billing Street]], ", ", Table1[[#This Row],[Billing City]], ", ", Table1[[#This Row],[Billing State/Province]], ", ", Table1[[#This Row],[Billing Zip/Postal Code]])</f>
        <v>3281 S Westwood Blvd, Poplar Bluff, MO, 63901</v>
      </c>
    </row>
    <row r="337" spans="1:13" ht="15.6" hidden="1" x14ac:dyDescent="0.3">
      <c r="A337" s="1" t="s">
        <v>1260</v>
      </c>
      <c r="B337" s="1"/>
      <c r="C337" s="1"/>
      <c r="D337" s="1"/>
      <c r="E337" s="1"/>
      <c r="F337" s="1"/>
      <c r="G337" s="1" t="s">
        <v>8</v>
      </c>
      <c r="H337" s="2">
        <v>6528</v>
      </c>
      <c r="I337" s="1" t="s">
        <v>1261</v>
      </c>
      <c r="J337" s="1" t="s">
        <v>1262</v>
      </c>
      <c r="K337" s="1" t="s">
        <v>147</v>
      </c>
      <c r="L337" s="1" t="s">
        <v>13</v>
      </c>
      <c r="M337" s="6" t="str">
        <f>_xlfn.CONCAT(Table1[[#This Row],[Billing Street]], ", ", Table1[[#This Row],[Billing City]], ", ", Table1[[#This Row],[Billing State/Province]], ", ", Table1[[#This Row],[Billing Zip/Postal Code]])</f>
        <v xml:space="preserve">202 N Main, Wetumka, OK, </v>
      </c>
    </row>
    <row r="338" spans="1:13" ht="15.6" hidden="1" x14ac:dyDescent="0.3">
      <c r="A338" s="1" t="s">
        <v>1263</v>
      </c>
      <c r="B338" s="1"/>
      <c r="C338" s="1"/>
      <c r="D338" s="1"/>
      <c r="E338" s="1"/>
      <c r="F338" s="1"/>
      <c r="G338" s="1" t="s">
        <v>205</v>
      </c>
      <c r="H338" s="2">
        <v>179</v>
      </c>
      <c r="I338" s="1" t="s">
        <v>1264</v>
      </c>
      <c r="J338" s="1" t="s">
        <v>1265</v>
      </c>
      <c r="K338" s="1" t="s">
        <v>479</v>
      </c>
      <c r="L338" s="1" t="s">
        <v>1266</v>
      </c>
      <c r="M338" s="6" t="str">
        <f>_xlfn.CONCAT(Table1[[#This Row],[Billing Street]], ", ", Table1[[#This Row],[Billing City]], ", ", Table1[[#This Row],[Billing State/Province]], ", ", Table1[[#This Row],[Billing Zip/Postal Code]])</f>
        <v>379597 AZ 75, Duncan, AZ, 85834</v>
      </c>
    </row>
    <row r="339" spans="1:13" ht="15.6" hidden="1" x14ac:dyDescent="0.3">
      <c r="A339" s="1" t="s">
        <v>1267</v>
      </c>
      <c r="B339" s="1"/>
      <c r="C339" s="1"/>
      <c r="D339" s="1"/>
      <c r="E339" s="1"/>
      <c r="F339" s="1"/>
      <c r="G339" s="1" t="s">
        <v>98</v>
      </c>
      <c r="H339" s="2">
        <v>5887</v>
      </c>
      <c r="I339" s="1" t="s">
        <v>13</v>
      </c>
      <c r="J339" s="1" t="s">
        <v>1232</v>
      </c>
      <c r="K339" s="1" t="s">
        <v>101</v>
      </c>
      <c r="L339" s="1" t="s">
        <v>13</v>
      </c>
      <c r="M339" s="6" t="str">
        <f>_xlfn.CONCAT(Table1[[#This Row],[Billing Street]], ", ", Table1[[#This Row],[Billing City]], ", ", Table1[[#This Row],[Billing State/Province]], ", ", Table1[[#This Row],[Billing Zip/Postal Code]])</f>
        <v xml:space="preserve">, West Point, GA, </v>
      </c>
    </row>
    <row r="340" spans="1:13" ht="15.6" hidden="1" x14ac:dyDescent="0.3">
      <c r="A340" s="1" t="s">
        <v>1268</v>
      </c>
      <c r="B340" s="1"/>
      <c r="C340" s="1"/>
      <c r="D340" s="1"/>
      <c r="E340" s="1"/>
      <c r="F340" s="1"/>
      <c r="G340" s="1" t="s">
        <v>98</v>
      </c>
      <c r="H340" s="2">
        <v>5887</v>
      </c>
      <c r="I340" s="1" t="s">
        <v>1269</v>
      </c>
      <c r="J340" s="1" t="s">
        <v>1270</v>
      </c>
      <c r="K340" s="1" t="s">
        <v>234</v>
      </c>
      <c r="L340" s="1" t="s">
        <v>1271</v>
      </c>
      <c r="M340" s="6" t="str">
        <f>_xlfn.CONCAT(Table1[[#This Row],[Billing Street]], ", ", Table1[[#This Row],[Billing City]], ", ", Table1[[#This Row],[Billing State/Province]], ", ", Table1[[#This Row],[Billing Zip/Postal Code]])</f>
        <v>101 Sharpe Ave, Union, SC, 29379</v>
      </c>
    </row>
    <row r="341" spans="1:13" ht="15.6" hidden="1" x14ac:dyDescent="0.3">
      <c r="A341" s="1" t="s">
        <v>1272</v>
      </c>
      <c r="B341" s="1"/>
      <c r="C341" s="1"/>
      <c r="D341" s="1"/>
      <c r="E341" s="1"/>
      <c r="F341" s="1"/>
      <c r="G341" s="1" t="s">
        <v>8</v>
      </c>
      <c r="H341" s="2">
        <v>502</v>
      </c>
      <c r="I341" s="1" t="s">
        <v>1273</v>
      </c>
      <c r="J341" s="1" t="s">
        <v>1274</v>
      </c>
      <c r="K341" s="1" t="s">
        <v>128</v>
      </c>
      <c r="L341" s="1" t="s">
        <v>1275</v>
      </c>
      <c r="M341" s="6" t="str">
        <f>_xlfn.CONCAT(Table1[[#This Row],[Billing Street]], ", ", Table1[[#This Row],[Billing City]], ", ", Table1[[#This Row],[Billing State/Province]], ", ", Table1[[#This Row],[Billing Zip/Postal Code]])</f>
        <v>2411 West Bridge Street, Owatona, MN, 55060</v>
      </c>
    </row>
    <row r="342" spans="1:13" ht="15.6" hidden="1" x14ac:dyDescent="0.3">
      <c r="A342" s="1" t="s">
        <v>1276</v>
      </c>
      <c r="B342" s="1"/>
      <c r="C342" s="1"/>
      <c r="D342" s="1"/>
      <c r="E342" s="1"/>
      <c r="F342" s="1"/>
      <c r="G342" s="1" t="s">
        <v>8</v>
      </c>
      <c r="H342" s="2">
        <v>458</v>
      </c>
      <c r="I342" s="1" t="s">
        <v>1277</v>
      </c>
      <c r="J342" s="1" t="s">
        <v>1278</v>
      </c>
      <c r="K342" s="1" t="s">
        <v>128</v>
      </c>
      <c r="L342" s="1" t="s">
        <v>1279</v>
      </c>
      <c r="M342" s="6" t="str">
        <f>_xlfn.CONCAT(Table1[[#This Row],[Billing Street]], ", ", Table1[[#This Row],[Billing City]], ", ", Table1[[#This Row],[Billing State/Province]], ", ", Table1[[#This Row],[Billing Zip/Postal Code]])</f>
        <v>22636 U.S. Hwy 59, Worthington, MN, 56187</v>
      </c>
    </row>
    <row r="343" spans="1:13" ht="15.6" hidden="1" x14ac:dyDescent="0.3">
      <c r="A343" s="1" t="s">
        <v>1280</v>
      </c>
      <c r="B343" s="1"/>
      <c r="C343" s="1"/>
      <c r="D343" s="1"/>
      <c r="E343" s="1"/>
      <c r="F343" s="1"/>
      <c r="G343" s="1" t="s">
        <v>8</v>
      </c>
      <c r="H343" s="2">
        <v>456</v>
      </c>
      <c r="I343" s="1" t="s">
        <v>1281</v>
      </c>
      <c r="J343" s="1" t="s">
        <v>1278</v>
      </c>
      <c r="K343" s="1" t="s">
        <v>128</v>
      </c>
      <c r="L343" s="1" t="s">
        <v>1279</v>
      </c>
      <c r="M343" s="6" t="str">
        <f>_xlfn.CONCAT(Table1[[#This Row],[Billing Street]], ", ", Table1[[#This Row],[Billing City]], ", ", Table1[[#This Row],[Billing State/Province]], ", ", Table1[[#This Row],[Billing Zip/Postal Code]])</f>
        <v>1300 Diagonal Road, Worthington, MN, 56187</v>
      </c>
    </row>
    <row r="344" spans="1:13" ht="15.6" hidden="1" x14ac:dyDescent="0.3">
      <c r="A344" s="1" t="s">
        <v>1282</v>
      </c>
      <c r="B344" s="1"/>
      <c r="C344" s="1"/>
      <c r="D344" s="1"/>
      <c r="E344" s="1"/>
      <c r="F344" s="1"/>
      <c r="G344" s="1" t="s">
        <v>205</v>
      </c>
      <c r="H344" s="2">
        <v>1</v>
      </c>
      <c r="I344" s="1" t="s">
        <v>1283</v>
      </c>
      <c r="J344" s="1" t="s">
        <v>518</v>
      </c>
      <c r="K344" s="1" t="s">
        <v>479</v>
      </c>
      <c r="L344" s="1" t="s">
        <v>1284</v>
      </c>
      <c r="M344" s="6" t="str">
        <f>_xlfn.CONCAT(Table1[[#This Row],[Billing Street]], ", ", Table1[[#This Row],[Billing City]], ", ", Table1[[#This Row],[Billing State/Province]], ", ", Table1[[#This Row],[Billing Zip/Postal Code]])</f>
        <v>1850 N Central Ave ste 800, Phoenix, AZ, 85004</v>
      </c>
    </row>
    <row r="345" spans="1:13" ht="15.6" hidden="1" x14ac:dyDescent="0.3">
      <c r="A345" s="1" t="s">
        <v>1285</v>
      </c>
      <c r="B345" s="1"/>
      <c r="C345" s="1"/>
      <c r="D345" s="1"/>
      <c r="E345" s="1"/>
      <c r="F345" s="1"/>
      <c r="G345" s="1" t="s">
        <v>8</v>
      </c>
      <c r="H345" s="2">
        <v>6528</v>
      </c>
      <c r="I345" s="1" t="s">
        <v>1286</v>
      </c>
      <c r="J345" s="1" t="s">
        <v>1287</v>
      </c>
      <c r="K345" s="1" t="s">
        <v>51</v>
      </c>
      <c r="L345" s="1" t="s">
        <v>1288</v>
      </c>
      <c r="M345" s="6" t="str">
        <f>_xlfn.CONCAT(Table1[[#This Row],[Billing Street]], ", ", Table1[[#This Row],[Billing City]], ", ", Table1[[#This Row],[Billing State/Province]], ", ", Table1[[#This Row],[Billing Zip/Postal Code]])</f>
        <v>1705 Hur Industrial Blvd,, Cedar Park, TX, 8613</v>
      </c>
    </row>
    <row r="346" spans="1:13" ht="15.6" hidden="1" x14ac:dyDescent="0.3">
      <c r="A346" s="1" t="s">
        <v>1289</v>
      </c>
      <c r="B346" s="1"/>
      <c r="C346" s="1"/>
      <c r="D346" s="1"/>
      <c r="E346" s="1"/>
      <c r="F346" s="1"/>
      <c r="G346" s="1" t="s">
        <v>98</v>
      </c>
      <c r="H346" s="2">
        <v>55</v>
      </c>
      <c r="I346" s="1" t="s">
        <v>1290</v>
      </c>
      <c r="J346" s="1" t="s">
        <v>1291</v>
      </c>
      <c r="K346" s="1" t="s">
        <v>101</v>
      </c>
      <c r="L346" s="1" t="s">
        <v>1292</v>
      </c>
      <c r="M346" s="6" t="str">
        <f>_xlfn.CONCAT(Table1[[#This Row],[Billing Street]], ", ", Table1[[#This Row],[Billing City]], ", ", Table1[[#This Row],[Billing State/Province]], ", ", Table1[[#This Row],[Billing Zip/Postal Code]])</f>
        <v>PO. Box 401367 Highway 341 South, Barnesville, GA, 30204</v>
      </c>
    </row>
    <row r="347" spans="1:13" ht="15.6" hidden="1" x14ac:dyDescent="0.3">
      <c r="A347" s="1" t="s">
        <v>1293</v>
      </c>
      <c r="B347" s="1"/>
      <c r="C347" s="1"/>
      <c r="D347" s="1"/>
      <c r="E347" s="1"/>
      <c r="F347" s="1"/>
      <c r="G347" s="1" t="s">
        <v>98</v>
      </c>
      <c r="H347" s="2">
        <v>5887</v>
      </c>
      <c r="I347" s="1" t="s">
        <v>13</v>
      </c>
      <c r="J347" s="1" t="s">
        <v>1291</v>
      </c>
      <c r="K347" s="1" t="s">
        <v>101</v>
      </c>
      <c r="L347" s="1" t="s">
        <v>13</v>
      </c>
      <c r="M347" s="6" t="str">
        <f>_xlfn.CONCAT(Table1[[#This Row],[Billing Street]], ", ", Table1[[#This Row],[Billing City]], ", ", Table1[[#This Row],[Billing State/Province]], ", ", Table1[[#This Row],[Billing Zip/Postal Code]])</f>
        <v xml:space="preserve">, Barnesville, GA, </v>
      </c>
    </row>
    <row r="348" spans="1:13" ht="15.6" x14ac:dyDescent="0.3">
      <c r="A348" s="1" t="s">
        <v>1294</v>
      </c>
      <c r="B348" s="1"/>
      <c r="C348" s="1"/>
      <c r="D348" s="1"/>
      <c r="E348" s="1"/>
      <c r="F348" s="1"/>
      <c r="G348" s="1" t="s">
        <v>24</v>
      </c>
      <c r="H348" s="2">
        <v>266</v>
      </c>
      <c r="I348" s="1" t="s">
        <v>1295</v>
      </c>
      <c r="J348" s="1" t="s">
        <v>637</v>
      </c>
      <c r="K348" s="1" t="s">
        <v>31</v>
      </c>
      <c r="L348" s="1" t="s">
        <v>1296</v>
      </c>
      <c r="M348" s="6" t="str">
        <f>_xlfn.CONCAT(Table1[[#This Row],[Billing Street]], ", ", Table1[[#This Row],[Billing City]], ", ", Table1[[#This Row],[Billing State/Province]], ", ", Table1[[#This Row],[Billing Zip/Postal Code]])</f>
        <v>6540 Watkins Drive, Jackson, MS, 39213</v>
      </c>
    </row>
    <row r="349" spans="1:13" ht="15.6" hidden="1" x14ac:dyDescent="0.3">
      <c r="A349" s="1" t="s">
        <v>1297</v>
      </c>
      <c r="B349" s="1"/>
      <c r="C349" s="1"/>
      <c r="D349" s="1"/>
      <c r="E349" s="1"/>
      <c r="F349" s="1"/>
      <c r="G349" s="1" t="s">
        <v>8</v>
      </c>
      <c r="H349" s="2">
        <v>776</v>
      </c>
      <c r="I349" s="1" t="s">
        <v>1298</v>
      </c>
      <c r="J349" s="1" t="s">
        <v>1299</v>
      </c>
      <c r="K349" s="1" t="s">
        <v>128</v>
      </c>
      <c r="L349" s="1" t="s">
        <v>1300</v>
      </c>
      <c r="M349" s="6" t="str">
        <f>_xlfn.CONCAT(Table1[[#This Row],[Billing Street]], ", ", Table1[[#This Row],[Billing City]], ", ", Table1[[#This Row],[Billing State/Province]], ", ", Table1[[#This Row],[Billing Zip/Postal Code]])</f>
        <v>P.O. Box 39, Lutsen, MN, 55612</v>
      </c>
    </row>
    <row r="350" spans="1:13" ht="15.6" hidden="1" x14ac:dyDescent="0.3">
      <c r="A350" s="1" t="s">
        <v>1301</v>
      </c>
      <c r="B350" s="1"/>
      <c r="C350" s="1"/>
      <c r="D350" s="1"/>
      <c r="E350" s="1"/>
      <c r="F350" s="1"/>
      <c r="G350" s="1" t="s">
        <v>98</v>
      </c>
      <c r="H350" s="2">
        <v>5887</v>
      </c>
      <c r="I350" s="1" t="s">
        <v>13</v>
      </c>
      <c r="J350" s="1" t="s">
        <v>1302</v>
      </c>
      <c r="K350" s="1" t="s">
        <v>101</v>
      </c>
      <c r="L350" s="1" t="s">
        <v>13</v>
      </c>
      <c r="M350" s="6" t="str">
        <f>_xlfn.CONCAT(Table1[[#This Row],[Billing Street]], ", ", Table1[[#This Row],[Billing City]], ", ", Table1[[#This Row],[Billing State/Province]], ", ", Table1[[#This Row],[Billing Zip/Postal Code]])</f>
        <v xml:space="preserve">, Barnsville, GA, </v>
      </c>
    </row>
    <row r="351" spans="1:13" ht="15.6" hidden="1" x14ac:dyDescent="0.3">
      <c r="A351" s="1" t="s">
        <v>1303</v>
      </c>
      <c r="B351" s="1"/>
      <c r="C351" s="1"/>
      <c r="D351" s="1"/>
      <c r="E351" s="1"/>
      <c r="F351" s="1"/>
      <c r="G351" s="1" t="s">
        <v>8</v>
      </c>
      <c r="H351" s="2">
        <v>245</v>
      </c>
      <c r="I351" s="1" t="s">
        <v>1304</v>
      </c>
      <c r="J351" s="1" t="s">
        <v>1305</v>
      </c>
      <c r="K351" s="1" t="s">
        <v>165</v>
      </c>
      <c r="L351" s="1" t="s">
        <v>1306</v>
      </c>
      <c r="M351" s="6" t="str">
        <f>_xlfn.CONCAT(Table1[[#This Row],[Billing Street]], ", ", Table1[[#This Row],[Billing City]], ", ", Table1[[#This Row],[Billing State/Province]], ", ", Table1[[#This Row],[Billing Zip/Postal Code]])</f>
        <v>401 Main Street, Little Rock, AR, 72201</v>
      </c>
    </row>
    <row r="352" spans="1:13" ht="15.6" hidden="1" x14ac:dyDescent="0.3">
      <c r="A352" s="1" t="s">
        <v>1307</v>
      </c>
      <c r="B352" s="1"/>
      <c r="C352" s="1"/>
      <c r="D352" s="1"/>
      <c r="E352" s="1"/>
      <c r="F352" s="1"/>
      <c r="G352" s="1" t="s">
        <v>8</v>
      </c>
      <c r="H352" s="2">
        <v>302</v>
      </c>
      <c r="I352" s="1" t="s">
        <v>1308</v>
      </c>
      <c r="J352" s="1" t="s">
        <v>1309</v>
      </c>
      <c r="K352" s="1" t="s">
        <v>11</v>
      </c>
      <c r="L352" s="1" t="s">
        <v>1310</v>
      </c>
      <c r="M352" s="6" t="str">
        <f>_xlfn.CONCAT(Table1[[#This Row],[Billing Street]], ", ", Table1[[#This Row],[Billing City]], ", ", Table1[[#This Row],[Billing State/Province]], ", ", Table1[[#This Row],[Billing Zip/Postal Code]])</f>
        <v>1650 Des Peres Road Suite 303, St. Louis, MO, 63131</v>
      </c>
    </row>
    <row r="353" spans="1:13" ht="15.6" hidden="1" x14ac:dyDescent="0.3">
      <c r="A353" s="1" t="s">
        <v>1311</v>
      </c>
      <c r="B353" s="1"/>
      <c r="C353" s="1"/>
      <c r="D353" s="1"/>
      <c r="E353" s="1"/>
      <c r="F353" s="1"/>
      <c r="G353" s="1" t="s">
        <v>8</v>
      </c>
      <c r="H353" s="2">
        <v>220</v>
      </c>
      <c r="I353" s="1" t="s">
        <v>1312</v>
      </c>
      <c r="J353" s="1" t="s">
        <v>1313</v>
      </c>
      <c r="K353" s="1" t="s">
        <v>198</v>
      </c>
      <c r="L353" s="1" t="s">
        <v>1314</v>
      </c>
      <c r="M353" s="6" t="str">
        <f>_xlfn.CONCAT(Table1[[#This Row],[Billing Street]], ", ", Table1[[#This Row],[Billing City]], ", ", Table1[[#This Row],[Billing State/Province]], ", ", Table1[[#This Row],[Billing Zip/Postal Code]])</f>
        <v>115 W E St, Wymore, NE, 68466</v>
      </c>
    </row>
    <row r="354" spans="1:13" ht="15.6" hidden="1" x14ac:dyDescent="0.3">
      <c r="A354" s="1" t="s">
        <v>1315</v>
      </c>
      <c r="B354" s="1"/>
      <c r="C354" s="1"/>
      <c r="D354" s="1"/>
      <c r="E354" s="1"/>
      <c r="F354" s="1"/>
      <c r="G354" s="1" t="s">
        <v>8</v>
      </c>
      <c r="H354" s="2">
        <v>307</v>
      </c>
      <c r="I354" s="1" t="s">
        <v>1316</v>
      </c>
      <c r="J354" s="1" t="s">
        <v>1317</v>
      </c>
      <c r="K354" s="1" t="s">
        <v>198</v>
      </c>
      <c r="L354" s="1" t="s">
        <v>1318</v>
      </c>
      <c r="M354" s="6" t="str">
        <f>_xlfn.CONCAT(Table1[[#This Row],[Billing Street]], ", ", Table1[[#This Row],[Billing City]], ", ", Table1[[#This Row],[Billing State/Province]], ", ", Table1[[#This Row],[Billing Zip/Postal Code]])</f>
        <v>1002 Main St, Wood River, NE, 68883</v>
      </c>
    </row>
    <row r="355" spans="1:13" ht="15.6" hidden="1" x14ac:dyDescent="0.3">
      <c r="A355" s="1" t="s">
        <v>1319</v>
      </c>
      <c r="B355" s="1"/>
      <c r="C355" s="1"/>
      <c r="D355" s="1"/>
      <c r="E355" s="1"/>
      <c r="F355" s="1"/>
      <c r="G355" s="1" t="s">
        <v>8</v>
      </c>
      <c r="H355" s="2">
        <v>349</v>
      </c>
      <c r="I355" s="1" t="s">
        <v>1320</v>
      </c>
      <c r="J355" s="1" t="s">
        <v>1321</v>
      </c>
      <c r="K355" s="1" t="s">
        <v>198</v>
      </c>
      <c r="L355" s="1" t="s">
        <v>1322</v>
      </c>
      <c r="M355" s="6" t="str">
        <f>_xlfn.CONCAT(Table1[[#This Row],[Billing Street]], ", ", Table1[[#This Row],[Billing City]], ", ", Table1[[#This Row],[Billing State/Province]], ", ", Table1[[#This Row],[Billing Zip/Postal Code]])</f>
        <v>1111 Avenue E, Wisner, NE, 68791</v>
      </c>
    </row>
    <row r="356" spans="1:13" ht="15.6" hidden="1" x14ac:dyDescent="0.3">
      <c r="A356" s="1" t="s">
        <v>1323</v>
      </c>
      <c r="B356" s="1"/>
      <c r="C356" s="1"/>
      <c r="D356" s="1"/>
      <c r="E356" s="1"/>
      <c r="F356" s="1"/>
      <c r="G356" s="1" t="s">
        <v>43</v>
      </c>
      <c r="H356" s="2">
        <v>355</v>
      </c>
      <c r="I356" s="1" t="s">
        <v>1324</v>
      </c>
      <c r="J356" s="1" t="s">
        <v>1325</v>
      </c>
      <c r="K356" s="1" t="s">
        <v>152</v>
      </c>
      <c r="L356" s="1" t="s">
        <v>1326</v>
      </c>
      <c r="M356" s="6" t="str">
        <f>_xlfn.CONCAT(Table1[[#This Row],[Billing Street]], ", ", Table1[[#This Row],[Billing City]], ", ", Table1[[#This Row],[Billing State/Province]], ", ", Table1[[#This Row],[Billing Zip/Postal Code]])</f>
        <v>201 South Michigan Ave., Marshall, IL, 62441</v>
      </c>
    </row>
    <row r="357" spans="1:13" ht="15.6" hidden="1" x14ac:dyDescent="0.3">
      <c r="A357" s="1" t="s">
        <v>1327</v>
      </c>
      <c r="B357" s="1"/>
      <c r="C357" s="1"/>
      <c r="D357" s="1"/>
      <c r="E357" s="1"/>
      <c r="F357" s="1"/>
      <c r="G357" s="1" t="s">
        <v>8</v>
      </c>
      <c r="H357" s="2">
        <v>365</v>
      </c>
      <c r="I357" s="1" t="s">
        <v>1328</v>
      </c>
      <c r="J357" s="1" t="s">
        <v>1329</v>
      </c>
      <c r="K357" s="1" t="s">
        <v>198</v>
      </c>
      <c r="L357" s="1" t="s">
        <v>1330</v>
      </c>
      <c r="M357" s="6" t="str">
        <f>_xlfn.CONCAT(Table1[[#This Row],[Billing Street]], ", ", Table1[[#This Row],[Billing City]], ", ", Table1[[#This Row],[Billing State/Province]], ", ", Table1[[#This Row],[Billing Zip/Postal Code]])</f>
        <v>424 Main St, Winside, NE, 68790</v>
      </c>
    </row>
    <row r="358" spans="1:13" ht="15.6" hidden="1" x14ac:dyDescent="0.3">
      <c r="A358" s="1" t="s">
        <v>1331</v>
      </c>
      <c r="B358" s="1"/>
      <c r="C358" s="1"/>
      <c r="D358" s="1"/>
      <c r="E358" s="1"/>
      <c r="F358" s="1"/>
      <c r="G358" s="1" t="s">
        <v>8</v>
      </c>
      <c r="H358" s="2">
        <v>299</v>
      </c>
      <c r="I358" s="1" t="s">
        <v>1332</v>
      </c>
      <c r="J358" s="1" t="s">
        <v>1333</v>
      </c>
      <c r="K358" s="1" t="s">
        <v>198</v>
      </c>
      <c r="L358" s="1" t="s">
        <v>1334</v>
      </c>
      <c r="M358" s="6" t="str">
        <f>_xlfn.CONCAT(Table1[[#This Row],[Billing Street]], ", ", Table1[[#This Row],[Billing City]], ", ", Table1[[#This Row],[Billing State/Province]], ", ", Table1[[#This Row],[Billing Zip/Postal Code]])</f>
        <v>107 W Sapp St, Wilcox, NE, 68982</v>
      </c>
    </row>
    <row r="359" spans="1:13" ht="15.6" hidden="1" x14ac:dyDescent="0.3">
      <c r="A359" s="1" t="s">
        <v>1335</v>
      </c>
      <c r="B359" s="1"/>
      <c r="C359" s="1"/>
      <c r="D359" s="1"/>
      <c r="E359" s="1"/>
      <c r="F359" s="1"/>
      <c r="G359" s="1" t="s">
        <v>43</v>
      </c>
      <c r="H359" s="2">
        <v>268</v>
      </c>
      <c r="I359" s="1" t="s">
        <v>1336</v>
      </c>
      <c r="J359" s="1" t="s">
        <v>261</v>
      </c>
      <c r="K359" s="1" t="s">
        <v>237</v>
      </c>
      <c r="L359" s="1" t="s">
        <v>1337</v>
      </c>
      <c r="M359" s="6" t="str">
        <f>_xlfn.CONCAT(Table1[[#This Row],[Billing Street]], ", ", Table1[[#This Row],[Billing City]], ", ", Table1[[#This Row],[Billing State/Province]], ", ", Table1[[#This Row],[Billing Zip/Postal Code]])</f>
        <v>3719 W 96th St, Indianapolis, IN, 46268</v>
      </c>
    </row>
    <row r="360" spans="1:13" ht="15.6" hidden="1" x14ac:dyDescent="0.3">
      <c r="A360" s="1" t="s">
        <v>1338</v>
      </c>
      <c r="B360" s="1"/>
      <c r="C360" s="1"/>
      <c r="D360" s="1"/>
      <c r="E360" s="1"/>
      <c r="F360" s="1"/>
      <c r="G360" s="1" t="s">
        <v>8</v>
      </c>
      <c r="H360" s="2">
        <v>249</v>
      </c>
      <c r="I360" s="1" t="s">
        <v>1339</v>
      </c>
      <c r="J360" s="1" t="s">
        <v>1340</v>
      </c>
      <c r="K360" s="1" t="s">
        <v>198</v>
      </c>
      <c r="L360" s="1" t="s">
        <v>1341</v>
      </c>
      <c r="M360" s="6" t="str">
        <f>_xlfn.CONCAT(Table1[[#This Row],[Billing Street]], ", ", Table1[[#This Row],[Billing City]], ", ", Table1[[#This Row],[Billing State/Province]], ", ", Table1[[#This Row],[Billing Zip/Postal Code]])</f>
        <v>110 W 3rd St, Wilber, NE, 68465</v>
      </c>
    </row>
    <row r="361" spans="1:13" ht="15.6" hidden="1" x14ac:dyDescent="0.3">
      <c r="A361" s="1" t="s">
        <v>1342</v>
      </c>
      <c r="B361" s="1"/>
      <c r="C361" s="1"/>
      <c r="D361" s="1"/>
      <c r="E361" s="1"/>
      <c r="F361" s="1"/>
      <c r="G361" s="1" t="s">
        <v>8</v>
      </c>
      <c r="H361" s="2">
        <v>388</v>
      </c>
      <c r="I361" s="1" t="s">
        <v>1343</v>
      </c>
      <c r="J361" s="1" t="s">
        <v>1344</v>
      </c>
      <c r="K361" s="1" t="s">
        <v>198</v>
      </c>
      <c r="L361" s="1" t="s">
        <v>1345</v>
      </c>
      <c r="M361" s="6" t="str">
        <f>_xlfn.CONCAT(Table1[[#This Row],[Billing Street]], ", ", Table1[[#This Row],[Billing City]], ", ", Table1[[#This Row],[Billing State/Province]], ", ", Table1[[#This Row],[Billing Zip/Postal Code]])</f>
        <v>319 S Tecumseh Ave, Wauneta, NE, 69045</v>
      </c>
    </row>
    <row r="362" spans="1:13" ht="15.6" hidden="1" x14ac:dyDescent="0.3">
      <c r="A362" s="1" t="s">
        <v>1346</v>
      </c>
      <c r="B362" s="1"/>
      <c r="C362" s="1"/>
      <c r="D362" s="1"/>
      <c r="E362" s="1"/>
      <c r="F362" s="1"/>
      <c r="G362" s="1" t="s">
        <v>8</v>
      </c>
      <c r="H362" s="2">
        <v>356</v>
      </c>
      <c r="I362" s="1" t="s">
        <v>1347</v>
      </c>
      <c r="J362" s="1" t="s">
        <v>1348</v>
      </c>
      <c r="K362" s="1" t="s">
        <v>198</v>
      </c>
      <c r="L362" s="1" t="s">
        <v>1349</v>
      </c>
      <c r="M362" s="6" t="str">
        <f>_xlfn.CONCAT(Table1[[#This Row],[Billing Street]], ", ", Table1[[#This Row],[Billing City]], ", ", Table1[[#This Row],[Billing State/Province]], ", ", Table1[[#This Row],[Billing Zip/Postal Code]])</f>
        <v>224 Main St, Walthill, NE, 68067</v>
      </c>
    </row>
    <row r="363" spans="1:13" ht="15.6" hidden="1" x14ac:dyDescent="0.3">
      <c r="A363" s="1" t="s">
        <v>1350</v>
      </c>
      <c r="B363" s="1"/>
      <c r="C363" s="1"/>
      <c r="D363" s="1"/>
      <c r="E363" s="1"/>
      <c r="F363" s="1"/>
      <c r="G363" s="1" t="s">
        <v>8</v>
      </c>
      <c r="H363" s="2">
        <v>363</v>
      </c>
      <c r="I363" s="1" t="s">
        <v>1351</v>
      </c>
      <c r="J363" s="1" t="s">
        <v>1352</v>
      </c>
      <c r="K363" s="1" t="s">
        <v>198</v>
      </c>
      <c r="L363" s="1" t="s">
        <v>1353</v>
      </c>
      <c r="M363" s="6" t="str">
        <f>_xlfn.CONCAT(Table1[[#This Row],[Billing Street]], ", ", Table1[[#This Row],[Billing City]], ", ", Table1[[#This Row],[Billing State/Province]], ", ", Table1[[#This Row],[Billing Zip/Postal Code]])</f>
        <v>402 Main St, Trenton, NE, 69044</v>
      </c>
    </row>
    <row r="364" spans="1:13" ht="15.6" hidden="1" x14ac:dyDescent="0.3">
      <c r="A364" s="1" t="s">
        <v>1354</v>
      </c>
      <c r="B364" s="1"/>
      <c r="C364" s="1"/>
      <c r="D364" s="1"/>
      <c r="E364" s="1"/>
      <c r="F364" s="1"/>
      <c r="G364" s="1" t="s">
        <v>8</v>
      </c>
      <c r="H364" s="2">
        <v>275</v>
      </c>
      <c r="I364" s="1" t="s">
        <v>1355</v>
      </c>
      <c r="J364" s="1" t="s">
        <v>1356</v>
      </c>
      <c r="K364" s="1" t="s">
        <v>198</v>
      </c>
      <c r="L364" s="1" t="s">
        <v>1357</v>
      </c>
      <c r="M364" s="6" t="str">
        <f>_xlfn.CONCAT(Table1[[#This Row],[Billing Street]], ", ", Table1[[#This Row],[Billing City]], ", ", Table1[[#This Row],[Billing State/Province]], ", ", Table1[[#This Row],[Billing Zip/Postal Code]])</f>
        <v>107 W Grove Street, Sutton, NE, 68979</v>
      </c>
    </row>
    <row r="365" spans="1:13" ht="15.6" hidden="1" x14ac:dyDescent="0.3">
      <c r="A365" s="1" t="s">
        <v>1358</v>
      </c>
      <c r="B365" s="1"/>
      <c r="C365" s="1"/>
      <c r="D365" s="1"/>
      <c r="E365" s="1"/>
      <c r="F365" s="1"/>
      <c r="G365" s="1" t="s">
        <v>8</v>
      </c>
      <c r="H365" s="2">
        <v>310</v>
      </c>
      <c r="I365" s="1" t="s">
        <v>1359</v>
      </c>
      <c r="J365" s="1" t="s">
        <v>761</v>
      </c>
      <c r="K365" s="1" t="s">
        <v>198</v>
      </c>
      <c r="L365" s="1" t="s">
        <v>1360</v>
      </c>
      <c r="M365" s="6" t="str">
        <f>_xlfn.CONCAT(Table1[[#This Row],[Billing Street]], ", ", Table1[[#This Row],[Billing City]], ", ", Table1[[#This Row],[Billing State/Province]], ", ", Table1[[#This Row],[Billing Zip/Postal Code]])</f>
        <v>415 Lincoln St, Holdrege, NE, 68949</v>
      </c>
    </row>
    <row r="366" spans="1:13" ht="15.6" hidden="1" x14ac:dyDescent="0.3">
      <c r="A366" s="1" t="s">
        <v>1361</v>
      </c>
      <c r="B366" s="1"/>
      <c r="C366" s="1"/>
      <c r="D366" s="1"/>
      <c r="E366" s="1"/>
      <c r="F366" s="1"/>
      <c r="G366" s="1" t="s">
        <v>8</v>
      </c>
      <c r="H366" s="2">
        <v>566</v>
      </c>
      <c r="I366" s="1" t="s">
        <v>1362</v>
      </c>
      <c r="J366" s="1" t="s">
        <v>1363</v>
      </c>
      <c r="K366" s="1" t="s">
        <v>128</v>
      </c>
      <c r="L366" s="1" t="s">
        <v>1364</v>
      </c>
      <c r="M366" s="6" t="str">
        <f>_xlfn.CONCAT(Table1[[#This Row],[Billing Street]], ", ", Table1[[#This Row],[Billing City]], ", ", Table1[[#This Row],[Billing State/Province]], ", ", Table1[[#This Row],[Billing Zip/Postal Code]])</f>
        <v>1985 Oakcrest Ave., Roseville, MN, 55113</v>
      </c>
    </row>
    <row r="367" spans="1:13" ht="15.6" hidden="1" x14ac:dyDescent="0.3">
      <c r="A367" s="1" t="s">
        <v>1365</v>
      </c>
      <c r="B367" s="1"/>
      <c r="C367" s="1"/>
      <c r="D367" s="1"/>
      <c r="E367" s="1"/>
      <c r="F367" s="1"/>
      <c r="G367" s="1" t="s">
        <v>8</v>
      </c>
      <c r="H367" s="2">
        <v>562</v>
      </c>
      <c r="I367" s="1" t="s">
        <v>1366</v>
      </c>
      <c r="J367" s="1" t="s">
        <v>1367</v>
      </c>
      <c r="K367" s="1" t="s">
        <v>128</v>
      </c>
      <c r="L367" s="1" t="s">
        <v>1368</v>
      </c>
      <c r="M367" s="6" t="str">
        <f>_xlfn.CONCAT(Table1[[#This Row],[Billing Street]], ", ", Table1[[#This Row],[Billing City]], ", ", Table1[[#This Row],[Billing State/Province]], ", ", Table1[[#This Row],[Billing Zip/Postal Code]])</f>
        <v>700 Meadow Lane, Minneapolis, MN, 55422</v>
      </c>
    </row>
    <row r="368" spans="1:13" ht="15.6" hidden="1" x14ac:dyDescent="0.3">
      <c r="A368" s="1" t="s">
        <v>1369</v>
      </c>
      <c r="B368" s="1"/>
      <c r="C368" s="1"/>
      <c r="D368" s="1"/>
      <c r="E368" s="1"/>
      <c r="F368" s="1"/>
      <c r="G368" s="1" t="s">
        <v>43</v>
      </c>
      <c r="H368" s="2">
        <v>5776</v>
      </c>
      <c r="I368" s="1" t="s">
        <v>13</v>
      </c>
      <c r="J368" s="1" t="s">
        <v>13</v>
      </c>
      <c r="K368" s="1" t="s">
        <v>152</v>
      </c>
      <c r="L368" s="1" t="s">
        <v>13</v>
      </c>
      <c r="M368" s="6" t="str">
        <f>_xlfn.CONCAT(Table1[[#This Row],[Billing Street]], ", ", Table1[[#This Row],[Billing City]], ", ", Table1[[#This Row],[Billing State/Province]], ", ", Table1[[#This Row],[Billing Zip/Postal Code]])</f>
        <v xml:space="preserve">, , IL, </v>
      </c>
    </row>
    <row r="369" spans="1:13" ht="15.6" hidden="1" x14ac:dyDescent="0.3">
      <c r="A369" s="1" t="s">
        <v>1370</v>
      </c>
      <c r="B369" s="1"/>
      <c r="C369" s="1"/>
      <c r="D369" s="1"/>
      <c r="E369" s="1"/>
      <c r="F369" s="1"/>
      <c r="G369" s="1" t="s">
        <v>43</v>
      </c>
      <c r="H369" s="2">
        <v>276</v>
      </c>
      <c r="I369" s="1" t="s">
        <v>13</v>
      </c>
      <c r="J369" s="1" t="s">
        <v>261</v>
      </c>
      <c r="K369" s="1" t="s">
        <v>237</v>
      </c>
      <c r="L369" s="1" t="s">
        <v>1371</v>
      </c>
      <c r="M369" s="6" t="str">
        <f>_xlfn.CONCAT(Table1[[#This Row],[Billing Street]], ", ", Table1[[#This Row],[Billing City]], ", ", Table1[[#This Row],[Billing State/Province]], ", ", Table1[[#This Row],[Billing Zip/Postal Code]])</f>
        <v>, Indianapolis, IN, 46234</v>
      </c>
    </row>
    <row r="370" spans="1:13" ht="15.6" hidden="1" x14ac:dyDescent="0.3">
      <c r="A370" s="1" t="s">
        <v>1372</v>
      </c>
      <c r="B370" s="1"/>
      <c r="C370" s="1"/>
      <c r="D370" s="1"/>
      <c r="E370" s="1"/>
      <c r="F370" s="1"/>
      <c r="G370" s="1" t="s">
        <v>8</v>
      </c>
      <c r="H370" s="2">
        <v>6528</v>
      </c>
      <c r="I370" s="1" t="s">
        <v>13</v>
      </c>
      <c r="J370" s="1" t="s">
        <v>13</v>
      </c>
      <c r="K370" s="1" t="s">
        <v>128</v>
      </c>
      <c r="L370" s="1" t="s">
        <v>13</v>
      </c>
      <c r="M370" s="6" t="str">
        <f>_xlfn.CONCAT(Table1[[#This Row],[Billing Street]], ", ", Table1[[#This Row],[Billing City]], ", ", Table1[[#This Row],[Billing State/Province]], ", ", Table1[[#This Row],[Billing Zip/Postal Code]])</f>
        <v xml:space="preserve">, , MN, </v>
      </c>
    </row>
    <row r="371" spans="1:13" ht="15.6" hidden="1" x14ac:dyDescent="0.3">
      <c r="A371" s="1" t="s">
        <v>1373</v>
      </c>
      <c r="B371" s="1"/>
      <c r="C371" s="1"/>
      <c r="D371" s="1"/>
      <c r="E371" s="1"/>
      <c r="F371" s="1"/>
      <c r="G371" s="1" t="s">
        <v>8</v>
      </c>
      <c r="H371" s="2">
        <v>750</v>
      </c>
      <c r="I371" s="1" t="s">
        <v>1374</v>
      </c>
      <c r="J371" s="1" t="s">
        <v>1375</v>
      </c>
      <c r="K371" s="1" t="s">
        <v>128</v>
      </c>
      <c r="L371" s="1" t="s">
        <v>1376</v>
      </c>
      <c r="M371" s="6" t="str">
        <f>_xlfn.CONCAT(Table1[[#This Row],[Billing Street]], ", ", Table1[[#This Row],[Billing City]], ", ", Table1[[#This Row],[Billing State/Province]], ", ", Table1[[#This Row],[Billing Zip/Postal Code]])</f>
        <v>412 International Dr SW, Red Lake Falls, MN, 56750</v>
      </c>
    </row>
    <row r="372" spans="1:13" ht="15.6" hidden="1" x14ac:dyDescent="0.3">
      <c r="A372" s="1" t="s">
        <v>1377</v>
      </c>
      <c r="B372" s="1"/>
      <c r="C372" s="1"/>
      <c r="D372" s="1"/>
      <c r="E372" s="1"/>
      <c r="F372" s="1"/>
      <c r="G372" s="1" t="s">
        <v>8</v>
      </c>
      <c r="H372" s="2">
        <v>6528</v>
      </c>
      <c r="I372" s="1" t="s">
        <v>13</v>
      </c>
      <c r="J372" s="1" t="s">
        <v>13</v>
      </c>
      <c r="K372" s="1" t="s">
        <v>128</v>
      </c>
      <c r="L372" s="1" t="s">
        <v>13</v>
      </c>
      <c r="M372" s="6" t="str">
        <f>_xlfn.CONCAT(Table1[[#This Row],[Billing Street]], ", ", Table1[[#This Row],[Billing City]], ", ", Table1[[#This Row],[Billing State/Province]], ", ", Table1[[#This Row],[Billing Zip/Postal Code]])</f>
        <v xml:space="preserve">, , MN, </v>
      </c>
    </row>
    <row r="373" spans="1:13" ht="15.6" hidden="1" x14ac:dyDescent="0.3">
      <c r="A373" s="1" t="s">
        <v>1378</v>
      </c>
      <c r="B373" s="1"/>
      <c r="C373" s="1"/>
      <c r="D373" s="1"/>
      <c r="E373" s="1"/>
      <c r="F373" s="1"/>
      <c r="G373" s="1" t="s">
        <v>205</v>
      </c>
      <c r="H373" s="2">
        <v>140</v>
      </c>
      <c r="I373" s="1" t="s">
        <v>1379</v>
      </c>
      <c r="J373" s="1" t="s">
        <v>1380</v>
      </c>
      <c r="K373" s="1" t="s">
        <v>479</v>
      </c>
      <c r="L373" s="1" t="s">
        <v>1381</v>
      </c>
      <c r="M373" s="6" t="str">
        <f>_xlfn.CONCAT(Table1[[#This Row],[Billing Street]], ", ", Table1[[#This Row],[Billing City]], ", ", Table1[[#This Row],[Billing State/Province]], ", ", Table1[[#This Row],[Billing Zip/Postal Code]])</f>
        <v>3700 W Main Street, Thatcher, AZ, 85552</v>
      </c>
    </row>
    <row r="374" spans="1:13" ht="15.6" hidden="1" x14ac:dyDescent="0.3">
      <c r="A374" s="1" t="s">
        <v>1382</v>
      </c>
      <c r="B374" s="1"/>
      <c r="C374" s="1"/>
      <c r="D374" s="1"/>
      <c r="E374" s="1"/>
      <c r="F374" s="1"/>
      <c r="G374" s="1" t="s">
        <v>8</v>
      </c>
      <c r="H374" s="2">
        <v>6528</v>
      </c>
      <c r="I374" s="1" t="s">
        <v>13</v>
      </c>
      <c r="J374" s="1" t="s">
        <v>13</v>
      </c>
      <c r="K374" s="1" t="s">
        <v>128</v>
      </c>
      <c r="L374" s="1" t="s">
        <v>13</v>
      </c>
      <c r="M374" s="6" t="str">
        <f>_xlfn.CONCAT(Table1[[#This Row],[Billing Street]], ", ", Table1[[#This Row],[Billing City]], ", ", Table1[[#This Row],[Billing State/Province]], ", ", Table1[[#This Row],[Billing Zip/Postal Code]])</f>
        <v xml:space="preserve">, , MN, </v>
      </c>
    </row>
    <row r="375" spans="1:13" ht="15.6" hidden="1" x14ac:dyDescent="0.3">
      <c r="A375" s="1" t="s">
        <v>1383</v>
      </c>
      <c r="B375" s="1"/>
      <c r="C375" s="1"/>
      <c r="D375" s="1"/>
      <c r="E375" s="1"/>
      <c r="F375" s="1"/>
      <c r="G375" s="1" t="s">
        <v>8</v>
      </c>
      <c r="H375" s="2">
        <v>6528</v>
      </c>
      <c r="I375" s="1" t="s">
        <v>13</v>
      </c>
      <c r="J375" s="1" t="s">
        <v>13</v>
      </c>
      <c r="K375" s="1" t="s">
        <v>128</v>
      </c>
      <c r="L375" s="1" t="s">
        <v>13</v>
      </c>
      <c r="M375" s="6" t="str">
        <f>_xlfn.CONCAT(Table1[[#This Row],[Billing Street]], ", ", Table1[[#This Row],[Billing City]], ", ", Table1[[#This Row],[Billing State/Province]], ", ", Table1[[#This Row],[Billing Zip/Postal Code]])</f>
        <v xml:space="preserve">, , MN, </v>
      </c>
    </row>
    <row r="376" spans="1:13" ht="15.6" hidden="1" x14ac:dyDescent="0.3">
      <c r="A376" s="1" t="s">
        <v>1384</v>
      </c>
      <c r="B376" s="1"/>
      <c r="C376" s="1"/>
      <c r="D376" s="1"/>
      <c r="E376" s="1"/>
      <c r="F376" s="1"/>
      <c r="G376" s="1" t="s">
        <v>43</v>
      </c>
      <c r="H376" s="2">
        <v>316</v>
      </c>
      <c r="I376" s="1" t="s">
        <v>1385</v>
      </c>
      <c r="J376" s="1" t="s">
        <v>1386</v>
      </c>
      <c r="K376" s="1" t="s">
        <v>152</v>
      </c>
      <c r="L376" s="1" t="s">
        <v>1387</v>
      </c>
      <c r="M376" s="6" t="str">
        <f>_xlfn.CONCAT(Table1[[#This Row],[Billing Street]], ", ", Table1[[#This Row],[Billing City]], ", ", Table1[[#This Row],[Billing State/Province]], ", ", Table1[[#This Row],[Billing Zip/Postal Code]])</f>
        <v>16750 Chicago Avenue, Lansing, IL, 60438</v>
      </c>
    </row>
    <row r="377" spans="1:13" ht="15.6" hidden="1" x14ac:dyDescent="0.3">
      <c r="A377" s="1" t="s">
        <v>1388</v>
      </c>
      <c r="B377" s="1"/>
      <c r="C377" s="1"/>
      <c r="D377" s="1"/>
      <c r="E377" s="1"/>
      <c r="F377" s="1"/>
      <c r="G377" s="1" t="s">
        <v>54</v>
      </c>
      <c r="H377" s="2">
        <v>313</v>
      </c>
      <c r="I377" s="1" t="s">
        <v>1389</v>
      </c>
      <c r="J377" s="1" t="s">
        <v>1390</v>
      </c>
      <c r="K377" s="1" t="s">
        <v>57</v>
      </c>
      <c r="L377" s="1" t="s">
        <v>1391</v>
      </c>
      <c r="M377" s="6" t="str">
        <f>_xlfn.CONCAT(Table1[[#This Row],[Billing Street]], ", ", Table1[[#This Row],[Billing City]], ", ", Table1[[#This Row],[Billing State/Province]], ", ", Table1[[#This Row],[Billing Zip/Postal Code]])</f>
        <v>700 Los Esteros Road, San Jose, CA, 95134</v>
      </c>
    </row>
    <row r="378" spans="1:13" ht="15.6" hidden="1" x14ac:dyDescent="0.3">
      <c r="A378" s="1" t="s">
        <v>1392</v>
      </c>
      <c r="B378" s="1"/>
      <c r="C378" s="1"/>
      <c r="D378" s="1"/>
      <c r="E378" s="1"/>
      <c r="F378" s="1"/>
      <c r="G378" s="1" t="s">
        <v>8</v>
      </c>
      <c r="H378" s="2">
        <v>232</v>
      </c>
      <c r="I378" s="1" t="s">
        <v>196</v>
      </c>
      <c r="J378" s="1" t="s">
        <v>197</v>
      </c>
      <c r="K378" s="1" t="s">
        <v>198</v>
      </c>
      <c r="L378" s="1" t="s">
        <v>199</v>
      </c>
      <c r="M378" s="6" t="str">
        <f>_xlfn.CONCAT(Table1[[#This Row],[Billing Street]], ", ", Table1[[#This Row],[Billing City]], ", ", Table1[[#This Row],[Billing State/Province]], ", ", Table1[[#This Row],[Billing Zip/Postal Code]])</f>
        <v>1600 O Street, Auburn, NE, 68305</v>
      </c>
    </row>
    <row r="379" spans="1:13" ht="15.6" hidden="1" x14ac:dyDescent="0.3">
      <c r="A379" s="1" t="s">
        <v>1393</v>
      </c>
      <c r="B379" s="1"/>
      <c r="C379" s="1"/>
      <c r="D379" s="1"/>
      <c r="E379" s="1"/>
      <c r="F379" s="1"/>
      <c r="G379" s="1" t="s">
        <v>8</v>
      </c>
      <c r="H379" s="2">
        <v>658</v>
      </c>
      <c r="I379" s="1" t="s">
        <v>1394</v>
      </c>
      <c r="J379" s="1" t="s">
        <v>1395</v>
      </c>
      <c r="K379" s="1" t="s">
        <v>128</v>
      </c>
      <c r="L379" s="1" t="s">
        <v>1396</v>
      </c>
      <c r="M379" s="6" t="str">
        <f>_xlfn.CONCAT(Table1[[#This Row],[Billing Street]], ", ", Table1[[#This Row],[Billing City]], ", ", Table1[[#This Row],[Billing State/Province]], ", ", Table1[[#This Row],[Billing Zip/Postal Code]])</f>
        <v>1401 S Broadway, Pelican Rapids, MN, 56572</v>
      </c>
    </row>
    <row r="380" spans="1:13" ht="15.6" hidden="1" x14ac:dyDescent="0.3">
      <c r="A380" s="1" t="s">
        <v>1397</v>
      </c>
      <c r="B380" s="1"/>
      <c r="C380" s="1"/>
      <c r="D380" s="1"/>
      <c r="E380" s="1"/>
      <c r="F380" s="1"/>
      <c r="G380" s="1" t="s">
        <v>43</v>
      </c>
      <c r="H380" s="2">
        <v>198</v>
      </c>
      <c r="I380" s="1" t="s">
        <v>1398</v>
      </c>
      <c r="J380" s="1" t="s">
        <v>1399</v>
      </c>
      <c r="K380" s="1" t="s">
        <v>45</v>
      </c>
      <c r="L380" s="1" t="s">
        <v>1400</v>
      </c>
      <c r="M380" s="6" t="str">
        <f>_xlfn.CONCAT(Table1[[#This Row],[Billing Street]], ", ", Table1[[#This Row],[Billing City]], ", ", Table1[[#This Row],[Billing State/Province]], ", ", Table1[[#This Row],[Billing Zip/Postal Code]])</f>
        <v>6335 Greentree Road, Middletown, OH, 45044</v>
      </c>
    </row>
    <row r="381" spans="1:13" ht="15.6" x14ac:dyDescent="0.3">
      <c r="A381" s="1" t="s">
        <v>1401</v>
      </c>
      <c r="B381" s="1"/>
      <c r="C381" s="1"/>
      <c r="D381" s="1"/>
      <c r="E381" s="1"/>
      <c r="F381" s="1"/>
      <c r="G381" s="1" t="s">
        <v>24</v>
      </c>
      <c r="H381" s="2">
        <v>43</v>
      </c>
      <c r="I381" s="1" t="s">
        <v>1402</v>
      </c>
      <c r="J381" s="1" t="s">
        <v>1403</v>
      </c>
      <c r="K381" s="1" t="s">
        <v>36</v>
      </c>
      <c r="L381" s="1" t="s">
        <v>1404</v>
      </c>
      <c r="M381" s="6" t="str">
        <f>_xlfn.CONCAT(Table1[[#This Row],[Billing Street]], ", ", Table1[[#This Row],[Billing City]], ", ", Table1[[#This Row],[Billing State/Province]], ", ", Table1[[#This Row],[Billing Zip/Postal Code]])</f>
        <v>101 Vernon Ave. Bldg. 5, Panama City Beach, FL, 32407</v>
      </c>
    </row>
    <row r="382" spans="1:13" ht="15.6" hidden="1" x14ac:dyDescent="0.3">
      <c r="A382" s="1" t="s">
        <v>1405</v>
      </c>
      <c r="B382" s="1"/>
      <c r="C382" s="1"/>
      <c r="D382" s="1"/>
      <c r="E382" s="1"/>
      <c r="F382" s="1"/>
      <c r="G382" s="1" t="s">
        <v>8</v>
      </c>
      <c r="H382" s="2">
        <v>6528</v>
      </c>
      <c r="I382" s="1" t="s">
        <v>13</v>
      </c>
      <c r="J382" s="1" t="s">
        <v>13</v>
      </c>
      <c r="K382" s="1" t="s">
        <v>128</v>
      </c>
      <c r="L382" s="1" t="s">
        <v>13</v>
      </c>
      <c r="M382" s="6" t="str">
        <f>_xlfn.CONCAT(Table1[[#This Row],[Billing Street]], ", ", Table1[[#This Row],[Billing City]], ", ", Table1[[#This Row],[Billing State/Province]], ", ", Table1[[#This Row],[Billing Zip/Postal Code]])</f>
        <v xml:space="preserve">, , MN, </v>
      </c>
    </row>
    <row r="383" spans="1:13" ht="15.6" hidden="1" x14ac:dyDescent="0.3">
      <c r="A383" s="1" t="s">
        <v>1406</v>
      </c>
      <c r="B383" s="1"/>
      <c r="C383" s="1"/>
      <c r="D383" s="1"/>
      <c r="E383" s="1"/>
      <c r="F383" s="1"/>
      <c r="G383" s="1" t="s">
        <v>8</v>
      </c>
      <c r="H383" s="2">
        <v>6528</v>
      </c>
      <c r="I383" s="1" t="s">
        <v>13</v>
      </c>
      <c r="J383" s="1" t="s">
        <v>13</v>
      </c>
      <c r="K383" s="1" t="s">
        <v>128</v>
      </c>
      <c r="L383" s="1" t="s">
        <v>13</v>
      </c>
      <c r="M383" s="6" t="str">
        <f>_xlfn.CONCAT(Table1[[#This Row],[Billing Street]], ", ", Table1[[#This Row],[Billing City]], ", ", Table1[[#This Row],[Billing State/Province]], ", ", Table1[[#This Row],[Billing Zip/Postal Code]])</f>
        <v xml:space="preserve">, , MN, </v>
      </c>
    </row>
    <row r="384" spans="1:13" ht="15.6" hidden="1" x14ac:dyDescent="0.3">
      <c r="A384" s="1" t="s">
        <v>1407</v>
      </c>
      <c r="B384" s="1"/>
      <c r="C384" s="1"/>
      <c r="D384" s="1"/>
      <c r="E384" s="1"/>
      <c r="F384" s="1"/>
      <c r="G384" s="1" t="s">
        <v>8</v>
      </c>
      <c r="H384" s="2">
        <v>473</v>
      </c>
      <c r="I384" s="1" t="s">
        <v>1408</v>
      </c>
      <c r="J384" s="1" t="s">
        <v>1409</v>
      </c>
      <c r="K384" s="1" t="s">
        <v>128</v>
      </c>
      <c r="L384" s="1" t="s">
        <v>1410</v>
      </c>
      <c r="M384" s="6" t="str">
        <f>_xlfn.CONCAT(Table1[[#This Row],[Billing Street]], ", ", Table1[[#This Row],[Billing City]], ", ", Table1[[#This Row],[Billing State/Province]], ", ", Table1[[#This Row],[Billing Zip/Postal Code]])</f>
        <v>2501 Main Street East, Albert Lea, MN, 56007</v>
      </c>
    </row>
    <row r="385" spans="1:13" ht="15.6" hidden="1" x14ac:dyDescent="0.3">
      <c r="A385" s="1" t="s">
        <v>1411</v>
      </c>
      <c r="B385" s="1"/>
      <c r="C385" s="1"/>
      <c r="D385" s="1"/>
      <c r="E385" s="1"/>
      <c r="F385" s="1"/>
      <c r="G385" s="1" t="s">
        <v>8</v>
      </c>
      <c r="H385" s="2">
        <v>536</v>
      </c>
      <c r="I385" s="1" t="s">
        <v>1412</v>
      </c>
      <c r="J385" s="1" t="s">
        <v>1413</v>
      </c>
      <c r="K385" s="1" t="s">
        <v>208</v>
      </c>
      <c r="L385" s="1" t="s">
        <v>1414</v>
      </c>
      <c r="M385" s="6" t="str">
        <f>_xlfn.CONCAT(Table1[[#This Row],[Billing Street]], ", ", Table1[[#This Row],[Billing City]], ", ", Table1[[#This Row],[Billing State/Province]], ", ", Table1[[#This Row],[Billing Zip/Postal Code]])</f>
        <v>5900 Easy 58th Ave Unit F, Commerce City, CO, 80022</v>
      </c>
    </row>
    <row r="386" spans="1:13" ht="15.6" hidden="1" x14ac:dyDescent="0.3">
      <c r="A386" s="1" t="s">
        <v>1415</v>
      </c>
      <c r="B386" s="1"/>
      <c r="C386" s="1"/>
      <c r="D386" s="1"/>
      <c r="E386" s="1"/>
      <c r="F386" s="1"/>
      <c r="G386" s="1" t="s">
        <v>8</v>
      </c>
      <c r="H386" s="2">
        <v>6528</v>
      </c>
      <c r="I386" s="1" t="s">
        <v>13</v>
      </c>
      <c r="J386" s="1" t="s">
        <v>13</v>
      </c>
      <c r="K386" s="1" t="s">
        <v>128</v>
      </c>
      <c r="L386" s="1" t="s">
        <v>13</v>
      </c>
      <c r="M386" s="6" t="str">
        <f>_xlfn.CONCAT(Table1[[#This Row],[Billing Street]], ", ", Table1[[#This Row],[Billing City]], ", ", Table1[[#This Row],[Billing State/Province]], ", ", Table1[[#This Row],[Billing Zip/Postal Code]])</f>
        <v xml:space="preserve">, , MN, </v>
      </c>
    </row>
    <row r="387" spans="1:13" ht="15.6" hidden="1" x14ac:dyDescent="0.3">
      <c r="A387" s="1" t="s">
        <v>1416</v>
      </c>
      <c r="B387" s="1"/>
      <c r="C387" s="1"/>
      <c r="D387" s="1"/>
      <c r="E387" s="1"/>
      <c r="F387" s="1"/>
      <c r="G387" s="1" t="s">
        <v>8</v>
      </c>
      <c r="H387" s="2">
        <v>6528</v>
      </c>
      <c r="I387" s="1" t="s">
        <v>13</v>
      </c>
      <c r="J387" s="1" t="s">
        <v>13</v>
      </c>
      <c r="K387" s="1" t="s">
        <v>128</v>
      </c>
      <c r="L387" s="1" t="s">
        <v>13</v>
      </c>
      <c r="M387" s="6" t="str">
        <f>_xlfn.CONCAT(Table1[[#This Row],[Billing Street]], ", ", Table1[[#This Row],[Billing City]], ", ", Table1[[#This Row],[Billing State/Province]], ", ", Table1[[#This Row],[Billing Zip/Postal Code]])</f>
        <v xml:space="preserve">, , MN, </v>
      </c>
    </row>
    <row r="388" spans="1:13" ht="15.6" x14ac:dyDescent="0.3">
      <c r="A388" s="1" t="s">
        <v>1417</v>
      </c>
      <c r="B388" s="1"/>
      <c r="C388" s="1"/>
      <c r="D388" s="1"/>
      <c r="E388" s="1"/>
      <c r="F388" s="1"/>
      <c r="G388" s="1" t="s">
        <v>24</v>
      </c>
      <c r="H388" s="2">
        <v>97</v>
      </c>
      <c r="I388" s="1" t="s">
        <v>1028</v>
      </c>
      <c r="J388" s="1" t="s">
        <v>1029</v>
      </c>
      <c r="K388" s="1" t="s">
        <v>26</v>
      </c>
      <c r="L388" s="1" t="s">
        <v>1030</v>
      </c>
      <c r="M388" s="6" t="str">
        <f>_xlfn.CONCAT(Table1[[#This Row],[Billing Street]], ", ", Table1[[#This Row],[Billing City]], ", ", Table1[[#This Row],[Billing State/Province]], ", ", Table1[[#This Row],[Billing Zip/Postal Code]])</f>
        <v>17175 John Glenn Ave, Robertsdale, AL, 36567</v>
      </c>
    </row>
    <row r="389" spans="1:13" ht="15.6" hidden="1" x14ac:dyDescent="0.3">
      <c r="A389" s="1" t="s">
        <v>1418</v>
      </c>
      <c r="B389" s="1"/>
      <c r="C389" s="1"/>
      <c r="D389" s="1"/>
      <c r="E389" s="1"/>
      <c r="F389" s="1"/>
      <c r="G389" s="1" t="s">
        <v>205</v>
      </c>
      <c r="H389" s="2">
        <v>267</v>
      </c>
      <c r="I389" s="1" t="s">
        <v>1419</v>
      </c>
      <c r="J389" s="1" t="s">
        <v>1420</v>
      </c>
      <c r="K389" s="1" t="s">
        <v>472</v>
      </c>
      <c r="L389" s="1" t="s">
        <v>1421</v>
      </c>
      <c r="M389" s="6" t="str">
        <f>_xlfn.CONCAT(Table1[[#This Row],[Billing Street]], ", ", Table1[[#This Row],[Billing City]], ", ", Table1[[#This Row],[Billing State/Province]], ", ", Table1[[#This Row],[Billing Zip/Postal Code]])</f>
        <v>811 East Red Hills Parkway, St. George, UT, 84770</v>
      </c>
    </row>
    <row r="390" spans="1:13" ht="15.6" hidden="1" x14ac:dyDescent="0.3">
      <c r="A390" s="1" t="s">
        <v>1422</v>
      </c>
      <c r="B390" s="1"/>
      <c r="C390" s="1"/>
      <c r="D390" s="1"/>
      <c r="E390" s="1"/>
      <c r="F390" s="1"/>
      <c r="G390" s="1" t="s">
        <v>205</v>
      </c>
      <c r="H390" s="2">
        <v>566</v>
      </c>
      <c r="I390" s="1" t="s">
        <v>1423</v>
      </c>
      <c r="J390" s="1" t="s">
        <v>1424</v>
      </c>
      <c r="K390" s="1" t="s">
        <v>472</v>
      </c>
      <c r="L390" s="1" t="s">
        <v>1425</v>
      </c>
      <c r="M390" s="6" t="str">
        <f>_xlfn.CONCAT(Table1[[#This Row],[Billing Street]], ", ", Table1[[#This Row],[Billing City]], ", ", Table1[[#This Row],[Billing State/Province]], ", ", Table1[[#This Row],[Billing Zip/Postal Code]])</f>
        <v>83 West Main Street, Hyrum, UT, 84319</v>
      </c>
    </row>
    <row r="391" spans="1:13" ht="15.6" x14ac:dyDescent="0.3">
      <c r="A391" s="1" t="s">
        <v>1426</v>
      </c>
      <c r="B391" s="1"/>
      <c r="C391" s="1"/>
      <c r="D391" s="1"/>
      <c r="E391" s="1"/>
      <c r="F391" s="1"/>
      <c r="G391" s="1" t="s">
        <v>24</v>
      </c>
      <c r="H391" s="2">
        <v>5988</v>
      </c>
      <c r="I391" s="1" t="s">
        <v>1427</v>
      </c>
      <c r="J391" s="1" t="s">
        <v>522</v>
      </c>
      <c r="K391" s="1" t="s">
        <v>26</v>
      </c>
      <c r="L391" s="1" t="s">
        <v>523</v>
      </c>
      <c r="M391" s="6" t="str">
        <f>_xlfn.CONCAT(Table1[[#This Row],[Billing Street]], ", ", Table1[[#This Row],[Billing City]], ", ", Table1[[#This Row],[Billing State/Province]], ", ", Table1[[#This Row],[Billing Zip/Postal Code]])</f>
        <v>200 Waits Dr, Andalusia, AL, 36421</v>
      </c>
    </row>
    <row r="392" spans="1:13" ht="15.6" hidden="1" x14ac:dyDescent="0.3">
      <c r="A392" s="1" t="s">
        <v>1428</v>
      </c>
      <c r="B392" s="1"/>
      <c r="C392" s="1"/>
      <c r="D392" s="1"/>
      <c r="E392" s="1"/>
      <c r="F392" s="1"/>
      <c r="G392" s="1" t="s">
        <v>205</v>
      </c>
      <c r="H392" s="2">
        <v>573</v>
      </c>
      <c r="I392" s="1" t="s">
        <v>1429</v>
      </c>
      <c r="J392" s="1" t="s">
        <v>1430</v>
      </c>
      <c r="K392" s="1" t="s">
        <v>472</v>
      </c>
      <c r="L392" s="1" t="s">
        <v>1431</v>
      </c>
      <c r="M392" s="6" t="str">
        <f>_xlfn.CONCAT(Table1[[#This Row],[Billing Street]], ", ", Table1[[#This Row],[Billing City]], ", ", Table1[[#This Row],[Billing State/Province]], ", ", Table1[[#This Row],[Billing Zip/Postal Code]])</f>
        <v>530 North 800 West, Logan, UT, 84321</v>
      </c>
    </row>
    <row r="393" spans="1:13" ht="15.6" hidden="1" x14ac:dyDescent="0.3">
      <c r="A393" s="1" t="s">
        <v>1432</v>
      </c>
      <c r="B393" s="1"/>
      <c r="C393" s="1"/>
      <c r="D393" s="1"/>
      <c r="E393" s="1"/>
      <c r="F393" s="1"/>
      <c r="G393" s="1" t="s">
        <v>205</v>
      </c>
      <c r="H393" s="2">
        <v>292</v>
      </c>
      <c r="I393" s="1" t="s">
        <v>1433</v>
      </c>
      <c r="J393" s="1" t="s">
        <v>1434</v>
      </c>
      <c r="K393" s="1" t="s">
        <v>472</v>
      </c>
      <c r="L393" s="1" t="s">
        <v>1435</v>
      </c>
      <c r="M393" s="6" t="str">
        <f>_xlfn.CONCAT(Table1[[#This Row],[Billing Street]], ", ", Table1[[#This Row],[Billing City]], ", ", Table1[[#This Row],[Billing State/Province]], ", ", Table1[[#This Row],[Billing Zip/Postal Code]])</f>
        <v>468 U.S. 89, Hatch, UT, 84735</v>
      </c>
    </row>
    <row r="394" spans="1:13" ht="15.6" hidden="1" x14ac:dyDescent="0.3">
      <c r="A394" s="1" t="s">
        <v>1436</v>
      </c>
      <c r="B394" s="1"/>
      <c r="C394" s="1"/>
      <c r="D394" s="1"/>
      <c r="E394" s="1"/>
      <c r="F394" s="1"/>
      <c r="G394" s="1" t="s">
        <v>8</v>
      </c>
      <c r="H394" s="2">
        <v>464</v>
      </c>
      <c r="I394" s="1" t="s">
        <v>1437</v>
      </c>
      <c r="J394" s="1" t="s">
        <v>1438</v>
      </c>
      <c r="K394" s="1" t="s">
        <v>1439</v>
      </c>
      <c r="L394" s="1" t="s">
        <v>1440</v>
      </c>
      <c r="M394" s="6" t="str">
        <f>_xlfn.CONCAT(Table1[[#This Row],[Billing Street]], ", ", Table1[[#This Row],[Billing City]], ", ", Table1[[#This Row],[Billing State/Province]], ", ", Table1[[#This Row],[Billing Zip/Postal Code]])</f>
        <v>751 N F.M. 3083, Conroe, Tx, 77303</v>
      </c>
    </row>
    <row r="395" spans="1:13" ht="15.6" hidden="1" x14ac:dyDescent="0.3">
      <c r="A395" s="1" t="s">
        <v>1441</v>
      </c>
      <c r="B395" s="1"/>
      <c r="C395" s="1"/>
      <c r="D395" s="1"/>
      <c r="E395" s="1"/>
      <c r="F395" s="1"/>
      <c r="G395" s="1" t="s">
        <v>98</v>
      </c>
      <c r="H395" s="2">
        <v>5887</v>
      </c>
      <c r="I395" s="1" t="s">
        <v>1442</v>
      </c>
      <c r="J395" s="1" t="s">
        <v>1443</v>
      </c>
      <c r="K395" s="1" t="s">
        <v>234</v>
      </c>
      <c r="L395" s="1" t="s">
        <v>1444</v>
      </c>
      <c r="M395" s="6" t="str">
        <f>_xlfn.CONCAT(Table1[[#This Row],[Billing Street]], ", ", Table1[[#This Row],[Billing City]], ", ", Table1[[#This Row],[Billing State/Province]], ", ", Table1[[#This Row],[Billing Zip/Postal Code]])</f>
        <v>420 River St, Lockhart, SC, 29364</v>
      </c>
    </row>
    <row r="396" spans="1:13" ht="15.6" hidden="1" x14ac:dyDescent="0.3">
      <c r="A396" s="1" t="s">
        <v>1445</v>
      </c>
      <c r="B396" s="1"/>
      <c r="C396" s="1"/>
      <c r="D396" s="1"/>
      <c r="E396" s="1"/>
      <c r="F396" s="1"/>
      <c r="G396" s="1" t="s">
        <v>54</v>
      </c>
      <c r="H396" s="2">
        <v>5</v>
      </c>
      <c r="I396" s="1" t="s">
        <v>1446</v>
      </c>
      <c r="J396" s="1" t="s">
        <v>1447</v>
      </c>
      <c r="K396" s="1" t="s">
        <v>57</v>
      </c>
      <c r="L396" s="1" t="s">
        <v>1448</v>
      </c>
      <c r="M396" s="6" t="str">
        <f>_xlfn.CONCAT(Table1[[#This Row],[Billing Street]], ", ", Table1[[#This Row],[Billing City]], ", ", Table1[[#This Row],[Billing State/Province]], ", ", Table1[[#This Row],[Billing Zip/Postal Code]])</f>
        <v>4901 Fruitland Avenue, Vernon, CA, 90058</v>
      </c>
    </row>
    <row r="397" spans="1:13" ht="15.6" hidden="1" x14ac:dyDescent="0.3">
      <c r="A397" s="1" t="s">
        <v>1449</v>
      </c>
      <c r="B397" s="1"/>
      <c r="C397" s="1"/>
      <c r="D397" s="1"/>
      <c r="E397" s="1"/>
      <c r="F397" s="1"/>
      <c r="G397" s="1" t="s">
        <v>205</v>
      </c>
      <c r="H397" s="2">
        <v>307</v>
      </c>
      <c r="I397" s="1" t="s">
        <v>1450</v>
      </c>
      <c r="J397" s="1" t="s">
        <v>1451</v>
      </c>
      <c r="K397" s="1" t="s">
        <v>472</v>
      </c>
      <c r="L397" s="1" t="s">
        <v>1452</v>
      </c>
      <c r="M397" s="6" t="str">
        <f>_xlfn.CONCAT(Table1[[#This Row],[Billing Street]], ", ", Table1[[#This Row],[Billing City]], ", ", Table1[[#This Row],[Billing State/Province]], ", ", Table1[[#This Row],[Billing Zip/Postal Code]])</f>
        <v>6 North Beryl Highway, Beryl, UT, 84714</v>
      </c>
    </row>
    <row r="398" spans="1:13" ht="15.6" hidden="1" x14ac:dyDescent="0.3">
      <c r="A398" s="1" t="s">
        <v>1453</v>
      </c>
      <c r="B398" s="1"/>
      <c r="C398" s="1"/>
      <c r="D398" s="1"/>
      <c r="E398" s="1"/>
      <c r="F398" s="1"/>
      <c r="G398" s="1" t="s">
        <v>205</v>
      </c>
      <c r="H398" s="2">
        <v>433</v>
      </c>
      <c r="I398" s="1" t="s">
        <v>1454</v>
      </c>
      <c r="J398" s="1" t="s">
        <v>1455</v>
      </c>
      <c r="K398" s="1" t="s">
        <v>472</v>
      </c>
      <c r="L398" s="1" t="s">
        <v>1456</v>
      </c>
      <c r="M398" s="6" t="str">
        <f>_xlfn.CONCAT(Table1[[#This Row],[Billing Street]], ", ", Table1[[#This Row],[Billing City]], ", ", Table1[[#This Row],[Billing State/Province]], ", ", Table1[[#This Row],[Billing Zip/Postal Code]])</f>
        <v>344 West 700 North, Nephi, UT, 84648</v>
      </c>
    </row>
    <row r="399" spans="1:13" ht="15.6" x14ac:dyDescent="0.3">
      <c r="A399" s="1" t="s">
        <v>1457</v>
      </c>
      <c r="B399" s="1"/>
      <c r="C399" s="1"/>
      <c r="D399" s="1"/>
      <c r="E399" s="1"/>
      <c r="F399" s="1"/>
      <c r="G399" s="1" t="s">
        <v>24</v>
      </c>
      <c r="H399" s="2">
        <v>5988</v>
      </c>
      <c r="I399" s="1" t="s">
        <v>1458</v>
      </c>
      <c r="J399" s="1" t="s">
        <v>1459</v>
      </c>
      <c r="K399" s="1" t="s">
        <v>26</v>
      </c>
      <c r="L399" s="1" t="s">
        <v>1460</v>
      </c>
      <c r="M399" s="6" t="str">
        <f>_xlfn.CONCAT(Table1[[#This Row],[Billing Street]], ", ", Table1[[#This Row],[Billing City]], ", ", Table1[[#This Row],[Billing State/Province]], ", ", Table1[[#This Row],[Billing Zip/Postal Code]])</f>
        <v>7600 AL-10, Pine Hill, AL, 36769</v>
      </c>
    </row>
    <row r="400" spans="1:13" ht="15.6" hidden="1" x14ac:dyDescent="0.3">
      <c r="A400" s="1" t="s">
        <v>1461</v>
      </c>
      <c r="B400" s="1"/>
      <c r="C400" s="1"/>
      <c r="D400" s="1"/>
      <c r="E400" s="1"/>
      <c r="F400" s="1"/>
      <c r="G400" s="1" t="s">
        <v>205</v>
      </c>
      <c r="H400" s="2">
        <v>457</v>
      </c>
      <c r="I400" s="1" t="s">
        <v>1462</v>
      </c>
      <c r="J400" s="1" t="s">
        <v>1463</v>
      </c>
      <c r="K400" s="1" t="s">
        <v>472</v>
      </c>
      <c r="L400" s="1" t="s">
        <v>1464</v>
      </c>
      <c r="M400" s="6" t="str">
        <f>_xlfn.CONCAT(Table1[[#This Row],[Billing Street]], ", ", Table1[[#This Row],[Billing City]], ", ", Table1[[#This Row],[Billing State/Province]], ", ", Table1[[#This Row],[Billing Zip/Postal Code]])</f>
        <v>9434 3200 West, Payson, UT, 84651</v>
      </c>
    </row>
    <row r="401" spans="1:13" ht="15.6" hidden="1" x14ac:dyDescent="0.3">
      <c r="A401" s="1" t="s">
        <v>1465</v>
      </c>
      <c r="B401" s="1"/>
      <c r="C401" s="1"/>
      <c r="D401" s="1"/>
      <c r="E401" s="1"/>
      <c r="F401" s="1"/>
      <c r="G401" s="1" t="s">
        <v>205</v>
      </c>
      <c r="H401" s="2">
        <v>487</v>
      </c>
      <c r="I401" s="1" t="s">
        <v>1466</v>
      </c>
      <c r="J401" s="1" t="s">
        <v>1467</v>
      </c>
      <c r="K401" s="1" t="s">
        <v>472</v>
      </c>
      <c r="L401" s="1" t="s">
        <v>1468</v>
      </c>
      <c r="M401" s="6" t="str">
        <f>_xlfn.CONCAT(Table1[[#This Row],[Billing Street]], ", ", Table1[[#This Row],[Billing City]], ", ", Table1[[#This Row],[Billing State/Province]], ", ", Table1[[#This Row],[Billing Zip/Postal Code]])</f>
        <v>800 U.S. 40, Roosevelt, UT, 84066</v>
      </c>
    </row>
    <row r="402" spans="1:13" ht="15.6" hidden="1" x14ac:dyDescent="0.3">
      <c r="A402" s="1" t="s">
        <v>1469</v>
      </c>
      <c r="B402" s="1"/>
      <c r="C402" s="1"/>
      <c r="D402" s="1"/>
      <c r="E402" s="1"/>
      <c r="F402" s="1"/>
      <c r="G402" s="1" t="s">
        <v>43</v>
      </c>
      <c r="H402" s="2">
        <v>5776</v>
      </c>
      <c r="I402" s="1" t="s">
        <v>1470</v>
      </c>
      <c r="J402" s="1" t="s">
        <v>780</v>
      </c>
      <c r="K402" s="1" t="s">
        <v>781</v>
      </c>
      <c r="L402" s="1" t="s">
        <v>1471</v>
      </c>
      <c r="M402" s="6" t="str">
        <f>_xlfn.CONCAT(Table1[[#This Row],[Billing Street]], ", ", Table1[[#This Row],[Billing City]], ", ", Table1[[#This Row],[Billing State/Province]], ", ", Table1[[#This Row],[Billing Zip/Postal Code]])</f>
        <v>4945 National St, Philadelphia, pa, 19135</v>
      </c>
    </row>
    <row r="403" spans="1:13" ht="15.6" hidden="1" x14ac:dyDescent="0.3">
      <c r="A403" s="1" t="s">
        <v>1472</v>
      </c>
      <c r="B403" s="1"/>
      <c r="C403" s="1"/>
      <c r="D403" s="1"/>
      <c r="E403" s="1"/>
      <c r="F403" s="1"/>
      <c r="G403" s="1" t="s">
        <v>43</v>
      </c>
      <c r="H403" s="2">
        <v>5776</v>
      </c>
      <c r="I403" s="1" t="s">
        <v>1473</v>
      </c>
      <c r="J403" s="1" t="s">
        <v>1474</v>
      </c>
      <c r="K403" s="1" t="s">
        <v>1475</v>
      </c>
      <c r="L403" s="1" t="s">
        <v>1476</v>
      </c>
      <c r="M403" s="6" t="str">
        <f>_xlfn.CONCAT(Table1[[#This Row],[Billing Street]], ", ", Table1[[#This Row],[Billing City]], ", ", Table1[[#This Row],[Billing State/Province]], ", ", Table1[[#This Row],[Billing Zip/Postal Code]])</f>
        <v>55 lake st, Nashua, nh, 3060</v>
      </c>
    </row>
    <row r="404" spans="1:13" ht="15.6" hidden="1" x14ac:dyDescent="0.3">
      <c r="A404" s="1" t="s">
        <v>1477</v>
      </c>
      <c r="B404" s="1"/>
      <c r="C404" s="1"/>
      <c r="D404" s="1"/>
      <c r="E404" s="1"/>
      <c r="F404" s="1"/>
      <c r="G404" s="1" t="s">
        <v>98</v>
      </c>
      <c r="H404" s="2">
        <v>382</v>
      </c>
      <c r="I404" s="1" t="s">
        <v>1478</v>
      </c>
      <c r="J404" s="1" t="s">
        <v>1479</v>
      </c>
      <c r="K404" s="1" t="s">
        <v>1178</v>
      </c>
      <c r="L404" s="1" t="s">
        <v>1480</v>
      </c>
      <c r="M404" s="6" t="str">
        <f>_xlfn.CONCAT(Table1[[#This Row],[Billing Street]], ", ", Table1[[#This Row],[Billing City]], ", ", Table1[[#This Row],[Billing State/Province]], ", ", Table1[[#This Row],[Billing Zip/Postal Code]])</f>
        <v>1800 Herring Ave, Wilson, NC, 27893</v>
      </c>
    </row>
    <row r="405" spans="1:13" ht="15.6" hidden="1" x14ac:dyDescent="0.3">
      <c r="A405" s="1" t="s">
        <v>1481</v>
      </c>
      <c r="B405" s="1"/>
      <c r="C405" s="1"/>
      <c r="D405" s="1"/>
      <c r="E405" s="1"/>
      <c r="F405" s="1"/>
      <c r="G405" s="1" t="s">
        <v>205</v>
      </c>
      <c r="H405" s="2">
        <v>465</v>
      </c>
      <c r="I405" s="1" t="s">
        <v>1482</v>
      </c>
      <c r="J405" s="1" t="s">
        <v>1483</v>
      </c>
      <c r="K405" s="1" t="s">
        <v>472</v>
      </c>
      <c r="L405" s="1" t="s">
        <v>1484</v>
      </c>
      <c r="M405" s="6" t="str">
        <f>_xlfn.CONCAT(Table1[[#This Row],[Billing Street]], ", ", Table1[[#This Row],[Billing City]], ", ", Table1[[#This Row],[Billing State/Province]], ", ", Table1[[#This Row],[Billing Zip/Postal Code]])</f>
        <v>777 North 425 West, Springville, UT, 84663</v>
      </c>
    </row>
    <row r="406" spans="1:13" ht="15.6" hidden="1" x14ac:dyDescent="0.3">
      <c r="A406" s="1" t="s">
        <v>1485</v>
      </c>
      <c r="B406" s="1"/>
      <c r="C406" s="1"/>
      <c r="D406" s="1"/>
      <c r="E406" s="1"/>
      <c r="F406" s="1"/>
      <c r="G406" s="1" t="s">
        <v>98</v>
      </c>
      <c r="H406" s="2">
        <v>155</v>
      </c>
      <c r="I406" s="1" t="s">
        <v>1486</v>
      </c>
      <c r="J406" s="1" t="s">
        <v>100</v>
      </c>
      <c r="K406" s="1" t="s">
        <v>101</v>
      </c>
      <c r="L406" s="1" t="s">
        <v>1487</v>
      </c>
      <c r="M406" s="6" t="str">
        <f>_xlfn.CONCAT(Table1[[#This Row],[Billing Street]], ", ", Table1[[#This Row],[Billing City]], ", ", Table1[[#This Row],[Billing State/Province]], ", ", Table1[[#This Row],[Billing Zip/Postal Code]])</f>
        <v>798 21st Ave PO Box 5228, Albany, GA, 31706</v>
      </c>
    </row>
    <row r="407" spans="1:13" ht="15.6" hidden="1" x14ac:dyDescent="0.3">
      <c r="A407" s="1" t="s">
        <v>1488</v>
      </c>
      <c r="B407" s="1"/>
      <c r="C407" s="1"/>
      <c r="D407" s="1"/>
      <c r="E407" s="1"/>
      <c r="F407" s="1"/>
      <c r="G407" s="1" t="s">
        <v>205</v>
      </c>
      <c r="H407" s="2">
        <v>457</v>
      </c>
      <c r="I407" s="1" t="s">
        <v>1489</v>
      </c>
      <c r="J407" s="1" t="s">
        <v>1463</v>
      </c>
      <c r="K407" s="1" t="s">
        <v>472</v>
      </c>
      <c r="L407" s="1" t="s">
        <v>1464</v>
      </c>
      <c r="M407" s="6" t="str">
        <f>_xlfn.CONCAT(Table1[[#This Row],[Billing Street]], ", ", Table1[[#This Row],[Billing City]], ", ", Table1[[#This Row],[Billing State/Province]], ", ", Table1[[#This Row],[Billing Zip/Postal Code]])</f>
        <v>803 North 500 East, Payson, UT, 84651</v>
      </c>
    </row>
    <row r="408" spans="1:13" ht="15.6" hidden="1" x14ac:dyDescent="0.3">
      <c r="A408" s="1" t="s">
        <v>1490</v>
      </c>
      <c r="B408" s="1"/>
      <c r="C408" s="1"/>
      <c r="D408" s="1"/>
      <c r="E408" s="1"/>
      <c r="F408" s="1"/>
      <c r="G408" s="1" t="s">
        <v>205</v>
      </c>
      <c r="H408" s="2">
        <v>489</v>
      </c>
      <c r="I408" s="1" t="s">
        <v>1491</v>
      </c>
      <c r="J408" s="1" t="s">
        <v>333</v>
      </c>
      <c r="K408" s="1" t="s">
        <v>472</v>
      </c>
      <c r="L408" s="1" t="s">
        <v>1492</v>
      </c>
      <c r="M408" s="6" t="str">
        <f>_xlfn.CONCAT(Table1[[#This Row],[Billing Street]], ", ", Table1[[#This Row],[Billing City]], ", ", Table1[[#This Row],[Billing State/Province]], ", ", Table1[[#This Row],[Billing Zip/Postal Code]])</f>
        <v>12773 S. Redwood Rd, Riverton, UT, 84065</v>
      </c>
    </row>
    <row r="409" spans="1:13" ht="15.6" x14ac:dyDescent="0.3">
      <c r="A409" s="1" t="s">
        <v>1493</v>
      </c>
      <c r="B409" s="1"/>
      <c r="C409" s="1"/>
      <c r="D409" s="1"/>
      <c r="E409" s="1"/>
      <c r="F409" s="1"/>
      <c r="G409" s="1" t="s">
        <v>24</v>
      </c>
      <c r="H409" s="2">
        <v>191</v>
      </c>
      <c r="I409" s="1" t="s">
        <v>1494</v>
      </c>
      <c r="J409" s="1" t="s">
        <v>438</v>
      </c>
      <c r="K409" s="1" t="s">
        <v>26</v>
      </c>
      <c r="L409" s="1" t="s">
        <v>439</v>
      </c>
      <c r="M409" s="6" t="str">
        <f>_xlfn.CONCAT(Table1[[#This Row],[Billing Street]], ", ", Table1[[#This Row],[Billing City]], ", ", Table1[[#This Row],[Billing State/Province]], ", ", Table1[[#This Row],[Billing Zip/Postal Code]])</f>
        <v>4150 Joe Mallisham Pkwy, Tuscaloosa, AL, 35401</v>
      </c>
    </row>
    <row r="410" spans="1:13" ht="15.6" hidden="1" x14ac:dyDescent="0.3">
      <c r="A410" s="1" t="s">
        <v>1495</v>
      </c>
      <c r="B410" s="1"/>
      <c r="C410" s="1"/>
      <c r="D410" s="1"/>
      <c r="E410" s="1"/>
      <c r="F410" s="1"/>
      <c r="G410" s="1" t="s">
        <v>8</v>
      </c>
      <c r="H410" s="2">
        <v>6528</v>
      </c>
      <c r="I410" s="1" t="s">
        <v>13</v>
      </c>
      <c r="J410" s="1" t="s">
        <v>1496</v>
      </c>
      <c r="K410" s="1" t="s">
        <v>147</v>
      </c>
      <c r="L410" s="1" t="s">
        <v>13</v>
      </c>
      <c r="M410" s="6" t="str">
        <f>_xlfn.CONCAT(Table1[[#This Row],[Billing Street]], ", ", Table1[[#This Row],[Billing City]], ", ", Table1[[#This Row],[Billing State/Province]], ", ", Table1[[#This Row],[Billing Zip/Postal Code]])</f>
        <v xml:space="preserve">, Norman, OK, </v>
      </c>
    </row>
    <row r="411" spans="1:13" ht="15.6" hidden="1" x14ac:dyDescent="0.3">
      <c r="A411" s="1" t="s">
        <v>1497</v>
      </c>
      <c r="B411" s="1"/>
      <c r="C411" s="1"/>
      <c r="D411" s="1"/>
      <c r="E411" s="1"/>
      <c r="F411" s="1"/>
      <c r="G411" s="1" t="s">
        <v>54</v>
      </c>
      <c r="H411" s="2">
        <v>24</v>
      </c>
      <c r="I411" s="1" t="s">
        <v>1498</v>
      </c>
      <c r="J411" s="1" t="s">
        <v>1499</v>
      </c>
      <c r="K411" s="1" t="s">
        <v>57</v>
      </c>
      <c r="L411" s="1" t="s">
        <v>1500</v>
      </c>
      <c r="M411" s="6" t="str">
        <f>_xlfn.CONCAT(Table1[[#This Row],[Billing Street]], ", ", Table1[[#This Row],[Billing City]], ", ", Table1[[#This Row],[Billing State/Province]], ", ", Table1[[#This Row],[Billing Zip/Postal Code]])</f>
        <v>23480 Park Sorrento Suite 104B, Calabasas, CA, 91302</v>
      </c>
    </row>
    <row r="412" spans="1:13" ht="15.6" hidden="1" x14ac:dyDescent="0.3">
      <c r="A412" s="1" t="s">
        <v>1501</v>
      </c>
      <c r="B412" s="1"/>
      <c r="C412" s="1"/>
      <c r="D412" s="1"/>
      <c r="E412" s="1"/>
      <c r="F412" s="1"/>
      <c r="G412" s="1" t="s">
        <v>43</v>
      </c>
      <c r="H412" s="2">
        <v>132</v>
      </c>
      <c r="I412" s="1" t="s">
        <v>1502</v>
      </c>
      <c r="J412" s="1" t="s">
        <v>888</v>
      </c>
      <c r="K412" s="1" t="s">
        <v>45</v>
      </c>
      <c r="L412" s="1" t="s">
        <v>1503</v>
      </c>
      <c r="M412" s="6" t="str">
        <f>_xlfn.CONCAT(Table1[[#This Row],[Billing Street]], ", ", Table1[[#This Row],[Billing City]], ", ", Table1[[#This Row],[Billing State/Province]], ", ", Table1[[#This Row],[Billing Zip/Postal Code]])</f>
        <v>6401 Rogers Road, Delta, OH, 43515</v>
      </c>
    </row>
    <row r="413" spans="1:13" ht="15.6" hidden="1" x14ac:dyDescent="0.3">
      <c r="A413" s="1" t="s">
        <v>1504</v>
      </c>
      <c r="B413" s="1"/>
      <c r="C413" s="1"/>
      <c r="D413" s="1"/>
      <c r="E413" s="1"/>
      <c r="F413" s="1"/>
      <c r="G413" s="1" t="s">
        <v>43</v>
      </c>
      <c r="H413" s="2">
        <v>5776</v>
      </c>
      <c r="I413" s="1" t="s">
        <v>13</v>
      </c>
      <c r="J413" s="1" t="s">
        <v>13</v>
      </c>
      <c r="K413" s="1" t="s">
        <v>1505</v>
      </c>
      <c r="L413" s="1" t="s">
        <v>13</v>
      </c>
      <c r="M413" s="6" t="str">
        <f>_xlfn.CONCAT(Table1[[#This Row],[Billing Street]], ", ", Table1[[#This Row],[Billing City]], ", ", Table1[[#This Row],[Billing State/Province]], ", ", Table1[[#This Row],[Billing Zip/Postal Code]])</f>
        <v xml:space="preserve">, , VT, </v>
      </c>
    </row>
    <row r="414" spans="1:13" ht="15.6" hidden="1" x14ac:dyDescent="0.3">
      <c r="A414" s="1" t="s">
        <v>1506</v>
      </c>
      <c r="B414" s="1"/>
      <c r="C414" s="1"/>
      <c r="D414" s="1"/>
      <c r="E414" s="1"/>
      <c r="F414" s="1"/>
      <c r="G414" s="1" t="s">
        <v>43</v>
      </c>
      <c r="H414" s="2">
        <v>5776</v>
      </c>
      <c r="I414" s="1" t="s">
        <v>13</v>
      </c>
      <c r="J414" s="1" t="s">
        <v>13</v>
      </c>
      <c r="K414" s="1" t="s">
        <v>1505</v>
      </c>
      <c r="L414" s="1" t="s">
        <v>13</v>
      </c>
      <c r="M414" s="6" t="str">
        <f>_xlfn.CONCAT(Table1[[#This Row],[Billing Street]], ", ", Table1[[#This Row],[Billing City]], ", ", Table1[[#This Row],[Billing State/Province]], ", ", Table1[[#This Row],[Billing Zip/Postal Code]])</f>
        <v xml:space="preserve">, , VT, </v>
      </c>
    </row>
    <row r="415" spans="1:13" ht="15.6" hidden="1" x14ac:dyDescent="0.3">
      <c r="A415" s="1" t="s">
        <v>1507</v>
      </c>
      <c r="B415" s="1"/>
      <c r="C415" s="1"/>
      <c r="D415" s="1"/>
      <c r="E415" s="1"/>
      <c r="F415" s="1"/>
      <c r="G415" s="1" t="s">
        <v>43</v>
      </c>
      <c r="H415" s="2">
        <v>5776</v>
      </c>
      <c r="I415" s="1" t="s">
        <v>13</v>
      </c>
      <c r="J415" s="1" t="s">
        <v>13</v>
      </c>
      <c r="K415" s="1" t="s">
        <v>1505</v>
      </c>
      <c r="L415" s="1" t="s">
        <v>13</v>
      </c>
      <c r="M415" s="6" t="str">
        <f>_xlfn.CONCAT(Table1[[#This Row],[Billing Street]], ", ", Table1[[#This Row],[Billing City]], ", ", Table1[[#This Row],[Billing State/Province]], ", ", Table1[[#This Row],[Billing Zip/Postal Code]])</f>
        <v xml:space="preserve">, , VT, </v>
      </c>
    </row>
    <row r="416" spans="1:13" ht="15.6" hidden="1" x14ac:dyDescent="0.3">
      <c r="A416" s="1" t="s">
        <v>1508</v>
      </c>
      <c r="B416" s="1"/>
      <c r="C416" s="1"/>
      <c r="D416" s="1"/>
      <c r="E416" s="1"/>
      <c r="F416" s="1"/>
      <c r="G416" s="1" t="s">
        <v>43</v>
      </c>
      <c r="H416" s="2">
        <v>5776</v>
      </c>
      <c r="I416" s="1" t="s">
        <v>1509</v>
      </c>
      <c r="J416" s="1" t="s">
        <v>449</v>
      </c>
      <c r="K416" s="1" t="s">
        <v>1505</v>
      </c>
      <c r="L416" s="1" t="s">
        <v>1510</v>
      </c>
      <c r="M416" s="6" t="str">
        <f>_xlfn.CONCAT(Table1[[#This Row],[Billing Street]], ", ", Table1[[#This Row],[Billing City]], ", ", Table1[[#This Row],[Billing State/Province]], ", ", Table1[[#This Row],[Billing Zip/Postal Code]])</f>
        <v>1 National Life Dr., Montpelier, VT, 5604</v>
      </c>
    </row>
    <row r="417" spans="1:13" ht="15.6" hidden="1" x14ac:dyDescent="0.3">
      <c r="A417" s="1" t="s">
        <v>1511</v>
      </c>
      <c r="B417" s="1"/>
      <c r="C417" s="1"/>
      <c r="D417" s="1"/>
      <c r="E417" s="1"/>
      <c r="F417" s="1"/>
      <c r="G417" s="1" t="s">
        <v>43</v>
      </c>
      <c r="H417" s="2">
        <v>5776</v>
      </c>
      <c r="I417" s="1" t="s">
        <v>13</v>
      </c>
      <c r="J417" s="1" t="s">
        <v>13</v>
      </c>
      <c r="K417" s="1" t="s">
        <v>1505</v>
      </c>
      <c r="L417" s="1" t="s">
        <v>13</v>
      </c>
      <c r="M417" s="6" t="str">
        <f>_xlfn.CONCAT(Table1[[#This Row],[Billing Street]], ", ", Table1[[#This Row],[Billing City]], ", ", Table1[[#This Row],[Billing State/Province]], ", ", Table1[[#This Row],[Billing Zip/Postal Code]])</f>
        <v xml:space="preserve">, , VT, </v>
      </c>
    </row>
    <row r="418" spans="1:13" ht="15.6" hidden="1" x14ac:dyDescent="0.3">
      <c r="A418" s="1" t="s">
        <v>1512</v>
      </c>
      <c r="B418" s="1"/>
      <c r="C418" s="1"/>
      <c r="D418" s="1"/>
      <c r="E418" s="1"/>
      <c r="F418" s="1"/>
      <c r="G418" s="1" t="s">
        <v>43</v>
      </c>
      <c r="H418" s="2">
        <v>5776</v>
      </c>
      <c r="I418" s="1" t="s">
        <v>13</v>
      </c>
      <c r="J418" s="1" t="s">
        <v>1513</v>
      </c>
      <c r="K418" s="1" t="s">
        <v>133</v>
      </c>
      <c r="L418" s="1" t="s">
        <v>13</v>
      </c>
      <c r="M418" s="6" t="str">
        <f>_xlfn.CONCAT(Table1[[#This Row],[Billing Street]], ", ", Table1[[#This Row],[Billing City]], ", ", Table1[[#This Row],[Billing State/Province]], ", ", Table1[[#This Row],[Billing Zip/Postal Code]])</f>
        <v xml:space="preserve">, Juno, WI, </v>
      </c>
    </row>
    <row r="419" spans="1:13" ht="15.6" hidden="1" x14ac:dyDescent="0.3">
      <c r="A419" s="1" t="s">
        <v>1514</v>
      </c>
      <c r="B419" s="1"/>
      <c r="C419" s="1"/>
      <c r="D419" s="1"/>
      <c r="E419" s="1"/>
      <c r="F419" s="1"/>
      <c r="G419" s="1" t="s">
        <v>43</v>
      </c>
      <c r="H419" s="2">
        <v>5776</v>
      </c>
      <c r="I419" s="1" t="s">
        <v>13</v>
      </c>
      <c r="J419" s="1" t="s">
        <v>13</v>
      </c>
      <c r="K419" s="1" t="s">
        <v>1505</v>
      </c>
      <c r="L419" s="1" t="s">
        <v>13</v>
      </c>
      <c r="M419" s="6" t="str">
        <f>_xlfn.CONCAT(Table1[[#This Row],[Billing Street]], ", ", Table1[[#This Row],[Billing City]], ", ", Table1[[#This Row],[Billing State/Province]], ", ", Table1[[#This Row],[Billing Zip/Postal Code]])</f>
        <v xml:space="preserve">, , VT, </v>
      </c>
    </row>
    <row r="420" spans="1:13" ht="15.6" hidden="1" x14ac:dyDescent="0.3">
      <c r="A420" s="1" t="s">
        <v>1515</v>
      </c>
      <c r="B420" s="1"/>
      <c r="C420" s="1"/>
      <c r="D420" s="1"/>
      <c r="E420" s="1"/>
      <c r="F420" s="1"/>
      <c r="G420" s="1" t="s">
        <v>43</v>
      </c>
      <c r="H420" s="2">
        <v>127</v>
      </c>
      <c r="I420" s="1" t="s">
        <v>1516</v>
      </c>
      <c r="J420" s="1" t="s">
        <v>1517</v>
      </c>
      <c r="K420" s="1" t="s">
        <v>45</v>
      </c>
      <c r="L420" s="1" t="s">
        <v>1518</v>
      </c>
      <c r="M420" s="6" t="str">
        <f>_xlfn.CONCAT(Table1[[#This Row],[Billing Street]], ", ", Table1[[#This Row],[Billing City]], ", ", Table1[[#This Row],[Billing State/Province]], ", ", Table1[[#This Row],[Billing Zip/Postal Code]])</f>
        <v>301 Cedar Hill Road, Lancaster, OH, 43130</v>
      </c>
    </row>
    <row r="421" spans="1:13" ht="15.6" hidden="1" x14ac:dyDescent="0.3">
      <c r="A421" s="1" t="s">
        <v>1519</v>
      </c>
      <c r="B421" s="1"/>
      <c r="C421" s="1"/>
      <c r="D421" s="1"/>
      <c r="E421" s="1"/>
      <c r="F421" s="1"/>
      <c r="G421" s="1" t="s">
        <v>43</v>
      </c>
      <c r="H421" s="2">
        <v>150</v>
      </c>
      <c r="I421" s="1" t="s">
        <v>1520</v>
      </c>
      <c r="J421" s="1" t="s">
        <v>1521</v>
      </c>
      <c r="K421" s="1" t="s">
        <v>241</v>
      </c>
      <c r="L421" s="1" t="s">
        <v>1522</v>
      </c>
      <c r="M421" s="6" t="str">
        <f>_xlfn.CONCAT(Table1[[#This Row],[Billing Street]], ", ", Table1[[#This Row],[Billing City]], ", ", Table1[[#This Row],[Billing State/Province]], ", ", Table1[[#This Row],[Billing Zip/Postal Code]])</f>
        <v>251 State Road, St. Marys, PA, 15857</v>
      </c>
    </row>
    <row r="422" spans="1:13" ht="15.6" hidden="1" x14ac:dyDescent="0.3">
      <c r="A422" s="1" t="s">
        <v>1523</v>
      </c>
      <c r="B422" s="1"/>
      <c r="C422" s="1"/>
      <c r="D422" s="1"/>
      <c r="E422" s="1"/>
      <c r="F422" s="1"/>
      <c r="G422" s="1" t="s">
        <v>43</v>
      </c>
      <c r="H422" s="2">
        <v>5776</v>
      </c>
      <c r="I422" s="1" t="s">
        <v>93</v>
      </c>
      <c r="J422" s="1" t="s">
        <v>94</v>
      </c>
      <c r="K422" s="1" t="s">
        <v>586</v>
      </c>
      <c r="L422" s="1" t="s">
        <v>13</v>
      </c>
      <c r="M422" s="6" t="str">
        <f>_xlfn.CONCAT(Table1[[#This Row],[Billing Street]], ", ", Table1[[#This Row],[Billing City]], ", ", Table1[[#This Row],[Billing State/Province]], ", ", Table1[[#This Row],[Billing Zip/Postal Code]])</f>
        <v xml:space="preserve">40 Washington St, Westborough, ma, </v>
      </c>
    </row>
    <row r="423" spans="1:13" ht="15.6" hidden="1" x14ac:dyDescent="0.3">
      <c r="A423" s="1" t="s">
        <v>1524</v>
      </c>
      <c r="B423" s="1"/>
      <c r="C423" s="1"/>
      <c r="D423" s="1"/>
      <c r="E423" s="1"/>
      <c r="F423" s="1"/>
      <c r="G423" s="1" t="s">
        <v>43</v>
      </c>
      <c r="H423" s="2">
        <v>509</v>
      </c>
      <c r="I423" s="1" t="s">
        <v>1525</v>
      </c>
      <c r="J423" s="1" t="s">
        <v>1526</v>
      </c>
      <c r="K423" s="1" t="s">
        <v>1505</v>
      </c>
      <c r="L423" s="1" t="s">
        <v>1527</v>
      </c>
      <c r="M423" s="6" t="str">
        <f>_xlfn.CONCAT(Table1[[#This Row],[Billing Street]], ", ", Table1[[#This Row],[Billing City]], ", ", Table1[[#This Row],[Billing State/Province]], ", ", Table1[[#This Row],[Billing Zip/Postal Code]])</f>
        <v>123 N. Main St., Hardwick, VT, 5843</v>
      </c>
    </row>
    <row r="424" spans="1:13" ht="15.6" hidden="1" x14ac:dyDescent="0.3">
      <c r="A424" s="1" t="s">
        <v>1528</v>
      </c>
      <c r="B424" s="1"/>
      <c r="C424" s="1"/>
      <c r="D424" s="1"/>
      <c r="E424" s="1"/>
      <c r="F424" s="1"/>
      <c r="G424" s="1" t="s">
        <v>43</v>
      </c>
      <c r="H424" s="2">
        <v>5776</v>
      </c>
      <c r="I424" s="1" t="s">
        <v>13</v>
      </c>
      <c r="J424" s="1" t="s">
        <v>13</v>
      </c>
      <c r="K424" s="1" t="s">
        <v>1505</v>
      </c>
      <c r="L424" s="1" t="s">
        <v>13</v>
      </c>
      <c r="M424" s="6" t="str">
        <f>_xlfn.CONCAT(Table1[[#This Row],[Billing Street]], ", ", Table1[[#This Row],[Billing City]], ", ", Table1[[#This Row],[Billing State/Province]], ", ", Table1[[#This Row],[Billing Zip/Postal Code]])</f>
        <v xml:space="preserve">, , VT, </v>
      </c>
    </row>
    <row r="425" spans="1:13" ht="15.6" x14ac:dyDescent="0.3">
      <c r="A425" s="1" t="s">
        <v>1529</v>
      </c>
      <c r="B425" s="1"/>
      <c r="C425" s="1"/>
      <c r="D425" s="1"/>
      <c r="E425" s="1"/>
      <c r="F425" s="1"/>
      <c r="G425" s="1" t="s">
        <v>24</v>
      </c>
      <c r="H425" s="2">
        <v>38</v>
      </c>
      <c r="I425" s="1" t="s">
        <v>1530</v>
      </c>
      <c r="J425" s="1" t="s">
        <v>1531</v>
      </c>
      <c r="K425" s="1" t="s">
        <v>36</v>
      </c>
      <c r="L425" s="1" t="s">
        <v>1532</v>
      </c>
      <c r="M425" s="6" t="str">
        <f>_xlfn.CONCAT(Table1[[#This Row],[Billing Street]], ", ", Table1[[#This Row],[Billing City]], ", ", Table1[[#This Row],[Billing State/Province]], ", ", Table1[[#This Row],[Billing Zip/Postal Code]])</f>
        <v>634 Lovejoy Road, Ft. Walton Beach, FL, 32548</v>
      </c>
    </row>
    <row r="426" spans="1:13" ht="15.6" hidden="1" x14ac:dyDescent="0.3">
      <c r="A426" s="1" t="s">
        <v>1533</v>
      </c>
      <c r="B426" s="1"/>
      <c r="C426" s="1"/>
      <c r="D426" s="1"/>
      <c r="E426" s="1"/>
      <c r="F426" s="1"/>
      <c r="G426" s="1" t="s">
        <v>43</v>
      </c>
      <c r="H426" s="2">
        <v>141</v>
      </c>
      <c r="I426" s="1" t="s">
        <v>1534</v>
      </c>
      <c r="J426" s="1" t="s">
        <v>1535</v>
      </c>
      <c r="K426" s="1" t="s">
        <v>1170</v>
      </c>
      <c r="L426" s="1" t="s">
        <v>1536</v>
      </c>
      <c r="M426" s="6" t="str">
        <f>_xlfn.CONCAT(Table1[[#This Row],[Billing Street]], ", ", Table1[[#This Row],[Billing City]], ", ", Table1[[#This Row],[Billing State/Province]], ", ", Table1[[#This Row],[Billing Zip/Postal Code]])</f>
        <v>1803 Murdoch Ave, Parkersburg, WV, 26101</v>
      </c>
    </row>
    <row r="427" spans="1:13" ht="15.6" hidden="1" x14ac:dyDescent="0.3">
      <c r="A427" s="1" t="s">
        <v>1537</v>
      </c>
      <c r="B427" s="1"/>
      <c r="C427" s="1"/>
      <c r="D427" s="1"/>
      <c r="E427" s="1"/>
      <c r="F427" s="1"/>
      <c r="G427" s="1" t="s">
        <v>43</v>
      </c>
      <c r="H427" s="2">
        <v>459</v>
      </c>
      <c r="I427" s="1" t="s">
        <v>1538</v>
      </c>
      <c r="J427" s="1" t="s">
        <v>1539</v>
      </c>
      <c r="K427" s="1" t="s">
        <v>1505</v>
      </c>
      <c r="L427" s="1" t="s">
        <v>1540</v>
      </c>
      <c r="M427" s="6" t="str">
        <f>_xlfn.CONCAT(Table1[[#This Row],[Billing Street]], ", ", Table1[[#This Row],[Billing City]], ", ", Table1[[#This Row],[Billing State/Province]], ", ", Table1[[#This Row],[Billing Zip/Postal Code]])</f>
        <v>296 green Hills Lane, Rutland, VT, 5701</v>
      </c>
    </row>
    <row r="428" spans="1:13" ht="15.6" hidden="1" x14ac:dyDescent="0.3">
      <c r="A428" s="1" t="s">
        <v>1541</v>
      </c>
      <c r="B428" s="1"/>
      <c r="C428" s="1"/>
      <c r="D428" s="1"/>
      <c r="E428" s="1"/>
      <c r="F428" s="1"/>
      <c r="G428" s="1" t="s">
        <v>43</v>
      </c>
      <c r="H428" s="2">
        <v>338</v>
      </c>
      <c r="I428" s="1" t="s">
        <v>1542</v>
      </c>
      <c r="J428" s="1" t="s">
        <v>1543</v>
      </c>
      <c r="K428" s="1" t="s">
        <v>1115</v>
      </c>
      <c r="L428" s="1" t="s">
        <v>1544</v>
      </c>
      <c r="M428" s="6" t="str">
        <f>_xlfn.CONCAT(Table1[[#This Row],[Billing Street]], ", ", Table1[[#This Row],[Billing City]], ", ", Table1[[#This Row],[Billing State/Province]], ", ", Table1[[#This Row],[Billing Zip/Postal Code]])</f>
        <v>707 East Main St Fl-12, Richmond, VA, 23219</v>
      </c>
    </row>
    <row r="429" spans="1:13" ht="15.6" hidden="1" x14ac:dyDescent="0.3">
      <c r="A429" s="1" t="s">
        <v>1545</v>
      </c>
      <c r="B429" s="1"/>
      <c r="C429" s="1"/>
      <c r="D429" s="1"/>
      <c r="E429" s="1"/>
      <c r="F429" s="1"/>
      <c r="G429" s="1" t="s">
        <v>43</v>
      </c>
      <c r="H429" s="2">
        <v>336</v>
      </c>
      <c r="I429" s="1" t="s">
        <v>1546</v>
      </c>
      <c r="J429" s="1" t="s">
        <v>1547</v>
      </c>
      <c r="K429" s="1" t="s">
        <v>1115</v>
      </c>
      <c r="L429" s="1" t="s">
        <v>1548</v>
      </c>
      <c r="M429" s="6" t="str">
        <f>_xlfn.CONCAT(Table1[[#This Row],[Billing Street]], ", ", Table1[[#This Row],[Billing City]], ", ", Table1[[#This Row],[Billing State/Province]], ", ", Table1[[#This Row],[Billing Zip/Postal Code]])</f>
        <v>2000 West Virginia Ave, Crewe, VA, 23930</v>
      </c>
    </row>
    <row r="430" spans="1:13" ht="15.6" hidden="1" x14ac:dyDescent="0.3">
      <c r="A430" s="1" t="s">
        <v>1549</v>
      </c>
      <c r="B430" s="1"/>
      <c r="C430" s="1"/>
      <c r="D430" s="1"/>
      <c r="E430" s="1"/>
      <c r="F430" s="1"/>
      <c r="G430" s="1" t="s">
        <v>43</v>
      </c>
      <c r="H430" s="2">
        <v>5776</v>
      </c>
      <c r="I430" s="1" t="s">
        <v>13</v>
      </c>
      <c r="J430" s="1" t="s">
        <v>1550</v>
      </c>
      <c r="K430" s="1" t="s">
        <v>1115</v>
      </c>
      <c r="L430" s="1" t="s">
        <v>13</v>
      </c>
      <c r="M430" s="6" t="str">
        <f>_xlfn.CONCAT(Table1[[#This Row],[Billing Street]], ", ", Table1[[#This Row],[Billing City]], ", ", Table1[[#This Row],[Billing State/Province]], ", ", Table1[[#This Row],[Billing Zip/Postal Code]])</f>
        <v xml:space="preserve">, Roanoke, VA, </v>
      </c>
    </row>
    <row r="431" spans="1:13" ht="15.6" hidden="1" x14ac:dyDescent="0.3">
      <c r="A431" s="1" t="s">
        <v>1551</v>
      </c>
      <c r="B431" s="1"/>
      <c r="C431" s="1"/>
      <c r="D431" s="1"/>
      <c r="E431" s="1"/>
      <c r="F431" s="1"/>
      <c r="G431" s="1" t="s">
        <v>43</v>
      </c>
      <c r="H431" s="2">
        <v>5776</v>
      </c>
      <c r="I431" s="1" t="s">
        <v>13</v>
      </c>
      <c r="J431" s="1" t="s">
        <v>13</v>
      </c>
      <c r="K431" s="1" t="s">
        <v>1115</v>
      </c>
      <c r="L431" s="1" t="s">
        <v>13</v>
      </c>
      <c r="M431" s="6" t="str">
        <f>_xlfn.CONCAT(Table1[[#This Row],[Billing Street]], ", ", Table1[[#This Row],[Billing City]], ", ", Table1[[#This Row],[Billing State/Province]], ", ", Table1[[#This Row],[Billing Zip/Postal Code]])</f>
        <v xml:space="preserve">, , VA, </v>
      </c>
    </row>
    <row r="432" spans="1:13" ht="15.6" hidden="1" x14ac:dyDescent="0.3">
      <c r="A432" s="1" t="s">
        <v>1552</v>
      </c>
      <c r="B432" s="1"/>
      <c r="C432" s="1"/>
      <c r="D432" s="1"/>
      <c r="E432" s="1"/>
      <c r="F432" s="1"/>
      <c r="G432" s="1" t="s">
        <v>43</v>
      </c>
      <c r="H432" s="2">
        <v>298</v>
      </c>
      <c r="I432" s="1" t="s">
        <v>1553</v>
      </c>
      <c r="J432" s="1" t="s">
        <v>1554</v>
      </c>
      <c r="K432" s="1" t="s">
        <v>1115</v>
      </c>
      <c r="L432" s="1" t="s">
        <v>1555</v>
      </c>
      <c r="M432" s="6" t="str">
        <f>_xlfn.CONCAT(Table1[[#This Row],[Billing Street]], ", ", Table1[[#This Row],[Billing City]], ", ", Table1[[#This Row],[Billing State/Province]], ", ", Table1[[#This Row],[Billing Zip/Postal Code]])</f>
        <v>249 Industrial Court, Fredericksburg, VA, 22408</v>
      </c>
    </row>
    <row r="433" spans="1:13" ht="15.6" hidden="1" x14ac:dyDescent="0.3">
      <c r="A433" s="1" t="s">
        <v>1556</v>
      </c>
      <c r="B433" s="1"/>
      <c r="C433" s="1"/>
      <c r="D433" s="1"/>
      <c r="E433" s="1"/>
      <c r="F433" s="1"/>
      <c r="G433" s="1" t="s">
        <v>43</v>
      </c>
      <c r="H433" s="2">
        <v>395</v>
      </c>
      <c r="I433" s="1" t="s">
        <v>1557</v>
      </c>
      <c r="J433" s="1" t="s">
        <v>1558</v>
      </c>
      <c r="K433" s="1" t="s">
        <v>1115</v>
      </c>
      <c r="L433" s="1" t="s">
        <v>1559</v>
      </c>
      <c r="M433" s="6" t="str">
        <f>_xlfn.CONCAT(Table1[[#This Row],[Billing Street]], ", ", Table1[[#This Row],[Billing City]], ", ", Table1[[#This Row],[Billing State/Province]], ", ", Table1[[#This Row],[Billing Zip/Postal Code]])</f>
        <v>21275 Cooperative Way, Tansley, VA, 23441-0290</v>
      </c>
    </row>
    <row r="434" spans="1:13" ht="15.6" hidden="1" x14ac:dyDescent="0.3">
      <c r="A434" s="1" t="s">
        <v>1560</v>
      </c>
      <c r="B434" s="1"/>
      <c r="C434" s="1"/>
      <c r="D434" s="1"/>
      <c r="E434" s="1"/>
      <c r="F434" s="1"/>
      <c r="G434" s="1" t="s">
        <v>43</v>
      </c>
      <c r="H434" s="2">
        <v>346</v>
      </c>
      <c r="I434" s="1" t="s">
        <v>1561</v>
      </c>
      <c r="J434" s="1" t="s">
        <v>1562</v>
      </c>
      <c r="K434" s="1" t="s">
        <v>1115</v>
      </c>
      <c r="L434" s="1" t="s">
        <v>1563</v>
      </c>
      <c r="M434" s="6" t="str">
        <f>_xlfn.CONCAT(Table1[[#This Row],[Billing Street]], ", ", Table1[[#This Row],[Billing City]], ", ", Table1[[#This Row],[Billing State/Province]], ", ", Table1[[#This Row],[Billing Zip/Postal Code]])</f>
        <v>100 W Elm St, Blackstone, VA, 23824</v>
      </c>
    </row>
    <row r="435" spans="1:13" ht="15.6" hidden="1" x14ac:dyDescent="0.3">
      <c r="A435" s="1" t="s">
        <v>1564</v>
      </c>
      <c r="B435" s="1"/>
      <c r="C435" s="1"/>
      <c r="D435" s="1"/>
      <c r="E435" s="1"/>
      <c r="F435" s="1"/>
      <c r="G435" s="1" t="s">
        <v>43</v>
      </c>
      <c r="H435" s="2">
        <v>345</v>
      </c>
      <c r="I435" s="1" t="s">
        <v>1565</v>
      </c>
      <c r="J435" s="1" t="s">
        <v>1566</v>
      </c>
      <c r="K435" s="1" t="s">
        <v>1115</v>
      </c>
      <c r="L435" s="1" t="s">
        <v>1567</v>
      </c>
      <c r="M435" s="6" t="str">
        <f>_xlfn.CONCAT(Table1[[#This Row],[Billing Street]], ", ", Table1[[#This Row],[Billing City]], ", ", Table1[[#This Row],[Billing State/Province]], ", ", Table1[[#This Row],[Billing Zip/Postal Code]])</f>
        <v>311 Memorial Dr, Danville, VA, 24541</v>
      </c>
    </row>
    <row r="436" spans="1:13" ht="15.6" hidden="1" x14ac:dyDescent="0.3">
      <c r="A436" s="1" t="s">
        <v>1568</v>
      </c>
      <c r="B436" s="1"/>
      <c r="C436" s="1"/>
      <c r="D436" s="1"/>
      <c r="E436" s="1"/>
      <c r="F436" s="1"/>
      <c r="G436" s="1" t="s">
        <v>43</v>
      </c>
      <c r="H436" s="2">
        <v>331</v>
      </c>
      <c r="I436" s="1" t="s">
        <v>1569</v>
      </c>
      <c r="J436" s="1" t="s">
        <v>1570</v>
      </c>
      <c r="K436" s="1" t="s">
        <v>1115</v>
      </c>
      <c r="L436" s="1" t="s">
        <v>1571</v>
      </c>
      <c r="M436" s="6" t="str">
        <f>_xlfn.CONCAT(Table1[[#This Row],[Billing Street]], ", ", Table1[[#This Row],[Billing City]], ", ", Table1[[#This Row],[Billing State/Province]], ", ", Table1[[#This Row],[Billing Zip/Postal Code]])</f>
        <v>55 W Church St, Martinsville, VA, 24112</v>
      </c>
    </row>
    <row r="437" spans="1:13" ht="15.6" hidden="1" x14ac:dyDescent="0.3">
      <c r="A437" s="1" t="s">
        <v>1572</v>
      </c>
      <c r="B437" s="1"/>
      <c r="C437" s="1"/>
      <c r="D437" s="1"/>
      <c r="E437" s="1"/>
      <c r="F437" s="1"/>
      <c r="G437" s="1" t="s">
        <v>43</v>
      </c>
      <c r="H437" s="2">
        <v>351</v>
      </c>
      <c r="I437" s="1" t="s">
        <v>1573</v>
      </c>
      <c r="J437" s="1" t="s">
        <v>1574</v>
      </c>
      <c r="K437" s="1" t="s">
        <v>1115</v>
      </c>
      <c r="L437" s="1" t="s">
        <v>1575</v>
      </c>
      <c r="M437" s="6" t="str">
        <f>_xlfn.CONCAT(Table1[[#This Row],[Billing Street]], ", ", Table1[[#This Row],[Billing City]], ", ", Table1[[#This Row],[Billing State/Province]], ", ", Table1[[#This Row],[Billing Zip/Postal Code]])</f>
        <v>11633 Hwy 92, Chase City, VA, 23924</v>
      </c>
    </row>
    <row r="438" spans="1:13" ht="15.6" hidden="1" x14ac:dyDescent="0.3">
      <c r="A438" s="1" t="s">
        <v>1576</v>
      </c>
      <c r="B438" s="1"/>
      <c r="C438" s="1"/>
      <c r="D438" s="1"/>
      <c r="E438" s="1"/>
      <c r="F438" s="1"/>
      <c r="G438" s="1" t="s">
        <v>8</v>
      </c>
      <c r="H438" s="2">
        <v>345</v>
      </c>
      <c r="I438" s="1" t="s">
        <v>1577</v>
      </c>
      <c r="J438" s="1" t="s">
        <v>1578</v>
      </c>
      <c r="K438" s="1" t="s">
        <v>198</v>
      </c>
      <c r="L438" s="1" t="s">
        <v>1579</v>
      </c>
      <c r="M438" s="6" t="str">
        <f>_xlfn.CONCAT(Table1[[#This Row],[Billing Street]], ", ", Table1[[#This Row],[Billing City]], ", ", Table1[[#This Row],[Billing State/Province]], ", ", Table1[[#This Row],[Billing Zip/Postal Code]])</f>
        <v>2609 260th St, Albion, NE, 68620</v>
      </c>
    </row>
    <row r="439" spans="1:13" ht="15.6" hidden="1" x14ac:dyDescent="0.3">
      <c r="A439" s="1" t="s">
        <v>1580</v>
      </c>
      <c r="B439" s="1"/>
      <c r="C439" s="1"/>
      <c r="D439" s="1"/>
      <c r="E439" s="1"/>
      <c r="F439" s="1"/>
      <c r="G439" s="1" t="s">
        <v>8</v>
      </c>
      <c r="H439" s="2">
        <v>500</v>
      </c>
      <c r="I439" s="1" t="s">
        <v>1581</v>
      </c>
      <c r="J439" s="1" t="s">
        <v>1582</v>
      </c>
      <c r="K439" s="1" t="s">
        <v>208</v>
      </c>
      <c r="L439" s="1" t="s">
        <v>1583</v>
      </c>
      <c r="M439" s="6" t="str">
        <f>_xlfn.CONCAT(Table1[[#This Row],[Billing Street]], ", ", Table1[[#This Row],[Billing City]], ", ", Table1[[#This Row],[Billing State/Province]], ", ", Table1[[#This Row],[Billing Zip/Postal Code]])</f>
        <v>66310 US - 40, Byers, CO, 80103</v>
      </c>
    </row>
    <row r="440" spans="1:13" ht="15.6" hidden="1" x14ac:dyDescent="0.3">
      <c r="A440" s="1" t="s">
        <v>1584</v>
      </c>
      <c r="B440" s="1"/>
      <c r="C440" s="1"/>
      <c r="D440" s="1"/>
      <c r="E440" s="1"/>
      <c r="F440" s="1"/>
      <c r="G440" s="1" t="s">
        <v>8</v>
      </c>
      <c r="H440" s="2">
        <v>387</v>
      </c>
      <c r="I440" s="1" t="s">
        <v>1585</v>
      </c>
      <c r="J440" s="1" t="s">
        <v>1586</v>
      </c>
      <c r="K440" s="1" t="s">
        <v>208</v>
      </c>
      <c r="L440" s="1" t="s">
        <v>1587</v>
      </c>
      <c r="M440" s="6" t="str">
        <f>_xlfn.CONCAT(Table1[[#This Row],[Billing Street]], ", ", Table1[[#This Row],[Billing City]], ", ", Table1[[#This Row],[Billing State/Province]], ", ", Table1[[#This Row],[Billing Zip/Postal Code]])</f>
        <v>935 S 4th St W, Cheyenne Wells, CO, 80810</v>
      </c>
    </row>
    <row r="441" spans="1:13" ht="15.6" hidden="1" x14ac:dyDescent="0.3">
      <c r="A441" s="1" t="s">
        <v>1588</v>
      </c>
      <c r="B441" s="1"/>
      <c r="C441" s="1"/>
      <c r="D441" s="1"/>
      <c r="E441" s="1"/>
      <c r="F441" s="1"/>
      <c r="G441" s="1" t="s">
        <v>8</v>
      </c>
      <c r="H441" s="2">
        <v>298</v>
      </c>
      <c r="I441" s="1" t="s">
        <v>1589</v>
      </c>
      <c r="J441" s="1" t="s">
        <v>1590</v>
      </c>
      <c r="K441" s="1" t="s">
        <v>198</v>
      </c>
      <c r="L441" s="1" t="s">
        <v>1591</v>
      </c>
      <c r="M441" s="6" t="str">
        <f>_xlfn.CONCAT(Table1[[#This Row],[Billing Street]], ", ", Table1[[#This Row],[Billing City]], ", ", Table1[[#This Row],[Billing State/Province]], ", ", Table1[[#This Row],[Billing Zip/Postal Code]])</f>
        <v>2117 US - 6, Heartwell, NE, 68945</v>
      </c>
    </row>
    <row r="442" spans="1:13" ht="15.6" hidden="1" x14ac:dyDescent="0.3">
      <c r="A442" s="1" t="s">
        <v>1592</v>
      </c>
      <c r="B442" s="1"/>
      <c r="C442" s="1"/>
      <c r="D442" s="1"/>
      <c r="E442" s="1"/>
      <c r="F442" s="1"/>
      <c r="G442" s="1" t="s">
        <v>8</v>
      </c>
      <c r="H442" s="2">
        <v>327</v>
      </c>
      <c r="I442" s="1" t="s">
        <v>1593</v>
      </c>
      <c r="J442" s="1" t="s">
        <v>1594</v>
      </c>
      <c r="K442" s="1" t="s">
        <v>198</v>
      </c>
      <c r="L442" s="1" t="s">
        <v>1595</v>
      </c>
      <c r="M442" s="6" t="str">
        <f>_xlfn.CONCAT(Table1[[#This Row],[Billing Street]], ", ", Table1[[#This Row],[Billing City]], ", ", Table1[[#This Row],[Billing State/Province]], ", ", Table1[[#This Row],[Billing Zip/Postal Code]])</f>
        <v>222 W Utica St, Revenna, NE, 68869</v>
      </c>
    </row>
    <row r="443" spans="1:13" ht="15.6" hidden="1" x14ac:dyDescent="0.3">
      <c r="A443" s="1" t="s">
        <v>1596</v>
      </c>
      <c r="B443" s="1"/>
      <c r="C443" s="1"/>
      <c r="D443" s="1"/>
      <c r="E443" s="1"/>
      <c r="F443" s="1"/>
      <c r="G443" s="1" t="s">
        <v>8</v>
      </c>
      <c r="H443" s="2">
        <v>142</v>
      </c>
      <c r="I443" s="1" t="s">
        <v>1597</v>
      </c>
      <c r="J443" s="1" t="s">
        <v>1598</v>
      </c>
      <c r="K443" s="1" t="s">
        <v>554</v>
      </c>
      <c r="L443" s="1" t="s">
        <v>1599</v>
      </c>
      <c r="M443" s="6" t="str">
        <f>_xlfn.CONCAT(Table1[[#This Row],[Billing Street]], ", ", Table1[[#This Row],[Billing City]], ", ", Table1[[#This Row],[Billing State/Province]], ", ", Table1[[#This Row],[Billing Zip/Postal Code]])</f>
        <v>5135 US - 24, Topeka, KS, 66618</v>
      </c>
    </row>
    <row r="444" spans="1:13" ht="15.6" hidden="1" x14ac:dyDescent="0.3">
      <c r="A444" s="1" t="s">
        <v>1600</v>
      </c>
      <c r="B444" s="1"/>
      <c r="C444" s="1"/>
      <c r="D444" s="1"/>
      <c r="E444" s="1"/>
      <c r="F444" s="1"/>
      <c r="G444" s="1" t="s">
        <v>8</v>
      </c>
      <c r="H444" s="2">
        <v>155</v>
      </c>
      <c r="I444" s="1" t="s">
        <v>1601</v>
      </c>
      <c r="J444" s="1" t="s">
        <v>896</v>
      </c>
      <c r="K444" s="1" t="s">
        <v>11</v>
      </c>
      <c r="L444" s="1" t="s">
        <v>1602</v>
      </c>
      <c r="M444" s="6" t="str">
        <f>_xlfn.CONCAT(Table1[[#This Row],[Billing Street]], ", ", Table1[[#This Row],[Billing City]], ", ", Table1[[#This Row],[Billing State/Province]], ", ", Table1[[#This Row],[Billing Zip/Postal Code]])</f>
        <v>2306 Rochester Ave, Kansas City, MO, 64120</v>
      </c>
    </row>
    <row r="445" spans="1:13" ht="15.6" hidden="1" x14ac:dyDescent="0.3">
      <c r="A445" s="1" t="s">
        <v>1603</v>
      </c>
      <c r="B445" s="1"/>
      <c r="C445" s="1"/>
      <c r="D445" s="1"/>
      <c r="E445" s="1"/>
      <c r="F445" s="1"/>
      <c r="G445" s="1" t="s">
        <v>8</v>
      </c>
      <c r="H445" s="2">
        <v>54</v>
      </c>
      <c r="I445" s="1" t="s">
        <v>1604</v>
      </c>
      <c r="J445" s="1" t="s">
        <v>1021</v>
      </c>
      <c r="K445" s="1" t="s">
        <v>554</v>
      </c>
      <c r="L445" s="1" t="s">
        <v>1022</v>
      </c>
      <c r="M445" s="6" t="str">
        <f>_xlfn.CONCAT(Table1[[#This Row],[Billing Street]], ", ", Table1[[#This Row],[Billing City]], ", ", Table1[[#This Row],[Billing State/Province]], ", ", Table1[[#This Row],[Billing Zip/Postal Code]])</f>
        <v>449 1200th St, Humboldt, KS, 66748</v>
      </c>
    </row>
    <row r="446" spans="1:13" ht="15.6" hidden="1" x14ac:dyDescent="0.3">
      <c r="A446" s="1" t="s">
        <v>1605</v>
      </c>
      <c r="B446" s="1"/>
      <c r="C446" s="1"/>
      <c r="D446" s="1"/>
      <c r="E446" s="1"/>
      <c r="F446" s="1"/>
      <c r="G446" s="1" t="s">
        <v>13</v>
      </c>
      <c r="H446" s="2">
        <v>0</v>
      </c>
      <c r="I446" s="1" t="s">
        <v>13</v>
      </c>
      <c r="J446" s="1" t="s">
        <v>13</v>
      </c>
      <c r="K446" s="1" t="s">
        <v>13</v>
      </c>
      <c r="L446" s="1" t="s">
        <v>13</v>
      </c>
      <c r="M446" s="6" t="str">
        <f>_xlfn.CONCAT(Table1[[#This Row],[Billing Street]], ", ", Table1[[#This Row],[Billing City]], ", ", Table1[[#This Row],[Billing State/Province]], ", ", Table1[[#This Row],[Billing Zip/Postal Code]])</f>
        <v xml:space="preserve">, , , </v>
      </c>
    </row>
    <row r="447" spans="1:13" ht="15.6" hidden="1" x14ac:dyDescent="0.3">
      <c r="A447" s="1" t="s">
        <v>1606</v>
      </c>
      <c r="B447" s="1"/>
      <c r="C447" s="1"/>
      <c r="D447" s="1"/>
      <c r="E447" s="1"/>
      <c r="F447" s="1"/>
      <c r="G447" s="1" t="s">
        <v>13</v>
      </c>
      <c r="H447" s="2">
        <v>0</v>
      </c>
      <c r="I447" s="1" t="s">
        <v>13</v>
      </c>
      <c r="J447" s="1" t="s">
        <v>13</v>
      </c>
      <c r="K447" s="1" t="s">
        <v>13</v>
      </c>
      <c r="L447" s="1" t="s">
        <v>13</v>
      </c>
      <c r="M447" s="6" t="str">
        <f>_xlfn.CONCAT(Table1[[#This Row],[Billing Street]], ", ", Table1[[#This Row],[Billing City]], ", ", Table1[[#This Row],[Billing State/Province]], ", ", Table1[[#This Row],[Billing Zip/Postal Code]])</f>
        <v xml:space="preserve">, , , </v>
      </c>
    </row>
    <row r="448" spans="1:13" ht="15.6" x14ac:dyDescent="0.3">
      <c r="A448" s="1" t="s">
        <v>1607</v>
      </c>
      <c r="B448" s="1"/>
      <c r="C448" s="1"/>
      <c r="D448" s="1"/>
      <c r="E448" s="1"/>
      <c r="F448" s="1"/>
      <c r="G448" s="1" t="s">
        <v>24</v>
      </c>
      <c r="H448" s="2">
        <v>5988</v>
      </c>
      <c r="I448" s="1" t="s">
        <v>1608</v>
      </c>
      <c r="J448" s="1" t="s">
        <v>1609</v>
      </c>
      <c r="K448" s="1" t="s">
        <v>26</v>
      </c>
      <c r="L448" s="1" t="s">
        <v>1610</v>
      </c>
      <c r="M448" s="6" t="str">
        <f>_xlfn.CONCAT(Table1[[#This Row],[Billing Street]], ", ", Table1[[#This Row],[Billing City]], ", ", Table1[[#This Row],[Billing State/Province]], ", ", Table1[[#This Row],[Billing Zip/Postal Code]])</f>
        <v>23741 US-43, Linden, AL, 36748</v>
      </c>
    </row>
    <row r="449" spans="1:13" ht="15.6" hidden="1" x14ac:dyDescent="0.3">
      <c r="A449" s="1" t="s">
        <v>1611</v>
      </c>
      <c r="B449" s="1"/>
      <c r="C449" s="1"/>
      <c r="D449" s="1"/>
      <c r="E449" s="1"/>
      <c r="F449" s="1"/>
      <c r="G449" s="1" t="s">
        <v>43</v>
      </c>
      <c r="H449" s="2">
        <v>127</v>
      </c>
      <c r="I449" s="1" t="s">
        <v>1612</v>
      </c>
      <c r="J449" s="1" t="s">
        <v>1613</v>
      </c>
      <c r="K449" s="1" t="s">
        <v>45</v>
      </c>
      <c r="L449" s="1" t="s">
        <v>1614</v>
      </c>
      <c r="M449" s="6" t="str">
        <f>_xlfn.CONCAT(Table1[[#This Row],[Billing Street]], ", ", Table1[[#This Row],[Billing City]], ", ", Table1[[#This Row],[Billing State/Province]], ", ", Table1[[#This Row],[Billing Zip/Postal Code]])</f>
        <v>101 E. Main Street, Deshler, OH, 43516</v>
      </c>
    </row>
    <row r="450" spans="1:13" ht="15.6" hidden="1" x14ac:dyDescent="0.3">
      <c r="A450" s="1" t="s">
        <v>1615</v>
      </c>
      <c r="B450" s="1"/>
      <c r="C450" s="1"/>
      <c r="D450" s="1"/>
      <c r="E450" s="1"/>
      <c r="F450" s="1"/>
      <c r="G450" s="1" t="s">
        <v>13</v>
      </c>
      <c r="H450" s="2">
        <v>0</v>
      </c>
      <c r="I450" s="1" t="s">
        <v>13</v>
      </c>
      <c r="J450" s="1" t="s">
        <v>13</v>
      </c>
      <c r="K450" s="1" t="s">
        <v>13</v>
      </c>
      <c r="L450" s="1" t="s">
        <v>13</v>
      </c>
      <c r="M450" s="6" t="str">
        <f>_xlfn.CONCAT(Table1[[#This Row],[Billing Street]], ", ", Table1[[#This Row],[Billing City]], ", ", Table1[[#This Row],[Billing State/Province]], ", ", Table1[[#This Row],[Billing Zip/Postal Code]])</f>
        <v xml:space="preserve">, , , </v>
      </c>
    </row>
    <row r="451" spans="1:13" ht="15.6" hidden="1" x14ac:dyDescent="0.3">
      <c r="A451" s="1" t="s">
        <v>1616</v>
      </c>
      <c r="B451" s="1"/>
      <c r="C451" s="1"/>
      <c r="D451" s="1"/>
      <c r="E451" s="1"/>
      <c r="F451" s="1"/>
      <c r="G451" s="1" t="s">
        <v>8</v>
      </c>
      <c r="H451" s="2">
        <v>540</v>
      </c>
      <c r="I451" s="1" t="s">
        <v>1617</v>
      </c>
      <c r="J451" s="1" t="s">
        <v>1618</v>
      </c>
      <c r="K451" s="1" t="s">
        <v>208</v>
      </c>
      <c r="L451" s="1" t="s">
        <v>1619</v>
      </c>
      <c r="M451" s="6" t="str">
        <f>_xlfn.CONCAT(Table1[[#This Row],[Billing Street]], ", ", Table1[[#This Row],[Billing City]], ", ", Table1[[#This Row],[Billing State/Province]], ", ", Table1[[#This Row],[Billing Zip/Postal Code]])</f>
        <v>1700 Lincoln St Ste 1800, Denver, CO, 80203</v>
      </c>
    </row>
    <row r="452" spans="1:13" ht="15.6" hidden="1" x14ac:dyDescent="0.3">
      <c r="A452" s="1" t="s">
        <v>1620</v>
      </c>
      <c r="B452" s="1"/>
      <c r="C452" s="1"/>
      <c r="D452" s="1"/>
      <c r="E452" s="1"/>
      <c r="F452" s="1"/>
      <c r="G452" s="1" t="s">
        <v>8</v>
      </c>
      <c r="H452" s="2">
        <v>516</v>
      </c>
      <c r="I452" s="1" t="s">
        <v>1621</v>
      </c>
      <c r="J452" s="1" t="s">
        <v>207</v>
      </c>
      <c r="K452" s="1" t="s">
        <v>208</v>
      </c>
      <c r="L452" s="1" t="s">
        <v>1622</v>
      </c>
      <c r="M452" s="6" t="str">
        <f>_xlfn.CONCAT(Table1[[#This Row],[Billing Street]], ", ", Table1[[#This Row],[Billing City]], ", ", Table1[[#This Row],[Billing State/Province]], ", ", Table1[[#This Row],[Billing Zip/Postal Code]])</f>
        <v>2 N Nevada, Colorado Springs, CO, 80903</v>
      </c>
    </row>
    <row r="453" spans="1:13" ht="15.6" hidden="1" x14ac:dyDescent="0.3">
      <c r="A453" s="1" t="s">
        <v>1623</v>
      </c>
      <c r="B453" s="1"/>
      <c r="C453" s="1"/>
      <c r="D453" s="1"/>
      <c r="E453" s="1"/>
      <c r="F453" s="1"/>
      <c r="G453" s="1" t="s">
        <v>8</v>
      </c>
      <c r="H453" s="2">
        <v>155</v>
      </c>
      <c r="I453" s="1" t="s">
        <v>1624</v>
      </c>
      <c r="J453" s="1" t="s">
        <v>896</v>
      </c>
      <c r="K453" s="1" t="s">
        <v>11</v>
      </c>
      <c r="L453" s="1" t="s">
        <v>1625</v>
      </c>
      <c r="M453" s="6" t="str">
        <f>_xlfn.CONCAT(Table1[[#This Row],[Billing Street]], ", ", Table1[[#This Row],[Billing City]], ", ", Table1[[#This Row],[Billing State/Province]], ", ", Table1[[#This Row],[Billing Zip/Postal Code]])</f>
        <v>PO Box 219046, Kansas City, MO, 64121</v>
      </c>
    </row>
    <row r="454" spans="1:13" ht="15.6" hidden="1" x14ac:dyDescent="0.3">
      <c r="A454" s="1" t="s">
        <v>1626</v>
      </c>
      <c r="B454" s="1"/>
      <c r="C454" s="1"/>
      <c r="D454" s="1"/>
      <c r="E454" s="1"/>
      <c r="F454" s="1"/>
      <c r="G454" s="1" t="s">
        <v>43</v>
      </c>
      <c r="H454" s="2">
        <v>5776</v>
      </c>
      <c r="I454" s="1" t="s">
        <v>1627</v>
      </c>
      <c r="J454" s="1" t="s">
        <v>1628</v>
      </c>
      <c r="K454" s="1" t="s">
        <v>1154</v>
      </c>
      <c r="L454" s="1" t="s">
        <v>1629</v>
      </c>
      <c r="M454" s="6" t="str">
        <f>_xlfn.CONCAT(Table1[[#This Row],[Billing Street]], ", ", Table1[[#This Row],[Billing City]], ", ", Table1[[#This Row],[Billing State/Province]], ", ", Table1[[#This Row],[Billing Zip/Postal Code]])</f>
        <v>100 Distribution Circle, Mt. Pleasant, Pa, 15666</v>
      </c>
    </row>
    <row r="455" spans="1:13" ht="15.6" hidden="1" x14ac:dyDescent="0.3">
      <c r="A455" s="1" t="s">
        <v>1630</v>
      </c>
      <c r="B455" s="1"/>
      <c r="C455" s="1"/>
      <c r="D455" s="1"/>
      <c r="E455" s="1"/>
      <c r="F455" s="1"/>
      <c r="G455" s="1" t="s">
        <v>98</v>
      </c>
      <c r="H455" s="2">
        <v>388</v>
      </c>
      <c r="I455" s="1" t="s">
        <v>1631</v>
      </c>
      <c r="J455" s="1" t="s">
        <v>1632</v>
      </c>
      <c r="K455" s="1" t="s">
        <v>1178</v>
      </c>
      <c r="L455" s="1" t="s">
        <v>1633</v>
      </c>
      <c r="M455" s="6" t="str">
        <f>_xlfn.CONCAT(Table1[[#This Row],[Billing Street]], ", ", Table1[[#This Row],[Billing City]], ", ", Table1[[#This Row],[Billing State/Province]], ", ", Table1[[#This Row],[Billing Zip/Postal Code]])</f>
        <v>2360 US 258, Kinston, NC, 28504</v>
      </c>
    </row>
    <row r="456" spans="1:13" ht="15.6" hidden="1" x14ac:dyDescent="0.3">
      <c r="A456" s="1" t="s">
        <v>1634</v>
      </c>
      <c r="B456" s="1"/>
      <c r="C456" s="1"/>
      <c r="D456" s="1"/>
      <c r="E456" s="1"/>
      <c r="F456" s="1"/>
      <c r="G456" s="1" t="s">
        <v>8</v>
      </c>
      <c r="H456" s="2">
        <v>541</v>
      </c>
      <c r="I456" s="1" t="s">
        <v>1635</v>
      </c>
      <c r="J456" s="1" t="s">
        <v>1618</v>
      </c>
      <c r="K456" s="1" t="s">
        <v>208</v>
      </c>
      <c r="L456" s="1" t="s">
        <v>1636</v>
      </c>
      <c r="M456" s="6" t="str">
        <f>_xlfn.CONCAT(Table1[[#This Row],[Billing Street]], ", ", Table1[[#This Row],[Billing City]], ", ", Table1[[#This Row],[Billing State/Province]], ", ", Table1[[#This Row],[Billing Zip/Postal Code]])</f>
        <v>Republic Plz 370 17th St Ste 1700, Denver, CO, 80202</v>
      </c>
    </row>
    <row r="457" spans="1:13" ht="15.6" hidden="1" x14ac:dyDescent="0.3">
      <c r="A457" s="1" t="s">
        <v>1637</v>
      </c>
      <c r="B457" s="1"/>
      <c r="C457" s="1"/>
      <c r="D457" s="1"/>
      <c r="E457" s="1"/>
      <c r="F457" s="1"/>
      <c r="G457" s="1" t="s">
        <v>8</v>
      </c>
      <c r="H457" s="2">
        <v>542</v>
      </c>
      <c r="I457" s="1" t="s">
        <v>1638</v>
      </c>
      <c r="J457" s="1" t="s">
        <v>1618</v>
      </c>
      <c r="K457" s="1" t="s">
        <v>208</v>
      </c>
      <c r="L457" s="1" t="s">
        <v>1639</v>
      </c>
      <c r="M457" s="6" t="str">
        <f>_xlfn.CONCAT(Table1[[#This Row],[Billing Street]], ", ", Table1[[#This Row],[Billing City]], ", ", Table1[[#This Row],[Billing State/Province]], ", ", Table1[[#This Row],[Billing Zip/Postal Code]])</f>
        <v>1380 Zuni St, Denver, CO, 80204</v>
      </c>
    </row>
    <row r="458" spans="1:13" ht="15.6" hidden="1" x14ac:dyDescent="0.3">
      <c r="A458" s="1" t="s">
        <v>1640</v>
      </c>
      <c r="B458" s="1"/>
      <c r="C458" s="1"/>
      <c r="D458" s="1"/>
      <c r="E458" s="1"/>
      <c r="F458" s="1"/>
      <c r="G458" s="1" t="s">
        <v>98</v>
      </c>
      <c r="H458" s="2">
        <v>223</v>
      </c>
      <c r="I458" s="1" t="s">
        <v>1641</v>
      </c>
      <c r="J458" s="1" t="s">
        <v>1642</v>
      </c>
      <c r="K458" s="1" t="s">
        <v>1178</v>
      </c>
      <c r="L458" s="1" t="s">
        <v>1643</v>
      </c>
      <c r="M458" s="6" t="str">
        <f>_xlfn.CONCAT(Table1[[#This Row],[Billing Street]], ", ", Table1[[#This Row],[Billing City]], ", ", Table1[[#This Row],[Billing State/Province]], ", ", Table1[[#This Row],[Billing Zip/Postal Code]])</f>
        <v>300 W Crowell St, Monroe, NC, 28112</v>
      </c>
    </row>
    <row r="459" spans="1:13" ht="15.6" hidden="1" x14ac:dyDescent="0.3">
      <c r="A459" s="1" t="s">
        <v>1644</v>
      </c>
      <c r="B459" s="1"/>
      <c r="C459" s="1"/>
      <c r="D459" s="1"/>
      <c r="E459" s="1"/>
      <c r="F459" s="1"/>
      <c r="G459" s="1" t="s">
        <v>8</v>
      </c>
      <c r="H459" s="2">
        <v>560</v>
      </c>
      <c r="I459" s="1" t="s">
        <v>1645</v>
      </c>
      <c r="J459" s="1" t="s">
        <v>1646</v>
      </c>
      <c r="K459" s="1" t="s">
        <v>208</v>
      </c>
      <c r="L459" s="1" t="s">
        <v>1647</v>
      </c>
      <c r="M459" s="6" t="str">
        <f>_xlfn.CONCAT(Table1[[#This Row],[Billing Street]], ", ", Table1[[#This Row],[Billing City]], ", ", Table1[[#This Row],[Billing State/Province]], ", ", Table1[[#This Row],[Billing Zip/Postal Code]])</f>
        <v>2845 Wilderness Pl Ste 201, Boulder, CO, 80301</v>
      </c>
    </row>
    <row r="460" spans="1:13" ht="15.6" hidden="1" x14ac:dyDescent="0.3">
      <c r="A460" s="1" t="s">
        <v>1648</v>
      </c>
      <c r="B460" s="1"/>
      <c r="C460" s="1"/>
      <c r="D460" s="1"/>
      <c r="E460" s="1"/>
      <c r="F460" s="1"/>
      <c r="G460" s="1" t="s">
        <v>43</v>
      </c>
      <c r="H460" s="2">
        <v>107</v>
      </c>
      <c r="I460" s="1" t="s">
        <v>1649</v>
      </c>
      <c r="J460" s="1" t="s">
        <v>1650</v>
      </c>
      <c r="K460" s="1" t="s">
        <v>45</v>
      </c>
      <c r="L460" s="1" t="s">
        <v>1651</v>
      </c>
      <c r="M460" s="6" t="str">
        <f>_xlfn.CONCAT(Table1[[#This Row],[Billing Street]], ", ", Table1[[#This Row],[Billing City]], ", ", Table1[[#This Row],[Billing State/Province]], ", ", Table1[[#This Row],[Billing Zip/Postal Code]])</f>
        <v>359 Sinclair Street, Toledo, OH, 43605</v>
      </c>
    </row>
    <row r="461" spans="1:13" ht="15.6" hidden="1" x14ac:dyDescent="0.3">
      <c r="A461" s="1" t="s">
        <v>1652</v>
      </c>
      <c r="B461" s="1"/>
      <c r="C461" s="1"/>
      <c r="D461" s="1"/>
      <c r="E461" s="1"/>
      <c r="F461" s="1"/>
      <c r="G461" s="1" t="s">
        <v>54</v>
      </c>
      <c r="H461" s="2">
        <v>41</v>
      </c>
      <c r="I461" s="1" t="s">
        <v>1653</v>
      </c>
      <c r="J461" s="1" t="s">
        <v>1654</v>
      </c>
      <c r="K461" s="1" t="s">
        <v>57</v>
      </c>
      <c r="L461" s="1" t="s">
        <v>1655</v>
      </c>
      <c r="M461" s="6" t="str">
        <f>_xlfn.CONCAT(Table1[[#This Row],[Billing Street]], ", ", Table1[[#This Row],[Billing City]], ", ", Table1[[#This Row],[Billing State/Province]], ", ", Table1[[#This Row],[Billing Zip/Postal Code]])</f>
        <v>14 Hughes, Suite B104, Irvine, CA, 92618</v>
      </c>
    </row>
    <row r="462" spans="1:13" ht="15.6" hidden="1" x14ac:dyDescent="0.3">
      <c r="A462" s="1" t="s">
        <v>1656</v>
      </c>
      <c r="B462" s="1"/>
      <c r="C462" s="1"/>
      <c r="D462" s="1"/>
      <c r="E462" s="1"/>
      <c r="F462" s="1"/>
      <c r="G462" s="1" t="s">
        <v>98</v>
      </c>
      <c r="H462" s="2">
        <v>101</v>
      </c>
      <c r="I462" s="1" t="s">
        <v>1657</v>
      </c>
      <c r="J462" s="1" t="s">
        <v>1352</v>
      </c>
      <c r="K462" s="1" t="s">
        <v>101</v>
      </c>
      <c r="L462" s="1" t="s">
        <v>1658</v>
      </c>
      <c r="M462" s="6" t="str">
        <f>_xlfn.CONCAT(Table1[[#This Row],[Billing Street]], ", ", Table1[[#This Row],[Billing City]], ", ", Table1[[#This Row],[Billing State/Province]], ", ", Table1[[#This Row],[Billing Zip/Postal Code]])</f>
        <v>9481 US 11, Trenton, GA, 30752</v>
      </c>
    </row>
    <row r="463" spans="1:13" ht="15.6" hidden="1" x14ac:dyDescent="0.3">
      <c r="A463" s="1" t="s">
        <v>1659</v>
      </c>
      <c r="B463" s="1"/>
      <c r="C463" s="1"/>
      <c r="D463" s="1"/>
      <c r="E463" s="1"/>
      <c r="F463" s="1"/>
      <c r="G463" s="1" t="s">
        <v>43</v>
      </c>
      <c r="H463" s="2">
        <v>350</v>
      </c>
      <c r="I463" s="1" t="s">
        <v>1660</v>
      </c>
      <c r="J463" s="1" t="s">
        <v>216</v>
      </c>
      <c r="K463" s="1" t="s">
        <v>133</v>
      </c>
      <c r="L463" s="1" t="s">
        <v>1661</v>
      </c>
      <c r="M463" s="6" t="str">
        <f>_xlfn.CONCAT(Table1[[#This Row],[Billing Street]], ", ", Table1[[#This Row],[Billing City]], ", ", Table1[[#This Row],[Billing State/Province]], ", ", Table1[[#This Row],[Billing Zip/Postal Code]])</f>
        <v>235 W. Oklahoma Avenue, Milwaukee, WI, 53207</v>
      </c>
    </row>
    <row r="464" spans="1:13" ht="15.6" hidden="1" x14ac:dyDescent="0.3">
      <c r="A464" s="1" t="s">
        <v>1662</v>
      </c>
      <c r="B464" s="1"/>
      <c r="C464" s="1"/>
      <c r="D464" s="1"/>
      <c r="E464" s="1"/>
      <c r="F464" s="1"/>
      <c r="G464" s="1" t="s">
        <v>98</v>
      </c>
      <c r="H464" s="2">
        <v>193</v>
      </c>
      <c r="I464" s="1" t="s">
        <v>1663</v>
      </c>
      <c r="J464" s="1" t="s">
        <v>1664</v>
      </c>
      <c r="K464" s="1" t="s">
        <v>1178</v>
      </c>
      <c r="L464" s="1" t="s">
        <v>1665</v>
      </c>
      <c r="M464" s="6" t="str">
        <f>_xlfn.CONCAT(Table1[[#This Row],[Billing Street]], ", ", Table1[[#This Row],[Billing City]], ", ", Table1[[#This Row],[Billing State/Province]], ", ", Table1[[#This Row],[Billing Zip/Postal Code]])</f>
        <v>301 Allen St, Cherryville, NC, 28021</v>
      </c>
    </row>
    <row r="465" spans="1:13" ht="15.6" hidden="1" x14ac:dyDescent="0.3">
      <c r="A465" s="1" t="s">
        <v>1666</v>
      </c>
      <c r="B465" s="1"/>
      <c r="C465" s="1"/>
      <c r="D465" s="1"/>
      <c r="E465" s="1"/>
      <c r="F465" s="1"/>
      <c r="G465" s="1" t="s">
        <v>98</v>
      </c>
      <c r="H465" s="2">
        <v>395</v>
      </c>
      <c r="I465" s="1" t="s">
        <v>1667</v>
      </c>
      <c r="J465" s="1" t="s">
        <v>1668</v>
      </c>
      <c r="K465" s="1" t="s">
        <v>1178</v>
      </c>
      <c r="L465" s="1" t="s">
        <v>1669</v>
      </c>
      <c r="M465" s="6" t="str">
        <f>_xlfn.CONCAT(Table1[[#This Row],[Billing Street]], ", ", Table1[[#This Row],[Billing City]], ", ", Table1[[#This Row],[Billing State/Province]], ", ", Table1[[#This Row],[Billing Zip/Postal Code]])</f>
        <v>259 Western Blvd, Jacksonville, NC, 28546</v>
      </c>
    </row>
    <row r="466" spans="1:13" ht="15.6" hidden="1" x14ac:dyDescent="0.3">
      <c r="A466" s="1" t="s">
        <v>1670</v>
      </c>
      <c r="B466" s="1"/>
      <c r="C466" s="1"/>
      <c r="D466" s="1"/>
      <c r="E466" s="1"/>
      <c r="F466" s="1"/>
      <c r="G466" s="1" t="s">
        <v>54</v>
      </c>
      <c r="H466" s="2">
        <v>22</v>
      </c>
      <c r="I466" s="1" t="s">
        <v>1671</v>
      </c>
      <c r="J466" s="1" t="s">
        <v>1672</v>
      </c>
      <c r="K466" s="1" t="s">
        <v>57</v>
      </c>
      <c r="L466" s="1" t="s">
        <v>1673</v>
      </c>
      <c r="M466" s="6" t="str">
        <f>_xlfn.CONCAT(Table1[[#This Row],[Billing Street]], ", ", Table1[[#This Row],[Billing City]], ", ", Table1[[#This Row],[Billing State/Province]], ", ", Table1[[#This Row],[Billing Zip/Postal Code]])</f>
        <v>21550 Oxnard St., Ste. 1060, Woodland Hills, CA, 91367</v>
      </c>
    </row>
    <row r="467" spans="1:13" ht="15.6" hidden="1" x14ac:dyDescent="0.3">
      <c r="A467" s="1" t="s">
        <v>1674</v>
      </c>
      <c r="B467" s="1"/>
      <c r="C467" s="1"/>
      <c r="D467" s="1"/>
      <c r="E467" s="1"/>
      <c r="F467" s="1"/>
      <c r="G467" s="1" t="s">
        <v>98</v>
      </c>
      <c r="H467" s="2">
        <v>379</v>
      </c>
      <c r="I467" s="1" t="s">
        <v>1675</v>
      </c>
      <c r="J467" s="1" t="s">
        <v>1676</v>
      </c>
      <c r="K467" s="1" t="s">
        <v>1178</v>
      </c>
      <c r="L467" s="1" t="s">
        <v>1677</v>
      </c>
      <c r="M467" s="6" t="str">
        <f>_xlfn.CONCAT(Table1[[#This Row],[Billing Street]], ", ", Table1[[#This Row],[Billing City]], ", ", Table1[[#This Row],[Billing State/Province]], ", ", Table1[[#This Row],[Billing Zip/Postal Code]])</f>
        <v>203 S. Center Street, La Grange, NC, 28551</v>
      </c>
    </row>
    <row r="468" spans="1:13" ht="15.6" x14ac:dyDescent="0.3">
      <c r="A468" s="1" t="s">
        <v>1678</v>
      </c>
      <c r="B468" s="1"/>
      <c r="C468" s="1"/>
      <c r="D468" s="1"/>
      <c r="E468" s="1"/>
      <c r="F468" s="1"/>
      <c r="G468" s="1" t="s">
        <v>24</v>
      </c>
      <c r="H468" s="2">
        <v>207</v>
      </c>
      <c r="I468" s="1" t="s">
        <v>1679</v>
      </c>
      <c r="J468" s="1" t="s">
        <v>1680</v>
      </c>
      <c r="K468" s="1" t="s">
        <v>26</v>
      </c>
      <c r="L468" s="1" t="s">
        <v>1681</v>
      </c>
      <c r="M468" s="6" t="str">
        <f>_xlfn.CONCAT(Table1[[#This Row],[Billing Street]], ", ", Table1[[#This Row],[Billing City]], ", ", Table1[[#This Row],[Billing State/Province]], ", ", Table1[[#This Row],[Billing Zip/Postal Code]])</f>
        <v>80 National Cement Dr., Ragland, AL, 35131</v>
      </c>
    </row>
    <row r="469" spans="1:13" ht="15.6" hidden="1" x14ac:dyDescent="0.3">
      <c r="A469" s="1" t="s">
        <v>1682</v>
      </c>
      <c r="B469" s="1"/>
      <c r="C469" s="1"/>
      <c r="D469" s="1"/>
      <c r="E469" s="1"/>
      <c r="F469" s="1"/>
      <c r="G469" s="1" t="s">
        <v>13</v>
      </c>
      <c r="H469" s="2">
        <v>0</v>
      </c>
      <c r="I469" s="1" t="s">
        <v>13</v>
      </c>
      <c r="J469" s="1" t="s">
        <v>13</v>
      </c>
      <c r="K469" s="1" t="s">
        <v>13</v>
      </c>
      <c r="L469" s="1" t="s">
        <v>13</v>
      </c>
      <c r="M469" s="6" t="str">
        <f>_xlfn.CONCAT(Table1[[#This Row],[Billing Street]], ", ", Table1[[#This Row],[Billing City]], ", ", Table1[[#This Row],[Billing State/Province]], ", ", Table1[[#This Row],[Billing Zip/Postal Code]])</f>
        <v xml:space="preserve">, , , </v>
      </c>
    </row>
    <row r="470" spans="1:13" ht="15.6" x14ac:dyDescent="0.3">
      <c r="A470" s="1" t="s">
        <v>1683</v>
      </c>
      <c r="B470" s="1"/>
      <c r="C470" s="1"/>
      <c r="D470" s="1"/>
      <c r="E470" s="1"/>
      <c r="F470" s="1"/>
      <c r="G470" s="1" t="s">
        <v>24</v>
      </c>
      <c r="H470" s="2">
        <v>59</v>
      </c>
      <c r="I470" s="1" t="s">
        <v>1684</v>
      </c>
      <c r="J470" s="1" t="s">
        <v>1685</v>
      </c>
      <c r="K470" s="1" t="s">
        <v>36</v>
      </c>
      <c r="L470" s="1" t="s">
        <v>1686</v>
      </c>
      <c r="M470" s="6" t="str">
        <f>_xlfn.CONCAT(Table1[[#This Row],[Billing Street]], ", ", Table1[[#This Row],[Billing City]], ", ", Table1[[#This Row],[Billing State/Province]], ", ", Table1[[#This Row],[Billing Zip/Postal Code]])</f>
        <v>5217 US-90, Milton, FL, 42571</v>
      </c>
    </row>
    <row r="471" spans="1:13" ht="15.6" hidden="1" x14ac:dyDescent="0.3">
      <c r="A471" s="1" t="s">
        <v>1687</v>
      </c>
      <c r="B471" s="1"/>
      <c r="C471" s="1"/>
      <c r="D471" s="1"/>
      <c r="E471" s="1"/>
      <c r="F471" s="1"/>
      <c r="G471" s="1" t="s">
        <v>43</v>
      </c>
      <c r="H471" s="2">
        <v>285</v>
      </c>
      <c r="I471" s="1" t="s">
        <v>1688</v>
      </c>
      <c r="J471" s="1" t="s">
        <v>1689</v>
      </c>
      <c r="K471" s="1" t="s">
        <v>1115</v>
      </c>
      <c r="L471" s="1" t="s">
        <v>1690</v>
      </c>
      <c r="M471" s="6" t="str">
        <f>_xlfn.CONCAT(Table1[[#This Row],[Billing Street]], ", ", Table1[[#This Row],[Billing City]], ", ", Table1[[#This Row],[Billing State/Province]], ", ", Table1[[#This Row],[Billing Zip/Postal Code]])</f>
        <v>4301 Wilson Blvd, Arlington, VA, 22203</v>
      </c>
    </row>
    <row r="472" spans="1:13" ht="15.6" hidden="1" x14ac:dyDescent="0.3">
      <c r="A472" s="1" t="s">
        <v>1691</v>
      </c>
      <c r="B472" s="1"/>
      <c r="C472" s="1"/>
      <c r="D472" s="1"/>
      <c r="E472" s="1"/>
      <c r="F472" s="1"/>
      <c r="G472" s="1" t="s">
        <v>13</v>
      </c>
      <c r="H472" s="2">
        <v>0</v>
      </c>
      <c r="I472" s="1" t="s">
        <v>13</v>
      </c>
      <c r="J472" s="1" t="s">
        <v>13</v>
      </c>
      <c r="K472" s="1" t="s">
        <v>13</v>
      </c>
      <c r="L472" s="1" t="s">
        <v>13</v>
      </c>
      <c r="M472" s="6" t="str">
        <f>_xlfn.CONCAT(Table1[[#This Row],[Billing Street]], ", ", Table1[[#This Row],[Billing City]], ", ", Table1[[#This Row],[Billing State/Province]], ", ", Table1[[#This Row],[Billing Zip/Postal Code]])</f>
        <v xml:space="preserve">, , , </v>
      </c>
    </row>
    <row r="473" spans="1:13" ht="15.6" hidden="1" x14ac:dyDescent="0.3">
      <c r="A473" s="1" t="s">
        <v>1692</v>
      </c>
      <c r="B473" s="1"/>
      <c r="C473" s="1"/>
      <c r="D473" s="1"/>
      <c r="E473" s="1"/>
      <c r="F473" s="1"/>
      <c r="G473" s="1" t="s">
        <v>205</v>
      </c>
      <c r="H473" s="2">
        <v>252</v>
      </c>
      <c r="I473" s="1" t="s">
        <v>1693</v>
      </c>
      <c r="J473" s="1" t="s">
        <v>1694</v>
      </c>
      <c r="K473" s="1" t="s">
        <v>1695</v>
      </c>
      <c r="L473" s="1" t="s">
        <v>1696</v>
      </c>
      <c r="M473" s="6" t="str">
        <f>_xlfn.CONCAT(Table1[[#This Row],[Billing Street]], ", ", Table1[[#This Row],[Billing City]], ", ", Table1[[#This Row],[Billing State/Province]], ", ", Table1[[#This Row],[Billing Zip/Postal Code]])</f>
        <v>7470 Dean Martin Drive, Las Vegas, NV, 89139</v>
      </c>
    </row>
    <row r="474" spans="1:13" ht="15.6" x14ac:dyDescent="0.3">
      <c r="A474" s="1" t="s">
        <v>1697</v>
      </c>
      <c r="B474" s="1"/>
      <c r="C474" s="1"/>
      <c r="D474" s="1"/>
      <c r="E474" s="1"/>
      <c r="F474" s="1"/>
      <c r="G474" s="1" t="s">
        <v>24</v>
      </c>
      <c r="H474" s="2">
        <v>50</v>
      </c>
      <c r="I474" s="1" t="s">
        <v>1698</v>
      </c>
      <c r="J474" s="1" t="s">
        <v>1699</v>
      </c>
      <c r="K474" s="1" t="s">
        <v>36</v>
      </c>
      <c r="L474" s="1" t="s">
        <v>1700</v>
      </c>
      <c r="M474" s="6" t="str">
        <f>_xlfn.CONCAT(Table1[[#This Row],[Billing Street]], ", ", Table1[[#This Row],[Billing City]], ", ", Table1[[#This Row],[Billing State/Province]], ", ", Table1[[#This Row],[Billing Zip/Postal Code]])</f>
        <v>2 S Everitt Ave, Panama City, FL, 32401</v>
      </c>
    </row>
    <row r="475" spans="1:13" ht="15.6" hidden="1" x14ac:dyDescent="0.3">
      <c r="A475" s="1" t="s">
        <v>1701</v>
      </c>
      <c r="B475" s="1"/>
      <c r="C475" s="1"/>
      <c r="D475" s="1"/>
      <c r="E475" s="1"/>
      <c r="F475" s="1"/>
      <c r="G475" s="1" t="s">
        <v>43</v>
      </c>
      <c r="H475" s="2">
        <v>5776</v>
      </c>
      <c r="I475" s="1" t="s">
        <v>1702</v>
      </c>
      <c r="J475" s="1" t="s">
        <v>1703</v>
      </c>
      <c r="K475" s="1" t="s">
        <v>1704</v>
      </c>
      <c r="L475" s="1" t="s">
        <v>1705</v>
      </c>
      <c r="M475" s="6" t="str">
        <f>_xlfn.CONCAT(Table1[[#This Row],[Billing Street]], ", ", Table1[[#This Row],[Billing City]], ", ", Table1[[#This Row],[Billing State/Province]], ", ", Table1[[#This Row],[Billing Zip/Postal Code]])</f>
        <v>72 Burtons Lane, Winthrop, me, 4364</v>
      </c>
    </row>
    <row r="476" spans="1:13" ht="15.6" x14ac:dyDescent="0.3">
      <c r="A476" s="1" t="s">
        <v>1706</v>
      </c>
      <c r="B476" s="1"/>
      <c r="C476" s="1"/>
      <c r="D476" s="1"/>
      <c r="E476" s="1"/>
      <c r="F476" s="1"/>
      <c r="G476" s="1" t="s">
        <v>24</v>
      </c>
      <c r="H476" s="2">
        <v>128</v>
      </c>
      <c r="I476" s="1" t="s">
        <v>1707</v>
      </c>
      <c r="J476" s="1" t="s">
        <v>1708</v>
      </c>
      <c r="K476" s="1" t="s">
        <v>26</v>
      </c>
      <c r="L476" s="1" t="s">
        <v>1709</v>
      </c>
      <c r="M476" s="6" t="str">
        <f>_xlfn.CONCAT(Table1[[#This Row],[Billing Street]], ", ", Table1[[#This Row],[Billing City]], ", ", Table1[[#This Row],[Billing State/Province]], ", ", Table1[[#This Row],[Billing Zip/Postal Code]])</f>
        <v>1700 Central Plank Rd, Wetumpka, AL, 36092</v>
      </c>
    </row>
    <row r="477" spans="1:13" ht="15.6" hidden="1" x14ac:dyDescent="0.3">
      <c r="A477" s="1" t="s">
        <v>1710</v>
      </c>
      <c r="B477" s="1"/>
      <c r="C477" s="1"/>
      <c r="D477" s="1"/>
      <c r="E477" s="1"/>
      <c r="F477" s="1"/>
      <c r="G477" s="1" t="s">
        <v>13</v>
      </c>
      <c r="H477" s="2">
        <v>0</v>
      </c>
      <c r="I477" s="1" t="s">
        <v>1711</v>
      </c>
      <c r="J477" s="1" t="s">
        <v>1712</v>
      </c>
      <c r="K477" s="1" t="s">
        <v>13</v>
      </c>
      <c r="L477" s="1" t="s">
        <v>1713</v>
      </c>
      <c r="M477" s="6" t="str">
        <f>_xlfn.CONCAT(Table1[[#This Row],[Billing Street]], ", ", Table1[[#This Row],[Billing City]], ", ", Table1[[#This Row],[Billing State/Province]], ", ", Table1[[#This Row],[Billing Zip/Postal Code]])</f>
        <v>73233 State Route 70, Portola, , 96122-7069</v>
      </c>
    </row>
    <row r="478" spans="1:13" ht="15.6" hidden="1" x14ac:dyDescent="0.3">
      <c r="A478" s="1" t="s">
        <v>1714</v>
      </c>
      <c r="B478" s="1"/>
      <c r="C478" s="1"/>
      <c r="D478" s="1"/>
      <c r="E478" s="1"/>
      <c r="F478" s="1"/>
      <c r="G478" s="1" t="s">
        <v>43</v>
      </c>
      <c r="H478" s="2">
        <v>5776</v>
      </c>
      <c r="I478" s="1" t="s">
        <v>1715</v>
      </c>
      <c r="J478" s="1" t="s">
        <v>1716</v>
      </c>
      <c r="K478" s="1" t="s">
        <v>781</v>
      </c>
      <c r="L478" s="1" t="s">
        <v>1717</v>
      </c>
      <c r="M478" s="6" t="str">
        <f>_xlfn.CONCAT(Table1[[#This Row],[Billing Street]], ", ", Table1[[#This Row],[Billing City]], ", ", Table1[[#This Row],[Billing State/Province]], ", ", Table1[[#This Row],[Billing Zip/Postal Code]])</f>
        <v>505 Church St, Ambler, pa, 19002</v>
      </c>
    </row>
    <row r="479" spans="1:13" ht="15.6" hidden="1" x14ac:dyDescent="0.3">
      <c r="A479" s="1" t="s">
        <v>1718</v>
      </c>
      <c r="B479" s="1"/>
      <c r="C479" s="1"/>
      <c r="D479" s="1"/>
      <c r="E479" s="1"/>
      <c r="F479" s="1"/>
      <c r="G479" s="1" t="s">
        <v>13</v>
      </c>
      <c r="H479" s="2">
        <v>0</v>
      </c>
      <c r="I479" s="1" t="s">
        <v>13</v>
      </c>
      <c r="J479" s="1" t="s">
        <v>13</v>
      </c>
      <c r="K479" s="1" t="s">
        <v>13</v>
      </c>
      <c r="L479" s="1" t="s">
        <v>13</v>
      </c>
      <c r="M479" s="6" t="str">
        <f>_xlfn.CONCAT(Table1[[#This Row],[Billing Street]], ", ", Table1[[#This Row],[Billing City]], ", ", Table1[[#This Row],[Billing State/Province]], ", ", Table1[[#This Row],[Billing Zip/Postal Code]])</f>
        <v xml:space="preserve">, , , </v>
      </c>
    </row>
    <row r="480" spans="1:13" ht="15.6" hidden="1" x14ac:dyDescent="0.3">
      <c r="A480" s="1" t="s">
        <v>1719</v>
      </c>
      <c r="B480" s="1"/>
      <c r="C480" s="1"/>
      <c r="D480" s="1"/>
      <c r="E480" s="1"/>
      <c r="F480" s="1"/>
      <c r="G480" s="1" t="s">
        <v>13</v>
      </c>
      <c r="H480" s="2">
        <v>0</v>
      </c>
      <c r="I480" s="1" t="s">
        <v>13</v>
      </c>
      <c r="J480" s="1" t="s">
        <v>13</v>
      </c>
      <c r="K480" s="1" t="s">
        <v>13</v>
      </c>
      <c r="L480" s="1" t="s">
        <v>13</v>
      </c>
      <c r="M480" s="6" t="str">
        <f>_xlfn.CONCAT(Table1[[#This Row],[Billing Street]], ", ", Table1[[#This Row],[Billing City]], ", ", Table1[[#This Row],[Billing State/Province]], ", ", Table1[[#This Row],[Billing Zip/Postal Code]])</f>
        <v xml:space="preserve">, , , </v>
      </c>
    </row>
    <row r="481" spans="1:13" ht="15.6" hidden="1" x14ac:dyDescent="0.3">
      <c r="A481" s="1" t="s">
        <v>1720</v>
      </c>
      <c r="B481" s="1"/>
      <c r="C481" s="1"/>
      <c r="D481" s="1"/>
      <c r="E481" s="1"/>
      <c r="F481" s="1"/>
      <c r="G481" s="1" t="s">
        <v>43</v>
      </c>
      <c r="H481" s="2">
        <v>5776</v>
      </c>
      <c r="I481" s="1" t="s">
        <v>1721</v>
      </c>
      <c r="J481" s="1" t="s">
        <v>1722</v>
      </c>
      <c r="K481" s="1" t="s">
        <v>781</v>
      </c>
      <c r="L481" s="1" t="s">
        <v>1723</v>
      </c>
      <c r="M481" s="6" t="str">
        <f>_xlfn.CONCAT(Table1[[#This Row],[Billing Street]], ", ", Table1[[#This Row],[Billing City]], ", ", Table1[[#This Row],[Billing State/Province]], ", ", Table1[[#This Row],[Billing Zip/Postal Code]])</f>
        <v>1400 Main St Apt 590, canonsburg, pa, 15317</v>
      </c>
    </row>
    <row r="482" spans="1:13" ht="15.6" hidden="1" x14ac:dyDescent="0.3">
      <c r="A482" s="1" t="s">
        <v>1724</v>
      </c>
      <c r="B482" s="1"/>
      <c r="C482" s="1"/>
      <c r="D482" s="1"/>
      <c r="E482" s="1"/>
      <c r="F482" s="1"/>
      <c r="G482" s="1" t="s">
        <v>13</v>
      </c>
      <c r="H482" s="2">
        <v>0</v>
      </c>
      <c r="I482" s="1" t="s">
        <v>13</v>
      </c>
      <c r="J482" s="1" t="s">
        <v>13</v>
      </c>
      <c r="K482" s="1" t="s">
        <v>13</v>
      </c>
      <c r="L482" s="1" t="s">
        <v>13</v>
      </c>
      <c r="M482" s="6" t="str">
        <f>_xlfn.CONCAT(Table1[[#This Row],[Billing Street]], ", ", Table1[[#This Row],[Billing City]], ", ", Table1[[#This Row],[Billing State/Province]], ", ", Table1[[#This Row],[Billing Zip/Postal Code]])</f>
        <v xml:space="preserve">, , , </v>
      </c>
    </row>
    <row r="483" spans="1:13" ht="15.6" hidden="1" x14ac:dyDescent="0.3">
      <c r="A483" s="1" t="s">
        <v>1725</v>
      </c>
      <c r="B483" s="1"/>
      <c r="C483" s="1"/>
      <c r="D483" s="1"/>
      <c r="E483" s="1"/>
      <c r="F483" s="1"/>
      <c r="G483" s="1" t="s">
        <v>98</v>
      </c>
      <c r="H483" s="2">
        <v>5887</v>
      </c>
      <c r="I483" s="1" t="s">
        <v>1726</v>
      </c>
      <c r="J483" s="1" t="s">
        <v>1727</v>
      </c>
      <c r="K483" s="1" t="s">
        <v>234</v>
      </c>
      <c r="L483" s="1" t="s">
        <v>1728</v>
      </c>
      <c r="M483" s="6" t="str">
        <f>_xlfn.CONCAT(Table1[[#This Row],[Billing Street]], ", ", Table1[[#This Row],[Billing City]], ", ", Table1[[#This Row],[Billing State/Province]], ", ", Table1[[#This Row],[Billing Zip/Postal Code]])</f>
        <v>207 N Congress St, Winnsboro, SC, 29180</v>
      </c>
    </row>
    <row r="484" spans="1:13" ht="15.6" hidden="1" x14ac:dyDescent="0.3">
      <c r="A484" s="1" t="s">
        <v>1729</v>
      </c>
      <c r="B484" s="1"/>
      <c r="C484" s="1"/>
      <c r="D484" s="1"/>
      <c r="E484" s="1"/>
      <c r="F484" s="1"/>
      <c r="G484" s="1" t="s">
        <v>13</v>
      </c>
      <c r="H484" s="2">
        <v>0</v>
      </c>
      <c r="I484" s="1" t="s">
        <v>13</v>
      </c>
      <c r="J484" s="1" t="s">
        <v>13</v>
      </c>
      <c r="K484" s="1" t="s">
        <v>13</v>
      </c>
      <c r="L484" s="1" t="s">
        <v>13</v>
      </c>
      <c r="M484" s="6" t="str">
        <f>_xlfn.CONCAT(Table1[[#This Row],[Billing Street]], ", ", Table1[[#This Row],[Billing City]], ", ", Table1[[#This Row],[Billing State/Province]], ", ", Table1[[#This Row],[Billing Zip/Postal Code]])</f>
        <v xml:space="preserve">, , , </v>
      </c>
    </row>
    <row r="485" spans="1:13" ht="15.6" x14ac:dyDescent="0.3">
      <c r="A485" s="1" t="s">
        <v>1730</v>
      </c>
      <c r="B485" s="1"/>
      <c r="C485" s="1"/>
      <c r="D485" s="1"/>
      <c r="E485" s="1"/>
      <c r="F485" s="1"/>
      <c r="G485" s="1" t="s">
        <v>24</v>
      </c>
      <c r="H485" s="2">
        <v>5988</v>
      </c>
      <c r="I485" s="1" t="s">
        <v>1731</v>
      </c>
      <c r="J485" s="1" t="s">
        <v>652</v>
      </c>
      <c r="K485" s="1" t="s">
        <v>26</v>
      </c>
      <c r="L485" s="1" t="s">
        <v>1732</v>
      </c>
      <c r="M485" s="6" t="str">
        <f>_xlfn.CONCAT(Table1[[#This Row],[Billing Street]], ", ", Table1[[#This Row],[Billing City]], ", ", Table1[[#This Row],[Billing State/Province]], ", ", Table1[[#This Row],[Billing Zip/Postal Code]])</f>
        <v>5970 S. Park Ave, Dothan, AL, 36301</v>
      </c>
    </row>
    <row r="486" spans="1:13" ht="15.6" hidden="1" x14ac:dyDescent="0.3">
      <c r="A486" s="1" t="s">
        <v>1733</v>
      </c>
      <c r="B486" s="1"/>
      <c r="C486" s="1"/>
      <c r="D486" s="1"/>
      <c r="E486" s="1"/>
      <c r="F486" s="1"/>
      <c r="G486" s="1" t="s">
        <v>43</v>
      </c>
      <c r="H486" s="2">
        <v>402</v>
      </c>
      <c r="I486" s="1" t="s">
        <v>1734</v>
      </c>
      <c r="J486" s="1" t="s">
        <v>1735</v>
      </c>
      <c r="K486" s="1" t="s">
        <v>1736</v>
      </c>
      <c r="L486" s="1" t="s">
        <v>1737</v>
      </c>
      <c r="M486" s="6" t="str">
        <f>_xlfn.CONCAT(Table1[[#This Row],[Billing Street]], ", ", Table1[[#This Row],[Billing City]], ", ", Table1[[#This Row],[Billing State/Province]], ", ", Table1[[#This Row],[Billing Zip/Postal Code]])</f>
        <v>4104 Washington Ave, Newport News, Va, 23607</v>
      </c>
    </row>
    <row r="487" spans="1:13" ht="15.6" hidden="1" x14ac:dyDescent="0.3">
      <c r="A487" s="1" t="s">
        <v>1738</v>
      </c>
      <c r="B487" s="1"/>
      <c r="C487" s="1"/>
      <c r="D487" s="1"/>
      <c r="E487" s="1"/>
      <c r="F487" s="1"/>
      <c r="G487" s="1" t="s">
        <v>43</v>
      </c>
      <c r="H487" s="2">
        <v>402</v>
      </c>
      <c r="I487" s="1" t="s">
        <v>1739</v>
      </c>
      <c r="J487" s="1" t="s">
        <v>1735</v>
      </c>
      <c r="K487" s="1" t="s">
        <v>1740</v>
      </c>
      <c r="L487" s="1" t="s">
        <v>1741</v>
      </c>
      <c r="M487" s="6" t="str">
        <f>_xlfn.CONCAT(Table1[[#This Row],[Billing Street]], ", ", Table1[[#This Row],[Billing City]], ", ", Table1[[#This Row],[Billing State/Province]], ", ", Table1[[#This Row],[Billing Zip/Postal Code]])</f>
        <v>4101 Washington Ave, Newport News, va, 23606</v>
      </c>
    </row>
    <row r="488" spans="1:13" ht="15.6" hidden="1" x14ac:dyDescent="0.3">
      <c r="A488" s="1" t="s">
        <v>1742</v>
      </c>
      <c r="B488" s="1"/>
      <c r="C488" s="1"/>
      <c r="D488" s="1"/>
      <c r="E488" s="1"/>
      <c r="F488" s="1"/>
      <c r="G488" s="1" t="s">
        <v>43</v>
      </c>
      <c r="H488" s="2">
        <v>5776</v>
      </c>
      <c r="I488" s="1" t="s">
        <v>1743</v>
      </c>
      <c r="J488" s="1" t="s">
        <v>1744</v>
      </c>
      <c r="K488" s="1" t="s">
        <v>1745</v>
      </c>
      <c r="L488" s="1" t="s">
        <v>1746</v>
      </c>
      <c r="M488" s="6" t="str">
        <f>_xlfn.CONCAT(Table1[[#This Row],[Billing Street]], ", ", Table1[[#This Row],[Billing City]], ", ", Table1[[#This Row],[Billing State/Province]], ", ", Table1[[#This Row],[Billing Zip/Postal Code]])</f>
        <v>100 Central Ave Suite 630, Kearny, nj, 7032</v>
      </c>
    </row>
    <row r="489" spans="1:13" ht="15.6" hidden="1" x14ac:dyDescent="0.3">
      <c r="A489" s="1" t="s">
        <v>1747</v>
      </c>
      <c r="B489" s="1"/>
      <c r="C489" s="1"/>
      <c r="D489" s="1"/>
      <c r="E489" s="1"/>
      <c r="F489" s="1"/>
      <c r="G489" s="1" t="s">
        <v>8</v>
      </c>
      <c r="H489" s="2">
        <v>515</v>
      </c>
      <c r="I489" s="1" t="s">
        <v>1748</v>
      </c>
      <c r="J489" s="1" t="s">
        <v>1749</v>
      </c>
      <c r="K489" s="1" t="s">
        <v>51</v>
      </c>
      <c r="L489" s="1" t="s">
        <v>1750</v>
      </c>
      <c r="M489" s="6" t="str">
        <f>_xlfn.CONCAT(Table1[[#This Row],[Billing Street]], ", ", Table1[[#This Row],[Billing City]], ", ", Table1[[#This Row],[Billing State/Province]], ", ", Table1[[#This Row],[Billing Zip/Postal Code]])</f>
        <v>125 E South Main St, Flatonia, TX, 78941</v>
      </c>
    </row>
    <row r="490" spans="1:13" ht="15.6" hidden="1" x14ac:dyDescent="0.3">
      <c r="A490" s="1" t="s">
        <v>1751</v>
      </c>
      <c r="B490" s="1"/>
      <c r="C490" s="1"/>
      <c r="D490" s="1"/>
      <c r="E490" s="1"/>
      <c r="F490" s="1"/>
      <c r="G490" s="1" t="s">
        <v>43</v>
      </c>
      <c r="H490" s="2">
        <v>31</v>
      </c>
      <c r="I490" s="1" t="s">
        <v>1752</v>
      </c>
      <c r="J490" s="1" t="s">
        <v>1753</v>
      </c>
      <c r="K490" s="1" t="s">
        <v>45</v>
      </c>
      <c r="L490" s="1" t="s">
        <v>1754</v>
      </c>
      <c r="M490" s="6" t="str">
        <f>_xlfn.CONCAT(Table1[[#This Row],[Billing Street]], ", ", Table1[[#This Row],[Billing City]], ", ", Table1[[#This Row],[Billing State/Province]], ", ", Table1[[#This Row],[Billing Zip/Postal Code]])</f>
        <v>1151 South Main Street, Grafton, OH, 44044</v>
      </c>
    </row>
    <row r="491" spans="1:13" ht="15.6" hidden="1" x14ac:dyDescent="0.3">
      <c r="A491" s="1" t="s">
        <v>1755</v>
      </c>
      <c r="B491" s="1"/>
      <c r="C491" s="1"/>
      <c r="D491" s="1"/>
      <c r="E491" s="1"/>
      <c r="F491" s="1"/>
      <c r="G491" s="1" t="s">
        <v>43</v>
      </c>
      <c r="H491" s="2">
        <v>33</v>
      </c>
      <c r="I491" s="1" t="s">
        <v>1756</v>
      </c>
      <c r="J491" s="1" t="s">
        <v>703</v>
      </c>
      <c r="K491" s="1" t="s">
        <v>45</v>
      </c>
      <c r="L491" s="1" t="s">
        <v>1757</v>
      </c>
      <c r="M491" s="6" t="str">
        <f>_xlfn.CONCAT(Table1[[#This Row],[Billing Street]], ", ", Table1[[#This Row],[Billing City]], ", ", Table1[[#This Row],[Billing State/Province]], ", ", Table1[[#This Row],[Billing Zip/Postal Code]])</f>
        <v>633 S. Union, Alliance, OH, 44601</v>
      </c>
    </row>
    <row r="492" spans="1:13" ht="15.6" hidden="1" x14ac:dyDescent="0.3">
      <c r="A492" s="1" t="s">
        <v>1758</v>
      </c>
      <c r="B492" s="1"/>
      <c r="C492" s="1"/>
      <c r="D492" s="1"/>
      <c r="E492" s="1"/>
      <c r="F492" s="1"/>
      <c r="G492" s="1" t="s">
        <v>54</v>
      </c>
      <c r="H492" s="2">
        <v>13</v>
      </c>
      <c r="I492" s="1" t="s">
        <v>1759</v>
      </c>
      <c r="J492" s="1" t="s">
        <v>352</v>
      </c>
      <c r="K492" s="1" t="s">
        <v>57</v>
      </c>
      <c r="L492" s="1" t="s">
        <v>353</v>
      </c>
      <c r="M492" s="6" t="str">
        <f>_xlfn.CONCAT(Table1[[#This Row],[Billing Street]], ", ", Table1[[#This Row],[Billing City]], ", ", Table1[[#This Row],[Billing State/Province]], ", ", Table1[[#This Row],[Billing Zip/Postal Code]])</f>
        <v>13039 Crossroads Parkway South, City of Industry, CA, 91746</v>
      </c>
    </row>
    <row r="493" spans="1:13" ht="15.6" hidden="1" x14ac:dyDescent="0.3">
      <c r="A493" s="1" t="s">
        <v>1760</v>
      </c>
      <c r="B493" s="1"/>
      <c r="C493" s="1"/>
      <c r="D493" s="1"/>
      <c r="E493" s="1"/>
      <c r="F493" s="1"/>
      <c r="G493" s="1" t="s">
        <v>8</v>
      </c>
      <c r="H493" s="2">
        <v>477</v>
      </c>
      <c r="I493" s="1" t="s">
        <v>1761</v>
      </c>
      <c r="J493" s="1" t="s">
        <v>1762</v>
      </c>
      <c r="K493" s="1" t="s">
        <v>51</v>
      </c>
      <c r="L493" s="1" t="s">
        <v>1763</v>
      </c>
      <c r="M493" s="6" t="str">
        <f>_xlfn.CONCAT(Table1[[#This Row],[Billing Street]], ", ", Table1[[#This Row],[Billing City]], ", ", Table1[[#This Row],[Billing State/Province]], ", ", Table1[[#This Row],[Billing Zip/Postal Code]])</f>
        <v>200 West Vulcan St., Brenham, TX, 77834</v>
      </c>
    </row>
    <row r="494" spans="1:13" ht="15.6" hidden="1" x14ac:dyDescent="0.3">
      <c r="A494" s="1" t="s">
        <v>1764</v>
      </c>
      <c r="B494" s="1"/>
      <c r="C494" s="1"/>
      <c r="D494" s="1"/>
      <c r="E494" s="1"/>
      <c r="F494" s="1"/>
      <c r="G494" s="1" t="s">
        <v>8</v>
      </c>
      <c r="H494" s="2">
        <v>15</v>
      </c>
      <c r="I494" s="1" t="s">
        <v>1765</v>
      </c>
      <c r="J494" s="1" t="s">
        <v>1766</v>
      </c>
      <c r="K494" s="1" t="s">
        <v>554</v>
      </c>
      <c r="L494" s="1" t="s">
        <v>1767</v>
      </c>
      <c r="M494" s="6" t="str">
        <f>_xlfn.CONCAT(Table1[[#This Row],[Billing Street]], ", ", Table1[[#This Row],[Billing City]], ", ", Table1[[#This Row],[Billing State/Province]], ", ", Table1[[#This Row],[Billing Zip/Postal Code]])</f>
        <v>2400 W Laurel, Independence, KS, 67301</v>
      </c>
    </row>
    <row r="495" spans="1:13" ht="15.6" hidden="1" x14ac:dyDescent="0.3">
      <c r="A495" s="1" t="s">
        <v>1768</v>
      </c>
      <c r="B495" s="1"/>
      <c r="C495" s="1"/>
      <c r="D495" s="1"/>
      <c r="E495" s="1"/>
      <c r="F495" s="1"/>
      <c r="G495" s="1" t="s">
        <v>43</v>
      </c>
      <c r="H495" s="2">
        <v>116</v>
      </c>
      <c r="I495" s="1" t="s">
        <v>1769</v>
      </c>
      <c r="J495" s="1" t="s">
        <v>1770</v>
      </c>
      <c r="K495" s="1" t="s">
        <v>45</v>
      </c>
      <c r="L495" s="1" t="s">
        <v>1771</v>
      </c>
      <c r="M495" s="6" t="str">
        <f>_xlfn.CONCAT(Table1[[#This Row],[Billing Street]], ", ", Table1[[#This Row],[Billing City]], ", ", Table1[[#This Row],[Billing State/Province]], ", ", Table1[[#This Row],[Billing Zip/Postal Code]])</f>
        <v>3820 Ventura Drive, Findlay, OH, 45840</v>
      </c>
    </row>
    <row r="496" spans="1:13" ht="15.6" x14ac:dyDescent="0.3">
      <c r="A496" s="1" t="s">
        <v>1772</v>
      </c>
      <c r="B496" s="1"/>
      <c r="C496" s="1"/>
      <c r="D496" s="1"/>
      <c r="E496" s="1"/>
      <c r="F496" s="1"/>
      <c r="G496" s="1" t="s">
        <v>24</v>
      </c>
      <c r="H496" s="2">
        <v>287</v>
      </c>
      <c r="I496" s="1" t="s">
        <v>1773</v>
      </c>
      <c r="J496" s="1" t="s">
        <v>1774</v>
      </c>
      <c r="K496" s="1" t="s">
        <v>36</v>
      </c>
      <c r="L496" s="1" t="s">
        <v>1775</v>
      </c>
      <c r="M496" s="6" t="str">
        <f>_xlfn.CONCAT(Table1[[#This Row],[Billing Street]], ", ", Table1[[#This Row],[Billing City]], ", ", Table1[[#This Row],[Billing State/Province]], ", ", Table1[[#This Row],[Billing Zip/Postal Code]])</f>
        <v>936 E 124th Av Suite C, Tampa, FL, 33612</v>
      </c>
    </row>
    <row r="497" spans="1:13" ht="15.6" hidden="1" x14ac:dyDescent="0.3">
      <c r="A497" s="1" t="s">
        <v>1776</v>
      </c>
      <c r="B497" s="1"/>
      <c r="C497" s="1"/>
      <c r="D497" s="1"/>
      <c r="E497" s="1"/>
      <c r="F497" s="1"/>
      <c r="G497" s="1" t="s">
        <v>43</v>
      </c>
      <c r="H497" s="2">
        <v>5776</v>
      </c>
      <c r="I497" s="1" t="s">
        <v>1777</v>
      </c>
      <c r="J497" s="1" t="s">
        <v>1778</v>
      </c>
      <c r="K497" s="1" t="s">
        <v>720</v>
      </c>
      <c r="L497" s="1" t="s">
        <v>1779</v>
      </c>
      <c r="M497" s="6" t="str">
        <f>_xlfn.CONCAT(Table1[[#This Row],[Billing Street]], ", ", Table1[[#This Row],[Billing City]], ", ", Table1[[#This Row],[Billing State/Province]], ", ", Table1[[#This Row],[Billing Zip/Postal Code]])</f>
        <v>57 4th Street Unit B, Somerville, NJ, 8876</v>
      </c>
    </row>
    <row r="498" spans="1:13" ht="15.6" hidden="1" x14ac:dyDescent="0.3">
      <c r="A498" s="1" t="s">
        <v>1780</v>
      </c>
      <c r="B498" s="1"/>
      <c r="C498" s="1"/>
      <c r="D498" s="1"/>
      <c r="E498" s="1"/>
      <c r="F498" s="1"/>
      <c r="G498" s="1" t="s">
        <v>43</v>
      </c>
      <c r="H498" s="2">
        <v>12</v>
      </c>
      <c r="I498" s="1" t="s">
        <v>1781</v>
      </c>
      <c r="J498" s="1" t="s">
        <v>1766</v>
      </c>
      <c r="K498" s="1" t="s">
        <v>45</v>
      </c>
      <c r="L498" s="1" t="s">
        <v>1782</v>
      </c>
      <c r="M498" s="6" t="str">
        <f>_xlfn.CONCAT(Table1[[#This Row],[Billing Street]], ", ", Table1[[#This Row],[Billing City]], ", ", Table1[[#This Row],[Billing State/Province]], ", ", Table1[[#This Row],[Billing Zip/Postal Code]])</f>
        <v>5617 Schaaf Road, Independence, OH, 44131</v>
      </c>
    </row>
    <row r="499" spans="1:13" ht="15.6" hidden="1" x14ac:dyDescent="0.3">
      <c r="A499" s="1" t="s">
        <v>1783</v>
      </c>
      <c r="B499" s="1"/>
      <c r="C499" s="1"/>
      <c r="D499" s="1"/>
      <c r="E499" s="1"/>
      <c r="F499" s="1"/>
      <c r="G499" s="1" t="s">
        <v>54</v>
      </c>
      <c r="H499" s="2">
        <v>947</v>
      </c>
      <c r="I499" s="1" t="s">
        <v>1784</v>
      </c>
      <c r="J499" s="1" t="s">
        <v>1785</v>
      </c>
      <c r="K499" s="1" t="s">
        <v>405</v>
      </c>
      <c r="L499" s="1" t="s">
        <v>1786</v>
      </c>
      <c r="M499" s="6" t="str">
        <f>_xlfn.CONCAT(Table1[[#This Row],[Billing Street]], ", ", Table1[[#This Row],[Billing City]], ", ", Table1[[#This Row],[Billing State/Province]], ", ", Table1[[#This Row],[Billing Zip/Postal Code]])</f>
        <v>21630 11th Ave S. Suite A, Des Moines, WA, 98198</v>
      </c>
    </row>
    <row r="500" spans="1:13" ht="15.6" hidden="1" x14ac:dyDescent="0.3">
      <c r="A500" s="1" t="s">
        <v>1787</v>
      </c>
      <c r="B500" s="1"/>
      <c r="C500" s="1"/>
      <c r="D500" s="1"/>
      <c r="E500" s="1"/>
      <c r="F500" s="1"/>
      <c r="G500" s="1" t="s">
        <v>43</v>
      </c>
      <c r="H500" s="2">
        <v>5776</v>
      </c>
      <c r="I500" s="1" t="s">
        <v>13</v>
      </c>
      <c r="J500" s="1" t="s">
        <v>711</v>
      </c>
      <c r="K500" s="1" t="s">
        <v>45</v>
      </c>
      <c r="L500" s="1" t="s">
        <v>13</v>
      </c>
      <c r="M500" s="6" t="str">
        <f>_xlfn.CONCAT(Table1[[#This Row],[Billing Street]], ", ", Table1[[#This Row],[Billing City]], ", ", Table1[[#This Row],[Billing State/Province]], ", ", Table1[[#This Row],[Billing Zip/Postal Code]])</f>
        <v xml:space="preserve">, Columbus, OH, </v>
      </c>
    </row>
    <row r="501" spans="1:13" ht="15.6" hidden="1" x14ac:dyDescent="0.3">
      <c r="A501" s="1" t="s">
        <v>1788</v>
      </c>
      <c r="B501" s="1"/>
      <c r="C501" s="1"/>
      <c r="D501" s="1"/>
      <c r="E501" s="1"/>
      <c r="F501" s="1"/>
      <c r="G501" s="1" t="s">
        <v>8</v>
      </c>
      <c r="H501" s="2">
        <v>435</v>
      </c>
      <c r="I501" s="1" t="s">
        <v>1789</v>
      </c>
      <c r="J501" s="1" t="s">
        <v>1790</v>
      </c>
      <c r="K501" s="1" t="s">
        <v>51</v>
      </c>
      <c r="L501" s="1" t="s">
        <v>1791</v>
      </c>
      <c r="M501" s="6" t="str">
        <f>_xlfn.CONCAT(Table1[[#This Row],[Billing Street]], ", ", Table1[[#This Row],[Billing City]], ", ", Table1[[#This Row],[Billing State/Province]], ", ", Table1[[#This Row],[Billing Zip/Postal Code]])</f>
        <v>2415 Phelps Avenue, Littlefield, TX, 79339</v>
      </c>
    </row>
    <row r="502" spans="1:13" ht="15.6" hidden="1" x14ac:dyDescent="0.3">
      <c r="A502" s="1" t="s">
        <v>1792</v>
      </c>
      <c r="B502" s="1"/>
      <c r="C502" s="1"/>
      <c r="D502" s="1"/>
      <c r="E502" s="1"/>
      <c r="F502" s="1"/>
      <c r="G502" s="1" t="s">
        <v>8</v>
      </c>
      <c r="H502" s="2">
        <v>557</v>
      </c>
      <c r="I502" s="1" t="s">
        <v>1793</v>
      </c>
      <c r="J502" s="1" t="s">
        <v>1794</v>
      </c>
      <c r="K502" s="1" t="s">
        <v>51</v>
      </c>
      <c r="L502" s="1" t="s">
        <v>1795</v>
      </c>
      <c r="M502" s="6" t="str">
        <f>_xlfn.CONCAT(Table1[[#This Row],[Billing Street]], ", ", Table1[[#This Row],[Billing City]], ", ", Table1[[#This Row],[Billing State/Province]], ", ", Table1[[#This Row],[Billing Zip/Postal Code]])</f>
        <v>514 West Sarah, Cuero, TX, 77954</v>
      </c>
    </row>
    <row r="503" spans="1:13" ht="15.6" hidden="1" x14ac:dyDescent="0.3">
      <c r="A503" s="1" t="s">
        <v>1796</v>
      </c>
      <c r="B503" s="1"/>
      <c r="C503" s="1"/>
      <c r="D503" s="1"/>
      <c r="E503" s="1"/>
      <c r="F503" s="1"/>
      <c r="G503" s="1" t="s">
        <v>43</v>
      </c>
      <c r="H503" s="2">
        <v>303</v>
      </c>
      <c r="I503" s="1" t="s">
        <v>1797</v>
      </c>
      <c r="J503" s="1" t="s">
        <v>1798</v>
      </c>
      <c r="K503" s="1" t="s">
        <v>275</v>
      </c>
      <c r="L503" s="1" t="s">
        <v>1799</v>
      </c>
      <c r="M503" s="6" t="str">
        <f>_xlfn.CONCAT(Table1[[#This Row],[Billing Street]], ", ", Table1[[#This Row],[Billing City]], ", ", Table1[[#This Row],[Billing State/Province]], ", ", Table1[[#This Row],[Billing Zip/Postal Code]])</f>
        <v>6518 Fremont Rd, East Syracuse, ny, 13057</v>
      </c>
    </row>
    <row r="504" spans="1:13" ht="15.6" hidden="1" x14ac:dyDescent="0.3">
      <c r="A504" s="1" t="s">
        <v>1800</v>
      </c>
      <c r="B504" s="1"/>
      <c r="C504" s="1"/>
      <c r="D504" s="1"/>
      <c r="E504" s="1"/>
      <c r="F504" s="1"/>
      <c r="G504" s="1" t="s">
        <v>43</v>
      </c>
      <c r="H504" s="2">
        <v>130</v>
      </c>
      <c r="I504" s="1" t="s">
        <v>1801</v>
      </c>
      <c r="J504" s="1" t="s">
        <v>1802</v>
      </c>
      <c r="K504" s="1" t="s">
        <v>82</v>
      </c>
      <c r="L504" s="1" t="s">
        <v>1803</v>
      </c>
      <c r="M504" s="6" t="str">
        <f>_xlfn.CONCAT(Table1[[#This Row],[Billing Street]], ", ", Table1[[#This Row],[Billing City]], ", ", Table1[[#This Row],[Billing State/Province]], ", ", Table1[[#This Row],[Billing Zip/Postal Code]])</f>
        <v>38755 Hills Tech Drive, Farmington Hills, MI, 48331</v>
      </c>
    </row>
    <row r="505" spans="1:13" ht="15.6" hidden="1" x14ac:dyDescent="0.3">
      <c r="A505" s="1" t="s">
        <v>1804</v>
      </c>
      <c r="B505" s="1"/>
      <c r="C505" s="1"/>
      <c r="D505" s="1"/>
      <c r="E505" s="1"/>
      <c r="F505" s="1"/>
      <c r="G505" s="1" t="s">
        <v>43</v>
      </c>
      <c r="H505" s="2">
        <v>365</v>
      </c>
      <c r="I505" s="1" t="s">
        <v>1805</v>
      </c>
      <c r="J505" s="1" t="s">
        <v>1806</v>
      </c>
      <c r="K505" s="1" t="s">
        <v>152</v>
      </c>
      <c r="L505" s="1" t="s">
        <v>1807</v>
      </c>
      <c r="M505" s="6" t="str">
        <f>_xlfn.CONCAT(Table1[[#This Row],[Billing Street]], ", ", Table1[[#This Row],[Billing City]], ", ", Table1[[#This Row],[Billing State/Province]], ", ", Table1[[#This Row],[Billing Zip/Postal Code]])</f>
        <v>1501 S Oak St., Champaign, IL, 61820</v>
      </c>
    </row>
    <row r="506" spans="1:13" ht="15.6" hidden="1" x14ac:dyDescent="0.3">
      <c r="A506" s="1" t="s">
        <v>1808</v>
      </c>
      <c r="B506" s="1"/>
      <c r="C506" s="1"/>
      <c r="D506" s="1"/>
      <c r="E506" s="1"/>
      <c r="F506" s="1"/>
      <c r="G506" s="1" t="s">
        <v>8</v>
      </c>
      <c r="H506" s="2">
        <v>271</v>
      </c>
      <c r="I506" s="1" t="s">
        <v>1809</v>
      </c>
      <c r="J506" s="1" t="s">
        <v>1810</v>
      </c>
      <c r="K506" s="1" t="s">
        <v>51</v>
      </c>
      <c r="L506" s="1" t="s">
        <v>1811</v>
      </c>
      <c r="M506" s="6" t="str">
        <f>_xlfn.CONCAT(Table1[[#This Row],[Billing Street]], ", ", Table1[[#This Row],[Billing City]], ", ", Table1[[#This Row],[Billing State/Province]], ", ", Table1[[#This Row],[Billing Zip/Postal Code]])</f>
        <v>385 West Clay Street, Bowie, TX, 76230</v>
      </c>
    </row>
    <row r="507" spans="1:13" ht="15.6" hidden="1" x14ac:dyDescent="0.3">
      <c r="A507" s="1" t="s">
        <v>1812</v>
      </c>
      <c r="B507" s="1"/>
      <c r="C507" s="1"/>
      <c r="D507" s="1"/>
      <c r="E507" s="1"/>
      <c r="F507" s="1"/>
      <c r="G507" s="1" t="s">
        <v>8</v>
      </c>
      <c r="H507" s="2">
        <v>461</v>
      </c>
      <c r="I507" s="1" t="s">
        <v>1813</v>
      </c>
      <c r="J507" s="1" t="s">
        <v>1814</v>
      </c>
      <c r="K507" s="1" t="s">
        <v>51</v>
      </c>
      <c r="L507" s="1" t="s">
        <v>1815</v>
      </c>
      <c r="M507" s="6" t="str">
        <f>_xlfn.CONCAT(Table1[[#This Row],[Billing Street]], ", ", Table1[[#This Row],[Billing City]], ", ", Table1[[#This Row],[Billing State/Province]], ", ", Table1[[#This Row],[Billing Zip/Postal Code]])</f>
        <v>121 North 7th Street, Brownfield, TX, 79316</v>
      </c>
    </row>
    <row r="508" spans="1:13" ht="15.6" hidden="1" x14ac:dyDescent="0.3">
      <c r="A508" s="1" t="s">
        <v>1816</v>
      </c>
      <c r="B508" s="1"/>
      <c r="C508" s="1"/>
      <c r="D508" s="1"/>
      <c r="E508" s="1"/>
      <c r="F508" s="1"/>
      <c r="G508" s="1" t="s">
        <v>54</v>
      </c>
      <c r="H508" s="2">
        <v>941</v>
      </c>
      <c r="I508" s="1" t="s">
        <v>1817</v>
      </c>
      <c r="J508" s="1" t="s">
        <v>1818</v>
      </c>
      <c r="K508" s="1" t="s">
        <v>405</v>
      </c>
      <c r="L508" s="1" t="s">
        <v>1819</v>
      </c>
      <c r="M508" s="6" t="str">
        <f>_xlfn.CONCAT(Table1[[#This Row],[Billing Street]], ", ", Table1[[#This Row],[Billing City]], ", ", Table1[[#This Row],[Billing State/Province]], ", ", Table1[[#This Row],[Billing Zip/Postal Code]])</f>
        <v>601 W. 1st Street, Spokane, WA, 99201</v>
      </c>
    </row>
    <row r="509" spans="1:13" ht="15.6" hidden="1" x14ac:dyDescent="0.3">
      <c r="A509" s="1" t="s">
        <v>1820</v>
      </c>
      <c r="B509" s="1"/>
      <c r="C509" s="1"/>
      <c r="D509" s="1"/>
      <c r="E509" s="1"/>
      <c r="F509" s="1"/>
      <c r="G509" s="1" t="s">
        <v>8</v>
      </c>
      <c r="H509" s="2">
        <v>738</v>
      </c>
      <c r="I509" s="1" t="s">
        <v>1821</v>
      </c>
      <c r="J509" s="1" t="s">
        <v>1822</v>
      </c>
      <c r="K509" s="1" t="s">
        <v>128</v>
      </c>
      <c r="L509" s="1" t="s">
        <v>1823</v>
      </c>
      <c r="M509" s="6" t="str">
        <f>_xlfn.CONCAT(Table1[[#This Row],[Billing Street]], ", ", Table1[[#This Row],[Billing City]], ", ", Table1[[#This Row],[Billing State/Province]], ", ", Table1[[#This Row],[Billing Zip/Postal Code]])</f>
        <v>1260 Industrial Park Dr, Eveleth, MN, 55734</v>
      </c>
    </row>
    <row r="510" spans="1:13" ht="15.6" hidden="1" x14ac:dyDescent="0.3">
      <c r="A510" s="1" t="s">
        <v>1824</v>
      </c>
      <c r="B510" s="1"/>
      <c r="C510" s="1"/>
      <c r="D510" s="1"/>
      <c r="E510" s="1"/>
      <c r="F510" s="1"/>
      <c r="G510" s="1" t="s">
        <v>8</v>
      </c>
      <c r="H510" s="2">
        <v>593</v>
      </c>
      <c r="I510" s="1" t="s">
        <v>1825</v>
      </c>
      <c r="J510" s="1" t="s">
        <v>1826</v>
      </c>
      <c r="K510" s="1" t="s">
        <v>128</v>
      </c>
      <c r="L510" s="1" t="s">
        <v>1827</v>
      </c>
      <c r="M510" s="6" t="str">
        <f>_xlfn.CONCAT(Table1[[#This Row],[Billing Street]], ", ", Table1[[#This Row],[Billing City]], ", ", Table1[[#This Row],[Billing State/Province]], ", ", Table1[[#This Row],[Billing Zip/Postal Code]])</f>
        <v>1450 Division Street, Waite Park, MN, 56387</v>
      </c>
    </row>
    <row r="511" spans="1:13" ht="15.6" hidden="1" x14ac:dyDescent="0.3">
      <c r="A511" s="1" t="s">
        <v>1828</v>
      </c>
      <c r="B511" s="1"/>
      <c r="C511" s="1"/>
      <c r="D511" s="1"/>
      <c r="E511" s="1"/>
      <c r="F511" s="1"/>
      <c r="G511" s="1" t="s">
        <v>8</v>
      </c>
      <c r="H511" s="2">
        <v>6528</v>
      </c>
      <c r="I511" s="1" t="s">
        <v>13</v>
      </c>
      <c r="J511" s="1" t="s">
        <v>13</v>
      </c>
      <c r="K511" s="1" t="s">
        <v>51</v>
      </c>
      <c r="L511" s="1" t="s">
        <v>13</v>
      </c>
      <c r="M511" s="6" t="str">
        <f>_xlfn.CONCAT(Table1[[#This Row],[Billing Street]], ", ", Table1[[#This Row],[Billing City]], ", ", Table1[[#This Row],[Billing State/Province]], ", ", Table1[[#This Row],[Billing Zip/Postal Code]])</f>
        <v xml:space="preserve">, , TX, </v>
      </c>
    </row>
    <row r="512" spans="1:13" ht="15.6" hidden="1" x14ac:dyDescent="0.3">
      <c r="A512" s="1" t="s">
        <v>1829</v>
      </c>
      <c r="B512" s="1"/>
      <c r="C512" s="1"/>
      <c r="D512" s="1"/>
      <c r="E512" s="1"/>
      <c r="F512" s="1"/>
      <c r="G512" s="1" t="s">
        <v>43</v>
      </c>
      <c r="H512" s="2">
        <v>288</v>
      </c>
      <c r="I512" s="1" t="s">
        <v>1830</v>
      </c>
      <c r="J512" s="1" t="s">
        <v>1831</v>
      </c>
      <c r="K512" s="1" t="s">
        <v>1832</v>
      </c>
      <c r="L512" s="1" t="s">
        <v>1833</v>
      </c>
      <c r="M512" s="6" t="str">
        <f>_xlfn.CONCAT(Table1[[#This Row],[Billing Street]], ", ", Table1[[#This Row],[Billing City]], ", ", Table1[[#This Row],[Billing State/Province]], ", ", Table1[[#This Row],[Billing Zip/Postal Code]])</f>
        <v>13335 mid Atlantic Blvd, Laurel, Md, 20708</v>
      </c>
    </row>
    <row r="513" spans="1:13" ht="15.6" hidden="1" x14ac:dyDescent="0.3">
      <c r="A513" s="1" t="s">
        <v>1834</v>
      </c>
      <c r="B513" s="1"/>
      <c r="C513" s="1"/>
      <c r="D513" s="1"/>
      <c r="E513" s="1"/>
      <c r="F513" s="1"/>
      <c r="G513" s="1" t="s">
        <v>8</v>
      </c>
      <c r="H513" s="2">
        <v>531</v>
      </c>
      <c r="I513" s="1" t="s">
        <v>1835</v>
      </c>
      <c r="J513" s="1" t="s">
        <v>1836</v>
      </c>
      <c r="K513" s="1" t="s">
        <v>51</v>
      </c>
      <c r="L513" s="1" t="s">
        <v>1837</v>
      </c>
      <c r="M513" s="6" t="str">
        <f>_xlfn.CONCAT(Table1[[#This Row],[Billing Street]], ", ", Table1[[#This Row],[Billing City]], ", ", Table1[[#This Row],[Billing State/Province]], ", ", Table1[[#This Row],[Billing Zip/Postal Code]])</f>
        <v>402 E Blanco Rd, Boerne, TX, 78006</v>
      </c>
    </row>
    <row r="514" spans="1:13" ht="15.6" x14ac:dyDescent="0.3">
      <c r="A514" s="1" t="s">
        <v>1838</v>
      </c>
      <c r="B514" s="1"/>
      <c r="C514" s="1"/>
      <c r="D514" s="1"/>
      <c r="E514" s="1"/>
      <c r="F514" s="1"/>
      <c r="G514" s="1" t="s">
        <v>24</v>
      </c>
      <c r="H514" s="2">
        <v>264</v>
      </c>
      <c r="I514" s="1" t="s">
        <v>1839</v>
      </c>
      <c r="J514" s="1" t="s">
        <v>1668</v>
      </c>
      <c r="K514" s="1" t="s">
        <v>36</v>
      </c>
      <c r="L514" s="1" t="s">
        <v>1840</v>
      </c>
      <c r="M514" s="6" t="str">
        <f>_xlfn.CONCAT(Table1[[#This Row],[Billing Street]], ", ", Table1[[#This Row],[Billing City]], ", ", Table1[[#This Row],[Billing State/Province]], ", ", Table1[[#This Row],[Billing Zip/Postal Code]])</f>
        <v>4501 Beverly Ave,, Jacksonville, FL, 32210</v>
      </c>
    </row>
    <row r="515" spans="1:13" ht="15.6" hidden="1" x14ac:dyDescent="0.3">
      <c r="A515" s="1" t="s">
        <v>1841</v>
      </c>
      <c r="B515" s="1"/>
      <c r="C515" s="1"/>
      <c r="D515" s="1"/>
      <c r="E515" s="1"/>
      <c r="F515" s="1"/>
      <c r="G515" s="1" t="s">
        <v>8</v>
      </c>
      <c r="H515" s="2">
        <v>439</v>
      </c>
      <c r="I515" s="1" t="s">
        <v>1842</v>
      </c>
      <c r="J515" s="1" t="s">
        <v>1843</v>
      </c>
      <c r="K515" s="1" t="s">
        <v>51</v>
      </c>
      <c r="L515" s="1" t="s">
        <v>1844</v>
      </c>
      <c r="M515" s="6" t="str">
        <f>_xlfn.CONCAT(Table1[[#This Row],[Billing Street]], ", ", Table1[[#This Row],[Billing City]], ", ", Table1[[#This Row],[Billing State/Province]], ", ", Table1[[#This Row],[Billing Zip/Postal Code]])</f>
        <v>200 W Church Street, Livingston, TX, 77351</v>
      </c>
    </row>
    <row r="516" spans="1:13" ht="15.6" hidden="1" x14ac:dyDescent="0.3">
      <c r="A516" s="1" t="s">
        <v>1845</v>
      </c>
      <c r="B516" s="1"/>
      <c r="C516" s="1"/>
      <c r="D516" s="1"/>
      <c r="E516" s="1"/>
      <c r="F516" s="1"/>
      <c r="G516" s="1" t="s">
        <v>8</v>
      </c>
      <c r="H516" s="2">
        <v>498</v>
      </c>
      <c r="I516" s="1" t="s">
        <v>1846</v>
      </c>
      <c r="J516" s="1" t="s">
        <v>1847</v>
      </c>
      <c r="K516" s="1" t="s">
        <v>51</v>
      </c>
      <c r="L516" s="1" t="s">
        <v>1848</v>
      </c>
      <c r="M516" s="6" t="str">
        <f>_xlfn.CONCAT(Table1[[#This Row],[Billing Street]], ", ", Table1[[#This Row],[Billing City]], ", ", Table1[[#This Row],[Billing State/Province]], ", ", Table1[[#This Row],[Billing Zip/Postal Code]])</f>
        <v>155 E Colorado St, LaGrange, TX, 78945</v>
      </c>
    </row>
    <row r="517" spans="1:13" ht="15.6" hidden="1" x14ac:dyDescent="0.3">
      <c r="A517" s="1" t="s">
        <v>1849</v>
      </c>
      <c r="B517" s="1"/>
      <c r="C517" s="1"/>
      <c r="D517" s="1"/>
      <c r="E517" s="1"/>
      <c r="F517" s="1"/>
      <c r="G517" s="1" t="s">
        <v>8</v>
      </c>
      <c r="H517" s="2">
        <v>149</v>
      </c>
      <c r="I517" s="1" t="s">
        <v>1850</v>
      </c>
      <c r="J517" s="1" t="s">
        <v>434</v>
      </c>
      <c r="K517" s="1" t="s">
        <v>147</v>
      </c>
      <c r="L517" s="1" t="s">
        <v>1851</v>
      </c>
      <c r="M517" s="6" t="str">
        <f>_xlfn.CONCAT(Table1[[#This Row],[Billing Street]], ", ", Table1[[#This Row],[Billing City]], ", ", Table1[[#This Row],[Billing State/Province]], ", ", Table1[[#This Row],[Billing Zip/Postal Code]])</f>
        <v>308 North East 27th Street, Oklahoma City, OK, 73105</v>
      </c>
    </row>
    <row r="518" spans="1:13" ht="15.6" hidden="1" x14ac:dyDescent="0.3">
      <c r="A518" s="1" t="s">
        <v>1852</v>
      </c>
      <c r="B518" s="1"/>
      <c r="C518" s="1"/>
      <c r="D518" s="1"/>
      <c r="E518" s="1"/>
      <c r="F518" s="1"/>
      <c r="G518" s="1" t="s">
        <v>8</v>
      </c>
      <c r="H518" s="2">
        <v>140</v>
      </c>
      <c r="I518" s="1" t="s">
        <v>1853</v>
      </c>
      <c r="J518" s="1" t="s">
        <v>1854</v>
      </c>
      <c r="K518" s="1" t="s">
        <v>147</v>
      </c>
      <c r="L518" s="1" t="s">
        <v>1855</v>
      </c>
      <c r="M518" s="6" t="str">
        <f>_xlfn.CONCAT(Table1[[#This Row],[Billing Street]], ", ", Table1[[#This Row],[Billing City]], ", ", Table1[[#This Row],[Billing State/Province]], ", ", Table1[[#This Row],[Billing Zip/Postal Code]])</f>
        <v>2701 W. I-35 Frontage Road, Edmond, OK, 73013</v>
      </c>
    </row>
    <row r="519" spans="1:13" ht="15.6" hidden="1" x14ac:dyDescent="0.3">
      <c r="A519" s="1" t="s">
        <v>1856</v>
      </c>
      <c r="B519" s="1"/>
      <c r="C519" s="1"/>
      <c r="D519" s="1"/>
      <c r="E519" s="1"/>
      <c r="F519" s="1"/>
      <c r="G519" s="1" t="s">
        <v>8</v>
      </c>
      <c r="H519" s="2">
        <v>272</v>
      </c>
      <c r="I519" s="1" t="s">
        <v>1857</v>
      </c>
      <c r="J519" s="1" t="s">
        <v>1858</v>
      </c>
      <c r="K519" s="1" t="s">
        <v>51</v>
      </c>
      <c r="L519" s="1" t="s">
        <v>1859</v>
      </c>
      <c r="M519" s="6" t="str">
        <f>_xlfn.CONCAT(Table1[[#This Row],[Billing Street]], ", ", Table1[[#This Row],[Billing City]], ", ", Table1[[#This Row],[Billing State/Province]], ", ", Table1[[#This Row],[Billing Zip/Postal Code]])</f>
        <v>6000 Joe Ramsey Blvd, Greenville, TX, 75402</v>
      </c>
    </row>
    <row r="520" spans="1:13" ht="15.6" hidden="1" x14ac:dyDescent="0.3">
      <c r="A520" s="1" t="s">
        <v>1860</v>
      </c>
      <c r="B520" s="1"/>
      <c r="C520" s="1"/>
      <c r="D520" s="1"/>
      <c r="E520" s="1"/>
      <c r="F520" s="1"/>
      <c r="G520" s="1" t="s">
        <v>8</v>
      </c>
      <c r="H520" s="2">
        <v>498</v>
      </c>
      <c r="I520" s="1" t="s">
        <v>1861</v>
      </c>
      <c r="J520" s="1" t="s">
        <v>1847</v>
      </c>
      <c r="K520" s="1" t="s">
        <v>51</v>
      </c>
      <c r="L520" s="1" t="s">
        <v>1848</v>
      </c>
      <c r="M520" s="6" t="str">
        <f>_xlfn.CONCAT(Table1[[#This Row],[Billing Street]], ", ", Table1[[#This Row],[Billing City]], ", ", Table1[[#This Row],[Billing State/Province]], ", ", Table1[[#This Row],[Billing Zip/Postal Code]])</f>
        <v>357 N Washington St, LaGrange, TX, 78945</v>
      </c>
    </row>
    <row r="521" spans="1:13" ht="15.6" hidden="1" x14ac:dyDescent="0.3">
      <c r="A521" s="1" t="s">
        <v>1862</v>
      </c>
      <c r="B521" s="1"/>
      <c r="C521" s="1"/>
      <c r="D521" s="1"/>
      <c r="E521" s="1"/>
      <c r="F521" s="1"/>
      <c r="G521" s="1" t="s">
        <v>8</v>
      </c>
      <c r="H521" s="2">
        <v>471</v>
      </c>
      <c r="I521" s="1" t="s">
        <v>1863</v>
      </c>
      <c r="J521" s="1" t="s">
        <v>1864</v>
      </c>
      <c r="K521" s="1" t="s">
        <v>51</v>
      </c>
      <c r="L521" s="1" t="s">
        <v>1865</v>
      </c>
      <c r="M521" s="6" t="str">
        <f>_xlfn.CONCAT(Table1[[#This Row],[Billing Street]], ", ", Table1[[#This Row],[Billing City]], ", ", Table1[[#This Row],[Billing State/Province]], ", ", Table1[[#This Row],[Billing Zip/Postal Code]])</f>
        <v>2530 Pulliam St, San Angelo, TX, 76902</v>
      </c>
    </row>
    <row r="522" spans="1:13" ht="15.6" x14ac:dyDescent="0.3">
      <c r="A522" s="1" t="s">
        <v>1866</v>
      </c>
      <c r="B522" s="1"/>
      <c r="C522" s="1"/>
      <c r="D522" s="1"/>
      <c r="E522" s="1"/>
      <c r="F522" s="1"/>
      <c r="G522" s="1" t="s">
        <v>24</v>
      </c>
      <c r="H522" s="2">
        <v>262</v>
      </c>
      <c r="I522" s="1" t="s">
        <v>1867</v>
      </c>
      <c r="J522" s="1" t="s">
        <v>1868</v>
      </c>
      <c r="K522" s="1" t="s">
        <v>31</v>
      </c>
      <c r="L522" s="1" t="s">
        <v>1869</v>
      </c>
      <c r="M522" s="6" t="str">
        <f>_xlfn.CONCAT(Table1[[#This Row],[Billing Street]], ", ", Table1[[#This Row],[Billing City]], ", ", Table1[[#This Row],[Billing State/Province]], ", ", Table1[[#This Row],[Billing Zip/Postal Code]])</f>
        <v>P.O.Box 560, Brookhaven, MS, 39602</v>
      </c>
    </row>
    <row r="523" spans="1:13" ht="15.6" hidden="1" x14ac:dyDescent="0.3">
      <c r="A523" s="1" t="s">
        <v>1870</v>
      </c>
      <c r="B523" s="1"/>
      <c r="C523" s="1"/>
      <c r="D523" s="1"/>
      <c r="E523" s="1"/>
      <c r="F523" s="1"/>
      <c r="G523" s="1" t="s">
        <v>8</v>
      </c>
      <c r="H523" s="2">
        <v>566</v>
      </c>
      <c r="I523" s="1" t="s">
        <v>1871</v>
      </c>
      <c r="J523" s="1" t="s">
        <v>1872</v>
      </c>
      <c r="K523" s="1" t="s">
        <v>51</v>
      </c>
      <c r="L523" s="1" t="s">
        <v>1873</v>
      </c>
      <c r="M523" s="6" t="str">
        <f>_xlfn.CONCAT(Table1[[#This Row],[Billing Street]], ", ", Table1[[#This Row],[Billing City]], ", ", Table1[[#This Row],[Billing State/Province]], ", ", Table1[[#This Row],[Billing Zip/Postal Code]])</f>
        <v>1146 Texas Highway 181 South, Floresville, TX, 78114</v>
      </c>
    </row>
    <row r="524" spans="1:13" ht="15.6" x14ac:dyDescent="0.3">
      <c r="A524" s="1" t="s">
        <v>1874</v>
      </c>
      <c r="B524" s="1"/>
      <c r="C524" s="1"/>
      <c r="D524" s="1"/>
      <c r="E524" s="1"/>
      <c r="F524" s="1"/>
      <c r="G524" s="1" t="s">
        <v>24</v>
      </c>
      <c r="H524" s="2">
        <v>353</v>
      </c>
      <c r="I524" s="1" t="s">
        <v>1875</v>
      </c>
      <c r="J524" s="1" t="s">
        <v>997</v>
      </c>
      <c r="K524" s="1" t="s">
        <v>577</v>
      </c>
      <c r="L524" s="1" t="s">
        <v>1876</v>
      </c>
      <c r="M524" s="6" t="str">
        <f>_xlfn.CONCAT(Table1[[#This Row],[Billing Street]], ", ", Table1[[#This Row],[Billing City]], ", ", Table1[[#This Row],[Billing State/Province]], ", ", Table1[[#This Row],[Billing Zip/Postal Code]])</f>
        <v>310 East Lewis Street, Lafayette, LA, 70503</v>
      </c>
    </row>
    <row r="525" spans="1:13" ht="15.6" x14ac:dyDescent="0.3">
      <c r="A525" s="1" t="s">
        <v>1877</v>
      </c>
      <c r="B525" s="1"/>
      <c r="C525" s="1"/>
      <c r="D525" s="1"/>
      <c r="E525" s="1"/>
      <c r="F525" s="1"/>
      <c r="G525" s="1" t="s">
        <v>24</v>
      </c>
      <c r="H525" s="2">
        <v>174</v>
      </c>
      <c r="I525" s="1" t="s">
        <v>1878</v>
      </c>
      <c r="J525" s="1" t="s">
        <v>981</v>
      </c>
      <c r="K525" s="1" t="s">
        <v>31</v>
      </c>
      <c r="L525" s="1" t="s">
        <v>1879</v>
      </c>
      <c r="M525" s="6" t="str">
        <f>_xlfn.CONCAT(Table1[[#This Row],[Billing Street]], ", ", Table1[[#This Row],[Billing City]], ", ", Table1[[#This Row],[Billing State/Province]], ", ", Table1[[#This Row],[Billing Zip/Postal Code]])</f>
        <v>10194 Lorraine RD., Gulfport, MS, 39503</v>
      </c>
    </row>
    <row r="526" spans="1:13" ht="15.6" x14ac:dyDescent="0.3">
      <c r="A526" s="1" t="s">
        <v>1880</v>
      </c>
      <c r="B526" s="1"/>
      <c r="C526" s="1"/>
      <c r="D526" s="1"/>
      <c r="E526" s="1"/>
      <c r="F526" s="1"/>
      <c r="G526" s="1" t="s">
        <v>24</v>
      </c>
      <c r="H526" s="2">
        <v>288</v>
      </c>
      <c r="I526" s="1" t="s">
        <v>1881</v>
      </c>
      <c r="J526" s="1" t="s">
        <v>1882</v>
      </c>
      <c r="K526" s="1" t="s">
        <v>36</v>
      </c>
      <c r="L526" s="1" t="s">
        <v>1883</v>
      </c>
      <c r="M526" s="6" t="str">
        <f>_xlfn.CONCAT(Table1[[#This Row],[Billing Street]], ", ", Table1[[#This Row],[Billing City]], ", ", Table1[[#This Row],[Billing State/Province]], ", ", Table1[[#This Row],[Billing Zip/Postal Code]])</f>
        <v>1746 US Hwy 441, Leesburg, FL, 34748</v>
      </c>
    </row>
    <row r="527" spans="1:13" ht="15.6" hidden="1" x14ac:dyDescent="0.3">
      <c r="A527" s="1" t="s">
        <v>1884</v>
      </c>
      <c r="B527" s="1"/>
      <c r="C527" s="1"/>
      <c r="D527" s="1"/>
      <c r="E527" s="1"/>
      <c r="F527" s="1"/>
      <c r="G527" s="1" t="s">
        <v>205</v>
      </c>
      <c r="H527" s="2">
        <v>2</v>
      </c>
      <c r="I527" s="1" t="s">
        <v>1885</v>
      </c>
      <c r="J527" s="1" t="s">
        <v>518</v>
      </c>
      <c r="K527" s="1" t="s">
        <v>479</v>
      </c>
      <c r="L527" s="1" t="s">
        <v>1886</v>
      </c>
      <c r="M527" s="6" t="str">
        <f>_xlfn.CONCAT(Table1[[#This Row],[Billing Street]], ", ", Table1[[#This Row],[Billing City]], ", ", Table1[[#This Row],[Billing State/Province]], ", ", Table1[[#This Row],[Billing Zip/Postal Code]])</f>
        <v>1945 East Jackson, Phoenix, AZ, 85034</v>
      </c>
    </row>
    <row r="528" spans="1:13" ht="15.6" hidden="1" x14ac:dyDescent="0.3">
      <c r="A528" s="1" t="s">
        <v>1887</v>
      </c>
      <c r="B528" s="1"/>
      <c r="C528" s="1"/>
      <c r="D528" s="1"/>
      <c r="E528" s="1"/>
      <c r="F528" s="1"/>
      <c r="G528" s="1" t="s">
        <v>8</v>
      </c>
      <c r="H528" s="2">
        <v>6528</v>
      </c>
      <c r="I528" s="1" t="s">
        <v>13</v>
      </c>
      <c r="J528" s="1" t="s">
        <v>13</v>
      </c>
      <c r="K528" s="1" t="s">
        <v>51</v>
      </c>
      <c r="L528" s="1" t="s">
        <v>13</v>
      </c>
      <c r="M528" s="6" t="str">
        <f>_xlfn.CONCAT(Table1[[#This Row],[Billing Street]], ", ", Table1[[#This Row],[Billing City]], ", ", Table1[[#This Row],[Billing State/Province]], ", ", Table1[[#This Row],[Billing Zip/Postal Code]])</f>
        <v xml:space="preserve">, , TX, </v>
      </c>
    </row>
    <row r="529" spans="1:13" ht="15.6" x14ac:dyDescent="0.3">
      <c r="A529" s="1" t="s">
        <v>1888</v>
      </c>
      <c r="B529" s="1"/>
      <c r="C529" s="1"/>
      <c r="D529" s="1"/>
      <c r="E529" s="1"/>
      <c r="F529" s="1"/>
      <c r="G529" s="1" t="s">
        <v>24</v>
      </c>
      <c r="H529" s="2">
        <v>686</v>
      </c>
      <c r="I529" s="1" t="s">
        <v>1889</v>
      </c>
      <c r="J529" s="1" t="s">
        <v>1890</v>
      </c>
      <c r="K529" s="1" t="s">
        <v>51</v>
      </c>
      <c r="L529" s="1" t="s">
        <v>1891</v>
      </c>
      <c r="M529" s="6" t="str">
        <f>_xlfn.CONCAT(Table1[[#This Row],[Billing Street]], ", ", Table1[[#This Row],[Billing City]], ", ", Table1[[#This Row],[Billing State/Province]], ", ", Table1[[#This Row],[Billing Zip/Postal Code]])</f>
        <v>11799 W. US Hwy 82, Muenster, TX, 76252</v>
      </c>
    </row>
    <row r="530" spans="1:13" ht="15.6" hidden="1" x14ac:dyDescent="0.3">
      <c r="A530" s="1" t="s">
        <v>1892</v>
      </c>
      <c r="B530" s="1"/>
      <c r="C530" s="1"/>
      <c r="D530" s="1"/>
      <c r="E530" s="1"/>
      <c r="F530" s="1"/>
      <c r="G530" s="1" t="s">
        <v>98</v>
      </c>
      <c r="H530" s="2">
        <v>251</v>
      </c>
      <c r="I530" s="1" t="s">
        <v>1893</v>
      </c>
      <c r="J530" s="1" t="s">
        <v>1894</v>
      </c>
      <c r="K530" s="1" t="s">
        <v>1178</v>
      </c>
      <c r="L530" s="1" t="s">
        <v>1895</v>
      </c>
      <c r="M530" s="6" t="str">
        <f>_xlfn.CONCAT(Table1[[#This Row],[Billing Street]], ", ", Table1[[#This Row],[Billing City]], ", ", Table1[[#This Row],[Billing State/Province]], ", ", Table1[[#This Row],[Billing Zip/Postal Code]])</f>
        <v>144 N 2nd St, Albemarle, NC, 28001</v>
      </c>
    </row>
    <row r="531" spans="1:13" ht="15.6" hidden="1" x14ac:dyDescent="0.3">
      <c r="A531" s="1" t="s">
        <v>1896</v>
      </c>
      <c r="B531" s="1"/>
      <c r="C531" s="1"/>
      <c r="D531" s="1"/>
      <c r="E531" s="1"/>
      <c r="F531" s="1"/>
      <c r="G531" s="1" t="s">
        <v>98</v>
      </c>
      <c r="H531" s="2">
        <v>198</v>
      </c>
      <c r="I531" s="1" t="s">
        <v>1897</v>
      </c>
      <c r="J531" s="1" t="s">
        <v>1898</v>
      </c>
      <c r="K531" s="1" t="s">
        <v>1178</v>
      </c>
      <c r="L531" s="1" t="s">
        <v>1899</v>
      </c>
      <c r="M531" s="6" t="str">
        <f>_xlfn.CONCAT(Table1[[#This Row],[Billing Street]], ", ", Table1[[#This Row],[Billing City]], ", ", Table1[[#This Row],[Billing State/Province]], ", ", Table1[[#This Row],[Billing Zip/Postal Code]])</f>
        <v>181 S South St., Gastonia, NC, 28052</v>
      </c>
    </row>
    <row r="532" spans="1:13" ht="15.6" hidden="1" x14ac:dyDescent="0.3">
      <c r="A532" s="1" t="s">
        <v>1900</v>
      </c>
      <c r="B532" s="1"/>
      <c r="C532" s="1"/>
      <c r="D532" s="1"/>
      <c r="E532" s="1"/>
      <c r="F532" s="1"/>
      <c r="G532" s="1" t="s">
        <v>98</v>
      </c>
      <c r="H532" s="2">
        <v>468</v>
      </c>
      <c r="I532" s="1" t="s">
        <v>1901</v>
      </c>
      <c r="J532" s="1" t="s">
        <v>1902</v>
      </c>
      <c r="K532" s="1" t="s">
        <v>1178</v>
      </c>
      <c r="L532" s="1" t="s">
        <v>1903</v>
      </c>
      <c r="M532" s="6" t="str">
        <f>_xlfn.CONCAT(Table1[[#This Row],[Billing Street]], ", ", Table1[[#This Row],[Billing City]], ", ", Table1[[#This Row],[Billing State/Province]], ", ", Table1[[#This Row],[Billing Zip/Postal Code]])</f>
        <v>125 Cooperative Way, Hertford, NC, 27944</v>
      </c>
    </row>
    <row r="533" spans="1:13" ht="15.6" x14ac:dyDescent="0.3">
      <c r="A533" s="1" t="s">
        <v>1904</v>
      </c>
      <c r="B533" s="1"/>
      <c r="C533" s="1"/>
      <c r="D533" s="1"/>
      <c r="E533" s="1"/>
      <c r="F533" s="1"/>
      <c r="G533" s="1" t="s">
        <v>24</v>
      </c>
      <c r="H533" s="2">
        <v>197</v>
      </c>
      <c r="I533" s="1" t="s">
        <v>1905</v>
      </c>
      <c r="J533" s="1" t="s">
        <v>372</v>
      </c>
      <c r="K533" s="1" t="s">
        <v>26</v>
      </c>
      <c r="L533" s="1" t="s">
        <v>1906</v>
      </c>
      <c r="M533" s="6" t="str">
        <f>_xlfn.CONCAT(Table1[[#This Row],[Billing Street]], ", ", Table1[[#This Row],[Billing City]], ", ", Table1[[#This Row],[Billing State/Province]], ", ", Table1[[#This Row],[Billing Zip/Postal Code]])</f>
        <v>3405 4th Ave S, Birmingham, AL, 35222</v>
      </c>
    </row>
    <row r="534" spans="1:13" ht="15.6" hidden="1" x14ac:dyDescent="0.3">
      <c r="A534" s="1" t="s">
        <v>1907</v>
      </c>
      <c r="B534" s="1"/>
      <c r="C534" s="1"/>
      <c r="D534" s="1"/>
      <c r="E534" s="1"/>
      <c r="F534" s="1"/>
      <c r="G534" s="1" t="s">
        <v>8</v>
      </c>
      <c r="H534" s="2">
        <v>511</v>
      </c>
      <c r="I534" s="1" t="s">
        <v>1908</v>
      </c>
      <c r="J534" s="1" t="s">
        <v>1909</v>
      </c>
      <c r="K534" s="1" t="s">
        <v>1439</v>
      </c>
      <c r="L534" s="1" t="s">
        <v>1910</v>
      </c>
      <c r="M534" s="6" t="str">
        <f>_xlfn.CONCAT(Table1[[#This Row],[Billing Street]], ", ", Table1[[#This Row],[Billing City]], ", ", Table1[[#This Row],[Billing State/Province]], ", ", Table1[[#This Row],[Billing Zip/Postal Code]])</f>
        <v>11831 W Fairmont Parkway, La Porte, Tx, 77571</v>
      </c>
    </row>
    <row r="535" spans="1:13" ht="15.6" hidden="1" x14ac:dyDescent="0.3">
      <c r="A535" s="1" t="s">
        <v>1911</v>
      </c>
      <c r="B535" s="1"/>
      <c r="C535" s="1"/>
      <c r="D535" s="1"/>
      <c r="E535" s="1"/>
      <c r="F535" s="1"/>
      <c r="G535" s="1" t="s">
        <v>8</v>
      </c>
      <c r="H535" s="2">
        <v>307</v>
      </c>
      <c r="I535" s="1" t="s">
        <v>1912</v>
      </c>
      <c r="J535" s="1" t="s">
        <v>1913</v>
      </c>
      <c r="K535" s="1" t="s">
        <v>51</v>
      </c>
      <c r="L535" s="1" t="s">
        <v>1914</v>
      </c>
      <c r="M535" s="6" t="str">
        <f>_xlfn.CONCAT(Table1[[#This Row],[Billing Street]], ", ", Table1[[#This Row],[Billing City]], ", ", Table1[[#This Row],[Billing State/Province]], ", ", Table1[[#This Row],[Billing Zip/Postal Code]])</f>
        <v>7125 Belton Street, Richland Hills, TX, 76118</v>
      </c>
    </row>
    <row r="536" spans="1:13" ht="15.6" hidden="1" x14ac:dyDescent="0.3">
      <c r="A536" s="1" t="s">
        <v>1915</v>
      </c>
      <c r="B536" s="1"/>
      <c r="C536" s="1"/>
      <c r="D536" s="1"/>
      <c r="E536" s="1"/>
      <c r="F536" s="1"/>
      <c r="G536" s="1" t="s">
        <v>8</v>
      </c>
      <c r="H536" s="2">
        <v>393</v>
      </c>
      <c r="I536" s="1" t="s">
        <v>1916</v>
      </c>
      <c r="J536" s="1" t="s">
        <v>1917</v>
      </c>
      <c r="K536" s="1" t="s">
        <v>51</v>
      </c>
      <c r="L536" s="1" t="s">
        <v>13</v>
      </c>
      <c r="M536" s="6" t="str">
        <f>_xlfn.CONCAT(Table1[[#This Row],[Billing Street]], ", ", Table1[[#This Row],[Billing City]], ", ", Table1[[#This Row],[Billing State/Province]], ", ", Table1[[#This Row],[Billing Zip/Postal Code]])</f>
        <v xml:space="preserve">201 W. Wrights Avenue, Comanche, TX, </v>
      </c>
    </row>
    <row r="537" spans="1:13" ht="15.6" hidden="1" x14ac:dyDescent="0.3">
      <c r="A537" s="1" t="s">
        <v>1918</v>
      </c>
      <c r="B537" s="1"/>
      <c r="C537" s="1"/>
      <c r="D537" s="1"/>
      <c r="E537" s="1"/>
      <c r="F537" s="1"/>
      <c r="G537" s="1" t="s">
        <v>43</v>
      </c>
      <c r="H537" s="2">
        <v>457</v>
      </c>
      <c r="I537" s="1" t="s">
        <v>1919</v>
      </c>
      <c r="J537" s="1" t="s">
        <v>1920</v>
      </c>
      <c r="K537" s="1" t="s">
        <v>133</v>
      </c>
      <c r="L537" s="1" t="s">
        <v>1921</v>
      </c>
      <c r="M537" s="6" t="str">
        <f>_xlfn.CONCAT(Table1[[#This Row],[Billing Street]], ", ", Table1[[#This Row],[Billing City]], ", ", Table1[[#This Row],[Billing State/Province]], ", ", Table1[[#This Row],[Billing Zip/Postal Code]])</f>
        <v>10401 Lystul Rd, Rosholt, WI, 54473</v>
      </c>
    </row>
    <row r="538" spans="1:13" ht="15.6" hidden="1" x14ac:dyDescent="0.3">
      <c r="A538" s="1" t="s">
        <v>1922</v>
      </c>
      <c r="B538" s="1"/>
      <c r="C538" s="1"/>
      <c r="D538" s="1"/>
      <c r="E538" s="1"/>
      <c r="F538" s="1"/>
      <c r="G538" s="1" t="s">
        <v>43</v>
      </c>
      <c r="H538" s="2">
        <v>290</v>
      </c>
      <c r="I538" s="1" t="s">
        <v>1923</v>
      </c>
      <c r="J538" s="1" t="s">
        <v>1924</v>
      </c>
      <c r="K538" s="1" t="s">
        <v>1115</v>
      </c>
      <c r="L538" s="1" t="s">
        <v>1925</v>
      </c>
      <c r="M538" s="6" t="str">
        <f>_xlfn.CONCAT(Table1[[#This Row],[Billing Street]], ", ", Table1[[#This Row],[Billing City]], ", ", Table1[[#This Row],[Billing State/Province]], ", ", Table1[[#This Row],[Billing Zip/Postal Code]])</f>
        <v>31 Cooperative Way, Palmyra, VA, 22963</v>
      </c>
    </row>
    <row r="539" spans="1:13" ht="15.6" hidden="1" x14ac:dyDescent="0.3">
      <c r="A539" s="1" t="s">
        <v>1926</v>
      </c>
      <c r="B539" s="1"/>
      <c r="C539" s="1"/>
      <c r="D539" s="1"/>
      <c r="E539" s="1"/>
      <c r="F539" s="1"/>
      <c r="G539" s="1" t="s">
        <v>13</v>
      </c>
      <c r="H539" s="2">
        <v>0</v>
      </c>
      <c r="I539" s="1" t="s">
        <v>13</v>
      </c>
      <c r="J539" s="1" t="s">
        <v>13</v>
      </c>
      <c r="K539" s="1" t="s">
        <v>13</v>
      </c>
      <c r="L539" s="1" t="s">
        <v>13</v>
      </c>
      <c r="M539" s="6" t="str">
        <f>_xlfn.CONCAT(Table1[[#This Row],[Billing Street]], ", ", Table1[[#This Row],[Billing City]], ", ", Table1[[#This Row],[Billing State/Province]], ", ", Table1[[#This Row],[Billing Zip/Postal Code]])</f>
        <v xml:space="preserve">, , , </v>
      </c>
    </row>
    <row r="540" spans="1:13" ht="15.6" hidden="1" x14ac:dyDescent="0.3">
      <c r="A540" s="1" t="s">
        <v>1927</v>
      </c>
      <c r="B540" s="1"/>
      <c r="C540" s="1"/>
      <c r="D540" s="1"/>
      <c r="E540" s="1"/>
      <c r="F540" s="1"/>
      <c r="G540" s="1" t="s">
        <v>8</v>
      </c>
      <c r="H540" s="2">
        <v>333</v>
      </c>
      <c r="I540" s="1" t="s">
        <v>1928</v>
      </c>
      <c r="J540" s="1" t="s">
        <v>1929</v>
      </c>
      <c r="K540" s="1" t="s">
        <v>11</v>
      </c>
      <c r="L540" s="1" t="s">
        <v>1930</v>
      </c>
      <c r="M540" s="6" t="str">
        <f>_xlfn.CONCAT(Table1[[#This Row],[Billing Street]], ", ", Table1[[#This Row],[Billing City]], ", ", Table1[[#This Row],[Billing State/Province]], ", ", Table1[[#This Row],[Billing Zip/Postal Code]])</f>
        <v>107 East Malone, Sikeston, MO, 63801</v>
      </c>
    </row>
    <row r="541" spans="1:13" ht="15.6" hidden="1" x14ac:dyDescent="0.3">
      <c r="A541" s="1" t="s">
        <v>1931</v>
      </c>
      <c r="B541" s="1"/>
      <c r="C541" s="1"/>
      <c r="D541" s="1"/>
      <c r="E541" s="1"/>
      <c r="F541" s="1"/>
      <c r="G541" s="1" t="s">
        <v>8</v>
      </c>
      <c r="H541" s="2">
        <v>171</v>
      </c>
      <c r="I541" s="1" t="s">
        <v>1932</v>
      </c>
      <c r="J541" s="1" t="s">
        <v>401</v>
      </c>
      <c r="K541" s="1" t="s">
        <v>11</v>
      </c>
      <c r="L541" s="1" t="s">
        <v>1933</v>
      </c>
      <c r="M541" s="6" t="str">
        <f>_xlfn.CONCAT(Table1[[#This Row],[Billing Street]], ", ", Table1[[#This Row],[Billing City]], ", ", Table1[[#This Row],[Billing State/Province]], ", ", Table1[[#This Row],[Billing Zip/Postal Code]])</f>
        <v>7867 S. Hwy 13, PO Box 452, Higginsville, MO, 64037</v>
      </c>
    </row>
    <row r="542" spans="1:13" ht="15.6" hidden="1" x14ac:dyDescent="0.3">
      <c r="A542" s="1" t="s">
        <v>1934</v>
      </c>
      <c r="B542" s="1"/>
      <c r="C542" s="1"/>
      <c r="D542" s="1"/>
      <c r="E542" s="1"/>
      <c r="F542" s="1"/>
      <c r="G542" s="1" t="s">
        <v>43</v>
      </c>
      <c r="H542" s="2">
        <v>398</v>
      </c>
      <c r="I542" s="1" t="s">
        <v>1935</v>
      </c>
      <c r="J542" s="1" t="s">
        <v>1936</v>
      </c>
      <c r="K542" s="1" t="s">
        <v>152</v>
      </c>
      <c r="L542" s="1" t="s">
        <v>1937</v>
      </c>
      <c r="M542" s="6" t="str">
        <f>_xlfn.CONCAT(Table1[[#This Row],[Billing Street]], ", ", Table1[[#This Row],[Billing City]], ", ", Table1[[#This Row],[Billing State/Province]], ", ", Table1[[#This Row],[Billing Zip/Postal Code]])</f>
        <v>4005 Plank Road, Peru, IL, 61354</v>
      </c>
    </row>
    <row r="543" spans="1:13" ht="15.6" hidden="1" x14ac:dyDescent="0.3">
      <c r="A543" s="1" t="s">
        <v>1938</v>
      </c>
      <c r="B543" s="1"/>
      <c r="C543" s="1"/>
      <c r="D543" s="1"/>
      <c r="E543" s="1"/>
      <c r="F543" s="1"/>
      <c r="G543" s="1" t="s">
        <v>43</v>
      </c>
      <c r="H543" s="2">
        <v>451</v>
      </c>
      <c r="I543" s="1" t="s">
        <v>1939</v>
      </c>
      <c r="J543" s="1" t="s">
        <v>1940</v>
      </c>
      <c r="K543" s="1" t="s">
        <v>152</v>
      </c>
      <c r="L543" s="1" t="s">
        <v>1941</v>
      </c>
      <c r="M543" s="6" t="str">
        <f>_xlfn.CONCAT(Table1[[#This Row],[Billing Street]], ", ", Table1[[#This Row],[Billing City]], ", ", Table1[[#This Row],[Billing State/Province]], ", ", Table1[[#This Row],[Billing Zip/Postal Code]])</f>
        <v>930 S Fifth Ave, Canton, IL, 61520</v>
      </c>
    </row>
    <row r="544" spans="1:13" ht="15.6" x14ac:dyDescent="0.3">
      <c r="A544" s="1" t="s">
        <v>1942</v>
      </c>
      <c r="B544" s="1"/>
      <c r="C544" s="1"/>
      <c r="D544" s="1"/>
      <c r="E544" s="1"/>
      <c r="F544" s="1"/>
      <c r="G544" s="1" t="s">
        <v>24</v>
      </c>
      <c r="H544" s="2">
        <v>308</v>
      </c>
      <c r="I544" s="1" t="s">
        <v>1943</v>
      </c>
      <c r="J544" s="1" t="s">
        <v>1944</v>
      </c>
      <c r="K544" s="1" t="s">
        <v>36</v>
      </c>
      <c r="L544" s="1" t="s">
        <v>1945</v>
      </c>
      <c r="M544" s="6" t="str">
        <f>_xlfn.CONCAT(Table1[[#This Row],[Billing Street]], ", ", Table1[[#This Row],[Billing City]], ", ", Table1[[#This Row],[Billing State/Province]], ", ", Table1[[#This Row],[Billing Zip/Postal Code]])</f>
        <v>6550 New Tampa Hwy, Lakeland, FL, 33815</v>
      </c>
    </row>
    <row r="545" spans="1:13" ht="15.6" x14ac:dyDescent="0.3">
      <c r="A545" s="1" t="s">
        <v>1946</v>
      </c>
      <c r="B545" s="1"/>
      <c r="C545" s="1"/>
      <c r="D545" s="1"/>
      <c r="E545" s="1"/>
      <c r="F545" s="1"/>
      <c r="G545" s="1" t="s">
        <v>24</v>
      </c>
      <c r="H545" s="2">
        <v>56</v>
      </c>
      <c r="I545" s="1" t="s">
        <v>1947</v>
      </c>
      <c r="J545" s="1" t="s">
        <v>1948</v>
      </c>
      <c r="K545" s="1" t="s">
        <v>36</v>
      </c>
      <c r="L545" s="1" t="s">
        <v>1949</v>
      </c>
      <c r="M545" s="6" t="str">
        <f>_xlfn.CONCAT(Table1[[#This Row],[Billing Street]], ", ", Table1[[#This Row],[Billing City]], ", ", Table1[[#This Row],[Billing State/Province]], ", ", Table1[[#This Row],[Billing Zip/Postal Code]])</f>
        <v>1001 Mississippi Road, Tyndall AFB, FL, 32403</v>
      </c>
    </row>
    <row r="546" spans="1:13" ht="15.6" x14ac:dyDescent="0.3">
      <c r="A546" s="1" t="s">
        <v>1950</v>
      </c>
      <c r="B546" s="1"/>
      <c r="C546" s="1"/>
      <c r="D546" s="1"/>
      <c r="E546" s="1"/>
      <c r="F546" s="1"/>
      <c r="G546" s="1" t="s">
        <v>24</v>
      </c>
      <c r="H546" s="2">
        <v>276</v>
      </c>
      <c r="I546" s="1" t="s">
        <v>1951</v>
      </c>
      <c r="J546" s="1" t="s">
        <v>1668</v>
      </c>
      <c r="K546" s="1" t="s">
        <v>36</v>
      </c>
      <c r="L546" s="1" t="s">
        <v>1952</v>
      </c>
      <c r="M546" s="6" t="str">
        <f>_xlfn.CONCAT(Table1[[#This Row],[Billing Street]], ", ", Table1[[#This Row],[Billing City]], ", ", Table1[[#This Row],[Billing State/Province]], ", ", Table1[[#This Row],[Billing Zip/Postal Code]])</f>
        <v>6825 Phillips Industrial Blvd, Jacksonville, FL, 32256</v>
      </c>
    </row>
    <row r="547" spans="1:13" ht="15.6" hidden="1" x14ac:dyDescent="0.3">
      <c r="A547" s="1" t="s">
        <v>1953</v>
      </c>
      <c r="B547" s="1"/>
      <c r="C547" s="1"/>
      <c r="D547" s="1"/>
      <c r="E547" s="1"/>
      <c r="F547" s="1"/>
      <c r="G547" s="1" t="s">
        <v>43</v>
      </c>
      <c r="H547" s="2">
        <v>488</v>
      </c>
      <c r="I547" s="1" t="s">
        <v>1954</v>
      </c>
      <c r="J547" s="1" t="s">
        <v>1955</v>
      </c>
      <c r="K547" s="1" t="s">
        <v>152</v>
      </c>
      <c r="L547" s="1" t="s">
        <v>1956</v>
      </c>
      <c r="M547" s="6" t="str">
        <f>_xlfn.CONCAT(Table1[[#This Row],[Billing Street]], ", ", Table1[[#This Row],[Billing City]], ", ", Table1[[#This Row],[Billing State/Province]], ", ", Table1[[#This Row],[Billing Zip/Postal Code]])</f>
        <v>100 Lakefront Parkway, Edwardsville, IL, 62025</v>
      </c>
    </row>
    <row r="548" spans="1:13" ht="15.6" x14ac:dyDescent="0.3">
      <c r="A548" s="1" t="s">
        <v>1957</v>
      </c>
      <c r="B548" s="1"/>
      <c r="C548" s="1"/>
      <c r="D548" s="1"/>
      <c r="E548" s="1"/>
      <c r="F548" s="1"/>
      <c r="G548" s="1" t="s">
        <v>24</v>
      </c>
      <c r="H548" s="2">
        <v>334</v>
      </c>
      <c r="I548" s="1" t="s">
        <v>1958</v>
      </c>
      <c r="J548" s="1" t="s">
        <v>1959</v>
      </c>
      <c r="K548" s="1" t="s">
        <v>36</v>
      </c>
      <c r="L548" s="1" t="s">
        <v>1960</v>
      </c>
      <c r="M548" s="6" t="str">
        <f>_xlfn.CONCAT(Table1[[#This Row],[Billing Street]], ", ", Table1[[#This Row],[Billing City]], ", ", Table1[[#This Row],[Billing State/Province]], ", ", Table1[[#This Row],[Billing Zip/Postal Code]])</f>
        <v>2968 Hwy 17N, Bowling Green, FL, 33834</v>
      </c>
    </row>
    <row r="549" spans="1:13" ht="15.6" x14ac:dyDescent="0.3">
      <c r="A549" s="1" t="s">
        <v>1961</v>
      </c>
      <c r="B549" s="1"/>
      <c r="C549" s="1"/>
      <c r="D549" s="1"/>
      <c r="E549" s="1"/>
      <c r="F549" s="1"/>
      <c r="G549" s="1" t="s">
        <v>24</v>
      </c>
      <c r="H549" s="2">
        <v>260</v>
      </c>
      <c r="I549" s="1" t="s">
        <v>1962</v>
      </c>
      <c r="J549" s="1" t="s">
        <v>1668</v>
      </c>
      <c r="K549" s="1" t="s">
        <v>36</v>
      </c>
      <c r="L549" s="1" t="s">
        <v>1963</v>
      </c>
      <c r="M549" s="6" t="str">
        <f>_xlfn.CONCAT(Table1[[#This Row],[Billing Street]], ", ", Table1[[#This Row],[Billing City]], ", ", Table1[[#This Row],[Billing State/Province]], ", ", Table1[[#This Row],[Billing Zip/Postal Code]])</f>
        <v>10477 New Kings Rd, Jacksonville, FL, 32218</v>
      </c>
    </row>
    <row r="550" spans="1:13" ht="15.6" x14ac:dyDescent="0.3">
      <c r="A550" s="1" t="s">
        <v>1964</v>
      </c>
      <c r="B550" s="1"/>
      <c r="C550" s="1"/>
      <c r="D550" s="1"/>
      <c r="E550" s="1"/>
      <c r="F550" s="1"/>
      <c r="G550" s="1" t="s">
        <v>24</v>
      </c>
      <c r="H550" s="2">
        <v>433</v>
      </c>
      <c r="I550" s="1" t="s">
        <v>1965</v>
      </c>
      <c r="J550" s="1" t="s">
        <v>1966</v>
      </c>
      <c r="K550" s="1" t="s">
        <v>36</v>
      </c>
      <c r="L550" s="1" t="s">
        <v>1967</v>
      </c>
      <c r="M550" s="6" t="str">
        <f>_xlfn.CONCAT(Table1[[#This Row],[Billing Street]], ", ", Table1[[#This Row],[Billing City]], ", ", Table1[[#This Row],[Billing State/Province]], ", ", Table1[[#This Row],[Billing Zip/Postal Code]])</f>
        <v>801 SW ENTERPRISE WAY, STUART, FL, 34997</v>
      </c>
    </row>
    <row r="551" spans="1:13" ht="15.6" hidden="1" x14ac:dyDescent="0.3">
      <c r="A551" s="1" t="s">
        <v>1968</v>
      </c>
      <c r="B551" s="1"/>
      <c r="C551" s="1"/>
      <c r="D551" s="1"/>
      <c r="E551" s="1"/>
      <c r="F551" s="1"/>
      <c r="G551" s="1" t="s">
        <v>43</v>
      </c>
      <c r="H551" s="2">
        <v>261</v>
      </c>
      <c r="I551" s="1" t="s">
        <v>1969</v>
      </c>
      <c r="J551" s="1" t="s">
        <v>1970</v>
      </c>
      <c r="K551" s="1" t="s">
        <v>1191</v>
      </c>
      <c r="L551" s="1" t="s">
        <v>1971</v>
      </c>
      <c r="M551" s="6" t="str">
        <f>_xlfn.CONCAT(Table1[[#This Row],[Billing Street]], ", ", Table1[[#This Row],[Billing City]], ", ", Table1[[#This Row],[Billing State/Province]], ", ", Table1[[#This Row],[Billing Zip/Postal Code]])</f>
        <v>525 High Street, Paris, KY, 40361</v>
      </c>
    </row>
    <row r="552" spans="1:13" ht="15.6" x14ac:dyDescent="0.3">
      <c r="A552" s="1" t="s">
        <v>1972</v>
      </c>
      <c r="B552" s="1"/>
      <c r="C552" s="1"/>
      <c r="D552" s="1"/>
      <c r="E552" s="1"/>
      <c r="F552" s="1"/>
      <c r="G552" s="1" t="s">
        <v>24</v>
      </c>
      <c r="H552" s="2">
        <v>64</v>
      </c>
      <c r="I552" s="1" t="s">
        <v>1973</v>
      </c>
      <c r="J552" s="1" t="s">
        <v>1974</v>
      </c>
      <c r="K552" s="1" t="s">
        <v>36</v>
      </c>
      <c r="L552" s="1" t="s">
        <v>1975</v>
      </c>
      <c r="M552" s="6" t="str">
        <f>_xlfn.CONCAT(Table1[[#This Row],[Billing Street]], ", ", Table1[[#This Row],[Billing City]], ", ", Table1[[#This Row],[Billing State/Province]], ", ", Table1[[#This Row],[Billing Zip/Postal Code]])</f>
        <v>3425 HWY 4, Jay, FL, 32565</v>
      </c>
    </row>
    <row r="553" spans="1:13" ht="15.6" hidden="1" x14ac:dyDescent="0.3">
      <c r="A553" s="1" t="s">
        <v>1976</v>
      </c>
      <c r="B553" s="1"/>
      <c r="C553" s="1"/>
      <c r="D553" s="1"/>
      <c r="E553" s="1"/>
      <c r="F553" s="1"/>
      <c r="G553" s="1" t="s">
        <v>43</v>
      </c>
      <c r="H553" s="2">
        <v>228</v>
      </c>
      <c r="I553" s="1" t="s">
        <v>1977</v>
      </c>
      <c r="J553" s="1" t="s">
        <v>1978</v>
      </c>
      <c r="K553" s="1" t="s">
        <v>1191</v>
      </c>
      <c r="L553" s="1" t="s">
        <v>1979</v>
      </c>
      <c r="M553" s="6" t="str">
        <f>_xlfn.CONCAT(Table1[[#This Row],[Billing Street]], ", ", Table1[[#This Row],[Billing City]], ", ", Table1[[#This Row],[Billing State/Province]], ", ", Table1[[#This Row],[Billing Zip/Postal Code]])</f>
        <v>225 Roger Patton, Olive Hill, KY, 41164</v>
      </c>
    </row>
    <row r="554" spans="1:13" ht="15.6" x14ac:dyDescent="0.3">
      <c r="A554" s="1" t="s">
        <v>1980</v>
      </c>
      <c r="B554" s="1"/>
      <c r="C554" s="1"/>
      <c r="D554" s="1"/>
      <c r="E554" s="1"/>
      <c r="F554" s="1"/>
      <c r="G554" s="1" t="s">
        <v>24</v>
      </c>
      <c r="H554" s="2">
        <v>73</v>
      </c>
      <c r="I554" s="1" t="s">
        <v>1981</v>
      </c>
      <c r="J554" s="1" t="s">
        <v>715</v>
      </c>
      <c r="K554" s="1" t="s">
        <v>36</v>
      </c>
      <c r="L554" s="1" t="s">
        <v>1982</v>
      </c>
      <c r="M554" s="6" t="str">
        <f>_xlfn.CONCAT(Table1[[#This Row],[Billing Street]], ", ", Table1[[#This Row],[Billing City]], ", ", Table1[[#This Row],[Billing State/Province]], ", ", Table1[[#This Row],[Billing Zip/Postal Code]])</f>
        <v>3194 W Nine Mile Road, Pensacola, FL, 32534</v>
      </c>
    </row>
    <row r="555" spans="1:13" ht="15.6" x14ac:dyDescent="0.3">
      <c r="A555" s="1" t="s">
        <v>1983</v>
      </c>
      <c r="B555" s="1"/>
      <c r="C555" s="1"/>
      <c r="D555" s="1"/>
      <c r="E555" s="1"/>
      <c r="F555" s="1"/>
      <c r="G555" s="1" t="s">
        <v>24</v>
      </c>
      <c r="H555" s="2">
        <v>77</v>
      </c>
      <c r="I555" s="1" t="s">
        <v>1984</v>
      </c>
      <c r="J555" s="1" t="s">
        <v>715</v>
      </c>
      <c r="K555" s="1" t="s">
        <v>36</v>
      </c>
      <c r="L555" s="1" t="s">
        <v>1985</v>
      </c>
      <c r="M555" s="6" t="str">
        <f>_xlfn.CONCAT(Table1[[#This Row],[Billing Street]], ", ", Table1[[#This Row],[Billing City]], ", ", Table1[[#This Row],[Billing State/Province]], ", ", Table1[[#This Row],[Billing Zip/Postal Code]])</f>
        <v>6690 West Nine Mile Road, Pensacola, FL, 32526</v>
      </c>
    </row>
    <row r="556" spans="1:13" ht="15.6" x14ac:dyDescent="0.3">
      <c r="A556" s="1" t="s">
        <v>1986</v>
      </c>
      <c r="B556" s="1"/>
      <c r="C556" s="1"/>
      <c r="D556" s="1"/>
      <c r="E556" s="1"/>
      <c r="F556" s="1"/>
      <c r="G556" s="1" t="s">
        <v>24</v>
      </c>
      <c r="H556" s="2">
        <v>5988</v>
      </c>
      <c r="I556" s="1" t="s">
        <v>1987</v>
      </c>
      <c r="J556" s="1" t="s">
        <v>1988</v>
      </c>
      <c r="K556" s="1" t="s">
        <v>36</v>
      </c>
      <c r="L556" s="1" t="s">
        <v>1989</v>
      </c>
      <c r="M556" s="6" t="str">
        <f>_xlfn.CONCAT(Table1[[#This Row],[Billing Street]], ", ", Table1[[#This Row],[Billing City]], ", ", Table1[[#This Row],[Billing State/Province]], ", ", Table1[[#This Row],[Billing Zip/Postal Code]])</f>
        <v>uno waspan
managua, managua, FL, 11000</v>
      </c>
    </row>
    <row r="557" spans="1:13" ht="15.6" x14ac:dyDescent="0.3">
      <c r="A557" s="1" t="s">
        <v>1990</v>
      </c>
      <c r="B557" s="1"/>
      <c r="C557" s="1"/>
      <c r="D557" s="1"/>
      <c r="E557" s="1"/>
      <c r="F557" s="1"/>
      <c r="G557" s="1" t="s">
        <v>24</v>
      </c>
      <c r="H557" s="2">
        <v>5988</v>
      </c>
      <c r="I557" s="1" t="s">
        <v>13</v>
      </c>
      <c r="J557" s="1" t="s">
        <v>1668</v>
      </c>
      <c r="K557" s="1" t="s">
        <v>36</v>
      </c>
      <c r="L557" s="1" t="s">
        <v>13</v>
      </c>
      <c r="M557" s="6" t="str">
        <f>_xlfn.CONCAT(Table1[[#This Row],[Billing Street]], ", ", Table1[[#This Row],[Billing City]], ", ", Table1[[#This Row],[Billing State/Province]], ", ", Table1[[#This Row],[Billing Zip/Postal Code]])</f>
        <v xml:space="preserve">, Jacksonville, FL, </v>
      </c>
    </row>
    <row r="558" spans="1:13" ht="15.6" hidden="1" x14ac:dyDescent="0.3">
      <c r="A558" s="1" t="s">
        <v>1991</v>
      </c>
      <c r="B558" s="1"/>
      <c r="C558" s="1"/>
      <c r="D558" s="1"/>
      <c r="E558" s="1"/>
      <c r="F558" s="1"/>
      <c r="G558" s="1" t="s">
        <v>43</v>
      </c>
      <c r="H558" s="2">
        <v>313</v>
      </c>
      <c r="I558" s="1" t="s">
        <v>1992</v>
      </c>
      <c r="J558" s="1" t="s">
        <v>69</v>
      </c>
      <c r="K558" s="1" t="s">
        <v>1191</v>
      </c>
      <c r="L558" s="1" t="s">
        <v>1993</v>
      </c>
      <c r="M558" s="6" t="str">
        <f>_xlfn.CONCAT(Table1[[#This Row],[Billing Street]], ", ", Table1[[#This Row],[Billing City]], ", ", Table1[[#This Row],[Billing State/Province]], ", ", Table1[[#This Row],[Billing Zip/Postal Code]])</f>
        <v>4520 Poplar Level Road, Louisville, KY, 40213</v>
      </c>
    </row>
    <row r="559" spans="1:13" ht="15.6" x14ac:dyDescent="0.3">
      <c r="A559" s="1" t="s">
        <v>1994</v>
      </c>
      <c r="B559" s="1"/>
      <c r="C559" s="1"/>
      <c r="D559" s="1"/>
      <c r="E559" s="1"/>
      <c r="F559" s="1"/>
      <c r="G559" s="1" t="s">
        <v>24</v>
      </c>
      <c r="H559" s="2">
        <v>5988</v>
      </c>
      <c r="I559" s="1" t="s">
        <v>13</v>
      </c>
      <c r="J559" s="1" t="s">
        <v>1995</v>
      </c>
      <c r="K559" s="1" t="s">
        <v>36</v>
      </c>
      <c r="L559" s="1" t="s">
        <v>13</v>
      </c>
      <c r="M559" s="6" t="str">
        <f>_xlfn.CONCAT(Table1[[#This Row],[Billing Street]], ", ", Table1[[#This Row],[Billing City]], ", ", Table1[[#This Row],[Billing State/Province]], ", ", Table1[[#This Row],[Billing Zip/Postal Code]])</f>
        <v xml:space="preserve">, jacksonville, FL, </v>
      </c>
    </row>
    <row r="560" spans="1:13" ht="15.6" hidden="1" x14ac:dyDescent="0.3">
      <c r="A560" s="1" t="s">
        <v>1996</v>
      </c>
      <c r="B560" s="1"/>
      <c r="C560" s="1"/>
      <c r="D560" s="1"/>
      <c r="E560" s="1"/>
      <c r="F560" s="1"/>
      <c r="G560" s="1" t="s">
        <v>98</v>
      </c>
      <c r="H560" s="2">
        <v>30</v>
      </c>
      <c r="I560" s="1" t="s">
        <v>1997</v>
      </c>
      <c r="J560" s="1" t="s">
        <v>1998</v>
      </c>
      <c r="K560" s="1" t="s">
        <v>101</v>
      </c>
      <c r="L560" s="1" t="s">
        <v>1999</v>
      </c>
      <c r="M560" s="6" t="str">
        <f>_xlfn.CONCAT(Table1[[#This Row],[Billing Street]], ", ", Table1[[#This Row],[Billing City]], ", ", Table1[[#This Row],[Billing State/Province]], ", ", Table1[[#This Row],[Billing Zip/Postal Code]])</f>
        <v>106 Howell Avenue, Fairburn, GA, 30213</v>
      </c>
    </row>
    <row r="561" spans="1:13" ht="15.6" hidden="1" x14ac:dyDescent="0.3">
      <c r="A561" s="1" t="s">
        <v>2000</v>
      </c>
      <c r="B561" s="1"/>
      <c r="C561" s="1"/>
      <c r="D561" s="1"/>
      <c r="E561" s="1"/>
      <c r="F561" s="1"/>
      <c r="G561" s="1" t="s">
        <v>98</v>
      </c>
      <c r="H561" s="2">
        <v>35</v>
      </c>
      <c r="I561" s="1" t="s">
        <v>2001</v>
      </c>
      <c r="J561" s="1" t="s">
        <v>2002</v>
      </c>
      <c r="K561" s="1" t="s">
        <v>101</v>
      </c>
      <c r="L561" s="1" t="s">
        <v>2003</v>
      </c>
      <c r="M561" s="6" t="str">
        <f>_xlfn.CONCAT(Table1[[#This Row],[Billing Street]], ", ", Table1[[#This Row],[Billing City]], ", ", Table1[[#This Row],[Billing State/Province]], ", ", Table1[[#This Row],[Billing Zip/Postal Code]])</f>
        <v>509 Toombs Street, Palmetto, GA, 30268</v>
      </c>
    </row>
    <row r="562" spans="1:13" ht="15.6" hidden="1" x14ac:dyDescent="0.3">
      <c r="A562" s="1" t="s">
        <v>2004</v>
      </c>
      <c r="B562" s="1"/>
      <c r="C562" s="1"/>
      <c r="D562" s="1"/>
      <c r="E562" s="1"/>
      <c r="F562" s="1"/>
      <c r="G562" s="1" t="s">
        <v>98</v>
      </c>
      <c r="H562" s="2">
        <v>15</v>
      </c>
      <c r="I562" s="1" t="s">
        <v>2005</v>
      </c>
      <c r="J562" s="1" t="s">
        <v>2006</v>
      </c>
      <c r="K562" s="1" t="s">
        <v>101</v>
      </c>
      <c r="L562" s="1" t="s">
        <v>2007</v>
      </c>
      <c r="M562" s="6" t="str">
        <f>_xlfn.CONCAT(Table1[[#This Row],[Billing Street]], ", ", Table1[[#This Row],[Billing City]], ", ", Table1[[#This Row],[Billing State/Province]], ", ", Table1[[#This Row],[Billing Zip/Postal Code]])</f>
        <v>18 SOUTH CLAYTON STREET, LAWRENCEVILLE, GA, 30046</v>
      </c>
    </row>
    <row r="563" spans="1:13" ht="15.6" hidden="1" x14ac:dyDescent="0.3">
      <c r="A563" s="1" t="s">
        <v>2008</v>
      </c>
      <c r="B563" s="1"/>
      <c r="C563" s="1"/>
      <c r="D563" s="1"/>
      <c r="E563" s="1"/>
      <c r="F563" s="1"/>
      <c r="G563" s="1" t="s">
        <v>98</v>
      </c>
      <c r="H563" s="2">
        <v>5887</v>
      </c>
      <c r="I563" s="1" t="s">
        <v>2009</v>
      </c>
      <c r="J563" s="1" t="s">
        <v>2010</v>
      </c>
      <c r="K563" s="1" t="s">
        <v>101</v>
      </c>
      <c r="L563" s="1" t="s">
        <v>13</v>
      </c>
      <c r="M563" s="6" t="str">
        <f>_xlfn.CONCAT(Table1[[#This Row],[Billing Street]], ", ", Table1[[#This Row],[Billing City]], ", ", Table1[[#This Row],[Billing State/Province]], ", ", Table1[[#This Row],[Billing Zip/Postal Code]])</f>
        <v xml:space="preserve">319 N. Smith St., Sandersville, GA, </v>
      </c>
    </row>
    <row r="564" spans="1:13" ht="15.6" hidden="1" x14ac:dyDescent="0.3">
      <c r="A564" s="1" t="s">
        <v>2011</v>
      </c>
      <c r="B564" s="1"/>
      <c r="C564" s="1"/>
      <c r="D564" s="1"/>
      <c r="E564" s="1"/>
      <c r="F564" s="1"/>
      <c r="G564" s="1" t="s">
        <v>98</v>
      </c>
      <c r="H564" s="2">
        <v>5887</v>
      </c>
      <c r="I564" s="1" t="s">
        <v>2012</v>
      </c>
      <c r="J564" s="1" t="s">
        <v>2013</v>
      </c>
      <c r="K564" s="1" t="s">
        <v>101</v>
      </c>
      <c r="L564" s="1" t="s">
        <v>13</v>
      </c>
      <c r="M564" s="6" t="str">
        <f>_xlfn.CONCAT(Table1[[#This Row],[Billing Street]], ", ", Table1[[#This Row],[Billing City]], ", ", Table1[[#This Row],[Billing State/Province]], ", ", Table1[[#This Row],[Billing Zip/Postal Code]])</f>
        <v xml:space="preserve">Hwy 129 North, Gray, GA, </v>
      </c>
    </row>
    <row r="565" spans="1:13" ht="15.6" hidden="1" x14ac:dyDescent="0.3">
      <c r="A565" s="1" t="s">
        <v>2014</v>
      </c>
      <c r="B565" s="1"/>
      <c r="C565" s="1"/>
      <c r="D565" s="1"/>
      <c r="E565" s="1"/>
      <c r="F565" s="1"/>
      <c r="G565" s="1" t="s">
        <v>8</v>
      </c>
      <c r="H565" s="2">
        <v>303</v>
      </c>
      <c r="I565" s="1" t="s">
        <v>2015</v>
      </c>
      <c r="J565" s="1" t="s">
        <v>2016</v>
      </c>
      <c r="K565" s="1" t="s">
        <v>2017</v>
      </c>
      <c r="L565" s="1" t="s">
        <v>2018</v>
      </c>
      <c r="M565" s="6" t="str">
        <f>_xlfn.CONCAT(Table1[[#This Row],[Billing Street]], ", ", Table1[[#This Row],[Billing City]], ", ", Table1[[#This Row],[Billing State/Province]], ", ", Table1[[#This Row],[Billing Zip/Postal Code]])</f>
        <v>630 Jeffco Blvd, Arnold, Missouri, 63010</v>
      </c>
    </row>
    <row r="566" spans="1:13" ht="15.6" hidden="1" x14ac:dyDescent="0.3">
      <c r="A566" s="1" t="s">
        <v>2019</v>
      </c>
      <c r="B566" s="1"/>
      <c r="C566" s="1"/>
      <c r="D566" s="1"/>
      <c r="E566" s="1"/>
      <c r="F566" s="1"/>
      <c r="G566" s="1" t="s">
        <v>13</v>
      </c>
      <c r="H566" s="2">
        <v>0</v>
      </c>
      <c r="I566" s="1" t="s">
        <v>2020</v>
      </c>
      <c r="J566" s="1" t="s">
        <v>13</v>
      </c>
      <c r="K566" s="1" t="s">
        <v>13</v>
      </c>
      <c r="L566" s="1" t="s">
        <v>13</v>
      </c>
      <c r="M566" s="6" t="str">
        <f>_xlfn.CONCAT(Table1[[#This Row],[Billing Street]], ", ", Table1[[#This Row],[Billing City]], ", ", Table1[[#This Row],[Billing State/Province]], ", ", Table1[[#This Row],[Billing Zip/Postal Code]])</f>
        <v xml:space="preserve">203 LAURENS ST SW, , , </v>
      </c>
    </row>
    <row r="567" spans="1:13" ht="15.6" hidden="1" x14ac:dyDescent="0.3">
      <c r="A567" s="1" t="s">
        <v>2021</v>
      </c>
      <c r="B567" s="1"/>
      <c r="C567" s="1"/>
      <c r="D567" s="1"/>
      <c r="E567" s="1"/>
      <c r="F567" s="1"/>
      <c r="G567" s="1" t="s">
        <v>43</v>
      </c>
      <c r="H567" s="2">
        <v>246</v>
      </c>
      <c r="I567" s="1" t="s">
        <v>2022</v>
      </c>
      <c r="J567" s="1" t="s">
        <v>2023</v>
      </c>
      <c r="K567" s="1" t="s">
        <v>82</v>
      </c>
      <c r="L567" s="1" t="s">
        <v>2024</v>
      </c>
      <c r="M567" s="6" t="str">
        <f>_xlfn.CONCAT(Table1[[#This Row],[Billing Street]], ", ", Table1[[#This Row],[Billing City]], ", ", Table1[[#This Row],[Billing State/Province]], ", ", Table1[[#This Row],[Billing Zip/Postal Code]])</f>
        <v>2204 Turner Avenue Northwest, Grand Rapids, MI, 49504</v>
      </c>
    </row>
    <row r="568" spans="1:13" ht="15.6" hidden="1" x14ac:dyDescent="0.3">
      <c r="A568" s="1" t="s">
        <v>2025</v>
      </c>
      <c r="B568" s="1"/>
      <c r="C568" s="1"/>
      <c r="D568" s="1"/>
      <c r="E568" s="1"/>
      <c r="F568" s="1"/>
      <c r="G568" s="1" t="s">
        <v>43</v>
      </c>
      <c r="H568" s="2">
        <v>108</v>
      </c>
      <c r="I568" s="1" t="s">
        <v>2026</v>
      </c>
      <c r="J568" s="1" t="s">
        <v>2027</v>
      </c>
      <c r="K568" s="1" t="s">
        <v>2028</v>
      </c>
      <c r="L568" s="1" t="s">
        <v>2029</v>
      </c>
      <c r="M568" s="6" t="str">
        <f>_xlfn.CONCAT(Table1[[#This Row],[Billing Street]], ", ", Table1[[#This Row],[Billing City]], ", ", Table1[[#This Row],[Billing State/Province]], ", ", Table1[[#This Row],[Billing Zip/Postal Code]])</f>
        <v>30400 E Broadway St, Walbridge, Ohio, 43465</v>
      </c>
    </row>
    <row r="569" spans="1:13" ht="15.6" hidden="1" x14ac:dyDescent="0.3">
      <c r="A569" s="1" t="s">
        <v>2030</v>
      </c>
      <c r="B569" s="1"/>
      <c r="C569" s="1"/>
      <c r="D569" s="1"/>
      <c r="E569" s="1"/>
      <c r="F569" s="1"/>
      <c r="G569" s="1" t="s">
        <v>43</v>
      </c>
      <c r="H569" s="2">
        <v>297</v>
      </c>
      <c r="I569" s="1" t="s">
        <v>2031</v>
      </c>
      <c r="J569" s="1" t="s">
        <v>2032</v>
      </c>
      <c r="K569" s="1" t="s">
        <v>237</v>
      </c>
      <c r="L569" s="1" t="s">
        <v>2033</v>
      </c>
      <c r="M569" s="6" t="str">
        <f>_xlfn.CONCAT(Table1[[#This Row],[Billing Street]], ", ", Table1[[#This Row],[Billing City]], ", ", Table1[[#This Row],[Billing State/Province]], ", ", Table1[[#This Row],[Billing Zip/Postal Code]])</f>
        <v>329 W. College St., Ladoga, IN, 47954</v>
      </c>
    </row>
    <row r="570" spans="1:13" ht="15.6" hidden="1" x14ac:dyDescent="0.3">
      <c r="A570" s="1" t="s">
        <v>2034</v>
      </c>
      <c r="B570" s="1"/>
      <c r="C570" s="1"/>
      <c r="D570" s="1"/>
      <c r="E570" s="1"/>
      <c r="F570" s="1"/>
      <c r="G570" s="1" t="s">
        <v>48</v>
      </c>
      <c r="H570" s="2">
        <v>0</v>
      </c>
      <c r="I570" s="1" t="s">
        <v>2035</v>
      </c>
      <c r="J570" s="1" t="s">
        <v>2036</v>
      </c>
      <c r="K570" s="1" t="s">
        <v>472</v>
      </c>
      <c r="L570" s="1" t="s">
        <v>2037</v>
      </c>
      <c r="M570" s="6" t="str">
        <f>_xlfn.CONCAT(Table1[[#This Row],[Billing Street]], ", ", Table1[[#This Row],[Billing City]], ", ", Table1[[#This Row],[Billing State/Province]], ", ", Table1[[#This Row],[Billing Zip/Postal Code]])</f>
        <v>2260 South West Temple, South Salt Lake, UT, 84115</v>
      </c>
    </row>
    <row r="571" spans="1:13" ht="15.6" hidden="1" x14ac:dyDescent="0.3">
      <c r="A571" s="1" t="s">
        <v>2038</v>
      </c>
      <c r="B571" s="1"/>
      <c r="C571" s="1"/>
      <c r="D571" s="1"/>
      <c r="E571" s="1"/>
      <c r="F571" s="1"/>
      <c r="G571" s="1" t="s">
        <v>13</v>
      </c>
      <c r="H571" s="2">
        <v>0</v>
      </c>
      <c r="I571" s="1" t="s">
        <v>13</v>
      </c>
      <c r="J571" s="1" t="s">
        <v>13</v>
      </c>
      <c r="K571" s="1" t="s">
        <v>13</v>
      </c>
      <c r="L571" s="1" t="s">
        <v>13</v>
      </c>
      <c r="M571" s="6" t="str">
        <f>_xlfn.CONCAT(Table1[[#This Row],[Billing Street]], ", ", Table1[[#This Row],[Billing City]], ", ", Table1[[#This Row],[Billing State/Province]], ", ", Table1[[#This Row],[Billing Zip/Postal Code]])</f>
        <v xml:space="preserve">, , , </v>
      </c>
    </row>
    <row r="572" spans="1:13" ht="15.6" hidden="1" x14ac:dyDescent="0.3">
      <c r="A572" s="1" t="s">
        <v>2039</v>
      </c>
      <c r="B572" s="1"/>
      <c r="C572" s="1"/>
      <c r="D572" s="1"/>
      <c r="E572" s="1"/>
      <c r="F572" s="1"/>
      <c r="G572" s="1" t="s">
        <v>48</v>
      </c>
      <c r="H572" s="2">
        <v>0</v>
      </c>
      <c r="I572" s="1" t="s">
        <v>2040</v>
      </c>
      <c r="J572" s="1" t="s">
        <v>2041</v>
      </c>
      <c r="K572" s="1" t="s">
        <v>152</v>
      </c>
      <c r="L572" s="1" t="s">
        <v>2042</v>
      </c>
      <c r="M572" s="6" t="str">
        <f>_xlfn.CONCAT(Table1[[#This Row],[Billing Street]], ", ", Table1[[#This Row],[Billing City]], ", ", Table1[[#This Row],[Billing State/Province]], ", ", Table1[[#This Row],[Billing Zip/Postal Code]])</f>
        <v>100 East Erie Street, Chicago, IL, 60611</v>
      </c>
    </row>
    <row r="573" spans="1:13" ht="15.6" x14ac:dyDescent="0.3">
      <c r="A573" s="1" t="s">
        <v>2043</v>
      </c>
      <c r="B573" s="1"/>
      <c r="C573" s="1"/>
      <c r="D573" s="1"/>
      <c r="E573" s="1"/>
      <c r="F573" s="1"/>
      <c r="G573" s="1" t="s">
        <v>24</v>
      </c>
      <c r="H573" s="2">
        <v>153</v>
      </c>
      <c r="I573" s="1" t="s">
        <v>2044</v>
      </c>
      <c r="J573" s="1" t="s">
        <v>542</v>
      </c>
      <c r="K573" s="1" t="s">
        <v>26</v>
      </c>
      <c r="L573" s="1" t="s">
        <v>2045</v>
      </c>
      <c r="M573" s="6" t="str">
        <f>_xlfn.CONCAT(Table1[[#This Row],[Billing Street]], ", ", Table1[[#This Row],[Billing City]], ", ", Table1[[#This Row],[Billing State/Province]], ", ", Table1[[#This Row],[Billing Zip/Postal Code]])</f>
        <v>215 7th Way, Alexander City, AL, 35010</v>
      </c>
    </row>
    <row r="574" spans="1:13" ht="15.6" hidden="1" x14ac:dyDescent="0.3">
      <c r="A574" s="1" t="s">
        <v>2046</v>
      </c>
      <c r="B574" s="1"/>
      <c r="C574" s="1"/>
      <c r="D574" s="1"/>
      <c r="E574" s="1"/>
      <c r="F574" s="1"/>
      <c r="G574" s="1" t="s">
        <v>54</v>
      </c>
      <c r="H574" s="2">
        <v>4</v>
      </c>
      <c r="I574" s="1" t="s">
        <v>2047</v>
      </c>
      <c r="J574" s="1" t="s">
        <v>2048</v>
      </c>
      <c r="K574" s="1" t="s">
        <v>57</v>
      </c>
      <c r="L574" s="1" t="s">
        <v>2049</v>
      </c>
      <c r="M574" s="6" t="str">
        <f>_xlfn.CONCAT(Table1[[#This Row],[Billing Street]], ", ", Table1[[#This Row],[Billing City]], ", ", Table1[[#This Row],[Billing State/Province]], ", ", Table1[[#This Row],[Billing Zip/Postal Code]])</f>
        <v>3203 Fletcher Drive, Los Angeles, CA, 90065</v>
      </c>
    </row>
    <row r="575" spans="1:13" ht="15.6" x14ac:dyDescent="0.3">
      <c r="A575" s="1" t="s">
        <v>2050</v>
      </c>
      <c r="B575" s="1"/>
      <c r="C575" s="1"/>
      <c r="D575" s="1"/>
      <c r="E575" s="1"/>
      <c r="F575" s="1"/>
      <c r="G575" s="1" t="s">
        <v>24</v>
      </c>
      <c r="H575" s="2">
        <v>428</v>
      </c>
      <c r="I575" s="1" t="s">
        <v>2051</v>
      </c>
      <c r="J575" s="1" t="s">
        <v>2052</v>
      </c>
      <c r="K575" s="1" t="s">
        <v>577</v>
      </c>
      <c r="L575" s="1" t="s">
        <v>2053</v>
      </c>
      <c r="M575" s="6" t="str">
        <f>_xlfn.CONCAT(Table1[[#This Row],[Billing Street]], ", ", Table1[[#This Row],[Billing City]], ", ", Table1[[#This Row],[Billing State/Province]], ", ", Table1[[#This Row],[Billing Zip/Postal Code]])</f>
        <v>1300 PPG Drive, Lake Charles, LA, 70669</v>
      </c>
    </row>
    <row r="576" spans="1:13" ht="15.6" hidden="1" x14ac:dyDescent="0.3">
      <c r="A576" s="1" t="s">
        <v>2054</v>
      </c>
      <c r="B576" s="1"/>
      <c r="C576" s="1"/>
      <c r="D576" s="1"/>
      <c r="E576" s="1"/>
      <c r="F576" s="1"/>
      <c r="G576" s="1" t="s">
        <v>8</v>
      </c>
      <c r="H576" s="2">
        <v>141</v>
      </c>
      <c r="I576" s="1" t="s">
        <v>2055</v>
      </c>
      <c r="J576" s="1" t="s">
        <v>1598</v>
      </c>
      <c r="K576" s="1" t="s">
        <v>554</v>
      </c>
      <c r="L576" s="1" t="s">
        <v>2056</v>
      </c>
      <c r="M576" s="6" t="str">
        <f>_xlfn.CONCAT(Table1[[#This Row],[Billing Street]], ", ", Table1[[#This Row],[Billing City]], ", ", Table1[[#This Row],[Billing State/Province]], ", ", Table1[[#This Row],[Billing Zip/Postal Code]])</f>
        <v>Northwest Highway 24 Road, Topeka, KS, 66608</v>
      </c>
    </row>
    <row r="577" spans="1:13" ht="15.6" hidden="1" x14ac:dyDescent="0.3">
      <c r="A577" s="1" t="s">
        <v>2057</v>
      </c>
      <c r="B577" s="1"/>
      <c r="C577" s="1"/>
      <c r="D577" s="1"/>
      <c r="E577" s="1"/>
      <c r="F577" s="1"/>
      <c r="G577" s="1" t="s">
        <v>43</v>
      </c>
      <c r="H577" s="2">
        <v>484</v>
      </c>
      <c r="I577" s="1" t="s">
        <v>2058</v>
      </c>
      <c r="J577" s="1" t="s">
        <v>2059</v>
      </c>
      <c r="K577" s="1" t="s">
        <v>152</v>
      </c>
      <c r="L577" s="1" t="s">
        <v>2060</v>
      </c>
      <c r="M577" s="6" t="str">
        <f>_xlfn.CONCAT(Table1[[#This Row],[Billing Street]], ", ", Table1[[#This Row],[Billing City]], ", ", Table1[[#This Row],[Billing State/Province]], ", ", Table1[[#This Row],[Billing Zip/Postal Code]])</f>
        <v>106 West 5th Street, Metropolis, IL, 62960</v>
      </c>
    </row>
    <row r="578" spans="1:13" ht="15.6" hidden="1" x14ac:dyDescent="0.3">
      <c r="A578" s="1" t="s">
        <v>2061</v>
      </c>
      <c r="B578" s="1"/>
      <c r="C578" s="1"/>
      <c r="D578" s="1"/>
      <c r="E578" s="1"/>
      <c r="F578" s="1"/>
      <c r="G578" s="1" t="s">
        <v>43</v>
      </c>
      <c r="H578" s="2">
        <v>214</v>
      </c>
      <c r="I578" s="1" t="s">
        <v>2062</v>
      </c>
      <c r="J578" s="1" t="s">
        <v>2063</v>
      </c>
      <c r="K578" s="1" t="s">
        <v>45</v>
      </c>
      <c r="L578" s="1" t="s">
        <v>2064</v>
      </c>
      <c r="M578" s="6" t="str">
        <f>_xlfn.CONCAT(Table1[[#This Row],[Billing Street]], ", ", Table1[[#This Row],[Billing City]], ", ", Table1[[#This Row],[Billing State/Province]], ", ", Table1[[#This Row],[Billing Zip/Postal Code]])</f>
        <v>301 S. Main Street, Georgetown, OH, 45121</v>
      </c>
    </row>
    <row r="579" spans="1:13" ht="15.6" hidden="1" x14ac:dyDescent="0.3">
      <c r="A579" s="1" t="s">
        <v>2065</v>
      </c>
      <c r="B579" s="1"/>
      <c r="C579" s="1"/>
      <c r="D579" s="1"/>
      <c r="E579" s="1"/>
      <c r="F579" s="1"/>
      <c r="G579" s="1" t="s">
        <v>8</v>
      </c>
      <c r="H579" s="2">
        <v>208</v>
      </c>
      <c r="I579" s="1" t="s">
        <v>2066</v>
      </c>
      <c r="J579" s="1" t="s">
        <v>13</v>
      </c>
      <c r="K579" s="1" t="s">
        <v>147</v>
      </c>
      <c r="L579" s="1" t="s">
        <v>2067</v>
      </c>
      <c r="M579" s="6" t="str">
        <f>_xlfn.CONCAT(Table1[[#This Row],[Billing Street]], ", ", Table1[[#This Row],[Billing City]], ", ", Table1[[#This Row],[Billing State/Province]], ", ", Table1[[#This Row],[Billing Zip/Postal Code]])</f>
        <v>IP Lane, , OK, 74764</v>
      </c>
    </row>
    <row r="580" spans="1:13" ht="15.6" hidden="1" x14ac:dyDescent="0.3">
      <c r="A580" s="1" t="s">
        <v>2068</v>
      </c>
      <c r="B580" s="1"/>
      <c r="C580" s="1"/>
      <c r="D580" s="1"/>
      <c r="E580" s="1"/>
      <c r="F580" s="1"/>
      <c r="G580" s="1" t="s">
        <v>8</v>
      </c>
      <c r="H580" s="2">
        <v>6528</v>
      </c>
      <c r="I580" s="1" t="s">
        <v>13</v>
      </c>
      <c r="J580" s="1" t="s">
        <v>13</v>
      </c>
      <c r="K580" s="1" t="s">
        <v>13</v>
      </c>
      <c r="L580" s="1" t="s">
        <v>13</v>
      </c>
      <c r="M580" s="6" t="str">
        <f>_xlfn.CONCAT(Table1[[#This Row],[Billing Street]], ", ", Table1[[#This Row],[Billing City]], ", ", Table1[[#This Row],[Billing State/Province]], ", ", Table1[[#This Row],[Billing Zip/Postal Code]])</f>
        <v xml:space="preserve">, , , </v>
      </c>
    </row>
    <row r="581" spans="1:13" ht="15.6" hidden="1" x14ac:dyDescent="0.3">
      <c r="A581" s="1" t="s">
        <v>2069</v>
      </c>
      <c r="B581" s="1"/>
      <c r="C581" s="1"/>
      <c r="D581" s="1"/>
      <c r="E581" s="1"/>
      <c r="F581" s="1"/>
      <c r="G581" s="1" t="s">
        <v>8</v>
      </c>
      <c r="H581" s="2">
        <v>6528</v>
      </c>
      <c r="I581" s="1" t="s">
        <v>13</v>
      </c>
      <c r="J581" s="1" t="s">
        <v>13</v>
      </c>
      <c r="K581" s="1" t="s">
        <v>13</v>
      </c>
      <c r="L581" s="1" t="s">
        <v>13</v>
      </c>
      <c r="M581" s="6" t="str">
        <f>_xlfn.CONCAT(Table1[[#This Row],[Billing Street]], ", ", Table1[[#This Row],[Billing City]], ", ", Table1[[#This Row],[Billing State/Province]], ", ", Table1[[#This Row],[Billing Zip/Postal Code]])</f>
        <v xml:space="preserve">, , , </v>
      </c>
    </row>
    <row r="582" spans="1:13" ht="15.6" hidden="1" x14ac:dyDescent="0.3">
      <c r="A582" s="1" t="s">
        <v>2070</v>
      </c>
      <c r="B582" s="1"/>
      <c r="C582" s="1"/>
      <c r="D582" s="1"/>
      <c r="E582" s="1"/>
      <c r="F582" s="1"/>
      <c r="G582" s="1" t="s">
        <v>43</v>
      </c>
      <c r="H582" s="2">
        <v>303</v>
      </c>
      <c r="I582" s="1" t="s">
        <v>2071</v>
      </c>
      <c r="J582" s="1" t="s">
        <v>2072</v>
      </c>
      <c r="K582" s="1" t="s">
        <v>241</v>
      </c>
      <c r="L582" s="1" t="s">
        <v>2073</v>
      </c>
      <c r="M582" s="6" t="str">
        <f>_xlfn.CONCAT(Table1[[#This Row],[Billing Street]], ", ", Table1[[#This Row],[Billing City]], ", ", Table1[[#This Row],[Billing State/Province]], ", ", Table1[[#This Row],[Billing Zip/Postal Code]])</f>
        <v>20 Cardinal Drive, Birdsboro, PA, 19508</v>
      </c>
    </row>
    <row r="583" spans="1:13" ht="15.6" hidden="1" x14ac:dyDescent="0.3">
      <c r="A583" s="1" t="s">
        <v>2074</v>
      </c>
      <c r="B583" s="1"/>
      <c r="C583" s="1"/>
      <c r="D583" s="1"/>
      <c r="E583" s="1"/>
      <c r="F583" s="1"/>
      <c r="G583" s="1" t="s">
        <v>43</v>
      </c>
      <c r="H583" s="2">
        <v>508</v>
      </c>
      <c r="I583" s="1" t="s">
        <v>2075</v>
      </c>
      <c r="J583" s="1" t="s">
        <v>2076</v>
      </c>
      <c r="K583" s="1" t="s">
        <v>1191</v>
      </c>
      <c r="L583" s="1" t="s">
        <v>2077</v>
      </c>
      <c r="M583" s="6" t="str">
        <f>_xlfn.CONCAT(Table1[[#This Row],[Billing Street]], ", ", Table1[[#This Row],[Billing City]], ", ", Table1[[#This Row],[Billing State/Province]], ", ", Table1[[#This Row],[Billing Zip/Postal Code]])</f>
        <v>225 Front St, Bardwell, KY, 42023</v>
      </c>
    </row>
    <row r="584" spans="1:13" ht="15.6" hidden="1" x14ac:dyDescent="0.3">
      <c r="A584" s="1" t="s">
        <v>2078</v>
      </c>
      <c r="B584" s="1"/>
      <c r="C584" s="1"/>
      <c r="D584" s="1"/>
      <c r="E584" s="1"/>
      <c r="F584" s="1"/>
      <c r="G584" s="1" t="s">
        <v>8</v>
      </c>
      <c r="H584" s="2">
        <v>0</v>
      </c>
      <c r="I584" s="1" t="s">
        <v>2079</v>
      </c>
      <c r="J584" s="1" t="s">
        <v>2080</v>
      </c>
      <c r="K584" s="1" t="s">
        <v>554</v>
      </c>
      <c r="L584" s="1" t="s">
        <v>2081</v>
      </c>
      <c r="M584" s="6" t="str">
        <f>_xlfn.CONCAT(Table1[[#This Row],[Billing Street]], ", ", Table1[[#This Row],[Billing City]], ", ", Table1[[#This Row],[Billing State/Province]], ", ", Table1[[#This Row],[Billing Zip/Postal Code]])</f>
        <v>616 Spring St, Coffeyville, KS, 67337</v>
      </c>
    </row>
    <row r="585" spans="1:13" ht="15.6" hidden="1" x14ac:dyDescent="0.3">
      <c r="A585" s="1" t="s">
        <v>2082</v>
      </c>
      <c r="B585" s="1"/>
      <c r="C585" s="1"/>
      <c r="D585" s="1"/>
      <c r="E585" s="1"/>
      <c r="F585" s="1"/>
      <c r="G585" s="1" t="s">
        <v>8</v>
      </c>
      <c r="H585" s="2">
        <v>122</v>
      </c>
      <c r="I585" s="1" t="s">
        <v>2083</v>
      </c>
      <c r="J585" s="1" t="s">
        <v>2084</v>
      </c>
      <c r="K585" s="1" t="s">
        <v>554</v>
      </c>
      <c r="L585" s="1" t="s">
        <v>2085</v>
      </c>
      <c r="M585" s="6" t="str">
        <f>_xlfn.CONCAT(Table1[[#This Row],[Billing Street]], ", ", Table1[[#This Row],[Billing City]], ", ", Table1[[#This Row],[Billing State/Province]], ", ", Table1[[#This Row],[Billing Zip/Postal Code]])</f>
        <v>1564 S. 1000 Rd, Council Grove, KS, 66846</v>
      </c>
    </row>
    <row r="586" spans="1:13" ht="15.6" hidden="1" x14ac:dyDescent="0.3">
      <c r="A586" s="1" t="s">
        <v>2086</v>
      </c>
      <c r="B586" s="1"/>
      <c r="C586" s="1"/>
      <c r="D586" s="1"/>
      <c r="E586" s="1"/>
      <c r="F586" s="1"/>
      <c r="G586" s="1" t="s">
        <v>8</v>
      </c>
      <c r="H586" s="2">
        <v>155</v>
      </c>
      <c r="I586" s="1" t="s">
        <v>2087</v>
      </c>
      <c r="J586" s="1" t="s">
        <v>2088</v>
      </c>
      <c r="K586" s="1" t="s">
        <v>554</v>
      </c>
      <c r="L586" s="1" t="s">
        <v>2089</v>
      </c>
      <c r="M586" s="6" t="str">
        <f>_xlfn.CONCAT(Table1[[#This Row],[Billing Street]], ", ", Table1[[#This Row],[Billing City]], ", ", Table1[[#This Row],[Billing State/Province]], ", ", Table1[[#This Row],[Billing Zip/Postal Code]])</f>
        <v>614 W US Highway 24, Wamego, KS, 66547</v>
      </c>
    </row>
    <row r="587" spans="1:13" ht="15.6" hidden="1" x14ac:dyDescent="0.3">
      <c r="A587" s="1" t="s">
        <v>2090</v>
      </c>
      <c r="B587" s="1"/>
      <c r="C587" s="1"/>
      <c r="D587" s="1"/>
      <c r="E587" s="1"/>
      <c r="F587" s="1"/>
      <c r="G587" s="1" t="s">
        <v>8</v>
      </c>
      <c r="H587" s="2">
        <v>361</v>
      </c>
      <c r="I587" s="1" t="s">
        <v>2091</v>
      </c>
      <c r="J587" s="1" t="s">
        <v>2092</v>
      </c>
      <c r="K587" s="1" t="s">
        <v>51</v>
      </c>
      <c r="L587" s="1" t="s">
        <v>2093</v>
      </c>
      <c r="M587" s="6" t="str">
        <f>_xlfn.CONCAT(Table1[[#This Row],[Billing Street]], ", ", Table1[[#This Row],[Billing City]], ", ", Table1[[#This Row],[Billing State/Province]], ", ", Table1[[#This Row],[Billing Zip/Postal Code]])</f>
        <v>456 Jacob Street, Timpson, TX, 75975</v>
      </c>
    </row>
    <row r="588" spans="1:13" ht="15.6" hidden="1" x14ac:dyDescent="0.3">
      <c r="A588" s="1" t="s">
        <v>2094</v>
      </c>
      <c r="B588" s="1"/>
      <c r="C588" s="1"/>
      <c r="D588" s="1"/>
      <c r="E588" s="1"/>
      <c r="F588" s="1"/>
      <c r="G588" s="1" t="s">
        <v>8</v>
      </c>
      <c r="H588" s="2">
        <v>475</v>
      </c>
      <c r="I588" s="1" t="s">
        <v>2095</v>
      </c>
      <c r="J588" s="1" t="s">
        <v>2096</v>
      </c>
      <c r="K588" s="1" t="s">
        <v>51</v>
      </c>
      <c r="L588" s="1" t="s">
        <v>2097</v>
      </c>
      <c r="M588" s="6" t="str">
        <f>_xlfn.CONCAT(Table1[[#This Row],[Billing Street]], ", ", Table1[[#This Row],[Billing City]], ", ", Table1[[#This Row],[Billing State/Province]], ", ", Table1[[#This Row],[Billing Zip/Postal Code]])</f>
        <v>2001 Timberloch PL, Spring, TX, 77380</v>
      </c>
    </row>
    <row r="589" spans="1:13" ht="15.6" hidden="1" x14ac:dyDescent="0.3">
      <c r="A589" s="1" t="s">
        <v>2098</v>
      </c>
      <c r="B589" s="1"/>
      <c r="C589" s="1"/>
      <c r="D589" s="1"/>
      <c r="E589" s="1"/>
      <c r="F589" s="1"/>
      <c r="G589" s="1" t="s">
        <v>8</v>
      </c>
      <c r="H589" s="2">
        <v>440</v>
      </c>
      <c r="I589" s="1" t="s">
        <v>2099</v>
      </c>
      <c r="J589" s="1" t="s">
        <v>2100</v>
      </c>
      <c r="K589" s="1" t="s">
        <v>51</v>
      </c>
      <c r="L589" s="1" t="s">
        <v>2101</v>
      </c>
      <c r="M589" s="6" t="str">
        <f>_xlfn.CONCAT(Table1[[#This Row],[Billing Street]], ", ", Table1[[#This Row],[Billing City]], ", ", Table1[[#This Row],[Billing State/Province]], ", ", Table1[[#This Row],[Billing Zip/Postal Code]])</f>
        <v>1807 Main, Tahoka, TX, 79373</v>
      </c>
    </row>
    <row r="590" spans="1:13" ht="15.6" hidden="1" x14ac:dyDescent="0.3">
      <c r="A590" s="1" t="s">
        <v>2102</v>
      </c>
      <c r="B590" s="1"/>
      <c r="C590" s="1"/>
      <c r="D590" s="1"/>
      <c r="E590" s="1"/>
      <c r="F590" s="1"/>
      <c r="G590" s="1" t="s">
        <v>8</v>
      </c>
      <c r="H590" s="2">
        <v>494</v>
      </c>
      <c r="I590" s="1" t="s">
        <v>2103</v>
      </c>
      <c r="J590" s="1" t="s">
        <v>2104</v>
      </c>
      <c r="K590" s="1" t="s">
        <v>51</v>
      </c>
      <c r="L590" s="1" t="s">
        <v>2105</v>
      </c>
      <c r="M590" s="6" t="str">
        <f>_xlfn.CONCAT(Table1[[#This Row],[Billing Street]], ", ", Table1[[#This Row],[Billing City]], ", ", Table1[[#This Row],[Billing State/Province]], ", ", Table1[[#This Row],[Billing Zip/Postal Code]])</f>
        <v>317 Main Street, Smithville, TX, 78957</v>
      </c>
    </row>
    <row r="591" spans="1:13" ht="15.6" hidden="1" x14ac:dyDescent="0.3">
      <c r="A591" s="1" t="s">
        <v>2106</v>
      </c>
      <c r="B591" s="1"/>
      <c r="C591" s="1"/>
      <c r="D591" s="1"/>
      <c r="E591" s="1"/>
      <c r="F591" s="1"/>
      <c r="G591" s="1" t="s">
        <v>8</v>
      </c>
      <c r="H591" s="2">
        <v>631</v>
      </c>
      <c r="I591" s="1" t="s">
        <v>2107</v>
      </c>
      <c r="J591" s="1" t="s">
        <v>2108</v>
      </c>
      <c r="K591" s="1" t="s">
        <v>51</v>
      </c>
      <c r="L591" s="1" t="s">
        <v>2109</v>
      </c>
      <c r="M591" s="6" t="str">
        <f>_xlfn.CONCAT(Table1[[#This Row],[Billing Street]], ", ", Table1[[#This Row],[Billing City]], ", ", Table1[[#This Row],[Billing State/Province]], ", ", Table1[[#This Row],[Billing Zip/Postal Code]])</f>
        <v>402 E Sinton St, Sinton, TX, 78387</v>
      </c>
    </row>
    <row r="592" spans="1:13" ht="15.6" hidden="1" x14ac:dyDescent="0.3">
      <c r="A592" s="1" t="s">
        <v>2110</v>
      </c>
      <c r="B592" s="1"/>
      <c r="C592" s="1"/>
      <c r="D592" s="1"/>
      <c r="E592" s="1"/>
      <c r="F592" s="1"/>
      <c r="G592" s="1" t="s">
        <v>8</v>
      </c>
      <c r="H592" s="2">
        <v>129</v>
      </c>
      <c r="I592" s="1" t="s">
        <v>2111</v>
      </c>
      <c r="J592" s="1" t="s">
        <v>2112</v>
      </c>
      <c r="K592" s="1" t="s">
        <v>554</v>
      </c>
      <c r="L592" s="1" t="s">
        <v>2113</v>
      </c>
      <c r="M592" s="6" t="str">
        <f>_xlfn.CONCAT(Table1[[#This Row],[Billing Street]], ", ", Table1[[#This Row],[Billing City]], ", ", Table1[[#This Row],[Billing State/Province]], ", ", Table1[[#This Row],[Billing Zip/Postal Code]])</f>
        <v>1150 E. Santa Fe St., Gardner, KS, 66030</v>
      </c>
    </row>
    <row r="593" spans="1:13" ht="15.6" hidden="1" x14ac:dyDescent="0.3">
      <c r="A593" s="1" t="s">
        <v>2114</v>
      </c>
      <c r="B593" s="1"/>
      <c r="C593" s="1"/>
      <c r="D593" s="1"/>
      <c r="E593" s="1"/>
      <c r="F593" s="1"/>
      <c r="G593" s="1" t="s">
        <v>8</v>
      </c>
      <c r="H593" s="2">
        <v>157</v>
      </c>
      <c r="I593" s="1" t="s">
        <v>2115</v>
      </c>
      <c r="J593" s="1" t="s">
        <v>2116</v>
      </c>
      <c r="K593" s="1" t="s">
        <v>11</v>
      </c>
      <c r="L593" s="1" t="s">
        <v>2117</v>
      </c>
      <c r="M593" s="6" t="str">
        <f>_xlfn.CONCAT(Table1[[#This Row],[Billing Street]], ", ", Table1[[#This Row],[Billing City]], ", ", Table1[[#This Row],[Billing State/Province]], ", ", Table1[[#This Row],[Billing Zip/Postal Code]])</f>
        <v>114 East Washington, Seymour, MO, 65746</v>
      </c>
    </row>
    <row r="594" spans="1:13" ht="15.6" hidden="1" x14ac:dyDescent="0.3">
      <c r="A594" s="1" t="s">
        <v>2118</v>
      </c>
      <c r="B594" s="1"/>
      <c r="C594" s="1"/>
      <c r="D594" s="1"/>
      <c r="E594" s="1"/>
      <c r="F594" s="1"/>
      <c r="G594" s="1" t="s">
        <v>8</v>
      </c>
      <c r="H594" s="2">
        <v>80</v>
      </c>
      <c r="I594" s="1" t="s">
        <v>2119</v>
      </c>
      <c r="J594" s="1" t="s">
        <v>2120</v>
      </c>
      <c r="K594" s="1" t="s">
        <v>554</v>
      </c>
      <c r="L594" s="1" t="s">
        <v>2121</v>
      </c>
      <c r="M594" s="6" t="str">
        <f>_xlfn.CONCAT(Table1[[#This Row],[Billing Street]], ", ", Table1[[#This Row],[Billing City]], ", ", Table1[[#This Row],[Billing State/Province]], ", ", Table1[[#This Row],[Billing Zip/Postal Code]])</f>
        <v>P.O. Box 207; 119 S 12th, Burlington, KS, 66839</v>
      </c>
    </row>
    <row r="595" spans="1:13" ht="15.6" hidden="1" x14ac:dyDescent="0.3">
      <c r="A595" s="1" t="s">
        <v>2122</v>
      </c>
      <c r="B595" s="1"/>
      <c r="C595" s="1"/>
      <c r="D595" s="1"/>
      <c r="E595" s="1"/>
      <c r="F595" s="1"/>
      <c r="G595" s="1" t="s">
        <v>8</v>
      </c>
      <c r="H595" s="2">
        <v>6528</v>
      </c>
      <c r="I595" s="1" t="s">
        <v>13</v>
      </c>
      <c r="J595" s="1" t="s">
        <v>13</v>
      </c>
      <c r="K595" s="1" t="s">
        <v>554</v>
      </c>
      <c r="L595" s="1" t="s">
        <v>13</v>
      </c>
      <c r="M595" s="6" t="str">
        <f>_xlfn.CONCAT(Table1[[#This Row],[Billing Street]], ", ", Table1[[#This Row],[Billing City]], ", ", Table1[[#This Row],[Billing State/Province]], ", ", Table1[[#This Row],[Billing Zip/Postal Code]])</f>
        <v xml:space="preserve">, , KS, </v>
      </c>
    </row>
    <row r="596" spans="1:13" ht="15.6" hidden="1" x14ac:dyDescent="0.3">
      <c r="A596" s="1" t="s">
        <v>2123</v>
      </c>
      <c r="B596" s="1"/>
      <c r="C596" s="1"/>
      <c r="D596" s="1"/>
      <c r="E596" s="1"/>
      <c r="F596" s="1"/>
      <c r="G596" s="1" t="s">
        <v>8</v>
      </c>
      <c r="H596" s="2">
        <v>174</v>
      </c>
      <c r="I596" s="1" t="s">
        <v>2124</v>
      </c>
      <c r="J596" s="1" t="s">
        <v>2125</v>
      </c>
      <c r="K596" s="1" t="s">
        <v>554</v>
      </c>
      <c r="L596" s="1" t="s">
        <v>2126</v>
      </c>
      <c r="M596" s="6" t="str">
        <f>_xlfn.CONCAT(Table1[[#This Row],[Billing Street]], ", ", Table1[[#This Row],[Billing City]], ", ", Table1[[#This Row],[Billing State/Province]], ", ", Table1[[#This Row],[Billing Zip/Postal Code]])</f>
        <v>275 NE 20th St, Pratt, KS, 67214</v>
      </c>
    </row>
    <row r="597" spans="1:13" ht="15.6" hidden="1" x14ac:dyDescent="0.3">
      <c r="A597" s="1" t="s">
        <v>2127</v>
      </c>
      <c r="B597" s="1"/>
      <c r="C597" s="1"/>
      <c r="D597" s="1"/>
      <c r="E597" s="1"/>
      <c r="F597" s="1"/>
      <c r="G597" s="1" t="s">
        <v>8</v>
      </c>
      <c r="H597" s="2">
        <v>99</v>
      </c>
      <c r="I597" s="1" t="s">
        <v>2128</v>
      </c>
      <c r="J597" s="1" t="s">
        <v>2129</v>
      </c>
      <c r="K597" s="1" t="s">
        <v>554</v>
      </c>
      <c r="L597" s="1" t="s">
        <v>2130</v>
      </c>
      <c r="M597" s="6" t="str">
        <f>_xlfn.CONCAT(Table1[[#This Row],[Billing Street]], ", ", Table1[[#This Row],[Billing City]], ", ", Table1[[#This Row],[Billing State/Province]], ", ", Table1[[#This Row],[Billing Zip/Postal Code]])</f>
        <v>2223 N A Street, Wellington, KS, 67152</v>
      </c>
    </row>
    <row r="598" spans="1:13" ht="15.6" x14ac:dyDescent="0.3">
      <c r="A598" s="1" t="s">
        <v>2131</v>
      </c>
      <c r="B598" s="1"/>
      <c r="C598" s="1"/>
      <c r="D598" s="1"/>
      <c r="E598" s="1"/>
      <c r="F598" s="1"/>
      <c r="G598" s="1" t="s">
        <v>24</v>
      </c>
      <c r="H598" s="2">
        <v>292</v>
      </c>
      <c r="I598" s="1" t="s">
        <v>2132</v>
      </c>
      <c r="J598" s="1" t="s">
        <v>2133</v>
      </c>
      <c r="K598" s="1" t="s">
        <v>577</v>
      </c>
      <c r="L598" s="1" t="s">
        <v>2134</v>
      </c>
      <c r="M598" s="6" t="str">
        <f>_xlfn.CONCAT(Table1[[#This Row],[Billing Street]], ", ", Table1[[#This Row],[Billing City]], ", ", Table1[[#This Row],[Billing State/Province]], ", ", Table1[[#This Row],[Billing Zip/Postal Code]])</f>
        <v>7594-75, Geismar, LA, 70734</v>
      </c>
    </row>
    <row r="599" spans="1:13" ht="15.6" hidden="1" x14ac:dyDescent="0.3">
      <c r="A599" s="1" t="s">
        <v>2135</v>
      </c>
      <c r="B599" s="1"/>
      <c r="C599" s="1"/>
      <c r="D599" s="1"/>
      <c r="E599" s="1"/>
      <c r="F599" s="1"/>
      <c r="G599" s="1" t="s">
        <v>8</v>
      </c>
      <c r="H599" s="2">
        <v>243</v>
      </c>
      <c r="I599" s="1" t="s">
        <v>2136</v>
      </c>
      <c r="J599" s="1" t="s">
        <v>2137</v>
      </c>
      <c r="K599" s="1" t="s">
        <v>11</v>
      </c>
      <c r="L599" s="1" t="s">
        <v>2138</v>
      </c>
      <c r="M599" s="6" t="str">
        <f>_xlfn.CONCAT(Table1[[#This Row],[Billing Street]], ", ", Table1[[#This Row],[Billing City]], ", ", Table1[[#This Row],[Billing State/Province]], ", ", Table1[[#This Row],[Billing Zip/Postal Code]])</f>
        <v>895 Frisco Street P.O. Box M, Steelville, MO, 65565</v>
      </c>
    </row>
    <row r="600" spans="1:13" ht="15.6" hidden="1" x14ac:dyDescent="0.3">
      <c r="A600" s="1" t="s">
        <v>2139</v>
      </c>
      <c r="B600" s="1"/>
      <c r="C600" s="1"/>
      <c r="D600" s="1"/>
      <c r="E600" s="1"/>
      <c r="F600" s="1"/>
      <c r="G600" s="1" t="s">
        <v>8</v>
      </c>
      <c r="H600" s="2">
        <v>49</v>
      </c>
      <c r="I600" s="1" t="s">
        <v>2140</v>
      </c>
      <c r="J600" s="1" t="s">
        <v>2141</v>
      </c>
      <c r="K600" s="1" t="s">
        <v>554</v>
      </c>
      <c r="L600" s="1" t="s">
        <v>2142</v>
      </c>
      <c r="M600" s="6" t="str">
        <f>_xlfn.CONCAT(Table1[[#This Row],[Billing Street]], ", ", Table1[[#This Row],[Billing City]], ", ", Table1[[#This Row],[Billing State/Province]], ", ", Table1[[#This Row],[Billing Zip/Postal Code]])</f>
        <v>401 Lawrence St,, Cedar Vale, KS, 67024</v>
      </c>
    </row>
    <row r="601" spans="1:13" ht="15.6" hidden="1" x14ac:dyDescent="0.3">
      <c r="A601" s="1" t="s">
        <v>2143</v>
      </c>
      <c r="B601" s="1"/>
      <c r="C601" s="1"/>
      <c r="D601" s="1"/>
      <c r="E601" s="1"/>
      <c r="F601" s="1"/>
      <c r="G601" s="1" t="s">
        <v>43</v>
      </c>
      <c r="H601" s="2">
        <v>357</v>
      </c>
      <c r="I601" s="1" t="s">
        <v>2144</v>
      </c>
      <c r="J601" s="1" t="s">
        <v>2145</v>
      </c>
      <c r="K601" s="1" t="s">
        <v>152</v>
      </c>
      <c r="L601" s="1" t="s">
        <v>2146</v>
      </c>
      <c r="M601" s="6" t="str">
        <f>_xlfn.CONCAT(Table1[[#This Row],[Billing Street]], ", ", Table1[[#This Row],[Billing City]], ", ", Table1[[#This Row],[Billing State/Province]], ", ", Table1[[#This Row],[Billing Zip/Postal Code]])</f>
        <v>1043 Oliver Ave, Aurora, IL, 60506</v>
      </c>
    </row>
    <row r="602" spans="1:13" ht="15.6" hidden="1" x14ac:dyDescent="0.3">
      <c r="A602" s="1" t="s">
        <v>2147</v>
      </c>
      <c r="B602" s="1"/>
      <c r="C602" s="1"/>
      <c r="D602" s="1"/>
      <c r="E602" s="1"/>
      <c r="F602" s="1"/>
      <c r="G602" s="1" t="s">
        <v>43</v>
      </c>
      <c r="H602" s="2">
        <v>429</v>
      </c>
      <c r="I602" s="1" t="s">
        <v>2148</v>
      </c>
      <c r="J602" s="1" t="s">
        <v>2149</v>
      </c>
      <c r="K602" s="1" t="s">
        <v>152</v>
      </c>
      <c r="L602" s="1" t="s">
        <v>2150</v>
      </c>
      <c r="M602" s="6" t="str">
        <f>_xlfn.CONCAT(Table1[[#This Row],[Billing Street]], ", ", Table1[[#This Row],[Billing City]], ", ", Table1[[#This Row],[Billing State/Province]], ", ", Table1[[#This Row],[Billing Zip/Postal Code]])</f>
        <v>2226 W Clark St, Peoria, IL, 61607</v>
      </c>
    </row>
    <row r="603" spans="1:13" ht="15.6" hidden="1" x14ac:dyDescent="0.3">
      <c r="A603" s="1" t="s">
        <v>2151</v>
      </c>
      <c r="B603" s="1"/>
      <c r="C603" s="1"/>
      <c r="D603" s="1"/>
      <c r="E603" s="1"/>
      <c r="F603" s="1"/>
      <c r="G603" s="1" t="s">
        <v>43</v>
      </c>
      <c r="H603" s="2">
        <v>157</v>
      </c>
      <c r="I603" s="1" t="s">
        <v>2152</v>
      </c>
      <c r="J603" s="1" t="s">
        <v>418</v>
      </c>
      <c r="K603" s="1" t="s">
        <v>45</v>
      </c>
      <c r="L603" s="1" t="s">
        <v>2153</v>
      </c>
      <c r="M603" s="6" t="str">
        <f>_xlfn.CONCAT(Table1[[#This Row],[Billing Street]], ", ", Table1[[#This Row],[Billing City]], ", ", Table1[[#This Row],[Billing State/Province]], ", ", Table1[[#This Row],[Billing Zip/Postal Code]])</f>
        <v>1630 Progress Drive, Springfield, OH, 45505</v>
      </c>
    </row>
    <row r="604" spans="1:13" ht="15.6" hidden="1" x14ac:dyDescent="0.3">
      <c r="A604" s="1" t="s">
        <v>2154</v>
      </c>
      <c r="B604" s="1"/>
      <c r="C604" s="1"/>
      <c r="D604" s="1"/>
      <c r="E604" s="1"/>
      <c r="F604" s="1"/>
      <c r="G604" s="1" t="s">
        <v>43</v>
      </c>
      <c r="H604" s="2">
        <v>219</v>
      </c>
      <c r="I604" s="1" t="s">
        <v>2155</v>
      </c>
      <c r="J604" s="1" t="s">
        <v>2156</v>
      </c>
      <c r="K604" s="1" t="s">
        <v>82</v>
      </c>
      <c r="L604" s="1" t="s">
        <v>2157</v>
      </c>
      <c r="M604" s="6" t="str">
        <f>_xlfn.CONCAT(Table1[[#This Row],[Billing Street]], ", ", Table1[[#This Row],[Billing City]], ", ", Table1[[#This Row],[Billing State/Province]], ", ", Table1[[#This Row],[Billing Zip/Postal Code]])</f>
        <v>5205 Kaiser Drive, Kalamazoo, MI, 49048</v>
      </c>
    </row>
    <row r="605" spans="1:13" ht="15.6" hidden="1" x14ac:dyDescent="0.3">
      <c r="A605" s="1" t="s">
        <v>2158</v>
      </c>
      <c r="B605" s="1"/>
      <c r="C605" s="1"/>
      <c r="D605" s="1"/>
      <c r="E605" s="1"/>
      <c r="F605" s="1"/>
      <c r="G605" s="1" t="s">
        <v>8</v>
      </c>
      <c r="H605" s="2">
        <v>86</v>
      </c>
      <c r="I605" s="1" t="s">
        <v>2159</v>
      </c>
      <c r="J605" s="1" t="s">
        <v>2160</v>
      </c>
      <c r="K605" s="1" t="s">
        <v>554</v>
      </c>
      <c r="L605" s="1" t="s">
        <v>2161</v>
      </c>
      <c r="M605" s="6" t="str">
        <f>_xlfn.CONCAT(Table1[[#This Row],[Billing Street]], ", ", Table1[[#This Row],[Billing City]], ", ", Table1[[#This Row],[Billing State/Province]], ", ", Table1[[#This Row],[Billing Zip/Postal Code]])</f>
        <v>216 S. Vine P.O. Box 1242, El Dorado, KS, 67042</v>
      </c>
    </row>
    <row r="606" spans="1:13" ht="15.6" hidden="1" x14ac:dyDescent="0.3">
      <c r="A606" s="1" t="s">
        <v>2162</v>
      </c>
      <c r="B606" s="1"/>
      <c r="C606" s="1"/>
      <c r="D606" s="1"/>
      <c r="E606" s="1"/>
      <c r="F606" s="1"/>
      <c r="G606" s="1" t="s">
        <v>8</v>
      </c>
      <c r="H606" s="2">
        <v>6528</v>
      </c>
      <c r="I606" s="1" t="s">
        <v>13</v>
      </c>
      <c r="J606" s="1" t="s">
        <v>13</v>
      </c>
      <c r="K606" s="1" t="s">
        <v>554</v>
      </c>
      <c r="L606" s="1" t="s">
        <v>13</v>
      </c>
      <c r="M606" s="6" t="str">
        <f>_xlfn.CONCAT(Table1[[#This Row],[Billing Street]], ", ", Table1[[#This Row],[Billing City]], ", ", Table1[[#This Row],[Billing State/Province]], ", ", Table1[[#This Row],[Billing Zip/Postal Code]])</f>
        <v xml:space="preserve">, , KS, </v>
      </c>
    </row>
    <row r="607" spans="1:13" ht="15.6" hidden="1" x14ac:dyDescent="0.3">
      <c r="A607" s="1" t="s">
        <v>2163</v>
      </c>
      <c r="B607" s="1"/>
      <c r="C607" s="1"/>
      <c r="D607" s="1"/>
      <c r="E607" s="1"/>
      <c r="F607" s="1"/>
      <c r="G607" s="1" t="s">
        <v>8</v>
      </c>
      <c r="H607" s="2">
        <v>6528</v>
      </c>
      <c r="I607" s="1" t="s">
        <v>13</v>
      </c>
      <c r="J607" s="1" t="s">
        <v>13</v>
      </c>
      <c r="K607" s="1" t="s">
        <v>554</v>
      </c>
      <c r="L607" s="1" t="s">
        <v>13</v>
      </c>
      <c r="M607" s="6" t="str">
        <f>_xlfn.CONCAT(Table1[[#This Row],[Billing Street]], ", ", Table1[[#This Row],[Billing City]], ", ", Table1[[#This Row],[Billing State/Province]], ", ", Table1[[#This Row],[Billing Zip/Postal Code]])</f>
        <v xml:space="preserve">, , KS, </v>
      </c>
    </row>
    <row r="608" spans="1:13" ht="15.6" hidden="1" x14ac:dyDescent="0.3">
      <c r="A608" s="1" t="s">
        <v>2164</v>
      </c>
      <c r="B608" s="1"/>
      <c r="C608" s="1"/>
      <c r="D608" s="1"/>
      <c r="E608" s="1"/>
      <c r="F608" s="1"/>
      <c r="G608" s="1" t="s">
        <v>8</v>
      </c>
      <c r="H608" s="2">
        <v>302</v>
      </c>
      <c r="I608" s="1" t="s">
        <v>2165</v>
      </c>
      <c r="J608" s="1" t="s">
        <v>2166</v>
      </c>
      <c r="K608" s="1" t="s">
        <v>554</v>
      </c>
      <c r="L608" s="1" t="s">
        <v>2167</v>
      </c>
      <c r="M608" s="6" t="str">
        <f>_xlfn.CONCAT(Table1[[#This Row],[Billing Street]], ", ", Table1[[#This Row],[Billing City]], ", ", Table1[[#This Row],[Billing State/Province]], ", ", Table1[[#This Row],[Billing Zip/Postal Code]])</f>
        <v>14935 US-36, Norton, KS, 67654</v>
      </c>
    </row>
    <row r="609" spans="1:13" ht="15.6" hidden="1" x14ac:dyDescent="0.3">
      <c r="A609" s="1" t="s">
        <v>2168</v>
      </c>
      <c r="B609" s="1"/>
      <c r="C609" s="1"/>
      <c r="D609" s="1"/>
      <c r="E609" s="1"/>
      <c r="F609" s="1"/>
      <c r="G609" s="1" t="s">
        <v>8</v>
      </c>
      <c r="H609" s="2">
        <v>306</v>
      </c>
      <c r="I609" s="1" t="s">
        <v>2169</v>
      </c>
      <c r="J609" s="1" t="s">
        <v>2170</v>
      </c>
      <c r="K609" s="1" t="s">
        <v>554</v>
      </c>
      <c r="L609" s="1" t="s">
        <v>2171</v>
      </c>
      <c r="M609" s="6" t="str">
        <f>_xlfn.CONCAT(Table1[[#This Row],[Billing Street]], ", ", Table1[[#This Row],[Billing City]], ", ", Table1[[#This Row],[Billing State/Province]], ", ", Table1[[#This Row],[Billing Zip/Postal Code]])</f>
        <v>101 Main Street  /  PO Box 230, Scott City, KS, 67871</v>
      </c>
    </row>
    <row r="610" spans="1:13" ht="15.6" hidden="1" x14ac:dyDescent="0.3">
      <c r="A610" s="1" t="s">
        <v>2172</v>
      </c>
      <c r="B610" s="1"/>
      <c r="C610" s="1"/>
      <c r="D610" s="1"/>
      <c r="E610" s="1"/>
      <c r="F610" s="1"/>
      <c r="G610" s="1" t="s">
        <v>8</v>
      </c>
      <c r="H610" s="2">
        <v>142</v>
      </c>
      <c r="I610" s="1" t="s">
        <v>13</v>
      </c>
      <c r="J610" s="1" t="s">
        <v>2173</v>
      </c>
      <c r="K610" s="1" t="s">
        <v>554</v>
      </c>
      <c r="L610" s="1" t="s">
        <v>2174</v>
      </c>
      <c r="M610" s="6" t="str">
        <f>_xlfn.CONCAT(Table1[[#This Row],[Billing Street]], ", ", Table1[[#This Row],[Billing City]], ", ", Table1[[#This Row],[Billing State/Province]], ", ", Table1[[#This Row],[Billing Zip/Postal Code]])</f>
        <v>, Kingman, KS, 67068</v>
      </c>
    </row>
    <row r="611" spans="1:13" ht="15.6" hidden="1" x14ac:dyDescent="0.3">
      <c r="A611" s="1" t="s">
        <v>2175</v>
      </c>
      <c r="B611" s="1"/>
      <c r="C611" s="1"/>
      <c r="D611" s="1"/>
      <c r="E611" s="1"/>
      <c r="F611" s="1"/>
      <c r="G611" s="1" t="s">
        <v>8</v>
      </c>
      <c r="H611" s="2">
        <v>260</v>
      </c>
      <c r="I611" s="1" t="s">
        <v>2176</v>
      </c>
      <c r="J611" s="1" t="s">
        <v>2177</v>
      </c>
      <c r="K611" s="1" t="s">
        <v>2178</v>
      </c>
      <c r="L611" s="1" t="s">
        <v>2179</v>
      </c>
      <c r="M611" s="6" t="str">
        <f>_xlfn.CONCAT(Table1[[#This Row],[Billing Street]], ", ", Table1[[#This Row],[Billing City]], ", ", Table1[[#This Row],[Billing State/Province]], ", ", Table1[[#This Row],[Billing Zip/Postal Code]])</f>
        <v>509 E. Carthage, Meade, Ks, 67864</v>
      </c>
    </row>
    <row r="612" spans="1:13" ht="15.6" hidden="1" x14ac:dyDescent="0.3">
      <c r="A612" s="1" t="s">
        <v>2180</v>
      </c>
      <c r="B612" s="1"/>
      <c r="C612" s="1"/>
      <c r="D612" s="1"/>
      <c r="E612" s="1"/>
      <c r="F612" s="1"/>
      <c r="G612" s="1" t="s">
        <v>8</v>
      </c>
      <c r="H612" s="2">
        <v>206</v>
      </c>
      <c r="I612" s="1" t="s">
        <v>2181</v>
      </c>
      <c r="J612" s="1" t="s">
        <v>2182</v>
      </c>
      <c r="K612" s="1" t="s">
        <v>554</v>
      </c>
      <c r="L612" s="1" t="s">
        <v>2183</v>
      </c>
      <c r="M612" s="6" t="str">
        <f>_xlfn.CONCAT(Table1[[#This Row],[Billing Street]], ", ", Table1[[#This Row],[Billing City]], ", ", Table1[[#This Row],[Billing State/Province]], ", ", Table1[[#This Row],[Billing Zip/Postal Code]])</f>
        <v>215 W.3rd St, Larned, KS, 67550</v>
      </c>
    </row>
    <row r="613" spans="1:13" ht="15.6" hidden="1" x14ac:dyDescent="0.3">
      <c r="A613" s="1" t="s">
        <v>2184</v>
      </c>
      <c r="B613" s="1"/>
      <c r="C613" s="1"/>
      <c r="D613" s="1"/>
      <c r="E613" s="1"/>
      <c r="F613" s="1"/>
      <c r="G613" s="1" t="s">
        <v>8</v>
      </c>
      <c r="H613" s="2">
        <v>181</v>
      </c>
      <c r="I613" s="1" t="s">
        <v>13</v>
      </c>
      <c r="J613" s="1" t="s">
        <v>2185</v>
      </c>
      <c r="K613" s="1" t="s">
        <v>554</v>
      </c>
      <c r="L613" s="1" t="s">
        <v>2186</v>
      </c>
      <c r="M613" s="6" t="str">
        <f>_xlfn.CONCAT(Table1[[#This Row],[Billing Street]], ", ", Table1[[#This Row],[Billing City]], ", ", Table1[[#This Row],[Billing State/Province]], ", ", Table1[[#This Row],[Billing Zip/Postal Code]])</f>
        <v>, Horton, KS, 66439</v>
      </c>
    </row>
    <row r="614" spans="1:13" ht="15.6" hidden="1" x14ac:dyDescent="0.3">
      <c r="A614" s="1" t="s">
        <v>2187</v>
      </c>
      <c r="B614" s="1"/>
      <c r="C614" s="1"/>
      <c r="D614" s="1"/>
      <c r="E614" s="1"/>
      <c r="F614" s="1"/>
      <c r="G614" s="1" t="s">
        <v>8</v>
      </c>
      <c r="H614" s="2">
        <v>132</v>
      </c>
      <c r="I614" s="1" t="s">
        <v>2188</v>
      </c>
      <c r="J614" s="1" t="s">
        <v>2189</v>
      </c>
      <c r="K614" s="1" t="s">
        <v>11</v>
      </c>
      <c r="L614" s="1" t="s">
        <v>2190</v>
      </c>
      <c r="M614" s="6" t="str">
        <f>_xlfn.CONCAT(Table1[[#This Row],[Billing Street]], ", ", Table1[[#This Row],[Billing City]], ", ", Table1[[#This Row],[Billing State/Province]], ", ", Table1[[#This Row],[Billing Zip/Postal Code]])</f>
        <v>300 E. Pearl Street_x000D_
P.O. Box 367, Harrisonville, MO, 64701</v>
      </c>
    </row>
    <row r="615" spans="1:13" ht="15.6" hidden="1" x14ac:dyDescent="0.3">
      <c r="A615" s="1" t="s">
        <v>2191</v>
      </c>
      <c r="B615" s="1"/>
      <c r="C615" s="1"/>
      <c r="D615" s="1"/>
      <c r="E615" s="1"/>
      <c r="F615" s="1"/>
      <c r="G615" s="1" t="s">
        <v>8</v>
      </c>
      <c r="H615" s="2">
        <v>338</v>
      </c>
      <c r="I615" s="1" t="s">
        <v>2192</v>
      </c>
      <c r="J615" s="1" t="s">
        <v>2193</v>
      </c>
      <c r="K615" s="1" t="s">
        <v>11</v>
      </c>
      <c r="L615" s="1" t="s">
        <v>2194</v>
      </c>
      <c r="M615" s="6" t="str">
        <f>_xlfn.CONCAT(Table1[[#This Row],[Billing Street]], ", ", Table1[[#This Row],[Billing City]], ", ", Table1[[#This Row],[Billing State/Province]], ", ", Table1[[#This Row],[Billing Zip/Postal Code]])</f>
        <v>560 Mott St., New Madrid, MO, 63869</v>
      </c>
    </row>
    <row r="616" spans="1:13" ht="15.6" hidden="1" x14ac:dyDescent="0.3">
      <c r="A616" s="1" t="s">
        <v>2195</v>
      </c>
      <c r="B616" s="1"/>
      <c r="C616" s="1"/>
      <c r="D616" s="1"/>
      <c r="E616" s="1"/>
      <c r="F616" s="1"/>
      <c r="G616" s="1" t="s">
        <v>8</v>
      </c>
      <c r="H616" s="2">
        <v>242</v>
      </c>
      <c r="I616" s="1" t="s">
        <v>2196</v>
      </c>
      <c r="J616" s="1" t="s">
        <v>2197</v>
      </c>
      <c r="K616" s="1" t="s">
        <v>11</v>
      </c>
      <c r="L616" s="1" t="s">
        <v>923</v>
      </c>
      <c r="M616" s="6" t="str">
        <f>_xlfn.CONCAT(Table1[[#This Row],[Billing Street]], ", ", Table1[[#This Row],[Billing City]], ", ", Table1[[#This Row],[Billing State/Province]], ", ", Table1[[#This Row],[Billing Zip/Postal Code]])</f>
        <v>114 S Rollins St, Centralia, MO, MO, 65240</v>
      </c>
    </row>
    <row r="617" spans="1:13" ht="15.6" hidden="1" x14ac:dyDescent="0.3">
      <c r="A617" s="1" t="s">
        <v>2198</v>
      </c>
      <c r="B617" s="1"/>
      <c r="C617" s="1"/>
      <c r="D617" s="1"/>
      <c r="E617" s="1"/>
      <c r="F617" s="1"/>
      <c r="G617" s="1" t="s">
        <v>43</v>
      </c>
      <c r="H617" s="2">
        <v>338</v>
      </c>
      <c r="I617" s="1" t="s">
        <v>2199</v>
      </c>
      <c r="J617" s="1" t="s">
        <v>2200</v>
      </c>
      <c r="K617" s="1" t="s">
        <v>152</v>
      </c>
      <c r="L617" s="1" t="s">
        <v>2201</v>
      </c>
      <c r="M617" s="6" t="str">
        <f>_xlfn.CONCAT(Table1[[#This Row],[Billing Street]], ", ", Table1[[#This Row],[Billing City]], ", ", Table1[[#This Row],[Billing State/Province]], ", ", Table1[[#This Row],[Billing Zip/Postal Code]])</f>
        <v>40 Prairie Park Dr, Wheeling, IL, 60090</v>
      </c>
    </row>
    <row r="618" spans="1:13" ht="15.6" hidden="1" x14ac:dyDescent="0.3">
      <c r="A618" s="1" t="s">
        <v>2202</v>
      </c>
      <c r="B618" s="1"/>
      <c r="C618" s="1"/>
      <c r="D618" s="1"/>
      <c r="E618" s="1"/>
      <c r="F618" s="1"/>
      <c r="G618" s="1" t="s">
        <v>43</v>
      </c>
      <c r="H618" s="2">
        <v>323</v>
      </c>
      <c r="I618" s="1" t="s">
        <v>2203</v>
      </c>
      <c r="J618" s="1" t="s">
        <v>2041</v>
      </c>
      <c r="K618" s="1" t="s">
        <v>152</v>
      </c>
      <c r="L618" s="1" t="s">
        <v>2204</v>
      </c>
      <c r="M618" s="6" t="str">
        <f>_xlfn.CONCAT(Table1[[#This Row],[Billing Street]], ", ", Table1[[#This Row],[Billing City]], ", ", Table1[[#This Row],[Billing State/Province]], ", ", Table1[[#This Row],[Billing Zip/Postal Code]])</f>
        <v>2600 S Throop St, Chicago, IL, 60608</v>
      </c>
    </row>
    <row r="619" spans="1:13" ht="15.6" hidden="1" x14ac:dyDescent="0.3">
      <c r="A619" s="1" t="s">
        <v>2205</v>
      </c>
      <c r="B619" s="1"/>
      <c r="C619" s="1"/>
      <c r="D619" s="1"/>
      <c r="E619" s="1"/>
      <c r="F619" s="1"/>
      <c r="G619" s="1" t="s">
        <v>43</v>
      </c>
      <c r="H619" s="2">
        <v>443</v>
      </c>
      <c r="I619" s="1" t="s">
        <v>2206</v>
      </c>
      <c r="J619" s="1" t="s">
        <v>418</v>
      </c>
      <c r="K619" s="1" t="s">
        <v>152</v>
      </c>
      <c r="L619" s="1" t="s">
        <v>2207</v>
      </c>
      <c r="M619" s="6" t="str">
        <f>_xlfn.CONCAT(Table1[[#This Row],[Billing Street]], ", ", Table1[[#This Row],[Billing City]], ", ", Table1[[#This Row],[Billing State/Province]], ", ", Table1[[#This Row],[Billing Zip/Postal Code]])</f>
        <v>300 W Edwards St # 200, Springfield, IL, 62704</v>
      </c>
    </row>
    <row r="620" spans="1:13" ht="15.6" hidden="1" x14ac:dyDescent="0.3">
      <c r="A620" s="1" t="s">
        <v>2208</v>
      </c>
      <c r="B620" s="1"/>
      <c r="C620" s="1"/>
      <c r="D620" s="1"/>
      <c r="E620" s="1"/>
      <c r="F620" s="1"/>
      <c r="G620" s="1" t="s">
        <v>43</v>
      </c>
      <c r="H620" s="2">
        <v>324</v>
      </c>
      <c r="I620" s="1" t="s">
        <v>2209</v>
      </c>
      <c r="J620" s="1" t="s">
        <v>2041</v>
      </c>
      <c r="K620" s="1" t="s">
        <v>152</v>
      </c>
      <c r="L620" s="1" t="s">
        <v>2210</v>
      </c>
      <c r="M620" s="6" t="str">
        <f>_xlfn.CONCAT(Table1[[#This Row],[Billing Street]], ", ", Table1[[#This Row],[Billing City]], ", ", Table1[[#This Row],[Billing State/Province]], ", ", Table1[[#This Row],[Billing Zip/Postal Code]])</f>
        <v>2441 N Leavitt St, Chicago, IL, 60647</v>
      </c>
    </row>
    <row r="621" spans="1:13" ht="15.6" hidden="1" x14ac:dyDescent="0.3">
      <c r="A621" s="1" t="s">
        <v>2211</v>
      </c>
      <c r="B621" s="1"/>
      <c r="C621" s="1"/>
      <c r="D621" s="1"/>
      <c r="E621" s="1"/>
      <c r="F621" s="1"/>
      <c r="G621" s="1" t="s">
        <v>43</v>
      </c>
      <c r="H621" s="2">
        <v>359</v>
      </c>
      <c r="I621" s="1" t="s">
        <v>2212</v>
      </c>
      <c r="J621" s="1" t="s">
        <v>2213</v>
      </c>
      <c r="K621" s="1" t="s">
        <v>152</v>
      </c>
      <c r="L621" s="1" t="s">
        <v>2214</v>
      </c>
      <c r="M621" s="6" t="str">
        <f>_xlfn.CONCAT(Table1[[#This Row],[Billing Street]], ", ", Table1[[#This Row],[Billing City]], ", ", Table1[[#This Row],[Billing State/Province]], ", ", Table1[[#This Row],[Billing Zip/Postal Code]])</f>
        <v>2590 Alft Ln Unit A, Elgin, IL, 60123</v>
      </c>
    </row>
    <row r="622" spans="1:13" ht="15.6" hidden="1" x14ac:dyDescent="0.3">
      <c r="A622" s="1" t="s">
        <v>2215</v>
      </c>
      <c r="B622" s="1"/>
      <c r="C622" s="1"/>
      <c r="D622" s="1"/>
      <c r="E622" s="1"/>
      <c r="F622" s="1"/>
      <c r="G622" s="1" t="s">
        <v>43</v>
      </c>
      <c r="H622" s="2">
        <v>334</v>
      </c>
      <c r="I622" s="1" t="s">
        <v>2216</v>
      </c>
      <c r="J622" s="1" t="s">
        <v>2217</v>
      </c>
      <c r="K622" s="1" t="s">
        <v>152</v>
      </c>
      <c r="L622" s="1" t="s">
        <v>2218</v>
      </c>
      <c r="M622" s="6" t="str">
        <f>_xlfn.CONCAT(Table1[[#This Row],[Billing Street]], ", ", Table1[[#This Row],[Billing City]], ", ", Table1[[#This Row],[Billing State/Province]], ", ", Table1[[#This Row],[Billing Zip/Postal Code]])</f>
        <v>620 28th Ave, Bellwood, IL, 60104</v>
      </c>
    </row>
    <row r="623" spans="1:13" ht="15.6" hidden="1" x14ac:dyDescent="0.3">
      <c r="A623" s="1" t="s">
        <v>2219</v>
      </c>
      <c r="B623" s="1"/>
      <c r="C623" s="1"/>
      <c r="D623" s="1"/>
      <c r="E623" s="1"/>
      <c r="F623" s="1"/>
      <c r="G623" s="1" t="s">
        <v>43</v>
      </c>
      <c r="H623" s="2">
        <v>97</v>
      </c>
      <c r="I623" s="1" t="s">
        <v>2220</v>
      </c>
      <c r="J623" s="1" t="s">
        <v>2221</v>
      </c>
      <c r="K623" s="1" t="s">
        <v>241</v>
      </c>
      <c r="L623" s="1" t="s">
        <v>2222</v>
      </c>
      <c r="M623" s="6" t="str">
        <f>_xlfn.CONCAT(Table1[[#This Row],[Billing Street]], ", ", Table1[[#This Row],[Billing City]], ", ", Table1[[#This Row],[Billing State/Province]], ", ", Table1[[#This Row],[Billing Zip/Postal Code]])</f>
        <v>Six PPG Place  Suite 700, Pittsburgh, PA, 15222</v>
      </c>
    </row>
    <row r="624" spans="1:13" ht="15.6" hidden="1" x14ac:dyDescent="0.3">
      <c r="A624" s="1" t="s">
        <v>2223</v>
      </c>
      <c r="B624" s="1"/>
      <c r="C624" s="1"/>
      <c r="D624" s="1"/>
      <c r="E624" s="1"/>
      <c r="F624" s="1"/>
      <c r="G624" s="1" t="s">
        <v>43</v>
      </c>
      <c r="H624" s="2">
        <v>233</v>
      </c>
      <c r="I624" s="1" t="s">
        <v>2224</v>
      </c>
      <c r="J624" s="1" t="s">
        <v>1858</v>
      </c>
      <c r="K624" s="1" t="s">
        <v>82</v>
      </c>
      <c r="L624" s="1" t="s">
        <v>2225</v>
      </c>
      <c r="M624" s="6" t="str">
        <f>_xlfn.CONCAT(Table1[[#This Row],[Billing Street]], ", ", Table1[[#This Row],[Billing City]], ", ", Table1[[#This Row],[Billing State/Province]], ", ", Table1[[#This Row],[Billing Zip/Postal Code]])</f>
        <v>1 Dicastal Drive, Greenville, MI, 48838</v>
      </c>
    </row>
    <row r="625" spans="1:13" ht="15.6" hidden="1" x14ac:dyDescent="0.3">
      <c r="A625" s="1" t="s">
        <v>2226</v>
      </c>
      <c r="B625" s="1"/>
      <c r="C625" s="1"/>
      <c r="D625" s="1"/>
      <c r="E625" s="1"/>
      <c r="F625" s="1"/>
      <c r="G625" s="1" t="s">
        <v>54</v>
      </c>
      <c r="H625" s="2">
        <v>39</v>
      </c>
      <c r="I625" s="1" t="s">
        <v>2227</v>
      </c>
      <c r="J625" s="1" t="s">
        <v>2228</v>
      </c>
      <c r="K625" s="1" t="s">
        <v>57</v>
      </c>
      <c r="L625" s="1" t="s">
        <v>2229</v>
      </c>
      <c r="M625" s="6" t="str">
        <f>_xlfn.CONCAT(Table1[[#This Row],[Billing Street]], ", ", Table1[[#This Row],[Billing City]], ", ", Table1[[#This Row],[Billing State/Province]], ", ", Table1[[#This Row],[Billing Zip/Postal Code]])</f>
        <v>463 N. Smith Ave, Corona, CA, 92880</v>
      </c>
    </row>
    <row r="626" spans="1:13" ht="15.6" hidden="1" x14ac:dyDescent="0.3">
      <c r="A626" s="1" t="s">
        <v>2230</v>
      </c>
      <c r="B626" s="1"/>
      <c r="C626" s="1"/>
      <c r="D626" s="1"/>
      <c r="E626" s="1"/>
      <c r="F626" s="1"/>
      <c r="G626" s="1" t="s">
        <v>205</v>
      </c>
      <c r="H626" s="2">
        <v>279</v>
      </c>
      <c r="I626" s="1" t="s">
        <v>2231</v>
      </c>
      <c r="J626" s="1" t="s">
        <v>2232</v>
      </c>
      <c r="K626" s="1" t="s">
        <v>266</v>
      </c>
      <c r="L626" s="1" t="s">
        <v>2233</v>
      </c>
      <c r="M626" s="6" t="str">
        <f>_xlfn.CONCAT(Table1[[#This Row],[Billing Street]], ", ", Table1[[#This Row],[Billing City]], ", ", Table1[[#This Row],[Billing State/Province]], ", ", Table1[[#This Row],[Billing Zip/Postal Code]])</f>
        <v>505 Sims, Truth or Consequences, NM, 87901</v>
      </c>
    </row>
    <row r="627" spans="1:13" ht="15.6" hidden="1" x14ac:dyDescent="0.3">
      <c r="A627" s="1" t="s">
        <v>2234</v>
      </c>
      <c r="B627" s="1"/>
      <c r="C627" s="1"/>
      <c r="D627" s="1"/>
      <c r="E627" s="1"/>
      <c r="F627" s="1"/>
      <c r="G627" s="1" t="s">
        <v>43</v>
      </c>
      <c r="H627" s="2">
        <v>262</v>
      </c>
      <c r="I627" s="1" t="s">
        <v>2235</v>
      </c>
      <c r="J627" s="1" t="s">
        <v>2236</v>
      </c>
      <c r="K627" s="1" t="s">
        <v>82</v>
      </c>
      <c r="L627" s="1" t="s">
        <v>2237</v>
      </c>
      <c r="M627" s="6" t="str">
        <f>_xlfn.CONCAT(Table1[[#This Row],[Billing Street]], ", ", Table1[[#This Row],[Billing City]], ", ", Table1[[#This Row],[Billing State/Province]], ", ", Table1[[#This Row],[Billing Zip/Postal Code]])</f>
        <v>1523 Norton Avenue, Benton Harbor, MI, 49022</v>
      </c>
    </row>
    <row r="628" spans="1:13" ht="15.6" hidden="1" x14ac:dyDescent="0.3">
      <c r="A628" s="1" t="s">
        <v>2238</v>
      </c>
      <c r="B628" s="1"/>
      <c r="C628" s="1"/>
      <c r="D628" s="1"/>
      <c r="E628" s="1"/>
      <c r="F628" s="1"/>
      <c r="G628" s="1" t="s">
        <v>43</v>
      </c>
      <c r="H628" s="2">
        <v>355</v>
      </c>
      <c r="I628" s="1" t="s">
        <v>2239</v>
      </c>
      <c r="J628" s="1" t="s">
        <v>2213</v>
      </c>
      <c r="K628" s="1" t="s">
        <v>152</v>
      </c>
      <c r="L628" s="1" t="s">
        <v>2240</v>
      </c>
      <c r="M628" s="6" t="str">
        <f>_xlfn.CONCAT(Table1[[#This Row],[Billing Street]], ", ", Table1[[#This Row],[Billing City]], ", ", Table1[[#This Row],[Billing State/Province]], ", ", Table1[[#This Row],[Billing Zip/Postal Code]])</f>
        <v>7N540 Il Route 25, Elgin, IL, 60120</v>
      </c>
    </row>
    <row r="629" spans="1:13" ht="15.6" hidden="1" x14ac:dyDescent="0.3">
      <c r="A629" s="1" t="s">
        <v>2241</v>
      </c>
      <c r="B629" s="1"/>
      <c r="C629" s="1"/>
      <c r="D629" s="1"/>
      <c r="E629" s="1"/>
      <c r="F629" s="1"/>
      <c r="G629" s="1" t="s">
        <v>43</v>
      </c>
      <c r="H629" s="2">
        <v>331</v>
      </c>
      <c r="I629" s="1" t="s">
        <v>2242</v>
      </c>
      <c r="J629" s="1" t="s">
        <v>2041</v>
      </c>
      <c r="K629" s="1" t="s">
        <v>152</v>
      </c>
      <c r="L629" s="1" t="s">
        <v>2243</v>
      </c>
      <c r="M629" s="6" t="str">
        <f>_xlfn.CONCAT(Table1[[#This Row],[Billing Street]], ", ", Table1[[#This Row],[Billing City]], ", ", Table1[[#This Row],[Billing State/Province]], ", ", Table1[[#This Row],[Billing Zip/Postal Code]])</f>
        <v>7243 W Touhy Ave, Chicago, IL, 60631</v>
      </c>
    </row>
    <row r="630" spans="1:13" ht="15.6" hidden="1" x14ac:dyDescent="0.3">
      <c r="A630" s="1" t="s">
        <v>2244</v>
      </c>
      <c r="B630" s="1"/>
      <c r="C630" s="1"/>
      <c r="D630" s="1"/>
      <c r="E630" s="1"/>
      <c r="F630" s="1"/>
      <c r="G630" s="1" t="s">
        <v>8</v>
      </c>
      <c r="H630" s="2">
        <v>126</v>
      </c>
      <c r="I630" s="1" t="s">
        <v>2245</v>
      </c>
      <c r="J630" s="1" t="s">
        <v>2246</v>
      </c>
      <c r="K630" s="1" t="s">
        <v>554</v>
      </c>
      <c r="L630" s="1" t="s">
        <v>2247</v>
      </c>
      <c r="M630" s="6" t="str">
        <f>_xlfn.CONCAT(Table1[[#This Row],[Billing Street]], ", ", Table1[[#This Row],[Billing City]], ", ", Table1[[#This Row],[Billing State/Province]], ", ", Table1[[#This Row],[Billing Zip/Postal Code]])</f>
        <v>118 E Grand Ave, Hillsboro, KS, 67063</v>
      </c>
    </row>
    <row r="631" spans="1:13" ht="15.6" hidden="1" x14ac:dyDescent="0.3">
      <c r="A631" s="1" t="s">
        <v>2248</v>
      </c>
      <c r="B631" s="1"/>
      <c r="C631" s="1"/>
      <c r="D631" s="1"/>
      <c r="E631" s="1"/>
      <c r="F631" s="1"/>
      <c r="G631" s="1" t="s">
        <v>43</v>
      </c>
      <c r="H631" s="2">
        <v>333</v>
      </c>
      <c r="I631" s="1" t="s">
        <v>2249</v>
      </c>
      <c r="J631" s="1" t="s">
        <v>724</v>
      </c>
      <c r="K631" s="1" t="s">
        <v>152</v>
      </c>
      <c r="L631" s="1" t="s">
        <v>2250</v>
      </c>
      <c r="M631" s="6" t="str">
        <f>_xlfn.CONCAT(Table1[[#This Row],[Billing Street]], ", ", Table1[[#This Row],[Billing City]], ", ", Table1[[#This Row],[Billing State/Province]], ", ", Table1[[#This Row],[Billing Zip/Postal Code]])</f>
        <v>1312 Prospect Avenue, Willow Springs, IL, 60480</v>
      </c>
    </row>
    <row r="632" spans="1:13" ht="15.6" hidden="1" x14ac:dyDescent="0.3">
      <c r="A632" s="1" t="s">
        <v>2251</v>
      </c>
      <c r="B632" s="1"/>
      <c r="C632" s="1"/>
      <c r="D632" s="1"/>
      <c r="E632" s="1"/>
      <c r="F632" s="1"/>
      <c r="G632" s="1" t="s">
        <v>54</v>
      </c>
      <c r="H632" s="2">
        <v>856</v>
      </c>
      <c r="I632" s="1" t="s">
        <v>2252</v>
      </c>
      <c r="J632" s="1" t="s">
        <v>2253</v>
      </c>
      <c r="K632" s="1" t="s">
        <v>2254</v>
      </c>
      <c r="L632" s="1" t="s">
        <v>2255</v>
      </c>
      <c r="M632" s="6" t="str">
        <f>_xlfn.CONCAT(Table1[[#This Row],[Billing Street]], ", ", Table1[[#This Row],[Billing City]], ", ", Table1[[#This Row],[Billing State/Province]], ", ", Table1[[#This Row],[Billing Zip/Postal Code]])</f>
        <v>652 Rose Ave, Vernonia, OR, 97064</v>
      </c>
    </row>
    <row r="633" spans="1:13" ht="15.6" hidden="1" x14ac:dyDescent="0.3">
      <c r="A633" s="1" t="s">
        <v>2256</v>
      </c>
      <c r="B633" s="1"/>
      <c r="C633" s="1"/>
      <c r="D633" s="1"/>
      <c r="E633" s="1"/>
      <c r="F633" s="1"/>
      <c r="G633" s="1" t="s">
        <v>8</v>
      </c>
      <c r="H633" s="2">
        <v>245</v>
      </c>
      <c r="I633" s="1" t="s">
        <v>2257</v>
      </c>
      <c r="J633" s="1" t="s">
        <v>2258</v>
      </c>
      <c r="K633" s="1" t="s">
        <v>11</v>
      </c>
      <c r="L633" s="1" t="s">
        <v>2259</v>
      </c>
      <c r="M633" s="6" t="str">
        <f>_xlfn.CONCAT(Table1[[#This Row],[Billing Street]], ", ", Table1[[#This Row],[Billing City]], ", ", Table1[[#This Row],[Billing State/Province]], ", ", Table1[[#This Row],[Billing Zip/Postal Code]])</f>
        <v>126 N Main St, Galt, MO, 64641</v>
      </c>
    </row>
    <row r="634" spans="1:13" ht="15.6" hidden="1" x14ac:dyDescent="0.3">
      <c r="A634" s="1" t="s">
        <v>2260</v>
      </c>
      <c r="B634" s="1"/>
      <c r="C634" s="1"/>
      <c r="D634" s="1"/>
      <c r="E634" s="1"/>
      <c r="F634" s="1"/>
      <c r="G634" s="1" t="s">
        <v>8</v>
      </c>
      <c r="H634" s="2">
        <v>6528</v>
      </c>
      <c r="I634" s="1" t="s">
        <v>13</v>
      </c>
      <c r="J634" s="1" t="s">
        <v>2261</v>
      </c>
      <c r="K634" s="1" t="s">
        <v>165</v>
      </c>
      <c r="L634" s="1" t="s">
        <v>13</v>
      </c>
      <c r="M634" s="6" t="str">
        <f>_xlfn.CONCAT(Table1[[#This Row],[Billing Street]], ", ", Table1[[#This Row],[Billing City]], ", ", Table1[[#This Row],[Billing State/Province]], ", ", Table1[[#This Row],[Billing Zip/Postal Code]])</f>
        <v xml:space="preserve">, Smackover, AR, </v>
      </c>
    </row>
    <row r="635" spans="1:13" ht="15.6" x14ac:dyDescent="0.3">
      <c r="A635" s="1" t="s">
        <v>2262</v>
      </c>
      <c r="B635" s="1"/>
      <c r="C635" s="1"/>
      <c r="D635" s="1"/>
      <c r="E635" s="1"/>
      <c r="F635" s="1"/>
      <c r="G635" s="1" t="s">
        <v>24</v>
      </c>
      <c r="H635" s="2">
        <v>5988</v>
      </c>
      <c r="I635" s="1" t="s">
        <v>2263</v>
      </c>
      <c r="J635" s="1" t="s">
        <v>438</v>
      </c>
      <c r="K635" s="1" t="s">
        <v>26</v>
      </c>
      <c r="L635" s="1" t="s">
        <v>439</v>
      </c>
      <c r="M635" s="6" t="str">
        <f>_xlfn.CONCAT(Table1[[#This Row],[Billing Street]], ", ", Table1[[#This Row],[Billing City]], ", ", Table1[[#This Row],[Billing State/Province]], ", ", Table1[[#This Row],[Billing Zip/Postal Code]])</f>
        <v>3601 Fosters Industrial Drive, Tuscaloosa, AL, 35401</v>
      </c>
    </row>
    <row r="636" spans="1:13" ht="15.6" hidden="1" x14ac:dyDescent="0.3">
      <c r="A636" s="1" t="s">
        <v>2264</v>
      </c>
      <c r="B636" s="1"/>
      <c r="C636" s="1"/>
      <c r="D636" s="1"/>
      <c r="E636" s="1"/>
      <c r="F636" s="1"/>
      <c r="G636" s="1" t="s">
        <v>98</v>
      </c>
      <c r="H636" s="2">
        <v>168</v>
      </c>
      <c r="I636" s="1" t="s">
        <v>2265</v>
      </c>
      <c r="J636" s="1" t="s">
        <v>459</v>
      </c>
      <c r="K636" s="1" t="s">
        <v>1178</v>
      </c>
      <c r="L636" s="1" t="s">
        <v>2266</v>
      </c>
      <c r="M636" s="6" t="str">
        <f>_xlfn.CONCAT(Table1[[#This Row],[Billing Street]], ", ", Table1[[#This Row],[Billing City]], ", ", Table1[[#This Row],[Billing State/Province]], ", ", Table1[[#This Row],[Billing Zip/Postal Code]])</f>
        <v>186 Hudlow Rd, Forest City, NC, 28043</v>
      </c>
    </row>
    <row r="637" spans="1:13" ht="15.6" hidden="1" x14ac:dyDescent="0.3">
      <c r="A637" s="1" t="s">
        <v>2267</v>
      </c>
      <c r="B637" s="1"/>
      <c r="C637" s="1"/>
      <c r="D637" s="1"/>
      <c r="E637" s="1"/>
      <c r="F637" s="1"/>
      <c r="G637" s="1" t="s">
        <v>98</v>
      </c>
      <c r="H637" s="2">
        <v>5887</v>
      </c>
      <c r="I637" s="1" t="s">
        <v>2268</v>
      </c>
      <c r="J637" s="1" t="s">
        <v>2269</v>
      </c>
      <c r="K637" s="1" t="s">
        <v>234</v>
      </c>
      <c r="L637" s="1" t="s">
        <v>2270</v>
      </c>
      <c r="M637" s="6" t="str">
        <f>_xlfn.CONCAT(Table1[[#This Row],[Billing Street]], ", ", Table1[[#This Row],[Billing City]], ", ", Table1[[#This Row],[Billing State/Province]], ", ", Table1[[#This Row],[Billing Zip/Postal Code]])</f>
        <v>250 E North 2nd St, Seneca, SC, 29678</v>
      </c>
    </row>
    <row r="638" spans="1:13" ht="15.6" hidden="1" x14ac:dyDescent="0.3">
      <c r="A638" s="1" t="s">
        <v>2271</v>
      </c>
      <c r="B638" s="1"/>
      <c r="C638" s="1"/>
      <c r="D638" s="1"/>
      <c r="E638" s="1"/>
      <c r="F638" s="1"/>
      <c r="G638" s="1" t="s">
        <v>43</v>
      </c>
      <c r="H638" s="2">
        <v>386</v>
      </c>
      <c r="I638" s="1" t="s">
        <v>2272</v>
      </c>
      <c r="J638" s="1" t="s">
        <v>2273</v>
      </c>
      <c r="K638" s="1" t="s">
        <v>720</v>
      </c>
      <c r="L638" s="1" t="s">
        <v>2274</v>
      </c>
      <c r="M638" s="6" t="str">
        <f>_xlfn.CONCAT(Table1[[#This Row],[Billing Street]], ", ", Table1[[#This Row],[Billing City]], ", ", Table1[[#This Row],[Billing State/Province]], ", ", Table1[[#This Row],[Billing Zip/Postal Code]])</f>
        <v>53 Park ave, Park Ridge, NJ, 7656</v>
      </c>
    </row>
    <row r="639" spans="1:13" ht="15.6" hidden="1" x14ac:dyDescent="0.3">
      <c r="A639" s="1" t="s">
        <v>2275</v>
      </c>
      <c r="B639" s="1"/>
      <c r="C639" s="1"/>
      <c r="D639" s="1"/>
      <c r="E639" s="1"/>
      <c r="F639" s="1"/>
      <c r="G639" s="1" t="s">
        <v>98</v>
      </c>
      <c r="H639" s="2">
        <v>5887</v>
      </c>
      <c r="I639" s="1" t="s">
        <v>2276</v>
      </c>
      <c r="J639" s="1" t="s">
        <v>765</v>
      </c>
      <c r="K639" s="1" t="s">
        <v>234</v>
      </c>
      <c r="L639" s="1" t="s">
        <v>2277</v>
      </c>
      <c r="M639" s="6" t="str">
        <f>_xlfn.CONCAT(Table1[[#This Row],[Billing Street]], ", ", Table1[[#This Row],[Billing City]], ", ", Table1[[#This Row],[Billing State/Province]], ", ", Table1[[#This Row],[Billing Zip/Postal Code]])</f>
        <v>1385 Alexander Love Hwy, York, SC, 29745</v>
      </c>
    </row>
    <row r="640" spans="1:13" ht="15.6" hidden="1" x14ac:dyDescent="0.3">
      <c r="A640" s="1" t="s">
        <v>2278</v>
      </c>
      <c r="B640" s="1"/>
      <c r="C640" s="1"/>
      <c r="D640" s="1"/>
      <c r="E640" s="1"/>
      <c r="F640" s="1"/>
      <c r="G640" s="1" t="s">
        <v>98</v>
      </c>
      <c r="H640" s="2">
        <v>190</v>
      </c>
      <c r="I640" s="1" t="s">
        <v>2279</v>
      </c>
      <c r="J640" s="1" t="s">
        <v>2280</v>
      </c>
      <c r="K640" s="1" t="s">
        <v>1178</v>
      </c>
      <c r="L640" s="1" t="s">
        <v>2281</v>
      </c>
      <c r="M640" s="6" t="str">
        <f>_xlfn.CONCAT(Table1[[#This Row],[Billing Street]], ", ", Table1[[#This Row],[Billing City]], ", ", Table1[[#This Row],[Billing State/Province]], ", ", Table1[[#This Row],[Billing Zip/Postal Code]])</f>
        <v>1013 N Piedmont Ave, Kings Mountain, NC, 28086</v>
      </c>
    </row>
    <row r="641" spans="1:13" ht="15.6" hidden="1" x14ac:dyDescent="0.3">
      <c r="A641" s="1" t="s">
        <v>2282</v>
      </c>
      <c r="B641" s="1"/>
      <c r="C641" s="1"/>
      <c r="D641" s="1"/>
      <c r="E641" s="1"/>
      <c r="F641" s="1"/>
      <c r="G641" s="1" t="s">
        <v>98</v>
      </c>
      <c r="H641" s="2">
        <v>5887</v>
      </c>
      <c r="I641" s="1" t="s">
        <v>2283</v>
      </c>
      <c r="J641" s="1" t="s">
        <v>2284</v>
      </c>
      <c r="K641" s="1" t="s">
        <v>234</v>
      </c>
      <c r="L641" s="1" t="s">
        <v>2285</v>
      </c>
      <c r="M641" s="6" t="str">
        <f>_xlfn.CONCAT(Table1[[#This Row],[Billing Street]], ", ", Table1[[#This Row],[Billing City]], ", ", Table1[[#This Row],[Billing State/Province]], ", ", Table1[[#This Row],[Billing Zip/Postal Code]])</f>
        <v>210 E Frederick St, Gaffney, SC, 29340</v>
      </c>
    </row>
    <row r="642" spans="1:13" ht="15.6" hidden="1" x14ac:dyDescent="0.3">
      <c r="A642" s="1" t="s">
        <v>2286</v>
      </c>
      <c r="B642" s="1"/>
      <c r="C642" s="1"/>
      <c r="D642" s="1"/>
      <c r="E642" s="1"/>
      <c r="F642" s="1"/>
      <c r="G642" s="1" t="s">
        <v>43</v>
      </c>
      <c r="H642" s="2">
        <v>5776</v>
      </c>
      <c r="I642" s="1" t="s">
        <v>2287</v>
      </c>
      <c r="J642" s="1" t="s">
        <v>2288</v>
      </c>
      <c r="K642" s="1" t="s">
        <v>720</v>
      </c>
      <c r="L642" s="1" t="s">
        <v>2289</v>
      </c>
      <c r="M642" s="6" t="str">
        <f>_xlfn.CONCAT(Table1[[#This Row],[Billing Street]], ", ", Table1[[#This Row],[Billing City]], ", ", Table1[[#This Row],[Billing State/Province]], ", ", Table1[[#This Row],[Billing Zip/Postal Code]])</f>
        <v>3141 Bordertown Ave, Parlin, NJ, 8859</v>
      </c>
    </row>
    <row r="643" spans="1:13" ht="15.6" hidden="1" x14ac:dyDescent="0.3">
      <c r="A643" s="1" t="s">
        <v>2290</v>
      </c>
      <c r="B643" s="1"/>
      <c r="C643" s="1"/>
      <c r="D643" s="1"/>
      <c r="E643" s="1"/>
      <c r="F643" s="1"/>
      <c r="G643" s="1" t="s">
        <v>98</v>
      </c>
      <c r="H643" s="2">
        <v>136</v>
      </c>
      <c r="I643" s="1" t="s">
        <v>2291</v>
      </c>
      <c r="J643" s="1" t="s">
        <v>2292</v>
      </c>
      <c r="K643" s="1" t="s">
        <v>1178</v>
      </c>
      <c r="L643" s="1" t="s">
        <v>2293</v>
      </c>
      <c r="M643" s="6" t="str">
        <f>_xlfn.CONCAT(Table1[[#This Row],[Billing Street]], ", ", Table1[[#This Row],[Billing City]], ", ", Table1[[#This Row],[Billing State/Province]], ", ", Table1[[#This Row],[Billing Zip/Postal Code]])</f>
        <v>376 Grindstone Rd, Waynesville, NC, 28785</v>
      </c>
    </row>
    <row r="644" spans="1:13" ht="15.6" hidden="1" x14ac:dyDescent="0.3">
      <c r="A644" s="1" t="s">
        <v>2294</v>
      </c>
      <c r="B644" s="1"/>
      <c r="C644" s="1"/>
      <c r="D644" s="1"/>
      <c r="E644" s="1"/>
      <c r="F644" s="1"/>
      <c r="G644" s="1" t="s">
        <v>43</v>
      </c>
      <c r="H644" s="2">
        <v>2</v>
      </c>
      <c r="I644" s="1" t="s">
        <v>2295</v>
      </c>
      <c r="J644" s="1" t="s">
        <v>2296</v>
      </c>
      <c r="K644" s="1" t="s">
        <v>45</v>
      </c>
      <c r="L644" s="1" t="s">
        <v>2297</v>
      </c>
      <c r="M644" s="6" t="str">
        <f>_xlfn.CONCAT(Table1[[#This Row],[Billing Street]], ", ", Table1[[#This Row],[Billing City]], ", ", Table1[[#This Row],[Billing State/Province]], ", ", Table1[[#This Row],[Billing Zip/Postal Code]])</f>
        <v>1831 E. Highland Road, Twinsburg, OH, 44087</v>
      </c>
    </row>
    <row r="645" spans="1:13" ht="15.6" hidden="1" x14ac:dyDescent="0.3">
      <c r="A645" s="1" t="s">
        <v>2298</v>
      </c>
      <c r="B645" s="1"/>
      <c r="C645" s="1"/>
      <c r="D645" s="1"/>
      <c r="E645" s="1"/>
      <c r="F645" s="1"/>
      <c r="G645" s="1" t="s">
        <v>43</v>
      </c>
      <c r="H645" s="2">
        <v>323</v>
      </c>
      <c r="I645" s="1" t="s">
        <v>2299</v>
      </c>
      <c r="J645" s="1" t="s">
        <v>2041</v>
      </c>
      <c r="K645" s="1" t="s">
        <v>152</v>
      </c>
      <c r="L645" s="1" t="s">
        <v>2300</v>
      </c>
      <c r="M645" s="6" t="str">
        <f>_xlfn.CONCAT(Table1[[#This Row],[Billing Street]], ", ", Table1[[#This Row],[Billing City]], ", ", Table1[[#This Row],[Billing State/Province]], ", ", Table1[[#This Row],[Billing Zip/Postal Code]])</f>
        <v>1321 W Concord Pl, Chicago, IL, 60642</v>
      </c>
    </row>
    <row r="646" spans="1:13" ht="15.6" hidden="1" x14ac:dyDescent="0.3">
      <c r="A646" s="1" t="s">
        <v>2301</v>
      </c>
      <c r="B646" s="1"/>
      <c r="C646" s="1"/>
      <c r="D646" s="1"/>
      <c r="E646" s="1"/>
      <c r="F646" s="1"/>
      <c r="G646" s="1" t="s">
        <v>54</v>
      </c>
      <c r="H646" s="2">
        <v>929</v>
      </c>
      <c r="I646" s="1" t="s">
        <v>2302</v>
      </c>
      <c r="J646" s="1" t="s">
        <v>2303</v>
      </c>
      <c r="K646" s="1" t="s">
        <v>2304</v>
      </c>
      <c r="L646" s="1" t="s">
        <v>2305</v>
      </c>
      <c r="M646" s="6" t="str">
        <f>_xlfn.CONCAT(Table1[[#This Row],[Billing Street]], ", ", Table1[[#This Row],[Billing City]], ", ", Table1[[#This Row],[Billing State/Province]], ", ", Table1[[#This Row],[Billing Zip/Postal Code]])</f>
        <v>112 Anderson rd, Cheney, Wa, 99004</v>
      </c>
    </row>
    <row r="647" spans="1:13" ht="15.6" hidden="1" x14ac:dyDescent="0.3">
      <c r="A647" s="1" t="s">
        <v>2306</v>
      </c>
      <c r="B647" s="1"/>
      <c r="C647" s="1"/>
      <c r="D647" s="1"/>
      <c r="E647" s="1"/>
      <c r="F647" s="1"/>
      <c r="G647" s="1" t="s">
        <v>205</v>
      </c>
      <c r="H647" s="2">
        <v>1019</v>
      </c>
      <c r="I647" s="1" t="s">
        <v>2307</v>
      </c>
      <c r="J647" s="1" t="s">
        <v>2308</v>
      </c>
      <c r="K647" s="1" t="s">
        <v>2309</v>
      </c>
      <c r="L647" s="1" t="s">
        <v>2310</v>
      </c>
      <c r="M647" s="6" t="str">
        <f>_xlfn.CONCAT(Table1[[#This Row],[Billing Street]], ", ", Table1[[#This Row],[Billing City]], ", ", Table1[[#This Row],[Billing State/Province]], ", ", Table1[[#This Row],[Billing Zip/Postal Code]])</f>
        <v>2451 W Dakota Ave, Hayden, ID, 83835</v>
      </c>
    </row>
    <row r="648" spans="1:13" ht="15.6" hidden="1" x14ac:dyDescent="0.3">
      <c r="A648" s="1" t="s">
        <v>2311</v>
      </c>
      <c r="B648" s="1"/>
      <c r="C648" s="1"/>
      <c r="D648" s="1"/>
      <c r="E648" s="1"/>
      <c r="F648" s="1"/>
      <c r="G648" s="1" t="s">
        <v>43</v>
      </c>
      <c r="H648" s="2">
        <v>5776</v>
      </c>
      <c r="I648" s="1" t="s">
        <v>13</v>
      </c>
      <c r="J648" s="1" t="s">
        <v>13</v>
      </c>
      <c r="K648" s="1" t="s">
        <v>720</v>
      </c>
      <c r="L648" s="1" t="s">
        <v>13</v>
      </c>
      <c r="M648" s="6" t="str">
        <f>_xlfn.CONCAT(Table1[[#This Row],[Billing Street]], ", ", Table1[[#This Row],[Billing City]], ", ", Table1[[#This Row],[Billing State/Province]], ", ", Table1[[#This Row],[Billing Zip/Postal Code]])</f>
        <v xml:space="preserve">, , NJ, </v>
      </c>
    </row>
    <row r="649" spans="1:13" ht="15.6" hidden="1" x14ac:dyDescent="0.3">
      <c r="A649" s="1" t="s">
        <v>2312</v>
      </c>
      <c r="B649" s="1"/>
      <c r="C649" s="1"/>
      <c r="D649" s="1"/>
      <c r="E649" s="1"/>
      <c r="F649" s="1"/>
      <c r="G649" s="1" t="s">
        <v>43</v>
      </c>
      <c r="H649" s="2">
        <v>5776</v>
      </c>
      <c r="I649" s="1" t="s">
        <v>13</v>
      </c>
      <c r="J649" s="1" t="s">
        <v>2313</v>
      </c>
      <c r="K649" s="1" t="s">
        <v>133</v>
      </c>
      <c r="L649" s="1" t="s">
        <v>13</v>
      </c>
      <c r="M649" s="6" t="str">
        <f>_xlfn.CONCAT(Table1[[#This Row],[Billing Street]], ", ", Table1[[#This Row],[Billing City]], ", ", Table1[[#This Row],[Billing State/Province]], ", ", Table1[[#This Row],[Billing Zip/Postal Code]])</f>
        <v xml:space="preserve">, Pewaukee, WI, </v>
      </c>
    </row>
    <row r="650" spans="1:13" ht="15.6" hidden="1" x14ac:dyDescent="0.3">
      <c r="A650" s="1" t="s">
        <v>2314</v>
      </c>
      <c r="B650" s="1"/>
      <c r="C650" s="1"/>
      <c r="D650" s="1"/>
      <c r="E650" s="1"/>
      <c r="F650" s="1"/>
      <c r="G650" s="1" t="s">
        <v>8</v>
      </c>
      <c r="H650" s="2">
        <v>193</v>
      </c>
      <c r="I650" s="1" t="s">
        <v>2315</v>
      </c>
      <c r="J650" s="1" t="s">
        <v>246</v>
      </c>
      <c r="K650" s="1" t="s">
        <v>11</v>
      </c>
      <c r="L650" s="1" t="s">
        <v>2316</v>
      </c>
      <c r="M650" s="6" t="str">
        <f>_xlfn.CONCAT(Table1[[#This Row],[Billing Street]], ", ", Table1[[#This Row],[Billing City]], ", ", Table1[[#This Row],[Billing State/Province]], ", ", Table1[[#This Row],[Billing Zip/Postal Code]])</f>
        <v>106 Woodward Street, Easton, MO, 64443</v>
      </c>
    </row>
    <row r="651" spans="1:13" ht="15.6" hidden="1" x14ac:dyDescent="0.3">
      <c r="A651" s="1" t="s">
        <v>2317</v>
      </c>
      <c r="B651" s="1"/>
      <c r="C651" s="1"/>
      <c r="D651" s="1"/>
      <c r="E651" s="1"/>
      <c r="F651" s="1"/>
      <c r="G651" s="1" t="s">
        <v>8</v>
      </c>
      <c r="H651" s="2">
        <v>233</v>
      </c>
      <c r="I651" s="1" t="s">
        <v>2318</v>
      </c>
      <c r="J651" s="1" t="s">
        <v>100</v>
      </c>
      <c r="K651" s="1" t="s">
        <v>11</v>
      </c>
      <c r="L651" s="1" t="s">
        <v>2319</v>
      </c>
      <c r="M651" s="6" t="str">
        <f>_xlfn.CONCAT(Table1[[#This Row],[Billing Street]], ", ", Table1[[#This Row],[Billing City]], ", ", Table1[[#This Row],[Billing State/Province]], ", ", Table1[[#This Row],[Billing Zip/Postal Code]])</f>
        <v>106 E Clay St, Albany, MO, 64402</v>
      </c>
    </row>
    <row r="652" spans="1:13" ht="15.6" hidden="1" x14ac:dyDescent="0.3">
      <c r="A652" s="1" t="s">
        <v>2320</v>
      </c>
      <c r="B652" s="1"/>
      <c r="C652" s="1"/>
      <c r="D652" s="1"/>
      <c r="E652" s="1"/>
      <c r="F652" s="1"/>
      <c r="G652" s="1" t="s">
        <v>54</v>
      </c>
      <c r="H652" s="2">
        <v>826</v>
      </c>
      <c r="I652" s="1" t="s">
        <v>2321</v>
      </c>
      <c r="J652" s="1" t="s">
        <v>2322</v>
      </c>
      <c r="K652" s="1" t="s">
        <v>2254</v>
      </c>
      <c r="L652" s="1" t="s">
        <v>2323</v>
      </c>
      <c r="M652" s="6" t="str">
        <f>_xlfn.CONCAT(Table1[[#This Row],[Billing Street]], ", ", Table1[[#This Row],[Billing City]], ", ", Table1[[#This Row],[Billing State/Province]], ", ", Table1[[#This Row],[Billing Zip/Postal Code]])</f>
        <v>601 SW 2nd Avenue, Suite 1400, Portland, OR, 97204</v>
      </c>
    </row>
    <row r="653" spans="1:13" ht="15.6" hidden="1" x14ac:dyDescent="0.3">
      <c r="A653" s="1" t="s">
        <v>2324</v>
      </c>
      <c r="B653" s="1"/>
      <c r="C653" s="1"/>
      <c r="D653" s="1"/>
      <c r="E653" s="1"/>
      <c r="F653" s="1"/>
      <c r="G653" s="1" t="s">
        <v>43</v>
      </c>
      <c r="H653" s="2">
        <v>370</v>
      </c>
      <c r="I653" s="1" t="s">
        <v>2325</v>
      </c>
      <c r="J653" s="1" t="s">
        <v>2326</v>
      </c>
      <c r="K653" s="1" t="s">
        <v>720</v>
      </c>
      <c r="L653" s="1" t="s">
        <v>2327</v>
      </c>
      <c r="M653" s="6" t="str">
        <f>_xlfn.CONCAT(Table1[[#This Row],[Billing Street]], ", ", Table1[[#This Row],[Billing City]], ", ", Table1[[#This Row],[Billing State/Province]], ", ", Table1[[#This Row],[Billing Zip/Postal Code]])</f>
        <v>1 Ace Rd., Butler, NJ, 7405</v>
      </c>
    </row>
    <row r="654" spans="1:13" ht="15.6" hidden="1" x14ac:dyDescent="0.3">
      <c r="A654" s="1" t="s">
        <v>2328</v>
      </c>
      <c r="B654" s="1"/>
      <c r="C654" s="1"/>
      <c r="D654" s="1"/>
      <c r="E654" s="1"/>
      <c r="F654" s="1"/>
      <c r="G654" s="1" t="s">
        <v>205</v>
      </c>
      <c r="H654" s="2">
        <v>301</v>
      </c>
      <c r="I654" s="1" t="s">
        <v>2329</v>
      </c>
      <c r="J654" s="1" t="s">
        <v>2330</v>
      </c>
      <c r="K654" s="1" t="s">
        <v>266</v>
      </c>
      <c r="L654" s="1" t="s">
        <v>2331</v>
      </c>
      <c r="M654" s="6" t="str">
        <f>_xlfn.CONCAT(Table1[[#This Row],[Billing Street]], ", ", Table1[[#This Row],[Billing City]], ", ", Table1[[#This Row],[Billing State/Province]], ", ", Table1[[#This Row],[Billing Zip/Postal Code]])</f>
        <v>215 Manzanares Ave, Socorro, NM, 87801</v>
      </c>
    </row>
    <row r="655" spans="1:13" ht="15.6" hidden="1" x14ac:dyDescent="0.3">
      <c r="A655" s="1" t="s">
        <v>2332</v>
      </c>
      <c r="B655" s="1"/>
      <c r="C655" s="1"/>
      <c r="D655" s="1"/>
      <c r="E655" s="1"/>
      <c r="F655" s="1"/>
      <c r="G655" s="1" t="s">
        <v>205</v>
      </c>
      <c r="H655" s="2">
        <v>469</v>
      </c>
      <c r="I655" s="1" t="s">
        <v>2333</v>
      </c>
      <c r="J655" s="1" t="s">
        <v>2334</v>
      </c>
      <c r="K655" s="1" t="s">
        <v>266</v>
      </c>
      <c r="L655" s="1" t="s">
        <v>13</v>
      </c>
      <c r="M655" s="6" t="str">
        <f>_xlfn.CONCAT(Table1[[#This Row],[Billing Street]], ", ", Table1[[#This Row],[Billing City]], ", ", Table1[[#This Row],[Billing State/Province]], ", ", Table1[[#This Row],[Billing Zip/Postal Code]])</f>
        <v xml:space="preserve">420 Maxwell Ave, Springer, NM, </v>
      </c>
    </row>
    <row r="656" spans="1:13" ht="15.6" hidden="1" x14ac:dyDescent="0.3">
      <c r="A656" s="1" t="s">
        <v>2335</v>
      </c>
      <c r="B656" s="1"/>
      <c r="C656" s="1"/>
      <c r="D656" s="1"/>
      <c r="E656" s="1"/>
      <c r="F656" s="1"/>
      <c r="G656" s="1" t="s">
        <v>205</v>
      </c>
      <c r="H656" s="2">
        <v>317</v>
      </c>
      <c r="I656" s="1" t="s">
        <v>2336</v>
      </c>
      <c r="J656" s="1" t="s">
        <v>2337</v>
      </c>
      <c r="K656" s="1" t="s">
        <v>266</v>
      </c>
      <c r="L656" s="1" t="s">
        <v>2338</v>
      </c>
      <c r="M656" s="6" t="str">
        <f>_xlfn.CONCAT(Table1[[#This Row],[Billing Street]], ", ", Table1[[#This Row],[Billing City]], ", ", Table1[[#This Row],[Billing State/Province]], ", ", Table1[[#This Row],[Billing Zip/Postal Code]])</f>
        <v>101 N Browning Pkwy, Farmington, NM, 87401</v>
      </c>
    </row>
    <row r="657" spans="1:13" ht="15.6" hidden="1" x14ac:dyDescent="0.3">
      <c r="A657" s="1" t="s">
        <v>2339</v>
      </c>
      <c r="B657" s="1"/>
      <c r="C657" s="1"/>
      <c r="D657" s="1"/>
      <c r="E657" s="1"/>
      <c r="F657" s="1"/>
      <c r="G657" s="1" t="s">
        <v>205</v>
      </c>
      <c r="H657" s="2">
        <v>7481</v>
      </c>
      <c r="I657" s="1" t="s">
        <v>2340</v>
      </c>
      <c r="J657" s="1" t="s">
        <v>2341</v>
      </c>
      <c r="K657" s="1" t="s">
        <v>266</v>
      </c>
      <c r="L657" s="1" t="s">
        <v>2342</v>
      </c>
      <c r="M657" s="6" t="str">
        <f>_xlfn.CONCAT(Table1[[#This Row],[Billing Street]], ", ", Table1[[#This Row],[Billing City]], ", ", Table1[[#This Row],[Billing State/Province]], ", ", Table1[[#This Row],[Billing Zip/Postal Code]])</f>
        <v>19365 U.S. 84, Hernandez, NM, 87537</v>
      </c>
    </row>
    <row r="658" spans="1:13" ht="15.6" x14ac:dyDescent="0.3">
      <c r="A658" s="1" t="s">
        <v>374</v>
      </c>
      <c r="B658" s="1"/>
      <c r="C658" s="1"/>
      <c r="D658" s="1"/>
      <c r="E658" s="1"/>
      <c r="F658" s="1"/>
      <c r="G658" s="1" t="s">
        <v>24</v>
      </c>
      <c r="H658" s="2">
        <v>389</v>
      </c>
      <c r="I658" s="1" t="s">
        <v>2343</v>
      </c>
      <c r="J658" s="1" t="s">
        <v>2344</v>
      </c>
      <c r="K658" s="1" t="s">
        <v>577</v>
      </c>
      <c r="L658" s="1" t="s">
        <v>2345</v>
      </c>
      <c r="M658" s="6" t="str">
        <f>_xlfn.CONCAT(Table1[[#This Row],[Billing Street]], ", ", Table1[[#This Row],[Billing City]], ", ", Table1[[#This Row],[Billing State/Province]], ", ", Table1[[#This Row],[Billing Zip/Postal Code]])</f>
        <v>140 Van Ply Rd, Oakdale, LA, 71463</v>
      </c>
    </row>
    <row r="659" spans="1:13" ht="15.6" hidden="1" x14ac:dyDescent="0.3">
      <c r="A659" s="1" t="s">
        <v>2346</v>
      </c>
      <c r="B659" s="1"/>
      <c r="C659" s="1"/>
      <c r="D659" s="1"/>
      <c r="E659" s="1"/>
      <c r="F659" s="1"/>
      <c r="G659" s="1" t="s">
        <v>8</v>
      </c>
      <c r="H659" s="2">
        <v>421</v>
      </c>
      <c r="I659" s="1" t="s">
        <v>2347</v>
      </c>
      <c r="J659" s="1" t="s">
        <v>2348</v>
      </c>
      <c r="K659" s="1" t="s">
        <v>51</v>
      </c>
      <c r="L659" s="1" t="s">
        <v>2349</v>
      </c>
      <c r="M659" s="6" t="str">
        <f>_xlfn.CONCAT(Table1[[#This Row],[Billing Street]], ", ", Table1[[#This Row],[Billing City]], ", ", Table1[[#This Row],[Billing State/Province]], ", ", Table1[[#This Row],[Billing Zip/Postal Code]])</f>
        <v>1218 Fisher St, Goldthwaite, TX, 76844</v>
      </c>
    </row>
    <row r="660" spans="1:13" ht="15.6" hidden="1" x14ac:dyDescent="0.3">
      <c r="A660" s="1" t="s">
        <v>2350</v>
      </c>
      <c r="B660" s="1"/>
      <c r="C660" s="1"/>
      <c r="D660" s="1"/>
      <c r="E660" s="1"/>
      <c r="F660" s="1"/>
      <c r="G660" s="1" t="s">
        <v>8</v>
      </c>
      <c r="H660" s="2">
        <v>529</v>
      </c>
      <c r="I660" s="1" t="s">
        <v>768</v>
      </c>
      <c r="J660" s="1" t="s">
        <v>769</v>
      </c>
      <c r="K660" s="1" t="s">
        <v>51</v>
      </c>
      <c r="L660" s="1" t="s">
        <v>2351</v>
      </c>
      <c r="M660" s="6" t="str">
        <f>_xlfn.CONCAT(Table1[[#This Row],[Billing Street]], ", ", Table1[[#This Row],[Billing City]], ", ", Table1[[#This Row],[Billing State/Province]], ", ", Table1[[#This Row],[Billing Zip/Postal Code]])</f>
        <v>PO Box 629, Goldsmith, TX, 70741</v>
      </c>
    </row>
    <row r="661" spans="1:13" ht="15.6" hidden="1" x14ac:dyDescent="0.3">
      <c r="A661" s="1" t="s">
        <v>2352</v>
      </c>
      <c r="B661" s="1"/>
      <c r="C661" s="1"/>
      <c r="D661" s="1"/>
      <c r="E661" s="1"/>
      <c r="F661" s="1"/>
      <c r="G661" s="1" t="s">
        <v>8</v>
      </c>
      <c r="H661" s="2">
        <v>326</v>
      </c>
      <c r="I661" s="1" t="s">
        <v>2353</v>
      </c>
      <c r="J661" s="1" t="s">
        <v>2354</v>
      </c>
      <c r="K661" s="1" t="s">
        <v>198</v>
      </c>
      <c r="L661" s="1" t="s">
        <v>2355</v>
      </c>
      <c r="M661" s="6" t="str">
        <f>_xlfn.CONCAT(Table1[[#This Row],[Billing Street]], ", ", Table1[[#This Row],[Billing City]], ", ", Table1[[#This Row],[Billing State/Province]], ", ", Table1[[#This Row],[Billing Zip/Postal Code]])</f>
        <v>704 6th Street, St Paul, NE, 68873</v>
      </c>
    </row>
    <row r="662" spans="1:13" ht="15.6" hidden="1" x14ac:dyDescent="0.3">
      <c r="A662" s="1" t="s">
        <v>2356</v>
      </c>
      <c r="B662" s="1"/>
      <c r="C662" s="1"/>
      <c r="D662" s="1"/>
      <c r="E662" s="1"/>
      <c r="F662" s="1"/>
      <c r="G662" s="1" t="s">
        <v>43</v>
      </c>
      <c r="H662" s="2">
        <v>5776</v>
      </c>
      <c r="I662" s="1" t="s">
        <v>2357</v>
      </c>
      <c r="J662" s="1" t="s">
        <v>2358</v>
      </c>
      <c r="K662" s="1" t="s">
        <v>2359</v>
      </c>
      <c r="L662" s="1" t="s">
        <v>2360</v>
      </c>
      <c r="M662" s="6" t="str">
        <f>_xlfn.CONCAT(Table1[[#This Row],[Billing Street]], ", ", Table1[[#This Row],[Billing City]], ", ", Table1[[#This Row],[Billing State/Province]], ", ", Table1[[#This Row],[Billing Zip/Postal Code]])</f>
        <v>121 Lafayette Road, North Hampton, NH, 3862</v>
      </c>
    </row>
    <row r="663" spans="1:13" ht="15.6" hidden="1" x14ac:dyDescent="0.3">
      <c r="A663" s="1" t="s">
        <v>2361</v>
      </c>
      <c r="B663" s="1"/>
      <c r="C663" s="1"/>
      <c r="D663" s="1"/>
      <c r="E663" s="1"/>
      <c r="F663" s="1"/>
      <c r="G663" s="1" t="s">
        <v>8</v>
      </c>
      <c r="H663" s="2">
        <v>252</v>
      </c>
      <c r="I663" s="1" t="s">
        <v>2362</v>
      </c>
      <c r="J663" s="1" t="s">
        <v>2363</v>
      </c>
      <c r="K663" s="1" t="s">
        <v>198</v>
      </c>
      <c r="L663" s="1" t="s">
        <v>2364</v>
      </c>
      <c r="M663" s="6" t="str">
        <f>_xlfn.CONCAT(Table1[[#This Row],[Billing Street]], ", ", Table1[[#This Row],[Billing City]], ", ", Table1[[#This Row],[Billing State/Province]], ", ", Table1[[#This Row],[Billing Zip/Postal Code]])</f>
        <v>495 Midland St, Syracuse, NE, 68446</v>
      </c>
    </row>
    <row r="664" spans="1:13" ht="15.6" hidden="1" x14ac:dyDescent="0.3">
      <c r="A664" s="1" t="s">
        <v>2365</v>
      </c>
      <c r="B664" s="1"/>
      <c r="C664" s="1"/>
      <c r="D664" s="1"/>
      <c r="E664" s="1"/>
      <c r="F664" s="1"/>
      <c r="G664" s="1" t="s">
        <v>8</v>
      </c>
      <c r="H664" s="2">
        <v>245</v>
      </c>
      <c r="I664" s="1" t="s">
        <v>2366</v>
      </c>
      <c r="J664" s="1" t="s">
        <v>173</v>
      </c>
      <c r="K664" s="1" t="s">
        <v>198</v>
      </c>
      <c r="L664" s="1" t="s">
        <v>2367</v>
      </c>
      <c r="M664" s="6" t="str">
        <f>_xlfn.CONCAT(Table1[[#This Row],[Billing Street]], ", ", Table1[[#This Row],[Billing City]], ", ", Table1[[#This Row],[Billing State/Province]], ", ", Table1[[#This Row],[Billing Zip/Postal Code]])</f>
        <v>135 W 4th St, Superior, NE, 68978</v>
      </c>
    </row>
    <row r="665" spans="1:13" ht="15.6" hidden="1" x14ac:dyDescent="0.3">
      <c r="A665" s="1" t="s">
        <v>2368</v>
      </c>
      <c r="B665" s="1"/>
      <c r="C665" s="1"/>
      <c r="D665" s="1"/>
      <c r="E665" s="1"/>
      <c r="F665" s="1"/>
      <c r="G665" s="1" t="s">
        <v>8</v>
      </c>
      <c r="H665" s="2">
        <v>362</v>
      </c>
      <c r="I665" s="1" t="s">
        <v>2369</v>
      </c>
      <c r="J665" s="1" t="s">
        <v>2370</v>
      </c>
      <c r="K665" s="1" t="s">
        <v>198</v>
      </c>
      <c r="L665" s="1" t="s">
        <v>2371</v>
      </c>
      <c r="M665" s="6" t="str">
        <f>_xlfn.CONCAT(Table1[[#This Row],[Billing Street]], ", ", Table1[[#This Row],[Billing City]], ", ", Table1[[#This Row],[Billing State/Province]], ", ", Table1[[#This Row],[Billing Zip/Postal Code]])</f>
        <v>200 S 17th St, Ord, NE, 68862</v>
      </c>
    </row>
    <row r="666" spans="1:13" ht="15.6" x14ac:dyDescent="0.3">
      <c r="A666" s="1" t="s">
        <v>2372</v>
      </c>
      <c r="B666" s="1"/>
      <c r="C666" s="1"/>
      <c r="D666" s="1"/>
      <c r="E666" s="1"/>
      <c r="F666" s="1"/>
      <c r="G666" s="1" t="s">
        <v>24</v>
      </c>
      <c r="H666" s="2">
        <v>5988</v>
      </c>
      <c r="I666" s="1" t="s">
        <v>13</v>
      </c>
      <c r="J666" s="1" t="s">
        <v>13</v>
      </c>
      <c r="K666" s="1" t="s">
        <v>577</v>
      </c>
      <c r="L666" s="1" t="s">
        <v>13</v>
      </c>
      <c r="M666" s="6" t="str">
        <f>_xlfn.CONCAT(Table1[[#This Row],[Billing Street]], ", ", Table1[[#This Row],[Billing City]], ", ", Table1[[#This Row],[Billing State/Province]], ", ", Table1[[#This Row],[Billing Zip/Postal Code]])</f>
        <v xml:space="preserve">, , LA, </v>
      </c>
    </row>
    <row r="667" spans="1:13" ht="15.6" hidden="1" x14ac:dyDescent="0.3">
      <c r="A667" s="1" t="s">
        <v>2373</v>
      </c>
      <c r="B667" s="1"/>
      <c r="C667" s="1"/>
      <c r="D667" s="1"/>
      <c r="E667" s="1"/>
      <c r="F667" s="1"/>
      <c r="G667" s="1" t="s">
        <v>43</v>
      </c>
      <c r="H667" s="2">
        <v>5776</v>
      </c>
      <c r="I667" s="1" t="s">
        <v>13</v>
      </c>
      <c r="J667" s="1" t="s">
        <v>13</v>
      </c>
      <c r="K667" s="1" t="s">
        <v>720</v>
      </c>
      <c r="L667" s="1" t="s">
        <v>13</v>
      </c>
      <c r="M667" s="6" t="str">
        <f>_xlfn.CONCAT(Table1[[#This Row],[Billing Street]], ", ", Table1[[#This Row],[Billing City]], ", ", Table1[[#This Row],[Billing State/Province]], ", ", Table1[[#This Row],[Billing Zip/Postal Code]])</f>
        <v xml:space="preserve">, , NJ, </v>
      </c>
    </row>
    <row r="668" spans="1:13" ht="15.6" hidden="1" x14ac:dyDescent="0.3">
      <c r="A668" s="1" t="s">
        <v>2374</v>
      </c>
      <c r="B668" s="1"/>
      <c r="C668" s="1"/>
      <c r="D668" s="1"/>
      <c r="E668" s="1"/>
      <c r="F668" s="1"/>
      <c r="G668" s="1" t="s">
        <v>8</v>
      </c>
      <c r="H668" s="2">
        <v>309</v>
      </c>
      <c r="I668" s="1" t="s">
        <v>2375</v>
      </c>
      <c r="J668" s="1" t="s">
        <v>2376</v>
      </c>
      <c r="K668" s="1" t="s">
        <v>198</v>
      </c>
      <c r="L668" s="1" t="s">
        <v>2377</v>
      </c>
      <c r="M668" s="6" t="str">
        <f>_xlfn.CONCAT(Table1[[#This Row],[Billing Street]], ", ", Table1[[#This Row],[Billing City]], ", ", Table1[[#This Row],[Billing State/Province]], ", ", Table1[[#This Row],[Billing Zip/Postal Code]])</f>
        <v>1702 31st Street, Central City, NE, 68826</v>
      </c>
    </row>
    <row r="669" spans="1:13" ht="15.6" hidden="1" x14ac:dyDescent="0.3">
      <c r="A669" s="1" t="s">
        <v>2378</v>
      </c>
      <c r="B669" s="1"/>
      <c r="C669" s="1"/>
      <c r="D669" s="1"/>
      <c r="E669" s="1"/>
      <c r="F669" s="1"/>
      <c r="G669" s="1" t="s">
        <v>43</v>
      </c>
      <c r="H669" s="2">
        <v>5776</v>
      </c>
      <c r="I669" s="1" t="s">
        <v>13</v>
      </c>
      <c r="J669" s="1" t="s">
        <v>13</v>
      </c>
      <c r="K669" s="1" t="s">
        <v>720</v>
      </c>
      <c r="L669" s="1" t="s">
        <v>13</v>
      </c>
      <c r="M669" s="6" t="str">
        <f>_xlfn.CONCAT(Table1[[#This Row],[Billing Street]], ", ", Table1[[#This Row],[Billing City]], ", ", Table1[[#This Row],[Billing State/Province]], ", ", Table1[[#This Row],[Billing Zip/Postal Code]])</f>
        <v xml:space="preserve">, , NJ, </v>
      </c>
    </row>
    <row r="670" spans="1:13" ht="15.6" hidden="1" x14ac:dyDescent="0.3">
      <c r="A670" s="1" t="s">
        <v>2379</v>
      </c>
      <c r="B670" s="1"/>
      <c r="C670" s="1"/>
      <c r="D670" s="1"/>
      <c r="E670" s="1"/>
      <c r="F670" s="1"/>
      <c r="G670" s="1" t="s">
        <v>43</v>
      </c>
      <c r="H670" s="2">
        <v>321</v>
      </c>
      <c r="I670" s="1" t="s">
        <v>2380</v>
      </c>
      <c r="J670" s="1" t="s">
        <v>2041</v>
      </c>
      <c r="K670" s="1" t="s">
        <v>152</v>
      </c>
      <c r="L670" s="1" t="s">
        <v>2381</v>
      </c>
      <c r="M670" s="6" t="str">
        <f>_xlfn.CONCAT(Table1[[#This Row],[Billing Street]], ", ", Table1[[#This Row],[Billing City]], ", ", Table1[[#This Row],[Billing State/Province]], ", ", Table1[[#This Row],[Billing Zip/Postal Code]])</f>
        <v>79 West Monroe, Suite 1119, Chicago, IL, 60603</v>
      </c>
    </row>
    <row r="671" spans="1:13" ht="15.6" hidden="1" x14ac:dyDescent="0.3">
      <c r="A671" s="1" t="s">
        <v>2382</v>
      </c>
      <c r="B671" s="1"/>
      <c r="C671" s="1"/>
      <c r="D671" s="1"/>
      <c r="E671" s="1"/>
      <c r="F671" s="1"/>
      <c r="G671" s="1" t="s">
        <v>54</v>
      </c>
      <c r="H671" s="2">
        <v>826</v>
      </c>
      <c r="I671" s="1" t="s">
        <v>2383</v>
      </c>
      <c r="J671" s="1" t="s">
        <v>2322</v>
      </c>
      <c r="K671" s="1" t="s">
        <v>2254</v>
      </c>
      <c r="L671" s="1" t="s">
        <v>2323</v>
      </c>
      <c r="M671" s="6" t="str">
        <f>_xlfn.CONCAT(Table1[[#This Row],[Billing Street]], ", ", Table1[[#This Row],[Billing City]], ", ", Table1[[#This Row],[Billing State/Province]], ", ", Table1[[#This Row],[Billing Zip/Postal Code]])</f>
        <v>601 SW 2nd AV, Portland, OR, 97204</v>
      </c>
    </row>
    <row r="672" spans="1:13" ht="15.6" hidden="1" x14ac:dyDescent="0.3">
      <c r="A672" s="1" t="s">
        <v>2384</v>
      </c>
      <c r="B672" s="1"/>
      <c r="C672" s="1"/>
      <c r="D672" s="1"/>
      <c r="E672" s="1"/>
      <c r="F672" s="1"/>
      <c r="G672" s="1" t="s">
        <v>43</v>
      </c>
      <c r="H672" s="2">
        <v>399</v>
      </c>
      <c r="I672" s="1" t="s">
        <v>2385</v>
      </c>
      <c r="J672" s="1" t="s">
        <v>2386</v>
      </c>
      <c r="K672" s="1" t="s">
        <v>720</v>
      </c>
      <c r="L672" s="1" t="s">
        <v>2387</v>
      </c>
      <c r="M672" s="6" t="str">
        <f>_xlfn.CONCAT(Table1[[#This Row],[Billing Street]], ", ", Table1[[#This Row],[Billing City]], ", ", Table1[[#This Row],[Billing State/Province]], ", ", Table1[[#This Row],[Billing Zip/Postal Code]])</f>
        <v>515 South Ocean Ave, Seaside Park, NJ, 8752</v>
      </c>
    </row>
    <row r="673" spans="1:13" ht="15.6" hidden="1" x14ac:dyDescent="0.3">
      <c r="A673" s="1" t="s">
        <v>2388</v>
      </c>
      <c r="B673" s="1"/>
      <c r="C673" s="1"/>
      <c r="D673" s="1"/>
      <c r="E673" s="1"/>
      <c r="F673" s="1"/>
      <c r="G673" s="1" t="s">
        <v>54</v>
      </c>
      <c r="H673" s="2">
        <v>2330</v>
      </c>
      <c r="I673" s="1" t="s">
        <v>2389</v>
      </c>
      <c r="J673" s="1" t="s">
        <v>2390</v>
      </c>
      <c r="K673" s="1" t="s">
        <v>57</v>
      </c>
      <c r="L673" s="1" t="s">
        <v>2391</v>
      </c>
      <c r="M673" s="6" t="str">
        <f>_xlfn.CONCAT(Table1[[#This Row],[Billing Street]], ", ", Table1[[#This Row],[Billing City]], ", ", Table1[[#This Row],[Billing State/Province]], ", ", Table1[[#This Row],[Billing Zip/Postal Code]])</f>
        <v>200 South Park Road, Suite 350, Hollywood, CA, 33021</v>
      </c>
    </row>
    <row r="674" spans="1:13" ht="15.6" hidden="1" x14ac:dyDescent="0.3">
      <c r="A674" s="1" t="s">
        <v>2392</v>
      </c>
      <c r="B674" s="1"/>
      <c r="C674" s="1"/>
      <c r="D674" s="1"/>
      <c r="E674" s="1"/>
      <c r="F674" s="1"/>
      <c r="G674" s="1" t="s">
        <v>43</v>
      </c>
      <c r="H674" s="2">
        <v>5776</v>
      </c>
      <c r="I674" s="1" t="s">
        <v>13</v>
      </c>
      <c r="J674" s="1" t="s">
        <v>13</v>
      </c>
      <c r="K674" s="1" t="s">
        <v>720</v>
      </c>
      <c r="L674" s="1" t="s">
        <v>13</v>
      </c>
      <c r="M674" s="6" t="str">
        <f>_xlfn.CONCAT(Table1[[#This Row],[Billing Street]], ", ", Table1[[#This Row],[Billing City]], ", ", Table1[[#This Row],[Billing State/Province]], ", ", Table1[[#This Row],[Billing Zip/Postal Code]])</f>
        <v xml:space="preserve">, , NJ, </v>
      </c>
    </row>
    <row r="675" spans="1:13" ht="15.6" hidden="1" x14ac:dyDescent="0.3">
      <c r="A675" s="1" t="s">
        <v>2393</v>
      </c>
      <c r="B675" s="1"/>
      <c r="C675" s="1"/>
      <c r="D675" s="1"/>
      <c r="E675" s="1"/>
      <c r="F675" s="1"/>
      <c r="G675" s="1" t="s">
        <v>205</v>
      </c>
      <c r="H675" s="2">
        <v>52</v>
      </c>
      <c r="I675" s="1" t="s">
        <v>2394</v>
      </c>
      <c r="J675" s="1" t="s">
        <v>2395</v>
      </c>
      <c r="K675" s="1" t="s">
        <v>479</v>
      </c>
      <c r="L675" s="1" t="s">
        <v>2396</v>
      </c>
      <c r="M675" s="6" t="str">
        <f>_xlfn.CONCAT(Table1[[#This Row],[Billing Street]], ", ", Table1[[#This Row],[Billing City]], ", ", Table1[[#This Row],[Billing State/Province]], ", ", Table1[[#This Row],[Billing Zip/Postal Code]])</f>
        <v>533 W. Wickenburg Way, Wickenburg, AZ, 85390</v>
      </c>
    </row>
    <row r="676" spans="1:13" ht="15.6" hidden="1" x14ac:dyDescent="0.3">
      <c r="A676" s="1" t="s">
        <v>2397</v>
      </c>
      <c r="B676" s="1"/>
      <c r="C676" s="1"/>
      <c r="D676" s="1"/>
      <c r="E676" s="1"/>
      <c r="F676" s="1"/>
      <c r="G676" s="1" t="s">
        <v>205</v>
      </c>
      <c r="H676" s="2">
        <v>504</v>
      </c>
      <c r="I676" s="1" t="s">
        <v>2398</v>
      </c>
      <c r="J676" s="1" t="s">
        <v>2399</v>
      </c>
      <c r="K676" s="1" t="s">
        <v>472</v>
      </c>
      <c r="L676" s="1" t="s">
        <v>2400</v>
      </c>
      <c r="M676" s="6" t="str">
        <f>_xlfn.CONCAT(Table1[[#This Row],[Billing Street]], ", ", Table1[[#This Row],[Billing City]], ", ", Table1[[#This Row],[Billing State/Province]], ", ", Table1[[#This Row],[Billing Zip/Postal Code]])</f>
        <v>2455 West 1500 South Suite A, Salt Lake City, UT, 84104</v>
      </c>
    </row>
    <row r="677" spans="1:13" ht="15.6" hidden="1" x14ac:dyDescent="0.3">
      <c r="A677" s="1" t="s">
        <v>2401</v>
      </c>
      <c r="B677" s="1"/>
      <c r="C677" s="1"/>
      <c r="D677" s="1"/>
      <c r="E677" s="1"/>
      <c r="F677" s="1"/>
      <c r="G677" s="1" t="s">
        <v>43</v>
      </c>
      <c r="H677" s="2">
        <v>5776</v>
      </c>
      <c r="I677" s="1" t="s">
        <v>13</v>
      </c>
      <c r="J677" s="1" t="s">
        <v>13</v>
      </c>
      <c r="K677" s="1" t="s">
        <v>720</v>
      </c>
      <c r="L677" s="1" t="s">
        <v>13</v>
      </c>
      <c r="M677" s="6" t="str">
        <f>_xlfn.CONCAT(Table1[[#This Row],[Billing Street]], ", ", Table1[[#This Row],[Billing City]], ", ", Table1[[#This Row],[Billing State/Province]], ", ", Table1[[#This Row],[Billing Zip/Postal Code]])</f>
        <v xml:space="preserve">, , NJ, </v>
      </c>
    </row>
    <row r="678" spans="1:13" ht="15.6" hidden="1" x14ac:dyDescent="0.3">
      <c r="A678" s="1" t="s">
        <v>2402</v>
      </c>
      <c r="B678" s="1"/>
      <c r="C678" s="1"/>
      <c r="D678" s="1"/>
      <c r="E678" s="1"/>
      <c r="F678" s="1"/>
      <c r="G678" s="1" t="s">
        <v>43</v>
      </c>
      <c r="H678" s="2">
        <v>5776</v>
      </c>
      <c r="I678" s="1" t="s">
        <v>13</v>
      </c>
      <c r="J678" s="1" t="s">
        <v>13</v>
      </c>
      <c r="K678" s="1" t="s">
        <v>720</v>
      </c>
      <c r="L678" s="1" t="s">
        <v>13</v>
      </c>
      <c r="M678" s="6" t="str">
        <f>_xlfn.CONCAT(Table1[[#This Row],[Billing Street]], ", ", Table1[[#This Row],[Billing City]], ", ", Table1[[#This Row],[Billing State/Province]], ", ", Table1[[#This Row],[Billing Zip/Postal Code]])</f>
        <v xml:space="preserve">, , NJ, </v>
      </c>
    </row>
    <row r="679" spans="1:13" ht="15.6" x14ac:dyDescent="0.3">
      <c r="A679" s="1" t="s">
        <v>2403</v>
      </c>
      <c r="B679" s="1"/>
      <c r="C679" s="1"/>
      <c r="D679" s="1"/>
      <c r="E679" s="1"/>
      <c r="F679" s="1"/>
      <c r="G679" s="1" t="s">
        <v>24</v>
      </c>
      <c r="H679" s="2">
        <v>278</v>
      </c>
      <c r="I679" s="1" t="s">
        <v>2404</v>
      </c>
      <c r="J679" s="1" t="s">
        <v>368</v>
      </c>
      <c r="K679" s="1" t="s">
        <v>26</v>
      </c>
      <c r="L679" s="1" t="s">
        <v>2405</v>
      </c>
      <c r="M679" s="6" t="str">
        <f>_xlfn.CONCAT(Table1[[#This Row],[Billing Street]], ", ", Table1[[#This Row],[Billing City]], ", ", Table1[[#This Row],[Billing State/Province]], ", ", Table1[[#This Row],[Billing Zip/Postal Code]])</f>
        <v>225 W. Franklin St, Russellville, AL, 35653</v>
      </c>
    </row>
    <row r="680" spans="1:13" ht="15.6" x14ac:dyDescent="0.3">
      <c r="A680" s="1" t="s">
        <v>2406</v>
      </c>
      <c r="B680" s="1"/>
      <c r="C680" s="1"/>
      <c r="D680" s="1"/>
      <c r="E680" s="1"/>
      <c r="F680" s="1"/>
      <c r="G680" s="1" t="s">
        <v>24</v>
      </c>
      <c r="H680" s="2">
        <v>5988</v>
      </c>
      <c r="I680" s="1" t="s">
        <v>2407</v>
      </c>
      <c r="J680" s="1" t="s">
        <v>2408</v>
      </c>
      <c r="K680" s="1" t="s">
        <v>26</v>
      </c>
      <c r="L680" s="1" t="s">
        <v>2409</v>
      </c>
      <c r="M680" s="6" t="str">
        <f>_xlfn.CONCAT(Table1[[#This Row],[Billing Street]], ", ", Table1[[#This Row],[Billing City]], ", ", Table1[[#This Row],[Billing State/Province]], ", ", Table1[[#This Row],[Billing Zip/Postal Code]])</f>
        <v>361 College St, Courtland, AL, 35618</v>
      </c>
    </row>
    <row r="681" spans="1:13" ht="15.6" hidden="1" x14ac:dyDescent="0.3">
      <c r="A681" s="1" t="s">
        <v>2410</v>
      </c>
      <c r="B681" s="1"/>
      <c r="C681" s="1"/>
      <c r="D681" s="1"/>
      <c r="E681" s="1"/>
      <c r="F681" s="1"/>
      <c r="G681" s="1" t="s">
        <v>43</v>
      </c>
      <c r="H681" s="2">
        <v>5776</v>
      </c>
      <c r="I681" s="1" t="s">
        <v>13</v>
      </c>
      <c r="J681" s="1" t="s">
        <v>13</v>
      </c>
      <c r="K681" s="1" t="s">
        <v>720</v>
      </c>
      <c r="L681" s="1" t="s">
        <v>13</v>
      </c>
      <c r="M681" s="6" t="str">
        <f>_xlfn.CONCAT(Table1[[#This Row],[Billing Street]], ", ", Table1[[#This Row],[Billing City]], ", ", Table1[[#This Row],[Billing State/Province]], ", ", Table1[[#This Row],[Billing Zip/Postal Code]])</f>
        <v xml:space="preserve">, , NJ, </v>
      </c>
    </row>
    <row r="682" spans="1:13" ht="15.6" hidden="1" x14ac:dyDescent="0.3">
      <c r="A682" s="1" t="s">
        <v>2411</v>
      </c>
      <c r="B682" s="1"/>
      <c r="C682" s="1"/>
      <c r="D682" s="1"/>
      <c r="E682" s="1"/>
      <c r="F682" s="1"/>
      <c r="G682" s="1" t="s">
        <v>8</v>
      </c>
      <c r="H682" s="2">
        <v>6528</v>
      </c>
      <c r="I682" s="1" t="s">
        <v>2412</v>
      </c>
      <c r="J682" s="1" t="s">
        <v>2413</v>
      </c>
      <c r="K682" s="1" t="s">
        <v>2414</v>
      </c>
      <c r="L682" s="1" t="s">
        <v>2415</v>
      </c>
      <c r="M682" s="6" t="str">
        <f>_xlfn.CONCAT(Table1[[#This Row],[Billing Street]], ", ", Table1[[#This Row],[Billing City]], ", ", Table1[[#This Row],[Billing State/Province]], ", ", Table1[[#This Row],[Billing Zip/Postal Code]])</f>
        <v>6408 MT-16, Medicine Lake, MT, 59247</v>
      </c>
    </row>
    <row r="683" spans="1:13" ht="15.6" hidden="1" x14ac:dyDescent="0.3">
      <c r="A683" s="1" t="s">
        <v>2416</v>
      </c>
      <c r="B683" s="1"/>
      <c r="C683" s="1"/>
      <c r="D683" s="1"/>
      <c r="E683" s="1"/>
      <c r="F683" s="1"/>
      <c r="G683" s="1" t="s">
        <v>8</v>
      </c>
      <c r="H683" s="2">
        <v>199</v>
      </c>
      <c r="I683" s="1" t="s">
        <v>2417</v>
      </c>
      <c r="J683" s="1" t="s">
        <v>2418</v>
      </c>
      <c r="K683" s="1" t="s">
        <v>11</v>
      </c>
      <c r="L683" s="1" t="s">
        <v>2419</v>
      </c>
      <c r="M683" s="6" t="str">
        <f>_xlfn.CONCAT(Table1[[#This Row],[Billing Street]], ", ", Table1[[#This Row],[Billing City]], ", ", Table1[[#This Row],[Billing State/Province]], ", ", Table1[[#This Row],[Billing Zip/Postal Code]])</f>
        <v>194 Eastlawn Ave, Ste A, St Robert, MO, 65584</v>
      </c>
    </row>
    <row r="684" spans="1:13" ht="15.6" hidden="1" x14ac:dyDescent="0.3">
      <c r="A684" s="1" t="s">
        <v>2420</v>
      </c>
      <c r="B684" s="1"/>
      <c r="C684" s="1"/>
      <c r="D684" s="1"/>
      <c r="E684" s="1"/>
      <c r="F684" s="1"/>
      <c r="G684" s="1" t="s">
        <v>43</v>
      </c>
      <c r="H684" s="2">
        <v>273</v>
      </c>
      <c r="I684" s="1" t="s">
        <v>2421</v>
      </c>
      <c r="J684" s="1" t="s">
        <v>585</v>
      </c>
      <c r="K684" s="1" t="s">
        <v>237</v>
      </c>
      <c r="L684" s="1" t="s">
        <v>2422</v>
      </c>
      <c r="M684" s="6" t="str">
        <f>_xlfn.CONCAT(Table1[[#This Row],[Billing Street]], ", ", Table1[[#This Row],[Billing City]], ", ", Table1[[#This Row],[Billing State/Province]], ", ", Table1[[#This Row],[Billing Zip/Postal Code]])</f>
        <v>750 International Drive, Franklin, IN, 46131</v>
      </c>
    </row>
    <row r="685" spans="1:13" ht="15.6" hidden="1" x14ac:dyDescent="0.3">
      <c r="A685" s="1" t="s">
        <v>2423</v>
      </c>
      <c r="B685" s="1"/>
      <c r="C685" s="1"/>
      <c r="D685" s="1"/>
      <c r="E685" s="1"/>
      <c r="F685" s="1"/>
      <c r="G685" s="1" t="s">
        <v>43</v>
      </c>
      <c r="H685" s="2">
        <v>205</v>
      </c>
      <c r="I685" s="1" t="s">
        <v>2424</v>
      </c>
      <c r="J685" s="1" t="s">
        <v>2425</v>
      </c>
      <c r="K685" s="1" t="s">
        <v>237</v>
      </c>
      <c r="L685" s="1" t="s">
        <v>2426</v>
      </c>
      <c r="M685" s="6" t="str">
        <f>_xlfn.CONCAT(Table1[[#This Row],[Billing Street]], ", ", Table1[[#This Row],[Billing City]], ", ", Table1[[#This Row],[Billing State/Province]], ", ", Table1[[#This Row],[Billing Zip/Postal Code]])</f>
        <v>4901 E Park 30 Dr, Columbia City, IN, 46725</v>
      </c>
    </row>
    <row r="686" spans="1:13" ht="15.6" hidden="1" x14ac:dyDescent="0.3">
      <c r="A686" s="1" t="s">
        <v>2427</v>
      </c>
      <c r="B686" s="1"/>
      <c r="C686" s="1"/>
      <c r="D686" s="1"/>
      <c r="E686" s="1"/>
      <c r="F686" s="1"/>
      <c r="G686" s="1" t="s">
        <v>43</v>
      </c>
      <c r="H686" s="2">
        <v>5776</v>
      </c>
      <c r="I686" s="1" t="s">
        <v>2428</v>
      </c>
      <c r="J686" s="1" t="s">
        <v>2429</v>
      </c>
      <c r="K686" s="1" t="s">
        <v>237</v>
      </c>
      <c r="L686" s="1" t="s">
        <v>13</v>
      </c>
      <c r="M686" s="6" t="str">
        <f>_xlfn.CONCAT(Table1[[#This Row],[Billing Street]], ", ", Table1[[#This Row],[Billing City]], ", ", Table1[[#This Row],[Billing State/Province]], ", ", Table1[[#This Row],[Billing Zip/Postal Code]])</f>
        <v xml:space="preserve">Raystone, Valpo, IN, </v>
      </c>
    </row>
    <row r="687" spans="1:13" ht="15.6" hidden="1" x14ac:dyDescent="0.3">
      <c r="A687" s="1" t="s">
        <v>2430</v>
      </c>
      <c r="B687" s="1"/>
      <c r="C687" s="1"/>
      <c r="D687" s="1"/>
      <c r="E687" s="1"/>
      <c r="F687" s="1"/>
      <c r="G687" s="1" t="s">
        <v>43</v>
      </c>
      <c r="H687" s="2">
        <v>239</v>
      </c>
      <c r="I687" s="1" t="s">
        <v>2431</v>
      </c>
      <c r="J687" s="1" t="s">
        <v>2432</v>
      </c>
      <c r="K687" s="1" t="s">
        <v>237</v>
      </c>
      <c r="L687" s="1" t="s">
        <v>2433</v>
      </c>
      <c r="M687" s="6" t="str">
        <f>_xlfn.CONCAT(Table1[[#This Row],[Billing Street]], ", ", Table1[[#This Row],[Billing City]], ", ", Table1[[#This Row],[Billing State/Province]], ", ", Table1[[#This Row],[Billing Zip/Postal Code]])</f>
        <v>550 Baxter Rd, Anderson, IN, 46011</v>
      </c>
    </row>
    <row r="688" spans="1:13" ht="15.6" hidden="1" x14ac:dyDescent="0.3">
      <c r="A688" s="1" t="s">
        <v>2434</v>
      </c>
      <c r="B688" s="1"/>
      <c r="C688" s="1"/>
      <c r="D688" s="1"/>
      <c r="E688" s="1"/>
      <c r="F688" s="1"/>
      <c r="G688" s="1" t="s">
        <v>43</v>
      </c>
      <c r="H688" s="2">
        <v>309</v>
      </c>
      <c r="I688" s="1" t="s">
        <v>2435</v>
      </c>
      <c r="J688" s="1" t="s">
        <v>2436</v>
      </c>
      <c r="K688" s="1" t="s">
        <v>237</v>
      </c>
      <c r="L688" s="1" t="s">
        <v>2437</v>
      </c>
      <c r="M688" s="6" t="str">
        <f>_xlfn.CONCAT(Table1[[#This Row],[Billing Street]], ", ", Table1[[#This Row],[Billing City]], ", ", Table1[[#This Row],[Billing State/Province]], ", ", Table1[[#This Row],[Billing Zip/Postal Code]])</f>
        <v>2501 Cooperative Way, Bloomington, IN, 47403</v>
      </c>
    </row>
    <row r="689" spans="1:13" ht="15.6" hidden="1" x14ac:dyDescent="0.3">
      <c r="A689" s="1" t="s">
        <v>2438</v>
      </c>
      <c r="B689" s="1"/>
      <c r="C689" s="1"/>
      <c r="D689" s="1"/>
      <c r="E689" s="1"/>
      <c r="F689" s="1"/>
      <c r="G689" s="1" t="s">
        <v>98</v>
      </c>
      <c r="H689" s="2">
        <v>50</v>
      </c>
      <c r="I689" s="1" t="s">
        <v>2439</v>
      </c>
      <c r="J689" s="1" t="s">
        <v>2440</v>
      </c>
      <c r="K689" s="1" t="s">
        <v>101</v>
      </c>
      <c r="L689" s="1" t="s">
        <v>2441</v>
      </c>
      <c r="M689" s="6" t="str">
        <f>_xlfn.CONCAT(Table1[[#This Row],[Billing Street]], ", ", Table1[[#This Row],[Billing City]], ", ", Table1[[#This Row],[Billing State/Province]], ", ", Table1[[#This Row],[Billing Zip/Postal Code]])</f>
        <v>P.O. Box 695, Clermont, GA, 30527</v>
      </c>
    </row>
    <row r="690" spans="1:13" ht="15.6" hidden="1" x14ac:dyDescent="0.3">
      <c r="A690" s="1" t="s">
        <v>2442</v>
      </c>
      <c r="B690" s="1"/>
      <c r="C690" s="1"/>
      <c r="D690" s="1"/>
      <c r="E690" s="1"/>
      <c r="F690" s="1"/>
      <c r="G690" s="1" t="s">
        <v>43</v>
      </c>
      <c r="H690" s="2">
        <v>243</v>
      </c>
      <c r="I690" s="1" t="s">
        <v>2443</v>
      </c>
      <c r="J690" s="1" t="s">
        <v>2444</v>
      </c>
      <c r="K690" s="1" t="s">
        <v>237</v>
      </c>
      <c r="L690" s="1" t="s">
        <v>2445</v>
      </c>
      <c r="M690" s="6" t="str">
        <f>_xlfn.CONCAT(Table1[[#This Row],[Billing Street]], ", ", Table1[[#This Row],[Billing City]], ", ", Table1[[#This Row],[Billing State/Province]], ", ", Table1[[#This Row],[Billing Zip/Postal Code]])</f>
        <v>100 West State St, Pendleton, IN, 46064</v>
      </c>
    </row>
    <row r="691" spans="1:13" ht="15.6" x14ac:dyDescent="0.3">
      <c r="A691" s="1" t="s">
        <v>2446</v>
      </c>
      <c r="B691" s="1"/>
      <c r="C691" s="1"/>
      <c r="D691" s="1"/>
      <c r="E691" s="1"/>
      <c r="F691" s="1"/>
      <c r="G691" s="1" t="s">
        <v>24</v>
      </c>
      <c r="H691" s="2">
        <v>69</v>
      </c>
      <c r="I691" s="1" t="s">
        <v>2447</v>
      </c>
      <c r="J691" s="1" t="s">
        <v>715</v>
      </c>
      <c r="K691" s="1" t="s">
        <v>36</v>
      </c>
      <c r="L691" s="1" t="s">
        <v>2448</v>
      </c>
      <c r="M691" s="6" t="str">
        <f>_xlfn.CONCAT(Table1[[#This Row],[Billing Street]], ", ", Table1[[#This Row],[Billing City]], ", ", Table1[[#This Row],[Billing State/Province]], ", ", Table1[[#This Row],[Billing Zip/Postal Code]])</f>
        <v>5208 Sycamore Dr, Pensacola, FL, 32503</v>
      </c>
    </row>
    <row r="692" spans="1:13" ht="15.6" hidden="1" x14ac:dyDescent="0.3">
      <c r="A692" s="1" t="s">
        <v>2449</v>
      </c>
      <c r="B692" s="1"/>
      <c r="C692" s="1"/>
      <c r="D692" s="1"/>
      <c r="E692" s="1"/>
      <c r="F692" s="1"/>
      <c r="G692" s="1" t="s">
        <v>43</v>
      </c>
      <c r="H692" s="2">
        <v>236</v>
      </c>
      <c r="I692" s="1" t="s">
        <v>2450</v>
      </c>
      <c r="J692" s="1" t="s">
        <v>2451</v>
      </c>
      <c r="K692" s="1" t="s">
        <v>237</v>
      </c>
      <c r="L692" s="1" t="s">
        <v>2452</v>
      </c>
      <c r="M692" s="6" t="str">
        <f>_xlfn.CONCAT(Table1[[#This Row],[Billing Street]], ", ", Table1[[#This Row],[Billing City]], ", ", Table1[[#This Row],[Billing State/Province]], ", ", Table1[[#This Row],[Billing Zip/Postal Code]])</f>
        <v>230 Walnut St, Lawrenceburg, IN, 47025</v>
      </c>
    </row>
    <row r="693" spans="1:13" ht="15.6" x14ac:dyDescent="0.3">
      <c r="A693" s="1" t="s">
        <v>2453</v>
      </c>
      <c r="B693" s="1"/>
      <c r="C693" s="1"/>
      <c r="D693" s="1"/>
      <c r="E693" s="1"/>
      <c r="F693" s="1"/>
      <c r="G693" s="1" t="s">
        <v>24</v>
      </c>
      <c r="H693" s="2">
        <v>71</v>
      </c>
      <c r="I693" s="1" t="s">
        <v>2454</v>
      </c>
      <c r="J693" s="1" t="s">
        <v>715</v>
      </c>
      <c r="K693" s="1" t="s">
        <v>36</v>
      </c>
      <c r="L693" s="1" t="s">
        <v>2455</v>
      </c>
      <c r="M693" s="6" t="str">
        <f>_xlfn.CONCAT(Table1[[#This Row],[Billing Street]], ", ", Table1[[#This Row],[Billing City]], ", ", Table1[[#This Row],[Billing State/Province]], ", ", Table1[[#This Row],[Billing Zip/Postal Code]])</f>
        <v>3717 W. Navy Blvd, Pensacola, FL, 32507</v>
      </c>
    </row>
    <row r="694" spans="1:13" ht="15.6" hidden="1" x14ac:dyDescent="0.3">
      <c r="A694" s="1" t="s">
        <v>2456</v>
      </c>
      <c r="B694" s="1"/>
      <c r="C694" s="1"/>
      <c r="D694" s="1"/>
      <c r="E694" s="1"/>
      <c r="F694" s="1"/>
      <c r="G694" s="1" t="s">
        <v>43</v>
      </c>
      <c r="H694" s="2">
        <v>323</v>
      </c>
      <c r="I694" s="1" t="s">
        <v>2457</v>
      </c>
      <c r="J694" s="1" t="s">
        <v>2041</v>
      </c>
      <c r="K694" s="1" t="s">
        <v>152</v>
      </c>
      <c r="L694" s="1" t="s">
        <v>2204</v>
      </c>
      <c r="M694" s="6" t="str">
        <f>_xlfn.CONCAT(Table1[[#This Row],[Billing Street]], ", ", Table1[[#This Row],[Billing City]], ", ", Table1[[#This Row],[Billing State/Province]], ", ", Table1[[#This Row],[Billing Zip/Postal Code]])</f>
        <v>2625 S. Loomis Street, Chicago, IL, 60608</v>
      </c>
    </row>
    <row r="695" spans="1:13" ht="15.6" hidden="1" x14ac:dyDescent="0.3">
      <c r="A695" s="1" t="s">
        <v>2458</v>
      </c>
      <c r="B695" s="1"/>
      <c r="C695" s="1"/>
      <c r="D695" s="1"/>
      <c r="E695" s="1"/>
      <c r="F695" s="1"/>
      <c r="G695" s="1" t="s">
        <v>43</v>
      </c>
      <c r="H695" s="2">
        <v>323</v>
      </c>
      <c r="I695" s="1" t="s">
        <v>2459</v>
      </c>
      <c r="J695" s="1" t="s">
        <v>2460</v>
      </c>
      <c r="K695" s="1" t="s">
        <v>781</v>
      </c>
      <c r="L695" s="1" t="s">
        <v>2461</v>
      </c>
      <c r="M695" s="6" t="str">
        <f>_xlfn.CONCAT(Table1[[#This Row],[Billing Street]], ", ", Table1[[#This Row],[Billing City]], ", ", Table1[[#This Row],[Billing State/Province]], ", ", Table1[[#This Row],[Billing Zip/Postal Code]])</f>
        <v>2217 Spillman Dr, Bethlehem, pa, 18015</v>
      </c>
    </row>
    <row r="696" spans="1:13" ht="15.6" hidden="1" x14ac:dyDescent="0.3">
      <c r="A696" s="1" t="s">
        <v>2462</v>
      </c>
      <c r="B696" s="1"/>
      <c r="C696" s="1"/>
      <c r="D696" s="1"/>
      <c r="E696" s="1"/>
      <c r="F696" s="1"/>
      <c r="G696" s="1" t="s">
        <v>43</v>
      </c>
      <c r="H696" s="2">
        <v>113</v>
      </c>
      <c r="I696" s="1" t="s">
        <v>2463</v>
      </c>
      <c r="J696" s="1" t="s">
        <v>2464</v>
      </c>
      <c r="K696" s="1" t="s">
        <v>82</v>
      </c>
      <c r="L696" s="1" t="s">
        <v>2465</v>
      </c>
      <c r="M696" s="6" t="str">
        <f>_xlfn.CONCAT(Table1[[#This Row],[Billing Street]], ", ", Table1[[#This Row],[Billing City]], ", ", Table1[[#This Row],[Billing State/Province]], ", ", Table1[[#This Row],[Billing Zip/Postal Code]])</f>
        <v>200 Matlin Road, Carleton, MI, 48117</v>
      </c>
    </row>
    <row r="697" spans="1:13" ht="15.6" hidden="1" x14ac:dyDescent="0.3">
      <c r="A697" s="1" t="s">
        <v>2466</v>
      </c>
      <c r="B697" s="1"/>
      <c r="C697" s="1"/>
      <c r="D697" s="1"/>
      <c r="E697" s="1"/>
      <c r="F697" s="1"/>
      <c r="G697" s="1" t="s">
        <v>43</v>
      </c>
      <c r="H697" s="2">
        <v>293</v>
      </c>
      <c r="I697" s="1" t="s">
        <v>2467</v>
      </c>
      <c r="J697" s="1" t="s">
        <v>1570</v>
      </c>
      <c r="K697" s="1" t="s">
        <v>237</v>
      </c>
      <c r="L697" s="1" t="s">
        <v>2468</v>
      </c>
      <c r="M697" s="6" t="str">
        <f>_xlfn.CONCAT(Table1[[#This Row],[Billing Street]], ", ", Table1[[#This Row],[Billing City]], ", ", Table1[[#This Row],[Billing State/Province]], ", ", Table1[[#This Row],[Billing Zip/Postal Code]])</f>
        <v>300 Morton Avenue, Martinsville, IN, 46151-2472</v>
      </c>
    </row>
    <row r="698" spans="1:13" ht="15.6" x14ac:dyDescent="0.3">
      <c r="A698" s="1" t="s">
        <v>2469</v>
      </c>
      <c r="B698" s="1"/>
      <c r="C698" s="1"/>
      <c r="D698" s="1"/>
      <c r="E698" s="1"/>
      <c r="F698" s="1"/>
      <c r="G698" s="1" t="s">
        <v>24</v>
      </c>
      <c r="H698" s="2">
        <v>5988</v>
      </c>
      <c r="I698" s="1" t="s">
        <v>13</v>
      </c>
      <c r="J698" s="1" t="s">
        <v>2470</v>
      </c>
      <c r="K698" s="1" t="s">
        <v>26</v>
      </c>
      <c r="L698" s="1" t="s">
        <v>13</v>
      </c>
      <c r="M698" s="6" t="str">
        <f>_xlfn.CONCAT(Table1[[#This Row],[Billing Street]], ", ", Table1[[#This Row],[Billing City]], ", ", Table1[[#This Row],[Billing State/Province]], ", ", Table1[[#This Row],[Billing Zip/Postal Code]])</f>
        <v xml:space="preserve">, Muscle Shoals, AL, </v>
      </c>
    </row>
    <row r="699" spans="1:13" ht="15.6" hidden="1" x14ac:dyDescent="0.3">
      <c r="A699" s="1" t="s">
        <v>2471</v>
      </c>
      <c r="B699" s="1"/>
      <c r="C699" s="1"/>
      <c r="D699" s="1"/>
      <c r="E699" s="1"/>
      <c r="F699" s="1"/>
      <c r="G699" s="1" t="s">
        <v>43</v>
      </c>
      <c r="H699" s="2">
        <v>280</v>
      </c>
      <c r="I699" s="1" t="s">
        <v>2472</v>
      </c>
      <c r="J699" s="1" t="s">
        <v>2473</v>
      </c>
      <c r="K699" s="1" t="s">
        <v>237</v>
      </c>
      <c r="L699" s="1" t="s">
        <v>2474</v>
      </c>
      <c r="M699" s="6" t="str">
        <f>_xlfn.CONCAT(Table1[[#This Row],[Billing Street]], ", ", Table1[[#This Row],[Billing City]], ", ", Table1[[#This Row],[Billing State/Province]], ", ", Table1[[#This Row],[Billing Zip/Postal Code]])</f>
        <v>302 North Sixth Street, Monticello, IN, 47960</v>
      </c>
    </row>
    <row r="700" spans="1:13" ht="15.6" hidden="1" x14ac:dyDescent="0.3">
      <c r="A700" s="1" t="s">
        <v>2475</v>
      </c>
      <c r="B700" s="1"/>
      <c r="C700" s="1"/>
      <c r="D700" s="1"/>
      <c r="E700" s="1"/>
      <c r="F700" s="1"/>
      <c r="G700" s="1" t="s">
        <v>43</v>
      </c>
      <c r="H700" s="2">
        <v>270</v>
      </c>
      <c r="I700" s="1" t="s">
        <v>2476</v>
      </c>
      <c r="J700" s="1" t="s">
        <v>261</v>
      </c>
      <c r="K700" s="1" t="s">
        <v>237</v>
      </c>
      <c r="L700" s="1" t="s">
        <v>1337</v>
      </c>
      <c r="M700" s="6" t="str">
        <f>_xlfn.CONCAT(Table1[[#This Row],[Billing Street]], ", ", Table1[[#This Row],[Billing City]], ", ", Table1[[#This Row],[Billing State/Province]], ", ", Table1[[#This Row],[Billing Zip/Postal Code]])</f>
        <v>6525 Guion Road, Indianapolis, IN, 46268</v>
      </c>
    </row>
    <row r="701" spans="1:13" ht="15.6" hidden="1" x14ac:dyDescent="0.3">
      <c r="A701" s="1" t="s">
        <v>2477</v>
      </c>
      <c r="B701" s="1"/>
      <c r="C701" s="1"/>
      <c r="D701" s="1"/>
      <c r="E701" s="1"/>
      <c r="F701" s="1"/>
      <c r="G701" s="1" t="s">
        <v>43</v>
      </c>
      <c r="H701" s="2">
        <v>288</v>
      </c>
      <c r="I701" s="1" t="s">
        <v>2478</v>
      </c>
      <c r="J701" s="1" t="s">
        <v>2479</v>
      </c>
      <c r="K701" s="1" t="s">
        <v>237</v>
      </c>
      <c r="L701" s="1" t="s">
        <v>2480</v>
      </c>
      <c r="M701" s="6" t="str">
        <f>_xlfn.CONCAT(Table1[[#This Row],[Billing Street]], ", ", Table1[[#This Row],[Billing City]], ", ", Table1[[#This Row],[Billing State/Province]], ", ", Table1[[#This Row],[Billing Zip/Postal Code]])</f>
        <v>421 E. Main St., Jamestown, IN, 46147</v>
      </c>
    </row>
    <row r="702" spans="1:13" ht="15.6" hidden="1" x14ac:dyDescent="0.3">
      <c r="A702" s="1" t="s">
        <v>2481</v>
      </c>
      <c r="B702" s="1"/>
      <c r="C702" s="1"/>
      <c r="D702" s="1"/>
      <c r="E702" s="1"/>
      <c r="F702" s="1"/>
      <c r="G702" s="1" t="s">
        <v>98</v>
      </c>
      <c r="H702" s="2">
        <v>5887</v>
      </c>
      <c r="I702" s="1" t="s">
        <v>13</v>
      </c>
      <c r="J702" s="1" t="s">
        <v>2482</v>
      </c>
      <c r="K702" s="1" t="s">
        <v>101</v>
      </c>
      <c r="L702" s="1" t="s">
        <v>13</v>
      </c>
      <c r="M702" s="6" t="str">
        <f>_xlfn.CONCAT(Table1[[#This Row],[Billing Street]], ", ", Table1[[#This Row],[Billing City]], ", ", Table1[[#This Row],[Billing State/Province]], ", ", Table1[[#This Row],[Billing Zip/Postal Code]])</f>
        <v xml:space="preserve">, Millen, GA, </v>
      </c>
    </row>
    <row r="703" spans="1:13" ht="15.6" hidden="1" x14ac:dyDescent="0.3">
      <c r="A703" s="1" t="s">
        <v>2483</v>
      </c>
      <c r="B703" s="1"/>
      <c r="C703" s="1"/>
      <c r="D703" s="1"/>
      <c r="E703" s="1"/>
      <c r="F703" s="1"/>
      <c r="G703" s="1" t="s">
        <v>43</v>
      </c>
      <c r="H703" s="2">
        <v>286</v>
      </c>
      <c r="I703" s="1" t="s">
        <v>2484</v>
      </c>
      <c r="J703" s="1" t="s">
        <v>2485</v>
      </c>
      <c r="K703" s="1" t="s">
        <v>237</v>
      </c>
      <c r="L703" s="1" t="s">
        <v>2486</v>
      </c>
      <c r="M703" s="6" t="str">
        <f>_xlfn.CONCAT(Table1[[#This Row],[Billing Street]], ", ", Table1[[#This Row],[Billing City]], ", ", Table1[[#This Row],[Billing State/Province]], ", ", Table1[[#This Row],[Billing Zip/Postal Code]])</f>
        <v>PO Box 159, Brooklyn, IN, 46111</v>
      </c>
    </row>
    <row r="704" spans="1:13" ht="15.6" hidden="1" x14ac:dyDescent="0.3">
      <c r="A704" s="1" t="s">
        <v>2487</v>
      </c>
      <c r="B704" s="1"/>
      <c r="C704" s="1"/>
      <c r="D704" s="1"/>
      <c r="E704" s="1"/>
      <c r="F704" s="1"/>
      <c r="G704" s="1" t="s">
        <v>98</v>
      </c>
      <c r="H704" s="2">
        <v>5887</v>
      </c>
      <c r="I704" s="1" t="s">
        <v>13</v>
      </c>
      <c r="J704" s="1" t="s">
        <v>2488</v>
      </c>
      <c r="K704" s="1" t="s">
        <v>101</v>
      </c>
      <c r="L704" s="1" t="s">
        <v>13</v>
      </c>
      <c r="M704" s="6" t="str">
        <f>_xlfn.CONCAT(Table1[[#This Row],[Billing Street]], ", ", Table1[[#This Row],[Billing City]], ", ", Table1[[#This Row],[Billing State/Province]], ", ", Table1[[#This Row],[Billing Zip/Postal Code]])</f>
        <v xml:space="preserve">, Cuthbert, GA, </v>
      </c>
    </row>
    <row r="705" spans="1:13" ht="15.6" hidden="1" x14ac:dyDescent="0.3">
      <c r="A705" s="1" t="s">
        <v>2489</v>
      </c>
      <c r="B705" s="1"/>
      <c r="C705" s="1"/>
      <c r="D705" s="1"/>
      <c r="E705" s="1"/>
      <c r="F705" s="1"/>
      <c r="G705" s="1" t="s">
        <v>98</v>
      </c>
      <c r="H705" s="2">
        <v>5887</v>
      </c>
      <c r="I705" s="1" t="s">
        <v>13</v>
      </c>
      <c r="J705" s="1" t="s">
        <v>2490</v>
      </c>
      <c r="K705" s="1" t="s">
        <v>101</v>
      </c>
      <c r="L705" s="1" t="s">
        <v>13</v>
      </c>
      <c r="M705" s="6" t="str">
        <f>_xlfn.CONCAT(Table1[[#This Row],[Billing Street]], ", ", Table1[[#This Row],[Billing City]], ", ", Table1[[#This Row],[Billing State/Province]], ", ", Table1[[#This Row],[Billing Zip/Postal Code]])</f>
        <v xml:space="preserve">, Vienna, GA, </v>
      </c>
    </row>
    <row r="706" spans="1:13" ht="15.6" hidden="1" x14ac:dyDescent="0.3">
      <c r="A706" s="1" t="s">
        <v>2491</v>
      </c>
      <c r="B706" s="1"/>
      <c r="C706" s="1"/>
      <c r="D706" s="1"/>
      <c r="E706" s="1"/>
      <c r="F706" s="1"/>
      <c r="G706" s="1" t="s">
        <v>98</v>
      </c>
      <c r="H706" s="2">
        <v>5887</v>
      </c>
      <c r="I706" s="1" t="s">
        <v>2492</v>
      </c>
      <c r="J706" s="1" t="s">
        <v>1847</v>
      </c>
      <c r="K706" s="1" t="s">
        <v>101</v>
      </c>
      <c r="L706" s="1" t="s">
        <v>13</v>
      </c>
      <c r="M706" s="6" t="str">
        <f>_xlfn.CONCAT(Table1[[#This Row],[Billing Street]], ", ", Table1[[#This Row],[Billing City]], ", ", Table1[[#This Row],[Billing State/Province]], ", ", Table1[[#This Row],[Billing Zip/Postal Code]])</f>
        <v xml:space="preserve">303 Lukken Industrial Dr., LaGrange, GA, </v>
      </c>
    </row>
    <row r="707" spans="1:13" ht="15.6" hidden="1" x14ac:dyDescent="0.3">
      <c r="A707" s="1" t="s">
        <v>2493</v>
      </c>
      <c r="B707" s="1"/>
      <c r="C707" s="1"/>
      <c r="D707" s="1"/>
      <c r="E707" s="1"/>
      <c r="F707" s="1"/>
      <c r="G707" s="1" t="s">
        <v>8</v>
      </c>
      <c r="H707" s="2">
        <v>512</v>
      </c>
      <c r="I707" s="1" t="s">
        <v>2494</v>
      </c>
      <c r="J707" s="1" t="s">
        <v>557</v>
      </c>
      <c r="K707" s="1" t="s">
        <v>51</v>
      </c>
      <c r="L707" s="1" t="s">
        <v>2495</v>
      </c>
      <c r="M707" s="6" t="str">
        <f>_xlfn.CONCAT(Table1[[#This Row],[Billing Street]], ", ", Table1[[#This Row],[Billing City]], ", ", Table1[[#This Row],[Billing State/Province]], ", ", Table1[[#This Row],[Billing Zip/Postal Code]])</f>
        <v>10220 Mykawa, Houston, TX, 77048</v>
      </c>
    </row>
    <row r="708" spans="1:13" ht="15.6" hidden="1" x14ac:dyDescent="0.3">
      <c r="A708" s="1" t="s">
        <v>2496</v>
      </c>
      <c r="B708" s="1"/>
      <c r="C708" s="1"/>
      <c r="D708" s="1"/>
      <c r="E708" s="1"/>
      <c r="F708" s="1"/>
      <c r="G708" s="1" t="s">
        <v>54</v>
      </c>
      <c r="H708" s="2">
        <v>497</v>
      </c>
      <c r="I708" s="1" t="s">
        <v>2497</v>
      </c>
      <c r="J708" s="1" t="s">
        <v>2432</v>
      </c>
      <c r="K708" s="1" t="s">
        <v>57</v>
      </c>
      <c r="L708" s="1" t="s">
        <v>2498</v>
      </c>
      <c r="M708" s="6" t="str">
        <f>_xlfn.CONCAT(Table1[[#This Row],[Billing Street]], ", ", Table1[[#This Row],[Billing City]], ", ", Table1[[#This Row],[Billing State/Province]], ", ", Table1[[#This Row],[Billing Zip/Postal Code]])</f>
        <v>19794 Riverside Ave, Anderson, CA, 96007</v>
      </c>
    </row>
    <row r="709" spans="1:13" ht="15.6" hidden="1" x14ac:dyDescent="0.3">
      <c r="A709" s="1" t="s">
        <v>2499</v>
      </c>
      <c r="B709" s="1"/>
      <c r="C709" s="1"/>
      <c r="D709" s="1"/>
      <c r="E709" s="1"/>
      <c r="F709" s="1"/>
      <c r="G709" s="1" t="s">
        <v>43</v>
      </c>
      <c r="H709" s="2">
        <v>223</v>
      </c>
      <c r="I709" s="1" t="s">
        <v>2500</v>
      </c>
      <c r="J709" s="1" t="s">
        <v>2501</v>
      </c>
      <c r="K709" s="1" t="s">
        <v>237</v>
      </c>
      <c r="L709" s="1" t="s">
        <v>2502</v>
      </c>
      <c r="M709" s="6" t="str">
        <f>_xlfn.CONCAT(Table1[[#This Row],[Billing Street]], ", ", Table1[[#This Row],[Billing City]], ", ", Table1[[#This Row],[Billing State/Province]], ", ", Table1[[#This Row],[Billing Zip/Postal Code]])</f>
        <v>2250 E Cumberland St., Dublin, IN, 47335</v>
      </c>
    </row>
    <row r="710" spans="1:13" ht="15.6" hidden="1" x14ac:dyDescent="0.3">
      <c r="A710" s="1" t="s">
        <v>2503</v>
      </c>
      <c r="B710" s="1"/>
      <c r="C710" s="1"/>
      <c r="D710" s="1"/>
      <c r="E710" s="1"/>
      <c r="F710" s="1"/>
      <c r="G710" s="1" t="s">
        <v>43</v>
      </c>
      <c r="H710" s="2">
        <v>266</v>
      </c>
      <c r="I710" s="1" t="s">
        <v>2504</v>
      </c>
      <c r="J710" s="1" t="s">
        <v>261</v>
      </c>
      <c r="K710" s="1" t="s">
        <v>237</v>
      </c>
      <c r="L710" s="1" t="s">
        <v>2505</v>
      </c>
      <c r="M710" s="6" t="str">
        <f>_xlfn.CONCAT(Table1[[#This Row],[Billing Street]], ", ", Table1[[#This Row],[Billing City]], ", ", Table1[[#This Row],[Billing State/Province]], ", ", Table1[[#This Row],[Billing Zip/Postal Code]])</f>
        <v>7852 Langham Way, Indianapolis, IN, 46259</v>
      </c>
    </row>
    <row r="711" spans="1:13" ht="15.6" hidden="1" x14ac:dyDescent="0.3">
      <c r="A711" s="1" t="s">
        <v>2506</v>
      </c>
      <c r="B711" s="1"/>
      <c r="C711" s="1"/>
      <c r="D711" s="1"/>
      <c r="E711" s="1"/>
      <c r="F711" s="1"/>
      <c r="G711" s="1" t="s">
        <v>43</v>
      </c>
      <c r="H711" s="2">
        <v>288</v>
      </c>
      <c r="I711" s="1" t="s">
        <v>2507</v>
      </c>
      <c r="J711" s="1" t="s">
        <v>1105</v>
      </c>
      <c r="K711" s="1" t="s">
        <v>1832</v>
      </c>
      <c r="L711" s="1" t="s">
        <v>2508</v>
      </c>
      <c r="M711" s="6" t="str">
        <f>_xlfn.CONCAT(Table1[[#This Row],[Billing Street]], ", ", Table1[[#This Row],[Billing City]], ", ", Table1[[#This Row],[Billing State/Province]], ", ", Table1[[#This Row],[Billing Zip/Postal Code]])</f>
        <v>2000 west 41st street, Baltimore, Md, 21221</v>
      </c>
    </row>
    <row r="712" spans="1:13" ht="15.6" hidden="1" x14ac:dyDescent="0.3">
      <c r="A712" s="1" t="s">
        <v>2509</v>
      </c>
      <c r="B712" s="1"/>
      <c r="C712" s="1"/>
      <c r="D712" s="1"/>
      <c r="E712" s="1"/>
      <c r="F712" s="1"/>
      <c r="G712" s="1" t="s">
        <v>43</v>
      </c>
      <c r="H712" s="2">
        <v>291</v>
      </c>
      <c r="I712" s="1" t="s">
        <v>2510</v>
      </c>
      <c r="J712" s="1" t="s">
        <v>2511</v>
      </c>
      <c r="K712" s="1" t="s">
        <v>237</v>
      </c>
      <c r="L712" s="1" t="s">
        <v>2512</v>
      </c>
      <c r="M712" s="6" t="str">
        <f>_xlfn.CONCAT(Table1[[#This Row],[Billing Street]], ", ", Table1[[#This Row],[Billing City]], ", ", Table1[[#This Row],[Billing State/Province]], ", ", Table1[[#This Row],[Billing Zip/Postal Code]])</f>
        <v>222 W. Main St., Darlington, IN, 47940</v>
      </c>
    </row>
    <row r="713" spans="1:13" ht="15.6" hidden="1" x14ac:dyDescent="0.3">
      <c r="A713" s="1" t="s">
        <v>2513</v>
      </c>
      <c r="B713" s="1"/>
      <c r="C713" s="1"/>
      <c r="D713" s="1"/>
      <c r="E713" s="1"/>
      <c r="F713" s="1"/>
      <c r="G713" s="1" t="s">
        <v>43</v>
      </c>
      <c r="H713" s="2">
        <v>282</v>
      </c>
      <c r="I713" s="1" t="s">
        <v>2514</v>
      </c>
      <c r="J713" s="1" t="s">
        <v>2515</v>
      </c>
      <c r="K713" s="1" t="s">
        <v>237</v>
      </c>
      <c r="L713" s="1" t="s">
        <v>2516</v>
      </c>
      <c r="M713" s="6" t="str">
        <f>_xlfn.CONCAT(Table1[[#This Row],[Billing Street]], ", ", Table1[[#This Row],[Billing City]], ", ", Table1[[#This Row],[Billing State/Province]], ", ", Table1[[#This Row],[Billing Zip/Postal Code]])</f>
        <v>80 North Meridian St., Pittsboro, IN, 46167</v>
      </c>
    </row>
    <row r="714" spans="1:13" ht="15.6" hidden="1" x14ac:dyDescent="0.3">
      <c r="A714" s="1" t="s">
        <v>2517</v>
      </c>
      <c r="B714" s="1"/>
      <c r="C714" s="1"/>
      <c r="D714" s="1"/>
      <c r="E714" s="1"/>
      <c r="F714" s="1"/>
      <c r="G714" s="1" t="s">
        <v>43</v>
      </c>
      <c r="H714" s="2">
        <v>358</v>
      </c>
      <c r="I714" s="1" t="s">
        <v>2518</v>
      </c>
      <c r="J714" s="1" t="s">
        <v>2519</v>
      </c>
      <c r="K714" s="1" t="s">
        <v>237</v>
      </c>
      <c r="L714" s="1" t="s">
        <v>2520</v>
      </c>
      <c r="M714" s="6" t="str">
        <f>_xlfn.CONCAT(Table1[[#This Row],[Billing Street]], ", ", Table1[[#This Row],[Billing City]], ", ", Table1[[#This Row],[Billing State/Province]], ", ", Table1[[#This Row],[Billing Zip/Postal Code]])</f>
        <v>2065 Main St., Ferdinand, IN, 47532</v>
      </c>
    </row>
    <row r="715" spans="1:13" ht="15.6" hidden="1" x14ac:dyDescent="0.3">
      <c r="A715" s="1" t="s">
        <v>2521</v>
      </c>
      <c r="B715" s="1"/>
      <c r="C715" s="1"/>
      <c r="D715" s="1"/>
      <c r="E715" s="1"/>
      <c r="F715" s="1"/>
      <c r="G715" s="1" t="s">
        <v>43</v>
      </c>
      <c r="H715" s="2">
        <v>5776</v>
      </c>
      <c r="I715" s="1" t="s">
        <v>2522</v>
      </c>
      <c r="J715" s="1" t="s">
        <v>2523</v>
      </c>
      <c r="K715" s="1" t="s">
        <v>241</v>
      </c>
      <c r="L715" s="1" t="s">
        <v>2524</v>
      </c>
      <c r="M715" s="6" t="str">
        <f>_xlfn.CONCAT(Table1[[#This Row],[Billing Street]], ", ", Table1[[#This Row],[Billing City]], ", ", Table1[[#This Row],[Billing State/Province]], ", ", Table1[[#This Row],[Billing Zip/Postal Code]])</f>
        <v>5066 Rear West Chester Pike, Edgemont, PA, 19028</v>
      </c>
    </row>
    <row r="716" spans="1:13" ht="15.6" hidden="1" x14ac:dyDescent="0.3">
      <c r="A716" s="1" t="s">
        <v>2525</v>
      </c>
      <c r="B716" s="1"/>
      <c r="C716" s="1"/>
      <c r="D716" s="1"/>
      <c r="E716" s="1"/>
      <c r="F716" s="1"/>
      <c r="G716" s="1" t="s">
        <v>8</v>
      </c>
      <c r="H716" s="2">
        <v>190</v>
      </c>
      <c r="I716" s="1" t="s">
        <v>2526</v>
      </c>
      <c r="J716" s="1" t="s">
        <v>2527</v>
      </c>
      <c r="K716" s="1" t="s">
        <v>11</v>
      </c>
      <c r="L716" s="1" t="s">
        <v>2528</v>
      </c>
      <c r="M716" s="6" t="str">
        <f>_xlfn.CONCAT(Table1[[#This Row],[Billing Street]], ", ", Table1[[#This Row],[Billing City]], ", ", Table1[[#This Row],[Billing State/Province]], ", ", Table1[[#This Row],[Billing Zip/Postal Code]])</f>
        <v>29868 Hwy 5, Tipton, MO, 65081-0220</v>
      </c>
    </row>
    <row r="717" spans="1:13" ht="15.6" hidden="1" x14ac:dyDescent="0.3">
      <c r="A717" s="1" t="s">
        <v>2529</v>
      </c>
      <c r="B717" s="1"/>
      <c r="C717" s="1"/>
      <c r="D717" s="1"/>
      <c r="E717" s="1"/>
      <c r="F717" s="1"/>
      <c r="G717" s="1" t="s">
        <v>8</v>
      </c>
      <c r="H717" s="2">
        <v>224</v>
      </c>
      <c r="I717" s="1" t="s">
        <v>2530</v>
      </c>
      <c r="J717" s="1" t="s">
        <v>502</v>
      </c>
      <c r="K717" s="1" t="s">
        <v>11</v>
      </c>
      <c r="L717" s="1" t="s">
        <v>2531</v>
      </c>
      <c r="M717" s="6" t="str">
        <f>_xlfn.CONCAT(Table1[[#This Row],[Billing Street]], ", ", Table1[[#This Row],[Billing City]], ", ", Table1[[#This Row],[Billing State/Province]], ", ", Table1[[#This Row],[Billing Zip/Postal Code]])</f>
        <v>1413 Rangeline St, PO Box 797, Columbia, MO, 65205-0797</v>
      </c>
    </row>
    <row r="718" spans="1:13" ht="15.6" hidden="1" x14ac:dyDescent="0.3">
      <c r="A718" s="1" t="s">
        <v>2532</v>
      </c>
      <c r="B718" s="1"/>
      <c r="C718" s="1"/>
      <c r="D718" s="1"/>
      <c r="E718" s="1"/>
      <c r="F718" s="1"/>
      <c r="G718" s="1" t="s">
        <v>43</v>
      </c>
      <c r="H718" s="2">
        <v>288</v>
      </c>
      <c r="I718" s="1" t="s">
        <v>2533</v>
      </c>
      <c r="J718" s="1" t="s">
        <v>2534</v>
      </c>
      <c r="K718" s="1" t="s">
        <v>237</v>
      </c>
      <c r="L718" s="1" t="s">
        <v>2535</v>
      </c>
      <c r="M718" s="6" t="str">
        <f>_xlfn.CONCAT(Table1[[#This Row],[Billing Street]], ", ", Table1[[#This Row],[Billing City]], ", ", Table1[[#This Row],[Billing State/Province]], ", ", Table1[[#This Row],[Billing Zip/Postal Code]])</f>
        <v>205 E. Third St, Brookston, IN, 47923</v>
      </c>
    </row>
    <row r="719" spans="1:13" ht="15.6" hidden="1" x14ac:dyDescent="0.3">
      <c r="A719" s="1" t="s">
        <v>2536</v>
      </c>
      <c r="B719" s="1"/>
      <c r="C719" s="1"/>
      <c r="D719" s="1"/>
      <c r="E719" s="1"/>
      <c r="F719" s="1"/>
      <c r="G719" s="1" t="s">
        <v>43</v>
      </c>
      <c r="H719" s="2">
        <v>282</v>
      </c>
      <c r="I719" s="1" t="s">
        <v>2537</v>
      </c>
      <c r="J719" s="1" t="s">
        <v>2538</v>
      </c>
      <c r="K719" s="1" t="s">
        <v>237</v>
      </c>
      <c r="L719" s="1" t="s">
        <v>2539</v>
      </c>
      <c r="M719" s="6" t="str">
        <f>_xlfn.CONCAT(Table1[[#This Row],[Billing Street]], ", ", Table1[[#This Row],[Billing City]], ", ", Table1[[#This Row],[Billing State/Province]], ", ", Table1[[#This Row],[Billing Zip/Postal Code]])</f>
        <v>109 W Main St,, Thornton, IN, 46071</v>
      </c>
    </row>
    <row r="720" spans="1:13" ht="15.6" hidden="1" x14ac:dyDescent="0.3">
      <c r="A720" s="1" t="s">
        <v>2540</v>
      </c>
      <c r="B720" s="1"/>
      <c r="C720" s="1"/>
      <c r="D720" s="1"/>
      <c r="E720" s="1"/>
      <c r="F720" s="1"/>
      <c r="G720" s="1" t="s">
        <v>205</v>
      </c>
      <c r="H720" s="2">
        <v>3</v>
      </c>
      <c r="I720" s="1" t="s">
        <v>2541</v>
      </c>
      <c r="J720" s="1" t="s">
        <v>518</v>
      </c>
      <c r="K720" s="1" t="s">
        <v>479</v>
      </c>
      <c r="L720" s="1" t="s">
        <v>1886</v>
      </c>
      <c r="M720" s="6" t="str">
        <f>_xlfn.CONCAT(Table1[[#This Row],[Billing Street]], ", ", Table1[[#This Row],[Billing City]], ", ", Table1[[#This Row],[Billing State/Province]], ", ", Table1[[#This Row],[Billing Zip/Postal Code]])</f>
        <v>1881 East University Drive, Phoenix, AZ, 85034</v>
      </c>
    </row>
    <row r="721" spans="1:13" ht="15.6" hidden="1" x14ac:dyDescent="0.3">
      <c r="A721" s="1" t="s">
        <v>2542</v>
      </c>
      <c r="B721" s="1"/>
      <c r="C721" s="1"/>
      <c r="D721" s="1"/>
      <c r="E721" s="1"/>
      <c r="F721" s="1"/>
      <c r="G721" s="1" t="s">
        <v>205</v>
      </c>
      <c r="H721" s="2">
        <v>136</v>
      </c>
      <c r="I721" s="1" t="s">
        <v>2543</v>
      </c>
      <c r="J721" s="1" t="s">
        <v>2544</v>
      </c>
      <c r="K721" s="1" t="s">
        <v>2545</v>
      </c>
      <c r="L721" s="1" t="s">
        <v>2546</v>
      </c>
      <c r="M721" s="6" t="str">
        <f>_xlfn.CONCAT(Table1[[#This Row],[Billing Street]], ", ", Table1[[#This Row],[Billing City]], ", ", Table1[[#This Row],[Billing State/Province]], ", ", Table1[[#This Row],[Billing Zip/Postal Code]])</f>
        <v>12000 1st Ave, Parker, Az, 85344</v>
      </c>
    </row>
    <row r="722" spans="1:13" ht="15.6" hidden="1" x14ac:dyDescent="0.3">
      <c r="A722" s="1" t="s">
        <v>2547</v>
      </c>
      <c r="B722" s="1"/>
      <c r="C722" s="1"/>
      <c r="D722" s="1"/>
      <c r="E722" s="1"/>
      <c r="F722" s="1"/>
      <c r="G722" s="1" t="s">
        <v>43</v>
      </c>
      <c r="H722" s="2">
        <v>338</v>
      </c>
      <c r="I722" s="1" t="s">
        <v>2548</v>
      </c>
      <c r="J722" s="1" t="s">
        <v>2549</v>
      </c>
      <c r="K722" s="1" t="s">
        <v>241</v>
      </c>
      <c r="L722" s="1" t="s">
        <v>2550</v>
      </c>
      <c r="M722" s="6" t="str">
        <f>_xlfn.CONCAT(Table1[[#This Row],[Billing Street]], ", ", Table1[[#This Row],[Billing City]], ", ", Table1[[#This Row],[Billing State/Province]], ", ", Table1[[#This Row],[Billing Zip/Postal Code]])</f>
        <v>PO Box 2796, Bala Cynwyd, PA, 19004</v>
      </c>
    </row>
    <row r="723" spans="1:13" ht="15.6" hidden="1" x14ac:dyDescent="0.3">
      <c r="A723" s="1" t="s">
        <v>2551</v>
      </c>
      <c r="B723" s="1"/>
      <c r="C723" s="1"/>
      <c r="D723" s="1"/>
      <c r="E723" s="1"/>
      <c r="F723" s="1"/>
      <c r="G723" s="1" t="s">
        <v>43</v>
      </c>
      <c r="H723" s="2">
        <v>103</v>
      </c>
      <c r="I723" s="1" t="s">
        <v>2552</v>
      </c>
      <c r="J723" s="1" t="s">
        <v>880</v>
      </c>
      <c r="K723" s="1" t="s">
        <v>45</v>
      </c>
      <c r="L723" s="1" t="s">
        <v>881</v>
      </c>
      <c r="M723" s="6" t="str">
        <f>_xlfn.CONCAT(Table1[[#This Row],[Billing Street]], ", ", Table1[[#This Row],[Billing City]], ", ", Table1[[#This Row],[Billing State/Province]], ", ", Table1[[#This Row],[Billing Zip/Postal Code]])</f>
        <v>1201 E. Findlay Street, Carey, OH, 43316</v>
      </c>
    </row>
    <row r="724" spans="1:13" ht="15.6" x14ac:dyDescent="0.3">
      <c r="A724" s="1" t="s">
        <v>2553</v>
      </c>
      <c r="B724" s="1"/>
      <c r="C724" s="1"/>
      <c r="D724" s="1"/>
      <c r="E724" s="1"/>
      <c r="F724" s="1"/>
      <c r="G724" s="1" t="s">
        <v>24</v>
      </c>
      <c r="H724" s="2">
        <v>5988</v>
      </c>
      <c r="I724" s="1" t="s">
        <v>2554</v>
      </c>
      <c r="J724" s="1" t="s">
        <v>2555</v>
      </c>
      <c r="K724" s="1" t="s">
        <v>951</v>
      </c>
      <c r="L724" s="1" t="s">
        <v>2556</v>
      </c>
      <c r="M724" s="6" t="str">
        <f>_xlfn.CONCAT(Table1[[#This Row],[Billing Street]], ", ", Table1[[#This Row],[Billing City]], ", ", Table1[[#This Row],[Billing State/Province]], ", ", Table1[[#This Row],[Billing Zip/Postal Code]])</f>
        <v>1050 Highway four, Holly Springs, Ms, 38635</v>
      </c>
    </row>
    <row r="725" spans="1:13" ht="15.6" hidden="1" x14ac:dyDescent="0.3">
      <c r="A725" s="1" t="s">
        <v>2557</v>
      </c>
      <c r="B725" s="1"/>
      <c r="C725" s="1"/>
      <c r="D725" s="1"/>
      <c r="E725" s="1"/>
      <c r="F725" s="1"/>
      <c r="G725" s="1" t="s">
        <v>54</v>
      </c>
      <c r="H725" s="2">
        <v>844</v>
      </c>
      <c r="I725" s="1" t="s">
        <v>2558</v>
      </c>
      <c r="J725" s="1" t="s">
        <v>2559</v>
      </c>
      <c r="K725" s="1" t="s">
        <v>2254</v>
      </c>
      <c r="L725" s="1" t="s">
        <v>2560</v>
      </c>
      <c r="M725" s="6" t="str">
        <f>_xlfn.CONCAT(Table1[[#This Row],[Billing Street]], ", ", Table1[[#This Row],[Billing City]], ", ", Table1[[#This Row],[Billing State/Province]], ", ", Table1[[#This Row],[Billing Zip/Postal Code]])</f>
        <v>1115 Pacific Ave, Tillamook, OR, 97141</v>
      </c>
    </row>
    <row r="726" spans="1:13" ht="15.6" hidden="1" x14ac:dyDescent="0.3">
      <c r="A726" s="1" t="s">
        <v>2561</v>
      </c>
      <c r="B726" s="1"/>
      <c r="C726" s="1"/>
      <c r="D726" s="1"/>
      <c r="E726" s="1"/>
      <c r="F726" s="1"/>
      <c r="G726" s="1" t="s">
        <v>43</v>
      </c>
      <c r="H726" s="2">
        <v>367</v>
      </c>
      <c r="I726" s="1" t="s">
        <v>2562</v>
      </c>
      <c r="J726" s="1" t="s">
        <v>2563</v>
      </c>
      <c r="K726" s="1" t="s">
        <v>237</v>
      </c>
      <c r="L726" s="1" t="s">
        <v>2564</v>
      </c>
      <c r="M726" s="6" t="str">
        <f>_xlfn.CONCAT(Table1[[#This Row],[Billing Street]], ", ", Table1[[#This Row],[Billing City]], ", ", Table1[[#This Row],[Billing State/Province]], ", ", Table1[[#This Row],[Billing Zip/Postal Code]])</f>
        <v>610 Washington St., Cannelton, IN, 47520</v>
      </c>
    </row>
    <row r="727" spans="1:13" ht="15.6" hidden="1" x14ac:dyDescent="0.3">
      <c r="A727" s="1" t="s">
        <v>2565</v>
      </c>
      <c r="B727" s="1"/>
      <c r="C727" s="1"/>
      <c r="D727" s="1"/>
      <c r="E727" s="1"/>
      <c r="F727" s="1"/>
      <c r="G727" s="1" t="s">
        <v>43</v>
      </c>
      <c r="H727" s="2">
        <v>196</v>
      </c>
      <c r="I727" s="1" t="s">
        <v>2566</v>
      </c>
      <c r="J727" s="1" t="s">
        <v>2567</v>
      </c>
      <c r="K727" s="1" t="s">
        <v>237</v>
      </c>
      <c r="L727" s="1" t="s">
        <v>2568</v>
      </c>
      <c r="M727" s="6" t="str">
        <f>_xlfn.CONCAT(Table1[[#This Row],[Billing Street]], ", ", Table1[[#This Row],[Billing City]], ", ", Table1[[#This Row],[Billing State/Province]], ", ", Table1[[#This Row],[Billing Zip/Postal Code]])</f>
        <v>108 S Main Street, Avilla, IN, 46710</v>
      </c>
    </row>
    <row r="728" spans="1:13" ht="15.6" hidden="1" x14ac:dyDescent="0.3">
      <c r="A728" s="1" t="s">
        <v>2569</v>
      </c>
      <c r="B728" s="1"/>
      <c r="C728" s="1"/>
      <c r="D728" s="1"/>
      <c r="E728" s="1"/>
      <c r="F728" s="1"/>
      <c r="G728" s="1" t="s">
        <v>43</v>
      </c>
      <c r="H728" s="2">
        <v>239</v>
      </c>
      <c r="I728" s="1" t="s">
        <v>2570</v>
      </c>
      <c r="J728" s="1" t="s">
        <v>2571</v>
      </c>
      <c r="K728" s="1" t="s">
        <v>237</v>
      </c>
      <c r="L728" s="1" t="s">
        <v>2572</v>
      </c>
      <c r="M728" s="6" t="str">
        <f>_xlfn.CONCAT(Table1[[#This Row],[Billing Street]], ", ", Table1[[#This Row],[Billing City]], ", ", Table1[[#This Row],[Billing State/Province]], ", ", Table1[[#This Row],[Billing Zip/Postal Code]])</f>
        <v>108 E. Sigler St., Frankton, IN, 46044</v>
      </c>
    </row>
    <row r="729" spans="1:13" ht="15.6" hidden="1" x14ac:dyDescent="0.3">
      <c r="A729" s="1" t="s">
        <v>2573</v>
      </c>
      <c r="B729" s="1"/>
      <c r="C729" s="1"/>
      <c r="D729" s="1"/>
      <c r="E729" s="1"/>
      <c r="F729" s="1"/>
      <c r="G729" s="1" t="s">
        <v>43</v>
      </c>
      <c r="H729" s="2">
        <v>316</v>
      </c>
      <c r="I729" s="1" t="s">
        <v>2574</v>
      </c>
      <c r="J729" s="1" t="s">
        <v>2575</v>
      </c>
      <c r="K729" s="1" t="s">
        <v>237</v>
      </c>
      <c r="L729" s="1" t="s">
        <v>2576</v>
      </c>
      <c r="M729" s="6" t="str">
        <f>_xlfn.CONCAT(Table1[[#This Row],[Billing Street]], ", ", Table1[[#This Row],[Billing City]], ", ", Table1[[#This Row],[Billing State/Province]], ", ", Table1[[#This Row],[Billing Zip/Postal Code]])</f>
        <v>100 South Main Street, Veedersburg, IN, 47987</v>
      </c>
    </row>
    <row r="730" spans="1:13" ht="15.6" hidden="1" x14ac:dyDescent="0.3">
      <c r="A730" s="1" t="s">
        <v>2577</v>
      </c>
      <c r="B730" s="1"/>
      <c r="C730" s="1"/>
      <c r="D730" s="1"/>
      <c r="E730" s="1"/>
      <c r="F730" s="1"/>
      <c r="G730" s="1" t="s">
        <v>8</v>
      </c>
      <c r="H730" s="2">
        <v>546</v>
      </c>
      <c r="I730" s="1" t="s">
        <v>2578</v>
      </c>
      <c r="J730" s="1" t="s">
        <v>2579</v>
      </c>
      <c r="K730" s="1" t="s">
        <v>208</v>
      </c>
      <c r="L730" s="1" t="s">
        <v>2580</v>
      </c>
      <c r="M730" s="6" t="str">
        <f>_xlfn.CONCAT(Table1[[#This Row],[Billing Street]], ", ", Table1[[#This Row],[Billing City]], ", ", Table1[[#This Row],[Billing State/Province]], ", ", Table1[[#This Row],[Billing Zip/Postal Code]])</f>
        <v>401 Locust St, Frederick, CO, 80530</v>
      </c>
    </row>
    <row r="731" spans="1:13" ht="15.6" hidden="1" x14ac:dyDescent="0.3">
      <c r="A731" s="1" t="s">
        <v>2581</v>
      </c>
      <c r="B731" s="1"/>
      <c r="C731" s="1"/>
      <c r="D731" s="1"/>
      <c r="E731" s="1"/>
      <c r="F731" s="1"/>
      <c r="G731" s="1" t="s">
        <v>8</v>
      </c>
      <c r="H731" s="2">
        <v>6528</v>
      </c>
      <c r="I731" s="1" t="s">
        <v>13</v>
      </c>
      <c r="J731" s="1" t="s">
        <v>2582</v>
      </c>
      <c r="K731" s="1" t="s">
        <v>147</v>
      </c>
      <c r="L731" s="1" t="s">
        <v>13</v>
      </c>
      <c r="M731" s="6" t="str">
        <f>_xlfn.CONCAT(Table1[[#This Row],[Billing Street]], ", ", Table1[[#This Row],[Billing City]], ", ", Table1[[#This Row],[Billing State/Province]], ", ", Table1[[#This Row],[Billing Zip/Postal Code]])</f>
        <v xml:space="preserve">, Fort Supply, OK, </v>
      </c>
    </row>
    <row r="732" spans="1:13" ht="15.6" hidden="1" x14ac:dyDescent="0.3">
      <c r="A732" s="1" t="s">
        <v>2487</v>
      </c>
      <c r="B732" s="1"/>
      <c r="C732" s="1"/>
      <c r="D732" s="1"/>
      <c r="E732" s="1"/>
      <c r="F732" s="1"/>
      <c r="G732" s="1" t="s">
        <v>98</v>
      </c>
      <c r="H732" s="2">
        <v>73</v>
      </c>
      <c r="I732" s="1" t="s">
        <v>2583</v>
      </c>
      <c r="J732" s="1" t="s">
        <v>1847</v>
      </c>
      <c r="K732" s="1" t="s">
        <v>101</v>
      </c>
      <c r="L732" s="1" t="s">
        <v>2584</v>
      </c>
      <c r="M732" s="6" t="str">
        <f>_xlfn.CONCAT(Table1[[#This Row],[Billing Street]], ", ", Table1[[#This Row],[Billing City]], ", ", Table1[[#This Row],[Billing State/Province]], ", ", Table1[[#This Row],[Billing Zip/Postal Code]])</f>
        <v>1400 S. Davis Rd, LaGrange, GA, 30241</v>
      </c>
    </row>
    <row r="733" spans="1:13" ht="15.6" hidden="1" x14ac:dyDescent="0.3">
      <c r="A733" s="1" t="s">
        <v>2585</v>
      </c>
      <c r="B733" s="1"/>
      <c r="C733" s="1"/>
      <c r="D733" s="1"/>
      <c r="E733" s="1"/>
      <c r="F733" s="1"/>
      <c r="G733" s="1" t="s">
        <v>48</v>
      </c>
      <c r="H733" s="2">
        <v>0</v>
      </c>
      <c r="I733" s="1" t="s">
        <v>2586</v>
      </c>
      <c r="J733" s="1" t="s">
        <v>2587</v>
      </c>
      <c r="K733" s="1" t="s">
        <v>36</v>
      </c>
      <c r="L733" s="1" t="s">
        <v>2588</v>
      </c>
      <c r="M733" s="6" t="str">
        <f>_xlfn.CONCAT(Table1[[#This Row],[Billing Street]], ", ", Table1[[#This Row],[Billing City]], ", ", Table1[[#This Row],[Billing State/Province]], ", ", Table1[[#This Row],[Billing Zip/Postal Code]])</f>
        <v>13935 SW 252 Street, Miami, FL, 33032</v>
      </c>
    </row>
    <row r="734" spans="1:13" ht="15.6" hidden="1" x14ac:dyDescent="0.3">
      <c r="A734" s="1" t="s">
        <v>2589</v>
      </c>
      <c r="B734" s="1"/>
      <c r="C734" s="1"/>
      <c r="D734" s="1"/>
      <c r="E734" s="1"/>
      <c r="F734" s="1"/>
      <c r="G734" s="1" t="s">
        <v>43</v>
      </c>
      <c r="H734" s="2">
        <v>386</v>
      </c>
      <c r="I734" s="1" t="s">
        <v>2590</v>
      </c>
      <c r="J734" s="1" t="s">
        <v>2591</v>
      </c>
      <c r="K734" s="1" t="s">
        <v>152</v>
      </c>
      <c r="L734" s="1" t="s">
        <v>2592</v>
      </c>
      <c r="M734" s="6" t="str">
        <f>_xlfn.CONCAT(Table1[[#This Row],[Billing Street]], ", ", Table1[[#This Row],[Billing City]], ", ", Table1[[#This Row],[Billing State/Province]], ", ", Table1[[#This Row],[Billing Zip/Postal Code]])</f>
        <v>1100 Old State Road, Mattoon, IL, 61938</v>
      </c>
    </row>
    <row r="735" spans="1:13" ht="15.6" hidden="1" x14ac:dyDescent="0.3">
      <c r="A735" s="1" t="s">
        <v>2593</v>
      </c>
      <c r="B735" s="1"/>
      <c r="C735" s="1"/>
      <c r="D735" s="1"/>
      <c r="E735" s="1"/>
      <c r="F735" s="1"/>
      <c r="G735" s="1" t="s">
        <v>8</v>
      </c>
      <c r="H735" s="2">
        <v>714</v>
      </c>
      <c r="I735" s="1" t="s">
        <v>2594</v>
      </c>
      <c r="J735" s="1" t="s">
        <v>2595</v>
      </c>
      <c r="K735" s="1" t="s">
        <v>208</v>
      </c>
      <c r="L735" s="1" t="s">
        <v>2596</v>
      </c>
      <c r="M735" s="6" t="str">
        <f>_xlfn.CONCAT(Table1[[#This Row],[Billing Street]], ", ", Table1[[#This Row],[Billing City]], ", ", Table1[[#This Row],[Billing State/Province]], ", ", Table1[[#This Row],[Billing Zip/Postal Code]])</f>
        <v>801 N Broadway, Cortez, CO, 81321</v>
      </c>
    </row>
    <row r="736" spans="1:13" ht="15.6" hidden="1" x14ac:dyDescent="0.3">
      <c r="A736" s="1" t="s">
        <v>2597</v>
      </c>
      <c r="B736" s="1"/>
      <c r="C736" s="1"/>
      <c r="D736" s="1"/>
      <c r="E736" s="1"/>
      <c r="F736" s="1"/>
      <c r="G736" s="1" t="s">
        <v>43</v>
      </c>
      <c r="H736" s="2">
        <v>306</v>
      </c>
      <c r="I736" s="1" t="s">
        <v>2598</v>
      </c>
      <c r="J736" s="1" t="s">
        <v>2599</v>
      </c>
      <c r="K736" s="1" t="s">
        <v>1832</v>
      </c>
      <c r="L736" s="1" t="s">
        <v>2600</v>
      </c>
      <c r="M736" s="6" t="str">
        <f>_xlfn.CONCAT(Table1[[#This Row],[Billing Street]], ", ", Table1[[#This Row],[Billing City]], ", ", Table1[[#This Row],[Billing State/Province]], ", ", Table1[[#This Row],[Billing Zip/Postal Code]])</f>
        <v>6170 Guardian Gateway suite 108, Aberdeen Proving Grounds, Md, 21005</v>
      </c>
    </row>
    <row r="737" spans="1:13" ht="15.6" hidden="1" x14ac:dyDescent="0.3">
      <c r="A737" s="1" t="s">
        <v>2601</v>
      </c>
      <c r="B737" s="1"/>
      <c r="C737" s="1"/>
      <c r="D737" s="1"/>
      <c r="E737" s="1"/>
      <c r="F737" s="1"/>
      <c r="G737" s="1" t="s">
        <v>43</v>
      </c>
      <c r="H737" s="2">
        <v>329</v>
      </c>
      <c r="I737" s="1" t="s">
        <v>2602</v>
      </c>
      <c r="J737" s="1" t="s">
        <v>151</v>
      </c>
      <c r="K737" s="1" t="s">
        <v>152</v>
      </c>
      <c r="L737" s="1" t="s">
        <v>2300</v>
      </c>
      <c r="M737" s="6" t="str">
        <f>_xlfn.CONCAT(Table1[[#This Row],[Billing Street]], ", ", Table1[[#This Row],[Billing City]], ", ", Table1[[#This Row],[Billing State/Province]], ", ", Table1[[#This Row],[Billing Zip/Postal Code]])</f>
        <v>7541 W. Cashew Drive, Orland Park, IL, 60642</v>
      </c>
    </row>
    <row r="738" spans="1:13" ht="15.6" hidden="1" x14ac:dyDescent="0.3">
      <c r="A738" s="1" t="s">
        <v>2603</v>
      </c>
      <c r="B738" s="1"/>
      <c r="C738" s="1"/>
      <c r="D738" s="1"/>
      <c r="E738" s="1"/>
      <c r="F738" s="1"/>
      <c r="G738" s="1" t="s">
        <v>8</v>
      </c>
      <c r="H738" s="2">
        <v>510</v>
      </c>
      <c r="I738" s="1" t="s">
        <v>2604</v>
      </c>
      <c r="J738" s="1" t="s">
        <v>2605</v>
      </c>
      <c r="K738" s="1" t="s">
        <v>208</v>
      </c>
      <c r="L738" s="1" t="s">
        <v>2606</v>
      </c>
      <c r="M738" s="6" t="str">
        <f>_xlfn.CONCAT(Table1[[#This Row],[Billing Street]], ", ", Table1[[#This Row],[Billing City]], ", ", Table1[[#This Row],[Billing State/Province]], ", ", Table1[[#This Row],[Billing Zip/Postal Code]])</f>
        <v>6745 Southmoor Drive, Fountain, CO, 80817</v>
      </c>
    </row>
    <row r="739" spans="1:13" ht="15.6" hidden="1" x14ac:dyDescent="0.3">
      <c r="A739" s="1" t="s">
        <v>2607</v>
      </c>
      <c r="B739" s="1"/>
      <c r="C739" s="1"/>
      <c r="D739" s="1"/>
      <c r="E739" s="1"/>
      <c r="F739" s="1"/>
      <c r="G739" s="1" t="s">
        <v>43</v>
      </c>
      <c r="H739" s="2">
        <v>297</v>
      </c>
      <c r="I739" s="1" t="s">
        <v>2608</v>
      </c>
      <c r="J739" s="1" t="s">
        <v>2609</v>
      </c>
      <c r="K739" s="1" t="s">
        <v>2610</v>
      </c>
      <c r="L739" s="1" t="s">
        <v>2611</v>
      </c>
      <c r="M739" s="6" t="str">
        <f>_xlfn.CONCAT(Table1[[#This Row],[Billing Street]], ", ", Table1[[#This Row],[Billing City]], ", ", Table1[[#This Row],[Billing State/Province]], ", ", Table1[[#This Row],[Billing Zip/Postal Code]])</f>
        <v>1612 Professional Blvd Suite H, Crofton, MD, 21114</v>
      </c>
    </row>
    <row r="740" spans="1:13" ht="15.6" hidden="1" x14ac:dyDescent="0.3">
      <c r="A740" s="1" t="s">
        <v>2612</v>
      </c>
      <c r="B740" s="1"/>
      <c r="C740" s="1"/>
      <c r="D740" s="1"/>
      <c r="E740" s="1"/>
      <c r="F740" s="1"/>
      <c r="G740" s="1" t="s">
        <v>43</v>
      </c>
      <c r="H740" s="2">
        <v>342</v>
      </c>
      <c r="I740" s="1" t="s">
        <v>2613</v>
      </c>
      <c r="J740" s="1" t="s">
        <v>2614</v>
      </c>
      <c r="K740" s="1" t="s">
        <v>152</v>
      </c>
      <c r="L740" s="1" t="s">
        <v>2615</v>
      </c>
      <c r="M740" s="6" t="str">
        <f>_xlfn.CONCAT(Table1[[#This Row],[Billing Street]], ", ", Table1[[#This Row],[Billing City]], ", ", Table1[[#This Row],[Billing State/Province]], ", ", Table1[[#This Row],[Billing Zip/Postal Code]])</f>
        <v>1200 Roosevelt RD. #400, Glen Ellyn, IL, 60137</v>
      </c>
    </row>
    <row r="741" spans="1:13" ht="15.6" hidden="1" x14ac:dyDescent="0.3">
      <c r="A741" s="1" t="s">
        <v>2616</v>
      </c>
      <c r="B741" s="1"/>
      <c r="C741" s="1"/>
      <c r="D741" s="1"/>
      <c r="E741" s="1"/>
      <c r="F741" s="1"/>
      <c r="G741" s="1" t="s">
        <v>43</v>
      </c>
      <c r="H741" s="2">
        <v>345</v>
      </c>
      <c r="I741" s="1" t="s">
        <v>2617</v>
      </c>
      <c r="J741" s="1" t="s">
        <v>1566</v>
      </c>
      <c r="K741" s="1" t="s">
        <v>1115</v>
      </c>
      <c r="L741" s="1" t="s">
        <v>1567</v>
      </c>
      <c r="M741" s="6" t="str">
        <f>_xlfn.CONCAT(Table1[[#This Row],[Billing Street]], ", ", Table1[[#This Row],[Billing City]], ", ", Table1[[#This Row],[Billing State/Province]], ", ", Table1[[#This Row],[Billing Zip/Postal Code]])</f>
        <v>427 Patton St, Danville, VA, 24541</v>
      </c>
    </row>
    <row r="742" spans="1:13" ht="15.6" hidden="1" x14ac:dyDescent="0.3">
      <c r="A742" s="1" t="s">
        <v>2618</v>
      </c>
      <c r="B742" s="1"/>
      <c r="C742" s="1"/>
      <c r="D742" s="1"/>
      <c r="E742" s="1"/>
      <c r="F742" s="1"/>
      <c r="G742" s="1" t="s">
        <v>8</v>
      </c>
      <c r="H742" s="2">
        <v>6528</v>
      </c>
      <c r="I742" s="1" t="s">
        <v>2619</v>
      </c>
      <c r="J742" s="1" t="s">
        <v>2620</v>
      </c>
      <c r="K742" s="1" t="s">
        <v>208</v>
      </c>
      <c r="L742" s="1" t="s">
        <v>13</v>
      </c>
      <c r="M742" s="6" t="str">
        <f>_xlfn.CONCAT(Table1[[#This Row],[Billing Street]], ", ", Table1[[#This Row],[Billing City]], ", ", Table1[[#This Row],[Billing State/Province]], ", ", Table1[[#This Row],[Billing Zip/Postal Code]])</f>
        <v xml:space="preserve">781 E Industrial blvd, Pueblo West, CO, </v>
      </c>
    </row>
    <row r="743" spans="1:13" ht="15.6" hidden="1" x14ac:dyDescent="0.3">
      <c r="A743" s="1" t="s">
        <v>2621</v>
      </c>
      <c r="B743" s="1"/>
      <c r="C743" s="1"/>
      <c r="D743" s="1"/>
      <c r="E743" s="1"/>
      <c r="F743" s="1"/>
      <c r="G743" s="1" t="s">
        <v>43</v>
      </c>
      <c r="H743" s="2">
        <v>183</v>
      </c>
      <c r="I743" s="1" t="s">
        <v>2622</v>
      </c>
      <c r="J743" s="1" t="s">
        <v>2623</v>
      </c>
      <c r="K743" s="1" t="s">
        <v>45</v>
      </c>
      <c r="L743" s="1" t="s">
        <v>2624</v>
      </c>
      <c r="M743" s="6" t="str">
        <f>_xlfn.CONCAT(Table1[[#This Row],[Billing Street]], ", ", Table1[[#This Row],[Billing City]], ", ", Table1[[#This Row],[Billing State/Province]], ", ", Table1[[#This Row],[Billing Zip/Postal Code]])</f>
        <v>3400 Encrete Lane, Dayton, OH, 45439</v>
      </c>
    </row>
    <row r="744" spans="1:13" ht="15.6" hidden="1" x14ac:dyDescent="0.3">
      <c r="A744" s="1" t="s">
        <v>2625</v>
      </c>
      <c r="B744" s="1"/>
      <c r="C744" s="1"/>
      <c r="D744" s="1"/>
      <c r="E744" s="1"/>
      <c r="F744" s="1"/>
      <c r="G744" s="1" t="s">
        <v>8</v>
      </c>
      <c r="H744" s="2">
        <v>155</v>
      </c>
      <c r="I744" s="1" t="s">
        <v>2626</v>
      </c>
      <c r="J744" s="1" t="s">
        <v>434</v>
      </c>
      <c r="K744" s="1" t="s">
        <v>147</v>
      </c>
      <c r="L744" s="1" t="s">
        <v>2627</v>
      </c>
      <c r="M744" s="6" t="str">
        <f>_xlfn.CONCAT(Table1[[#This Row],[Billing Street]], ", ", Table1[[#This Row],[Billing City]], ", ", Table1[[#This Row],[Billing State/Province]], ", ", Table1[[#This Row],[Billing Zip/Postal Code]])</f>
        <v>8201 Pole Road, Oklahoma City, OK, 73149</v>
      </c>
    </row>
    <row r="745" spans="1:13" ht="15.6" hidden="1" x14ac:dyDescent="0.3">
      <c r="A745" s="1" t="s">
        <v>2628</v>
      </c>
      <c r="B745" s="1"/>
      <c r="C745" s="1"/>
      <c r="D745" s="1"/>
      <c r="E745" s="1"/>
      <c r="F745" s="1"/>
      <c r="G745" s="1" t="s">
        <v>8</v>
      </c>
      <c r="H745" s="2">
        <v>679</v>
      </c>
      <c r="I745" s="1" t="s">
        <v>2629</v>
      </c>
      <c r="J745" s="1" t="s">
        <v>2630</v>
      </c>
      <c r="K745" s="1" t="s">
        <v>208</v>
      </c>
      <c r="L745" s="1" t="s">
        <v>2631</v>
      </c>
      <c r="M745" s="6" t="str">
        <f>_xlfn.CONCAT(Table1[[#This Row],[Billing Street]], ", ", Table1[[#This Row],[Billing City]], ", ", Table1[[#This Row],[Billing State/Province]], ", ", Table1[[#This Row],[Billing Zip/Postal Code]])</f>
        <v>11925 6300 Rd, Montrose, CO, 81401</v>
      </c>
    </row>
    <row r="746" spans="1:13" ht="15.6" hidden="1" x14ac:dyDescent="0.3">
      <c r="A746" s="1" t="s">
        <v>2632</v>
      </c>
      <c r="B746" s="1"/>
      <c r="C746" s="1"/>
      <c r="D746" s="1"/>
      <c r="E746" s="1"/>
      <c r="F746" s="1"/>
      <c r="G746" s="1" t="s">
        <v>8</v>
      </c>
      <c r="H746" s="2">
        <v>562</v>
      </c>
      <c r="I746" s="1" t="s">
        <v>2633</v>
      </c>
      <c r="J746" s="1" t="s">
        <v>2634</v>
      </c>
      <c r="K746" s="1" t="s">
        <v>208</v>
      </c>
      <c r="L746" s="1" t="s">
        <v>2635</v>
      </c>
      <c r="M746" s="6" t="str">
        <f>_xlfn.CONCAT(Table1[[#This Row],[Billing Street]], ", ", Table1[[#This Row],[Billing City]], ", ", Table1[[#This Row],[Billing State/Province]], ", ", Table1[[#This Row],[Billing Zip/Postal Code]])</f>
        <v>200 N Wilson, Loveland, CO, 80537</v>
      </c>
    </row>
    <row r="747" spans="1:13" ht="15.6" hidden="1" x14ac:dyDescent="0.3">
      <c r="A747" s="1" t="s">
        <v>2636</v>
      </c>
      <c r="B747" s="1"/>
      <c r="C747" s="1"/>
      <c r="D747" s="1"/>
      <c r="E747" s="1"/>
      <c r="F747" s="1"/>
      <c r="G747" s="1" t="s">
        <v>8</v>
      </c>
      <c r="H747" s="2">
        <v>557</v>
      </c>
      <c r="I747" s="1" t="s">
        <v>2637</v>
      </c>
      <c r="J747" s="1" t="s">
        <v>2638</v>
      </c>
      <c r="K747" s="1" t="s">
        <v>208</v>
      </c>
      <c r="L747" s="1" t="s">
        <v>2639</v>
      </c>
      <c r="M747" s="6" t="str">
        <f>_xlfn.CONCAT(Table1[[#This Row],[Billing Street]], ", ", Table1[[#This Row],[Billing City]], ", ", Table1[[#This Row],[Billing State/Province]], ", ", Table1[[#This Row],[Billing Zip/Postal Code]])</f>
        <v>7649 REA Parkway, Fort Collins, CO, 80528</v>
      </c>
    </row>
    <row r="748" spans="1:13" ht="15.6" x14ac:dyDescent="0.3">
      <c r="A748" s="1" t="s">
        <v>2640</v>
      </c>
      <c r="B748" s="1"/>
      <c r="C748" s="1"/>
      <c r="D748" s="1"/>
      <c r="E748" s="1"/>
      <c r="F748" s="1"/>
      <c r="G748" s="1" t="s">
        <v>24</v>
      </c>
      <c r="H748" s="2">
        <v>5988</v>
      </c>
      <c r="I748" s="1" t="s">
        <v>2641</v>
      </c>
      <c r="J748" s="1" t="s">
        <v>2642</v>
      </c>
      <c r="K748" s="1" t="s">
        <v>26</v>
      </c>
      <c r="L748" s="1" t="s">
        <v>1026</v>
      </c>
      <c r="M748" s="6" t="str">
        <f>_xlfn.CONCAT(Table1[[#This Row],[Billing Street]], ", ", Table1[[#This Row],[Billing City]], ", ", Table1[[#This Row],[Billing State/Province]], ", ", Table1[[#This Row],[Billing Zip/Postal Code]])</f>
        <v>13192 US-231, Troy, AL, 36801</v>
      </c>
    </row>
    <row r="749" spans="1:13" ht="15.6" hidden="1" x14ac:dyDescent="0.3">
      <c r="A749" s="1" t="s">
        <v>2643</v>
      </c>
      <c r="B749" s="1"/>
      <c r="C749" s="1"/>
      <c r="D749" s="1"/>
      <c r="E749" s="1"/>
      <c r="F749" s="1"/>
      <c r="G749" s="1" t="s">
        <v>8</v>
      </c>
      <c r="H749" s="2">
        <v>6528</v>
      </c>
      <c r="I749" s="1" t="s">
        <v>13</v>
      </c>
      <c r="J749" s="1" t="s">
        <v>2644</v>
      </c>
      <c r="K749" s="1" t="s">
        <v>554</v>
      </c>
      <c r="L749" s="1" t="s">
        <v>13</v>
      </c>
      <c r="M749" s="6" t="str">
        <f>_xlfn.CONCAT(Table1[[#This Row],[Billing Street]], ", ", Table1[[#This Row],[Billing City]], ", ", Table1[[#This Row],[Billing State/Province]], ", ", Table1[[#This Row],[Billing Zip/Postal Code]])</f>
        <v xml:space="preserve">, Newton, KS, </v>
      </c>
    </row>
    <row r="750" spans="1:13" ht="15.6" x14ac:dyDescent="0.3">
      <c r="A750" s="1" t="s">
        <v>2645</v>
      </c>
      <c r="B750" s="1"/>
      <c r="C750" s="1"/>
      <c r="D750" s="1"/>
      <c r="E750" s="1"/>
      <c r="F750" s="1"/>
      <c r="G750" s="1" t="s">
        <v>24</v>
      </c>
      <c r="H750" s="2">
        <v>248</v>
      </c>
      <c r="I750" s="1" t="s">
        <v>2646</v>
      </c>
      <c r="J750" s="1" t="s">
        <v>1203</v>
      </c>
      <c r="K750" s="1" t="s">
        <v>31</v>
      </c>
      <c r="L750" s="1" t="s">
        <v>2647</v>
      </c>
      <c r="M750" s="6" t="str">
        <f>_xlfn.CONCAT(Table1[[#This Row],[Billing Street]], ", ", Table1[[#This Row],[Billing City]], ", ", Table1[[#This Row],[Billing State/Province]], ", ", Table1[[#This Row],[Billing Zip/Postal Code]])</f>
        <v>40034 Tronox Rd, Hamilton, MS, 39746</v>
      </c>
    </row>
    <row r="751" spans="1:13" ht="15.6" hidden="1" x14ac:dyDescent="0.3">
      <c r="A751" s="1" t="s">
        <v>2648</v>
      </c>
      <c r="B751" s="1"/>
      <c r="C751" s="1"/>
      <c r="D751" s="1"/>
      <c r="E751" s="1"/>
      <c r="F751" s="1"/>
      <c r="G751" s="1" t="s">
        <v>8</v>
      </c>
      <c r="H751" s="2">
        <v>228</v>
      </c>
      <c r="I751" s="1" t="s">
        <v>2649</v>
      </c>
      <c r="J751" s="1" t="s">
        <v>866</v>
      </c>
      <c r="K751" s="1" t="s">
        <v>11</v>
      </c>
      <c r="L751" s="1" t="s">
        <v>2650</v>
      </c>
      <c r="M751" s="6" t="str">
        <f>_xlfn.CONCAT(Table1[[#This Row],[Billing Street]], ", ", Table1[[#This Row],[Billing City]], ", ", Table1[[#This Row],[Billing State/Province]], ", ", Table1[[#This Row],[Billing Zip/Postal Code]])</f>
        <v>400 N. Iron St., Salem, MO, 65560</v>
      </c>
    </row>
    <row r="752" spans="1:13" ht="15.6" hidden="1" x14ac:dyDescent="0.3">
      <c r="A752" s="1" t="s">
        <v>2651</v>
      </c>
      <c r="B752" s="1"/>
      <c r="C752" s="1"/>
      <c r="D752" s="1"/>
      <c r="E752" s="1"/>
      <c r="F752" s="1"/>
      <c r="G752" s="1" t="s">
        <v>8</v>
      </c>
      <c r="H752" s="2">
        <v>89</v>
      </c>
      <c r="I752" s="1" t="s">
        <v>2652</v>
      </c>
      <c r="J752" s="1" t="s">
        <v>2653</v>
      </c>
      <c r="K752" s="1" t="s">
        <v>11</v>
      </c>
      <c r="L752" s="1" t="s">
        <v>2654</v>
      </c>
      <c r="M752" s="6" t="str">
        <f>_xlfn.CONCAT(Table1[[#This Row],[Billing Street]], ", ", Table1[[#This Row],[Billing City]], ", ", Table1[[#This Row],[Billing State/Province]], ", ", Table1[[#This Row],[Billing Zip/Postal Code]])</f>
        <v>P.O. Box 327 2120 E. Austin, Nevada, MO, 64772</v>
      </c>
    </row>
    <row r="753" spans="1:13" ht="15.6" hidden="1" x14ac:dyDescent="0.3">
      <c r="A753" s="1" t="s">
        <v>2655</v>
      </c>
      <c r="B753" s="1"/>
      <c r="C753" s="1"/>
      <c r="D753" s="1"/>
      <c r="E753" s="1"/>
      <c r="F753" s="1"/>
      <c r="G753" s="1" t="s">
        <v>8</v>
      </c>
      <c r="H753" s="2">
        <v>67</v>
      </c>
      <c r="I753" s="1" t="s">
        <v>2656</v>
      </c>
      <c r="J753" s="1" t="s">
        <v>2657</v>
      </c>
      <c r="K753" s="1" t="s">
        <v>11</v>
      </c>
      <c r="L753" s="1" t="s">
        <v>2658</v>
      </c>
      <c r="M753" s="6" t="str">
        <f>_xlfn.CONCAT(Table1[[#This Row],[Billing Street]], ", ", Table1[[#This Row],[Billing City]], ", ", Table1[[#This Row],[Billing State/Province]], ", ", Table1[[#This Row],[Billing Zip/Postal Code]])</f>
        <v>7231 East 24th street, Joplin, MO, 64803</v>
      </c>
    </row>
    <row r="754" spans="1:13" ht="15.6" hidden="1" x14ac:dyDescent="0.3">
      <c r="A754" s="1" t="s">
        <v>2659</v>
      </c>
      <c r="B754" s="1"/>
      <c r="C754" s="1"/>
      <c r="D754" s="1"/>
      <c r="E754" s="1"/>
      <c r="F754" s="1"/>
      <c r="G754" s="1" t="s">
        <v>43</v>
      </c>
      <c r="H754" s="2">
        <v>338</v>
      </c>
      <c r="I754" s="1" t="s">
        <v>2660</v>
      </c>
      <c r="J754" s="1" t="s">
        <v>2661</v>
      </c>
      <c r="K754" s="1" t="s">
        <v>152</v>
      </c>
      <c r="L754" s="1" t="s">
        <v>2662</v>
      </c>
      <c r="M754" s="6" t="str">
        <f>_xlfn.CONCAT(Table1[[#This Row],[Billing Street]], ", ", Table1[[#This Row],[Billing City]], ", ", Table1[[#This Row],[Billing State/Province]], ", ", Table1[[#This Row],[Billing Zip/Postal Code]])</f>
        <v>9600 Case Av, Lemont, IL, 60439</v>
      </c>
    </row>
    <row r="755" spans="1:13" ht="15.6" x14ac:dyDescent="0.3">
      <c r="A755" s="1" t="s">
        <v>2663</v>
      </c>
      <c r="B755" s="1"/>
      <c r="C755" s="1"/>
      <c r="D755" s="1"/>
      <c r="E755" s="1"/>
      <c r="F755" s="1"/>
      <c r="G755" s="1" t="s">
        <v>24</v>
      </c>
      <c r="H755" s="2">
        <v>5988</v>
      </c>
      <c r="I755" s="1" t="s">
        <v>2664</v>
      </c>
      <c r="J755" s="1" t="s">
        <v>2665</v>
      </c>
      <c r="K755" s="1" t="s">
        <v>951</v>
      </c>
      <c r="L755" s="1" t="s">
        <v>2666</v>
      </c>
      <c r="M755" s="6" t="str">
        <f>_xlfn.CONCAT(Table1[[#This Row],[Billing Street]], ", ", Table1[[#This Row],[Billing City]], ", ", Table1[[#This Row],[Billing State/Province]], ", ", Table1[[#This Row],[Billing Zip/Postal Code]])</f>
        <v>1909. Tate Street, Corinth, Ms, 38834</v>
      </c>
    </row>
    <row r="756" spans="1:13" ht="15.6" hidden="1" x14ac:dyDescent="0.3">
      <c r="A756" s="1" t="s">
        <v>2667</v>
      </c>
      <c r="B756" s="1"/>
      <c r="C756" s="1"/>
      <c r="D756" s="1"/>
      <c r="E756" s="1"/>
      <c r="F756" s="1"/>
      <c r="G756" s="1" t="s">
        <v>43</v>
      </c>
      <c r="H756" s="2">
        <v>124</v>
      </c>
      <c r="I756" s="1" t="s">
        <v>2668</v>
      </c>
      <c r="J756" s="1" t="s">
        <v>711</v>
      </c>
      <c r="K756" s="1" t="s">
        <v>45</v>
      </c>
      <c r="L756" s="1" t="s">
        <v>2669</v>
      </c>
      <c r="M756" s="6" t="str">
        <f>_xlfn.CONCAT(Table1[[#This Row],[Billing Street]], ", ", Table1[[#This Row],[Billing City]], ", ", Table1[[#This Row],[Billing State/Province]], ", ", Table1[[#This Row],[Billing Zip/Postal Code]])</f>
        <v>1 Riverside Plaza, Columbus, OH, 43215</v>
      </c>
    </row>
    <row r="757" spans="1:13" ht="15.6" x14ac:dyDescent="0.3">
      <c r="A757" s="1" t="s">
        <v>2670</v>
      </c>
      <c r="B757" s="1"/>
      <c r="C757" s="1"/>
      <c r="D757" s="1"/>
      <c r="E757" s="1"/>
      <c r="F757" s="1"/>
      <c r="G757" s="1" t="s">
        <v>24</v>
      </c>
      <c r="H757" s="2">
        <v>312</v>
      </c>
      <c r="I757" s="1" t="s">
        <v>2671</v>
      </c>
      <c r="J757" s="1" t="s">
        <v>1944</v>
      </c>
      <c r="K757" s="1" t="s">
        <v>36</v>
      </c>
      <c r="L757" s="1" t="s">
        <v>2672</v>
      </c>
      <c r="M757" s="6" t="str">
        <f>_xlfn.CONCAT(Table1[[#This Row],[Billing Street]], ", ", Table1[[#This Row],[Billing City]], ", ", Table1[[#This Row],[Billing State/Province]], ", ", Table1[[#This Row],[Billing Zip/Postal Code]])</f>
        <v>1140 East Parker Street, Lakeland, FL, 33801</v>
      </c>
    </row>
    <row r="758" spans="1:13" ht="15.6" hidden="1" x14ac:dyDescent="0.3">
      <c r="A758" s="1" t="s">
        <v>2673</v>
      </c>
      <c r="B758" s="1"/>
      <c r="C758" s="1"/>
      <c r="D758" s="1"/>
      <c r="E758" s="1"/>
      <c r="F758" s="1"/>
      <c r="G758" s="1" t="s">
        <v>43</v>
      </c>
      <c r="H758" s="2">
        <v>457</v>
      </c>
      <c r="I758" s="1" t="s">
        <v>2674</v>
      </c>
      <c r="J758" s="1" t="s">
        <v>2675</v>
      </c>
      <c r="K758" s="1" t="s">
        <v>152</v>
      </c>
      <c r="L758" s="1" t="s">
        <v>2676</v>
      </c>
      <c r="M758" s="6" t="str">
        <f>_xlfn.CONCAT(Table1[[#This Row],[Billing Street]], ", ", Table1[[#This Row],[Billing City]], ", ", Table1[[#This Row],[Billing State/Province]], ", ", Table1[[#This Row],[Billing Zip/Postal Code]])</f>
        <v>100 Cooperative Way, Carrier Mills, IL, 62917</v>
      </c>
    </row>
    <row r="759" spans="1:13" ht="15.6" hidden="1" x14ac:dyDescent="0.3">
      <c r="A759" s="1" t="s">
        <v>2677</v>
      </c>
      <c r="B759" s="1"/>
      <c r="C759" s="1"/>
      <c r="D759" s="1"/>
      <c r="E759" s="1"/>
      <c r="F759" s="1"/>
      <c r="G759" s="1" t="s">
        <v>43</v>
      </c>
      <c r="H759" s="2">
        <v>487</v>
      </c>
      <c r="I759" s="1" t="s">
        <v>2678</v>
      </c>
      <c r="J759" s="1" t="s">
        <v>2679</v>
      </c>
      <c r="K759" s="1" t="s">
        <v>152</v>
      </c>
      <c r="L759" s="1" t="s">
        <v>2680</v>
      </c>
      <c r="M759" s="6" t="str">
        <f>_xlfn.CONCAT(Table1[[#This Row],[Billing Street]], ", ", Table1[[#This Row],[Billing City]], ", ", Table1[[#This Row],[Billing State/Province]], ", ", Table1[[#This Row],[Billing Zip/Postal Code]])</f>
        <v>2500 Portland Rd, Grand Chain, IL, 62941</v>
      </c>
    </row>
    <row r="760" spans="1:13" ht="15.6" x14ac:dyDescent="0.3">
      <c r="A760" s="1" t="s">
        <v>2681</v>
      </c>
      <c r="B760" s="1"/>
      <c r="C760" s="1"/>
      <c r="D760" s="1"/>
      <c r="E760" s="1"/>
      <c r="F760" s="1"/>
      <c r="G760" s="1" t="s">
        <v>24</v>
      </c>
      <c r="H760" s="2">
        <v>43</v>
      </c>
      <c r="I760" s="1" t="s">
        <v>2682</v>
      </c>
      <c r="J760" s="1" t="s">
        <v>522</v>
      </c>
      <c r="K760" s="1" t="s">
        <v>26</v>
      </c>
      <c r="L760" s="1" t="s">
        <v>523</v>
      </c>
      <c r="M760" s="6" t="str">
        <f>_xlfn.CONCAT(Table1[[#This Row],[Billing Street]], ", ", Table1[[#This Row],[Billing City]], ", ", Table1[[#This Row],[Billing State/Province]], ", ", Table1[[#This Row],[Billing Zip/Postal Code]])</f>
        <v>18836 US Hwy 84 East, Andalusia, AL, 36421</v>
      </c>
    </row>
    <row r="761" spans="1:13" ht="15.6" hidden="1" x14ac:dyDescent="0.3">
      <c r="A761" s="1" t="s">
        <v>2683</v>
      </c>
      <c r="B761" s="1"/>
      <c r="C761" s="1"/>
      <c r="D761" s="1"/>
      <c r="E761" s="1"/>
      <c r="F761" s="1"/>
      <c r="G761" s="1" t="s">
        <v>8</v>
      </c>
      <c r="H761" s="2">
        <v>315</v>
      </c>
      <c r="I761" s="1" t="s">
        <v>2684</v>
      </c>
      <c r="J761" s="1" t="s">
        <v>1309</v>
      </c>
      <c r="K761" s="1" t="s">
        <v>11</v>
      </c>
      <c r="L761" s="1" t="s">
        <v>2685</v>
      </c>
      <c r="M761" s="6" t="str">
        <f>_xlfn.CONCAT(Table1[[#This Row],[Billing Street]], ", ", Table1[[#This Row],[Billing City]], ", ", Table1[[#This Row],[Billing State/Province]], ", ", Table1[[#This Row],[Billing Zip/Postal Code]])</f>
        <v>PO Box 790098, St. Louis, MO, 63179</v>
      </c>
    </row>
    <row r="762" spans="1:13" ht="15.6" hidden="1" x14ac:dyDescent="0.3">
      <c r="A762" s="1" t="s">
        <v>2686</v>
      </c>
      <c r="B762" s="1"/>
      <c r="C762" s="1"/>
      <c r="D762" s="1"/>
      <c r="E762" s="1"/>
      <c r="F762" s="1"/>
      <c r="G762" s="1" t="s">
        <v>43</v>
      </c>
      <c r="H762" s="2">
        <v>467</v>
      </c>
      <c r="I762" s="1" t="s">
        <v>2687</v>
      </c>
      <c r="J762" s="1" t="s">
        <v>2688</v>
      </c>
      <c r="K762" s="1" t="s">
        <v>152</v>
      </c>
      <c r="L762" s="1" t="s">
        <v>2689</v>
      </c>
      <c r="M762" s="6" t="str">
        <f>_xlfn.CONCAT(Table1[[#This Row],[Billing Street]], ", ", Table1[[#This Row],[Billing City]], ", ", Table1[[#This Row],[Billing State/Province]], ", ", Table1[[#This Row],[Billing Zip/Postal Code]])</f>
        <v>18300 shipman road, Carlinville, IL, 62626-0080</v>
      </c>
    </row>
    <row r="763" spans="1:13" ht="15.6" hidden="1" x14ac:dyDescent="0.3">
      <c r="A763" s="1" t="s">
        <v>2690</v>
      </c>
      <c r="B763" s="1"/>
      <c r="C763" s="1"/>
      <c r="D763" s="1"/>
      <c r="E763" s="1"/>
      <c r="F763" s="1"/>
      <c r="G763" s="1" t="s">
        <v>8</v>
      </c>
      <c r="H763" s="2">
        <v>307</v>
      </c>
      <c r="I763" s="1" t="s">
        <v>2691</v>
      </c>
      <c r="J763" s="1" t="s">
        <v>900</v>
      </c>
      <c r="K763" s="1" t="s">
        <v>11</v>
      </c>
      <c r="L763" s="1" t="s">
        <v>2692</v>
      </c>
      <c r="M763" s="6" t="str">
        <f>_xlfn.CONCAT(Table1[[#This Row],[Billing Street]], ", ", Table1[[#This Row],[Billing City]], ", ", Table1[[#This Row],[Billing State/Province]], ", ", Table1[[#This Row],[Billing Zip/Postal Code]])</f>
        <v>10330 Page Industrial Blvd, Ste A, St Louis, MO, 63132</v>
      </c>
    </row>
    <row r="764" spans="1:13" ht="15.6" x14ac:dyDescent="0.3">
      <c r="A764" s="1" t="s">
        <v>2693</v>
      </c>
      <c r="B764" s="1"/>
      <c r="C764" s="1"/>
      <c r="D764" s="1"/>
      <c r="E764" s="1"/>
      <c r="F764" s="1"/>
      <c r="G764" s="1" t="s">
        <v>24</v>
      </c>
      <c r="H764" s="2">
        <v>197</v>
      </c>
      <c r="I764" s="1" t="s">
        <v>2694</v>
      </c>
      <c r="J764" s="1" t="s">
        <v>372</v>
      </c>
      <c r="K764" s="1" t="s">
        <v>26</v>
      </c>
      <c r="L764" s="1" t="s">
        <v>2695</v>
      </c>
      <c r="M764" s="6" t="str">
        <f>_xlfn.CONCAT(Table1[[#This Row],[Billing Street]], ", ", Table1[[#This Row],[Billing City]], ", ", Table1[[#This Row],[Billing State/Province]], ", ", Table1[[#This Row],[Billing Zip/Postal Code]])</f>
        <v>921 1st Avenue North, Birmingham, AL, 35203</v>
      </c>
    </row>
    <row r="765" spans="1:13" ht="15.6" hidden="1" x14ac:dyDescent="0.3">
      <c r="A765" s="1" t="s">
        <v>2696</v>
      </c>
      <c r="B765" s="1"/>
      <c r="C765" s="1"/>
      <c r="D765" s="1"/>
      <c r="E765" s="1"/>
      <c r="F765" s="1"/>
      <c r="G765" s="1" t="s">
        <v>43</v>
      </c>
      <c r="H765" s="2">
        <v>81</v>
      </c>
      <c r="I765" s="1" t="s">
        <v>2697</v>
      </c>
      <c r="J765" s="1" t="s">
        <v>2698</v>
      </c>
      <c r="K765" s="1" t="s">
        <v>45</v>
      </c>
      <c r="L765" s="1" t="s">
        <v>2699</v>
      </c>
      <c r="M765" s="6" t="str">
        <f>_xlfn.CONCAT(Table1[[#This Row],[Billing Street]], ", ", Table1[[#This Row],[Billing City]], ", ", Table1[[#This Row],[Billing State/Province]], ", ", Table1[[#This Row],[Billing Zip/Postal Code]])</f>
        <v>17400 State Route 16, Coshocton, OH, 43812</v>
      </c>
    </row>
    <row r="766" spans="1:13" ht="15.6" hidden="1" x14ac:dyDescent="0.3">
      <c r="A766" s="1" t="s">
        <v>2700</v>
      </c>
      <c r="B766" s="1"/>
      <c r="C766" s="1"/>
      <c r="D766" s="1"/>
      <c r="E766" s="1"/>
      <c r="F766" s="1"/>
      <c r="G766" s="1" t="s">
        <v>8</v>
      </c>
      <c r="H766" s="2">
        <v>410</v>
      </c>
      <c r="I766" s="1" t="s">
        <v>13</v>
      </c>
      <c r="J766" s="1" t="s">
        <v>2701</v>
      </c>
      <c r="K766" s="1" t="s">
        <v>21</v>
      </c>
      <c r="L766" s="1" t="s">
        <v>2702</v>
      </c>
      <c r="M766" s="6" t="str">
        <f>_xlfn.CONCAT(Table1[[#This Row],[Billing Street]], ", ", Table1[[#This Row],[Billing City]], ", ", Table1[[#This Row],[Billing State/Province]], ", ", Table1[[#This Row],[Billing Zip/Postal Code]])</f>
        <v>, Davenport, IA, 52804</v>
      </c>
    </row>
    <row r="767" spans="1:13" ht="15.6" x14ac:dyDescent="0.3">
      <c r="A767" s="1" t="s">
        <v>2703</v>
      </c>
      <c r="B767" s="1"/>
      <c r="C767" s="1"/>
      <c r="D767" s="1"/>
      <c r="E767" s="1"/>
      <c r="F767" s="1"/>
      <c r="G767" s="1" t="s">
        <v>24</v>
      </c>
      <c r="H767" s="2">
        <v>341</v>
      </c>
      <c r="I767" s="1" t="s">
        <v>2704</v>
      </c>
      <c r="J767" s="1" t="s">
        <v>2705</v>
      </c>
      <c r="K767" s="1" t="s">
        <v>36</v>
      </c>
      <c r="L767" s="1" t="s">
        <v>2706</v>
      </c>
      <c r="M767" s="6" t="str">
        <f>_xlfn.CONCAT(Table1[[#This Row],[Billing Street]], ", ", Table1[[#This Row],[Billing City]], ", ", Table1[[#This Row],[Billing State/Province]], ", ", Table1[[#This Row],[Billing Zip/Postal Code]])</f>
        <v>1108 E Main St, Wauchula, FL, 33873</v>
      </c>
    </row>
    <row r="768" spans="1:13" ht="15.6" hidden="1" x14ac:dyDescent="0.3">
      <c r="A768" s="1" t="s">
        <v>2707</v>
      </c>
      <c r="B768" s="1"/>
      <c r="C768" s="1"/>
      <c r="D768" s="1"/>
      <c r="E768" s="1"/>
      <c r="F768" s="1"/>
      <c r="G768" s="1" t="s">
        <v>43</v>
      </c>
      <c r="H768" s="2">
        <v>474</v>
      </c>
      <c r="I768" s="1" t="s">
        <v>2708</v>
      </c>
      <c r="J768" s="1" t="s">
        <v>2709</v>
      </c>
      <c r="K768" s="1" t="s">
        <v>152</v>
      </c>
      <c r="L768" s="1" t="s">
        <v>2710</v>
      </c>
      <c r="M768" s="6" t="str">
        <f>_xlfn.CONCAT(Table1[[#This Row],[Billing Street]], ", ", Table1[[#This Row],[Billing City]], ", ", Table1[[#This Row],[Billing State/Province]], ", ", Table1[[#This Row],[Billing Zip/Postal Code]])</f>
        <v>11543 Lake Of Egypt Road, Marion, IL, 62959</v>
      </c>
    </row>
    <row r="769" spans="1:13" ht="15.6" hidden="1" x14ac:dyDescent="0.3">
      <c r="A769" s="1" t="s">
        <v>2711</v>
      </c>
      <c r="B769" s="1"/>
      <c r="C769" s="1"/>
      <c r="D769" s="1"/>
      <c r="E769" s="1"/>
      <c r="F769" s="1"/>
      <c r="G769" s="1" t="s">
        <v>43</v>
      </c>
      <c r="H769" s="2">
        <v>494</v>
      </c>
      <c r="I769" s="1" t="s">
        <v>2712</v>
      </c>
      <c r="J769" s="1" t="s">
        <v>2713</v>
      </c>
      <c r="K769" s="1" t="s">
        <v>152</v>
      </c>
      <c r="L769" s="1" t="s">
        <v>2714</v>
      </c>
      <c r="M769" s="6" t="str">
        <f>_xlfn.CONCAT(Table1[[#This Row],[Billing Street]], ", ", Table1[[#This Row],[Billing City]], ", ", Table1[[#This Row],[Billing State/Province]], ", ", Table1[[#This Row],[Billing Zip/Postal Code]])</f>
        <v>7420 Old US Highway 51 S, Dongola, IL, 62926</v>
      </c>
    </row>
    <row r="770" spans="1:13" ht="15.6" hidden="1" x14ac:dyDescent="0.3">
      <c r="A770" s="1" t="s">
        <v>2715</v>
      </c>
      <c r="B770" s="1"/>
      <c r="C770" s="1"/>
      <c r="D770" s="1"/>
      <c r="E770" s="1"/>
      <c r="F770" s="1"/>
      <c r="G770" s="1" t="s">
        <v>43</v>
      </c>
      <c r="H770" s="2">
        <v>5776</v>
      </c>
      <c r="I770" s="1" t="s">
        <v>2716</v>
      </c>
      <c r="J770" s="1" t="s">
        <v>2717</v>
      </c>
      <c r="K770" s="1" t="s">
        <v>1154</v>
      </c>
      <c r="L770" s="1" t="s">
        <v>2718</v>
      </c>
      <c r="M770" s="6" t="str">
        <f>_xlfn.CONCAT(Table1[[#This Row],[Billing Street]], ", ", Table1[[#This Row],[Billing City]], ", ", Table1[[#This Row],[Billing State/Province]], ", ", Table1[[#This Row],[Billing Zip/Postal Code]])</f>
        <v>1440 Carbon St, Reading, Pa, 19601</v>
      </c>
    </row>
    <row r="771" spans="1:13" ht="15.6" x14ac:dyDescent="0.3">
      <c r="A771" s="1" t="s">
        <v>2719</v>
      </c>
      <c r="B771" s="1"/>
      <c r="C771" s="1"/>
      <c r="D771" s="1"/>
      <c r="E771" s="1"/>
      <c r="F771" s="1"/>
      <c r="G771" s="1" t="s">
        <v>24</v>
      </c>
      <c r="H771" s="2">
        <v>95</v>
      </c>
      <c r="I771" s="1" t="s">
        <v>2720</v>
      </c>
      <c r="J771" s="1" t="s">
        <v>2721</v>
      </c>
      <c r="K771" s="1" t="s">
        <v>26</v>
      </c>
      <c r="L771" s="1" t="s">
        <v>2722</v>
      </c>
      <c r="M771" s="6" t="str">
        <f>_xlfn.CONCAT(Table1[[#This Row],[Billing Street]], ", ", Table1[[#This Row],[Billing City]], ", ", Table1[[#This Row],[Billing State/Province]], ", ", Table1[[#This Row],[Billing Zip/Postal Code]])</f>
        <v>413 E Laurel Ave, Foley, AL, 36535</v>
      </c>
    </row>
    <row r="772" spans="1:13" ht="15.6" x14ac:dyDescent="0.3">
      <c r="A772" s="1" t="s">
        <v>2723</v>
      </c>
      <c r="B772" s="1"/>
      <c r="C772" s="1"/>
      <c r="D772" s="1"/>
      <c r="E772" s="1"/>
      <c r="F772" s="1"/>
      <c r="G772" s="1" t="s">
        <v>24</v>
      </c>
      <c r="H772" s="2">
        <v>5988</v>
      </c>
      <c r="I772" s="1" t="s">
        <v>2724</v>
      </c>
      <c r="J772" s="1" t="s">
        <v>2725</v>
      </c>
      <c r="K772" s="1" t="s">
        <v>26</v>
      </c>
      <c r="L772" s="1" t="s">
        <v>2726</v>
      </c>
      <c r="M772" s="6" t="str">
        <f>_xlfn.CONCAT(Table1[[#This Row],[Billing Street]], ", ", Table1[[#This Row],[Billing City]], ", ", Table1[[#This Row],[Billing State/Province]], ", ", Table1[[#This Row],[Billing Zip/Postal Code]])</f>
        <v>1728 Rose Rd, Albertville, AL, 35951</v>
      </c>
    </row>
    <row r="773" spans="1:13" ht="15.6" hidden="1" x14ac:dyDescent="0.3">
      <c r="A773" s="1" t="s">
        <v>2727</v>
      </c>
      <c r="B773" s="1"/>
      <c r="C773" s="1"/>
      <c r="D773" s="1"/>
      <c r="E773" s="1"/>
      <c r="F773" s="1"/>
      <c r="G773" s="1" t="s">
        <v>205</v>
      </c>
      <c r="H773" s="2">
        <v>506</v>
      </c>
      <c r="I773" s="1" t="s">
        <v>2728</v>
      </c>
      <c r="J773" s="1" t="s">
        <v>2729</v>
      </c>
      <c r="K773" s="1" t="s">
        <v>472</v>
      </c>
      <c r="L773" s="1" t="s">
        <v>2730</v>
      </c>
      <c r="M773" s="6" t="str">
        <f>_xlfn.CONCAT(Table1[[#This Row],[Billing Street]], ", ", Table1[[#This Row],[Billing City]], ", ", Table1[[#This Row],[Billing State/Province]], ", ", Table1[[#This Row],[Billing Zip/Postal Code]])</f>
        <v>1407 W North Temple, Salt Lake City/Bend, UT, 84116</v>
      </c>
    </row>
    <row r="774" spans="1:13" ht="15.6" hidden="1" x14ac:dyDescent="0.3">
      <c r="A774" s="1" t="s">
        <v>2731</v>
      </c>
      <c r="B774" s="1"/>
      <c r="C774" s="1"/>
      <c r="D774" s="1"/>
      <c r="E774" s="1"/>
      <c r="F774" s="1"/>
      <c r="G774" s="1" t="s">
        <v>54</v>
      </c>
      <c r="H774" s="2">
        <v>137</v>
      </c>
      <c r="I774" s="1" t="s">
        <v>2732</v>
      </c>
      <c r="J774" s="1" t="s">
        <v>1127</v>
      </c>
      <c r="K774" s="1" t="s">
        <v>57</v>
      </c>
      <c r="L774" s="1" t="s">
        <v>2733</v>
      </c>
      <c r="M774" s="6" t="str">
        <f>_xlfn.CONCAT(Table1[[#This Row],[Billing Street]], ", ", Table1[[#This Row],[Billing City]], ", ", Table1[[#This Row],[Billing State/Province]], ", ", Table1[[#This Row],[Billing Zip/Postal Code]])</f>
        <v>1615 Betteravia Rd, Santa Maria, CA, 93268</v>
      </c>
    </row>
    <row r="775" spans="1:13" ht="15.6" hidden="1" x14ac:dyDescent="0.3">
      <c r="A775" s="1" t="s">
        <v>2734</v>
      </c>
      <c r="B775" s="1"/>
      <c r="C775" s="1"/>
      <c r="D775" s="1"/>
      <c r="E775" s="1"/>
      <c r="F775" s="1"/>
      <c r="G775" s="1" t="s">
        <v>54</v>
      </c>
      <c r="H775" s="2">
        <v>106</v>
      </c>
      <c r="I775" s="1" t="s">
        <v>2735</v>
      </c>
      <c r="J775" s="1" t="s">
        <v>202</v>
      </c>
      <c r="K775" s="1" t="s">
        <v>57</v>
      </c>
      <c r="L775" s="1" t="s">
        <v>2736</v>
      </c>
      <c r="M775" s="6" t="str">
        <f>_xlfn.CONCAT(Table1[[#This Row],[Billing Street]], ", ", Table1[[#This Row],[Billing City]], ", ", Table1[[#This Row],[Billing State/Province]], ", ", Table1[[#This Row],[Billing Zip/Postal Code]])</f>
        <v>3400 Manor Street, Bakersfield, CA, 93308</v>
      </c>
    </row>
    <row r="776" spans="1:13" ht="15.6" hidden="1" x14ac:dyDescent="0.3">
      <c r="A776" s="1" t="s">
        <v>2737</v>
      </c>
      <c r="B776" s="1"/>
      <c r="C776" s="1"/>
      <c r="D776" s="1"/>
      <c r="E776" s="1"/>
      <c r="F776" s="1"/>
      <c r="G776" s="1" t="s">
        <v>8</v>
      </c>
      <c r="H776" s="2">
        <v>394</v>
      </c>
      <c r="I776" s="1" t="s">
        <v>2738</v>
      </c>
      <c r="J776" s="1" t="s">
        <v>2120</v>
      </c>
      <c r="K776" s="1" t="s">
        <v>208</v>
      </c>
      <c r="L776" s="1" t="s">
        <v>2739</v>
      </c>
      <c r="M776" s="6" t="str">
        <f>_xlfn.CONCAT(Table1[[#This Row],[Billing Street]], ", ", Table1[[#This Row],[Billing City]], ", ", Table1[[#This Row],[Billing State/Province]], ", ", Table1[[#This Row],[Billing Zip/Postal Code]])</f>
        <v>415 15th Street, Burlington, CO, 80807</v>
      </c>
    </row>
    <row r="777" spans="1:13" ht="15.6" hidden="1" x14ac:dyDescent="0.3">
      <c r="A777" s="1" t="s">
        <v>2740</v>
      </c>
      <c r="B777" s="1"/>
      <c r="C777" s="1"/>
      <c r="D777" s="1"/>
      <c r="E777" s="1"/>
      <c r="F777" s="1"/>
      <c r="G777" s="1" t="s">
        <v>8</v>
      </c>
      <c r="H777" s="2">
        <v>626</v>
      </c>
      <c r="I777" s="1" t="s">
        <v>2741</v>
      </c>
      <c r="J777" s="1" t="s">
        <v>2742</v>
      </c>
      <c r="K777" s="1" t="s">
        <v>208</v>
      </c>
      <c r="L777" s="1" t="s">
        <v>2743</v>
      </c>
      <c r="M777" s="6" t="str">
        <f>_xlfn.CONCAT(Table1[[#This Row],[Billing Street]], ", ", Table1[[#This Row],[Billing City]], ", ", Table1[[#This Row],[Billing State/Province]], ", ", Table1[[#This Row],[Billing Zip/Postal Code]])</f>
        <v>130 S Galena St, Aspen, CO, 81611</v>
      </c>
    </row>
    <row r="778" spans="1:13" ht="15.6" hidden="1" x14ac:dyDescent="0.3">
      <c r="A778" s="1" t="s">
        <v>2744</v>
      </c>
      <c r="B778" s="1"/>
      <c r="C778" s="1"/>
      <c r="D778" s="1"/>
      <c r="E778" s="1"/>
      <c r="F778" s="1"/>
      <c r="G778" s="1" t="s">
        <v>8</v>
      </c>
      <c r="H778" s="2">
        <v>153</v>
      </c>
      <c r="I778" s="1" t="s">
        <v>2745</v>
      </c>
      <c r="J778" s="1" t="s">
        <v>896</v>
      </c>
      <c r="K778" s="1" t="s">
        <v>11</v>
      </c>
      <c r="L778" s="1" t="s">
        <v>908</v>
      </c>
      <c r="M778" s="6" t="str">
        <f>_xlfn.CONCAT(Table1[[#This Row],[Billing Street]], ", ", Table1[[#This Row],[Billing City]], ", ", Table1[[#This Row],[Billing State/Province]], ", ", Table1[[#This Row],[Billing Zip/Postal Code]])</f>
        <v>1731 Locust St, Kansas City, MO, 64108</v>
      </c>
    </row>
    <row r="779" spans="1:13" ht="15.6" hidden="1" x14ac:dyDescent="0.3">
      <c r="A779" s="1" t="s">
        <v>2746</v>
      </c>
      <c r="B779" s="1"/>
      <c r="C779" s="1"/>
      <c r="D779" s="1"/>
      <c r="E779" s="1"/>
      <c r="F779" s="1"/>
      <c r="G779" s="1" t="s">
        <v>43</v>
      </c>
      <c r="H779" s="2">
        <v>347</v>
      </c>
      <c r="I779" s="1" t="s">
        <v>2747</v>
      </c>
      <c r="J779" s="1" t="s">
        <v>2748</v>
      </c>
      <c r="K779" s="1" t="s">
        <v>275</v>
      </c>
      <c r="L779" s="1" t="s">
        <v>2749</v>
      </c>
      <c r="M779" s="6" t="str">
        <f>_xlfn.CONCAT(Table1[[#This Row],[Billing Street]], ", ", Table1[[#This Row],[Billing City]], ", ", Table1[[#This Row],[Billing State/Province]], ", ", Table1[[#This Row],[Billing Zip/Postal Code]])</f>
        <v>13162 St Rt 12, boonville, ny, 13309</v>
      </c>
    </row>
    <row r="780" spans="1:13" ht="15.6" hidden="1" x14ac:dyDescent="0.3">
      <c r="A780" s="1" t="s">
        <v>2750</v>
      </c>
      <c r="B780" s="1"/>
      <c r="C780" s="1"/>
      <c r="D780" s="1"/>
      <c r="E780" s="1"/>
      <c r="F780" s="1"/>
      <c r="G780" s="1" t="s">
        <v>43</v>
      </c>
      <c r="H780" s="2">
        <v>197</v>
      </c>
      <c r="I780" s="1" t="s">
        <v>2751</v>
      </c>
      <c r="J780" s="1" t="s">
        <v>2752</v>
      </c>
      <c r="K780" s="1" t="s">
        <v>275</v>
      </c>
      <c r="L780" s="1" t="s">
        <v>2753</v>
      </c>
      <c r="M780" s="6" t="str">
        <f>_xlfn.CONCAT(Table1[[#This Row],[Billing Street]], ", ", Table1[[#This Row],[Billing City]], ", ", Table1[[#This Row],[Billing State/Province]], ", ", Table1[[#This Row],[Billing Zip/Postal Code]])</f>
        <v>53 North Maine st, castile, ny, 14427</v>
      </c>
    </row>
    <row r="781" spans="1:13" ht="15.6" hidden="1" x14ac:dyDescent="0.3">
      <c r="A781" s="1" t="s">
        <v>2754</v>
      </c>
      <c r="B781" s="1"/>
      <c r="C781" s="1"/>
      <c r="D781" s="1"/>
      <c r="E781" s="1"/>
      <c r="F781" s="1"/>
      <c r="G781" s="1" t="s">
        <v>8</v>
      </c>
      <c r="H781" s="2">
        <v>536</v>
      </c>
      <c r="I781" s="1" t="s">
        <v>2755</v>
      </c>
      <c r="J781" s="1" t="s">
        <v>2756</v>
      </c>
      <c r="K781" s="1" t="s">
        <v>208</v>
      </c>
      <c r="L781" s="1" t="s">
        <v>2757</v>
      </c>
      <c r="M781" s="6" t="str">
        <f>_xlfn.CONCAT(Table1[[#This Row],[Billing Street]], ", ", Table1[[#This Row],[Billing City]], ", ", Table1[[#This Row],[Billing State/Province]], ", ", Table1[[#This Row],[Billing Zip/Postal Code]])</f>
        <v>13505 E 112th ave, Brighton, CO, 80603</v>
      </c>
    </row>
    <row r="782" spans="1:13" ht="15.6" hidden="1" x14ac:dyDescent="0.3">
      <c r="A782" s="1" t="s">
        <v>2758</v>
      </c>
      <c r="B782" s="1"/>
      <c r="C782" s="1"/>
      <c r="D782" s="1"/>
      <c r="E782" s="1"/>
      <c r="F782" s="1"/>
      <c r="G782" s="1" t="s">
        <v>8</v>
      </c>
      <c r="H782" s="2">
        <v>37</v>
      </c>
      <c r="I782" s="1" t="s">
        <v>2759</v>
      </c>
      <c r="J782" s="1" t="s">
        <v>2760</v>
      </c>
      <c r="K782" s="1" t="s">
        <v>554</v>
      </c>
      <c r="L782" s="1" t="s">
        <v>2761</v>
      </c>
      <c r="M782" s="6" t="str">
        <f>_xlfn.CONCAT(Table1[[#This Row],[Billing Street]], ", ", Table1[[#This Row],[Billing City]], ", ", Table1[[#This Row],[Billing State/Province]], ", ", Table1[[#This Row],[Billing Zip/Postal Code]])</f>
        <v>1115 N 6th St, Fredonia, KS, 66736</v>
      </c>
    </row>
    <row r="783" spans="1:13" ht="15.6" hidden="1" x14ac:dyDescent="0.3">
      <c r="A783" s="1" t="s">
        <v>2762</v>
      </c>
      <c r="B783" s="1"/>
      <c r="C783" s="1"/>
      <c r="D783" s="1"/>
      <c r="E783" s="1"/>
      <c r="F783" s="1"/>
      <c r="G783" s="1" t="s">
        <v>54</v>
      </c>
      <c r="H783" s="2">
        <v>13</v>
      </c>
      <c r="I783" s="1" t="s">
        <v>2763</v>
      </c>
      <c r="J783" s="1" t="s">
        <v>2764</v>
      </c>
      <c r="K783" s="1" t="s">
        <v>57</v>
      </c>
      <c r="L783" s="1" t="s">
        <v>2765</v>
      </c>
      <c r="M783" s="6" t="str">
        <f>_xlfn.CONCAT(Table1[[#This Row],[Billing Street]], ", ", Table1[[#This Row],[Billing City]], ", ", Table1[[#This Row],[Billing State/Province]], ", ", Table1[[#This Row],[Billing Zip/Postal Code]])</f>
        <v>6251 Paramount Blvd., Long Beach, CA, 90801</v>
      </c>
    </row>
    <row r="784" spans="1:13" ht="15.6" hidden="1" x14ac:dyDescent="0.3">
      <c r="A784" s="1" t="s">
        <v>2766</v>
      </c>
      <c r="B784" s="1"/>
      <c r="C784" s="1"/>
      <c r="D784" s="1"/>
      <c r="E784" s="1"/>
      <c r="F784" s="1"/>
      <c r="G784" s="1" t="s">
        <v>43</v>
      </c>
      <c r="H784" s="2">
        <v>495</v>
      </c>
      <c r="I784" s="1" t="s">
        <v>2767</v>
      </c>
      <c r="J784" s="1" t="s">
        <v>2768</v>
      </c>
      <c r="K784" s="1" t="s">
        <v>152</v>
      </c>
      <c r="L784" s="1" t="s">
        <v>2769</v>
      </c>
      <c r="M784" s="6" t="str">
        <f>_xlfn.CONCAT(Table1[[#This Row],[Billing Street]], ", ", Table1[[#This Row],[Billing City]], ", ", Table1[[#This Row],[Billing State/Province]], ", ", Table1[[#This Row],[Billing Zip/Postal Code]])</f>
        <v>4201 St Clair Ave, Washington Park, IL, 62203</v>
      </c>
    </row>
    <row r="785" spans="1:13" ht="15.6" hidden="1" x14ac:dyDescent="0.3">
      <c r="A785" s="1" t="s">
        <v>2770</v>
      </c>
      <c r="B785" s="1"/>
      <c r="C785" s="1"/>
      <c r="D785" s="1"/>
      <c r="E785" s="1"/>
      <c r="F785" s="1"/>
      <c r="G785" s="1" t="s">
        <v>43</v>
      </c>
      <c r="H785" s="2">
        <v>318</v>
      </c>
      <c r="I785" s="1" t="s">
        <v>2771</v>
      </c>
      <c r="J785" s="1" t="s">
        <v>2772</v>
      </c>
      <c r="K785" s="1" t="s">
        <v>152</v>
      </c>
      <c r="L785" s="1" t="s">
        <v>2773</v>
      </c>
      <c r="M785" s="6" t="str">
        <f>_xlfn.CONCAT(Table1[[#This Row],[Billing Street]], ", ", Table1[[#This Row],[Billing City]], ", ", Table1[[#This Row],[Billing State/Province]], ", ", Table1[[#This Row],[Billing Zip/Postal Code]])</f>
        <v>16901 Van Dam Rd, South Holland, IL, 60473</v>
      </c>
    </row>
    <row r="786" spans="1:13" ht="15.6" hidden="1" x14ac:dyDescent="0.3">
      <c r="A786" s="1" t="s">
        <v>2774</v>
      </c>
      <c r="B786" s="1"/>
      <c r="C786" s="1"/>
      <c r="D786" s="1"/>
      <c r="E786" s="1"/>
      <c r="F786" s="1"/>
      <c r="G786" s="1" t="s">
        <v>43</v>
      </c>
      <c r="H786" s="2">
        <v>330</v>
      </c>
      <c r="I786" s="1" t="s">
        <v>2775</v>
      </c>
      <c r="J786" s="1" t="s">
        <v>2041</v>
      </c>
      <c r="K786" s="1" t="s">
        <v>152</v>
      </c>
      <c r="L786" s="1" t="s">
        <v>2776</v>
      </c>
      <c r="M786" s="6" t="str">
        <f>_xlfn.CONCAT(Table1[[#This Row],[Billing Street]], ", ", Table1[[#This Row],[Billing City]], ", ", Table1[[#This Row],[Billing State/Province]], ", ", Table1[[#This Row],[Billing Zip/Postal Code]])</f>
        <v>6832 W North Ave, Suite 1A, Chicago, IL, 60707</v>
      </c>
    </row>
    <row r="787" spans="1:13" ht="15.6" hidden="1" x14ac:dyDescent="0.3">
      <c r="A787" s="1" t="s">
        <v>2777</v>
      </c>
      <c r="B787" s="1"/>
      <c r="C787" s="1"/>
      <c r="D787" s="1"/>
      <c r="E787" s="1"/>
      <c r="F787" s="1"/>
      <c r="G787" s="1" t="s">
        <v>43</v>
      </c>
      <c r="H787" s="2">
        <v>341</v>
      </c>
      <c r="I787" s="1" t="s">
        <v>2778</v>
      </c>
      <c r="J787" s="1" t="s">
        <v>2779</v>
      </c>
      <c r="K787" s="1" t="s">
        <v>152</v>
      </c>
      <c r="L787" s="1" t="s">
        <v>2780</v>
      </c>
      <c r="M787" s="6" t="str">
        <f>_xlfn.CONCAT(Table1[[#This Row],[Billing Street]], ", ", Table1[[#This Row],[Billing City]], ", ", Table1[[#This Row],[Billing State/Province]], ", ", Table1[[#This Row],[Billing Zip/Postal Code]])</f>
        <v>315 Eisenhower Ln S, Lombard, IL, 60148</v>
      </c>
    </row>
    <row r="788" spans="1:13" ht="15.6" hidden="1" x14ac:dyDescent="0.3">
      <c r="A788" s="1" t="s">
        <v>2781</v>
      </c>
      <c r="B788" s="1"/>
      <c r="C788" s="1"/>
      <c r="D788" s="1"/>
      <c r="E788" s="1"/>
      <c r="F788" s="1"/>
      <c r="G788" s="1" t="s">
        <v>8</v>
      </c>
      <c r="H788" s="2">
        <v>222</v>
      </c>
      <c r="I788" s="1" t="s">
        <v>2782</v>
      </c>
      <c r="J788" s="1" t="s">
        <v>2783</v>
      </c>
      <c r="K788" s="1" t="s">
        <v>554</v>
      </c>
      <c r="L788" s="1" t="s">
        <v>2784</v>
      </c>
      <c r="M788" s="6" t="str">
        <f>_xlfn.CONCAT(Table1[[#This Row],[Billing Street]], ", ", Table1[[#This Row],[Billing City]], ", ", Table1[[#This Row],[Billing State/Province]], ", ", Table1[[#This Row],[Billing Zip/Postal Code]])</f>
        <v>1204 9th Street, Belleville, KS, 66935</v>
      </c>
    </row>
    <row r="789" spans="1:13" ht="15.6" hidden="1" x14ac:dyDescent="0.3">
      <c r="A789" s="1" t="s">
        <v>2785</v>
      </c>
      <c r="B789" s="1"/>
      <c r="C789" s="1"/>
      <c r="D789" s="1"/>
      <c r="E789" s="1"/>
      <c r="F789" s="1"/>
      <c r="G789" s="1" t="s">
        <v>8</v>
      </c>
      <c r="H789" s="2">
        <v>316</v>
      </c>
      <c r="I789" s="1" t="s">
        <v>2786</v>
      </c>
      <c r="J789" s="1" t="s">
        <v>900</v>
      </c>
      <c r="K789" s="1" t="s">
        <v>11</v>
      </c>
      <c r="L789" s="1" t="s">
        <v>2787</v>
      </c>
      <c r="M789" s="6" t="str">
        <f>_xlfn.CONCAT(Table1[[#This Row],[Billing Street]], ", ", Table1[[#This Row],[Billing City]], ", ", Table1[[#This Row],[Billing State/Province]], ", ", Table1[[#This Row],[Billing Zip/Postal Code]])</f>
        <v>5242 N Broadway, St Louis, MO, 63147</v>
      </c>
    </row>
    <row r="790" spans="1:13" ht="15.6" hidden="1" x14ac:dyDescent="0.3">
      <c r="A790" s="1" t="s">
        <v>2788</v>
      </c>
      <c r="B790" s="1"/>
      <c r="C790" s="1"/>
      <c r="D790" s="1"/>
      <c r="E790" s="1"/>
      <c r="F790" s="1"/>
      <c r="G790" s="1" t="s">
        <v>8</v>
      </c>
      <c r="H790" s="2">
        <v>311</v>
      </c>
      <c r="I790" s="1" t="s">
        <v>2789</v>
      </c>
      <c r="J790" s="1" t="s">
        <v>900</v>
      </c>
      <c r="K790" s="1" t="s">
        <v>11</v>
      </c>
      <c r="L790" s="1" t="s">
        <v>2790</v>
      </c>
      <c r="M790" s="6" t="str">
        <f>_xlfn.CONCAT(Table1[[#This Row],[Billing Street]], ", ", Table1[[#This Row],[Billing City]], ", ", Table1[[#This Row],[Billing State/Province]], ", ", Table1[[#This Row],[Billing Zip/Postal Code]])</f>
        <v>951 Skinker Pkwy, St Louis, MO, 63112</v>
      </c>
    </row>
    <row r="791" spans="1:13" ht="15.6" hidden="1" x14ac:dyDescent="0.3">
      <c r="A791" s="1" t="s">
        <v>2791</v>
      </c>
      <c r="B791" s="1"/>
      <c r="C791" s="1"/>
      <c r="D791" s="1"/>
      <c r="E791" s="1"/>
      <c r="F791" s="1"/>
      <c r="G791" s="1" t="s">
        <v>8</v>
      </c>
      <c r="H791" s="2">
        <v>192</v>
      </c>
      <c r="I791" s="1" t="s">
        <v>2792</v>
      </c>
      <c r="J791" s="1" t="s">
        <v>2793</v>
      </c>
      <c r="K791" s="1" t="s">
        <v>11</v>
      </c>
      <c r="L791" s="1" t="s">
        <v>2794</v>
      </c>
      <c r="M791" s="6" t="str">
        <f>_xlfn.CONCAT(Table1[[#This Row],[Billing Street]], ", ", Table1[[#This Row],[Billing City]], ", ", Table1[[#This Row],[Billing State/Province]], ", ", Table1[[#This Row],[Billing Zip/Postal Code]])</f>
        <v>2425 S 6Th St, Saint Joseph, MO, 64501</v>
      </c>
    </row>
    <row r="792" spans="1:13" ht="15.6" hidden="1" x14ac:dyDescent="0.3">
      <c r="A792" s="1" t="s">
        <v>2795</v>
      </c>
      <c r="B792" s="1"/>
      <c r="C792" s="1"/>
      <c r="D792" s="1"/>
      <c r="E792" s="1"/>
      <c r="F792" s="1"/>
      <c r="G792" s="1" t="s">
        <v>54</v>
      </c>
      <c r="H792" s="2">
        <v>98</v>
      </c>
      <c r="I792" s="1" t="s">
        <v>2796</v>
      </c>
      <c r="J792" s="1" t="s">
        <v>2797</v>
      </c>
      <c r="K792" s="1" t="s">
        <v>57</v>
      </c>
      <c r="L792" s="1" t="s">
        <v>2798</v>
      </c>
      <c r="M792" s="6" t="str">
        <f>_xlfn.CONCAT(Table1[[#This Row],[Billing Street]], ", ", Table1[[#This Row],[Billing City]], ", ", Table1[[#This Row],[Billing State/Province]], ", ", Table1[[#This Row],[Billing Zip/Postal Code]])</f>
        <v>58470 Hwy 371, Anza, CA, 92539</v>
      </c>
    </row>
    <row r="793" spans="1:13" ht="15.6" hidden="1" x14ac:dyDescent="0.3">
      <c r="A793" s="1" t="s">
        <v>2799</v>
      </c>
      <c r="B793" s="1"/>
      <c r="C793" s="1"/>
      <c r="D793" s="1"/>
      <c r="E793" s="1"/>
      <c r="F793" s="1"/>
      <c r="G793" s="1" t="s">
        <v>8</v>
      </c>
      <c r="H793" s="2">
        <v>156</v>
      </c>
      <c r="I793" s="1" t="s">
        <v>2800</v>
      </c>
      <c r="J793" s="1" t="s">
        <v>896</v>
      </c>
      <c r="K793" s="1" t="s">
        <v>11</v>
      </c>
      <c r="L793" s="1" t="s">
        <v>1602</v>
      </c>
      <c r="M793" s="6" t="str">
        <f>_xlfn.CONCAT(Table1[[#This Row],[Billing Street]], ", ", Table1[[#This Row],[Billing City]], ", ", Table1[[#This Row],[Billing State/Province]], ", ", Table1[[#This Row],[Billing Zip/Postal Code]])</f>
        <v>3570 Gardner Kansas City, Kansas City, MO, 64120</v>
      </c>
    </row>
    <row r="794" spans="1:13" ht="15.6" hidden="1" x14ac:dyDescent="0.3">
      <c r="A794" s="1" t="s">
        <v>2801</v>
      </c>
      <c r="B794" s="1"/>
      <c r="C794" s="1"/>
      <c r="D794" s="1"/>
      <c r="E794" s="1"/>
      <c r="F794" s="1"/>
      <c r="G794" s="1" t="s">
        <v>8</v>
      </c>
      <c r="H794" s="2">
        <v>158</v>
      </c>
      <c r="I794" s="1" t="s">
        <v>2802</v>
      </c>
      <c r="J794" s="1" t="s">
        <v>2803</v>
      </c>
      <c r="K794" s="1" t="s">
        <v>11</v>
      </c>
      <c r="L794" s="1" t="s">
        <v>2804</v>
      </c>
      <c r="M794" s="6" t="str">
        <f>_xlfn.CONCAT(Table1[[#This Row],[Billing Street]], ", ", Table1[[#This Row],[Billing City]], ", ", Table1[[#This Row],[Billing State/Province]], ", ", Table1[[#This Row],[Billing Zip/Postal Code]])</f>
        <v>5030 Nw Waukomis Dr, Kansasn City, MO, 64151</v>
      </c>
    </row>
    <row r="795" spans="1:13" ht="15.6" hidden="1" x14ac:dyDescent="0.3">
      <c r="A795" s="1" t="s">
        <v>2805</v>
      </c>
      <c r="B795" s="1"/>
      <c r="C795" s="1"/>
      <c r="D795" s="1"/>
      <c r="E795" s="1"/>
      <c r="F795" s="1"/>
      <c r="G795" s="1" t="s">
        <v>8</v>
      </c>
      <c r="H795" s="2">
        <v>311</v>
      </c>
      <c r="I795" s="1" t="s">
        <v>2806</v>
      </c>
      <c r="J795" s="1" t="s">
        <v>900</v>
      </c>
      <c r="K795" s="1" t="s">
        <v>11</v>
      </c>
      <c r="L795" s="1" t="s">
        <v>2807</v>
      </c>
      <c r="M795" s="6" t="str">
        <f>_xlfn.CONCAT(Table1[[#This Row],[Billing Street]], ", ", Table1[[#This Row],[Billing City]], ", ", Table1[[#This Row],[Billing State/Province]], ", ", Table1[[#This Row],[Billing Zip/Postal Code]])</f>
        <v>5710 Wise Ave, St Louis, MO, 63110</v>
      </c>
    </row>
    <row r="796" spans="1:13" ht="15.6" hidden="1" x14ac:dyDescent="0.3">
      <c r="A796" s="1" t="s">
        <v>2808</v>
      </c>
      <c r="B796" s="1"/>
      <c r="C796" s="1"/>
      <c r="D796" s="1"/>
      <c r="E796" s="1"/>
      <c r="F796" s="1"/>
      <c r="G796" s="1" t="s">
        <v>8</v>
      </c>
      <c r="H796" s="2">
        <v>129</v>
      </c>
      <c r="I796" s="1" t="s">
        <v>2809</v>
      </c>
      <c r="J796" s="1" t="s">
        <v>418</v>
      </c>
      <c r="K796" s="1" t="s">
        <v>11</v>
      </c>
      <c r="L796" s="1" t="s">
        <v>2810</v>
      </c>
      <c r="M796" s="6" t="str">
        <f>_xlfn.CONCAT(Table1[[#This Row],[Billing Street]], ", ", Table1[[#This Row],[Billing City]], ", ", Table1[[#This Row],[Billing State/Province]], ", ", Table1[[#This Row],[Billing Zip/Postal Code]])</f>
        <v>830 E Primrose St, Suite 200, Springfield, MO, 65807</v>
      </c>
    </row>
    <row r="797" spans="1:13" ht="15.6" hidden="1" x14ac:dyDescent="0.3">
      <c r="A797" s="1" t="s">
        <v>2811</v>
      </c>
      <c r="B797" s="1"/>
      <c r="C797" s="1"/>
      <c r="D797" s="1"/>
      <c r="E797" s="1"/>
      <c r="F797" s="1"/>
      <c r="G797" s="1" t="s">
        <v>8</v>
      </c>
      <c r="H797" s="2">
        <v>163</v>
      </c>
      <c r="I797" s="1" t="s">
        <v>2812</v>
      </c>
      <c r="J797" s="1" t="s">
        <v>896</v>
      </c>
      <c r="K797" s="1" t="s">
        <v>11</v>
      </c>
      <c r="L797" s="1" t="s">
        <v>2813</v>
      </c>
      <c r="M797" s="6" t="str">
        <f>_xlfn.CONCAT(Table1[[#This Row],[Billing Street]], ", ", Table1[[#This Row],[Billing City]], ", ", Table1[[#This Row],[Billing State/Province]], ", ", Table1[[#This Row],[Billing Zip/Postal Code]])</f>
        <v>17510 Nw Farley Hampton Rd, Kansas City, MO, 64153</v>
      </c>
    </row>
    <row r="798" spans="1:13" ht="15.6" x14ac:dyDescent="0.3">
      <c r="A798" s="1" t="s">
        <v>2814</v>
      </c>
      <c r="B798" s="1"/>
      <c r="C798" s="1"/>
      <c r="D798" s="1"/>
      <c r="E798" s="1"/>
      <c r="F798" s="1"/>
      <c r="G798" s="1" t="s">
        <v>24</v>
      </c>
      <c r="H798" s="2">
        <v>313</v>
      </c>
      <c r="I798" s="1" t="s">
        <v>2815</v>
      </c>
      <c r="J798" s="1" t="s">
        <v>2816</v>
      </c>
      <c r="K798" s="1" t="s">
        <v>36</v>
      </c>
      <c r="L798" s="1" t="s">
        <v>2817</v>
      </c>
      <c r="M798" s="6" t="str">
        <f>_xlfn.CONCAT(Table1[[#This Row],[Billing Street]], ", ", Table1[[#This Row],[Billing City]], ", ", Table1[[#This Row],[Billing State/Province]], ", ", Table1[[#This Row],[Billing Zip/Postal Code]])</f>
        <v>3307 Clarcona Rd, Apopka, FL, 32703</v>
      </c>
    </row>
    <row r="799" spans="1:13" ht="15.6" x14ac:dyDescent="0.3">
      <c r="A799" s="1" t="s">
        <v>2818</v>
      </c>
      <c r="B799" s="1"/>
      <c r="C799" s="1"/>
      <c r="D799" s="1"/>
      <c r="E799" s="1"/>
      <c r="F799" s="1"/>
      <c r="G799" s="1" t="s">
        <v>24</v>
      </c>
      <c r="H799" s="2">
        <v>194</v>
      </c>
      <c r="I799" s="1" t="s">
        <v>2819</v>
      </c>
      <c r="J799" s="1" t="s">
        <v>2820</v>
      </c>
      <c r="K799" s="1" t="s">
        <v>26</v>
      </c>
      <c r="L799" s="1" t="s">
        <v>2821</v>
      </c>
      <c r="M799" s="6" t="str">
        <f>_xlfn.CONCAT(Table1[[#This Row],[Billing Street]], ", ", Table1[[#This Row],[Billing City]], ", ", Table1[[#This Row],[Billing State/Province]], ", ", Table1[[#This Row],[Billing Zip/Postal Code]])</f>
        <v>16030 Romulus Road, Buhl, AL, 35446</v>
      </c>
    </row>
    <row r="800" spans="1:13" ht="15.6" hidden="1" x14ac:dyDescent="0.3">
      <c r="A800" s="1" t="s">
        <v>2822</v>
      </c>
      <c r="B800" s="1"/>
      <c r="C800" s="1"/>
      <c r="D800" s="1"/>
      <c r="E800" s="1"/>
      <c r="F800" s="1"/>
      <c r="G800" s="1" t="s">
        <v>8</v>
      </c>
      <c r="H800" s="2">
        <v>111</v>
      </c>
      <c r="I800" s="1" t="s">
        <v>2823</v>
      </c>
      <c r="J800" s="1" t="s">
        <v>2824</v>
      </c>
      <c r="K800" s="1" t="s">
        <v>554</v>
      </c>
      <c r="L800" s="1" t="s">
        <v>2825</v>
      </c>
      <c r="M800" s="6" t="str">
        <f>_xlfn.CONCAT(Table1[[#This Row],[Billing Street]], ", ", Table1[[#This Row],[Billing City]], ", ", Table1[[#This Row],[Billing State/Province]], ", ", Table1[[#This Row],[Billing Zip/Postal Code]])</f>
        <v>201 S 5th Street, Osage City, KS, 66523</v>
      </c>
    </row>
    <row r="801" spans="1:13" ht="15.6" hidden="1" x14ac:dyDescent="0.3">
      <c r="A801" s="1" t="s">
        <v>2826</v>
      </c>
      <c r="B801" s="1"/>
      <c r="C801" s="1"/>
      <c r="D801" s="1"/>
      <c r="E801" s="1"/>
      <c r="F801" s="1"/>
      <c r="G801" s="1" t="s">
        <v>8</v>
      </c>
      <c r="H801" s="2">
        <v>151</v>
      </c>
      <c r="I801" s="1" t="s">
        <v>2827</v>
      </c>
      <c r="J801" s="1" t="s">
        <v>896</v>
      </c>
      <c r="K801" s="1" t="s">
        <v>554</v>
      </c>
      <c r="L801" s="1" t="s">
        <v>2828</v>
      </c>
      <c r="M801" s="6" t="str">
        <f>_xlfn.CONCAT(Table1[[#This Row],[Billing Street]], ", ", Table1[[#This Row],[Billing City]], ", ", Table1[[#This Row],[Billing State/Province]], ", ", Table1[[#This Row],[Billing Zip/Postal Code]])</f>
        <v>6742 Riverview, Kansas City, KS, 66101</v>
      </c>
    </row>
    <row r="802" spans="1:13" ht="15.6" hidden="1" x14ac:dyDescent="0.3">
      <c r="A802" s="1" t="s">
        <v>2829</v>
      </c>
      <c r="B802" s="1"/>
      <c r="C802" s="1"/>
      <c r="D802" s="1"/>
      <c r="E802" s="1"/>
      <c r="F802" s="1"/>
      <c r="G802" s="1" t="s">
        <v>54</v>
      </c>
      <c r="H802" s="2">
        <v>171</v>
      </c>
      <c r="I802" s="1" t="s">
        <v>2830</v>
      </c>
      <c r="J802" s="1" t="s">
        <v>2831</v>
      </c>
      <c r="K802" s="1" t="s">
        <v>57</v>
      </c>
      <c r="L802" s="1" t="s">
        <v>2832</v>
      </c>
      <c r="M802" s="6" t="str">
        <f>_xlfn.CONCAT(Table1[[#This Row],[Billing Street]], ", ", Table1[[#This Row],[Billing City]], ", ", Table1[[#This Row],[Billing State/Province]], ", ", Table1[[#This Row],[Billing Zip/Postal Code]])</f>
        <v>1010 North Plaza Drive, Visalia, CA, 93291</v>
      </c>
    </row>
    <row r="803" spans="1:13" ht="15.6" hidden="1" x14ac:dyDescent="0.3">
      <c r="A803" s="1" t="s">
        <v>2833</v>
      </c>
      <c r="B803" s="1"/>
      <c r="C803" s="1"/>
      <c r="D803" s="1"/>
      <c r="E803" s="1"/>
      <c r="F803" s="1"/>
      <c r="G803" s="1" t="s">
        <v>54</v>
      </c>
      <c r="H803" s="2">
        <v>355</v>
      </c>
      <c r="I803" s="1" t="s">
        <v>2834</v>
      </c>
      <c r="J803" s="1" t="s">
        <v>1543</v>
      </c>
      <c r="K803" s="1" t="s">
        <v>57</v>
      </c>
      <c r="L803" s="1" t="s">
        <v>2835</v>
      </c>
      <c r="M803" s="6" t="str">
        <f>_xlfn.CONCAT(Table1[[#This Row],[Billing Street]], ", ", Table1[[#This Row],[Billing City]], ", ", Table1[[#This Row],[Billing State/Province]], ", ", Table1[[#This Row],[Billing Zip/Postal Code]])</f>
        <v>4175 Lakeside Drive, Richmond, CA, 94806</v>
      </c>
    </row>
    <row r="804" spans="1:13" ht="15.6" hidden="1" x14ac:dyDescent="0.3">
      <c r="A804" s="1" t="s">
        <v>2836</v>
      </c>
      <c r="B804" s="1"/>
      <c r="C804" s="1"/>
      <c r="D804" s="1"/>
      <c r="E804" s="1"/>
      <c r="F804" s="1"/>
      <c r="G804" s="1" t="s">
        <v>54</v>
      </c>
      <c r="H804" s="2">
        <v>387</v>
      </c>
      <c r="I804" s="1" t="s">
        <v>2837</v>
      </c>
      <c r="J804" s="1" t="s">
        <v>2838</v>
      </c>
      <c r="K804" s="1" t="s">
        <v>57</v>
      </c>
      <c r="L804" s="1" t="s">
        <v>2839</v>
      </c>
      <c r="M804" s="6" t="str">
        <f>_xlfn.CONCAT(Table1[[#This Row],[Billing Street]], ", ", Table1[[#This Row],[Billing City]], ", ", Table1[[#This Row],[Billing State/Province]], ", ", Table1[[#This Row],[Billing Zip/Postal Code]])</f>
        <v>427 Aaron St Suite E,, Cotati, CA, 94931</v>
      </c>
    </row>
    <row r="805" spans="1:13" ht="15.6" hidden="1" x14ac:dyDescent="0.3">
      <c r="A805" s="1" t="s">
        <v>2840</v>
      </c>
      <c r="B805" s="1"/>
      <c r="C805" s="1"/>
      <c r="D805" s="1"/>
      <c r="E805" s="1"/>
      <c r="F805" s="1"/>
      <c r="G805" s="1" t="s">
        <v>54</v>
      </c>
      <c r="H805" s="2">
        <v>54</v>
      </c>
      <c r="I805" s="1" t="s">
        <v>2841</v>
      </c>
      <c r="J805" s="1" t="s">
        <v>2842</v>
      </c>
      <c r="K805" s="1" t="s">
        <v>57</v>
      </c>
      <c r="L805" s="1" t="s">
        <v>2843</v>
      </c>
      <c r="M805" s="6" t="str">
        <f>_xlfn.CONCAT(Table1[[#This Row],[Billing Street]], ", ", Table1[[#This Row],[Billing City]], ", ", Table1[[#This Row],[Billing State/Province]], ", ", Table1[[#This Row],[Billing Zip/Postal Code]])</f>
        <v>957 Reece Street, San Berardino, CA, 92411</v>
      </c>
    </row>
    <row r="806" spans="1:13" ht="15.6" hidden="1" x14ac:dyDescent="0.3">
      <c r="A806" s="1" t="s">
        <v>2844</v>
      </c>
      <c r="B806" s="1"/>
      <c r="C806" s="1"/>
      <c r="D806" s="1"/>
      <c r="E806" s="1"/>
      <c r="F806" s="1"/>
      <c r="G806" s="1" t="s">
        <v>8</v>
      </c>
      <c r="H806" s="2">
        <v>315</v>
      </c>
      <c r="I806" s="1" t="s">
        <v>2845</v>
      </c>
      <c r="J806" s="1" t="s">
        <v>2846</v>
      </c>
      <c r="K806" s="1" t="s">
        <v>554</v>
      </c>
      <c r="L806" s="1" t="s">
        <v>13</v>
      </c>
      <c r="M806" s="6" t="str">
        <f>_xlfn.CONCAT(Table1[[#This Row],[Billing Street]], ", ", Table1[[#This Row],[Billing City]], ", ", Table1[[#This Row],[Billing State/Province]], ", ", Table1[[#This Row],[Billing Zip/Postal Code]])</f>
        <v xml:space="preserve">1601 S. Washington, Hugoton, KS, </v>
      </c>
    </row>
    <row r="807" spans="1:13" ht="15.6" hidden="1" x14ac:dyDescent="0.3">
      <c r="A807" s="1" t="s">
        <v>2847</v>
      </c>
      <c r="B807" s="1"/>
      <c r="C807" s="1"/>
      <c r="D807" s="1"/>
      <c r="E807" s="1"/>
      <c r="F807" s="1"/>
      <c r="G807" s="1" t="s">
        <v>54</v>
      </c>
      <c r="H807" s="2">
        <v>265</v>
      </c>
      <c r="I807" s="1" t="s">
        <v>2848</v>
      </c>
      <c r="J807" s="1" t="s">
        <v>2849</v>
      </c>
      <c r="K807" s="1" t="s">
        <v>57</v>
      </c>
      <c r="L807" s="1" t="s">
        <v>2850</v>
      </c>
      <c r="M807" s="6" t="str">
        <f>_xlfn.CONCAT(Table1[[#This Row],[Billing Street]], ", ", Table1[[#This Row],[Billing City]], ", ", Table1[[#This Row],[Billing State/Province]], ", ", Table1[[#This Row],[Billing Zip/Postal Code]])</f>
        <v>7916 Bellevue Road, Atwater, CA, 95301</v>
      </c>
    </row>
    <row r="808" spans="1:13" ht="15.6" hidden="1" x14ac:dyDescent="0.3">
      <c r="A808" s="1" t="s">
        <v>2851</v>
      </c>
      <c r="B808" s="1"/>
      <c r="C808" s="1"/>
      <c r="D808" s="1"/>
      <c r="E808" s="1"/>
      <c r="F808" s="1"/>
      <c r="G808" s="1" t="s">
        <v>8</v>
      </c>
      <c r="H808" s="2">
        <v>88</v>
      </c>
      <c r="I808" s="1" t="s">
        <v>2852</v>
      </c>
      <c r="J808" s="1" t="s">
        <v>2853</v>
      </c>
      <c r="K808" s="1" t="s">
        <v>554</v>
      </c>
      <c r="L808" s="1" t="s">
        <v>2854</v>
      </c>
      <c r="M808" s="6" t="str">
        <f>_xlfn.CONCAT(Table1[[#This Row],[Billing Street]], ", ", Table1[[#This Row],[Billing City]], ", ", Table1[[#This Row],[Billing State/Province]], ", ", Table1[[#This Row],[Billing Zip/Postal Code]])</f>
        <v>131 W 5th Avenue, PO Box H, Garnett, KS, 66032</v>
      </c>
    </row>
    <row r="809" spans="1:13" ht="15.6" hidden="1" x14ac:dyDescent="0.3">
      <c r="A809" s="1" t="s">
        <v>2855</v>
      </c>
      <c r="B809" s="1"/>
      <c r="C809" s="1"/>
      <c r="D809" s="1"/>
      <c r="E809" s="1"/>
      <c r="F809" s="1"/>
      <c r="G809" s="1" t="s">
        <v>43</v>
      </c>
      <c r="H809" s="2">
        <v>302</v>
      </c>
      <c r="I809" s="1" t="s">
        <v>2856</v>
      </c>
      <c r="J809" s="1" t="s">
        <v>1798</v>
      </c>
      <c r="K809" s="1" t="s">
        <v>275</v>
      </c>
      <c r="L809" s="1" t="s">
        <v>1799</v>
      </c>
      <c r="M809" s="6" t="str">
        <f>_xlfn.CONCAT(Table1[[#This Row],[Billing Street]], ", ", Table1[[#This Row],[Billing City]], ", ", Table1[[#This Row],[Billing State/Province]], ", ", Table1[[#This Row],[Billing Zip/Postal Code]])</f>
        <v>6308 Fly Rd, East Syracuse, ny, 13057</v>
      </c>
    </row>
    <row r="810" spans="1:13" ht="15.6" hidden="1" x14ac:dyDescent="0.3">
      <c r="A810" s="1" t="s">
        <v>2857</v>
      </c>
      <c r="B810" s="1"/>
      <c r="C810" s="1"/>
      <c r="D810" s="1"/>
      <c r="E810" s="1"/>
      <c r="F810" s="1"/>
      <c r="G810" s="1" t="s">
        <v>8</v>
      </c>
      <c r="H810" s="2">
        <v>498</v>
      </c>
      <c r="I810" s="1" t="s">
        <v>2858</v>
      </c>
      <c r="J810" s="1" t="s">
        <v>557</v>
      </c>
      <c r="K810" s="1" t="s">
        <v>51</v>
      </c>
      <c r="L810" s="1" t="s">
        <v>2859</v>
      </c>
      <c r="M810" s="6" t="str">
        <f>_xlfn.CONCAT(Table1[[#This Row],[Billing Street]], ", ", Table1[[#This Row],[Billing City]], ", ", Table1[[#This Row],[Billing State/Province]], ", ", Table1[[#This Row],[Billing Zip/Postal Code]])</f>
        <v>7135 South Lake Houston Parkway, Houston, TX, 77049</v>
      </c>
    </row>
    <row r="811" spans="1:13" ht="15.6" hidden="1" x14ac:dyDescent="0.3">
      <c r="A811" s="1" t="s">
        <v>2860</v>
      </c>
      <c r="B811" s="1"/>
      <c r="C811" s="1"/>
      <c r="D811" s="1"/>
      <c r="E811" s="1"/>
      <c r="F811" s="1"/>
      <c r="G811" s="1" t="s">
        <v>8</v>
      </c>
      <c r="H811" s="2">
        <v>198</v>
      </c>
      <c r="I811" s="1" t="s">
        <v>13</v>
      </c>
      <c r="J811" s="1" t="s">
        <v>2861</v>
      </c>
      <c r="K811" s="1" t="s">
        <v>554</v>
      </c>
      <c r="L811" s="1" t="s">
        <v>2862</v>
      </c>
      <c r="M811" s="6" t="str">
        <f>_xlfn.CONCAT(Table1[[#This Row],[Billing Street]], ", ", Table1[[#This Row],[Billing City]], ", ", Table1[[#This Row],[Billing State/Province]], ", ", Table1[[#This Row],[Billing Zip/Postal Code]])</f>
        <v>, Sabetha, KS, 66534</v>
      </c>
    </row>
    <row r="812" spans="1:13" ht="15.6" hidden="1" x14ac:dyDescent="0.3">
      <c r="A812" s="1" t="s">
        <v>2863</v>
      </c>
      <c r="B812" s="1"/>
      <c r="C812" s="1"/>
      <c r="D812" s="1"/>
      <c r="E812" s="1"/>
      <c r="F812" s="1"/>
      <c r="G812" s="1" t="s">
        <v>54</v>
      </c>
      <c r="H812" s="2">
        <v>941</v>
      </c>
      <c r="I812" s="1" t="s">
        <v>2864</v>
      </c>
      <c r="J812" s="1" t="s">
        <v>1818</v>
      </c>
      <c r="K812" s="1" t="s">
        <v>405</v>
      </c>
      <c r="L812" s="1" t="s">
        <v>2865</v>
      </c>
      <c r="M812" s="6" t="str">
        <f>_xlfn.CONCAT(Table1[[#This Row],[Billing Street]], ", ", Table1[[#This Row],[Billing City]], ", ", Table1[[#This Row],[Billing State/Province]], ", ", Table1[[#This Row],[Billing Zip/Postal Code]])</f>
        <v>4217 E. Main Ave., Spokane, WA, 99202</v>
      </c>
    </row>
    <row r="813" spans="1:13" ht="15.6" x14ac:dyDescent="0.3">
      <c r="A813" s="1" t="s">
        <v>2866</v>
      </c>
      <c r="B813" s="1"/>
      <c r="C813" s="1"/>
      <c r="D813" s="1"/>
      <c r="E813" s="1"/>
      <c r="F813" s="1"/>
      <c r="G813" s="1" t="s">
        <v>24</v>
      </c>
      <c r="H813" s="2">
        <v>292</v>
      </c>
      <c r="I813" s="1" t="s">
        <v>2867</v>
      </c>
      <c r="J813" s="1" t="s">
        <v>1774</v>
      </c>
      <c r="K813" s="1" t="s">
        <v>36</v>
      </c>
      <c r="L813" s="1" t="s">
        <v>2868</v>
      </c>
      <c r="M813" s="6" t="str">
        <f>_xlfn.CONCAT(Table1[[#This Row],[Billing Street]], ", ", Table1[[#This Row],[Billing City]], ", ", Table1[[#This Row],[Billing State/Province]], ", ", Table1[[#This Row],[Billing Zip/Postal Code]])</f>
        <v>1228 E 7th Av, Tampa, FL, 33605</v>
      </c>
    </row>
    <row r="814" spans="1:13" ht="15.6" x14ac:dyDescent="0.3">
      <c r="A814" s="1" t="s">
        <v>2869</v>
      </c>
      <c r="B814" s="1"/>
      <c r="C814" s="1"/>
      <c r="D814" s="1"/>
      <c r="E814" s="1"/>
      <c r="F814" s="1"/>
      <c r="G814" s="1" t="s">
        <v>24</v>
      </c>
      <c r="H814" s="2">
        <v>191</v>
      </c>
      <c r="I814" s="1" t="s">
        <v>2870</v>
      </c>
      <c r="J814" s="1" t="s">
        <v>2871</v>
      </c>
      <c r="K814" s="1" t="s">
        <v>31</v>
      </c>
      <c r="L814" s="1" t="s">
        <v>2872</v>
      </c>
      <c r="M814" s="6" t="str">
        <f>_xlfn.CONCAT(Table1[[#This Row],[Billing Street]], ", ", Table1[[#This Row],[Billing City]], ", ", Table1[[#This Row],[Billing State/Province]], ", ", Table1[[#This Row],[Billing Zip/Postal Code]])</f>
        <v>216 McInnis St, Petal, MS, 39465</v>
      </c>
    </row>
    <row r="815" spans="1:13" ht="15.6" x14ac:dyDescent="0.3">
      <c r="A815" s="1" t="s">
        <v>2873</v>
      </c>
      <c r="B815" s="1"/>
      <c r="C815" s="1"/>
      <c r="D815" s="1"/>
      <c r="E815" s="1"/>
      <c r="F815" s="1"/>
      <c r="G815" s="1" t="s">
        <v>24</v>
      </c>
      <c r="H815" s="2">
        <v>289</v>
      </c>
      <c r="I815" s="1" t="s">
        <v>2874</v>
      </c>
      <c r="J815" s="1" t="s">
        <v>2875</v>
      </c>
      <c r="K815" s="1" t="s">
        <v>577</v>
      </c>
      <c r="L815" s="1" t="s">
        <v>2876</v>
      </c>
      <c r="M815" s="6" t="str">
        <f>_xlfn.CONCAT(Table1[[#This Row],[Billing Street]], ", ", Table1[[#This Row],[Billing City]], ", ", Table1[[#This Row],[Billing State/Province]], ", ", Table1[[#This Row],[Billing Zip/Postal Code]])</f>
        <v>10700 LA 44, Convent, LA, 70723</v>
      </c>
    </row>
    <row r="816" spans="1:13" ht="15.6" hidden="1" x14ac:dyDescent="0.3">
      <c r="A816" s="1" t="s">
        <v>2877</v>
      </c>
      <c r="B816" s="1"/>
      <c r="C816" s="1"/>
      <c r="D816" s="1"/>
      <c r="E816" s="1"/>
      <c r="F816" s="1"/>
      <c r="G816" s="1" t="s">
        <v>54</v>
      </c>
      <c r="H816" s="2">
        <v>379</v>
      </c>
      <c r="I816" s="1" t="s">
        <v>2878</v>
      </c>
      <c r="J816" s="1" t="s">
        <v>2879</v>
      </c>
      <c r="K816" s="1" t="s">
        <v>57</v>
      </c>
      <c r="L816" s="1" t="s">
        <v>2880</v>
      </c>
      <c r="M816" s="6" t="str">
        <f>_xlfn.CONCAT(Table1[[#This Row],[Billing Street]], ", ", Table1[[#This Row],[Billing City]], ", ", Table1[[#This Row],[Billing State/Province]], ", ", Table1[[#This Row],[Billing Zip/Postal Code]])</f>
        <v>15000 Arnold Drive, Eldridge, CA, 95431</v>
      </c>
    </row>
    <row r="817" spans="1:13" ht="15.6" hidden="1" x14ac:dyDescent="0.3">
      <c r="A817" s="1" t="s">
        <v>2881</v>
      </c>
      <c r="B817" s="1"/>
      <c r="C817" s="1"/>
      <c r="D817" s="1"/>
      <c r="E817" s="1"/>
      <c r="F817" s="1"/>
      <c r="G817" s="1" t="s">
        <v>54</v>
      </c>
      <c r="H817" s="2">
        <v>17</v>
      </c>
      <c r="I817" s="1" t="s">
        <v>2882</v>
      </c>
      <c r="J817" s="1" t="s">
        <v>2883</v>
      </c>
      <c r="K817" s="1" t="s">
        <v>57</v>
      </c>
      <c r="L817" s="1" t="s">
        <v>2884</v>
      </c>
      <c r="M817" s="6" t="str">
        <f>_xlfn.CONCAT(Table1[[#This Row],[Billing Street]], ", ", Table1[[#This Row],[Billing City]], ", ", Table1[[#This Row],[Billing State/Province]], ", ", Table1[[#This Row],[Billing Zip/Postal Code]])</f>
        <v>16101 Saticoy St,, Van Nuys, CA, 91406</v>
      </c>
    </row>
    <row r="818" spans="1:13" ht="15.6" x14ac:dyDescent="0.3">
      <c r="A818" s="1" t="s">
        <v>2885</v>
      </c>
      <c r="B818" s="1"/>
      <c r="C818" s="1"/>
      <c r="D818" s="1"/>
      <c r="E818" s="1"/>
      <c r="F818" s="1"/>
      <c r="G818" s="1" t="s">
        <v>24</v>
      </c>
      <c r="H818" s="2">
        <v>316</v>
      </c>
      <c r="I818" s="1" t="s">
        <v>13</v>
      </c>
      <c r="J818" s="1" t="s">
        <v>2886</v>
      </c>
      <c r="K818" s="1" t="s">
        <v>36</v>
      </c>
      <c r="L818" s="1" t="s">
        <v>2887</v>
      </c>
      <c r="M818" s="6" t="str">
        <f>_xlfn.CONCAT(Table1[[#This Row],[Billing Street]], ", ", Table1[[#This Row],[Billing City]], ", ", Table1[[#This Row],[Billing State/Province]], ", ", Table1[[#This Row],[Billing Zip/Postal Code]])</f>
        <v>, Altamonte Springs, FL, 32714</v>
      </c>
    </row>
    <row r="819" spans="1:13" ht="15.6" hidden="1" x14ac:dyDescent="0.3">
      <c r="A819" s="1" t="s">
        <v>2888</v>
      </c>
      <c r="B819" s="1"/>
      <c r="C819" s="1"/>
      <c r="D819" s="1"/>
      <c r="E819" s="1"/>
      <c r="F819" s="1"/>
      <c r="G819" s="1" t="s">
        <v>8</v>
      </c>
      <c r="H819" s="2">
        <v>270</v>
      </c>
      <c r="I819" s="1" t="s">
        <v>2889</v>
      </c>
      <c r="J819" s="1" t="s">
        <v>1858</v>
      </c>
      <c r="K819" s="1" t="s">
        <v>51</v>
      </c>
      <c r="L819" s="1" t="s">
        <v>2890</v>
      </c>
      <c r="M819" s="6" t="str">
        <f>_xlfn.CONCAT(Table1[[#This Row],[Billing Street]], ", ", Table1[[#This Row],[Billing City]], ", ", Table1[[#This Row],[Billing State/Province]], ", ", Table1[[#This Row],[Billing Zip/Postal Code]])</f>
        <v>1807 Church Street, Greenville, TX, 75401</v>
      </c>
    </row>
    <row r="820" spans="1:13" ht="15.6" hidden="1" x14ac:dyDescent="0.3">
      <c r="A820" s="1" t="s">
        <v>2891</v>
      </c>
      <c r="B820" s="1"/>
      <c r="C820" s="1"/>
      <c r="D820" s="1"/>
      <c r="E820" s="1"/>
      <c r="F820" s="1"/>
      <c r="G820" s="1" t="s">
        <v>54</v>
      </c>
      <c r="H820" s="2">
        <v>529</v>
      </c>
      <c r="I820" s="1" t="s">
        <v>2892</v>
      </c>
      <c r="J820" s="1" t="s">
        <v>2893</v>
      </c>
      <c r="K820" s="1" t="s">
        <v>57</v>
      </c>
      <c r="L820" s="1" t="s">
        <v>2894</v>
      </c>
      <c r="M820" s="6" t="str">
        <f>_xlfn.CONCAT(Table1[[#This Row],[Billing Street]], ", ", Table1[[#This Row],[Billing City]], ", ", Table1[[#This Row],[Billing State/Province]], ", ", Table1[[#This Row],[Billing Zip/Postal Code]])</f>
        <v>516 U.S. Hwy 395E, Alturas, CA, 96101</v>
      </c>
    </row>
    <row r="821" spans="1:13" ht="15.6" hidden="1" x14ac:dyDescent="0.3">
      <c r="A821" s="1" t="s">
        <v>2895</v>
      </c>
      <c r="B821" s="1"/>
      <c r="C821" s="1"/>
      <c r="D821" s="1"/>
      <c r="E821" s="1"/>
      <c r="F821" s="1"/>
      <c r="G821" s="1" t="s">
        <v>98</v>
      </c>
      <c r="H821" s="2">
        <v>5887</v>
      </c>
      <c r="I821" s="1" t="s">
        <v>2896</v>
      </c>
      <c r="J821" s="1" t="s">
        <v>2897</v>
      </c>
      <c r="K821" s="1" t="s">
        <v>234</v>
      </c>
      <c r="L821" s="1" t="s">
        <v>2898</v>
      </c>
      <c r="M821" s="6" t="str">
        <f>_xlfn.CONCAT(Table1[[#This Row],[Billing Street]], ", ", Table1[[#This Row],[Billing City]], ", ", Table1[[#This Row],[Billing State/Province]], ", ", Table1[[#This Row],[Billing Zip/Postal Code]])</f>
        <v>6473 Old State Rd, St Matthews, SC, 29135</v>
      </c>
    </row>
    <row r="822" spans="1:13" ht="15.6" hidden="1" x14ac:dyDescent="0.3">
      <c r="A822" s="1" t="s">
        <v>2899</v>
      </c>
      <c r="B822" s="1"/>
      <c r="C822" s="1"/>
      <c r="D822" s="1"/>
      <c r="E822" s="1"/>
      <c r="F822" s="1"/>
      <c r="G822" s="1" t="s">
        <v>8</v>
      </c>
      <c r="H822" s="2">
        <v>215</v>
      </c>
      <c r="I822" s="1" t="s">
        <v>2900</v>
      </c>
      <c r="J822" s="1" t="s">
        <v>2901</v>
      </c>
      <c r="K822" s="1" t="s">
        <v>554</v>
      </c>
      <c r="L822" s="1" t="s">
        <v>2902</v>
      </c>
      <c r="M822" s="6" t="str">
        <f>_xlfn.CONCAT(Table1[[#This Row],[Billing Street]], ", ", Table1[[#This Row],[Billing City]], ", ", Table1[[#This Row],[Billing State/Province]], ", ", Table1[[#This Row],[Billing Zip/Postal Code]])</f>
        <v>502 E 12th, Beloit, KS, 67420</v>
      </c>
    </row>
    <row r="823" spans="1:13" ht="15.6" hidden="1" x14ac:dyDescent="0.3">
      <c r="A823" s="1" t="s">
        <v>2903</v>
      </c>
      <c r="B823" s="1"/>
      <c r="C823" s="1"/>
      <c r="D823" s="1"/>
      <c r="E823" s="1"/>
      <c r="F823" s="1"/>
      <c r="G823" s="1" t="s">
        <v>43</v>
      </c>
      <c r="H823" s="2">
        <v>5776</v>
      </c>
      <c r="I823" s="1" t="s">
        <v>2904</v>
      </c>
      <c r="J823" s="1" t="s">
        <v>780</v>
      </c>
      <c r="K823" s="1" t="s">
        <v>781</v>
      </c>
      <c r="L823" s="1" t="s">
        <v>2905</v>
      </c>
      <c r="M823" s="6" t="str">
        <f>_xlfn.CONCAT(Table1[[#This Row],[Billing Street]], ", ", Table1[[#This Row],[Billing City]], ", ", Table1[[#This Row],[Billing State/Province]], ", ", Table1[[#This Row],[Billing Zip/Postal Code]])</f>
        <v>1040 East Erie Ave, Philadelphia, pa, 19124</v>
      </c>
    </row>
    <row r="824" spans="1:13" ht="15.6" hidden="1" x14ac:dyDescent="0.3">
      <c r="A824" s="1" t="s">
        <v>2906</v>
      </c>
      <c r="B824" s="1"/>
      <c r="C824" s="1"/>
      <c r="D824" s="1"/>
      <c r="E824" s="1"/>
      <c r="F824" s="1"/>
      <c r="G824" s="1" t="s">
        <v>13</v>
      </c>
      <c r="H824" s="2">
        <v>0</v>
      </c>
      <c r="I824" s="1" t="s">
        <v>13</v>
      </c>
      <c r="J824" s="1" t="s">
        <v>13</v>
      </c>
      <c r="K824" s="1" t="s">
        <v>13</v>
      </c>
      <c r="L824" s="1" t="s">
        <v>13</v>
      </c>
      <c r="M824" s="6" t="str">
        <f>_xlfn.CONCAT(Table1[[#This Row],[Billing Street]], ", ", Table1[[#This Row],[Billing City]], ", ", Table1[[#This Row],[Billing State/Province]], ", ", Table1[[#This Row],[Billing Zip/Postal Code]])</f>
        <v xml:space="preserve">, , , </v>
      </c>
    </row>
    <row r="825" spans="1:13" ht="15.6" hidden="1" x14ac:dyDescent="0.3">
      <c r="A825" s="1" t="s">
        <v>2907</v>
      </c>
      <c r="B825" s="1"/>
      <c r="C825" s="1"/>
      <c r="D825" s="1"/>
      <c r="E825" s="1"/>
      <c r="F825" s="1"/>
      <c r="G825" s="1" t="s">
        <v>13</v>
      </c>
      <c r="H825" s="2">
        <v>0</v>
      </c>
      <c r="I825" s="1" t="s">
        <v>13</v>
      </c>
      <c r="J825" s="1" t="s">
        <v>13</v>
      </c>
      <c r="K825" s="1" t="s">
        <v>13</v>
      </c>
      <c r="L825" s="1" t="s">
        <v>13</v>
      </c>
      <c r="M825" s="6" t="str">
        <f>_xlfn.CONCAT(Table1[[#This Row],[Billing Street]], ", ", Table1[[#This Row],[Billing City]], ", ", Table1[[#This Row],[Billing State/Province]], ", ", Table1[[#This Row],[Billing Zip/Postal Code]])</f>
        <v xml:space="preserve">, , , </v>
      </c>
    </row>
    <row r="826" spans="1:13" ht="15.6" hidden="1" x14ac:dyDescent="0.3">
      <c r="A826" s="1" t="s">
        <v>2908</v>
      </c>
      <c r="B826" s="1"/>
      <c r="C826" s="1"/>
      <c r="D826" s="1"/>
      <c r="E826" s="1"/>
      <c r="F826" s="1"/>
      <c r="G826" s="1" t="s">
        <v>205</v>
      </c>
      <c r="H826" s="2">
        <v>51</v>
      </c>
      <c r="I826" s="1" t="s">
        <v>2909</v>
      </c>
      <c r="J826" s="1" t="s">
        <v>2910</v>
      </c>
      <c r="K826" s="1" t="s">
        <v>479</v>
      </c>
      <c r="L826" s="1" t="s">
        <v>2911</v>
      </c>
      <c r="M826" s="6" t="str">
        <f>_xlfn.CONCAT(Table1[[#This Row],[Billing Street]], ", ", Table1[[#This Row],[Billing City]], ", ", Table1[[#This Row],[Billing State/Province]], ", ", Table1[[#This Row],[Billing Zip/Postal Code]])</f>
        <v>2530 N 491st Sve, Tonopah, AZ, 85354</v>
      </c>
    </row>
    <row r="827" spans="1:13" ht="15.6" hidden="1" x14ac:dyDescent="0.3">
      <c r="A827" s="1" t="s">
        <v>2912</v>
      </c>
      <c r="B827" s="1"/>
      <c r="C827" s="1"/>
      <c r="D827" s="1"/>
      <c r="E827" s="1"/>
      <c r="F827" s="1"/>
      <c r="G827" s="1" t="s">
        <v>13</v>
      </c>
      <c r="H827" s="2">
        <v>0</v>
      </c>
      <c r="I827" s="1" t="s">
        <v>13</v>
      </c>
      <c r="J827" s="1" t="s">
        <v>13</v>
      </c>
      <c r="K827" s="1" t="s">
        <v>13</v>
      </c>
      <c r="L827" s="1" t="s">
        <v>13</v>
      </c>
      <c r="M827" s="6" t="str">
        <f>_xlfn.CONCAT(Table1[[#This Row],[Billing Street]], ", ", Table1[[#This Row],[Billing City]], ", ", Table1[[#This Row],[Billing State/Province]], ", ", Table1[[#This Row],[Billing Zip/Postal Code]])</f>
        <v xml:space="preserve">, , , </v>
      </c>
    </row>
    <row r="828" spans="1:13" ht="15.6" hidden="1" x14ac:dyDescent="0.3">
      <c r="A828" s="1" t="s">
        <v>2913</v>
      </c>
      <c r="B828" s="1"/>
      <c r="C828" s="1"/>
      <c r="D828" s="1"/>
      <c r="E828" s="1"/>
      <c r="F828" s="1"/>
      <c r="G828" s="1" t="s">
        <v>54</v>
      </c>
      <c r="H828" s="2">
        <v>28</v>
      </c>
      <c r="I828" s="1" t="s">
        <v>2914</v>
      </c>
      <c r="J828" s="1" t="s">
        <v>985</v>
      </c>
      <c r="K828" s="1" t="s">
        <v>57</v>
      </c>
      <c r="L828" s="1" t="s">
        <v>2915</v>
      </c>
      <c r="M828" s="6" t="str">
        <f>_xlfn.CONCAT(Table1[[#This Row],[Billing Street]], ", ", Table1[[#This Row],[Billing City]], ", ", Table1[[#This Row],[Billing State/Province]], ", ", Table1[[#This Row],[Billing Zip/Postal Code]])</f>
        <v>4930 E La Palma Ave, Anaheim, CA, 92807</v>
      </c>
    </row>
    <row r="829" spans="1:13" ht="15.6" hidden="1" x14ac:dyDescent="0.3">
      <c r="A829" s="1" t="s">
        <v>2916</v>
      </c>
      <c r="B829" s="1"/>
      <c r="C829" s="1"/>
      <c r="D829" s="1"/>
      <c r="E829" s="1"/>
      <c r="F829" s="1"/>
      <c r="G829" s="1" t="s">
        <v>205</v>
      </c>
      <c r="H829" s="2">
        <v>46</v>
      </c>
      <c r="I829" s="1" t="s">
        <v>2917</v>
      </c>
      <c r="J829" s="1" t="s">
        <v>1689</v>
      </c>
      <c r="K829" s="1" t="s">
        <v>479</v>
      </c>
      <c r="L829" s="1" t="s">
        <v>13</v>
      </c>
      <c r="M829" s="6" t="str">
        <f>_xlfn.CONCAT(Table1[[#This Row],[Billing Street]], ", ", Table1[[#This Row],[Billing City]], ", ", Table1[[#This Row],[Billing State/Province]], ", ", Table1[[#This Row],[Billing Zip/Postal Code]])</f>
        <v xml:space="preserve">37625 W Elliott Rd, Arlington, AZ, </v>
      </c>
    </row>
    <row r="830" spans="1:13" ht="15.6" hidden="1" x14ac:dyDescent="0.3">
      <c r="A830" s="1" t="s">
        <v>2918</v>
      </c>
      <c r="B830" s="1"/>
      <c r="C830" s="1"/>
      <c r="D830" s="1"/>
      <c r="E830" s="1"/>
      <c r="F830" s="1"/>
      <c r="G830" s="1" t="s">
        <v>205</v>
      </c>
      <c r="H830" s="2">
        <v>20</v>
      </c>
      <c r="I830" s="1" t="s">
        <v>2919</v>
      </c>
      <c r="J830" s="1" t="s">
        <v>2920</v>
      </c>
      <c r="K830" s="1" t="s">
        <v>479</v>
      </c>
      <c r="L830" s="1" t="s">
        <v>2921</v>
      </c>
      <c r="M830" s="6" t="str">
        <f>_xlfn.CONCAT(Table1[[#This Row],[Billing Street]], ", ", Table1[[#This Row],[Billing City]], ", ", Table1[[#This Row],[Billing State/Province]], ", ", Table1[[#This Row],[Billing Zip/Postal Code]])</f>
        <v>1005 S Val Vista Dr, Gilbert, AZ, 85296</v>
      </c>
    </row>
    <row r="831" spans="1:13" ht="15.6" hidden="1" x14ac:dyDescent="0.3">
      <c r="A831" s="1" t="s">
        <v>2922</v>
      </c>
      <c r="B831" s="1"/>
      <c r="C831" s="1"/>
      <c r="D831" s="1"/>
      <c r="E831" s="1"/>
      <c r="F831" s="1"/>
      <c r="G831" s="1" t="s">
        <v>13</v>
      </c>
      <c r="H831" s="2">
        <v>0</v>
      </c>
      <c r="I831" s="1" t="s">
        <v>13</v>
      </c>
      <c r="J831" s="1" t="s">
        <v>13</v>
      </c>
      <c r="K831" s="1" t="s">
        <v>13</v>
      </c>
      <c r="L831" s="1" t="s">
        <v>13</v>
      </c>
      <c r="M831" s="6" t="str">
        <f>_xlfn.CONCAT(Table1[[#This Row],[Billing Street]], ", ", Table1[[#This Row],[Billing City]], ", ", Table1[[#This Row],[Billing State/Province]], ", ", Table1[[#This Row],[Billing Zip/Postal Code]])</f>
        <v xml:space="preserve">, , , </v>
      </c>
    </row>
    <row r="832" spans="1:13" ht="15.6" hidden="1" x14ac:dyDescent="0.3">
      <c r="A832" s="1" t="s">
        <v>2923</v>
      </c>
      <c r="B832" s="1"/>
      <c r="C832" s="1"/>
      <c r="D832" s="1"/>
      <c r="E832" s="1"/>
      <c r="F832" s="1"/>
      <c r="G832" s="1" t="s">
        <v>13</v>
      </c>
      <c r="H832" s="2">
        <v>0</v>
      </c>
      <c r="I832" s="1" t="s">
        <v>13</v>
      </c>
      <c r="J832" s="1" t="s">
        <v>13</v>
      </c>
      <c r="K832" s="1" t="s">
        <v>13</v>
      </c>
      <c r="L832" s="1" t="s">
        <v>13</v>
      </c>
      <c r="M832" s="6" t="str">
        <f>_xlfn.CONCAT(Table1[[#This Row],[Billing Street]], ", ", Table1[[#This Row],[Billing City]], ", ", Table1[[#This Row],[Billing State/Province]], ", ", Table1[[#This Row],[Billing Zip/Postal Code]])</f>
        <v xml:space="preserve">, , , </v>
      </c>
    </row>
    <row r="833" spans="1:13" ht="15.6" hidden="1" x14ac:dyDescent="0.3">
      <c r="A833" s="1" t="s">
        <v>2924</v>
      </c>
      <c r="B833" s="1"/>
      <c r="C833" s="1"/>
      <c r="D833" s="1"/>
      <c r="E833" s="1"/>
      <c r="F833" s="1"/>
      <c r="G833" s="1" t="s">
        <v>13</v>
      </c>
      <c r="H833" s="2">
        <v>0</v>
      </c>
      <c r="I833" s="1" t="s">
        <v>13</v>
      </c>
      <c r="J833" s="1" t="s">
        <v>13</v>
      </c>
      <c r="K833" s="1" t="s">
        <v>13</v>
      </c>
      <c r="L833" s="1" t="s">
        <v>13</v>
      </c>
      <c r="M833" s="6" t="str">
        <f>_xlfn.CONCAT(Table1[[#This Row],[Billing Street]], ", ", Table1[[#This Row],[Billing City]], ", ", Table1[[#This Row],[Billing State/Province]], ", ", Table1[[#This Row],[Billing Zip/Postal Code]])</f>
        <v xml:space="preserve">, , , </v>
      </c>
    </row>
    <row r="834" spans="1:13" ht="15.6" hidden="1" x14ac:dyDescent="0.3">
      <c r="A834" s="1" t="s">
        <v>2925</v>
      </c>
      <c r="B834" s="1"/>
      <c r="C834" s="1"/>
      <c r="D834" s="1"/>
      <c r="E834" s="1"/>
      <c r="F834" s="1"/>
      <c r="G834" s="1" t="s">
        <v>13</v>
      </c>
      <c r="H834" s="2">
        <v>0</v>
      </c>
      <c r="I834" s="1" t="s">
        <v>13</v>
      </c>
      <c r="J834" s="1" t="s">
        <v>13</v>
      </c>
      <c r="K834" s="1" t="s">
        <v>13</v>
      </c>
      <c r="L834" s="1" t="s">
        <v>13</v>
      </c>
      <c r="M834" s="6" t="str">
        <f>_xlfn.CONCAT(Table1[[#This Row],[Billing Street]], ", ", Table1[[#This Row],[Billing City]], ", ", Table1[[#This Row],[Billing State/Province]], ", ", Table1[[#This Row],[Billing Zip/Postal Code]])</f>
        <v xml:space="preserve">, , , </v>
      </c>
    </row>
    <row r="835" spans="1:13" ht="15.6" hidden="1" x14ac:dyDescent="0.3">
      <c r="A835" s="1" t="s">
        <v>2926</v>
      </c>
      <c r="B835" s="1"/>
      <c r="C835" s="1"/>
      <c r="D835" s="1"/>
      <c r="E835" s="1"/>
      <c r="F835" s="1"/>
      <c r="G835" s="1" t="s">
        <v>8</v>
      </c>
      <c r="H835" s="2">
        <v>6528</v>
      </c>
      <c r="I835" s="1" t="s">
        <v>13</v>
      </c>
      <c r="J835" s="1" t="s">
        <v>2160</v>
      </c>
      <c r="K835" s="1" t="s">
        <v>165</v>
      </c>
      <c r="L835" s="1" t="s">
        <v>13</v>
      </c>
      <c r="M835" s="6" t="str">
        <f>_xlfn.CONCAT(Table1[[#This Row],[Billing Street]], ", ", Table1[[#This Row],[Billing City]], ", ", Table1[[#This Row],[Billing State/Province]], ", ", Table1[[#This Row],[Billing Zip/Postal Code]])</f>
        <v xml:space="preserve">, El Dorado, AR, </v>
      </c>
    </row>
    <row r="836" spans="1:13" ht="15.6" hidden="1" x14ac:dyDescent="0.3">
      <c r="A836" s="1" t="s">
        <v>2927</v>
      </c>
      <c r="B836" s="1"/>
      <c r="C836" s="1"/>
      <c r="D836" s="1"/>
      <c r="E836" s="1"/>
      <c r="F836" s="1"/>
      <c r="G836" s="1" t="s">
        <v>13</v>
      </c>
      <c r="H836" s="2">
        <v>0</v>
      </c>
      <c r="I836" s="1" t="s">
        <v>13</v>
      </c>
      <c r="J836" s="1" t="s">
        <v>13</v>
      </c>
      <c r="K836" s="1" t="s">
        <v>13</v>
      </c>
      <c r="L836" s="1" t="s">
        <v>13</v>
      </c>
      <c r="M836" s="6" t="str">
        <f>_xlfn.CONCAT(Table1[[#This Row],[Billing Street]], ", ", Table1[[#This Row],[Billing City]], ", ", Table1[[#This Row],[Billing State/Province]], ", ", Table1[[#This Row],[Billing Zip/Postal Code]])</f>
        <v xml:space="preserve">, , , </v>
      </c>
    </row>
    <row r="837" spans="1:13" ht="15.6" hidden="1" x14ac:dyDescent="0.3">
      <c r="A837" s="1" t="s">
        <v>2928</v>
      </c>
      <c r="B837" s="1"/>
      <c r="C837" s="1"/>
      <c r="D837" s="1"/>
      <c r="E837" s="1"/>
      <c r="F837" s="1"/>
      <c r="G837" s="1" t="s">
        <v>13</v>
      </c>
      <c r="H837" s="2">
        <v>0</v>
      </c>
      <c r="I837" s="1" t="s">
        <v>2929</v>
      </c>
      <c r="J837" s="1" t="s">
        <v>711</v>
      </c>
      <c r="K837" s="1" t="s">
        <v>13</v>
      </c>
      <c r="L837" s="1" t="s">
        <v>2930</v>
      </c>
      <c r="M837" s="6" t="str">
        <f>_xlfn.CONCAT(Table1[[#This Row],[Billing Street]], ", ", Table1[[#This Row],[Billing City]], ", ", Table1[[#This Row],[Billing State/Province]], ", ", Table1[[#This Row],[Billing Zip/Postal Code]])</f>
        <v>2003 Millikin Road, Columbus, , 43210</v>
      </c>
    </row>
    <row r="838" spans="1:13" ht="15.6" hidden="1" x14ac:dyDescent="0.3">
      <c r="A838" s="1" t="s">
        <v>2931</v>
      </c>
      <c r="B838" s="1"/>
      <c r="C838" s="1"/>
      <c r="D838" s="1"/>
      <c r="E838" s="1"/>
      <c r="F838" s="1"/>
      <c r="G838" s="1" t="s">
        <v>13</v>
      </c>
      <c r="H838" s="2">
        <v>0</v>
      </c>
      <c r="I838" s="1" t="s">
        <v>13</v>
      </c>
      <c r="J838" s="1" t="s">
        <v>13</v>
      </c>
      <c r="K838" s="1" t="s">
        <v>13</v>
      </c>
      <c r="L838" s="1" t="s">
        <v>13</v>
      </c>
      <c r="M838" s="6" t="str">
        <f>_xlfn.CONCAT(Table1[[#This Row],[Billing Street]], ", ", Table1[[#This Row],[Billing City]], ", ", Table1[[#This Row],[Billing State/Province]], ", ", Table1[[#This Row],[Billing Zip/Postal Code]])</f>
        <v xml:space="preserve">, , , </v>
      </c>
    </row>
    <row r="839" spans="1:13" ht="15.6" hidden="1" x14ac:dyDescent="0.3">
      <c r="A839" s="1" t="s">
        <v>2932</v>
      </c>
      <c r="B839" s="1"/>
      <c r="C839" s="1"/>
      <c r="D839" s="1"/>
      <c r="E839" s="1"/>
      <c r="F839" s="1"/>
      <c r="G839" s="1" t="s">
        <v>13</v>
      </c>
      <c r="H839" s="2">
        <v>0</v>
      </c>
      <c r="I839" s="1" t="s">
        <v>13</v>
      </c>
      <c r="J839" s="1" t="s">
        <v>13</v>
      </c>
      <c r="K839" s="1" t="s">
        <v>13</v>
      </c>
      <c r="L839" s="1" t="s">
        <v>13</v>
      </c>
      <c r="M839" s="6" t="str">
        <f>_xlfn.CONCAT(Table1[[#This Row],[Billing Street]], ", ", Table1[[#This Row],[Billing City]], ", ", Table1[[#This Row],[Billing State/Province]], ", ", Table1[[#This Row],[Billing Zip/Postal Code]])</f>
        <v xml:space="preserve">, , , </v>
      </c>
    </row>
    <row r="840" spans="1:13" ht="15.6" hidden="1" x14ac:dyDescent="0.3">
      <c r="A840" s="1" t="s">
        <v>2933</v>
      </c>
      <c r="B840" s="1"/>
      <c r="C840" s="1"/>
      <c r="D840" s="1"/>
      <c r="E840" s="1"/>
      <c r="F840" s="1"/>
      <c r="G840" s="1" t="s">
        <v>13</v>
      </c>
      <c r="H840" s="2">
        <v>0</v>
      </c>
      <c r="I840" s="1" t="s">
        <v>13</v>
      </c>
      <c r="J840" s="1" t="s">
        <v>13</v>
      </c>
      <c r="K840" s="1" t="s">
        <v>13</v>
      </c>
      <c r="L840" s="1" t="s">
        <v>13</v>
      </c>
      <c r="M840" s="6" t="str">
        <f>_xlfn.CONCAT(Table1[[#This Row],[Billing Street]], ", ", Table1[[#This Row],[Billing City]], ", ", Table1[[#This Row],[Billing State/Province]], ", ", Table1[[#This Row],[Billing Zip/Postal Code]])</f>
        <v xml:space="preserve">, , , </v>
      </c>
    </row>
    <row r="841" spans="1:13" ht="15.6" hidden="1" x14ac:dyDescent="0.3">
      <c r="A841" s="1" t="s">
        <v>2934</v>
      </c>
      <c r="B841" s="1"/>
      <c r="C841" s="1"/>
      <c r="D841" s="1"/>
      <c r="E841" s="1"/>
      <c r="F841" s="1"/>
      <c r="G841" s="1" t="s">
        <v>13</v>
      </c>
      <c r="H841" s="2">
        <v>0</v>
      </c>
      <c r="I841" s="1" t="s">
        <v>13</v>
      </c>
      <c r="J841" s="1" t="s">
        <v>13</v>
      </c>
      <c r="K841" s="1" t="s">
        <v>13</v>
      </c>
      <c r="L841" s="1" t="s">
        <v>13</v>
      </c>
      <c r="M841" s="6" t="str">
        <f>_xlfn.CONCAT(Table1[[#This Row],[Billing Street]], ", ", Table1[[#This Row],[Billing City]], ", ", Table1[[#This Row],[Billing State/Province]], ", ", Table1[[#This Row],[Billing Zip/Postal Code]])</f>
        <v xml:space="preserve">, , , </v>
      </c>
    </row>
    <row r="842" spans="1:13" ht="15.6" hidden="1" x14ac:dyDescent="0.3">
      <c r="A842" s="1" t="s">
        <v>2935</v>
      </c>
      <c r="B842" s="1"/>
      <c r="C842" s="1"/>
      <c r="D842" s="1"/>
      <c r="E842" s="1"/>
      <c r="F842" s="1"/>
      <c r="G842" s="1" t="s">
        <v>13</v>
      </c>
      <c r="H842" s="2">
        <v>0</v>
      </c>
      <c r="I842" s="1" t="s">
        <v>13</v>
      </c>
      <c r="J842" s="1" t="s">
        <v>13</v>
      </c>
      <c r="K842" s="1" t="s">
        <v>13</v>
      </c>
      <c r="L842" s="1" t="s">
        <v>13</v>
      </c>
      <c r="M842" s="6" t="str">
        <f>_xlfn.CONCAT(Table1[[#This Row],[Billing Street]], ", ", Table1[[#This Row],[Billing City]], ", ", Table1[[#This Row],[Billing State/Province]], ", ", Table1[[#This Row],[Billing Zip/Postal Code]])</f>
        <v xml:space="preserve">, , , </v>
      </c>
    </row>
    <row r="843" spans="1:13" ht="15.6" hidden="1" x14ac:dyDescent="0.3">
      <c r="A843" s="1" t="s">
        <v>2936</v>
      </c>
      <c r="B843" s="1"/>
      <c r="C843" s="1"/>
      <c r="D843" s="1"/>
      <c r="E843" s="1"/>
      <c r="F843" s="1"/>
      <c r="G843" s="1" t="s">
        <v>13</v>
      </c>
      <c r="H843" s="2">
        <v>0</v>
      </c>
      <c r="I843" s="1" t="s">
        <v>13</v>
      </c>
      <c r="J843" s="1" t="s">
        <v>13</v>
      </c>
      <c r="K843" s="1" t="s">
        <v>13</v>
      </c>
      <c r="L843" s="1" t="s">
        <v>13</v>
      </c>
      <c r="M843" s="6" t="str">
        <f>_xlfn.CONCAT(Table1[[#This Row],[Billing Street]], ", ", Table1[[#This Row],[Billing City]], ", ", Table1[[#This Row],[Billing State/Province]], ", ", Table1[[#This Row],[Billing Zip/Postal Code]])</f>
        <v xml:space="preserve">, , , </v>
      </c>
    </row>
    <row r="844" spans="1:13" ht="15.6" hidden="1" x14ac:dyDescent="0.3">
      <c r="A844" s="1" t="s">
        <v>2937</v>
      </c>
      <c r="B844" s="1"/>
      <c r="C844" s="1"/>
      <c r="D844" s="1"/>
      <c r="E844" s="1"/>
      <c r="F844" s="1"/>
      <c r="G844" s="1" t="s">
        <v>13</v>
      </c>
      <c r="H844" s="2">
        <v>0</v>
      </c>
      <c r="I844" s="1" t="s">
        <v>13</v>
      </c>
      <c r="J844" s="1" t="s">
        <v>13</v>
      </c>
      <c r="K844" s="1" t="s">
        <v>13</v>
      </c>
      <c r="L844" s="1" t="s">
        <v>13</v>
      </c>
      <c r="M844" s="6" t="str">
        <f>_xlfn.CONCAT(Table1[[#This Row],[Billing Street]], ", ", Table1[[#This Row],[Billing City]], ", ", Table1[[#This Row],[Billing State/Province]], ", ", Table1[[#This Row],[Billing Zip/Postal Code]])</f>
        <v xml:space="preserve">, , , </v>
      </c>
    </row>
    <row r="845" spans="1:13" ht="15.6" hidden="1" x14ac:dyDescent="0.3">
      <c r="A845" s="1" t="s">
        <v>2938</v>
      </c>
      <c r="B845" s="1"/>
      <c r="C845" s="1"/>
      <c r="D845" s="1"/>
      <c r="E845" s="1"/>
      <c r="F845" s="1"/>
      <c r="G845" s="1" t="s">
        <v>98</v>
      </c>
      <c r="H845" s="2">
        <v>29</v>
      </c>
      <c r="I845" s="1" t="s">
        <v>2939</v>
      </c>
      <c r="J845" s="1" t="s">
        <v>1642</v>
      </c>
      <c r="K845" s="1" t="s">
        <v>101</v>
      </c>
      <c r="L845" s="1" t="s">
        <v>2940</v>
      </c>
      <c r="M845" s="6" t="str">
        <f>_xlfn.CONCAT(Table1[[#This Row],[Billing Street]], ", ", Table1[[#This Row],[Billing City]], ", ", Table1[[#This Row],[Billing State/Province]], ", ", Table1[[#This Row],[Billing Zip/Postal Code]])</f>
        <v>842 US HWY 78 NW, Monroe, GA, 30655</v>
      </c>
    </row>
    <row r="846" spans="1:13" ht="15.6" hidden="1" x14ac:dyDescent="0.3">
      <c r="A846" s="1" t="s">
        <v>2941</v>
      </c>
      <c r="B846" s="1"/>
      <c r="C846" s="1"/>
      <c r="D846" s="1"/>
      <c r="E846" s="1"/>
      <c r="F846" s="1"/>
      <c r="G846" s="1" t="s">
        <v>13</v>
      </c>
      <c r="H846" s="2">
        <v>0</v>
      </c>
      <c r="I846" s="1" t="s">
        <v>13</v>
      </c>
      <c r="J846" s="1" t="s">
        <v>13</v>
      </c>
      <c r="K846" s="1" t="s">
        <v>13</v>
      </c>
      <c r="L846" s="1" t="s">
        <v>13</v>
      </c>
      <c r="M846" s="6" t="str">
        <f>_xlfn.CONCAT(Table1[[#This Row],[Billing Street]], ", ", Table1[[#This Row],[Billing City]], ", ", Table1[[#This Row],[Billing State/Province]], ", ", Table1[[#This Row],[Billing Zip/Postal Code]])</f>
        <v xml:space="preserve">, , , </v>
      </c>
    </row>
    <row r="847" spans="1:13" ht="15.6" hidden="1" x14ac:dyDescent="0.3">
      <c r="A847" s="1" t="s">
        <v>2942</v>
      </c>
      <c r="B847" s="1"/>
      <c r="C847" s="1"/>
      <c r="D847" s="1"/>
      <c r="E847" s="1"/>
      <c r="F847" s="1"/>
      <c r="G847" s="1" t="s">
        <v>13</v>
      </c>
      <c r="H847" s="2">
        <v>0</v>
      </c>
      <c r="I847" s="1" t="s">
        <v>13</v>
      </c>
      <c r="J847" s="1" t="s">
        <v>13</v>
      </c>
      <c r="K847" s="1" t="s">
        <v>13</v>
      </c>
      <c r="L847" s="1" t="s">
        <v>13</v>
      </c>
      <c r="M847" s="6" t="str">
        <f>_xlfn.CONCAT(Table1[[#This Row],[Billing Street]], ", ", Table1[[#This Row],[Billing City]], ", ", Table1[[#This Row],[Billing State/Province]], ", ", Table1[[#This Row],[Billing Zip/Postal Code]])</f>
        <v xml:space="preserve">, , , </v>
      </c>
    </row>
    <row r="848" spans="1:13" ht="15.6" hidden="1" x14ac:dyDescent="0.3">
      <c r="A848" s="1" t="s">
        <v>2943</v>
      </c>
      <c r="B848" s="1"/>
      <c r="C848" s="1"/>
      <c r="D848" s="1"/>
      <c r="E848" s="1"/>
      <c r="F848" s="1"/>
      <c r="G848" s="1" t="s">
        <v>98</v>
      </c>
      <c r="H848" s="2">
        <v>218</v>
      </c>
      <c r="I848" s="1" t="s">
        <v>2944</v>
      </c>
      <c r="J848" s="1" t="s">
        <v>2945</v>
      </c>
      <c r="K848" s="1" t="s">
        <v>101</v>
      </c>
      <c r="L848" s="1" t="s">
        <v>2946</v>
      </c>
      <c r="M848" s="6" t="str">
        <f>_xlfn.CONCAT(Table1[[#This Row],[Billing Street]], ", ", Table1[[#This Row],[Billing City]], ", ", Table1[[#This Row],[Billing State/Province]], ", ", Table1[[#This Row],[Billing Zip/Postal Code]])</f>
        <v>709C Gil Harbin Ind Blvd, Valdosta, GA, 31601</v>
      </c>
    </row>
    <row r="849" spans="1:13" ht="15.6" hidden="1" x14ac:dyDescent="0.3">
      <c r="A849" s="1" t="s">
        <v>2947</v>
      </c>
      <c r="B849" s="1"/>
      <c r="C849" s="1"/>
      <c r="D849" s="1"/>
      <c r="E849" s="1"/>
      <c r="F849" s="1"/>
      <c r="G849" s="1" t="s">
        <v>98</v>
      </c>
      <c r="H849" s="2">
        <v>158</v>
      </c>
      <c r="I849" s="1" t="s">
        <v>2948</v>
      </c>
      <c r="J849" s="1" t="s">
        <v>2949</v>
      </c>
      <c r="K849" s="1" t="s">
        <v>101</v>
      </c>
      <c r="L849" s="1" t="s">
        <v>2950</v>
      </c>
      <c r="M849" s="6" t="str">
        <f>_xlfn.CONCAT(Table1[[#This Row],[Billing Street]], ", ", Table1[[#This Row],[Billing City]], ", ", Table1[[#This Row],[Billing State/Province]], ", ", Table1[[#This Row],[Billing Zip/Postal Code]])</f>
        <v>200 N. Hooker Street, Fitzgerald, GA, 31750</v>
      </c>
    </row>
    <row r="850" spans="1:13" ht="15.6" hidden="1" x14ac:dyDescent="0.3">
      <c r="A850" s="1" t="s">
        <v>2951</v>
      </c>
      <c r="B850" s="1"/>
      <c r="C850" s="1"/>
      <c r="D850" s="1"/>
      <c r="E850" s="1"/>
      <c r="F850" s="1"/>
      <c r="G850" s="1" t="s">
        <v>8</v>
      </c>
      <c r="H850" s="2">
        <v>475</v>
      </c>
      <c r="I850" s="1" t="s">
        <v>2952</v>
      </c>
      <c r="J850" s="1" t="s">
        <v>2953</v>
      </c>
      <c r="K850" s="1" t="s">
        <v>21</v>
      </c>
      <c r="L850" s="1" t="s">
        <v>2954</v>
      </c>
      <c r="M850" s="6" t="str">
        <f>_xlfn.CONCAT(Table1[[#This Row],[Billing Street]], ", ", Table1[[#This Row],[Billing City]], ", ", Table1[[#This Row],[Billing State/Province]], ", ", Table1[[#This Row],[Billing Zip/Postal Code]])</f>
        <v>24049 State Hwy 9, Cresco, IA, 52136</v>
      </c>
    </row>
    <row r="851" spans="1:13" ht="15.6" x14ac:dyDescent="0.3">
      <c r="A851" s="1" t="s">
        <v>2955</v>
      </c>
      <c r="B851" s="1"/>
      <c r="C851" s="1"/>
      <c r="D851" s="1"/>
      <c r="E851" s="1"/>
      <c r="F851" s="1"/>
      <c r="G851" s="1" t="s">
        <v>24</v>
      </c>
      <c r="H851" s="2">
        <v>64</v>
      </c>
      <c r="I851" s="1" t="s">
        <v>2956</v>
      </c>
      <c r="J851" s="1" t="s">
        <v>715</v>
      </c>
      <c r="K851" s="1" t="s">
        <v>36</v>
      </c>
      <c r="L851" s="1" t="s">
        <v>2957</v>
      </c>
      <c r="M851" s="6" t="str">
        <f>_xlfn.CONCAT(Table1[[#This Row],[Billing Street]], ", ", Table1[[#This Row],[Billing City]], ", ", Table1[[#This Row],[Billing State/Province]], ", ", Table1[[#This Row],[Billing Zip/Postal Code]])</f>
        <v>8301 Scenic Highway, Pensacola, FL, 32514</v>
      </c>
    </row>
    <row r="852" spans="1:13" ht="15.6" hidden="1" x14ac:dyDescent="0.3">
      <c r="A852" s="1" t="s">
        <v>2958</v>
      </c>
      <c r="B852" s="1"/>
      <c r="C852" s="1"/>
      <c r="D852" s="1"/>
      <c r="E852" s="1"/>
      <c r="F852" s="1"/>
      <c r="G852" s="1" t="s">
        <v>13</v>
      </c>
      <c r="H852" s="2">
        <v>0</v>
      </c>
      <c r="I852" s="1" t="s">
        <v>13</v>
      </c>
      <c r="J852" s="1" t="s">
        <v>13</v>
      </c>
      <c r="K852" s="1" t="s">
        <v>13</v>
      </c>
      <c r="L852" s="1" t="s">
        <v>13</v>
      </c>
      <c r="M852" s="6" t="str">
        <f>_xlfn.CONCAT(Table1[[#This Row],[Billing Street]], ", ", Table1[[#This Row],[Billing City]], ", ", Table1[[#This Row],[Billing State/Province]], ", ", Table1[[#This Row],[Billing Zip/Postal Code]])</f>
        <v xml:space="preserve">, , , </v>
      </c>
    </row>
    <row r="853" spans="1:13" ht="15.6" hidden="1" x14ac:dyDescent="0.3">
      <c r="A853" s="1" t="s">
        <v>2959</v>
      </c>
      <c r="B853" s="1"/>
      <c r="C853" s="1"/>
      <c r="D853" s="1"/>
      <c r="E853" s="1"/>
      <c r="F853" s="1"/>
      <c r="G853" s="1" t="s">
        <v>13</v>
      </c>
      <c r="H853" s="2">
        <v>0</v>
      </c>
      <c r="I853" s="1" t="s">
        <v>13</v>
      </c>
      <c r="J853" s="1" t="s">
        <v>13</v>
      </c>
      <c r="K853" s="1" t="s">
        <v>13</v>
      </c>
      <c r="L853" s="1" t="s">
        <v>13</v>
      </c>
      <c r="M853" s="6" t="str">
        <f>_xlfn.CONCAT(Table1[[#This Row],[Billing Street]], ", ", Table1[[#This Row],[Billing City]], ", ", Table1[[#This Row],[Billing State/Province]], ", ", Table1[[#This Row],[Billing Zip/Postal Code]])</f>
        <v xml:space="preserve">, , , </v>
      </c>
    </row>
    <row r="854" spans="1:13" ht="15.6" hidden="1" x14ac:dyDescent="0.3">
      <c r="A854" s="1" t="s">
        <v>2960</v>
      </c>
      <c r="B854" s="1"/>
      <c r="C854" s="1"/>
      <c r="D854" s="1"/>
      <c r="E854" s="1"/>
      <c r="F854" s="1"/>
      <c r="G854" s="1" t="s">
        <v>13</v>
      </c>
      <c r="H854" s="2">
        <v>0</v>
      </c>
      <c r="I854" s="1" t="s">
        <v>13</v>
      </c>
      <c r="J854" s="1" t="s">
        <v>13</v>
      </c>
      <c r="K854" s="1" t="s">
        <v>13</v>
      </c>
      <c r="L854" s="1" t="s">
        <v>13</v>
      </c>
      <c r="M854" s="6" t="str">
        <f>_xlfn.CONCAT(Table1[[#This Row],[Billing Street]], ", ", Table1[[#This Row],[Billing City]], ", ", Table1[[#This Row],[Billing State/Province]], ", ", Table1[[#This Row],[Billing Zip/Postal Code]])</f>
        <v xml:space="preserve">, , , </v>
      </c>
    </row>
    <row r="855" spans="1:13" ht="15.6" hidden="1" x14ac:dyDescent="0.3">
      <c r="A855" s="1" t="s">
        <v>2961</v>
      </c>
      <c r="B855" s="1"/>
      <c r="C855" s="1"/>
      <c r="D855" s="1"/>
      <c r="E855" s="1"/>
      <c r="F855" s="1"/>
      <c r="G855" s="1" t="s">
        <v>13</v>
      </c>
      <c r="H855" s="2">
        <v>0</v>
      </c>
      <c r="I855" s="1" t="s">
        <v>13</v>
      </c>
      <c r="J855" s="1" t="s">
        <v>13</v>
      </c>
      <c r="K855" s="1" t="s">
        <v>13</v>
      </c>
      <c r="L855" s="1" t="s">
        <v>13</v>
      </c>
      <c r="M855" s="6" t="str">
        <f>_xlfn.CONCAT(Table1[[#This Row],[Billing Street]], ", ", Table1[[#This Row],[Billing City]], ", ", Table1[[#This Row],[Billing State/Province]], ", ", Table1[[#This Row],[Billing Zip/Postal Code]])</f>
        <v xml:space="preserve">, , , </v>
      </c>
    </row>
    <row r="856" spans="1:13" ht="15.6" hidden="1" x14ac:dyDescent="0.3">
      <c r="A856" s="1" t="s">
        <v>2962</v>
      </c>
      <c r="B856" s="1"/>
      <c r="C856" s="1"/>
      <c r="D856" s="1"/>
      <c r="E856" s="1"/>
      <c r="F856" s="1"/>
      <c r="G856" s="1" t="s">
        <v>13</v>
      </c>
      <c r="H856" s="2">
        <v>0</v>
      </c>
      <c r="I856" s="1" t="s">
        <v>13</v>
      </c>
      <c r="J856" s="1" t="s">
        <v>13</v>
      </c>
      <c r="K856" s="1" t="s">
        <v>13</v>
      </c>
      <c r="L856" s="1" t="s">
        <v>13</v>
      </c>
      <c r="M856" s="6" t="str">
        <f>_xlfn.CONCAT(Table1[[#This Row],[Billing Street]], ", ", Table1[[#This Row],[Billing City]], ", ", Table1[[#This Row],[Billing State/Province]], ", ", Table1[[#This Row],[Billing Zip/Postal Code]])</f>
        <v xml:space="preserve">, , , </v>
      </c>
    </row>
    <row r="857" spans="1:13" ht="15.6" hidden="1" x14ac:dyDescent="0.3">
      <c r="A857" s="1" t="s">
        <v>2963</v>
      </c>
      <c r="B857" s="1"/>
      <c r="C857" s="1"/>
      <c r="D857" s="1"/>
      <c r="E857" s="1"/>
      <c r="F857" s="1"/>
      <c r="G857" s="1" t="s">
        <v>13</v>
      </c>
      <c r="H857" s="2">
        <v>0</v>
      </c>
      <c r="I857" s="1" t="s">
        <v>13</v>
      </c>
      <c r="J857" s="1" t="s">
        <v>13</v>
      </c>
      <c r="K857" s="1" t="s">
        <v>13</v>
      </c>
      <c r="L857" s="1" t="s">
        <v>13</v>
      </c>
      <c r="M857" s="6" t="str">
        <f>_xlfn.CONCAT(Table1[[#This Row],[Billing Street]], ", ", Table1[[#This Row],[Billing City]], ", ", Table1[[#This Row],[Billing State/Province]], ", ", Table1[[#This Row],[Billing Zip/Postal Code]])</f>
        <v xml:space="preserve">, , , </v>
      </c>
    </row>
    <row r="858" spans="1:13" ht="15.6" x14ac:dyDescent="0.3">
      <c r="A858" s="1" t="s">
        <v>2964</v>
      </c>
      <c r="B858" s="1"/>
      <c r="C858" s="1"/>
      <c r="D858" s="1"/>
      <c r="E858" s="1"/>
      <c r="F858" s="1"/>
      <c r="G858" s="1" t="s">
        <v>24</v>
      </c>
      <c r="H858" s="2">
        <v>198</v>
      </c>
      <c r="I858" s="1" t="s">
        <v>2965</v>
      </c>
      <c r="J858" s="1" t="s">
        <v>2966</v>
      </c>
      <c r="K858" s="1" t="s">
        <v>26</v>
      </c>
      <c r="L858" s="1" t="s">
        <v>373</v>
      </c>
      <c r="M858" s="6" t="str">
        <f>_xlfn.CONCAT(Table1[[#This Row],[Billing Street]], ", ", Table1[[#This Row],[Billing City]], ", ", Table1[[#This Row],[Billing State/Province]], ", ", Table1[[#This Row],[Billing Zip/Postal Code]])</f>
        <v>2830 Commerce Blvd, Irondale, AL, 35210</v>
      </c>
    </row>
    <row r="859" spans="1:13" ht="15.6" hidden="1" x14ac:dyDescent="0.3">
      <c r="A859" s="1" t="s">
        <v>2967</v>
      </c>
      <c r="B859" s="1"/>
      <c r="C859" s="1"/>
      <c r="D859" s="1"/>
      <c r="E859" s="1"/>
      <c r="F859" s="1"/>
      <c r="G859" s="1" t="s">
        <v>13</v>
      </c>
      <c r="H859" s="2">
        <v>0</v>
      </c>
      <c r="I859" s="1" t="s">
        <v>13</v>
      </c>
      <c r="J859" s="1" t="s">
        <v>13</v>
      </c>
      <c r="K859" s="1" t="s">
        <v>13</v>
      </c>
      <c r="L859" s="1" t="s">
        <v>13</v>
      </c>
      <c r="M859" s="6" t="str">
        <f>_xlfn.CONCAT(Table1[[#This Row],[Billing Street]], ", ", Table1[[#This Row],[Billing City]], ", ", Table1[[#This Row],[Billing State/Province]], ", ", Table1[[#This Row],[Billing Zip/Postal Code]])</f>
        <v xml:space="preserve">, , , </v>
      </c>
    </row>
    <row r="860" spans="1:13" ht="15.6" hidden="1" x14ac:dyDescent="0.3">
      <c r="A860" s="1" t="s">
        <v>2968</v>
      </c>
      <c r="B860" s="1"/>
      <c r="C860" s="1"/>
      <c r="D860" s="1"/>
      <c r="E860" s="1"/>
      <c r="F860" s="1"/>
      <c r="G860" s="1" t="s">
        <v>13</v>
      </c>
      <c r="H860" s="2">
        <v>0</v>
      </c>
      <c r="I860" s="1" t="s">
        <v>13</v>
      </c>
      <c r="J860" s="1" t="s">
        <v>13</v>
      </c>
      <c r="K860" s="1" t="s">
        <v>13</v>
      </c>
      <c r="L860" s="1" t="s">
        <v>13</v>
      </c>
      <c r="M860" s="6" t="str">
        <f>_xlfn.CONCAT(Table1[[#This Row],[Billing Street]], ", ", Table1[[#This Row],[Billing City]], ", ", Table1[[#This Row],[Billing State/Province]], ", ", Table1[[#This Row],[Billing Zip/Postal Code]])</f>
        <v xml:space="preserve">, , , </v>
      </c>
    </row>
    <row r="861" spans="1:13" ht="15.6" hidden="1" x14ac:dyDescent="0.3">
      <c r="A861" s="1" t="s">
        <v>2969</v>
      </c>
      <c r="B861" s="1"/>
      <c r="C861" s="1"/>
      <c r="D861" s="1"/>
      <c r="E861" s="1"/>
      <c r="F861" s="1"/>
      <c r="G861" s="1" t="s">
        <v>13</v>
      </c>
      <c r="H861" s="2">
        <v>0</v>
      </c>
      <c r="I861" s="1" t="s">
        <v>13</v>
      </c>
      <c r="J861" s="1" t="s">
        <v>13</v>
      </c>
      <c r="K861" s="1" t="s">
        <v>13</v>
      </c>
      <c r="L861" s="1" t="s">
        <v>13</v>
      </c>
      <c r="M861" s="6" t="str">
        <f>_xlfn.CONCAT(Table1[[#This Row],[Billing Street]], ", ", Table1[[#This Row],[Billing City]], ", ", Table1[[#This Row],[Billing State/Province]], ", ", Table1[[#This Row],[Billing Zip/Postal Code]])</f>
        <v xml:space="preserve">, , , </v>
      </c>
    </row>
    <row r="862" spans="1:13" ht="15.6" hidden="1" x14ac:dyDescent="0.3">
      <c r="A862" s="1" t="s">
        <v>2970</v>
      </c>
      <c r="B862" s="1"/>
      <c r="C862" s="1"/>
      <c r="D862" s="1"/>
      <c r="E862" s="1"/>
      <c r="F862" s="1"/>
      <c r="G862" s="1" t="s">
        <v>13</v>
      </c>
      <c r="H862" s="2">
        <v>0</v>
      </c>
      <c r="I862" s="1" t="s">
        <v>13</v>
      </c>
      <c r="J862" s="1" t="s">
        <v>13</v>
      </c>
      <c r="K862" s="1" t="s">
        <v>13</v>
      </c>
      <c r="L862" s="1" t="s">
        <v>13</v>
      </c>
      <c r="M862" s="6" t="str">
        <f>_xlfn.CONCAT(Table1[[#This Row],[Billing Street]], ", ", Table1[[#This Row],[Billing City]], ", ", Table1[[#This Row],[Billing State/Province]], ", ", Table1[[#This Row],[Billing Zip/Postal Code]])</f>
        <v xml:space="preserve">, , , </v>
      </c>
    </row>
    <row r="863" spans="1:13" ht="15.6" hidden="1" x14ac:dyDescent="0.3">
      <c r="A863" s="1" t="s">
        <v>2971</v>
      </c>
      <c r="B863" s="1"/>
      <c r="C863" s="1"/>
      <c r="D863" s="1"/>
      <c r="E863" s="1"/>
      <c r="F863" s="1"/>
      <c r="G863" s="1" t="s">
        <v>13</v>
      </c>
      <c r="H863" s="2">
        <v>0</v>
      </c>
      <c r="I863" s="1" t="s">
        <v>13</v>
      </c>
      <c r="J863" s="1" t="s">
        <v>13</v>
      </c>
      <c r="K863" s="1" t="s">
        <v>13</v>
      </c>
      <c r="L863" s="1" t="s">
        <v>13</v>
      </c>
      <c r="M863" s="6" t="str">
        <f>_xlfn.CONCAT(Table1[[#This Row],[Billing Street]], ", ", Table1[[#This Row],[Billing City]], ", ", Table1[[#This Row],[Billing State/Province]], ", ", Table1[[#This Row],[Billing Zip/Postal Code]])</f>
        <v xml:space="preserve">, , , </v>
      </c>
    </row>
    <row r="864" spans="1:13" ht="15.6" hidden="1" x14ac:dyDescent="0.3">
      <c r="A864" s="1" t="s">
        <v>2972</v>
      </c>
      <c r="B864" s="1"/>
      <c r="C864" s="1"/>
      <c r="D864" s="1"/>
      <c r="E864" s="1"/>
      <c r="F864" s="1"/>
      <c r="G864" s="1" t="s">
        <v>13</v>
      </c>
      <c r="H864" s="2">
        <v>0</v>
      </c>
      <c r="I864" s="1" t="s">
        <v>13</v>
      </c>
      <c r="J864" s="1" t="s">
        <v>13</v>
      </c>
      <c r="K864" s="1" t="s">
        <v>13</v>
      </c>
      <c r="L864" s="1" t="s">
        <v>13</v>
      </c>
      <c r="M864" s="6" t="str">
        <f>_xlfn.CONCAT(Table1[[#This Row],[Billing Street]], ", ", Table1[[#This Row],[Billing City]], ", ", Table1[[#This Row],[Billing State/Province]], ", ", Table1[[#This Row],[Billing Zip/Postal Code]])</f>
        <v xml:space="preserve">, , , </v>
      </c>
    </row>
    <row r="865" spans="1:13" ht="15.6" hidden="1" x14ac:dyDescent="0.3">
      <c r="A865" s="1" t="s">
        <v>2973</v>
      </c>
      <c r="B865" s="1"/>
      <c r="C865" s="1"/>
      <c r="D865" s="1"/>
      <c r="E865" s="1"/>
      <c r="F865" s="1"/>
      <c r="G865" s="1" t="s">
        <v>43</v>
      </c>
      <c r="H865" s="2">
        <v>313</v>
      </c>
      <c r="I865" s="1" t="s">
        <v>2974</v>
      </c>
      <c r="J865" s="1" t="s">
        <v>2975</v>
      </c>
      <c r="K865" s="1" t="s">
        <v>2610</v>
      </c>
      <c r="L865" s="1" t="s">
        <v>2976</v>
      </c>
      <c r="M865" s="6" t="str">
        <f>_xlfn.CONCAT(Table1[[#This Row],[Billing Street]], ", ", Table1[[#This Row],[Billing City]], ", ", Table1[[#This Row],[Billing State/Province]], ", ", Table1[[#This Row],[Billing Zip/Postal Code]])</f>
        <v>606 Lewisville Rd, Elkton, MD, 21921</v>
      </c>
    </row>
    <row r="866" spans="1:13" ht="15.6" hidden="1" x14ac:dyDescent="0.3">
      <c r="A866" s="1" t="s">
        <v>2977</v>
      </c>
      <c r="B866" s="1"/>
      <c r="C866" s="1"/>
      <c r="D866" s="1"/>
      <c r="E866" s="1"/>
      <c r="F866" s="1"/>
      <c r="G866" s="1" t="s">
        <v>8</v>
      </c>
      <c r="H866" s="2">
        <v>290</v>
      </c>
      <c r="I866" s="1" t="s">
        <v>2978</v>
      </c>
      <c r="J866" s="1" t="s">
        <v>2979</v>
      </c>
      <c r="K866" s="1" t="s">
        <v>51</v>
      </c>
      <c r="L866" s="1" t="s">
        <v>2980</v>
      </c>
      <c r="M866" s="6" t="str">
        <f>_xlfn.CONCAT(Table1[[#This Row],[Billing Street]], ", ", Table1[[#This Row],[Billing City]], ", ", Table1[[#This Row],[Billing State/Province]], ", ", Table1[[#This Row],[Billing Zip/Postal Code]])</f>
        <v>16803 North Dakota Pkw, Addison, TX, 75001</v>
      </c>
    </row>
    <row r="867" spans="1:13" ht="15.6" hidden="1" x14ac:dyDescent="0.3">
      <c r="A867" s="1" t="s">
        <v>2981</v>
      </c>
      <c r="B867" s="1"/>
      <c r="C867" s="1"/>
      <c r="D867" s="1"/>
      <c r="E867" s="1"/>
      <c r="F867" s="1"/>
      <c r="G867" s="1" t="s">
        <v>13</v>
      </c>
      <c r="H867" s="2">
        <v>0</v>
      </c>
      <c r="I867" s="1" t="s">
        <v>13</v>
      </c>
      <c r="J867" s="1" t="s">
        <v>13</v>
      </c>
      <c r="K867" s="1" t="s">
        <v>13</v>
      </c>
      <c r="L867" s="1" t="s">
        <v>13</v>
      </c>
      <c r="M867" s="6" t="str">
        <f>_xlfn.CONCAT(Table1[[#This Row],[Billing Street]], ", ", Table1[[#This Row],[Billing City]], ", ", Table1[[#This Row],[Billing State/Province]], ", ", Table1[[#This Row],[Billing Zip/Postal Code]])</f>
        <v xml:space="preserve">, , , </v>
      </c>
    </row>
    <row r="868" spans="1:13" ht="15.6" hidden="1" x14ac:dyDescent="0.3">
      <c r="A868" s="1" t="s">
        <v>2982</v>
      </c>
      <c r="B868" s="1"/>
      <c r="C868" s="1"/>
      <c r="D868" s="1"/>
      <c r="E868" s="1"/>
      <c r="F868" s="1"/>
      <c r="G868" s="1" t="s">
        <v>13</v>
      </c>
      <c r="H868" s="2">
        <v>0</v>
      </c>
      <c r="I868" s="1" t="s">
        <v>13</v>
      </c>
      <c r="J868" s="1" t="s">
        <v>13</v>
      </c>
      <c r="K868" s="1" t="s">
        <v>13</v>
      </c>
      <c r="L868" s="1" t="s">
        <v>13</v>
      </c>
      <c r="M868" s="6" t="str">
        <f>_xlfn.CONCAT(Table1[[#This Row],[Billing Street]], ", ", Table1[[#This Row],[Billing City]], ", ", Table1[[#This Row],[Billing State/Province]], ", ", Table1[[#This Row],[Billing Zip/Postal Code]])</f>
        <v xml:space="preserve">, , , </v>
      </c>
    </row>
    <row r="869" spans="1:13" ht="15.6" hidden="1" x14ac:dyDescent="0.3">
      <c r="A869" s="1" t="s">
        <v>2983</v>
      </c>
      <c r="B869" s="1"/>
      <c r="C869" s="1"/>
      <c r="D869" s="1"/>
      <c r="E869" s="1"/>
      <c r="F869" s="1"/>
      <c r="G869" s="1" t="s">
        <v>13</v>
      </c>
      <c r="H869" s="2">
        <v>0</v>
      </c>
      <c r="I869" s="1" t="s">
        <v>13</v>
      </c>
      <c r="J869" s="1" t="s">
        <v>13</v>
      </c>
      <c r="K869" s="1" t="s">
        <v>13</v>
      </c>
      <c r="L869" s="1" t="s">
        <v>13</v>
      </c>
      <c r="M869" s="6" t="str">
        <f>_xlfn.CONCAT(Table1[[#This Row],[Billing Street]], ", ", Table1[[#This Row],[Billing City]], ", ", Table1[[#This Row],[Billing State/Province]], ", ", Table1[[#This Row],[Billing Zip/Postal Code]])</f>
        <v xml:space="preserve">, , , </v>
      </c>
    </row>
    <row r="870" spans="1:13" ht="15.6" hidden="1" x14ac:dyDescent="0.3">
      <c r="A870" s="1" t="s">
        <v>2984</v>
      </c>
      <c r="B870" s="1"/>
      <c r="C870" s="1"/>
      <c r="D870" s="1"/>
      <c r="E870" s="1"/>
      <c r="F870" s="1"/>
      <c r="G870" s="1" t="s">
        <v>13</v>
      </c>
      <c r="H870" s="2">
        <v>0</v>
      </c>
      <c r="I870" s="1" t="s">
        <v>13</v>
      </c>
      <c r="J870" s="1" t="s">
        <v>13</v>
      </c>
      <c r="K870" s="1" t="s">
        <v>13</v>
      </c>
      <c r="L870" s="1" t="s">
        <v>13</v>
      </c>
      <c r="M870" s="6" t="str">
        <f>_xlfn.CONCAT(Table1[[#This Row],[Billing Street]], ", ", Table1[[#This Row],[Billing City]], ", ", Table1[[#This Row],[Billing State/Province]], ", ", Table1[[#This Row],[Billing Zip/Postal Code]])</f>
        <v xml:space="preserve">, , , </v>
      </c>
    </row>
    <row r="871" spans="1:13" ht="15.6" hidden="1" x14ac:dyDescent="0.3">
      <c r="A871" s="1" t="s">
        <v>2985</v>
      </c>
      <c r="B871" s="1"/>
      <c r="C871" s="1"/>
      <c r="D871" s="1"/>
      <c r="E871" s="1"/>
      <c r="F871" s="1"/>
      <c r="G871" s="1" t="s">
        <v>43</v>
      </c>
      <c r="H871" s="2">
        <v>5776</v>
      </c>
      <c r="I871" s="1" t="s">
        <v>13</v>
      </c>
      <c r="J871" s="1" t="s">
        <v>13</v>
      </c>
      <c r="K871" s="1" t="s">
        <v>241</v>
      </c>
      <c r="L871" s="1" t="s">
        <v>13</v>
      </c>
      <c r="M871" s="6" t="str">
        <f>_xlfn.CONCAT(Table1[[#This Row],[Billing Street]], ", ", Table1[[#This Row],[Billing City]], ", ", Table1[[#This Row],[Billing State/Province]], ", ", Table1[[#This Row],[Billing Zip/Postal Code]])</f>
        <v xml:space="preserve">, , PA, </v>
      </c>
    </row>
    <row r="872" spans="1:13" ht="15.6" hidden="1" x14ac:dyDescent="0.3">
      <c r="A872" s="1" t="s">
        <v>2986</v>
      </c>
      <c r="B872" s="1"/>
      <c r="C872" s="1"/>
      <c r="D872" s="1"/>
      <c r="E872" s="1"/>
      <c r="F872" s="1"/>
      <c r="G872" s="1" t="s">
        <v>8</v>
      </c>
      <c r="H872" s="2">
        <v>156</v>
      </c>
      <c r="I872" s="1" t="s">
        <v>13</v>
      </c>
      <c r="J872" s="1" t="s">
        <v>2088</v>
      </c>
      <c r="K872" s="1" t="s">
        <v>554</v>
      </c>
      <c r="L872" s="1" t="s">
        <v>2089</v>
      </c>
      <c r="M872" s="6" t="str">
        <f>_xlfn.CONCAT(Table1[[#This Row],[Billing Street]], ", ", Table1[[#This Row],[Billing City]], ", ", Table1[[#This Row],[Billing State/Province]], ", ", Table1[[#This Row],[Billing Zip/Postal Code]])</f>
        <v>, Wamego, KS, 66547</v>
      </c>
    </row>
    <row r="873" spans="1:13" ht="15.6" hidden="1" x14ac:dyDescent="0.3">
      <c r="A873" s="1" t="s">
        <v>2987</v>
      </c>
      <c r="B873" s="1"/>
      <c r="C873" s="1"/>
      <c r="D873" s="1"/>
      <c r="E873" s="1"/>
      <c r="F873" s="1"/>
      <c r="G873" s="1" t="s">
        <v>8</v>
      </c>
      <c r="H873" s="2">
        <v>168</v>
      </c>
      <c r="I873" s="1" t="s">
        <v>13</v>
      </c>
      <c r="J873" s="1" t="s">
        <v>2988</v>
      </c>
      <c r="K873" s="1" t="s">
        <v>554</v>
      </c>
      <c r="L873" s="1" t="s">
        <v>2989</v>
      </c>
      <c r="M873" s="6" t="str">
        <f>_xlfn.CONCAT(Table1[[#This Row],[Billing Street]], ", ", Table1[[#This Row],[Billing City]], ", ", Table1[[#This Row],[Billing State/Province]], ", ", Table1[[#This Row],[Billing Zip/Postal Code]])</f>
        <v>, Holton, KS, 66436</v>
      </c>
    </row>
    <row r="874" spans="1:13" ht="15.6" hidden="1" x14ac:dyDescent="0.3">
      <c r="A874" s="1" t="s">
        <v>2990</v>
      </c>
      <c r="B874" s="1"/>
      <c r="C874" s="1"/>
      <c r="D874" s="1"/>
      <c r="E874" s="1"/>
      <c r="F874" s="1"/>
      <c r="G874" s="1" t="s">
        <v>8</v>
      </c>
      <c r="H874" s="2">
        <v>135</v>
      </c>
      <c r="I874" s="1" t="s">
        <v>2991</v>
      </c>
      <c r="J874" s="1" t="s">
        <v>2992</v>
      </c>
      <c r="K874" s="1" t="s">
        <v>554</v>
      </c>
      <c r="L874" s="1" t="s">
        <v>2993</v>
      </c>
      <c r="M874" s="6" t="str">
        <f>_xlfn.CONCAT(Table1[[#This Row],[Billing Street]], ", ", Table1[[#This Row],[Billing City]], ", ", Table1[[#This Row],[Billing State/Province]], ", ", Table1[[#This Row],[Billing Zip/Postal Code]])</f>
        <v>107 West 5th Street, Eudora, KS, 66205</v>
      </c>
    </row>
    <row r="875" spans="1:13" ht="15.6" hidden="1" x14ac:dyDescent="0.3">
      <c r="A875" s="1" t="s">
        <v>2994</v>
      </c>
      <c r="B875" s="1"/>
      <c r="C875" s="1"/>
      <c r="D875" s="1"/>
      <c r="E875" s="1"/>
      <c r="F875" s="1"/>
      <c r="G875" s="1" t="s">
        <v>8</v>
      </c>
      <c r="H875" s="2">
        <v>369</v>
      </c>
      <c r="I875" s="1" t="s">
        <v>13</v>
      </c>
      <c r="J875" s="1" t="s">
        <v>2995</v>
      </c>
      <c r="K875" s="1" t="s">
        <v>554</v>
      </c>
      <c r="L875" s="1" t="s">
        <v>2996</v>
      </c>
      <c r="M875" s="6" t="str">
        <f>_xlfn.CONCAT(Table1[[#This Row],[Billing Street]], ", ", Table1[[#This Row],[Billing City]], ", ", Table1[[#This Row],[Billing State/Province]], ", ", Table1[[#This Row],[Billing Zip/Postal Code]])</f>
        <v>, Goodland, KS, 67735</v>
      </c>
    </row>
    <row r="876" spans="1:13" ht="15.6" hidden="1" x14ac:dyDescent="0.3">
      <c r="A876" s="1" t="s">
        <v>2997</v>
      </c>
      <c r="B876" s="1"/>
      <c r="C876" s="1"/>
      <c r="D876" s="1"/>
      <c r="E876" s="1"/>
      <c r="F876" s="1"/>
      <c r="G876" s="1" t="s">
        <v>43</v>
      </c>
      <c r="H876" s="2">
        <v>256</v>
      </c>
      <c r="I876" s="1" t="s">
        <v>2998</v>
      </c>
      <c r="J876" s="1" t="s">
        <v>2999</v>
      </c>
      <c r="K876" s="1" t="s">
        <v>82</v>
      </c>
      <c r="L876" s="1" t="s">
        <v>3000</v>
      </c>
      <c r="M876" s="6" t="str">
        <f>_xlfn.CONCAT(Table1[[#This Row],[Billing Street]], ", ", Table1[[#This Row],[Billing City]], ", ", Table1[[#This Row],[Billing State/Province]], ", ", Table1[[#This Row],[Billing Zip/Postal Code]])</f>
        <v>90 Spring St., Kent City, MI, 49330</v>
      </c>
    </row>
    <row r="877" spans="1:13" ht="15.6" hidden="1" x14ac:dyDescent="0.3">
      <c r="A877" s="1" t="s">
        <v>3001</v>
      </c>
      <c r="B877" s="1"/>
      <c r="C877" s="1"/>
      <c r="D877" s="1"/>
      <c r="E877" s="1"/>
      <c r="F877" s="1"/>
      <c r="G877" s="1" t="s">
        <v>8</v>
      </c>
      <c r="H877" s="2">
        <v>180</v>
      </c>
      <c r="I877" s="1" t="s">
        <v>13</v>
      </c>
      <c r="J877" s="1" t="s">
        <v>3002</v>
      </c>
      <c r="K877" s="1" t="s">
        <v>554</v>
      </c>
      <c r="L877" s="1" t="s">
        <v>3003</v>
      </c>
      <c r="M877" s="6" t="str">
        <f>_xlfn.CONCAT(Table1[[#This Row],[Billing Street]], ", ", Table1[[#This Row],[Billing City]], ", ", Table1[[#This Row],[Billing State/Province]], ", ", Table1[[#This Row],[Billing Zip/Postal Code]])</f>
        <v>, Clay Center, KS, 67432</v>
      </c>
    </row>
    <row r="878" spans="1:13" ht="15.6" hidden="1" x14ac:dyDescent="0.3">
      <c r="A878" s="1" t="s">
        <v>3004</v>
      </c>
      <c r="B878" s="1"/>
      <c r="C878" s="1"/>
      <c r="D878" s="1"/>
      <c r="E878" s="1"/>
      <c r="F878" s="1"/>
      <c r="G878" s="1" t="s">
        <v>205</v>
      </c>
      <c r="H878" s="2">
        <v>113</v>
      </c>
      <c r="I878" s="1" t="s">
        <v>3005</v>
      </c>
      <c r="J878" s="1" t="s">
        <v>3006</v>
      </c>
      <c r="K878" s="1" t="s">
        <v>479</v>
      </c>
      <c r="L878" s="1" t="s">
        <v>3007</v>
      </c>
      <c r="M878" s="6" t="str">
        <f>_xlfn.CONCAT(Table1[[#This Row],[Billing Street]], ", ", Table1[[#This Row],[Billing City]], ", ", Table1[[#This Row],[Billing State/Province]], ", ", Table1[[#This Row],[Billing Zip/Postal Code]])</f>
        <v>PO Box 19149, Tucson, AZ, 85731</v>
      </c>
    </row>
    <row r="879" spans="1:13" ht="15.6" hidden="1" x14ac:dyDescent="0.3">
      <c r="A879" s="1" t="s">
        <v>3008</v>
      </c>
      <c r="B879" s="1"/>
      <c r="C879" s="1"/>
      <c r="D879" s="1"/>
      <c r="E879" s="1"/>
      <c r="F879" s="1"/>
      <c r="G879" s="1" t="s">
        <v>8</v>
      </c>
      <c r="H879" s="2">
        <v>94</v>
      </c>
      <c r="I879" s="1" t="s">
        <v>3009</v>
      </c>
      <c r="J879" s="1" t="s">
        <v>3010</v>
      </c>
      <c r="K879" s="1" t="s">
        <v>554</v>
      </c>
      <c r="L879" s="1" t="s">
        <v>3011</v>
      </c>
      <c r="M879" s="6" t="str">
        <f>_xlfn.CONCAT(Table1[[#This Row],[Billing Street]], ", ", Table1[[#This Row],[Billing City]], ", ", Table1[[#This Row],[Billing State/Province]], ", ", Table1[[#This Row],[Billing Zip/Postal Code]])</f>
        <v>410 W Bridge, Mulvane, KS, 67110</v>
      </c>
    </row>
    <row r="880" spans="1:13" ht="15.6" hidden="1" x14ac:dyDescent="0.3">
      <c r="A880" s="1" t="s">
        <v>3012</v>
      </c>
      <c r="B880" s="1"/>
      <c r="C880" s="1"/>
      <c r="D880" s="1"/>
      <c r="E880" s="1"/>
      <c r="F880" s="1"/>
      <c r="G880" s="1" t="s">
        <v>8</v>
      </c>
      <c r="H880" s="2">
        <v>253</v>
      </c>
      <c r="I880" s="1" t="s">
        <v>3013</v>
      </c>
      <c r="J880" s="1" t="s">
        <v>3014</v>
      </c>
      <c r="K880" s="1" t="s">
        <v>11</v>
      </c>
      <c r="L880" s="1" t="s">
        <v>3015</v>
      </c>
      <c r="M880" s="6" t="str">
        <f>_xlfn.CONCAT(Table1[[#This Row],[Billing Street]], ", ", Table1[[#This Row],[Billing City]], ", ", Table1[[#This Row],[Billing State/Province]], ", ", Table1[[#This Row],[Billing Zip/Postal Code]])</f>
        <v>3940 East Liberty, Mexico, MO, 65265</v>
      </c>
    </row>
    <row r="881" spans="1:13" ht="15.6" hidden="1" x14ac:dyDescent="0.3">
      <c r="A881" s="1" t="s">
        <v>3016</v>
      </c>
      <c r="B881" s="1"/>
      <c r="C881" s="1"/>
      <c r="D881" s="1"/>
      <c r="E881" s="1"/>
      <c r="F881" s="1"/>
      <c r="G881" s="1" t="s">
        <v>43</v>
      </c>
      <c r="H881" s="2">
        <v>5776</v>
      </c>
      <c r="I881" s="1" t="s">
        <v>13</v>
      </c>
      <c r="J881" s="1" t="s">
        <v>3017</v>
      </c>
      <c r="K881" s="1" t="s">
        <v>237</v>
      </c>
      <c r="L881" s="1" t="s">
        <v>13</v>
      </c>
      <c r="M881" s="6" t="str">
        <f>_xlfn.CONCAT(Table1[[#This Row],[Billing Street]], ", ", Table1[[#This Row],[Billing City]], ", ", Table1[[#This Row],[Billing State/Province]], ", ", Table1[[#This Row],[Billing Zip/Postal Code]])</f>
        <v xml:space="preserve">, Clear Creek, IN, </v>
      </c>
    </row>
    <row r="882" spans="1:13" ht="15.6" hidden="1" x14ac:dyDescent="0.3">
      <c r="A882" s="1" t="s">
        <v>3018</v>
      </c>
      <c r="B882" s="1"/>
      <c r="C882" s="1"/>
      <c r="D882" s="1"/>
      <c r="E882" s="1"/>
      <c r="F882" s="1"/>
      <c r="G882" s="1" t="s">
        <v>43</v>
      </c>
      <c r="H882" s="2">
        <v>94</v>
      </c>
      <c r="I882" s="1" t="s">
        <v>3019</v>
      </c>
      <c r="J882" s="1" t="s">
        <v>2200</v>
      </c>
      <c r="K882" s="1" t="s">
        <v>1170</v>
      </c>
      <c r="L882" s="1" t="s">
        <v>3020</v>
      </c>
      <c r="M882" s="6" t="str">
        <f>_xlfn.CONCAT(Table1[[#This Row],[Billing Street]], ", ", Table1[[#This Row],[Billing City]], ", ", Table1[[#This Row],[Billing State/Province]], ", ", Table1[[#This Row],[Billing Zip/Postal Code]])</f>
        <v>4 Industrial Park Dr., Wheeling, WV, 26003</v>
      </c>
    </row>
    <row r="883" spans="1:13" ht="15.6" hidden="1" x14ac:dyDescent="0.3">
      <c r="A883" s="1" t="s">
        <v>3021</v>
      </c>
      <c r="B883" s="1"/>
      <c r="C883" s="1"/>
      <c r="D883" s="1"/>
      <c r="E883" s="1"/>
      <c r="F883" s="1"/>
      <c r="G883" s="1" t="s">
        <v>43</v>
      </c>
      <c r="H883" s="2">
        <v>94</v>
      </c>
      <c r="I883" s="1" t="s">
        <v>3022</v>
      </c>
      <c r="J883" s="1" t="s">
        <v>2200</v>
      </c>
      <c r="K883" s="1" t="s">
        <v>1170</v>
      </c>
      <c r="L883" s="1" t="s">
        <v>3020</v>
      </c>
      <c r="M883" s="6" t="str">
        <f>_xlfn.CONCAT(Table1[[#This Row],[Billing Street]], ", ", Table1[[#This Row],[Billing City]], ", ", Table1[[#This Row],[Billing State/Province]], ", ", Table1[[#This Row],[Billing Zip/Postal Code]])</f>
        <v>4 Industrial Park Drive, Wheeling, WV, 26003</v>
      </c>
    </row>
    <row r="884" spans="1:13" ht="15.6" hidden="1" x14ac:dyDescent="0.3">
      <c r="A884" s="1" t="s">
        <v>3023</v>
      </c>
      <c r="B884" s="1"/>
      <c r="C884" s="1"/>
      <c r="D884" s="1"/>
      <c r="E884" s="1"/>
      <c r="F884" s="1"/>
      <c r="G884" s="1" t="s">
        <v>98</v>
      </c>
      <c r="H884" s="2">
        <v>206</v>
      </c>
      <c r="I884" s="1" t="s">
        <v>3024</v>
      </c>
      <c r="J884" s="1" t="s">
        <v>585</v>
      </c>
      <c r="K884" s="1" t="s">
        <v>1135</v>
      </c>
      <c r="L884" s="1" t="s">
        <v>3025</v>
      </c>
      <c r="M884" s="6" t="str">
        <f>_xlfn.CONCAT(Table1[[#This Row],[Billing Street]], ", ", Table1[[#This Row],[Billing City]], ", ", Table1[[#This Row],[Billing State/Province]], ", ", Table1[[#This Row],[Billing Zip/Postal Code]])</f>
        <v>6700 Tower Circle, Franklin, TN, 37067</v>
      </c>
    </row>
    <row r="885" spans="1:13" ht="15.6" hidden="1" x14ac:dyDescent="0.3">
      <c r="A885" s="1" t="s">
        <v>3026</v>
      </c>
      <c r="B885" s="1"/>
      <c r="C885" s="1"/>
      <c r="D885" s="1"/>
      <c r="E885" s="1"/>
      <c r="F885" s="1"/>
      <c r="G885" s="1" t="s">
        <v>43</v>
      </c>
      <c r="H885" s="2">
        <v>220</v>
      </c>
      <c r="I885" s="1" t="s">
        <v>3027</v>
      </c>
      <c r="J885" s="1" t="s">
        <v>2623</v>
      </c>
      <c r="K885" s="1" t="s">
        <v>1191</v>
      </c>
      <c r="L885" s="1" t="s">
        <v>3028</v>
      </c>
      <c r="M885" s="6" t="str">
        <f>_xlfn.CONCAT(Table1[[#This Row],[Billing Street]], ", ", Table1[[#This Row],[Billing City]], ", ", Table1[[#This Row],[Billing State/Province]], ", ", Table1[[#This Row],[Billing Zip/Postal Code]])</f>
        <v>1001 2nd Avenue, Dayton, KY, 41074</v>
      </c>
    </row>
    <row r="886" spans="1:13" ht="15.6" x14ac:dyDescent="0.3">
      <c r="A886" s="1" t="s">
        <v>3029</v>
      </c>
      <c r="B886" s="1"/>
      <c r="C886" s="1"/>
      <c r="D886" s="1"/>
      <c r="E886" s="1"/>
      <c r="F886" s="1"/>
      <c r="G886" s="1" t="s">
        <v>24</v>
      </c>
      <c r="H886" s="2">
        <v>5988</v>
      </c>
      <c r="I886" s="1" t="s">
        <v>3030</v>
      </c>
      <c r="J886" s="1" t="s">
        <v>25</v>
      </c>
      <c r="K886" s="1" t="s">
        <v>26</v>
      </c>
      <c r="L886" s="1" t="s">
        <v>1086</v>
      </c>
      <c r="M886" s="6" t="str">
        <f>_xlfn.CONCAT(Table1[[#This Row],[Billing Street]], ", ", Table1[[#This Row],[Billing City]], ", ", Table1[[#This Row],[Billing State/Province]], ", ", Table1[[#This Row],[Billing Zip/Postal Code]])</f>
        <v>2660 EastChase Lane, Suite 200, Montgomery, AL, 36117</v>
      </c>
    </row>
    <row r="887" spans="1:13" ht="15.6" hidden="1" x14ac:dyDescent="0.3">
      <c r="A887" s="1" t="s">
        <v>3031</v>
      </c>
      <c r="B887" s="1"/>
      <c r="C887" s="1"/>
      <c r="D887" s="1"/>
      <c r="E887" s="1"/>
      <c r="F887" s="1"/>
      <c r="G887" s="1" t="s">
        <v>8</v>
      </c>
      <c r="H887" s="2">
        <v>209</v>
      </c>
      <c r="I887" s="1" t="s">
        <v>3032</v>
      </c>
      <c r="J887" s="1" t="s">
        <v>3033</v>
      </c>
      <c r="K887" s="1" t="s">
        <v>11</v>
      </c>
      <c r="L887" s="1" t="s">
        <v>3034</v>
      </c>
      <c r="M887" s="6" t="str">
        <f>_xlfn.CONCAT(Table1[[#This Row],[Billing Street]], ", ", Table1[[#This Row],[Billing City]], ", ", Table1[[#This Row],[Billing State/Province]], ", ", Table1[[#This Row],[Billing Zip/Postal Code]])</f>
        <v>102 Maple Ave, Licking, MO, 65542</v>
      </c>
    </row>
    <row r="888" spans="1:13" ht="15.6" x14ac:dyDescent="0.3">
      <c r="A888" s="1" t="s">
        <v>3035</v>
      </c>
      <c r="B888" s="1"/>
      <c r="C888" s="1"/>
      <c r="D888" s="1"/>
      <c r="E888" s="1"/>
      <c r="F888" s="1"/>
      <c r="G888" s="1" t="s">
        <v>24</v>
      </c>
      <c r="H888" s="2">
        <v>323</v>
      </c>
      <c r="I888" s="1" t="s">
        <v>3036</v>
      </c>
      <c r="J888" s="1" t="s">
        <v>3037</v>
      </c>
      <c r="K888" s="1" t="s">
        <v>36</v>
      </c>
      <c r="L888" s="1" t="s">
        <v>3038</v>
      </c>
      <c r="M888" s="6" t="str">
        <f>_xlfn.CONCAT(Table1[[#This Row],[Billing Street]], ", ", Table1[[#This Row],[Billing City]], ", ", Table1[[#This Row],[Billing State/Province]], ", ", Table1[[#This Row],[Billing Zip/Postal Code]])</f>
        <v>8553 Commodity Circle, Orlando, FL, 32819-9002</v>
      </c>
    </row>
    <row r="889" spans="1:13" ht="15.6" hidden="1" x14ac:dyDescent="0.3">
      <c r="A889" s="1" t="s">
        <v>3039</v>
      </c>
      <c r="B889" s="1"/>
      <c r="C889" s="1"/>
      <c r="D889" s="1"/>
      <c r="E889" s="1"/>
      <c r="F889" s="1"/>
      <c r="G889" s="1" t="s">
        <v>8</v>
      </c>
      <c r="H889" s="2">
        <v>541</v>
      </c>
      <c r="I889" s="1" t="s">
        <v>3040</v>
      </c>
      <c r="J889" s="1" t="s">
        <v>1618</v>
      </c>
      <c r="K889" s="1" t="s">
        <v>208</v>
      </c>
      <c r="L889" s="1" t="s">
        <v>1636</v>
      </c>
      <c r="M889" s="6" t="str">
        <f>_xlfn.CONCAT(Table1[[#This Row],[Billing Street]], ", ", Table1[[#This Row],[Billing City]], ", ", Table1[[#This Row],[Billing State/Province]], ", ", Table1[[#This Row],[Billing Zip/Postal Code]])</f>
        <v>1800 Larimer Ste 900, Denver, CO, 80202</v>
      </c>
    </row>
    <row r="890" spans="1:13" ht="15.6" hidden="1" x14ac:dyDescent="0.3">
      <c r="A890" s="1" t="s">
        <v>3041</v>
      </c>
      <c r="B890" s="1"/>
      <c r="C890" s="1"/>
      <c r="D890" s="1"/>
      <c r="E890" s="1"/>
      <c r="F890" s="1"/>
      <c r="G890" s="1" t="s">
        <v>98</v>
      </c>
      <c r="H890" s="2">
        <v>182</v>
      </c>
      <c r="I890" s="1" t="s">
        <v>3042</v>
      </c>
      <c r="J890" s="1" t="s">
        <v>3043</v>
      </c>
      <c r="K890" s="1" t="s">
        <v>234</v>
      </c>
      <c r="L890" s="1" t="s">
        <v>3044</v>
      </c>
      <c r="M890" s="6" t="str">
        <f>_xlfn.CONCAT(Table1[[#This Row],[Billing Street]], ", ", Table1[[#This Row],[Billing City]], ", ", Table1[[#This Row],[Billing State/Province]], ", ", Table1[[#This Row],[Billing Zip/Postal Code]])</f>
        <v>220 Operations Way, Cayce, SC, 29033-3701</v>
      </c>
    </row>
    <row r="891" spans="1:13" ht="15.6" hidden="1" x14ac:dyDescent="0.3">
      <c r="A891" s="1" t="s">
        <v>3045</v>
      </c>
      <c r="B891" s="1"/>
      <c r="C891" s="1"/>
      <c r="D891" s="1"/>
      <c r="E891" s="1"/>
      <c r="F891" s="1"/>
      <c r="G891" s="1" t="s">
        <v>8</v>
      </c>
      <c r="H891" s="2">
        <v>268</v>
      </c>
      <c r="I891" s="1" t="s">
        <v>3046</v>
      </c>
      <c r="J891" s="1" t="s">
        <v>3047</v>
      </c>
      <c r="K891" s="1" t="s">
        <v>554</v>
      </c>
      <c r="L891" s="1" t="s">
        <v>3048</v>
      </c>
      <c r="M891" s="6" t="str">
        <f>_xlfn.CONCAT(Table1[[#This Row],[Billing Street]], ", ", Table1[[#This Row],[Billing City]], ", ", Table1[[#This Row],[Billing State/Province]], ", ", Table1[[#This Row],[Billing Zip/Postal Code]])</f>
        <v>100 W. Mexitli, Montezuma, KS, 67867</v>
      </c>
    </row>
    <row r="892" spans="1:13" ht="15.6" x14ac:dyDescent="0.3">
      <c r="A892" s="1" t="s">
        <v>3049</v>
      </c>
      <c r="B892" s="1"/>
      <c r="C892" s="1"/>
      <c r="D892" s="1"/>
      <c r="E892" s="1"/>
      <c r="F892" s="1"/>
      <c r="G892" s="1" t="s">
        <v>24</v>
      </c>
      <c r="H892" s="2">
        <v>260</v>
      </c>
      <c r="I892" s="1" t="s">
        <v>3050</v>
      </c>
      <c r="J892" s="1" t="s">
        <v>3051</v>
      </c>
      <c r="K892" s="1" t="s">
        <v>31</v>
      </c>
      <c r="L892" s="1" t="s">
        <v>3052</v>
      </c>
      <c r="M892" s="6" t="str">
        <f>_xlfn.CONCAT(Table1[[#This Row],[Billing Street]], ", ", Table1[[#This Row],[Billing City]], ", ", Table1[[#This Row],[Billing State/Province]], ", ", Table1[[#This Row],[Billing Zip/Postal Code]])</f>
        <v>50408 Greenbriar Rd., Amory, MS, 38821</v>
      </c>
    </row>
    <row r="893" spans="1:13" ht="15.6" hidden="1" x14ac:dyDescent="0.3">
      <c r="A893" s="1" t="s">
        <v>3053</v>
      </c>
      <c r="B893" s="1"/>
      <c r="C893" s="1"/>
      <c r="D893" s="1"/>
      <c r="E893" s="1"/>
      <c r="F893" s="1"/>
      <c r="G893" s="1" t="s">
        <v>8</v>
      </c>
      <c r="H893" s="2">
        <v>237</v>
      </c>
      <c r="I893" s="1" t="s">
        <v>3054</v>
      </c>
      <c r="J893" s="1" t="s">
        <v>3055</v>
      </c>
      <c r="K893" s="1" t="s">
        <v>554</v>
      </c>
      <c r="L893" s="1" t="s">
        <v>3056</v>
      </c>
      <c r="M893" s="6" t="str">
        <f>_xlfn.CONCAT(Table1[[#This Row],[Billing Street]], ", ", Table1[[#This Row],[Billing City]], ", ", Table1[[#This Row],[Billing State/Province]], ", ", Table1[[#This Row],[Billing Zip/Postal Code]])</f>
        <v>1330 Canterbury, Hays, KS, 67601</v>
      </c>
    </row>
    <row r="894" spans="1:13" ht="15.6" hidden="1" x14ac:dyDescent="0.3">
      <c r="A894" s="1" t="s">
        <v>3057</v>
      </c>
      <c r="B894" s="1"/>
      <c r="C894" s="1"/>
      <c r="D894" s="1"/>
      <c r="E894" s="1"/>
      <c r="F894" s="1"/>
      <c r="G894" s="1" t="s">
        <v>8</v>
      </c>
      <c r="H894" s="2">
        <v>28</v>
      </c>
      <c r="I894" s="1" t="s">
        <v>3058</v>
      </c>
      <c r="J894" s="1" t="s">
        <v>3059</v>
      </c>
      <c r="K894" s="1" t="s">
        <v>554</v>
      </c>
      <c r="L894" s="1" t="s">
        <v>3060</v>
      </c>
      <c r="M894" s="6" t="str">
        <f>_xlfn.CONCAT(Table1[[#This Row],[Billing Street]], ", ", Table1[[#This Row],[Billing City]], ", ", Table1[[#This Row],[Billing State/Province]], ", ", Table1[[#This Row],[Billing Zip/Postal Code]])</f>
        <v>1200 W. Granby, Neodesha, KS, 66757</v>
      </c>
    </row>
    <row r="895" spans="1:13" ht="15.6" hidden="1" x14ac:dyDescent="0.3">
      <c r="A895" s="1" t="s">
        <v>3061</v>
      </c>
      <c r="B895" s="1"/>
      <c r="C895" s="1"/>
      <c r="D895" s="1"/>
      <c r="E895" s="1"/>
      <c r="F895" s="1"/>
      <c r="G895" s="1" t="s">
        <v>8</v>
      </c>
      <c r="H895" s="2">
        <v>6528</v>
      </c>
      <c r="I895" s="1" t="s">
        <v>13</v>
      </c>
      <c r="J895" s="1" t="s">
        <v>13</v>
      </c>
      <c r="K895" s="1" t="s">
        <v>554</v>
      </c>
      <c r="L895" s="1" t="s">
        <v>13</v>
      </c>
      <c r="M895" s="6" t="str">
        <f>_xlfn.CONCAT(Table1[[#This Row],[Billing Street]], ", ", Table1[[#This Row],[Billing City]], ", ", Table1[[#This Row],[Billing State/Province]], ", ", Table1[[#This Row],[Billing Zip/Postal Code]])</f>
        <v xml:space="preserve">, , KS, </v>
      </c>
    </row>
    <row r="896" spans="1:13" ht="15.6" hidden="1" x14ac:dyDescent="0.3">
      <c r="A896" s="1" t="s">
        <v>3062</v>
      </c>
      <c r="B896" s="1"/>
      <c r="C896" s="1"/>
      <c r="D896" s="1"/>
      <c r="E896" s="1"/>
      <c r="F896" s="1"/>
      <c r="G896" s="1" t="s">
        <v>43</v>
      </c>
      <c r="H896" s="2">
        <v>355</v>
      </c>
      <c r="I896" s="1" t="s">
        <v>3063</v>
      </c>
      <c r="J896" s="1" t="s">
        <v>3064</v>
      </c>
      <c r="K896" s="1" t="s">
        <v>152</v>
      </c>
      <c r="L896" s="1" t="s">
        <v>3065</v>
      </c>
      <c r="M896" s="6" t="str">
        <f>_xlfn.CONCAT(Table1[[#This Row],[Billing Street]], ", ", Table1[[#This Row],[Billing City]], ", ", Table1[[#This Row],[Billing State/Province]], ", ", Table1[[#This Row],[Billing Zip/Postal Code]])</f>
        <v>200 N. Raddant Rd., Batavia, IL, 60510</v>
      </c>
    </row>
    <row r="897" spans="1:13" ht="15.6" hidden="1" x14ac:dyDescent="0.3">
      <c r="A897" s="1" t="s">
        <v>3066</v>
      </c>
      <c r="B897" s="1"/>
      <c r="C897" s="1"/>
      <c r="D897" s="1"/>
      <c r="E897" s="1"/>
      <c r="F897" s="1"/>
      <c r="G897" s="1" t="s">
        <v>54</v>
      </c>
      <c r="H897" s="2">
        <v>14</v>
      </c>
      <c r="I897" s="1" t="s">
        <v>3067</v>
      </c>
      <c r="J897" s="1" t="s">
        <v>3068</v>
      </c>
      <c r="K897" s="1" t="s">
        <v>57</v>
      </c>
      <c r="L897" s="1" t="s">
        <v>3069</v>
      </c>
      <c r="M897" s="6" t="str">
        <f>_xlfn.CONCAT(Table1[[#This Row],[Billing Street]], ", ", Table1[[#This Row],[Billing City]], ", ", Table1[[#This Row],[Billing State/Province]], ", ", Table1[[#This Row],[Billing Zip/Postal Code]])</f>
        <v>12021 Shoemaker Ave, Santa Fe Springs, CA, 90670</v>
      </c>
    </row>
    <row r="898" spans="1:13" ht="15.6" hidden="1" x14ac:dyDescent="0.3">
      <c r="A898" s="1" t="s">
        <v>3070</v>
      </c>
      <c r="B898" s="1"/>
      <c r="C898" s="1"/>
      <c r="D898" s="1"/>
      <c r="E898" s="1"/>
      <c r="F898" s="1"/>
      <c r="G898" s="1" t="s">
        <v>98</v>
      </c>
      <c r="H898" s="2">
        <v>5887</v>
      </c>
      <c r="I898" s="1" t="s">
        <v>13</v>
      </c>
      <c r="J898" s="1" t="s">
        <v>3071</v>
      </c>
      <c r="K898" s="1" t="s">
        <v>101</v>
      </c>
      <c r="L898" s="1" t="s">
        <v>13</v>
      </c>
      <c r="M898" s="6" t="str">
        <f>_xlfn.CONCAT(Table1[[#This Row],[Billing Street]], ", ", Table1[[#This Row],[Billing City]], ", ", Table1[[#This Row],[Billing State/Province]], ", ", Table1[[#This Row],[Billing Zip/Postal Code]])</f>
        <v xml:space="preserve">, Americus, GA, </v>
      </c>
    </row>
    <row r="899" spans="1:13" ht="15.6" x14ac:dyDescent="0.3">
      <c r="A899" s="1" t="s">
        <v>3072</v>
      </c>
      <c r="B899" s="1"/>
      <c r="C899" s="1"/>
      <c r="D899" s="1"/>
      <c r="E899" s="1"/>
      <c r="F899" s="1"/>
      <c r="G899" s="1" t="s">
        <v>24</v>
      </c>
      <c r="H899" s="2">
        <v>322</v>
      </c>
      <c r="I899" s="1" t="s">
        <v>3073</v>
      </c>
      <c r="J899" s="1" t="s">
        <v>3074</v>
      </c>
      <c r="K899" s="1" t="s">
        <v>36</v>
      </c>
      <c r="L899" s="1" t="s">
        <v>3075</v>
      </c>
      <c r="M899" s="6" t="str">
        <f>_xlfn.CONCAT(Table1[[#This Row],[Billing Street]], ", ", Table1[[#This Row],[Billing City]], ", ", Table1[[#This Row],[Billing State/Province]], ", ", Table1[[#This Row],[Billing Zip/Postal Code]])</f>
        <v>1409 Howell Branch Rd., Winter Park, FL, 32789</v>
      </c>
    </row>
    <row r="900" spans="1:13" ht="15.6" hidden="1" x14ac:dyDescent="0.3">
      <c r="A900" s="1" t="s">
        <v>3076</v>
      </c>
      <c r="B900" s="1"/>
      <c r="C900" s="1"/>
      <c r="D900" s="1"/>
      <c r="E900" s="1"/>
      <c r="F900" s="1"/>
      <c r="G900" s="1" t="s">
        <v>98</v>
      </c>
      <c r="H900" s="2">
        <v>193</v>
      </c>
      <c r="I900" s="1" t="s">
        <v>3077</v>
      </c>
      <c r="J900" s="1" t="s">
        <v>3078</v>
      </c>
      <c r="K900" s="1" t="s">
        <v>101</v>
      </c>
      <c r="L900" s="1" t="s">
        <v>3079</v>
      </c>
      <c r="M900" s="6" t="str">
        <f>_xlfn.CONCAT(Table1[[#This Row],[Billing Street]], ", ", Table1[[#This Row],[Billing City]], ", ", Table1[[#This Row],[Billing State/Province]], ", ", Table1[[#This Row],[Billing Zip/Postal Code]])</f>
        <v>112 North Parrish Avenue, Adel, GA, 31620</v>
      </c>
    </row>
    <row r="901" spans="1:13" ht="15.6" hidden="1" x14ac:dyDescent="0.3">
      <c r="A901" s="1" t="s">
        <v>3080</v>
      </c>
      <c r="B901" s="1"/>
      <c r="C901" s="1"/>
      <c r="D901" s="1"/>
      <c r="E901" s="1"/>
      <c r="F901" s="1"/>
      <c r="G901" s="1" t="s">
        <v>98</v>
      </c>
      <c r="H901" s="2">
        <v>5887</v>
      </c>
      <c r="I901" s="1" t="s">
        <v>3081</v>
      </c>
      <c r="J901" s="1" t="s">
        <v>360</v>
      </c>
      <c r="K901" s="1" t="s">
        <v>101</v>
      </c>
      <c r="L901" s="1" t="s">
        <v>13</v>
      </c>
      <c r="M901" s="6" t="str">
        <f>_xlfn.CONCAT(Table1[[#This Row],[Billing Street]], ", ", Table1[[#This Row],[Billing City]], ", ", Table1[[#This Row],[Billing State/Province]], ", ", Table1[[#This Row],[Billing Zip/Postal Code]])</f>
        <v xml:space="preserve">800 W. Clay Street, Thomasville, GA, </v>
      </c>
    </row>
    <row r="902" spans="1:13" ht="15.6" hidden="1" x14ac:dyDescent="0.3">
      <c r="A902" s="1" t="s">
        <v>3082</v>
      </c>
      <c r="B902" s="1"/>
      <c r="C902" s="1"/>
      <c r="D902" s="1"/>
      <c r="E902" s="1"/>
      <c r="F902" s="1"/>
      <c r="G902" s="1" t="s">
        <v>43</v>
      </c>
      <c r="H902" s="2">
        <v>128</v>
      </c>
      <c r="I902" s="1" t="s">
        <v>3083</v>
      </c>
      <c r="J902" s="1" t="s">
        <v>2479</v>
      </c>
      <c r="K902" s="1" t="s">
        <v>671</v>
      </c>
      <c r="L902" s="1" t="s">
        <v>3084</v>
      </c>
      <c r="M902" s="6" t="str">
        <f>_xlfn.CONCAT(Table1[[#This Row],[Billing Street]], ", ", Table1[[#This Row],[Billing City]], ", ", Table1[[#This Row],[Billing State/Province]], ", ", Table1[[#This Row],[Billing Zip/Postal Code]])</f>
        <v>46 Hopkins Ave, Jamestown, NY, 14701</v>
      </c>
    </row>
    <row r="903" spans="1:13" ht="15.6" hidden="1" x14ac:dyDescent="0.3">
      <c r="A903" s="1" t="s">
        <v>3085</v>
      </c>
      <c r="B903" s="1"/>
      <c r="C903" s="1"/>
      <c r="D903" s="1"/>
      <c r="E903" s="1"/>
      <c r="F903" s="1"/>
      <c r="G903" s="1" t="s">
        <v>8</v>
      </c>
      <c r="H903" s="2">
        <v>122</v>
      </c>
      <c r="I903" s="1" t="s">
        <v>3086</v>
      </c>
      <c r="J903" s="1" t="s">
        <v>3087</v>
      </c>
      <c r="K903" s="1" t="s">
        <v>554</v>
      </c>
      <c r="L903" s="1" t="s">
        <v>3088</v>
      </c>
      <c r="M903" s="6" t="str">
        <f>_xlfn.CONCAT(Table1[[#This Row],[Billing Street]], ", ", Table1[[#This Row],[Billing City]], ", ", Table1[[#This Row],[Billing State/Province]], ", ", Table1[[#This Row],[Billing Zip/Postal Code]])</f>
        <v>609 High Street, Baldwin, KS, 66006</v>
      </c>
    </row>
    <row r="904" spans="1:13" ht="15.6" hidden="1" x14ac:dyDescent="0.3">
      <c r="A904" s="1" t="s">
        <v>3089</v>
      </c>
      <c r="B904" s="1"/>
      <c r="C904" s="1"/>
      <c r="D904" s="1"/>
      <c r="E904" s="1"/>
      <c r="F904" s="1"/>
      <c r="G904" s="1" t="s">
        <v>43</v>
      </c>
      <c r="H904" s="2">
        <v>432</v>
      </c>
      <c r="I904" s="1" t="s">
        <v>3090</v>
      </c>
      <c r="J904" s="1" t="s">
        <v>3091</v>
      </c>
      <c r="K904" s="1" t="s">
        <v>275</v>
      </c>
      <c r="L904" s="1" t="s">
        <v>3092</v>
      </c>
      <c r="M904" s="6" t="str">
        <f>_xlfn.CONCAT(Table1[[#This Row],[Billing Street]], ", ", Table1[[#This Row],[Billing City]], ", ", Table1[[#This Row],[Billing State/Province]], ", ", Table1[[#This Row],[Billing Zip/Postal Code]])</f>
        <v>515 County Rt 45, Argyle, ny, 12809</v>
      </c>
    </row>
    <row r="905" spans="1:13" ht="15.6" hidden="1" x14ac:dyDescent="0.3">
      <c r="A905" s="1" t="s">
        <v>3093</v>
      </c>
      <c r="B905" s="1"/>
      <c r="C905" s="1"/>
      <c r="D905" s="1"/>
      <c r="E905" s="1"/>
      <c r="F905" s="1"/>
      <c r="G905" s="1" t="s">
        <v>43</v>
      </c>
      <c r="H905" s="2">
        <v>235</v>
      </c>
      <c r="I905" s="1" t="s">
        <v>3094</v>
      </c>
      <c r="J905" s="1" t="s">
        <v>3095</v>
      </c>
      <c r="K905" s="1" t="s">
        <v>671</v>
      </c>
      <c r="L905" s="1" t="s">
        <v>3096</v>
      </c>
      <c r="M905" s="6" t="str">
        <f>_xlfn.CONCAT(Table1[[#This Row],[Billing Street]], ", ", Table1[[#This Row],[Billing City]], ", ", Table1[[#This Row],[Billing State/Province]], ", ", Table1[[#This Row],[Billing Zip/Postal Code]])</f>
        <v>830 Phillips Rd, Victor, NY, 14564</v>
      </c>
    </row>
    <row r="906" spans="1:13" ht="15.6" hidden="1" x14ac:dyDescent="0.3">
      <c r="A906" s="1" t="s">
        <v>3097</v>
      </c>
      <c r="B906" s="1"/>
      <c r="C906" s="1"/>
      <c r="D906" s="1"/>
      <c r="E906" s="1"/>
      <c r="F906" s="1"/>
      <c r="G906" s="1" t="s">
        <v>43</v>
      </c>
      <c r="H906" s="2">
        <v>5776</v>
      </c>
      <c r="I906" s="1" t="s">
        <v>3098</v>
      </c>
      <c r="J906" s="1" t="s">
        <v>3099</v>
      </c>
      <c r="K906" s="1" t="s">
        <v>781</v>
      </c>
      <c r="L906" s="1" t="s">
        <v>3100</v>
      </c>
      <c r="M906" s="6" t="str">
        <f>_xlfn.CONCAT(Table1[[#This Row],[Billing Street]], ", ", Table1[[#This Row],[Billing City]], ", ", Table1[[#This Row],[Billing State/Province]], ", ", Table1[[#This Row],[Billing Zip/Postal Code]])</f>
        <v>235 sweet spring rd, glenmoore, pa, 19343</v>
      </c>
    </row>
    <row r="907" spans="1:13" ht="15.6" hidden="1" x14ac:dyDescent="0.3">
      <c r="A907" s="1" t="s">
        <v>3101</v>
      </c>
      <c r="B907" s="1"/>
      <c r="C907" s="1"/>
      <c r="D907" s="1"/>
      <c r="E907" s="1"/>
      <c r="F907" s="1"/>
      <c r="G907" s="1" t="s">
        <v>43</v>
      </c>
      <c r="H907" s="2">
        <v>11103</v>
      </c>
      <c r="I907" s="1" t="s">
        <v>3102</v>
      </c>
      <c r="J907" s="1" t="s">
        <v>3103</v>
      </c>
      <c r="K907" s="1" t="s">
        <v>3104</v>
      </c>
      <c r="L907" s="1" t="s">
        <v>3105</v>
      </c>
      <c r="M907" s="6" t="str">
        <f>_xlfn.CONCAT(Table1[[#This Row],[Billing Street]], ", ", Table1[[#This Row],[Billing City]], ", ", Table1[[#This Row],[Billing State/Province]], ", ", Table1[[#This Row],[Billing Zip/Postal Code]])</f>
        <v>339 Washington Ave, North Haven, ct, 6473</v>
      </c>
    </row>
    <row r="908" spans="1:13" ht="15.6" hidden="1" x14ac:dyDescent="0.3">
      <c r="A908" s="1" t="s">
        <v>3106</v>
      </c>
      <c r="B908" s="1"/>
      <c r="C908" s="1"/>
      <c r="D908" s="1"/>
      <c r="E908" s="1"/>
      <c r="F908" s="1"/>
      <c r="G908" s="1" t="s">
        <v>43</v>
      </c>
      <c r="H908" s="2">
        <v>287</v>
      </c>
      <c r="I908" s="1" t="s">
        <v>3107</v>
      </c>
      <c r="J908" s="1" t="s">
        <v>675</v>
      </c>
      <c r="K908" s="1" t="s">
        <v>275</v>
      </c>
      <c r="L908" s="1" t="s">
        <v>676</v>
      </c>
      <c r="M908" s="6" t="str">
        <f>_xlfn.CONCAT(Table1[[#This Row],[Billing Street]], ", ", Table1[[#This Row],[Billing City]], ", ", Table1[[#This Row],[Billing State/Province]], ", ", Table1[[#This Row],[Billing Zip/Postal Code]])</f>
        <v>429 Commerce Rd, Vestal, ny, 13850</v>
      </c>
    </row>
    <row r="909" spans="1:13" ht="15.6" hidden="1" x14ac:dyDescent="0.3">
      <c r="A909" s="1" t="s">
        <v>3108</v>
      </c>
      <c r="B909" s="1"/>
      <c r="C909" s="1"/>
      <c r="D909" s="1"/>
      <c r="E909" s="1"/>
      <c r="F909" s="1"/>
      <c r="G909" s="1" t="s">
        <v>8</v>
      </c>
      <c r="H909" s="2">
        <v>165</v>
      </c>
      <c r="I909" s="1" t="s">
        <v>3109</v>
      </c>
      <c r="J909" s="1" t="s">
        <v>3110</v>
      </c>
      <c r="K909" s="1" t="s">
        <v>554</v>
      </c>
      <c r="L909" s="1" t="s">
        <v>3111</v>
      </c>
      <c r="M909" s="6" t="str">
        <f>_xlfn.CONCAT(Table1[[#This Row],[Billing Street]], ", ", Table1[[#This Row],[Billing City]], ", ", Table1[[#This Row],[Billing State/Province]], ", ", Table1[[#This Row],[Billing Zip/Postal Code]])</f>
        <v>300 W Ash St, Salina, KS, 67401</v>
      </c>
    </row>
    <row r="910" spans="1:13" ht="15.6" hidden="1" x14ac:dyDescent="0.3">
      <c r="A910" s="1" t="s">
        <v>3112</v>
      </c>
      <c r="B910" s="1"/>
      <c r="C910" s="1"/>
      <c r="D910" s="1"/>
      <c r="E910" s="1"/>
      <c r="F910" s="1"/>
      <c r="G910" s="1" t="s">
        <v>43</v>
      </c>
      <c r="H910" s="2">
        <v>348</v>
      </c>
      <c r="I910" s="1" t="s">
        <v>3113</v>
      </c>
      <c r="J910" s="1" t="s">
        <v>3114</v>
      </c>
      <c r="K910" s="1" t="s">
        <v>275</v>
      </c>
      <c r="L910" s="1" t="s">
        <v>3115</v>
      </c>
      <c r="M910" s="6" t="str">
        <f>_xlfn.CONCAT(Table1[[#This Row],[Billing Street]], ", ", Table1[[#This Row],[Billing City]], ", ", Table1[[#This Row],[Billing State/Province]], ", ", Table1[[#This Row],[Billing Zip/Postal Code]])</f>
        <v>43530 interstate 81, Alexandria Bay, ny, 13607</v>
      </c>
    </row>
    <row r="911" spans="1:13" ht="15.6" hidden="1" x14ac:dyDescent="0.3">
      <c r="A911" s="1" t="s">
        <v>3116</v>
      </c>
      <c r="B911" s="1"/>
      <c r="C911" s="1"/>
      <c r="D911" s="1"/>
      <c r="E911" s="1"/>
      <c r="F911" s="1"/>
      <c r="G911" s="1" t="s">
        <v>43</v>
      </c>
      <c r="H911" s="2">
        <v>5776</v>
      </c>
      <c r="I911" s="1" t="s">
        <v>3117</v>
      </c>
      <c r="J911" s="1" t="s">
        <v>3118</v>
      </c>
      <c r="K911" s="1" t="s">
        <v>586</v>
      </c>
      <c r="L911" s="1" t="s">
        <v>3119</v>
      </c>
      <c r="M911" s="6" t="str">
        <f>_xlfn.CONCAT(Table1[[#This Row],[Billing Street]], ", ", Table1[[#This Row],[Billing City]], ", ", Table1[[#This Row],[Billing State/Province]], ", ", Table1[[#This Row],[Billing Zip/Postal Code]])</f>
        <v>10 cook St, Billerica, ma, 1821</v>
      </c>
    </row>
    <row r="912" spans="1:13" ht="15.6" hidden="1" x14ac:dyDescent="0.3">
      <c r="A912" s="1" t="s">
        <v>3120</v>
      </c>
      <c r="B912" s="1"/>
      <c r="C912" s="1"/>
      <c r="D912" s="1"/>
      <c r="E912" s="1"/>
      <c r="F912" s="1"/>
      <c r="G912" s="1" t="s">
        <v>43</v>
      </c>
      <c r="H912" s="2">
        <v>263</v>
      </c>
      <c r="I912" s="1" t="s">
        <v>3121</v>
      </c>
      <c r="J912" s="1" t="s">
        <v>3122</v>
      </c>
      <c r="K912" s="1" t="s">
        <v>1115</v>
      </c>
      <c r="L912" s="1" t="s">
        <v>3123</v>
      </c>
      <c r="M912" s="6" t="str">
        <f>_xlfn.CONCAT(Table1[[#This Row],[Billing Street]], ", ", Table1[[#This Row],[Billing City]], ", ", Table1[[#This Row],[Billing State/Province]], ", ", Table1[[#This Row],[Billing Zip/Postal Code]])</f>
        <v>567 N. Charlotte Ave., Waynesboro, VA, 22980</v>
      </c>
    </row>
    <row r="913" spans="1:13" ht="15.6" hidden="1" x14ac:dyDescent="0.3">
      <c r="A913" s="1" t="s">
        <v>3124</v>
      </c>
      <c r="B913" s="1"/>
      <c r="C913" s="1"/>
      <c r="D913" s="1"/>
      <c r="E913" s="1"/>
      <c r="F913" s="1"/>
      <c r="G913" s="1" t="s">
        <v>43</v>
      </c>
      <c r="H913" s="2">
        <v>345</v>
      </c>
      <c r="I913" s="1" t="s">
        <v>3125</v>
      </c>
      <c r="J913" s="1" t="s">
        <v>3126</v>
      </c>
      <c r="K913" s="1" t="s">
        <v>3127</v>
      </c>
      <c r="L913" s="1" t="s">
        <v>3128</v>
      </c>
      <c r="M913" s="6" t="str">
        <f>_xlfn.CONCAT(Table1[[#This Row],[Billing Street]], ", ", Table1[[#This Row],[Billing City]], ", ", Table1[[#This Row],[Billing State/Province]], ", ", Table1[[#This Row],[Billing Zip/Postal Code]])</f>
        <v>860 buttner Place, Dover, De, 19904</v>
      </c>
    </row>
    <row r="914" spans="1:13" ht="15.6" hidden="1" x14ac:dyDescent="0.3">
      <c r="A914" s="1" t="s">
        <v>3129</v>
      </c>
      <c r="B914" s="1"/>
      <c r="C914" s="1"/>
      <c r="D914" s="1"/>
      <c r="E914" s="1"/>
      <c r="F914" s="1"/>
      <c r="G914" s="1" t="s">
        <v>43</v>
      </c>
      <c r="H914" s="2">
        <v>5776</v>
      </c>
      <c r="I914" s="1" t="s">
        <v>3130</v>
      </c>
      <c r="J914" s="1" t="s">
        <v>3131</v>
      </c>
      <c r="K914" s="1" t="s">
        <v>1475</v>
      </c>
      <c r="L914" s="1" t="s">
        <v>3132</v>
      </c>
      <c r="M914" s="6" t="str">
        <f>_xlfn.CONCAT(Table1[[#This Row],[Billing Street]], ", ", Table1[[#This Row],[Billing City]], ", ", Table1[[#This Row],[Billing State/Province]], ", ", Table1[[#This Row],[Billing Zip/Postal Code]])</f>
        <v>33 Central  St, woodville, nh, 3785</v>
      </c>
    </row>
    <row r="915" spans="1:13" ht="15.6" hidden="1" x14ac:dyDescent="0.3">
      <c r="A915" s="1" t="s">
        <v>3133</v>
      </c>
      <c r="B915" s="1"/>
      <c r="C915" s="1"/>
      <c r="D915" s="1"/>
      <c r="E915" s="1"/>
      <c r="F915" s="1"/>
      <c r="G915" s="1" t="s">
        <v>43</v>
      </c>
      <c r="H915" s="2">
        <v>116</v>
      </c>
      <c r="I915" s="1" t="s">
        <v>3134</v>
      </c>
      <c r="J915" s="1" t="s">
        <v>3135</v>
      </c>
      <c r="K915" s="1" t="s">
        <v>241</v>
      </c>
      <c r="L915" s="1" t="s">
        <v>3136</v>
      </c>
      <c r="M915" s="6" t="str">
        <f>_xlfn.CONCAT(Table1[[#This Row],[Billing Street]], ", ", Table1[[#This Row],[Billing City]], ", ", Table1[[#This Row],[Billing State/Province]], ", ", Table1[[#This Row],[Billing Zip/Postal Code]])</f>
        <v>320 E Main St, Youngsville, PA, 16371-0208</v>
      </c>
    </row>
    <row r="916" spans="1:13" ht="15.6" hidden="1" x14ac:dyDescent="0.3">
      <c r="A916" s="1" t="s">
        <v>3137</v>
      </c>
      <c r="B916" s="1"/>
      <c r="C916" s="1"/>
      <c r="D916" s="1"/>
      <c r="E916" s="1"/>
      <c r="F916" s="1"/>
      <c r="G916" s="1" t="s">
        <v>43</v>
      </c>
      <c r="H916" s="2">
        <v>5776</v>
      </c>
      <c r="I916" s="1" t="s">
        <v>3138</v>
      </c>
      <c r="J916" s="1" t="s">
        <v>3139</v>
      </c>
      <c r="K916" s="1" t="s">
        <v>781</v>
      </c>
      <c r="L916" s="1" t="s">
        <v>3140</v>
      </c>
      <c r="M916" s="6" t="str">
        <f>_xlfn.CONCAT(Table1[[#This Row],[Billing Street]], ", ", Table1[[#This Row],[Billing City]], ", ", Table1[[#This Row],[Billing State/Province]], ", ", Table1[[#This Row],[Billing Zip/Postal Code]])</f>
        <v>130 Commonwealth Dr, Warrendale, pa, 15086</v>
      </c>
    </row>
    <row r="917" spans="1:13" ht="15.6" hidden="1" x14ac:dyDescent="0.3">
      <c r="A917" s="1" t="s">
        <v>3141</v>
      </c>
      <c r="B917" s="1"/>
      <c r="C917" s="1"/>
      <c r="D917" s="1"/>
      <c r="E917" s="1"/>
      <c r="F917" s="1"/>
      <c r="G917" s="1" t="s">
        <v>8</v>
      </c>
      <c r="H917" s="2">
        <v>166</v>
      </c>
      <c r="I917" s="1" t="s">
        <v>3142</v>
      </c>
      <c r="J917" s="1" t="s">
        <v>3142</v>
      </c>
      <c r="K917" s="1" t="s">
        <v>554</v>
      </c>
      <c r="L917" s="1" t="s">
        <v>3143</v>
      </c>
      <c r="M917" s="6" t="str">
        <f>_xlfn.CONCAT(Table1[[#This Row],[Billing Street]], ", ", Table1[[#This Row],[Billing City]], ", ", Table1[[#This Row],[Billing State/Province]], ", ", Table1[[#This Row],[Billing Zip/Postal Code]])</f>
        <v>Riley, Riley, KS, 66531</v>
      </c>
    </row>
    <row r="918" spans="1:13" ht="15.6" hidden="1" x14ac:dyDescent="0.3">
      <c r="A918" s="1" t="s">
        <v>3144</v>
      </c>
      <c r="B918" s="1"/>
      <c r="C918" s="1"/>
      <c r="D918" s="1"/>
      <c r="E918" s="1"/>
      <c r="F918" s="1"/>
      <c r="G918" s="1" t="s">
        <v>43</v>
      </c>
      <c r="H918" s="2">
        <v>381</v>
      </c>
      <c r="I918" s="1" t="s">
        <v>3145</v>
      </c>
      <c r="J918" s="1" t="s">
        <v>3146</v>
      </c>
      <c r="K918" s="1" t="s">
        <v>720</v>
      </c>
      <c r="L918" s="1" t="s">
        <v>3147</v>
      </c>
      <c r="M918" s="6" t="str">
        <f>_xlfn.CONCAT(Table1[[#This Row],[Billing Street]], ", ", Table1[[#This Row],[Billing City]], ", ", Table1[[#This Row],[Billing State/Province]], ", ", Table1[[#This Row],[Billing Zip/Postal Code]])</f>
        <v>80 Park Plaza, 1-18K, Newark, NJ, 7102</v>
      </c>
    </row>
    <row r="919" spans="1:13" ht="15.6" hidden="1" x14ac:dyDescent="0.3">
      <c r="A919" s="1" t="s">
        <v>3148</v>
      </c>
      <c r="B919" s="1"/>
      <c r="C919" s="1"/>
      <c r="D919" s="1"/>
      <c r="E919" s="1"/>
      <c r="F919" s="1"/>
      <c r="G919" s="1" t="s">
        <v>8</v>
      </c>
      <c r="H919" s="2">
        <v>6528</v>
      </c>
      <c r="I919" s="1" t="s">
        <v>13</v>
      </c>
      <c r="J919" s="1" t="s">
        <v>13</v>
      </c>
      <c r="K919" s="1" t="s">
        <v>554</v>
      </c>
      <c r="L919" s="1" t="s">
        <v>13</v>
      </c>
      <c r="M919" s="6" t="str">
        <f>_xlfn.CONCAT(Table1[[#This Row],[Billing Street]], ", ", Table1[[#This Row],[Billing City]], ", ", Table1[[#This Row],[Billing State/Province]], ", ", Table1[[#This Row],[Billing Zip/Postal Code]])</f>
        <v xml:space="preserve">, , KS, </v>
      </c>
    </row>
    <row r="920" spans="1:13" ht="15.6" hidden="1" x14ac:dyDescent="0.3">
      <c r="A920" s="1" t="s">
        <v>3149</v>
      </c>
      <c r="B920" s="1"/>
      <c r="C920" s="1"/>
      <c r="D920" s="1"/>
      <c r="E920" s="1"/>
      <c r="F920" s="1"/>
      <c r="G920" s="1" t="s">
        <v>43</v>
      </c>
      <c r="H920" s="2">
        <v>345</v>
      </c>
      <c r="I920" s="1" t="s">
        <v>3150</v>
      </c>
      <c r="J920" s="1" t="s">
        <v>3151</v>
      </c>
      <c r="K920" s="1" t="s">
        <v>1191</v>
      </c>
      <c r="L920" s="1" t="s">
        <v>3152</v>
      </c>
      <c r="M920" s="6" t="str">
        <f>_xlfn.CONCAT(Table1[[#This Row],[Billing Street]], ", ", Table1[[#This Row],[Billing City]], ", ", Table1[[#This Row],[Billing State/Province]], ", ", Table1[[#This Row],[Billing Zip/Postal Code]])</f>
        <v>625 West Main St., Campbellsville, KY, 42718</v>
      </c>
    </row>
    <row r="921" spans="1:13" ht="15.6" hidden="1" x14ac:dyDescent="0.3">
      <c r="A921" s="1" t="s">
        <v>3153</v>
      </c>
      <c r="B921" s="1"/>
      <c r="C921" s="1"/>
      <c r="D921" s="1"/>
      <c r="E921" s="1"/>
      <c r="F921" s="1"/>
      <c r="G921" s="1" t="s">
        <v>43</v>
      </c>
      <c r="H921" s="2">
        <v>382</v>
      </c>
      <c r="I921" s="1" t="s">
        <v>3154</v>
      </c>
      <c r="J921" s="1" t="s">
        <v>3155</v>
      </c>
      <c r="K921" s="1" t="s">
        <v>152</v>
      </c>
      <c r="L921" s="1" t="s">
        <v>3156</v>
      </c>
      <c r="M921" s="6" t="str">
        <f>_xlfn.CONCAT(Table1[[#This Row],[Billing Street]], ", ", Table1[[#This Row],[Billing City]], ", ", Table1[[#This Row],[Billing State/Province]], ", ", Table1[[#This Row],[Billing Zip/Postal Code]])</f>
        <v>115 Cumberland St., Greenup, IL, 62428</v>
      </c>
    </row>
    <row r="922" spans="1:13" ht="15.6" x14ac:dyDescent="0.3">
      <c r="A922" s="1" t="s">
        <v>3157</v>
      </c>
      <c r="B922" s="1"/>
      <c r="C922" s="1"/>
      <c r="D922" s="1"/>
      <c r="E922" s="1"/>
      <c r="F922" s="1"/>
      <c r="G922" s="1" t="s">
        <v>24</v>
      </c>
      <c r="H922" s="2">
        <v>222</v>
      </c>
      <c r="I922" s="1" t="s">
        <v>3158</v>
      </c>
      <c r="J922" s="1" t="s">
        <v>3159</v>
      </c>
      <c r="K922" s="1" t="s">
        <v>36</v>
      </c>
      <c r="L922" s="1" t="s">
        <v>13</v>
      </c>
      <c r="M922" s="6" t="str">
        <f>_xlfn.CONCAT(Table1[[#This Row],[Billing Street]], ", ", Table1[[#This Row],[Billing City]], ", ", Table1[[#This Row],[Billing State/Province]], ", ", Table1[[#This Row],[Billing Zip/Postal Code]])</f>
        <v xml:space="preserve">120 NW 260th Street, Newberry, FL, </v>
      </c>
    </row>
    <row r="923" spans="1:13" ht="15.6" hidden="1" x14ac:dyDescent="0.3">
      <c r="A923" s="1" t="s">
        <v>3160</v>
      </c>
      <c r="B923" s="1"/>
      <c r="C923" s="1"/>
      <c r="D923" s="1"/>
      <c r="E923" s="1"/>
      <c r="F923" s="1"/>
      <c r="G923" s="1" t="s">
        <v>8</v>
      </c>
      <c r="H923" s="2">
        <v>399</v>
      </c>
      <c r="I923" s="1" t="s">
        <v>3161</v>
      </c>
      <c r="J923" s="1" t="s">
        <v>3162</v>
      </c>
      <c r="K923" s="1" t="s">
        <v>152</v>
      </c>
      <c r="L923" s="1" t="s">
        <v>3163</v>
      </c>
      <c r="M923" s="6" t="str">
        <f>_xlfn.CONCAT(Table1[[#This Row],[Billing Street]], ", ", Table1[[#This Row],[Billing City]], ", ", Table1[[#This Row],[Billing State/Province]], ", ", Table1[[#This Row],[Billing Zip/Postal Code]])</f>
        <v>202 N. 2nd St., Altamont, IL, 62411</v>
      </c>
    </row>
    <row r="924" spans="1:13" ht="15.6" hidden="1" x14ac:dyDescent="0.3">
      <c r="A924" s="1" t="s">
        <v>3164</v>
      </c>
      <c r="B924" s="1"/>
      <c r="C924" s="1"/>
      <c r="D924" s="1"/>
      <c r="E924" s="1"/>
      <c r="F924" s="1"/>
      <c r="G924" s="1" t="s">
        <v>43</v>
      </c>
      <c r="H924" s="2">
        <v>432</v>
      </c>
      <c r="I924" s="1" t="s">
        <v>3165</v>
      </c>
      <c r="J924" s="1" t="s">
        <v>3166</v>
      </c>
      <c r="K924" s="1" t="s">
        <v>1191</v>
      </c>
      <c r="L924" s="1" t="s">
        <v>3167</v>
      </c>
      <c r="M924" s="6" t="str">
        <f>_xlfn.CONCAT(Table1[[#This Row],[Billing Street]], ", ", Table1[[#This Row],[Billing City]], ", ", Table1[[#This Row],[Billing State/Province]], ", ", Table1[[#This Row],[Billing Zip/Postal Code]])</f>
        <v>201 E. Main St., Providence, KY, 42450</v>
      </c>
    </row>
    <row r="925" spans="1:13" ht="15.6" hidden="1" x14ac:dyDescent="0.3">
      <c r="A925" s="1" t="s">
        <v>3168</v>
      </c>
      <c r="B925" s="1"/>
      <c r="C925" s="1"/>
      <c r="D925" s="1"/>
      <c r="E925" s="1"/>
      <c r="F925" s="1"/>
      <c r="G925" s="1" t="s">
        <v>43</v>
      </c>
      <c r="H925" s="2">
        <v>384</v>
      </c>
      <c r="I925" s="1" t="s">
        <v>3169</v>
      </c>
      <c r="J925" s="1" t="s">
        <v>3170</v>
      </c>
      <c r="K925" s="1" t="s">
        <v>1191</v>
      </c>
      <c r="L925" s="1" t="s">
        <v>3171</v>
      </c>
      <c r="M925" s="6" t="str">
        <f>_xlfn.CONCAT(Table1[[#This Row],[Billing Street]], ", ", Table1[[#This Row],[Billing City]], ", ", Table1[[#This Row],[Billing State/Province]], ", ", Table1[[#This Row],[Billing Zip/Postal Code]])</f>
        <v>100 Mallory Dr, Glasgow, KY, 42141</v>
      </c>
    </row>
    <row r="926" spans="1:13" ht="15.6" hidden="1" x14ac:dyDescent="0.3">
      <c r="A926" s="1" t="s">
        <v>3172</v>
      </c>
      <c r="B926" s="1"/>
      <c r="C926" s="1"/>
      <c r="D926" s="1"/>
      <c r="E926" s="1"/>
      <c r="F926" s="1"/>
      <c r="G926" s="1" t="s">
        <v>43</v>
      </c>
      <c r="H926" s="2">
        <v>323</v>
      </c>
      <c r="I926" s="1" t="s">
        <v>3173</v>
      </c>
      <c r="J926" s="1" t="s">
        <v>3174</v>
      </c>
      <c r="K926" s="1" t="s">
        <v>1191</v>
      </c>
      <c r="L926" s="1" t="s">
        <v>3175</v>
      </c>
      <c r="M926" s="6" t="str">
        <f>_xlfn.CONCAT(Table1[[#This Row],[Billing Street]], ", ", Table1[[#This Row],[Billing City]], ", ", Table1[[#This Row],[Billing State/Province]], ", ", Table1[[#This Row],[Billing Zip/Postal Code]])</f>
        <v>PO. BOX 368, 220 NORTH FIFTH STREET, BARDSTOWN, KY, 40004</v>
      </c>
    </row>
    <row r="927" spans="1:13" ht="15.6" hidden="1" x14ac:dyDescent="0.3">
      <c r="A927" s="1" t="s">
        <v>3176</v>
      </c>
      <c r="B927" s="1"/>
      <c r="C927" s="1"/>
      <c r="D927" s="1"/>
      <c r="E927" s="1"/>
      <c r="F927" s="1"/>
      <c r="G927" s="1" t="s">
        <v>43</v>
      </c>
      <c r="H927" s="2">
        <v>303</v>
      </c>
      <c r="I927" s="1" t="s">
        <v>3177</v>
      </c>
      <c r="J927" s="1" t="s">
        <v>3178</v>
      </c>
      <c r="K927" s="1" t="s">
        <v>1191</v>
      </c>
      <c r="L927" s="1" t="s">
        <v>3179</v>
      </c>
      <c r="M927" s="6" t="str">
        <f>_xlfn.CONCAT(Table1[[#This Row],[Billing Street]], ", ", Table1[[#This Row],[Billing City]], ", ", Table1[[#This Row],[Billing State/Province]], ", ", Table1[[#This Row],[Billing Zip/Postal Code]])</f>
        <v>115 Jackson Energy Lane, McKee, KY, 40447</v>
      </c>
    </row>
    <row r="928" spans="1:13" ht="15.6" x14ac:dyDescent="0.3">
      <c r="A928" s="1" t="s">
        <v>3180</v>
      </c>
      <c r="B928" s="1"/>
      <c r="C928" s="1"/>
      <c r="D928" s="1"/>
      <c r="E928" s="1"/>
      <c r="F928" s="1"/>
      <c r="G928" s="1" t="s">
        <v>24</v>
      </c>
      <c r="H928" s="2">
        <v>5988</v>
      </c>
      <c r="I928" s="1" t="s">
        <v>3181</v>
      </c>
      <c r="J928" s="1" t="s">
        <v>652</v>
      </c>
      <c r="K928" s="1" t="s">
        <v>26</v>
      </c>
      <c r="L928" s="1" t="s">
        <v>1732</v>
      </c>
      <c r="M928" s="6" t="str">
        <f>_xlfn.CONCAT(Table1[[#This Row],[Billing Street]], ", ", Table1[[#This Row],[Billing City]], ", ", Table1[[#This Row],[Billing State/Province]], ", ", Table1[[#This Row],[Billing Zip/Postal Code]])</f>
        <v>1350 Columbia Hwy, Dothan, AL 36301, Dothan, AL, 36301</v>
      </c>
    </row>
    <row r="929" spans="1:13" ht="15.6" x14ac:dyDescent="0.3">
      <c r="A929" s="1" t="s">
        <v>3182</v>
      </c>
      <c r="B929" s="1"/>
      <c r="C929" s="1"/>
      <c r="D929" s="1"/>
      <c r="E929" s="1"/>
      <c r="F929" s="1"/>
      <c r="G929" s="1" t="s">
        <v>24</v>
      </c>
      <c r="H929" s="2">
        <v>5988</v>
      </c>
      <c r="I929" s="1" t="s">
        <v>3183</v>
      </c>
      <c r="J929" s="1" t="s">
        <v>3184</v>
      </c>
      <c r="K929" s="1" t="s">
        <v>26</v>
      </c>
      <c r="L929" s="1" t="s">
        <v>3185</v>
      </c>
      <c r="M929" s="6" t="str">
        <f>_xlfn.CONCAT(Table1[[#This Row],[Billing Street]], ", ", Table1[[#This Row],[Billing City]], ", ", Table1[[#This Row],[Billing State/Province]], ", ", Table1[[#This Row],[Billing Zip/Postal Code]])</f>
        <v>310 Hamric Dr West, Oxford, AL, 36203</v>
      </c>
    </row>
    <row r="930" spans="1:13" ht="15.6" hidden="1" x14ac:dyDescent="0.3">
      <c r="A930" s="1" t="s">
        <v>3186</v>
      </c>
      <c r="B930" s="1"/>
      <c r="C930" s="1"/>
      <c r="D930" s="1"/>
      <c r="E930" s="1"/>
      <c r="F930" s="1"/>
      <c r="G930" s="1" t="s">
        <v>8</v>
      </c>
      <c r="H930" s="2">
        <v>301</v>
      </c>
      <c r="I930" s="1" t="s">
        <v>3187</v>
      </c>
      <c r="J930" s="1" t="s">
        <v>1309</v>
      </c>
      <c r="K930" s="1" t="s">
        <v>3188</v>
      </c>
      <c r="L930" s="1" t="s">
        <v>905</v>
      </c>
      <c r="M930" s="6" t="str">
        <f>_xlfn.CONCAT(Table1[[#This Row],[Billing Street]], ", ", Table1[[#This Row],[Billing City]], ", ", Table1[[#This Row],[Billing State/Province]], ", ", Table1[[#This Row],[Billing Zip/Postal Code]])</f>
        <v>1666 Fabick Dr, St. Louis, mo, 63026</v>
      </c>
    </row>
    <row r="931" spans="1:13" ht="15.6" hidden="1" x14ac:dyDescent="0.3">
      <c r="A931" s="1" t="s">
        <v>3189</v>
      </c>
      <c r="B931" s="1"/>
      <c r="C931" s="1"/>
      <c r="D931" s="1"/>
      <c r="E931" s="1"/>
      <c r="F931" s="1"/>
      <c r="G931" s="1" t="s">
        <v>43</v>
      </c>
      <c r="H931" s="2">
        <v>5776</v>
      </c>
      <c r="I931" s="1" t="s">
        <v>13</v>
      </c>
      <c r="J931" s="1" t="s">
        <v>13</v>
      </c>
      <c r="K931" s="1" t="s">
        <v>45</v>
      </c>
      <c r="L931" s="1" t="s">
        <v>13</v>
      </c>
      <c r="M931" s="6" t="str">
        <f>_xlfn.CONCAT(Table1[[#This Row],[Billing Street]], ", ", Table1[[#This Row],[Billing City]], ", ", Table1[[#This Row],[Billing State/Province]], ", ", Table1[[#This Row],[Billing Zip/Postal Code]])</f>
        <v xml:space="preserve">, , OH, </v>
      </c>
    </row>
    <row r="932" spans="1:13" ht="15.6" hidden="1" x14ac:dyDescent="0.3">
      <c r="A932" s="1" t="s">
        <v>3190</v>
      </c>
      <c r="B932" s="1"/>
      <c r="C932" s="1"/>
      <c r="D932" s="1"/>
      <c r="E932" s="1"/>
      <c r="F932" s="1"/>
      <c r="G932" s="1" t="s">
        <v>43</v>
      </c>
      <c r="H932" s="2">
        <v>162</v>
      </c>
      <c r="I932" s="1" t="s">
        <v>3191</v>
      </c>
      <c r="J932" s="1" t="s">
        <v>3192</v>
      </c>
      <c r="K932" s="1" t="s">
        <v>45</v>
      </c>
      <c r="L932" s="1" t="s">
        <v>3193</v>
      </c>
      <c r="M932" s="6" t="str">
        <f>_xlfn.CONCAT(Table1[[#This Row],[Billing Street]], ", ", Table1[[#This Row],[Billing City]], ", ", Table1[[#This Row],[Billing State/Province]], ", ", Table1[[#This Row],[Billing Zip/Postal Code]])</f>
        <v>1100 East Spring Street, St Mary's, OH, 45885</v>
      </c>
    </row>
    <row r="933" spans="1:13" ht="15.6" hidden="1" x14ac:dyDescent="0.3">
      <c r="A933" s="1" t="s">
        <v>3194</v>
      </c>
      <c r="B933" s="1"/>
      <c r="C933" s="1"/>
      <c r="D933" s="1"/>
      <c r="E933" s="1"/>
      <c r="F933" s="1"/>
      <c r="G933" s="1" t="s">
        <v>43</v>
      </c>
      <c r="H933" s="2">
        <v>25</v>
      </c>
      <c r="I933" s="1" t="s">
        <v>3195</v>
      </c>
      <c r="J933" s="1" t="s">
        <v>3196</v>
      </c>
      <c r="K933" s="1" t="s">
        <v>45</v>
      </c>
      <c r="L933" s="1" t="s">
        <v>3197</v>
      </c>
      <c r="M933" s="6" t="str">
        <f>_xlfn.CONCAT(Table1[[#This Row],[Billing Street]], ", ", Table1[[#This Row],[Billing City]], ", ", Table1[[#This Row],[Billing State/Province]], ", ", Table1[[#This Row],[Billing Zip/Postal Code]])</f>
        <v>365 Broad Street, Wadsworth, OH, 44281</v>
      </c>
    </row>
    <row r="934" spans="1:13" ht="15.6" hidden="1" x14ac:dyDescent="0.3">
      <c r="A934" s="1" t="s">
        <v>3198</v>
      </c>
      <c r="B934" s="1"/>
      <c r="C934" s="1"/>
      <c r="D934" s="1"/>
      <c r="E934" s="1"/>
      <c r="F934" s="1"/>
      <c r="G934" s="1" t="s">
        <v>43</v>
      </c>
      <c r="H934" s="2">
        <v>57</v>
      </c>
      <c r="I934" s="1" t="s">
        <v>3199</v>
      </c>
      <c r="J934" s="1" t="s">
        <v>3200</v>
      </c>
      <c r="K934" s="1" t="s">
        <v>45</v>
      </c>
      <c r="L934" s="1" t="s">
        <v>3201</v>
      </c>
      <c r="M934" s="6" t="str">
        <f>_xlfn.CONCAT(Table1[[#This Row],[Billing Street]], ", ", Table1[[#This Row],[Billing City]], ", ", Table1[[#This Row],[Billing State/Province]], ", ", Table1[[#This Row],[Billing Zip/Postal Code]])</f>
        <v>6060 State Route 83, Millersburg, OH, 44654</v>
      </c>
    </row>
    <row r="935" spans="1:13" ht="15.6" hidden="1" x14ac:dyDescent="0.3">
      <c r="A935" s="1" t="s">
        <v>3202</v>
      </c>
      <c r="B935" s="1"/>
      <c r="C935" s="1"/>
      <c r="D935" s="1"/>
      <c r="E935" s="1"/>
      <c r="F935" s="1"/>
      <c r="G935" s="1" t="s">
        <v>43</v>
      </c>
      <c r="H935" s="2">
        <v>5776</v>
      </c>
      <c r="I935" s="1" t="s">
        <v>13</v>
      </c>
      <c r="J935" s="1" t="s">
        <v>13</v>
      </c>
      <c r="K935" s="1" t="s">
        <v>45</v>
      </c>
      <c r="L935" s="1" t="s">
        <v>13</v>
      </c>
      <c r="M935" s="6" t="str">
        <f>_xlfn.CONCAT(Table1[[#This Row],[Billing Street]], ", ", Table1[[#This Row],[Billing City]], ", ", Table1[[#This Row],[Billing State/Province]], ", ", Table1[[#This Row],[Billing Zip/Postal Code]])</f>
        <v xml:space="preserve">, , OH, </v>
      </c>
    </row>
    <row r="936" spans="1:13" ht="15.6" hidden="1" x14ac:dyDescent="0.3">
      <c r="A936" s="1" t="s">
        <v>3203</v>
      </c>
      <c r="B936" s="1"/>
      <c r="C936" s="1"/>
      <c r="D936" s="1"/>
      <c r="E936" s="1"/>
      <c r="F936" s="1"/>
      <c r="G936" s="1" t="s">
        <v>8</v>
      </c>
      <c r="H936" s="2">
        <v>359</v>
      </c>
      <c r="I936" s="1" t="s">
        <v>3204</v>
      </c>
      <c r="J936" s="1" t="s">
        <v>3205</v>
      </c>
      <c r="K936" s="1" t="s">
        <v>21</v>
      </c>
      <c r="L936" s="1" t="s">
        <v>3206</v>
      </c>
      <c r="M936" s="6" t="str">
        <f>_xlfn.CONCAT(Table1[[#This Row],[Billing Street]], ", ", Table1[[#This Row],[Billing City]], ", ", Table1[[#This Row],[Billing State/Province]], ", ", Table1[[#This Row],[Billing Zip/Postal Code]])</f>
        <v>1284 Xe Pl, Ames, IA, 50014</v>
      </c>
    </row>
    <row r="937" spans="1:13" ht="15.6" hidden="1" x14ac:dyDescent="0.3">
      <c r="A937" s="1" t="s">
        <v>3207</v>
      </c>
      <c r="B937" s="1"/>
      <c r="C937" s="1"/>
      <c r="D937" s="1"/>
      <c r="E937" s="1"/>
      <c r="F937" s="1"/>
      <c r="G937" s="1" t="s">
        <v>8</v>
      </c>
      <c r="H937" s="2">
        <v>342</v>
      </c>
      <c r="I937" s="1" t="s">
        <v>3208</v>
      </c>
      <c r="J937" s="1" t="s">
        <v>3209</v>
      </c>
      <c r="K937" s="1" t="s">
        <v>21</v>
      </c>
      <c r="L937" s="1" t="s">
        <v>3210</v>
      </c>
      <c r="M937" s="6" t="str">
        <f>_xlfn.CONCAT(Table1[[#This Row],[Billing Street]], ", ", Table1[[#This Row],[Billing City]], ", ", Table1[[#This Row],[Billing State/Province]], ", ", Table1[[#This Row],[Billing Zip/Postal Code]])</f>
        <v>41.8370567, -94.1087265, Perry, IA, 50220</v>
      </c>
    </row>
    <row r="938" spans="1:13" ht="15.6" hidden="1" x14ac:dyDescent="0.3">
      <c r="A938" s="1" t="s">
        <v>3211</v>
      </c>
      <c r="B938" s="1"/>
      <c r="C938" s="1"/>
      <c r="D938" s="1"/>
      <c r="E938" s="1"/>
      <c r="F938" s="1"/>
      <c r="G938" s="1" t="s">
        <v>43</v>
      </c>
      <c r="H938" s="2">
        <v>5776</v>
      </c>
      <c r="I938" s="1" t="s">
        <v>13</v>
      </c>
      <c r="J938" s="1" t="s">
        <v>13</v>
      </c>
      <c r="K938" s="1" t="s">
        <v>45</v>
      </c>
      <c r="L938" s="1" t="s">
        <v>13</v>
      </c>
      <c r="M938" s="6" t="str">
        <f>_xlfn.CONCAT(Table1[[#This Row],[Billing Street]], ", ", Table1[[#This Row],[Billing City]], ", ", Table1[[#This Row],[Billing State/Province]], ", ", Table1[[#This Row],[Billing Zip/Postal Code]])</f>
        <v xml:space="preserve">, , OH, </v>
      </c>
    </row>
    <row r="939" spans="1:13" ht="15.6" hidden="1" x14ac:dyDescent="0.3">
      <c r="A939" s="1" t="s">
        <v>3212</v>
      </c>
      <c r="B939" s="1"/>
      <c r="C939" s="1"/>
      <c r="D939" s="1"/>
      <c r="E939" s="1"/>
      <c r="F939" s="1"/>
      <c r="G939" s="1" t="s">
        <v>8</v>
      </c>
      <c r="H939" s="2">
        <v>139</v>
      </c>
      <c r="I939" s="1" t="s">
        <v>3213</v>
      </c>
      <c r="J939" s="1" t="s">
        <v>1598</v>
      </c>
      <c r="K939" s="1" t="s">
        <v>554</v>
      </c>
      <c r="L939" s="1" t="s">
        <v>3214</v>
      </c>
      <c r="M939" s="6" t="str">
        <f>_xlfn.CONCAT(Table1[[#This Row],[Billing Street]], ", ", Table1[[#This Row],[Billing City]], ", ", Table1[[#This Row],[Billing State/Province]], ", ", Table1[[#This Row],[Billing Zip/Postal Code]])</f>
        <v>818 S Kansas Ave, Topeka, KS, Topeka, KS, 66612</v>
      </c>
    </row>
    <row r="940" spans="1:13" ht="15.6" hidden="1" x14ac:dyDescent="0.3">
      <c r="A940" s="1" t="s">
        <v>3215</v>
      </c>
      <c r="B940" s="1"/>
      <c r="C940" s="1"/>
      <c r="D940" s="1"/>
      <c r="E940" s="1"/>
      <c r="F940" s="1"/>
      <c r="G940" s="1" t="s">
        <v>43</v>
      </c>
      <c r="H940" s="2">
        <v>172</v>
      </c>
      <c r="I940" s="1" t="s">
        <v>3216</v>
      </c>
      <c r="J940" s="1" t="s">
        <v>3217</v>
      </c>
      <c r="K940" s="1" t="s">
        <v>45</v>
      </c>
      <c r="L940" s="1" t="s">
        <v>3218</v>
      </c>
      <c r="M940" s="6" t="str">
        <f>_xlfn.CONCAT(Table1[[#This Row],[Billing Street]], ", ", Table1[[#This Row],[Billing City]], ", ", Table1[[#This Row],[Billing State/Province]], ", ", Table1[[#This Row],[Billing Zip/Postal Code]])</f>
        <v>308 Portland, Celina, OH, 45822</v>
      </c>
    </row>
    <row r="941" spans="1:13" ht="15.6" hidden="1" x14ac:dyDescent="0.3">
      <c r="A941" s="1" t="s">
        <v>3219</v>
      </c>
      <c r="B941" s="1"/>
      <c r="C941" s="1"/>
      <c r="D941" s="1"/>
      <c r="E941" s="1"/>
      <c r="F941" s="1"/>
      <c r="G941" s="1" t="s">
        <v>8</v>
      </c>
      <c r="H941" s="2">
        <v>154</v>
      </c>
      <c r="I941" s="1" t="s">
        <v>3220</v>
      </c>
      <c r="J941" s="1" t="s">
        <v>896</v>
      </c>
      <c r="K941" s="1" t="s">
        <v>11</v>
      </c>
      <c r="L941" s="1" t="s">
        <v>3221</v>
      </c>
      <c r="M941" s="6" t="str">
        <f>_xlfn.CONCAT(Table1[[#This Row],[Billing Street]], ", ", Table1[[#This Row],[Billing City]], ", ", Table1[[#This Row],[Billing State/Province]], ", ", Table1[[#This Row],[Billing Zip/Postal Code]])</f>
        <v>1420 Woodweather Rd, Kansas City, MO, 64105</v>
      </c>
    </row>
    <row r="942" spans="1:13" ht="15.6" hidden="1" x14ac:dyDescent="0.3">
      <c r="A942" s="1" t="s">
        <v>3222</v>
      </c>
      <c r="B942" s="1"/>
      <c r="C942" s="1"/>
      <c r="D942" s="1"/>
      <c r="E942" s="1"/>
      <c r="F942" s="1"/>
      <c r="G942" s="1" t="s">
        <v>8</v>
      </c>
      <c r="H942" s="2">
        <v>6528</v>
      </c>
      <c r="I942" s="1" t="s">
        <v>13</v>
      </c>
      <c r="J942" s="1" t="s">
        <v>3223</v>
      </c>
      <c r="K942" s="1" t="s">
        <v>554</v>
      </c>
      <c r="L942" s="1" t="s">
        <v>13</v>
      </c>
      <c r="M942" s="6" t="str">
        <f>_xlfn.CONCAT(Table1[[#This Row],[Billing Street]], ", ", Table1[[#This Row],[Billing City]], ", ", Table1[[#This Row],[Billing State/Province]], ", ", Table1[[#This Row],[Billing Zip/Postal Code]])</f>
        <v xml:space="preserve">, Ft Riley, KS, </v>
      </c>
    </row>
    <row r="943" spans="1:13" ht="15.6" hidden="1" x14ac:dyDescent="0.3">
      <c r="A943" s="1" t="s">
        <v>3224</v>
      </c>
      <c r="B943" s="1"/>
      <c r="C943" s="1"/>
      <c r="D943" s="1"/>
      <c r="E943" s="1"/>
      <c r="F943" s="1"/>
      <c r="G943" s="1" t="s">
        <v>8</v>
      </c>
      <c r="H943" s="2">
        <v>116</v>
      </c>
      <c r="I943" s="1" t="s">
        <v>3225</v>
      </c>
      <c r="J943" s="1" t="s">
        <v>3224</v>
      </c>
      <c r="K943" s="1" t="s">
        <v>554</v>
      </c>
      <c r="L943" s="1" t="s">
        <v>3226</v>
      </c>
      <c r="M943" s="6" t="str">
        <f>_xlfn.CONCAT(Table1[[#This Row],[Billing Street]], ", ", Table1[[#This Row],[Billing City]], ", ", Table1[[#This Row],[Billing State/Province]], ", ", Table1[[#This Row],[Billing Zip/Postal Code]])</f>
        <v>118 N Main, Goddard, KS, 67052</v>
      </c>
    </row>
    <row r="944" spans="1:13" ht="15.6" hidden="1" x14ac:dyDescent="0.3">
      <c r="A944" s="1" t="s">
        <v>3227</v>
      </c>
      <c r="B944" s="1"/>
      <c r="C944" s="1"/>
      <c r="D944" s="1"/>
      <c r="E944" s="1"/>
      <c r="F944" s="1"/>
      <c r="G944" s="1" t="s">
        <v>8</v>
      </c>
      <c r="H944" s="2">
        <v>195</v>
      </c>
      <c r="I944" s="1" t="s">
        <v>3228</v>
      </c>
      <c r="J944" s="1" t="s">
        <v>3227</v>
      </c>
      <c r="K944" s="1" t="s">
        <v>554</v>
      </c>
      <c r="L944" s="1" t="s">
        <v>3229</v>
      </c>
      <c r="M944" s="6" t="str">
        <f>_xlfn.CONCAT(Table1[[#This Row],[Billing Street]], ", ", Table1[[#This Row],[Billing City]], ", ", Table1[[#This Row],[Billing State/Province]], ", ", Table1[[#This Row],[Billing Zip/Postal Code]])</f>
        <v>1209 Williams, Great Bend, KS, 67530</v>
      </c>
    </row>
    <row r="945" spans="1:13" ht="15.6" hidden="1" x14ac:dyDescent="0.3">
      <c r="A945" s="1" t="s">
        <v>3230</v>
      </c>
      <c r="B945" s="1"/>
      <c r="C945" s="1"/>
      <c r="D945" s="1"/>
      <c r="E945" s="1"/>
      <c r="F945" s="1"/>
      <c r="G945" s="1" t="s">
        <v>8</v>
      </c>
      <c r="H945" s="2">
        <v>135</v>
      </c>
      <c r="I945" s="1" t="s">
        <v>3231</v>
      </c>
      <c r="J945" s="1" t="s">
        <v>3230</v>
      </c>
      <c r="K945" s="1" t="s">
        <v>554</v>
      </c>
      <c r="L945" s="1" t="s">
        <v>3232</v>
      </c>
      <c r="M945" s="6" t="str">
        <f>_xlfn.CONCAT(Table1[[#This Row],[Billing Street]], ", ", Table1[[#This Row],[Billing City]], ", ", Table1[[#This Row],[Billing State/Province]], ", ", Table1[[#This Row],[Billing Zip/Postal Code]])</f>
        <v>521 Main St, Alta Vista, KS, 66834</v>
      </c>
    </row>
    <row r="946" spans="1:13" ht="15.6" hidden="1" x14ac:dyDescent="0.3">
      <c r="A946" s="1" t="s">
        <v>3233</v>
      </c>
      <c r="B946" s="1"/>
      <c r="C946" s="1"/>
      <c r="D946" s="1"/>
      <c r="E946" s="1"/>
      <c r="F946" s="1"/>
      <c r="G946" s="1" t="s">
        <v>8</v>
      </c>
      <c r="H946" s="2">
        <v>78</v>
      </c>
      <c r="I946" s="1" t="s">
        <v>3234</v>
      </c>
      <c r="J946" s="1" t="s">
        <v>3233</v>
      </c>
      <c r="K946" s="1" t="s">
        <v>554</v>
      </c>
      <c r="L946" s="1" t="s">
        <v>3235</v>
      </c>
      <c r="M946" s="6" t="str">
        <f>_xlfn.CONCAT(Table1[[#This Row],[Billing Street]], ", ", Table1[[#This Row],[Billing City]], ", ", Table1[[#This Row],[Billing State/Province]], ", ", Table1[[#This Row],[Billing Zip/Postal Code]])</f>
        <v>118 W Central, Arkansas City, KS, 67005</v>
      </c>
    </row>
    <row r="947" spans="1:13" ht="15.6" hidden="1" x14ac:dyDescent="0.3">
      <c r="A947" s="1" t="s">
        <v>1689</v>
      </c>
      <c r="B947" s="1"/>
      <c r="C947" s="1"/>
      <c r="D947" s="1"/>
      <c r="E947" s="1"/>
      <c r="F947" s="1"/>
      <c r="G947" s="1" t="s">
        <v>8</v>
      </c>
      <c r="H947" s="2">
        <v>153</v>
      </c>
      <c r="I947" s="1" t="s">
        <v>3236</v>
      </c>
      <c r="J947" s="1" t="s">
        <v>1689</v>
      </c>
      <c r="K947" s="1" t="s">
        <v>554</v>
      </c>
      <c r="L947" s="1" t="s">
        <v>3237</v>
      </c>
      <c r="M947" s="6" t="str">
        <f>_xlfn.CONCAT(Table1[[#This Row],[Billing Street]], ", ", Table1[[#This Row],[Billing City]], ", ", Table1[[#This Row],[Billing State/Province]], ", ", Table1[[#This Row],[Billing Zip/Postal Code]])</f>
        <v>900 W Main, Arlington, KS, 67514</v>
      </c>
    </row>
    <row r="948" spans="1:13" ht="15.6" hidden="1" x14ac:dyDescent="0.3">
      <c r="A948" s="1" t="s">
        <v>3238</v>
      </c>
      <c r="B948" s="1"/>
      <c r="C948" s="1"/>
      <c r="D948" s="1"/>
      <c r="E948" s="1"/>
      <c r="F948" s="1"/>
      <c r="G948" s="1" t="s">
        <v>8</v>
      </c>
      <c r="H948" s="2">
        <v>132</v>
      </c>
      <c r="I948" s="1" t="s">
        <v>3239</v>
      </c>
      <c r="J948" s="1" t="s">
        <v>3240</v>
      </c>
      <c r="K948" s="1" t="s">
        <v>554</v>
      </c>
      <c r="L948" s="1" t="s">
        <v>3241</v>
      </c>
      <c r="M948" s="6" t="str">
        <f>_xlfn.CONCAT(Table1[[#This Row],[Billing Street]], ", ", Table1[[#This Row],[Billing City]], ", ", Table1[[#This Row],[Billing State/Province]], ", ", Table1[[#This Row],[Billing Zip/Postal Code]])</f>
        <v>203 N Burrton, Burrton, KS, 67020</v>
      </c>
    </row>
    <row r="949" spans="1:13" ht="15.6" hidden="1" x14ac:dyDescent="0.3">
      <c r="A949" s="1" t="s">
        <v>3242</v>
      </c>
      <c r="B949" s="1"/>
      <c r="C949" s="1"/>
      <c r="D949" s="1"/>
      <c r="E949" s="1"/>
      <c r="F949" s="1"/>
      <c r="G949" s="1" t="s">
        <v>43</v>
      </c>
      <c r="H949" s="2">
        <v>160</v>
      </c>
      <c r="I949" s="1" t="s">
        <v>3243</v>
      </c>
      <c r="J949" s="1" t="s">
        <v>3244</v>
      </c>
      <c r="K949" s="1" t="s">
        <v>45</v>
      </c>
      <c r="L949" s="1" t="s">
        <v>3193</v>
      </c>
      <c r="M949" s="6" t="str">
        <f>_xlfn.CONCAT(Table1[[#This Row],[Billing Street]], ", ", Table1[[#This Row],[Billing City]], ", ", Table1[[#This Row],[Billing State/Province]], ", ", Table1[[#This Row],[Billing Zip/Postal Code]])</f>
        <v>06029 County Road 33A, St. Mary's, OH, 45885</v>
      </c>
    </row>
    <row r="950" spans="1:13" ht="15.6" hidden="1" x14ac:dyDescent="0.3">
      <c r="A950" s="1" t="s">
        <v>3245</v>
      </c>
      <c r="B950" s="1"/>
      <c r="C950" s="1"/>
      <c r="D950" s="1"/>
      <c r="E950" s="1"/>
      <c r="F950" s="1"/>
      <c r="G950" s="1" t="s">
        <v>8</v>
      </c>
      <c r="H950" s="2">
        <v>6528</v>
      </c>
      <c r="I950" s="1" t="s">
        <v>3246</v>
      </c>
      <c r="J950" s="1" t="s">
        <v>197</v>
      </c>
      <c r="K950" s="1" t="s">
        <v>554</v>
      </c>
      <c r="L950" s="1" t="s">
        <v>3247</v>
      </c>
      <c r="M950" s="6" t="str">
        <f>_xlfn.CONCAT(Table1[[#This Row],[Billing Street]], ", ", Table1[[#This Row],[Billing City]], ", ", Table1[[#This Row],[Billing State/Province]], ", ", Table1[[#This Row],[Billing Zip/Postal Code]])</f>
        <v>161 Wh, Auburn, KS, 66492</v>
      </c>
    </row>
    <row r="951" spans="1:13" ht="15.6" hidden="1" x14ac:dyDescent="0.3">
      <c r="A951" s="1" t="s">
        <v>3248</v>
      </c>
      <c r="B951" s="1"/>
      <c r="C951" s="1"/>
      <c r="D951" s="1"/>
      <c r="E951" s="1"/>
      <c r="F951" s="1"/>
      <c r="G951" s="1" t="s">
        <v>8</v>
      </c>
      <c r="H951" s="2">
        <v>153</v>
      </c>
      <c r="I951" s="1" t="s">
        <v>3249</v>
      </c>
      <c r="J951" s="1" t="s">
        <v>3248</v>
      </c>
      <c r="K951" s="1" t="s">
        <v>554</v>
      </c>
      <c r="L951" s="1" t="s">
        <v>3250</v>
      </c>
      <c r="M951" s="6" t="str">
        <f>_xlfn.CONCAT(Table1[[#This Row],[Billing Street]], ", ", Table1[[#This Row],[Billing City]], ", ", Table1[[#This Row],[Billing State/Province]], ", ", Table1[[#This Row],[Billing Zip/Postal Code]])</f>
        <v>206 S Factory, Enterprise, KS, 67441</v>
      </c>
    </row>
    <row r="952" spans="1:13" ht="15.6" hidden="1" x14ac:dyDescent="0.3">
      <c r="A952" s="1" t="s">
        <v>3251</v>
      </c>
      <c r="B952" s="1"/>
      <c r="C952" s="1"/>
      <c r="D952" s="1"/>
      <c r="E952" s="1"/>
      <c r="F952" s="1"/>
      <c r="G952" s="1" t="s">
        <v>43</v>
      </c>
      <c r="H952" s="2">
        <v>31</v>
      </c>
      <c r="I952" s="1" t="s">
        <v>3252</v>
      </c>
      <c r="J952" s="1" t="s">
        <v>3253</v>
      </c>
      <c r="K952" s="1" t="s">
        <v>45</v>
      </c>
      <c r="L952" s="1" t="s">
        <v>3254</v>
      </c>
      <c r="M952" s="6" t="str">
        <f>_xlfn.CONCAT(Table1[[#This Row],[Billing Street]], ", ", Table1[[#This Row],[Billing City]], ", ", Table1[[#This Row],[Billing State/Province]], ", ", Table1[[#This Row],[Billing Zip/Postal Code]])</f>
        <v>4000 Mahoning Avenue, Warren, OH, 44483</v>
      </c>
    </row>
    <row r="953" spans="1:13" ht="15.6" hidden="1" x14ac:dyDescent="0.3">
      <c r="A953" s="1" t="s">
        <v>3255</v>
      </c>
      <c r="B953" s="1"/>
      <c r="C953" s="1"/>
      <c r="D953" s="1"/>
      <c r="E953" s="1"/>
      <c r="F953" s="1"/>
      <c r="G953" s="1" t="s">
        <v>8</v>
      </c>
      <c r="H953" s="2">
        <v>650</v>
      </c>
      <c r="I953" s="1" t="s">
        <v>3256</v>
      </c>
      <c r="J953" s="1" t="s">
        <v>3257</v>
      </c>
      <c r="K953" s="1" t="s">
        <v>128</v>
      </c>
      <c r="L953" s="1" t="s">
        <v>3258</v>
      </c>
      <c r="M953" s="6" t="str">
        <f>_xlfn.CONCAT(Table1[[#This Row],[Billing Street]], ", ", Table1[[#This Row],[Billing City]], ", ", Table1[[#This Row],[Billing State/Province]], ", ", Table1[[#This Row],[Billing Zip/Postal Code]])</f>
        <v>1200 Sunnybrook Rd, Wadena, MN, 56482</v>
      </c>
    </row>
    <row r="954" spans="1:13" ht="15.6" hidden="1" x14ac:dyDescent="0.3">
      <c r="A954" s="1" t="s">
        <v>3259</v>
      </c>
      <c r="B954" s="1"/>
      <c r="C954" s="1"/>
      <c r="D954" s="1"/>
      <c r="E954" s="1"/>
      <c r="F954" s="1"/>
      <c r="G954" s="1" t="s">
        <v>43</v>
      </c>
      <c r="H954" s="2">
        <v>393</v>
      </c>
      <c r="I954" s="1" t="s">
        <v>3260</v>
      </c>
      <c r="J954" s="1" t="s">
        <v>3261</v>
      </c>
      <c r="K954" s="1" t="s">
        <v>671</v>
      </c>
      <c r="L954" s="1" t="s">
        <v>3262</v>
      </c>
      <c r="M954" s="6" t="str">
        <f>_xlfn.CONCAT(Table1[[#This Row],[Billing Street]], ", ", Table1[[#This Row],[Billing City]], ", ", Table1[[#This Row],[Billing State/Province]], ", ", Table1[[#This Row],[Billing Zip/Postal Code]])</f>
        <v>24-01 44th Road, 14th Floor, Long Island City, NY, 11101</v>
      </c>
    </row>
    <row r="955" spans="1:13" ht="15.6" x14ac:dyDescent="0.3">
      <c r="A955" s="1" t="s">
        <v>3263</v>
      </c>
      <c r="B955" s="1"/>
      <c r="C955" s="1"/>
      <c r="D955" s="1"/>
      <c r="E955" s="1"/>
      <c r="F955" s="1"/>
      <c r="G955" s="1" t="s">
        <v>24</v>
      </c>
      <c r="H955" s="2">
        <v>5988</v>
      </c>
      <c r="I955" s="1" t="s">
        <v>3264</v>
      </c>
      <c r="J955" s="1" t="s">
        <v>3265</v>
      </c>
      <c r="K955" s="1" t="s">
        <v>26</v>
      </c>
      <c r="L955" s="1" t="s">
        <v>3266</v>
      </c>
      <c r="M955" s="6" t="str">
        <f>_xlfn.CONCAT(Table1[[#This Row],[Billing Street]], ", ", Table1[[#This Row],[Billing City]], ", ", Table1[[#This Row],[Billing State/Province]], ", ", Table1[[#This Row],[Billing Zip/Postal Code]])</f>
        <v>301 Sanderfer Road West, Athens, AL 35611, Athens, AL, 45611</v>
      </c>
    </row>
    <row r="956" spans="1:13" ht="15.6" hidden="1" x14ac:dyDescent="0.3">
      <c r="A956" s="1" t="s">
        <v>3267</v>
      </c>
      <c r="B956" s="1"/>
      <c r="C956" s="1"/>
      <c r="D956" s="1"/>
      <c r="E956" s="1"/>
      <c r="F956" s="1"/>
      <c r="G956" s="1" t="s">
        <v>43</v>
      </c>
      <c r="H956" s="2">
        <v>121</v>
      </c>
      <c r="I956" s="1" t="s">
        <v>3268</v>
      </c>
      <c r="J956" s="1" t="s">
        <v>3269</v>
      </c>
      <c r="K956" s="1" t="s">
        <v>82</v>
      </c>
      <c r="L956" s="1" t="s">
        <v>3270</v>
      </c>
      <c r="M956" s="6" t="str">
        <f>_xlfn.CONCAT(Table1[[#This Row],[Billing Street]], ", ", Table1[[#This Row],[Billing City]], ", ", Table1[[#This Row],[Billing State/Province]], ", ", Table1[[#This Row],[Billing Zip/Postal Code]])</f>
        <v>17560 Stratford Drive, Southfield, MI, 48075</v>
      </c>
    </row>
    <row r="957" spans="1:13" ht="15.6" hidden="1" x14ac:dyDescent="0.3">
      <c r="A957" s="1" t="s">
        <v>3271</v>
      </c>
      <c r="B957" s="1"/>
      <c r="C957" s="1"/>
      <c r="D957" s="1"/>
      <c r="E957" s="1"/>
      <c r="F957" s="1"/>
      <c r="G957" s="1" t="s">
        <v>43</v>
      </c>
      <c r="H957" s="2">
        <v>291</v>
      </c>
      <c r="I957" s="1" t="s">
        <v>3272</v>
      </c>
      <c r="J957" s="1" t="s">
        <v>3273</v>
      </c>
      <c r="K957" s="1" t="s">
        <v>1740</v>
      </c>
      <c r="L957" s="1" t="s">
        <v>3274</v>
      </c>
      <c r="M957" s="6" t="str">
        <f>_xlfn.CONCAT(Table1[[#This Row],[Billing Street]], ", ", Table1[[#This Row],[Billing City]], ", ", Table1[[#This Row],[Billing State/Province]], ", ", Table1[[#This Row],[Billing Zip/Postal Code]])</f>
        <v>241 Garrisonville Rd, Stafford, va, 22555</v>
      </c>
    </row>
    <row r="958" spans="1:13" ht="15.6" hidden="1" x14ac:dyDescent="0.3">
      <c r="A958" s="1" t="s">
        <v>3275</v>
      </c>
      <c r="B958" s="1"/>
      <c r="C958" s="1"/>
      <c r="D958" s="1"/>
      <c r="E958" s="1"/>
      <c r="F958" s="1"/>
      <c r="G958" s="1" t="s">
        <v>43</v>
      </c>
      <c r="H958" s="2">
        <v>138</v>
      </c>
      <c r="I958" s="1" t="s">
        <v>3276</v>
      </c>
      <c r="J958" s="1" t="s">
        <v>3277</v>
      </c>
      <c r="K958" s="1" t="s">
        <v>45</v>
      </c>
      <c r="L958" s="1" t="s">
        <v>3278</v>
      </c>
      <c r="M958" s="6" t="str">
        <f>_xlfn.CONCAT(Table1[[#This Row],[Billing Street]], ", ", Table1[[#This Row],[Billing City]], ", ", Table1[[#This Row],[Billing State/Province]], ", ", Table1[[#This Row],[Billing Zip/Postal Code]])</f>
        <v>1587 County Road 32N, Bellefontaine, OH, 43311</v>
      </c>
    </row>
    <row r="959" spans="1:13" ht="15.6" hidden="1" x14ac:dyDescent="0.3">
      <c r="A959" s="1" t="s">
        <v>3279</v>
      </c>
      <c r="B959" s="1"/>
      <c r="C959" s="1"/>
      <c r="D959" s="1"/>
      <c r="E959" s="1"/>
      <c r="F959" s="1"/>
      <c r="G959" s="1" t="s">
        <v>98</v>
      </c>
      <c r="H959" s="2">
        <v>113</v>
      </c>
      <c r="I959" s="1" t="s">
        <v>3280</v>
      </c>
      <c r="J959" s="1" t="s">
        <v>3281</v>
      </c>
      <c r="K959" s="1" t="s">
        <v>101</v>
      </c>
      <c r="L959" s="1" t="s">
        <v>3282</v>
      </c>
      <c r="M959" s="6" t="str">
        <f>_xlfn.CONCAT(Table1[[#This Row],[Billing Street]], ", ", Table1[[#This Row],[Billing City]], ", ", Table1[[#This Row],[Billing State/Province]], ", ", Table1[[#This Row],[Billing Zip/Postal Code]])</f>
        <v>3077 Highway 17 North / P.O. Box 457, Wrens, GA, 30833</v>
      </c>
    </row>
    <row r="960" spans="1:13" ht="15.6" hidden="1" x14ac:dyDescent="0.3">
      <c r="A960" s="1" t="s">
        <v>3283</v>
      </c>
      <c r="B960" s="1"/>
      <c r="C960" s="1"/>
      <c r="D960" s="1"/>
      <c r="E960" s="1"/>
      <c r="F960" s="1"/>
      <c r="G960" s="1" t="s">
        <v>8</v>
      </c>
      <c r="H960" s="2">
        <v>491</v>
      </c>
      <c r="I960" s="1" t="s">
        <v>3284</v>
      </c>
      <c r="J960" s="1" t="s">
        <v>557</v>
      </c>
      <c r="K960" s="1" t="s">
        <v>51</v>
      </c>
      <c r="L960" s="1" t="s">
        <v>3285</v>
      </c>
      <c r="M960" s="6" t="str">
        <f>_xlfn.CONCAT(Table1[[#This Row],[Billing Street]], ", ", Table1[[#This Row],[Billing City]], ", ", Table1[[#This Row],[Billing State/Province]], ", ", Table1[[#This Row],[Billing Zip/Postal Code]])</f>
        <v>2217 Aldine Bender, Houston, TX, 77032</v>
      </c>
    </row>
    <row r="961" spans="1:13" ht="15.6" hidden="1" x14ac:dyDescent="0.3">
      <c r="A961" s="1" t="s">
        <v>3286</v>
      </c>
      <c r="B961" s="1"/>
      <c r="C961" s="1"/>
      <c r="D961" s="1"/>
      <c r="E961" s="1"/>
      <c r="F961" s="1"/>
      <c r="G961" s="1" t="s">
        <v>43</v>
      </c>
      <c r="H961" s="2">
        <v>92</v>
      </c>
      <c r="I961" s="1" t="s">
        <v>3287</v>
      </c>
      <c r="J961" s="1" t="s">
        <v>3288</v>
      </c>
      <c r="K961" s="1" t="s">
        <v>45</v>
      </c>
      <c r="L961" s="1" t="s">
        <v>3289</v>
      </c>
      <c r="M961" s="6" t="str">
        <f>_xlfn.CONCAT(Table1[[#This Row],[Billing Street]], ", ", Table1[[#This Row],[Billing City]], ", ", Table1[[#This Row],[Billing State/Province]], ", ", Table1[[#This Row],[Billing Zip/Postal Code]])</f>
        <v>140 Carey Street, Utica, OH, 43080</v>
      </c>
    </row>
    <row r="962" spans="1:13" ht="15.6" hidden="1" x14ac:dyDescent="0.3">
      <c r="A962" s="1" t="s">
        <v>3290</v>
      </c>
      <c r="B962" s="1"/>
      <c r="C962" s="1"/>
      <c r="D962" s="1"/>
      <c r="E962" s="1"/>
      <c r="F962" s="1"/>
      <c r="G962" s="1" t="s">
        <v>43</v>
      </c>
      <c r="H962" s="2">
        <v>5776</v>
      </c>
      <c r="I962" s="1" t="s">
        <v>3291</v>
      </c>
      <c r="J962" s="1" t="s">
        <v>454</v>
      </c>
      <c r="K962" s="1" t="s">
        <v>45</v>
      </c>
      <c r="L962" s="1" t="s">
        <v>13</v>
      </c>
      <c r="M962" s="6" t="str">
        <f>_xlfn.CONCAT(Table1[[#This Row],[Billing Street]], ", ", Table1[[#This Row],[Billing City]], ", ", Table1[[#This Row],[Billing State/Province]], ", ", Table1[[#This Row],[Billing Zip/Postal Code]])</f>
        <v xml:space="preserve">918 South Main Street, Piqua, OH, </v>
      </c>
    </row>
    <row r="963" spans="1:13" ht="15.6" hidden="1" x14ac:dyDescent="0.3">
      <c r="A963" s="1" t="s">
        <v>3292</v>
      </c>
      <c r="B963" s="1"/>
      <c r="C963" s="1"/>
      <c r="D963" s="1"/>
      <c r="E963" s="1"/>
      <c r="F963" s="1"/>
      <c r="G963" s="1" t="s">
        <v>8</v>
      </c>
      <c r="H963" s="2">
        <v>510</v>
      </c>
      <c r="I963" s="1" t="s">
        <v>3293</v>
      </c>
      <c r="J963" s="1" t="s">
        <v>3294</v>
      </c>
      <c r="K963" s="1" t="s">
        <v>128</v>
      </c>
      <c r="L963" s="1" t="s">
        <v>3295</v>
      </c>
      <c r="M963" s="6" t="str">
        <f>_xlfn.CONCAT(Table1[[#This Row],[Billing Street]], ", ", Table1[[#This Row],[Billing City]], ", ", Table1[[#This Row],[Billing State/Province]], ", ", Table1[[#This Row],[Billing Zip/Postal Code]])</f>
        <v>PO Box 626, Rushford, MN, 55971</v>
      </c>
    </row>
    <row r="964" spans="1:13" ht="15.6" hidden="1" x14ac:dyDescent="0.3">
      <c r="A964" s="1" t="s">
        <v>3296</v>
      </c>
      <c r="B964" s="1"/>
      <c r="C964" s="1"/>
      <c r="D964" s="1"/>
      <c r="E964" s="1"/>
      <c r="F964" s="1"/>
      <c r="G964" s="1" t="s">
        <v>205</v>
      </c>
      <c r="H964" s="2">
        <v>100</v>
      </c>
      <c r="I964" s="1" t="s">
        <v>3297</v>
      </c>
      <c r="J964" s="1" t="s">
        <v>3298</v>
      </c>
      <c r="K964" s="1" t="s">
        <v>479</v>
      </c>
      <c r="L964" s="1" t="s">
        <v>3299</v>
      </c>
      <c r="M964" s="6" t="str">
        <f>_xlfn.CONCAT(Table1[[#This Row],[Billing Street]], ", ", Table1[[#This Row],[Billing City]], ", ", Table1[[#This Row],[Billing State/Province]], ", ", Table1[[#This Row],[Billing Zip/Postal Code]])</f>
        <v>100 Main Street, Bagdad, AZ, 86321</v>
      </c>
    </row>
    <row r="965" spans="1:13" ht="15.6" hidden="1" x14ac:dyDescent="0.3">
      <c r="A965" s="1" t="s">
        <v>3300</v>
      </c>
      <c r="B965" s="1"/>
      <c r="C965" s="1"/>
      <c r="D965" s="1"/>
      <c r="E965" s="1"/>
      <c r="F965" s="1"/>
      <c r="G965" s="1" t="s">
        <v>43</v>
      </c>
      <c r="H965" s="2">
        <v>191</v>
      </c>
      <c r="I965" s="1" t="s">
        <v>3301</v>
      </c>
      <c r="J965" s="1" t="s">
        <v>3302</v>
      </c>
      <c r="K965" s="1" t="s">
        <v>45</v>
      </c>
      <c r="L965" s="1" t="s">
        <v>3303</v>
      </c>
      <c r="M965" s="6" t="str">
        <f>_xlfn.CONCAT(Table1[[#This Row],[Billing Street]], ", ", Table1[[#This Row],[Billing City]], ", ", Table1[[#This Row],[Billing State/Province]], ", ", Table1[[#This Row],[Billing Zip/Postal Code]])</f>
        <v>704 W. Cumberland Drive, Lewisburg, OH, 45338</v>
      </c>
    </row>
    <row r="966" spans="1:13" ht="15.6" hidden="1" x14ac:dyDescent="0.3">
      <c r="A966" s="1" t="s">
        <v>3304</v>
      </c>
      <c r="B966" s="1"/>
      <c r="C966" s="1"/>
      <c r="D966" s="1"/>
      <c r="E966" s="1"/>
      <c r="F966" s="1"/>
      <c r="G966" s="1" t="s">
        <v>8</v>
      </c>
      <c r="H966" s="2">
        <v>471</v>
      </c>
      <c r="I966" s="1" t="s">
        <v>3305</v>
      </c>
      <c r="J966" s="1" t="s">
        <v>3306</v>
      </c>
      <c r="K966" s="1" t="s">
        <v>21</v>
      </c>
      <c r="L966" s="1" t="s">
        <v>3307</v>
      </c>
      <c r="M966" s="6" t="str">
        <f>_xlfn.CONCAT(Table1[[#This Row],[Billing Street]], ", ", Table1[[#This Row],[Billing City]], ", ", Table1[[#This Row],[Billing State/Province]], ", ", Table1[[#This Row],[Billing Zip/Postal Code]])</f>
        <v>229 Hwy 51, Postville, IA, 52162</v>
      </c>
    </row>
    <row r="967" spans="1:13" ht="15.6" hidden="1" x14ac:dyDescent="0.3">
      <c r="A967" s="1" t="s">
        <v>3308</v>
      </c>
      <c r="B967" s="1"/>
      <c r="C967" s="1"/>
      <c r="D967" s="1"/>
      <c r="E967" s="1"/>
      <c r="F967" s="1"/>
      <c r="G967" s="1" t="s">
        <v>8</v>
      </c>
      <c r="H967" s="2">
        <v>307</v>
      </c>
      <c r="I967" s="1" t="s">
        <v>3309</v>
      </c>
      <c r="J967" s="1" t="s">
        <v>1309</v>
      </c>
      <c r="K967" s="1" t="s">
        <v>11</v>
      </c>
      <c r="L967" s="1" t="s">
        <v>3310</v>
      </c>
      <c r="M967" s="6" t="str">
        <f>_xlfn.CONCAT(Table1[[#This Row],[Billing Street]], ", ", Table1[[#This Row],[Billing City]], ", ", Table1[[#This Row],[Billing State/Province]], ", ", Table1[[#This Row],[Billing Zip/Postal Code]])</f>
        <v>4667 Green Park Road, St. Louis, MO, 63123</v>
      </c>
    </row>
    <row r="968" spans="1:13" ht="15.6" hidden="1" x14ac:dyDescent="0.3">
      <c r="A968" s="1" t="s">
        <v>3311</v>
      </c>
      <c r="B968" s="1"/>
      <c r="C968" s="1"/>
      <c r="D968" s="1"/>
      <c r="E968" s="1"/>
      <c r="F968" s="1"/>
      <c r="G968" s="1" t="s">
        <v>8</v>
      </c>
      <c r="H968" s="2">
        <v>367</v>
      </c>
      <c r="I968" s="1" t="s">
        <v>3312</v>
      </c>
      <c r="J968" s="1" t="s">
        <v>3313</v>
      </c>
      <c r="K968" s="1" t="s">
        <v>208</v>
      </c>
      <c r="L968" s="1" t="s">
        <v>3314</v>
      </c>
      <c r="M968" s="6" t="str">
        <f>_xlfn.CONCAT(Table1[[#This Row],[Billing Street]], ", ", Table1[[#This Row],[Billing City]], ", ", Table1[[#This Row],[Billing State/Province]], ", ", Table1[[#This Row],[Billing Zip/Postal Code]])</f>
        <v>100 Tony Garcia drive, Holly, CO, 81047</v>
      </c>
    </row>
    <row r="969" spans="1:13" ht="15.6" hidden="1" x14ac:dyDescent="0.3">
      <c r="A969" s="1" t="s">
        <v>3315</v>
      </c>
      <c r="B969" s="1"/>
      <c r="C969" s="1"/>
      <c r="D969" s="1"/>
      <c r="E969" s="1"/>
      <c r="F969" s="1"/>
      <c r="G969" s="1" t="s">
        <v>8</v>
      </c>
      <c r="H969" s="2">
        <v>521</v>
      </c>
      <c r="I969" s="1" t="s">
        <v>3316</v>
      </c>
      <c r="J969" s="1" t="s">
        <v>703</v>
      </c>
      <c r="K969" s="1" t="s">
        <v>198</v>
      </c>
      <c r="L969" s="1" t="s">
        <v>704</v>
      </c>
      <c r="M969" s="6" t="str">
        <f>_xlfn.CONCAT(Table1[[#This Row],[Billing Street]], ", ", Table1[[#This Row],[Billing City]], ", ", Table1[[#This Row],[Billing State/Province]], ", ", Table1[[#This Row],[Billing Zip/Postal Code]])</f>
        <v>1313 W 1st St, Alliance, NE, 69301</v>
      </c>
    </row>
    <row r="970" spans="1:13" ht="15.6" hidden="1" x14ac:dyDescent="0.3">
      <c r="A970" s="1" t="s">
        <v>3317</v>
      </c>
      <c r="B970" s="1"/>
      <c r="C970" s="1"/>
      <c r="D970" s="1"/>
      <c r="E970" s="1"/>
      <c r="F970" s="1"/>
      <c r="G970" s="1" t="s">
        <v>43</v>
      </c>
      <c r="H970" s="2">
        <v>5776</v>
      </c>
      <c r="I970" s="1" t="s">
        <v>13</v>
      </c>
      <c r="J970" s="1" t="s">
        <v>13</v>
      </c>
      <c r="K970" s="1" t="s">
        <v>45</v>
      </c>
      <c r="L970" s="1" t="s">
        <v>13</v>
      </c>
      <c r="M970" s="6" t="str">
        <f>_xlfn.CONCAT(Table1[[#This Row],[Billing Street]], ", ", Table1[[#This Row],[Billing City]], ", ", Table1[[#This Row],[Billing State/Province]], ", ", Table1[[#This Row],[Billing Zip/Postal Code]])</f>
        <v xml:space="preserve">, , OH, </v>
      </c>
    </row>
    <row r="971" spans="1:13" ht="15.6" hidden="1" x14ac:dyDescent="0.3">
      <c r="A971" s="1" t="s">
        <v>3318</v>
      </c>
      <c r="B971" s="1"/>
      <c r="C971" s="1"/>
      <c r="D971" s="1"/>
      <c r="E971" s="1"/>
      <c r="F971" s="1"/>
      <c r="G971" s="1" t="s">
        <v>43</v>
      </c>
      <c r="H971" s="2">
        <v>5776</v>
      </c>
      <c r="I971" s="1" t="s">
        <v>13</v>
      </c>
      <c r="J971" s="1" t="s">
        <v>2129</v>
      </c>
      <c r="K971" s="1" t="s">
        <v>45</v>
      </c>
      <c r="L971" s="1" t="s">
        <v>13</v>
      </c>
      <c r="M971" s="6" t="str">
        <f>_xlfn.CONCAT(Table1[[#This Row],[Billing Street]], ", ", Table1[[#This Row],[Billing City]], ", ", Table1[[#This Row],[Billing State/Province]], ", ", Table1[[#This Row],[Billing Zip/Postal Code]])</f>
        <v xml:space="preserve">, Wellington, OH, </v>
      </c>
    </row>
    <row r="972" spans="1:13" ht="15.6" hidden="1" x14ac:dyDescent="0.3">
      <c r="A972" s="1" t="s">
        <v>3319</v>
      </c>
      <c r="B972" s="1"/>
      <c r="C972" s="1"/>
      <c r="D972" s="1"/>
      <c r="E972" s="1"/>
      <c r="F972" s="1"/>
      <c r="G972" s="1" t="s">
        <v>8</v>
      </c>
      <c r="H972" s="2">
        <v>474</v>
      </c>
      <c r="I972" s="1" t="s">
        <v>3320</v>
      </c>
      <c r="J972" s="1" t="s">
        <v>3321</v>
      </c>
      <c r="K972" s="1" t="s">
        <v>128</v>
      </c>
      <c r="L972" s="1" t="s">
        <v>3322</v>
      </c>
      <c r="M972" s="6" t="str">
        <f>_xlfn.CONCAT(Table1[[#This Row],[Billing Street]], ", ", Table1[[#This Row],[Billing City]], ", ", Table1[[#This Row],[Billing State/Province]], ", ", Table1[[#This Row],[Billing Zip/Postal Code]])</f>
        <v>101 1st Street SE, Wells, MN, 56097</v>
      </c>
    </row>
    <row r="973" spans="1:13" ht="15.6" hidden="1" x14ac:dyDescent="0.3">
      <c r="A973" s="1" t="s">
        <v>3323</v>
      </c>
      <c r="B973" s="1"/>
      <c r="C973" s="1"/>
      <c r="D973" s="1"/>
      <c r="E973" s="1"/>
      <c r="F973" s="1"/>
      <c r="G973" s="1" t="s">
        <v>8</v>
      </c>
      <c r="H973" s="2">
        <v>335</v>
      </c>
      <c r="I973" s="1" t="s">
        <v>3324</v>
      </c>
      <c r="J973" s="1" t="s">
        <v>3325</v>
      </c>
      <c r="K973" s="1" t="s">
        <v>21</v>
      </c>
      <c r="L973" s="1" t="s">
        <v>3326</v>
      </c>
      <c r="M973" s="6" t="str">
        <f>_xlfn.CONCAT(Table1[[#This Row],[Billing Street]], ", ", Table1[[#This Row],[Billing City]], ", ", Table1[[#This Row],[Billing State/Province]], ", ", Table1[[#This Row],[Billing Zip/Postal Code]])</f>
        <v>760 218th Place, Pella, IA, 50219</v>
      </c>
    </row>
    <row r="974" spans="1:13" ht="15.6" hidden="1" x14ac:dyDescent="0.3">
      <c r="A974" s="1" t="s">
        <v>3327</v>
      </c>
      <c r="B974" s="1"/>
      <c r="C974" s="1"/>
      <c r="D974" s="1"/>
      <c r="E974" s="1"/>
      <c r="F974" s="1"/>
      <c r="G974" s="1" t="s">
        <v>43</v>
      </c>
      <c r="H974" s="2">
        <v>171</v>
      </c>
      <c r="I974" s="1" t="s">
        <v>3328</v>
      </c>
      <c r="J974" s="1" t="s">
        <v>3329</v>
      </c>
      <c r="K974" s="1" t="s">
        <v>45</v>
      </c>
      <c r="L974" s="1" t="s">
        <v>3330</v>
      </c>
      <c r="M974" s="6" t="str">
        <f>_xlfn.CONCAT(Table1[[#This Row],[Billing Street]], ", ", Table1[[#This Row],[Billing City]], ", ", Table1[[#This Row],[Billing State/Province]], ", ", Table1[[#This Row],[Billing Zip/Postal Code]])</f>
        <v>301 N 6th St., Tipp City, OH, 45371</v>
      </c>
    </row>
    <row r="975" spans="1:13" ht="15.6" hidden="1" x14ac:dyDescent="0.3">
      <c r="A975" s="1" t="s">
        <v>3331</v>
      </c>
      <c r="B975" s="1"/>
      <c r="C975" s="1"/>
      <c r="D975" s="1"/>
      <c r="E975" s="1"/>
      <c r="F975" s="1"/>
      <c r="G975" s="1" t="s">
        <v>43</v>
      </c>
      <c r="H975" s="2">
        <v>134</v>
      </c>
      <c r="I975" s="1" t="s">
        <v>3332</v>
      </c>
      <c r="J975" s="1" t="s">
        <v>3333</v>
      </c>
      <c r="K975" s="1" t="s">
        <v>45</v>
      </c>
      <c r="L975" s="1" t="s">
        <v>3334</v>
      </c>
      <c r="M975" s="6" t="str">
        <f>_xlfn.CONCAT(Table1[[#This Row],[Billing Street]], ", ", Table1[[#This Row],[Billing City]], ", ", Table1[[#This Row],[Billing State/Province]], ", ", Table1[[#This Row],[Billing Zip/Postal Code]])</f>
        <v>8945 Road K2, Malinta, OH, 43535</v>
      </c>
    </row>
    <row r="976" spans="1:13" ht="15.6" hidden="1" x14ac:dyDescent="0.3">
      <c r="A976" s="1" t="s">
        <v>3335</v>
      </c>
      <c r="B976" s="1"/>
      <c r="C976" s="1"/>
      <c r="D976" s="1"/>
      <c r="E976" s="1"/>
      <c r="F976" s="1"/>
      <c r="G976" s="1" t="s">
        <v>43</v>
      </c>
      <c r="H976" s="2">
        <v>5776</v>
      </c>
      <c r="I976" s="1" t="s">
        <v>13</v>
      </c>
      <c r="J976" s="1" t="s">
        <v>13</v>
      </c>
      <c r="K976" s="1" t="s">
        <v>45</v>
      </c>
      <c r="L976" s="1" t="s">
        <v>13</v>
      </c>
      <c r="M976" s="6" t="str">
        <f>_xlfn.CONCAT(Table1[[#This Row],[Billing Street]], ", ", Table1[[#This Row],[Billing City]], ", ", Table1[[#This Row],[Billing State/Province]], ", ", Table1[[#This Row],[Billing Zip/Postal Code]])</f>
        <v xml:space="preserve">, , OH, </v>
      </c>
    </row>
    <row r="977" spans="1:13" ht="15.6" hidden="1" x14ac:dyDescent="0.3">
      <c r="A977" s="1" t="s">
        <v>3336</v>
      </c>
      <c r="B977" s="1"/>
      <c r="C977" s="1"/>
      <c r="D977" s="1"/>
      <c r="E977" s="1"/>
      <c r="F977" s="1"/>
      <c r="G977" s="1" t="s">
        <v>43</v>
      </c>
      <c r="H977" s="2">
        <v>5776</v>
      </c>
      <c r="I977" s="1" t="s">
        <v>3337</v>
      </c>
      <c r="J977" s="1" t="s">
        <v>3338</v>
      </c>
      <c r="K977" s="1" t="s">
        <v>3339</v>
      </c>
      <c r="L977" s="1" t="s">
        <v>3340</v>
      </c>
      <c r="M977" s="6" t="str">
        <f>_xlfn.CONCAT(Table1[[#This Row],[Billing Street]], ", ", Table1[[#This Row],[Billing City]], ", ", Table1[[#This Row],[Billing State/Province]], ", ", Table1[[#This Row],[Billing Zip/Postal Code]])</f>
        <v>4 Factory Pasture Lane, Kennebunk, Me, 4043</v>
      </c>
    </row>
    <row r="978" spans="1:13" ht="15.6" hidden="1" x14ac:dyDescent="0.3">
      <c r="A978" s="1" t="s">
        <v>3341</v>
      </c>
      <c r="B978" s="1"/>
      <c r="C978" s="1"/>
      <c r="D978" s="1"/>
      <c r="E978" s="1"/>
      <c r="F978" s="1"/>
      <c r="G978" s="1" t="s">
        <v>8</v>
      </c>
      <c r="H978" s="2">
        <v>503</v>
      </c>
      <c r="I978" s="1" t="s">
        <v>3342</v>
      </c>
      <c r="J978" s="1" t="s">
        <v>3343</v>
      </c>
      <c r="K978" s="1" t="s">
        <v>51</v>
      </c>
      <c r="L978" s="1" t="s">
        <v>3344</v>
      </c>
      <c r="M978" s="6" t="str">
        <f>_xlfn.CONCAT(Table1[[#This Row],[Billing Street]], ", ", Table1[[#This Row],[Billing City]], ", ", Table1[[#This Row],[Billing State/Province]], ", ", Table1[[#This Row],[Billing Zip/Postal Code]])</f>
        <v>5200 East E Mc Kinney Rd, Baytown, TX, 77523</v>
      </c>
    </row>
    <row r="979" spans="1:13" ht="15.6" x14ac:dyDescent="0.3">
      <c r="A979" s="1" t="s">
        <v>3345</v>
      </c>
      <c r="B979" s="1"/>
      <c r="C979" s="1"/>
      <c r="D979" s="1"/>
      <c r="E979" s="1"/>
      <c r="F979" s="1"/>
      <c r="G979" s="1" t="s">
        <v>24</v>
      </c>
      <c r="H979" s="2">
        <v>62</v>
      </c>
      <c r="I979" s="1" t="s">
        <v>3346</v>
      </c>
      <c r="J979" s="1" t="s">
        <v>506</v>
      </c>
      <c r="K979" s="1" t="s">
        <v>26</v>
      </c>
      <c r="L979" s="1" t="s">
        <v>507</v>
      </c>
      <c r="M979" s="6" t="str">
        <f>_xlfn.CONCAT(Table1[[#This Row],[Billing Street]], ", ", Table1[[#This Row],[Billing City]], ", ", Table1[[#This Row],[Billing State/Province]], ", ", Table1[[#This Row],[Billing Zip/Postal Code]])</f>
        <v>331 N St. Joseph St, Brewton, AL, 36426</v>
      </c>
    </row>
    <row r="980" spans="1:13" ht="15.6" hidden="1" x14ac:dyDescent="0.3">
      <c r="A980" s="1" t="s">
        <v>3347</v>
      </c>
      <c r="B980" s="1"/>
      <c r="C980" s="1"/>
      <c r="D980" s="1"/>
      <c r="E980" s="1"/>
      <c r="F980" s="1"/>
      <c r="G980" s="1" t="s">
        <v>13</v>
      </c>
      <c r="H980" s="2">
        <v>0</v>
      </c>
      <c r="I980" s="1" t="s">
        <v>13</v>
      </c>
      <c r="J980" s="1" t="s">
        <v>3348</v>
      </c>
      <c r="K980" s="1" t="s">
        <v>13</v>
      </c>
      <c r="L980" s="1" t="s">
        <v>13</v>
      </c>
      <c r="M980" s="6" t="str">
        <f>_xlfn.CONCAT(Table1[[#This Row],[Billing Street]], ", ", Table1[[#This Row],[Billing City]], ", ", Table1[[#This Row],[Billing State/Province]], ", ", Table1[[#This Row],[Billing Zip/Postal Code]])</f>
        <v xml:space="preserve">, Cayce, SC, , </v>
      </c>
    </row>
    <row r="981" spans="1:13" ht="15.6" hidden="1" x14ac:dyDescent="0.3">
      <c r="A981" s="1" t="s">
        <v>3349</v>
      </c>
      <c r="B981" s="1"/>
      <c r="C981" s="1"/>
      <c r="D981" s="1"/>
      <c r="E981" s="1"/>
      <c r="F981" s="1"/>
      <c r="G981" s="1" t="s">
        <v>43</v>
      </c>
      <c r="H981" s="2">
        <v>38</v>
      </c>
      <c r="I981" s="1" t="s">
        <v>3350</v>
      </c>
      <c r="J981" s="1" t="s">
        <v>3351</v>
      </c>
      <c r="K981" s="1" t="s">
        <v>45</v>
      </c>
      <c r="L981" s="1" t="s">
        <v>3352</v>
      </c>
      <c r="M981" s="6" t="str">
        <f>_xlfn.CONCAT(Table1[[#This Row],[Billing Street]], ", ", Table1[[#This Row],[Billing City]], ", ", Table1[[#This Row],[Billing State/Province]], ", ", Table1[[#This Row],[Billing Zip/Postal Code]])</f>
        <v>563 S. Crown Hill Road, Orrville, OH, 44667</v>
      </c>
    </row>
    <row r="982" spans="1:13" ht="15.6" hidden="1" x14ac:dyDescent="0.3">
      <c r="A982" s="1" t="s">
        <v>3353</v>
      </c>
      <c r="B982" s="1"/>
      <c r="C982" s="1"/>
      <c r="D982" s="1"/>
      <c r="E982" s="1"/>
      <c r="F982" s="1"/>
      <c r="G982" s="1" t="s">
        <v>13</v>
      </c>
      <c r="H982" s="2">
        <v>0</v>
      </c>
      <c r="I982" s="1" t="s">
        <v>13</v>
      </c>
      <c r="J982" s="1" t="s">
        <v>13</v>
      </c>
      <c r="K982" s="1" t="s">
        <v>13</v>
      </c>
      <c r="L982" s="1" t="s">
        <v>13</v>
      </c>
      <c r="M982" s="6" t="str">
        <f>_xlfn.CONCAT(Table1[[#This Row],[Billing Street]], ", ", Table1[[#This Row],[Billing City]], ", ", Table1[[#This Row],[Billing State/Province]], ", ", Table1[[#This Row],[Billing Zip/Postal Code]])</f>
        <v xml:space="preserve">, , , </v>
      </c>
    </row>
    <row r="983" spans="1:13" ht="15.6" x14ac:dyDescent="0.3">
      <c r="A983" s="1" t="s">
        <v>3354</v>
      </c>
      <c r="B983" s="1"/>
      <c r="C983" s="1"/>
      <c r="D983" s="1"/>
      <c r="E983" s="1"/>
      <c r="F983" s="1"/>
      <c r="G983" s="1" t="s">
        <v>24</v>
      </c>
      <c r="H983" s="2">
        <v>233</v>
      </c>
      <c r="I983" s="1" t="s">
        <v>3355</v>
      </c>
      <c r="J983" s="1" t="s">
        <v>3356</v>
      </c>
      <c r="K983" s="1" t="s">
        <v>3357</v>
      </c>
      <c r="L983" s="1" t="s">
        <v>3358</v>
      </c>
      <c r="M983" s="6" t="str">
        <f>_xlfn.CONCAT(Table1[[#This Row],[Billing Street]], ", ", Table1[[#This Row],[Billing City]], ", ", Table1[[#This Row],[Billing State/Province]], ", ", Table1[[#This Row],[Billing Zip/Postal Code]])</f>
        <v>12550 Old Gentilly Road, New Orleans, La, 70129</v>
      </c>
    </row>
    <row r="984" spans="1:13" ht="15.6" x14ac:dyDescent="0.3">
      <c r="A984" s="1" t="s">
        <v>3359</v>
      </c>
      <c r="B984" s="1"/>
      <c r="C984" s="1"/>
      <c r="D984" s="1"/>
      <c r="E984" s="1"/>
      <c r="F984" s="1"/>
      <c r="G984" s="1" t="s">
        <v>24</v>
      </c>
      <c r="H984" s="2">
        <v>5988</v>
      </c>
      <c r="I984" s="1" t="s">
        <v>3360</v>
      </c>
      <c r="J984" s="1" t="s">
        <v>1668</v>
      </c>
      <c r="K984" s="1" t="s">
        <v>36</v>
      </c>
      <c r="L984" s="1" t="s">
        <v>13</v>
      </c>
      <c r="M984" s="6" t="str">
        <f>_xlfn.CONCAT(Table1[[#This Row],[Billing Street]], ", ", Table1[[#This Row],[Billing City]], ", ", Table1[[#This Row],[Billing State/Province]], ", ", Table1[[#This Row],[Billing Zip/Postal Code]])</f>
        <v xml:space="preserve">700 Palmetto St, Jacksonville, FL, </v>
      </c>
    </row>
    <row r="985" spans="1:13" ht="15.6" x14ac:dyDescent="0.3">
      <c r="A985" s="1" t="s">
        <v>3361</v>
      </c>
      <c r="B985" s="1"/>
      <c r="C985" s="1"/>
      <c r="D985" s="1"/>
      <c r="E985" s="1"/>
      <c r="F985" s="1"/>
      <c r="G985" s="1" t="s">
        <v>24</v>
      </c>
      <c r="H985" s="2">
        <v>5988</v>
      </c>
      <c r="I985" s="1" t="s">
        <v>3362</v>
      </c>
      <c r="J985" s="1" t="s">
        <v>1668</v>
      </c>
      <c r="K985" s="1" t="s">
        <v>36</v>
      </c>
      <c r="L985" s="1" t="s">
        <v>13</v>
      </c>
      <c r="M985" s="6" t="str">
        <f>_xlfn.CONCAT(Table1[[#This Row],[Billing Street]], ", ", Table1[[#This Row],[Billing City]], ", ", Table1[[#This Row],[Billing State/Province]], ", ", Table1[[#This Row],[Billing Zip/Postal Code]])</f>
        <v xml:space="preserve">1520 Edgewood Av N, Jacksonville, FL, </v>
      </c>
    </row>
    <row r="986" spans="1:13" ht="15.6" x14ac:dyDescent="0.3">
      <c r="A986" s="1" t="s">
        <v>3363</v>
      </c>
      <c r="B986" s="1"/>
      <c r="C986" s="1"/>
      <c r="D986" s="1"/>
      <c r="E986" s="1"/>
      <c r="F986" s="1"/>
      <c r="G986" s="1" t="s">
        <v>24</v>
      </c>
      <c r="H986" s="2">
        <v>45</v>
      </c>
      <c r="I986" s="1" t="s">
        <v>3364</v>
      </c>
      <c r="J986" s="1" t="s">
        <v>1699</v>
      </c>
      <c r="K986" s="1" t="s">
        <v>36</v>
      </c>
      <c r="L986" s="1" t="s">
        <v>3365</v>
      </c>
      <c r="M986" s="6" t="str">
        <f>_xlfn.CONCAT(Table1[[#This Row],[Billing Street]], ", ", Table1[[#This Row],[Billing City]], ", ", Table1[[#This Row],[Billing State/Province]], ", ", Table1[[#This Row],[Billing Zip/Postal Code]])</f>
        <v>618 W Baldwin Rd, Panama City, FL, 32405</v>
      </c>
    </row>
    <row r="987" spans="1:13" ht="15.6" hidden="1" x14ac:dyDescent="0.3">
      <c r="A987" s="1" t="s">
        <v>3366</v>
      </c>
      <c r="B987" s="1"/>
      <c r="C987" s="1"/>
      <c r="D987" s="1"/>
      <c r="E987" s="1"/>
      <c r="F987" s="1"/>
      <c r="G987" s="1" t="s">
        <v>43</v>
      </c>
      <c r="H987" s="2">
        <v>145</v>
      </c>
      <c r="I987" s="1" t="s">
        <v>3367</v>
      </c>
      <c r="J987" s="1" t="s">
        <v>3368</v>
      </c>
      <c r="K987" s="1" t="s">
        <v>45</v>
      </c>
      <c r="L987" s="1" t="s">
        <v>3369</v>
      </c>
      <c r="M987" s="6" t="str">
        <f>_xlfn.CONCAT(Table1[[#This Row],[Billing Street]], ", ", Table1[[#This Row],[Billing City]], ", ", Table1[[#This Row],[Billing State/Province]], ", ", Table1[[#This Row],[Billing Zip/Postal Code]])</f>
        <v>1150 S. Metcalf Street, Lima, OH, 45804</v>
      </c>
    </row>
    <row r="988" spans="1:13" ht="15.6" hidden="1" x14ac:dyDescent="0.3">
      <c r="A988" s="1" t="s">
        <v>3370</v>
      </c>
      <c r="B988" s="1"/>
      <c r="C988" s="1"/>
      <c r="D988" s="1"/>
      <c r="E988" s="1"/>
      <c r="F988" s="1"/>
      <c r="G988" s="1" t="s">
        <v>43</v>
      </c>
      <c r="H988" s="2">
        <v>169</v>
      </c>
      <c r="I988" s="1" t="s">
        <v>3371</v>
      </c>
      <c r="J988" s="1" t="s">
        <v>3372</v>
      </c>
      <c r="K988" s="1" t="s">
        <v>3373</v>
      </c>
      <c r="L988" s="1" t="s">
        <v>3374</v>
      </c>
      <c r="M988" s="6" t="str">
        <f>_xlfn.CONCAT(Table1[[#This Row],[Billing Street]], ", ", Table1[[#This Row],[Billing City]], ", ", Table1[[#This Row],[Billing State/Province]], ", ", Table1[[#This Row],[Billing Zip/Postal Code]])</f>
        <v>2558 Hamburg Turnpike Suite 300, Buffalo, Ny, 14218</v>
      </c>
    </row>
    <row r="989" spans="1:13" ht="15.6" hidden="1" x14ac:dyDescent="0.3">
      <c r="A989" s="1" t="s">
        <v>3375</v>
      </c>
      <c r="B989" s="1"/>
      <c r="C989" s="1"/>
      <c r="D989" s="1"/>
      <c r="E989" s="1"/>
      <c r="F989" s="1"/>
      <c r="G989" s="1" t="s">
        <v>13</v>
      </c>
      <c r="H989" s="2">
        <v>0</v>
      </c>
      <c r="I989" s="1" t="s">
        <v>13</v>
      </c>
      <c r="J989" s="1" t="s">
        <v>13</v>
      </c>
      <c r="K989" s="1" t="s">
        <v>13</v>
      </c>
      <c r="L989" s="1" t="s">
        <v>13</v>
      </c>
      <c r="M989" s="6" t="str">
        <f>_xlfn.CONCAT(Table1[[#This Row],[Billing Street]], ", ", Table1[[#This Row],[Billing City]], ", ", Table1[[#This Row],[Billing State/Province]], ", ", Table1[[#This Row],[Billing Zip/Postal Code]])</f>
        <v xml:space="preserve">, , , </v>
      </c>
    </row>
    <row r="990" spans="1:13" ht="15.6" x14ac:dyDescent="0.3">
      <c r="A990" s="1" t="s">
        <v>3376</v>
      </c>
      <c r="B990" s="1"/>
      <c r="C990" s="1"/>
      <c r="D990" s="1"/>
      <c r="E990" s="1"/>
      <c r="F990" s="1"/>
      <c r="G990" s="1" t="s">
        <v>24</v>
      </c>
      <c r="H990" s="2">
        <v>5988</v>
      </c>
      <c r="I990" s="1" t="s">
        <v>3377</v>
      </c>
      <c r="J990" s="1" t="s">
        <v>3378</v>
      </c>
      <c r="K990" s="1" t="s">
        <v>31</v>
      </c>
      <c r="L990" s="1" t="s">
        <v>3379</v>
      </c>
      <c r="M990" s="6" t="str">
        <f>_xlfn.CONCAT(Table1[[#This Row],[Billing Street]], ", ", Table1[[#This Row],[Billing City]], ", ", Table1[[#This Row],[Billing State/Province]], ", ", Table1[[#This Row],[Billing Zip/Postal Code]])</f>
        <v>243 Concord RD SE, McCall Creek, MS, 39647</v>
      </c>
    </row>
    <row r="991" spans="1:13" ht="15.6" hidden="1" x14ac:dyDescent="0.3">
      <c r="A991" s="1" t="s">
        <v>3380</v>
      </c>
      <c r="B991" s="1"/>
      <c r="C991" s="1"/>
      <c r="D991" s="1"/>
      <c r="E991" s="1"/>
      <c r="F991" s="1"/>
      <c r="G991" s="1" t="s">
        <v>43</v>
      </c>
      <c r="H991" s="2">
        <v>5776</v>
      </c>
      <c r="I991" s="1" t="s">
        <v>3381</v>
      </c>
      <c r="J991" s="1" t="s">
        <v>3382</v>
      </c>
      <c r="K991" s="1" t="s">
        <v>586</v>
      </c>
      <c r="L991" s="1" t="s">
        <v>3383</v>
      </c>
      <c r="M991" s="6" t="str">
        <f>_xlfn.CONCAT(Table1[[#This Row],[Billing Street]], ", ", Table1[[#This Row],[Billing City]], ", ", Table1[[#This Row],[Billing State/Province]], ", ", Table1[[#This Row],[Billing Zip/Postal Code]])</f>
        <v>68 Union St, westfield, ma, 1085</v>
      </c>
    </row>
    <row r="992" spans="1:13" ht="15.6" x14ac:dyDescent="0.3">
      <c r="A992" s="1" t="s">
        <v>3384</v>
      </c>
      <c r="B992" s="1"/>
      <c r="C992" s="1"/>
      <c r="D992" s="1"/>
      <c r="E992" s="1"/>
      <c r="F992" s="1"/>
      <c r="G992" s="1" t="s">
        <v>24</v>
      </c>
      <c r="H992" s="2">
        <v>197</v>
      </c>
      <c r="I992" s="1" t="s">
        <v>3385</v>
      </c>
      <c r="J992" s="1" t="s">
        <v>372</v>
      </c>
      <c r="K992" s="1" t="s">
        <v>26</v>
      </c>
      <c r="L992" s="1" t="s">
        <v>2695</v>
      </c>
      <c r="M992" s="6" t="str">
        <f>_xlfn.CONCAT(Table1[[#This Row],[Billing Street]], ", ", Table1[[#This Row],[Billing City]], ", ", Table1[[#This Row],[Billing State/Province]], ", ", Table1[[#This Row],[Billing Zip/Postal Code]])</f>
        <v>831 First Ave N, Birmingham, AL, 35203</v>
      </c>
    </row>
    <row r="993" spans="1:13" ht="15.6" hidden="1" x14ac:dyDescent="0.3">
      <c r="A993" s="1" t="s">
        <v>3386</v>
      </c>
      <c r="B993" s="1"/>
      <c r="C993" s="1"/>
      <c r="D993" s="1"/>
      <c r="E993" s="1"/>
      <c r="F993" s="1"/>
      <c r="G993" s="1" t="s">
        <v>8</v>
      </c>
      <c r="H993" s="2">
        <v>105</v>
      </c>
      <c r="I993" s="1" t="s">
        <v>3387</v>
      </c>
      <c r="J993" s="1" t="s">
        <v>3388</v>
      </c>
      <c r="K993" s="1" t="s">
        <v>554</v>
      </c>
      <c r="L993" s="1" t="s">
        <v>3389</v>
      </c>
      <c r="M993" s="6" t="str">
        <f>_xlfn.CONCAT(Table1[[#This Row],[Billing Street]], ", ", Table1[[#This Row],[Billing City]], ", ", Table1[[#This Row],[Billing State/Province]], ", ", Table1[[#This Row],[Billing Zip/Postal Code]])</f>
        <v>2111 East 37th Street North, Wichita, KS, 67219</v>
      </c>
    </row>
    <row r="994" spans="1:13" ht="15.6" hidden="1" x14ac:dyDescent="0.3">
      <c r="A994" s="1" t="s">
        <v>3390</v>
      </c>
      <c r="B994" s="1"/>
      <c r="C994" s="1"/>
      <c r="D994" s="1"/>
      <c r="E994" s="1"/>
      <c r="F994" s="1"/>
      <c r="G994" s="1" t="s">
        <v>13</v>
      </c>
      <c r="H994" s="2">
        <v>0</v>
      </c>
      <c r="I994" s="1" t="s">
        <v>13</v>
      </c>
      <c r="J994" s="1" t="s">
        <v>13</v>
      </c>
      <c r="K994" s="1" t="s">
        <v>13</v>
      </c>
      <c r="L994" s="1" t="s">
        <v>13</v>
      </c>
      <c r="M994" s="6" t="str">
        <f>_xlfn.CONCAT(Table1[[#This Row],[Billing Street]], ", ", Table1[[#This Row],[Billing City]], ", ", Table1[[#This Row],[Billing State/Province]], ", ", Table1[[#This Row],[Billing Zip/Postal Code]])</f>
        <v xml:space="preserve">, , , </v>
      </c>
    </row>
    <row r="995" spans="1:13" ht="15.6" x14ac:dyDescent="0.3">
      <c r="A995" s="1" t="s">
        <v>3391</v>
      </c>
      <c r="B995" s="1"/>
      <c r="C995" s="1"/>
      <c r="D995" s="1"/>
      <c r="E995" s="1"/>
      <c r="F995" s="1"/>
      <c r="G995" s="1" t="s">
        <v>24</v>
      </c>
      <c r="H995" s="2">
        <v>47</v>
      </c>
      <c r="I995" s="1" t="s">
        <v>3392</v>
      </c>
      <c r="J995" s="1" t="s">
        <v>1699</v>
      </c>
      <c r="K995" s="1" t="s">
        <v>36</v>
      </c>
      <c r="L995" s="1" t="s">
        <v>3393</v>
      </c>
      <c r="M995" s="6" t="str">
        <f>_xlfn.CONCAT(Table1[[#This Row],[Billing Street]], ", ", Table1[[#This Row],[Billing City]], ", ", Table1[[#This Row],[Billing State/Province]], ", ", Table1[[#This Row],[Billing Zip/Postal Code]])</f>
        <v>3513 Transmitter Road, Panama City, FL, 32404</v>
      </c>
    </row>
    <row r="996" spans="1:13" ht="15.6" hidden="1" x14ac:dyDescent="0.3">
      <c r="A996" s="1" t="s">
        <v>3394</v>
      </c>
      <c r="B996" s="1"/>
      <c r="C996" s="1"/>
      <c r="D996" s="1"/>
      <c r="E996" s="1"/>
      <c r="F996" s="1"/>
      <c r="G996" s="1" t="s">
        <v>13</v>
      </c>
      <c r="H996" s="2">
        <v>0</v>
      </c>
      <c r="I996" s="1" t="s">
        <v>13</v>
      </c>
      <c r="J996" s="1" t="s">
        <v>13</v>
      </c>
      <c r="K996" s="1" t="s">
        <v>13</v>
      </c>
      <c r="L996" s="1" t="s">
        <v>13</v>
      </c>
      <c r="M996" s="6" t="str">
        <f>_xlfn.CONCAT(Table1[[#This Row],[Billing Street]], ", ", Table1[[#This Row],[Billing City]], ", ", Table1[[#This Row],[Billing State/Province]], ", ", Table1[[#This Row],[Billing Zip/Postal Code]])</f>
        <v xml:space="preserve">, , , </v>
      </c>
    </row>
    <row r="997" spans="1:13" ht="15.6" hidden="1" x14ac:dyDescent="0.3">
      <c r="A997" s="1" t="s">
        <v>3395</v>
      </c>
      <c r="B997" s="1"/>
      <c r="C997" s="1"/>
      <c r="D997" s="1"/>
      <c r="E997" s="1"/>
      <c r="F997" s="1"/>
      <c r="G997" s="1" t="s">
        <v>43</v>
      </c>
      <c r="H997" s="2">
        <v>5776</v>
      </c>
      <c r="I997" s="1" t="s">
        <v>3396</v>
      </c>
      <c r="J997" s="1" t="s">
        <v>3397</v>
      </c>
      <c r="K997" s="1" t="s">
        <v>1745</v>
      </c>
      <c r="L997" s="1" t="s">
        <v>3398</v>
      </c>
      <c r="M997" s="6" t="str">
        <f>_xlfn.CONCAT(Table1[[#This Row],[Billing Street]], ", ", Table1[[#This Row],[Billing City]], ", ", Table1[[#This Row],[Billing State/Province]], ", ", Table1[[#This Row],[Billing Zip/Postal Code]])</f>
        <v>705 Mantua Ave, Paulsboro, nj, 8066</v>
      </c>
    </row>
    <row r="998" spans="1:13" ht="15.6" x14ac:dyDescent="0.3">
      <c r="A998" s="1" t="s">
        <v>3399</v>
      </c>
      <c r="B998" s="1"/>
      <c r="C998" s="1"/>
      <c r="D998" s="1"/>
      <c r="E998" s="1"/>
      <c r="F998" s="1"/>
      <c r="G998" s="1" t="s">
        <v>24</v>
      </c>
      <c r="H998" s="2">
        <v>114</v>
      </c>
      <c r="I998" s="1" t="s">
        <v>3400</v>
      </c>
      <c r="J998" s="1" t="s">
        <v>25</v>
      </c>
      <c r="K998" s="1" t="s">
        <v>26</v>
      </c>
      <c r="L998" s="1" t="s">
        <v>3401</v>
      </c>
      <c r="M998" s="6" t="str">
        <f>_xlfn.CONCAT(Table1[[#This Row],[Billing Street]], ", ", Table1[[#This Row],[Billing City]], ", ", Table1[[#This Row],[Billing State/Province]], ", ", Table1[[#This Row],[Billing Zip/Postal Code]])</f>
        <v>1120 Parker St., Montgomery, AL, 36108</v>
      </c>
    </row>
    <row r="999" spans="1:13" ht="15.6" hidden="1" x14ac:dyDescent="0.3">
      <c r="A999" s="1" t="s">
        <v>3402</v>
      </c>
      <c r="B999" s="1"/>
      <c r="C999" s="1"/>
      <c r="D999" s="1"/>
      <c r="E999" s="1"/>
      <c r="F999" s="1"/>
      <c r="G999" s="1" t="s">
        <v>54</v>
      </c>
      <c r="H999" s="2">
        <v>7813</v>
      </c>
      <c r="I999" s="1" t="s">
        <v>13</v>
      </c>
      <c r="J999" s="1" t="s">
        <v>202</v>
      </c>
      <c r="K999" s="1" t="s">
        <v>57</v>
      </c>
      <c r="L999" s="1" t="s">
        <v>13</v>
      </c>
      <c r="M999" s="6" t="str">
        <f>_xlfn.CONCAT(Table1[[#This Row],[Billing Street]], ", ", Table1[[#This Row],[Billing City]], ", ", Table1[[#This Row],[Billing State/Province]], ", ", Table1[[#This Row],[Billing Zip/Postal Code]])</f>
        <v xml:space="preserve">, Bakersfield, CA, </v>
      </c>
    </row>
    <row r="1000" spans="1:13" ht="15.6" x14ac:dyDescent="0.3">
      <c r="A1000" s="1" t="s">
        <v>3403</v>
      </c>
      <c r="B1000" s="1"/>
      <c r="C1000" s="1"/>
      <c r="D1000" s="1"/>
      <c r="E1000" s="1"/>
      <c r="F1000" s="1"/>
      <c r="G1000" s="1" t="s">
        <v>24</v>
      </c>
      <c r="H1000" s="2">
        <v>307</v>
      </c>
      <c r="I1000" s="1" t="s">
        <v>3404</v>
      </c>
      <c r="J1000" s="1" t="s">
        <v>3405</v>
      </c>
      <c r="K1000" s="1" t="s">
        <v>36</v>
      </c>
      <c r="L1000" s="1" t="s">
        <v>3406</v>
      </c>
      <c r="M1000" s="6" t="str">
        <f>_xlfn.CONCAT(Table1[[#This Row],[Billing Street]], ", ", Table1[[#This Row],[Billing City]], ", ", Table1[[#This Row],[Billing State/Province]], ", ", Table1[[#This Row],[Billing Zip/Postal Code]])</f>
        <v>60 Memorial Medical Pkwy, Palm Coast, FL, 32164</v>
      </c>
    </row>
    <row r="1001" spans="1:13" ht="15.6" hidden="1" x14ac:dyDescent="0.3">
      <c r="A1001" s="1" t="s">
        <v>3407</v>
      </c>
      <c r="B1001" s="1"/>
      <c r="C1001" s="1"/>
      <c r="D1001" s="1"/>
      <c r="E1001" s="1"/>
      <c r="F1001" s="1"/>
      <c r="G1001" s="1" t="s">
        <v>13</v>
      </c>
      <c r="H1001" s="2">
        <v>0</v>
      </c>
      <c r="I1001" s="1" t="s">
        <v>13</v>
      </c>
      <c r="J1001" s="1" t="s">
        <v>13</v>
      </c>
      <c r="K1001" s="1" t="s">
        <v>13</v>
      </c>
      <c r="L1001" s="1" t="s">
        <v>13</v>
      </c>
      <c r="M1001" s="6" t="str">
        <f>_xlfn.CONCAT(Table1[[#This Row],[Billing Street]], ", ", Table1[[#This Row],[Billing City]], ", ", Table1[[#This Row],[Billing State/Province]], ", ", Table1[[#This Row],[Billing Zip/Postal Code]])</f>
        <v xml:space="preserve">, , , </v>
      </c>
    </row>
    <row r="1002" spans="1:13" ht="15.6" x14ac:dyDescent="0.3">
      <c r="A1002" s="1" t="s">
        <v>3408</v>
      </c>
      <c r="B1002" s="1"/>
      <c r="C1002" s="1"/>
      <c r="D1002" s="1"/>
      <c r="E1002" s="1"/>
      <c r="F1002" s="1"/>
      <c r="G1002" s="1" t="s">
        <v>24</v>
      </c>
      <c r="H1002" s="2">
        <v>292</v>
      </c>
      <c r="I1002" s="1" t="s">
        <v>3409</v>
      </c>
      <c r="J1002" s="1" t="s">
        <v>3410</v>
      </c>
      <c r="K1002" s="1" t="s">
        <v>36</v>
      </c>
      <c r="L1002" s="1" t="s">
        <v>3411</v>
      </c>
      <c r="M1002" s="6" t="str">
        <f>_xlfn.CONCAT(Table1[[#This Row],[Billing Street]], ", ", Table1[[#This Row],[Billing City]], ", ", Table1[[#This Row],[Billing State/Province]], ", ", Table1[[#This Row],[Billing Zip/Postal Code]])</f>
        <v>400 Health Park Blvd, St.Augustine, FL, 32086</v>
      </c>
    </row>
    <row r="1003" spans="1:13" ht="15.6" x14ac:dyDescent="0.3">
      <c r="A1003" s="1" t="s">
        <v>3412</v>
      </c>
      <c r="B1003" s="1"/>
      <c r="C1003" s="1"/>
      <c r="D1003" s="1"/>
      <c r="E1003" s="1"/>
      <c r="F1003" s="1"/>
      <c r="G1003" s="1" t="s">
        <v>24</v>
      </c>
      <c r="H1003" s="2">
        <v>5988</v>
      </c>
      <c r="I1003" s="1" t="s">
        <v>3413</v>
      </c>
      <c r="J1003" s="1" t="s">
        <v>30</v>
      </c>
      <c r="K1003" s="1" t="s">
        <v>31</v>
      </c>
      <c r="L1003" s="1" t="s">
        <v>32</v>
      </c>
      <c r="M1003" s="6" t="str">
        <f>_xlfn.CONCAT(Table1[[#This Row],[Billing Street]], ", ", Table1[[#This Row],[Billing City]], ", ", Table1[[#This Row],[Billing State/Province]], ", ", Table1[[#This Row],[Billing Zip/Postal Code]])</f>
        <v>834 Hwy12-Suite 193, Starkville, MS, 39759</v>
      </c>
    </row>
    <row r="1004" spans="1:13" ht="15.6" x14ac:dyDescent="0.3">
      <c r="A1004" s="1" t="s">
        <v>3414</v>
      </c>
      <c r="B1004" s="1"/>
      <c r="C1004" s="1"/>
      <c r="D1004" s="1"/>
      <c r="E1004" s="1"/>
      <c r="F1004" s="1"/>
      <c r="G1004" s="1" t="s">
        <v>24</v>
      </c>
      <c r="H1004" s="2">
        <v>125</v>
      </c>
      <c r="I1004" s="1" t="s">
        <v>3415</v>
      </c>
      <c r="J1004" s="1" t="s">
        <v>633</v>
      </c>
      <c r="K1004" s="1" t="s">
        <v>26</v>
      </c>
      <c r="L1004" s="1" t="s">
        <v>3416</v>
      </c>
      <c r="M1004" s="6" t="str">
        <f>_xlfn.CONCAT(Table1[[#This Row],[Billing Street]], ", ", Table1[[#This Row],[Billing City]], ", ", Table1[[#This Row],[Billing State/Province]], ", ", Table1[[#This Row],[Billing Zip/Postal Code]])</f>
        <v>7675 McKinley Ave Ste D, Mobile, AL, 36608</v>
      </c>
    </row>
    <row r="1005" spans="1:13" ht="15.6" hidden="1" x14ac:dyDescent="0.3">
      <c r="A1005" s="1" t="s">
        <v>3417</v>
      </c>
      <c r="B1005" s="1"/>
      <c r="C1005" s="1"/>
      <c r="D1005" s="1"/>
      <c r="E1005" s="1"/>
      <c r="F1005" s="1"/>
      <c r="G1005" s="1" t="s">
        <v>43</v>
      </c>
      <c r="H1005" s="2">
        <v>177</v>
      </c>
      <c r="I1005" s="1" t="s">
        <v>3418</v>
      </c>
      <c r="J1005" s="1" t="s">
        <v>3419</v>
      </c>
      <c r="K1005" s="1" t="s">
        <v>241</v>
      </c>
      <c r="L1005" s="1" t="s">
        <v>3420</v>
      </c>
      <c r="M1005" s="6" t="str">
        <f>_xlfn.CONCAT(Table1[[#This Row],[Billing Street]], ", ", Table1[[#This Row],[Billing City]], ", ", Table1[[#This Row],[Billing State/Province]], ", ", Table1[[#This Row],[Billing Zip/Postal Code]])</f>
        <v>170 Transport Street, Bedford, PA, 15522</v>
      </c>
    </row>
    <row r="1006" spans="1:13" ht="15.6" x14ac:dyDescent="0.3">
      <c r="A1006" s="1" t="s">
        <v>3421</v>
      </c>
      <c r="B1006" s="1"/>
      <c r="C1006" s="1"/>
      <c r="D1006" s="1"/>
      <c r="E1006" s="1"/>
      <c r="F1006" s="1"/>
      <c r="G1006" s="1" t="s">
        <v>24</v>
      </c>
      <c r="H1006" s="2">
        <v>317</v>
      </c>
      <c r="I1006" s="1" t="s">
        <v>3422</v>
      </c>
      <c r="J1006" s="1" t="s">
        <v>3037</v>
      </c>
      <c r="K1006" s="1" t="s">
        <v>36</v>
      </c>
      <c r="L1006" s="1" t="s">
        <v>3423</v>
      </c>
      <c r="M1006" s="6" t="str">
        <f>_xlfn.CONCAT(Table1[[#This Row],[Billing Street]], ", ", Table1[[#This Row],[Billing City]], ", ", Table1[[#This Row],[Billing State/Province]], ", ", Table1[[#This Row],[Billing Zip/Postal Code]])</f>
        <v>7990 Steer Lake Rd, Orlando, FL, 32835</v>
      </c>
    </row>
    <row r="1007" spans="1:13" ht="15.6" x14ac:dyDescent="0.3">
      <c r="A1007" s="1" t="s">
        <v>3424</v>
      </c>
      <c r="B1007" s="1"/>
      <c r="C1007" s="1"/>
      <c r="D1007" s="1"/>
      <c r="E1007" s="1"/>
      <c r="F1007" s="1"/>
      <c r="G1007" s="1" t="s">
        <v>24</v>
      </c>
      <c r="H1007" s="2">
        <v>287</v>
      </c>
      <c r="I1007" s="1" t="s">
        <v>3425</v>
      </c>
      <c r="J1007" s="1" t="s">
        <v>1882</v>
      </c>
      <c r="K1007" s="1" t="s">
        <v>36</v>
      </c>
      <c r="L1007" s="1" t="s">
        <v>3426</v>
      </c>
      <c r="M1007" s="6" t="str">
        <f>_xlfn.CONCAT(Table1[[#This Row],[Billing Street]], ", ", Table1[[#This Row],[Billing City]], ", ", Table1[[#This Row],[Billing State/Province]], ", ", Table1[[#This Row],[Billing Zip/Postal Code]])</f>
        <v>2720 CR 470, Leesburg, FL, 34762</v>
      </c>
    </row>
    <row r="1008" spans="1:13" ht="15.6" x14ac:dyDescent="0.3">
      <c r="A1008" s="1" t="s">
        <v>3427</v>
      </c>
      <c r="B1008" s="1"/>
      <c r="C1008" s="1"/>
      <c r="D1008" s="1"/>
      <c r="E1008" s="1"/>
      <c r="F1008" s="1"/>
      <c r="G1008" s="1" t="s">
        <v>24</v>
      </c>
      <c r="H1008" s="2">
        <v>290</v>
      </c>
      <c r="I1008" s="1" t="s">
        <v>3428</v>
      </c>
      <c r="J1008" s="1" t="s">
        <v>1882</v>
      </c>
      <c r="K1008" s="1" t="s">
        <v>36</v>
      </c>
      <c r="L1008" s="1" t="s">
        <v>3429</v>
      </c>
      <c r="M1008" s="6" t="str">
        <f>_xlfn.CONCAT(Table1[[#This Row],[Billing Street]], ", ", Table1[[#This Row],[Billing City]], ", ", Table1[[#This Row],[Billing State/Province]], ", ", Table1[[#This Row],[Billing Zip/Postal Code]])</f>
        <v>11325 CR 44, Leesburg, FL, 34788</v>
      </c>
    </row>
    <row r="1009" spans="1:13" ht="15.6" hidden="1" x14ac:dyDescent="0.3">
      <c r="A1009" s="1" t="s">
        <v>3430</v>
      </c>
      <c r="B1009" s="1"/>
      <c r="C1009" s="1"/>
      <c r="D1009" s="1"/>
      <c r="E1009" s="1"/>
      <c r="F1009" s="1"/>
      <c r="G1009" s="1" t="s">
        <v>13</v>
      </c>
      <c r="H1009" s="2">
        <v>0</v>
      </c>
      <c r="I1009" s="1" t="s">
        <v>13</v>
      </c>
      <c r="J1009" s="1" t="s">
        <v>13</v>
      </c>
      <c r="K1009" s="1" t="s">
        <v>13</v>
      </c>
      <c r="L1009" s="1" t="s">
        <v>13</v>
      </c>
      <c r="M1009" s="6" t="str">
        <f>_xlfn.CONCAT(Table1[[#This Row],[Billing Street]], ", ", Table1[[#This Row],[Billing City]], ", ", Table1[[#This Row],[Billing State/Province]], ", ", Table1[[#This Row],[Billing Zip/Postal Code]])</f>
        <v xml:space="preserve">, , , </v>
      </c>
    </row>
    <row r="1010" spans="1:13" ht="15.6" hidden="1" x14ac:dyDescent="0.3">
      <c r="A1010" s="1" t="s">
        <v>3431</v>
      </c>
      <c r="B1010" s="1"/>
      <c r="C1010" s="1"/>
      <c r="D1010" s="1"/>
      <c r="E1010" s="1"/>
      <c r="F1010" s="1"/>
      <c r="G1010" s="1" t="s">
        <v>13</v>
      </c>
      <c r="H1010" s="2">
        <v>0</v>
      </c>
      <c r="I1010" s="1" t="s">
        <v>13</v>
      </c>
      <c r="J1010" s="1" t="s">
        <v>13</v>
      </c>
      <c r="K1010" s="1" t="s">
        <v>13</v>
      </c>
      <c r="L1010" s="1" t="s">
        <v>13</v>
      </c>
      <c r="M1010" s="6" t="str">
        <f>_xlfn.CONCAT(Table1[[#This Row],[Billing Street]], ", ", Table1[[#This Row],[Billing City]], ", ", Table1[[#This Row],[Billing State/Province]], ", ", Table1[[#This Row],[Billing Zip/Postal Code]])</f>
        <v xml:space="preserve">, , , </v>
      </c>
    </row>
    <row r="1011" spans="1:13" ht="15.6" hidden="1" x14ac:dyDescent="0.3">
      <c r="A1011" s="1" t="s">
        <v>3432</v>
      </c>
      <c r="B1011" s="1"/>
      <c r="C1011" s="1"/>
      <c r="D1011" s="1"/>
      <c r="E1011" s="1"/>
      <c r="F1011" s="1"/>
      <c r="G1011" s="1" t="s">
        <v>43</v>
      </c>
      <c r="H1011" s="2">
        <v>5776</v>
      </c>
      <c r="I1011" s="1" t="s">
        <v>3433</v>
      </c>
      <c r="J1011" s="1" t="s">
        <v>780</v>
      </c>
      <c r="K1011" s="1" t="s">
        <v>1154</v>
      </c>
      <c r="L1011" s="1" t="s">
        <v>3434</v>
      </c>
      <c r="M1011" s="6" t="str">
        <f>_xlfn.CONCAT(Table1[[#This Row],[Billing Street]], ", ", Table1[[#This Row],[Billing City]], ", ", Table1[[#This Row],[Billing State/Province]], ", ", Table1[[#This Row],[Billing Zip/Postal Code]])</f>
        <v>2542 E Ann St, Philadelphia, Pa, 19134</v>
      </c>
    </row>
    <row r="1012" spans="1:13" ht="15.6" hidden="1" x14ac:dyDescent="0.3">
      <c r="A1012" s="1" t="s">
        <v>3435</v>
      </c>
      <c r="B1012" s="1"/>
      <c r="C1012" s="1"/>
      <c r="D1012" s="1"/>
      <c r="E1012" s="1"/>
      <c r="F1012" s="1"/>
      <c r="G1012" s="1" t="s">
        <v>43</v>
      </c>
      <c r="H1012" s="2">
        <v>112</v>
      </c>
      <c r="I1012" s="1" t="s">
        <v>3436</v>
      </c>
      <c r="J1012" s="1" t="s">
        <v>3253</v>
      </c>
      <c r="K1012" s="1" t="s">
        <v>82</v>
      </c>
      <c r="L1012" s="1" t="s">
        <v>3437</v>
      </c>
      <c r="M1012" s="6" t="str">
        <f>_xlfn.CONCAT(Table1[[#This Row],[Billing Street]], ", ", Table1[[#This Row],[Billing City]], ", ", Table1[[#This Row],[Billing State/Province]], ", ", Table1[[#This Row],[Billing Zip/Postal Code]])</f>
        <v>26801 Groesbeck Highway, Warren, MI, 48089</v>
      </c>
    </row>
    <row r="1013" spans="1:13" ht="15.6" x14ac:dyDescent="0.3">
      <c r="A1013" s="1" t="s">
        <v>3438</v>
      </c>
      <c r="B1013" s="1"/>
      <c r="C1013" s="1"/>
      <c r="D1013" s="1"/>
      <c r="E1013" s="1"/>
      <c r="F1013" s="1"/>
      <c r="G1013" s="1" t="s">
        <v>24</v>
      </c>
      <c r="H1013" s="2">
        <v>278</v>
      </c>
      <c r="I1013" s="1" t="s">
        <v>3439</v>
      </c>
      <c r="J1013" s="1" t="s">
        <v>3440</v>
      </c>
      <c r="K1013" s="1" t="s">
        <v>36</v>
      </c>
      <c r="L1013" s="1" t="s">
        <v>3441</v>
      </c>
      <c r="M1013" s="6" t="str">
        <f>_xlfn.CONCAT(Table1[[#This Row],[Billing Street]], ", ", Table1[[#This Row],[Billing City]], ", ", Table1[[#This Row],[Billing State/Province]], ", ", Table1[[#This Row],[Billing Zip/Postal Code]])</f>
        <v>1575 East DR 470, Sumterville, FL, 33585</v>
      </c>
    </row>
    <row r="1014" spans="1:13" ht="15.6" x14ac:dyDescent="0.3">
      <c r="A1014" s="1" t="s">
        <v>3442</v>
      </c>
      <c r="B1014" s="1"/>
      <c r="C1014" s="1"/>
      <c r="D1014" s="1"/>
      <c r="E1014" s="1"/>
      <c r="F1014" s="1"/>
      <c r="G1014" s="1" t="s">
        <v>24</v>
      </c>
      <c r="H1014" s="2">
        <v>5988</v>
      </c>
      <c r="I1014" s="1" t="s">
        <v>3443</v>
      </c>
      <c r="J1014" s="1" t="s">
        <v>1727</v>
      </c>
      <c r="K1014" s="1" t="s">
        <v>577</v>
      </c>
      <c r="L1014" s="1" t="s">
        <v>13</v>
      </c>
      <c r="M1014" s="6" t="str">
        <f>_xlfn.CONCAT(Table1[[#This Row],[Billing Street]], ", ", Table1[[#This Row],[Billing City]], ", ", Table1[[#This Row],[Billing State/Province]], ", ", Table1[[#This Row],[Billing Zip/Postal Code]])</f>
        <v xml:space="preserve">2961 Hwy 15, Winnsboro, LA, </v>
      </c>
    </row>
    <row r="1015" spans="1:13" ht="15.6" hidden="1" x14ac:dyDescent="0.3">
      <c r="A1015" s="1" t="s">
        <v>3444</v>
      </c>
      <c r="B1015" s="1"/>
      <c r="C1015" s="1"/>
      <c r="D1015" s="1"/>
      <c r="E1015" s="1"/>
      <c r="F1015" s="1"/>
      <c r="G1015" s="1" t="s">
        <v>43</v>
      </c>
      <c r="H1015" s="2">
        <v>11273</v>
      </c>
      <c r="I1015" s="1" t="s">
        <v>3445</v>
      </c>
      <c r="J1015" s="1" t="s">
        <v>2337</v>
      </c>
      <c r="K1015" s="1" t="s">
        <v>3104</v>
      </c>
      <c r="L1015" s="1" t="s">
        <v>3446</v>
      </c>
      <c r="M1015" s="6" t="str">
        <f>_xlfn.CONCAT(Table1[[#This Row],[Billing Street]], ", ", Table1[[#This Row],[Billing City]], ", ", Table1[[#This Row],[Billing State/Province]], ", ", Table1[[#This Row],[Billing Zip/Postal Code]])</f>
        <v>505 Main St, Farmington, ct, 6032</v>
      </c>
    </row>
    <row r="1016" spans="1:13" ht="15.6" x14ac:dyDescent="0.3">
      <c r="A1016" s="1" t="s">
        <v>3447</v>
      </c>
      <c r="B1016" s="1"/>
      <c r="C1016" s="1"/>
      <c r="D1016" s="1"/>
      <c r="E1016" s="1"/>
      <c r="F1016" s="1"/>
      <c r="G1016" s="1" t="s">
        <v>24</v>
      </c>
      <c r="H1016" s="2">
        <v>5988</v>
      </c>
      <c r="I1016" s="1" t="s">
        <v>3448</v>
      </c>
      <c r="J1016" s="1" t="s">
        <v>613</v>
      </c>
      <c r="K1016" s="1" t="s">
        <v>36</v>
      </c>
      <c r="L1016" s="1" t="s">
        <v>13</v>
      </c>
      <c r="M1016" s="6" t="str">
        <f>_xlfn.CONCAT(Table1[[#This Row],[Billing Street]], ", ", Table1[[#This Row],[Billing City]], ", ", Table1[[#This Row],[Billing State/Province]], ", ", Table1[[#This Row],[Billing Zip/Postal Code]])</f>
        <v xml:space="preserve">3512 S Hwy 301, Bushnell, FL, </v>
      </c>
    </row>
    <row r="1017" spans="1:13" ht="15.6" hidden="1" x14ac:dyDescent="0.3">
      <c r="A1017" s="1" t="s">
        <v>3449</v>
      </c>
      <c r="B1017" s="1"/>
      <c r="C1017" s="1"/>
      <c r="D1017" s="1"/>
      <c r="E1017" s="1"/>
      <c r="F1017" s="1"/>
      <c r="G1017" s="1" t="s">
        <v>43</v>
      </c>
      <c r="H1017" s="2">
        <v>5776</v>
      </c>
      <c r="I1017" s="1" t="s">
        <v>3450</v>
      </c>
      <c r="J1017" s="1" t="s">
        <v>3451</v>
      </c>
      <c r="K1017" s="1" t="s">
        <v>1745</v>
      </c>
      <c r="L1017" s="1" t="s">
        <v>3452</v>
      </c>
      <c r="M1017" s="6" t="str">
        <f>_xlfn.CONCAT(Table1[[#This Row],[Billing Street]], ", ", Table1[[#This Row],[Billing City]], ", ", Table1[[#This Row],[Billing State/Province]], ", ", Table1[[#This Row],[Billing Zip/Postal Code]])</f>
        <v>2050 Center Ave suite 550, Fort Lee, nj, 7024</v>
      </c>
    </row>
    <row r="1018" spans="1:13" ht="15.6" hidden="1" x14ac:dyDescent="0.3">
      <c r="A1018" s="1" t="s">
        <v>3453</v>
      </c>
      <c r="B1018" s="1"/>
      <c r="C1018" s="1"/>
      <c r="D1018" s="1"/>
      <c r="E1018" s="1"/>
      <c r="F1018" s="1"/>
      <c r="G1018" s="1" t="s">
        <v>43</v>
      </c>
      <c r="H1018" s="2">
        <v>234</v>
      </c>
      <c r="I1018" s="1" t="s">
        <v>3454</v>
      </c>
      <c r="J1018" s="1" t="s">
        <v>3455</v>
      </c>
      <c r="K1018" s="1" t="s">
        <v>3373</v>
      </c>
      <c r="L1018" s="1" t="s">
        <v>3456</v>
      </c>
      <c r="M1018" s="6" t="str">
        <f>_xlfn.CONCAT(Table1[[#This Row],[Billing Street]], ", ", Table1[[#This Row],[Billing City]], ", ", Table1[[#This Row],[Billing State/Province]], ", ", Table1[[#This Row],[Billing Zip/Postal Code]])</f>
        <v>300 State St Suite 201, Rochester, Ny, 14614</v>
      </c>
    </row>
    <row r="1019" spans="1:13" ht="15.6" hidden="1" x14ac:dyDescent="0.3">
      <c r="A1019" s="1" t="s">
        <v>3457</v>
      </c>
      <c r="B1019" s="1"/>
      <c r="C1019" s="1"/>
      <c r="D1019" s="1"/>
      <c r="E1019" s="1"/>
      <c r="F1019" s="1"/>
      <c r="G1019" s="1" t="s">
        <v>43</v>
      </c>
      <c r="H1019" s="2">
        <v>5776</v>
      </c>
      <c r="I1019" s="1" t="s">
        <v>3458</v>
      </c>
      <c r="J1019" s="1" t="s">
        <v>3459</v>
      </c>
      <c r="K1019" s="1" t="s">
        <v>586</v>
      </c>
      <c r="L1019" s="1" t="s">
        <v>3460</v>
      </c>
      <c r="M1019" s="6" t="str">
        <f>_xlfn.CONCAT(Table1[[#This Row],[Billing Street]], ", ", Table1[[#This Row],[Billing City]], ", ", Table1[[#This Row],[Billing State/Province]], ", ", Table1[[#This Row],[Billing Zip/Postal Code]])</f>
        <v>11 Front Street, weymouth, ma, 2188</v>
      </c>
    </row>
    <row r="1020" spans="1:13" ht="15.6" hidden="1" x14ac:dyDescent="0.3">
      <c r="A1020" s="1" t="s">
        <v>3461</v>
      </c>
      <c r="B1020" s="1"/>
      <c r="C1020" s="1"/>
      <c r="D1020" s="1"/>
      <c r="E1020" s="1"/>
      <c r="F1020" s="1"/>
      <c r="G1020" s="1" t="s">
        <v>43</v>
      </c>
      <c r="H1020" s="2">
        <v>318</v>
      </c>
      <c r="I1020" s="1" t="s">
        <v>3462</v>
      </c>
      <c r="J1020" s="1" t="s">
        <v>3463</v>
      </c>
      <c r="K1020" s="1" t="s">
        <v>1191</v>
      </c>
      <c r="L1020" s="1" t="s">
        <v>3464</v>
      </c>
      <c r="M1020" s="6" t="str">
        <f>_xlfn.CONCAT(Table1[[#This Row],[Billing Street]], ", ", Table1[[#This Row],[Billing City]], ", ", Table1[[#This Row],[Billing State/Province]], ", ", Table1[[#This Row],[Billing Zip/Postal Code]])</f>
        <v>444 Terry Blvd, Lousville, KY, 40229</v>
      </c>
    </row>
    <row r="1021" spans="1:13" ht="15.6" hidden="1" x14ac:dyDescent="0.3">
      <c r="A1021" s="1" t="s">
        <v>3465</v>
      </c>
      <c r="B1021" s="1"/>
      <c r="C1021" s="1"/>
      <c r="D1021" s="1"/>
      <c r="E1021" s="1"/>
      <c r="F1021" s="1"/>
      <c r="G1021" s="1" t="s">
        <v>43</v>
      </c>
      <c r="H1021" s="2">
        <v>33</v>
      </c>
      <c r="I1021" s="1" t="s">
        <v>3466</v>
      </c>
      <c r="J1021" s="1" t="s">
        <v>1940</v>
      </c>
      <c r="K1021" s="1" t="s">
        <v>45</v>
      </c>
      <c r="L1021" s="1" t="s">
        <v>3467</v>
      </c>
      <c r="M1021" s="6" t="str">
        <f>_xlfn.CONCAT(Table1[[#This Row],[Billing Street]], ", ", Table1[[#This Row],[Billing City]], ", ", Table1[[#This Row],[Billing State/Province]], ", ", Table1[[#This Row],[Billing Zip/Postal Code]])</f>
        <v>3721 Whipple Avenue Northwest, Canton, OH, 44718</v>
      </c>
    </row>
    <row r="1022" spans="1:13" ht="15.6" x14ac:dyDescent="0.3">
      <c r="A1022" s="1" t="s">
        <v>3468</v>
      </c>
      <c r="B1022" s="1"/>
      <c r="C1022" s="1"/>
      <c r="D1022" s="1"/>
      <c r="E1022" s="1"/>
      <c r="F1022" s="1"/>
      <c r="G1022" s="1" t="s">
        <v>24</v>
      </c>
      <c r="H1022" s="2">
        <v>261</v>
      </c>
      <c r="I1022" s="1" t="s">
        <v>3469</v>
      </c>
      <c r="J1022" s="1" t="s">
        <v>1668</v>
      </c>
      <c r="K1022" s="1" t="s">
        <v>36</v>
      </c>
      <c r="L1022" s="1" t="s">
        <v>3470</v>
      </c>
      <c r="M1022" s="6" t="str">
        <f>_xlfn.CONCAT(Table1[[#This Row],[Billing Street]], ", ", Table1[[#This Row],[Billing City]], ", ", Table1[[#This Row],[Billing State/Province]], ", ", Table1[[#This Row],[Billing Zip/Postal Code]])</f>
        <v>627 N. Lane Av, Jacksonville, FL, 32254</v>
      </c>
    </row>
    <row r="1023" spans="1:13" ht="15.6" x14ac:dyDescent="0.3">
      <c r="A1023" s="1" t="s">
        <v>3471</v>
      </c>
      <c r="B1023" s="1"/>
      <c r="C1023" s="1"/>
      <c r="D1023" s="1"/>
      <c r="E1023" s="1"/>
      <c r="F1023" s="1"/>
      <c r="G1023" s="1" t="s">
        <v>24</v>
      </c>
      <c r="H1023" s="2">
        <v>326</v>
      </c>
      <c r="I1023" s="1" t="s">
        <v>3472</v>
      </c>
      <c r="J1023" s="1" t="s">
        <v>3037</v>
      </c>
      <c r="K1023" s="1" t="s">
        <v>36</v>
      </c>
      <c r="L1023" s="1" t="s">
        <v>3473</v>
      </c>
      <c r="M1023" s="6" t="str">
        <f>_xlfn.CONCAT(Table1[[#This Row],[Billing Street]], ", ", Table1[[#This Row],[Billing City]], ", ", Table1[[#This Row],[Billing State/Province]], ", ", Table1[[#This Row],[Billing Zip/Postal Code]])</f>
        <v>39 W. Landstreet Rd, Orlando, FL, 32624</v>
      </c>
    </row>
    <row r="1024" spans="1:13" ht="15.6" x14ac:dyDescent="0.3">
      <c r="A1024" s="1" t="s">
        <v>3474</v>
      </c>
      <c r="B1024" s="1"/>
      <c r="C1024" s="1"/>
      <c r="D1024" s="1"/>
      <c r="E1024" s="1"/>
      <c r="F1024" s="1"/>
      <c r="G1024" s="1" t="s">
        <v>24</v>
      </c>
      <c r="H1024" s="2">
        <v>5988</v>
      </c>
      <c r="I1024" s="1" t="s">
        <v>3475</v>
      </c>
      <c r="J1024" s="1" t="s">
        <v>1831</v>
      </c>
      <c r="K1024" s="1" t="s">
        <v>31</v>
      </c>
      <c r="L1024" s="1" t="s">
        <v>3476</v>
      </c>
      <c r="M1024" s="6" t="str">
        <f>_xlfn.CONCAT(Table1[[#This Row],[Billing Street]], ", ", Table1[[#This Row],[Billing City]], ", ", Table1[[#This Row],[Billing State/Province]], ", ", Table1[[#This Row],[Billing Zip/Postal Code]])</f>
        <v>3963 Sharon Road, Laurel, MS, 39443</v>
      </c>
    </row>
    <row r="1025" spans="1:13" ht="15.6" hidden="1" x14ac:dyDescent="0.3">
      <c r="A1025" s="1" t="s">
        <v>3477</v>
      </c>
      <c r="B1025" s="1"/>
      <c r="C1025" s="1"/>
      <c r="D1025" s="1"/>
      <c r="E1025" s="1"/>
      <c r="F1025" s="1"/>
      <c r="G1025" s="1" t="s">
        <v>43</v>
      </c>
      <c r="H1025" s="2">
        <v>5776</v>
      </c>
      <c r="I1025" s="1" t="s">
        <v>13</v>
      </c>
      <c r="J1025" s="1" t="s">
        <v>3170</v>
      </c>
      <c r="K1025" s="1" t="s">
        <v>1191</v>
      </c>
      <c r="L1025" s="1" t="s">
        <v>13</v>
      </c>
      <c r="M1025" s="6" t="str">
        <f>_xlfn.CONCAT(Table1[[#This Row],[Billing Street]], ", ", Table1[[#This Row],[Billing City]], ", ", Table1[[#This Row],[Billing State/Province]], ", ", Table1[[#This Row],[Billing Zip/Postal Code]])</f>
        <v xml:space="preserve">, Glasgow, KY, </v>
      </c>
    </row>
    <row r="1026" spans="1:13" ht="15.6" x14ac:dyDescent="0.3">
      <c r="A1026" s="1" t="s">
        <v>3478</v>
      </c>
      <c r="B1026" s="1"/>
      <c r="C1026" s="1"/>
      <c r="D1026" s="1"/>
      <c r="E1026" s="1"/>
      <c r="F1026" s="1"/>
      <c r="G1026" s="1" t="s">
        <v>24</v>
      </c>
      <c r="H1026" s="2">
        <v>322</v>
      </c>
      <c r="I1026" s="1" t="s">
        <v>3479</v>
      </c>
      <c r="J1026" s="1" t="s">
        <v>3037</v>
      </c>
      <c r="K1026" s="1" t="s">
        <v>36</v>
      </c>
      <c r="L1026" s="1" t="s">
        <v>3480</v>
      </c>
      <c r="M1026" s="6" t="str">
        <f>_xlfn.CONCAT(Table1[[#This Row],[Billing Street]], ", ", Table1[[#This Row],[Billing City]], ", ", Table1[[#This Row],[Billing State/Province]], ", ", Table1[[#This Row],[Billing Zip/Postal Code]])</f>
        <v>530 Grand St, Orlando, FL, 32805</v>
      </c>
    </row>
    <row r="1027" spans="1:13" ht="15.6" x14ac:dyDescent="0.3">
      <c r="A1027" s="1" t="s">
        <v>3481</v>
      </c>
      <c r="B1027" s="1"/>
      <c r="C1027" s="1"/>
      <c r="D1027" s="1"/>
      <c r="E1027" s="1"/>
      <c r="F1027" s="1"/>
      <c r="G1027" s="1" t="s">
        <v>24</v>
      </c>
      <c r="H1027" s="2">
        <v>261</v>
      </c>
      <c r="I1027" s="1" t="s">
        <v>3482</v>
      </c>
      <c r="J1027" s="1" t="s">
        <v>1668</v>
      </c>
      <c r="K1027" s="1" t="s">
        <v>36</v>
      </c>
      <c r="L1027" s="1" t="s">
        <v>3470</v>
      </c>
      <c r="M1027" s="6" t="str">
        <f>_xlfn.CONCAT(Table1[[#This Row],[Billing Street]], ", ", Table1[[#This Row],[Billing City]], ", ", Table1[[#This Row],[Billing State/Province]], ", ", Table1[[#This Row],[Billing Zip/Postal Code]])</f>
        <v>2051 Lane Av N, Jacksonville, FL, 32254</v>
      </c>
    </row>
    <row r="1028" spans="1:13" ht="15.6" hidden="1" x14ac:dyDescent="0.3">
      <c r="A1028" s="1" t="s">
        <v>3483</v>
      </c>
      <c r="B1028" s="1"/>
      <c r="C1028" s="1"/>
      <c r="D1028" s="1"/>
      <c r="E1028" s="1"/>
      <c r="F1028" s="1"/>
      <c r="G1028" s="1" t="s">
        <v>8</v>
      </c>
      <c r="H1028" s="2">
        <v>867</v>
      </c>
      <c r="I1028" s="1" t="s">
        <v>3484</v>
      </c>
      <c r="J1028" s="1" t="s">
        <v>498</v>
      </c>
      <c r="K1028" s="1" t="s">
        <v>410</v>
      </c>
      <c r="L1028" s="1" t="s">
        <v>499</v>
      </c>
      <c r="M1028" s="6" t="str">
        <f>_xlfn.CONCAT(Table1[[#This Row],[Billing Street]], ", ", Table1[[#This Row],[Billing City]], ", ", Table1[[#This Row],[Billing State/Province]], ", ", Table1[[#This Row],[Billing Zip/Postal Code]])</f>
        <v>951 East 5th Street, Powell, WY, 82435</v>
      </c>
    </row>
    <row r="1029" spans="1:13" ht="15.6" hidden="1" x14ac:dyDescent="0.3">
      <c r="A1029" s="1" t="s">
        <v>3485</v>
      </c>
      <c r="B1029" s="1"/>
      <c r="C1029" s="1"/>
      <c r="D1029" s="1"/>
      <c r="E1029" s="1"/>
      <c r="F1029" s="1"/>
      <c r="G1029" s="1" t="s">
        <v>8</v>
      </c>
      <c r="H1029" s="2">
        <v>823</v>
      </c>
      <c r="I1029" s="1" t="s">
        <v>3486</v>
      </c>
      <c r="J1029" s="1" t="s">
        <v>3487</v>
      </c>
      <c r="K1029" s="1" t="s">
        <v>410</v>
      </c>
      <c r="L1029" s="1" t="s">
        <v>3488</v>
      </c>
      <c r="M1029" s="6" t="str">
        <f>_xlfn.CONCAT(Table1[[#This Row],[Billing Street]], ", ", Table1[[#This Row],[Billing City]], ", ", Table1[[#This Row],[Billing State/Province]], ", ", Table1[[#This Row],[Billing Zip/Postal Code]])</f>
        <v>208 S 5th St, Basin, WY, 82410</v>
      </c>
    </row>
    <row r="1030" spans="1:13" ht="15.6" hidden="1" x14ac:dyDescent="0.3">
      <c r="A1030" s="1" t="s">
        <v>3489</v>
      </c>
      <c r="B1030" s="1"/>
      <c r="C1030" s="1"/>
      <c r="D1030" s="1"/>
      <c r="E1030" s="1"/>
      <c r="F1030" s="1"/>
      <c r="G1030" s="1" t="s">
        <v>43</v>
      </c>
      <c r="H1030" s="2">
        <v>163</v>
      </c>
      <c r="I1030" s="1" t="s">
        <v>3490</v>
      </c>
      <c r="J1030" s="1" t="s">
        <v>3491</v>
      </c>
      <c r="K1030" s="1" t="s">
        <v>45</v>
      </c>
      <c r="L1030" s="1" t="s">
        <v>3492</v>
      </c>
      <c r="M1030" s="6" t="str">
        <f>_xlfn.CONCAT(Table1[[#This Row],[Billing Street]], ", ", Table1[[#This Row],[Billing City]], ", ", Table1[[#This Row],[Billing State/Province]], ", ", Table1[[#This Row],[Billing Zip/Postal Code]])</f>
        <v>411 First Street, Pioneer, OH, 43554</v>
      </c>
    </row>
    <row r="1031" spans="1:13" ht="15.6" hidden="1" x14ac:dyDescent="0.3">
      <c r="A1031" s="1" t="s">
        <v>3493</v>
      </c>
      <c r="B1031" s="1"/>
      <c r="C1031" s="1"/>
      <c r="D1031" s="1"/>
      <c r="E1031" s="1"/>
      <c r="F1031" s="1"/>
      <c r="G1031" s="1" t="s">
        <v>43</v>
      </c>
      <c r="H1031" s="2">
        <v>164</v>
      </c>
      <c r="I1031" s="1" t="s">
        <v>3494</v>
      </c>
      <c r="J1031" s="1" t="s">
        <v>3495</v>
      </c>
      <c r="K1031" s="1" t="s">
        <v>45</v>
      </c>
      <c r="L1031" s="1" t="s">
        <v>3496</v>
      </c>
      <c r="M1031" s="6" t="str">
        <f>_xlfn.CONCAT(Table1[[#This Row],[Billing Street]], ", ", Table1[[#This Row],[Billing City]], ", ", Table1[[#This Row],[Billing State/Province]], ", ", Table1[[#This Row],[Billing Zip/Postal Code]])</f>
        <v>04125 State Route 576, Bryan, OH, 43506</v>
      </c>
    </row>
    <row r="1032" spans="1:13" ht="15.6" x14ac:dyDescent="0.3">
      <c r="A1032" s="1" t="s">
        <v>3497</v>
      </c>
      <c r="B1032" s="1"/>
      <c r="C1032" s="1"/>
      <c r="D1032" s="1"/>
      <c r="E1032" s="1"/>
      <c r="F1032" s="1"/>
      <c r="G1032" s="1" t="s">
        <v>24</v>
      </c>
      <c r="H1032" s="2">
        <v>312</v>
      </c>
      <c r="I1032" s="1" t="s">
        <v>3498</v>
      </c>
      <c r="J1032" s="1" t="s">
        <v>3499</v>
      </c>
      <c r="K1032" s="1" t="s">
        <v>577</v>
      </c>
      <c r="L1032" s="1" t="s">
        <v>3500</v>
      </c>
      <c r="M1032" s="6" t="str">
        <f>_xlfn.CONCAT(Table1[[#This Row],[Billing Street]], ", ", Table1[[#This Row],[Billing City]], ", ", Table1[[#This Row],[Billing State/Province]], ", ", Table1[[#This Row],[Billing Zip/Postal Code]])</f>
        <v>512 First Street, Morgan City, LA, 70381</v>
      </c>
    </row>
    <row r="1033" spans="1:13" ht="15.6" x14ac:dyDescent="0.3">
      <c r="A1033" s="1" t="s">
        <v>3501</v>
      </c>
      <c r="B1033" s="1"/>
      <c r="C1033" s="1"/>
      <c r="D1033" s="1"/>
      <c r="E1033" s="1"/>
      <c r="F1033" s="1"/>
      <c r="G1033" s="1" t="s">
        <v>24</v>
      </c>
      <c r="H1033" s="2">
        <v>272</v>
      </c>
      <c r="I1033" s="1" t="s">
        <v>3502</v>
      </c>
      <c r="J1033" s="1" t="s">
        <v>1668</v>
      </c>
      <c r="K1033" s="1" t="s">
        <v>36</v>
      </c>
      <c r="L1033" s="1" t="s">
        <v>3503</v>
      </c>
      <c r="M1033" s="6" t="str">
        <f>_xlfn.CONCAT(Table1[[#This Row],[Billing Street]], ", ", Table1[[#This Row],[Billing City]], ", ", Table1[[#This Row],[Billing State/Province]], ", ", Table1[[#This Row],[Billing Zip/Postal Code]])</f>
        <v>4031 Faye Rd, Jacksonville, FL, 32226</v>
      </c>
    </row>
    <row r="1034" spans="1:13" ht="15.6" hidden="1" x14ac:dyDescent="0.3">
      <c r="A1034" s="1" t="s">
        <v>3504</v>
      </c>
      <c r="B1034" s="1"/>
      <c r="C1034" s="1"/>
      <c r="D1034" s="1"/>
      <c r="E1034" s="1"/>
      <c r="F1034" s="1"/>
      <c r="G1034" s="1" t="s">
        <v>43</v>
      </c>
      <c r="H1034" s="2">
        <v>160</v>
      </c>
      <c r="I1034" s="1" t="s">
        <v>3505</v>
      </c>
      <c r="J1034" s="1" t="s">
        <v>3495</v>
      </c>
      <c r="K1034" s="1" t="s">
        <v>45</v>
      </c>
      <c r="L1034" s="1" t="s">
        <v>3496</v>
      </c>
      <c r="M1034" s="6" t="str">
        <f>_xlfn.CONCAT(Table1[[#This Row],[Billing Street]], ", ", Table1[[#This Row],[Billing City]], ", ", Table1[[#This Row],[Billing State/Province]], ", ", Table1[[#This Row],[Billing Zip/Postal Code]])</f>
        <v>841 E. Edgerton Street, Bryan, OH, 43506</v>
      </c>
    </row>
    <row r="1035" spans="1:13" ht="15.6" hidden="1" x14ac:dyDescent="0.3">
      <c r="A1035" s="1" t="s">
        <v>3506</v>
      </c>
      <c r="B1035" s="1"/>
      <c r="C1035" s="1"/>
      <c r="D1035" s="1"/>
      <c r="E1035" s="1"/>
      <c r="F1035" s="1"/>
      <c r="G1035" s="1" t="s">
        <v>8</v>
      </c>
      <c r="H1035" s="2">
        <v>136</v>
      </c>
      <c r="I1035" s="1" t="s">
        <v>3507</v>
      </c>
      <c r="J1035" s="1" t="s">
        <v>3508</v>
      </c>
      <c r="K1035" s="1" t="s">
        <v>11</v>
      </c>
      <c r="L1035" s="1" t="s">
        <v>3509</v>
      </c>
      <c r="M1035" s="6" t="str">
        <f>_xlfn.CONCAT(Table1[[#This Row],[Billing Street]], ", ", Table1[[#This Row],[Billing City]], ", ", Table1[[#This Row],[Billing State/Province]], ", ", Table1[[#This Row],[Billing Zip/Postal Code]])</f>
        <v>1825 S 8th St, Clinton, MO, 64735</v>
      </c>
    </row>
    <row r="1036" spans="1:13" ht="15.6" hidden="1" x14ac:dyDescent="0.3">
      <c r="A1036" s="1" t="s">
        <v>3510</v>
      </c>
      <c r="B1036" s="1"/>
      <c r="C1036" s="1"/>
      <c r="D1036" s="1"/>
      <c r="E1036" s="1"/>
      <c r="F1036" s="1"/>
      <c r="G1036" s="1" t="s">
        <v>8</v>
      </c>
      <c r="H1036" s="2">
        <v>216</v>
      </c>
      <c r="I1036" s="1" t="s">
        <v>3511</v>
      </c>
      <c r="J1036" s="1" t="s">
        <v>193</v>
      </c>
      <c r="K1036" s="1" t="s">
        <v>11</v>
      </c>
      <c r="L1036" s="1" t="s">
        <v>3512</v>
      </c>
      <c r="M1036" s="6" t="str">
        <f>_xlfn.CONCAT(Table1[[#This Row],[Billing Street]], ", ", Table1[[#This Row],[Billing City]], ", ", Table1[[#This Row],[Billing State/Province]], ", ", Table1[[#This Row],[Billing Zip/Postal Code]])</f>
        <v>233 W Second St., Mountain View, MO, 65548</v>
      </c>
    </row>
    <row r="1037" spans="1:13" ht="15.6" hidden="1" x14ac:dyDescent="0.3">
      <c r="A1037" s="1" t="s">
        <v>3513</v>
      </c>
      <c r="B1037" s="1"/>
      <c r="C1037" s="1"/>
      <c r="D1037" s="1"/>
      <c r="E1037" s="1"/>
      <c r="F1037" s="1"/>
      <c r="G1037" s="1" t="s">
        <v>8</v>
      </c>
      <c r="H1037" s="2">
        <v>6528</v>
      </c>
      <c r="I1037" s="1" t="s">
        <v>3514</v>
      </c>
      <c r="J1037" s="1" t="s">
        <v>3170</v>
      </c>
      <c r="K1037" s="1" t="s">
        <v>2414</v>
      </c>
      <c r="L1037" s="1" t="s">
        <v>3515</v>
      </c>
      <c r="M1037" s="6" t="str">
        <f>_xlfn.CONCAT(Table1[[#This Row],[Billing Street]], ", ", Table1[[#This Row],[Billing City]], ", ", Table1[[#This Row],[Billing State/Province]], ", ", Table1[[#This Row],[Billing Zip/Postal Code]])</f>
        <v>1130 Us Highway 2 W, Glasgow, MT, 59230</v>
      </c>
    </row>
    <row r="1038" spans="1:13" ht="15.6" hidden="1" x14ac:dyDescent="0.3">
      <c r="A1038" s="1" t="s">
        <v>3516</v>
      </c>
      <c r="B1038" s="1"/>
      <c r="C1038" s="1"/>
      <c r="D1038" s="1"/>
      <c r="E1038" s="1"/>
      <c r="F1038" s="1"/>
      <c r="G1038" s="1" t="s">
        <v>205</v>
      </c>
      <c r="H1038" s="2">
        <v>728</v>
      </c>
      <c r="I1038" s="1" t="s">
        <v>3517</v>
      </c>
      <c r="J1038" s="1" t="s">
        <v>3518</v>
      </c>
      <c r="K1038" s="1" t="s">
        <v>2309</v>
      </c>
      <c r="L1038" s="1" t="s">
        <v>3519</v>
      </c>
      <c r="M1038" s="6" t="str">
        <f>_xlfn.CONCAT(Table1[[#This Row],[Billing Street]], ", ", Table1[[#This Row],[Billing City]], ", ", Table1[[#This Row],[Billing State/Province]], ", ", Table1[[#This Row],[Billing Zip/Postal Code]])</f>
        <v>305 Pine St, Mackay, ID, 83251</v>
      </c>
    </row>
    <row r="1039" spans="1:13" ht="15.6" hidden="1" x14ac:dyDescent="0.3">
      <c r="A1039" s="1" t="s">
        <v>3520</v>
      </c>
      <c r="B1039" s="1"/>
      <c r="C1039" s="1"/>
      <c r="D1039" s="1"/>
      <c r="E1039" s="1"/>
      <c r="F1039" s="1"/>
      <c r="G1039" s="1" t="s">
        <v>8</v>
      </c>
      <c r="H1039" s="2">
        <v>239</v>
      </c>
      <c r="I1039" s="1" t="s">
        <v>3521</v>
      </c>
      <c r="J1039" s="1" t="s">
        <v>3522</v>
      </c>
      <c r="K1039" s="1" t="s">
        <v>11</v>
      </c>
      <c r="L1039" s="1" t="s">
        <v>3523</v>
      </c>
      <c r="M1039" s="6" t="str">
        <f>_xlfn.CONCAT(Table1[[#This Row],[Billing Street]], ", ", Table1[[#This Row],[Billing City]], ", ", Table1[[#This Row],[Billing State/Province]], ", ", Table1[[#This Row],[Billing Zip/Postal Code]])</f>
        <v>8848 Ash St., Winona, MO, 65588</v>
      </c>
    </row>
    <row r="1040" spans="1:13" ht="15.6" hidden="1" x14ac:dyDescent="0.3">
      <c r="A1040" s="1" t="s">
        <v>3524</v>
      </c>
      <c r="B1040" s="1"/>
      <c r="C1040" s="1"/>
      <c r="D1040" s="1"/>
      <c r="E1040" s="1"/>
      <c r="F1040" s="1"/>
      <c r="G1040" s="1" t="s">
        <v>54</v>
      </c>
      <c r="H1040" s="2">
        <v>658</v>
      </c>
      <c r="I1040" s="1" t="s">
        <v>3525</v>
      </c>
      <c r="J1040" s="1" t="s">
        <v>3526</v>
      </c>
      <c r="K1040" s="1" t="s">
        <v>2254</v>
      </c>
      <c r="L1040" s="1" t="s">
        <v>3527</v>
      </c>
      <c r="M1040" s="6" t="str">
        <f>_xlfn.CONCAT(Table1[[#This Row],[Billing Street]], ", ", Table1[[#This Row],[Billing City]], ", ", Table1[[#This Row],[Billing State/Province]], ", ", Table1[[#This Row],[Billing Zip/Postal Code]])</f>
        <v>277 Lottery Ln,, Hines, OR, 97738</v>
      </c>
    </row>
    <row r="1041" spans="1:13" ht="15.6" hidden="1" x14ac:dyDescent="0.3">
      <c r="A1041" s="1" t="s">
        <v>3528</v>
      </c>
      <c r="B1041" s="1"/>
      <c r="C1041" s="1"/>
      <c r="D1041" s="1"/>
      <c r="E1041" s="1"/>
      <c r="F1041" s="1"/>
      <c r="G1041" s="1" t="s">
        <v>8</v>
      </c>
      <c r="H1041" s="2">
        <v>309</v>
      </c>
      <c r="I1041" s="1" t="s">
        <v>3529</v>
      </c>
      <c r="J1041" s="1" t="s">
        <v>3530</v>
      </c>
      <c r="K1041" s="1" t="s">
        <v>11</v>
      </c>
      <c r="L1041" s="1" t="s">
        <v>3531</v>
      </c>
      <c r="M1041" s="6" t="str">
        <f>_xlfn.CONCAT(Table1[[#This Row],[Billing Street]], ", ", Table1[[#This Row],[Billing City]], ", ", Table1[[#This Row],[Billing State/Province]], ", ", Table1[[#This Row],[Billing Zip/Postal Code]])</f>
        <v>302 W. Grand Ave, Campbell, MO, 63933</v>
      </c>
    </row>
    <row r="1042" spans="1:13" ht="15.6" hidden="1" x14ac:dyDescent="0.3">
      <c r="A1042" s="1" t="s">
        <v>3532</v>
      </c>
      <c r="B1042" s="1"/>
      <c r="C1042" s="1"/>
      <c r="D1042" s="1"/>
      <c r="E1042" s="1"/>
      <c r="F1042" s="1"/>
      <c r="G1042" s="1" t="s">
        <v>43</v>
      </c>
      <c r="H1042" s="2">
        <v>5776</v>
      </c>
      <c r="I1042" s="1" t="s">
        <v>3533</v>
      </c>
      <c r="J1042" s="1" t="s">
        <v>3534</v>
      </c>
      <c r="K1042" s="1" t="s">
        <v>45</v>
      </c>
      <c r="L1042" s="1" t="s">
        <v>45</v>
      </c>
      <c r="M1042" s="6" t="str">
        <f>_xlfn.CONCAT(Table1[[#This Row],[Billing Street]], ", ", Table1[[#This Row],[Billing City]], ", ", Table1[[#This Row],[Billing State/Province]], ", ", Table1[[#This Row],[Billing Zip/Postal Code]])</f>
        <v>255 W. Riverfront Avenue, Napoleon, OH, OH</v>
      </c>
    </row>
    <row r="1043" spans="1:13" ht="15.6" hidden="1" x14ac:dyDescent="0.3">
      <c r="A1043" s="1" t="s">
        <v>3535</v>
      </c>
      <c r="B1043" s="1"/>
      <c r="C1043" s="1"/>
      <c r="D1043" s="1"/>
      <c r="E1043" s="1"/>
      <c r="F1043" s="1"/>
      <c r="G1043" s="1" t="s">
        <v>8</v>
      </c>
      <c r="H1043" s="2">
        <v>1047</v>
      </c>
      <c r="I1043" s="1" t="s">
        <v>3536</v>
      </c>
      <c r="J1043" s="1" t="s">
        <v>3537</v>
      </c>
      <c r="K1043" s="1" t="s">
        <v>2414</v>
      </c>
      <c r="L1043" s="1" t="s">
        <v>3538</v>
      </c>
      <c r="M1043" s="6" t="str">
        <f>_xlfn.CONCAT(Table1[[#This Row],[Billing Street]], ", ", Table1[[#This Row],[Billing City]], ", ", Table1[[#This Row],[Billing State/Province]], ", ", Table1[[#This Row],[Billing Zip/Postal Code]])</f>
        <v>225 E Bannack St,, Dillon, MT, 59725</v>
      </c>
    </row>
    <row r="1044" spans="1:13" ht="15.6" hidden="1" x14ac:dyDescent="0.3">
      <c r="A1044" s="1" t="s">
        <v>3539</v>
      </c>
      <c r="B1044" s="1"/>
      <c r="C1044" s="1"/>
      <c r="D1044" s="1"/>
      <c r="E1044" s="1"/>
      <c r="F1044" s="1"/>
      <c r="G1044" s="1" t="s">
        <v>8</v>
      </c>
      <c r="H1044" s="2">
        <v>6528</v>
      </c>
      <c r="I1044" s="1" t="s">
        <v>3540</v>
      </c>
      <c r="J1044" s="1" t="s">
        <v>3541</v>
      </c>
      <c r="K1044" s="1" t="s">
        <v>2414</v>
      </c>
      <c r="L1044" s="1" t="s">
        <v>3542</v>
      </c>
      <c r="M1044" s="6" t="str">
        <f>_xlfn.CONCAT(Table1[[#This Row],[Billing Street]], ", ", Table1[[#This Row],[Billing City]], ", ", Table1[[#This Row],[Billing State/Province]], ", ", Table1[[#This Row],[Billing Zip/Postal Code]])</f>
        <v>203 Elliott Ave, Hysham, MT, 59038</v>
      </c>
    </row>
    <row r="1045" spans="1:13" ht="15.6" hidden="1" x14ac:dyDescent="0.3">
      <c r="A1045" s="1" t="s">
        <v>3543</v>
      </c>
      <c r="B1045" s="1"/>
      <c r="C1045" s="1"/>
      <c r="D1045" s="1"/>
      <c r="E1045" s="1"/>
      <c r="F1045" s="1"/>
      <c r="G1045" s="1" t="s">
        <v>54</v>
      </c>
      <c r="H1045" s="2">
        <v>882</v>
      </c>
      <c r="I1045" s="1" t="s">
        <v>3544</v>
      </c>
      <c r="J1045" s="1" t="s">
        <v>3545</v>
      </c>
      <c r="K1045" s="1" t="s">
        <v>405</v>
      </c>
      <c r="L1045" s="1" t="s">
        <v>3546</v>
      </c>
      <c r="M1045" s="6" t="str">
        <f>_xlfn.CONCAT(Table1[[#This Row],[Billing Street]], ", ", Table1[[#This Row],[Billing City]], ", ", Table1[[#This Row],[Billing State/Province]], ", ", Table1[[#This Row],[Billing Zip/Postal Code]])</f>
        <v>45 River street, Cathlamet, WA, 98612</v>
      </c>
    </row>
    <row r="1046" spans="1:13" ht="15.6" hidden="1" x14ac:dyDescent="0.3">
      <c r="A1046" s="1" t="s">
        <v>3547</v>
      </c>
      <c r="B1046" s="1"/>
      <c r="C1046" s="1"/>
      <c r="D1046" s="1"/>
      <c r="E1046" s="1"/>
      <c r="F1046" s="1"/>
      <c r="G1046" s="1" t="s">
        <v>205</v>
      </c>
      <c r="H1046" s="2">
        <v>1076</v>
      </c>
      <c r="I1046" s="1" t="s">
        <v>3548</v>
      </c>
      <c r="J1046" s="1" t="s">
        <v>3549</v>
      </c>
      <c r="K1046" s="1" t="s">
        <v>2309</v>
      </c>
      <c r="L1046" s="1" t="s">
        <v>3550</v>
      </c>
      <c r="M1046" s="6" t="str">
        <f>_xlfn.CONCAT(Table1[[#This Row],[Billing Street]], ", ", Table1[[#This Row],[Billing City]], ", ", Table1[[#This Row],[Billing State/Province]], ", ", Table1[[#This Row],[Billing Zip/Postal Code]])</f>
        <v>7232 Main Street, Bonners Ferry, ID, 83805</v>
      </c>
    </row>
    <row r="1047" spans="1:13" ht="15.6" hidden="1" x14ac:dyDescent="0.3">
      <c r="A1047" s="1" t="s">
        <v>3551</v>
      </c>
      <c r="B1047" s="1"/>
      <c r="C1047" s="1"/>
      <c r="D1047" s="1"/>
      <c r="E1047" s="1"/>
      <c r="F1047" s="1"/>
      <c r="G1047" s="1" t="s">
        <v>205</v>
      </c>
      <c r="H1047" s="2">
        <v>773</v>
      </c>
      <c r="I1047" s="1" t="s">
        <v>3552</v>
      </c>
      <c r="J1047" s="1" t="s">
        <v>3553</v>
      </c>
      <c r="K1047" s="1" t="s">
        <v>2309</v>
      </c>
      <c r="L1047" s="1" t="s">
        <v>3554</v>
      </c>
      <c r="M1047" s="6" t="str">
        <f>_xlfn.CONCAT(Table1[[#This Row],[Billing Street]], ", ", Table1[[#This Row],[Billing City]], ", ", Table1[[#This Row],[Billing State/Province]], ", ", Table1[[#This Row],[Billing Zip/Postal Code]])</f>
        <v>1140 Main St, Challis, ID, 83226</v>
      </c>
    </row>
    <row r="1048" spans="1:13" ht="15.6" hidden="1" x14ac:dyDescent="0.3">
      <c r="A1048" s="1" t="s">
        <v>3555</v>
      </c>
      <c r="B1048" s="1"/>
      <c r="C1048" s="1"/>
      <c r="D1048" s="1"/>
      <c r="E1048" s="1"/>
      <c r="F1048" s="1"/>
      <c r="G1048" s="1" t="s">
        <v>54</v>
      </c>
      <c r="H1048" s="2">
        <v>1058</v>
      </c>
      <c r="I1048" s="1" t="s">
        <v>3556</v>
      </c>
      <c r="J1048" s="1" t="s">
        <v>3557</v>
      </c>
      <c r="K1048" s="1" t="s">
        <v>405</v>
      </c>
      <c r="L1048" s="1" t="s">
        <v>3558</v>
      </c>
      <c r="M1048" s="6" t="str">
        <f>_xlfn.CONCAT(Table1[[#This Row],[Billing Street]], ", ", Table1[[#This Row],[Billing City]], ", ", Table1[[#This Row],[Billing State/Province]], ", ", Table1[[#This Row],[Billing Zip/Postal Code]])</f>
        <v>435 Martin St. Suite 3000, Blaine, WA, 98230</v>
      </c>
    </row>
    <row r="1049" spans="1:13" ht="15.6" hidden="1" x14ac:dyDescent="0.3">
      <c r="A1049" s="1" t="s">
        <v>3559</v>
      </c>
      <c r="B1049" s="1"/>
      <c r="C1049" s="1"/>
      <c r="D1049" s="1"/>
      <c r="E1049" s="1"/>
      <c r="F1049" s="1"/>
      <c r="G1049" s="1" t="s">
        <v>205</v>
      </c>
      <c r="H1049" s="2">
        <v>643</v>
      </c>
      <c r="I1049" s="1" t="s">
        <v>3560</v>
      </c>
      <c r="J1049" s="1" t="s">
        <v>3561</v>
      </c>
      <c r="K1049" s="1" t="s">
        <v>2309</v>
      </c>
      <c r="L1049" s="1" t="s">
        <v>3562</v>
      </c>
      <c r="M1049" s="6" t="str">
        <f>_xlfn.CONCAT(Table1[[#This Row],[Billing Street]], ", ", Table1[[#This Row],[Billing City]], ", ", Table1[[#This Row],[Billing State/Province]], ", ", Table1[[#This Row],[Billing Zip/Postal Code]])</f>
        <v>121 S 50 W Rupert, Rupert, ID, 83350</v>
      </c>
    </row>
    <row r="1050" spans="1:13" ht="15.6" hidden="1" x14ac:dyDescent="0.3">
      <c r="A1050" s="1" t="s">
        <v>3563</v>
      </c>
      <c r="B1050" s="1"/>
      <c r="C1050" s="1"/>
      <c r="D1050" s="1"/>
      <c r="E1050" s="1"/>
      <c r="F1050" s="1"/>
      <c r="G1050" s="1" t="s">
        <v>54</v>
      </c>
      <c r="H1050" s="2">
        <v>934</v>
      </c>
      <c r="I1050" s="1" t="s">
        <v>3564</v>
      </c>
      <c r="J1050" s="1" t="s">
        <v>3565</v>
      </c>
      <c r="K1050" s="1" t="s">
        <v>405</v>
      </c>
      <c r="L1050" s="1" t="s">
        <v>3566</v>
      </c>
      <c r="M1050" s="6" t="str">
        <f>_xlfn.CONCAT(Table1[[#This Row],[Billing Street]], ", ", Table1[[#This Row],[Billing City]], ", ", Table1[[#This Row],[Billing State/Province]], ", ", Table1[[#This Row],[Billing Zip/Postal Code]])</f>
        <v>1030 Roe street, Steilacoom, WA, 98388</v>
      </c>
    </row>
    <row r="1051" spans="1:13" ht="15.6" hidden="1" x14ac:dyDescent="0.3">
      <c r="A1051" s="1" t="s">
        <v>3567</v>
      </c>
      <c r="B1051" s="1"/>
      <c r="C1051" s="1"/>
      <c r="D1051" s="1"/>
      <c r="E1051" s="1"/>
      <c r="F1051" s="1"/>
      <c r="G1051" s="1" t="s">
        <v>54</v>
      </c>
      <c r="H1051" s="2">
        <v>1009</v>
      </c>
      <c r="I1051" s="1" t="s">
        <v>3568</v>
      </c>
      <c r="J1051" s="1" t="s">
        <v>3569</v>
      </c>
      <c r="K1051" s="1" t="s">
        <v>405</v>
      </c>
      <c r="L1051" s="1" t="s">
        <v>3570</v>
      </c>
      <c r="M1051" s="6" t="str">
        <f>_xlfn.CONCAT(Table1[[#This Row],[Billing Street]], ", ", Table1[[#This Row],[Billing City]], ", ", Table1[[#This Row],[Billing State/Province]], ", ", Table1[[#This Row],[Billing Zip/Postal Code]])</f>
        <v>686 S Clark Ave, Republic, WA, 99166</v>
      </c>
    </row>
    <row r="1052" spans="1:13" ht="15.6" hidden="1" x14ac:dyDescent="0.3">
      <c r="A1052" s="1" t="s">
        <v>3571</v>
      </c>
      <c r="B1052" s="1"/>
      <c r="C1052" s="1"/>
      <c r="D1052" s="1"/>
      <c r="E1052" s="1"/>
      <c r="F1052" s="1"/>
      <c r="G1052" s="1" t="s">
        <v>205</v>
      </c>
      <c r="H1052" s="2">
        <v>889</v>
      </c>
      <c r="I1052" s="1" t="s">
        <v>3572</v>
      </c>
      <c r="J1052" s="1" t="s">
        <v>3573</v>
      </c>
      <c r="K1052" s="1" t="s">
        <v>2309</v>
      </c>
      <c r="L1052" s="1" t="s">
        <v>3574</v>
      </c>
      <c r="M1052" s="6" t="str">
        <f>_xlfn.CONCAT(Table1[[#This Row],[Billing Street]], ", ", Table1[[#This Row],[Billing City]], ", ", Table1[[#This Row],[Billing State/Province]], ", ", Table1[[#This Row],[Billing Zip/Postal Code]])</f>
        <v>1065 ID-13 Scenic, Grangeville, ID, 83530</v>
      </c>
    </row>
    <row r="1053" spans="1:13" ht="15.6" hidden="1" x14ac:dyDescent="0.3">
      <c r="A1053" s="1" t="s">
        <v>3575</v>
      </c>
      <c r="B1053" s="1"/>
      <c r="C1053" s="1"/>
      <c r="D1053" s="1"/>
      <c r="E1053" s="1"/>
      <c r="F1053" s="1"/>
      <c r="G1053" s="1" t="s">
        <v>54</v>
      </c>
      <c r="H1053" s="2">
        <v>936</v>
      </c>
      <c r="I1053" s="1" t="s">
        <v>3576</v>
      </c>
      <c r="J1053" s="1" t="s">
        <v>1685</v>
      </c>
      <c r="K1053" s="1" t="s">
        <v>2304</v>
      </c>
      <c r="L1053" s="1" t="s">
        <v>3577</v>
      </c>
      <c r="M1053" s="6" t="str">
        <f>_xlfn.CONCAT(Table1[[#This Row],[Billing Street]], ", ", Table1[[#This Row],[Billing City]], ", ", Table1[[#This Row],[Billing State/Province]], ", ", Table1[[#This Row],[Billing Zip/Postal Code]])</f>
        <v>1000 Laura street, Milton, Wa, 98354</v>
      </c>
    </row>
    <row r="1054" spans="1:13" ht="15.6" hidden="1" x14ac:dyDescent="0.3">
      <c r="A1054" s="1" t="s">
        <v>3575</v>
      </c>
      <c r="B1054" s="1"/>
      <c r="C1054" s="1"/>
      <c r="D1054" s="1"/>
      <c r="E1054" s="1"/>
      <c r="F1054" s="1"/>
      <c r="G1054" s="1" t="s">
        <v>54</v>
      </c>
      <c r="H1054" s="2">
        <v>936</v>
      </c>
      <c r="I1054" s="1" t="s">
        <v>3578</v>
      </c>
      <c r="J1054" s="1" t="s">
        <v>1685</v>
      </c>
      <c r="K1054" s="1" t="s">
        <v>2304</v>
      </c>
      <c r="L1054" s="1" t="s">
        <v>3577</v>
      </c>
      <c r="M1054" s="6" t="str">
        <f>_xlfn.CONCAT(Table1[[#This Row],[Billing Street]], ", ", Table1[[#This Row],[Billing City]], ", ", Table1[[#This Row],[Billing State/Province]], ", ", Table1[[#This Row],[Billing Zip/Postal Code]])</f>
        <v>1000 Laurel street, Milton, Wa, 98354</v>
      </c>
    </row>
    <row r="1055" spans="1:13" ht="15.6" hidden="1" x14ac:dyDescent="0.3">
      <c r="A1055" s="1" t="s">
        <v>3579</v>
      </c>
      <c r="B1055" s="1"/>
      <c r="C1055" s="1"/>
      <c r="D1055" s="1"/>
      <c r="E1055" s="1"/>
      <c r="F1055" s="1"/>
      <c r="G1055" s="1" t="s">
        <v>8</v>
      </c>
      <c r="H1055" s="2">
        <v>6528</v>
      </c>
      <c r="I1055" s="1" t="s">
        <v>3580</v>
      </c>
      <c r="J1055" s="1" t="s">
        <v>3581</v>
      </c>
      <c r="K1055" s="1" t="s">
        <v>2414</v>
      </c>
      <c r="L1055" s="1" t="s">
        <v>3582</v>
      </c>
      <c r="M1055" s="6" t="str">
        <f>_xlfn.CONCAT(Table1[[#This Row],[Billing Street]], ", ", Table1[[#This Row],[Billing City]], ", ", Table1[[#This Row],[Billing State/Province]], ", ", Table1[[#This Row],[Billing Zip/Postal Code]])</f>
        <v>2121 US-2, Havre, MT, 59501</v>
      </c>
    </row>
    <row r="1056" spans="1:13" ht="15.6" hidden="1" x14ac:dyDescent="0.3">
      <c r="A1056" s="1" t="s">
        <v>3583</v>
      </c>
      <c r="B1056" s="1"/>
      <c r="C1056" s="1"/>
      <c r="D1056" s="1"/>
      <c r="E1056" s="1"/>
      <c r="F1056" s="1"/>
      <c r="G1056" s="1" t="s">
        <v>54</v>
      </c>
      <c r="H1056" s="2">
        <v>818</v>
      </c>
      <c r="I1056" s="1" t="s">
        <v>3584</v>
      </c>
      <c r="J1056" s="1" t="s">
        <v>3585</v>
      </c>
      <c r="K1056" s="1" t="s">
        <v>2254</v>
      </c>
      <c r="L1056" s="1" t="s">
        <v>3586</v>
      </c>
      <c r="M1056" s="6" t="str">
        <f>_xlfn.CONCAT(Table1[[#This Row],[Billing Street]], ", ", Table1[[#This Row],[Billing City]], ", ", Table1[[#This Row],[Billing State/Province]], ", ", Table1[[#This Row],[Billing Zip/Postal Code]])</f>
        <v>3521 Davis Drive, Odell, OR, 97031</v>
      </c>
    </row>
    <row r="1057" spans="1:13" ht="15.6" hidden="1" x14ac:dyDescent="0.3">
      <c r="A1057" s="1" t="s">
        <v>3587</v>
      </c>
      <c r="B1057" s="1"/>
      <c r="C1057" s="1"/>
      <c r="D1057" s="1"/>
      <c r="E1057" s="1"/>
      <c r="F1057" s="1"/>
      <c r="G1057" s="1" t="s">
        <v>54</v>
      </c>
      <c r="H1057" s="2">
        <v>744</v>
      </c>
      <c r="I1057" s="1" t="s">
        <v>3588</v>
      </c>
      <c r="J1057" s="1" t="s">
        <v>3589</v>
      </c>
      <c r="K1057" s="1" t="s">
        <v>2254</v>
      </c>
      <c r="L1057" s="1" t="s">
        <v>3590</v>
      </c>
      <c r="M1057" s="6" t="str">
        <f>_xlfn.CONCAT(Table1[[#This Row],[Billing Street]], ", ", Table1[[#This Row],[Billing City]], ", ", Table1[[#This Row],[Billing State/Province]], ", ", Table1[[#This Row],[Billing Zip/Postal Code]])</f>
        <v>90680 State Hwy 99 N, Eugene, OR, 97402</v>
      </c>
    </row>
    <row r="1058" spans="1:13" ht="15.6" hidden="1" x14ac:dyDescent="0.3">
      <c r="A1058" s="1" t="s">
        <v>3591</v>
      </c>
      <c r="B1058" s="1"/>
      <c r="C1058" s="1"/>
      <c r="D1058" s="1"/>
      <c r="E1058" s="1"/>
      <c r="F1058" s="1"/>
      <c r="G1058" s="1" t="s">
        <v>43</v>
      </c>
      <c r="H1058" s="2">
        <v>234</v>
      </c>
      <c r="I1058" s="1" t="s">
        <v>3592</v>
      </c>
      <c r="J1058" s="1" t="s">
        <v>3593</v>
      </c>
      <c r="K1058" s="1" t="s">
        <v>671</v>
      </c>
      <c r="L1058" s="1" t="s">
        <v>3594</v>
      </c>
      <c r="M1058" s="6" t="str">
        <f>_xlfn.CONCAT(Table1[[#This Row],[Billing Street]], ", ", Table1[[#This Row],[Billing City]], ", ", Table1[[#This Row],[Billing State/Province]], ", ", Table1[[#This Row],[Billing Zip/Postal Code]])</f>
        <v>170 Payne Beach Road, Hilton, NY, 14468</v>
      </c>
    </row>
    <row r="1059" spans="1:13" ht="15.6" hidden="1" x14ac:dyDescent="0.3">
      <c r="A1059" s="1" t="s">
        <v>3595</v>
      </c>
      <c r="B1059" s="1"/>
      <c r="C1059" s="1"/>
      <c r="D1059" s="1"/>
      <c r="E1059" s="1"/>
      <c r="F1059" s="1"/>
      <c r="G1059" s="1" t="s">
        <v>43</v>
      </c>
      <c r="H1059" s="2">
        <v>152</v>
      </c>
      <c r="I1059" s="1" t="s">
        <v>3596</v>
      </c>
      <c r="J1059" s="1" t="s">
        <v>3597</v>
      </c>
      <c r="K1059" s="1" t="s">
        <v>45</v>
      </c>
      <c r="L1059" s="1" t="s">
        <v>3598</v>
      </c>
      <c r="M1059" s="6" t="str">
        <f>_xlfn.CONCAT(Table1[[#This Row],[Billing Street]], ", ", Table1[[#This Row],[Billing City]], ", ", Table1[[#This Row],[Billing State/Province]], ", ", Table1[[#This Row],[Billing Zip/Postal Code]])</f>
        <v>251 Industrial Drive, Wapakoneta, OH, 45895</v>
      </c>
    </row>
    <row r="1060" spans="1:13" ht="15.6" hidden="1" x14ac:dyDescent="0.3">
      <c r="A1060" s="1" t="s">
        <v>3599</v>
      </c>
      <c r="B1060" s="1"/>
      <c r="C1060" s="1"/>
      <c r="D1060" s="1"/>
      <c r="E1060" s="1"/>
      <c r="F1060" s="1"/>
      <c r="G1060" s="1" t="s">
        <v>54</v>
      </c>
      <c r="H1060" s="2">
        <v>1011</v>
      </c>
      <c r="I1060" s="1" t="s">
        <v>3600</v>
      </c>
      <c r="J1060" s="1" t="s">
        <v>3601</v>
      </c>
      <c r="K1060" s="1" t="s">
        <v>405</v>
      </c>
      <c r="L1060" s="1" t="s">
        <v>3602</v>
      </c>
      <c r="M1060" s="6" t="str">
        <f>_xlfn.CONCAT(Table1[[#This Row],[Billing Street]], ", ", Table1[[#This Row],[Billing City]], ", ", Table1[[#This Row],[Billing State/Province]], ", ", Table1[[#This Row],[Billing Zip/Postal Code]])</f>
        <v>1181 NE 21st CT, Oak Harbor, WA, 98277</v>
      </c>
    </row>
    <row r="1061" spans="1:13" ht="15.6" hidden="1" x14ac:dyDescent="0.3">
      <c r="A1061" s="1" t="s">
        <v>3603</v>
      </c>
      <c r="B1061" s="1"/>
      <c r="C1061" s="1"/>
      <c r="D1061" s="1"/>
      <c r="E1061" s="1"/>
      <c r="F1061" s="1"/>
      <c r="G1061" s="1" t="s">
        <v>54</v>
      </c>
      <c r="H1061" s="2">
        <v>792</v>
      </c>
      <c r="I1061" s="1" t="s">
        <v>3604</v>
      </c>
      <c r="J1061" s="1" t="s">
        <v>3605</v>
      </c>
      <c r="K1061" s="1" t="s">
        <v>2254</v>
      </c>
      <c r="L1061" s="1" t="s">
        <v>3606</v>
      </c>
      <c r="M1061" s="6" t="str">
        <f>_xlfn.CONCAT(Table1[[#This Row],[Billing Street]], ", ", Table1[[#This Row],[Billing City]], ", ", Table1[[#This Row],[Billing State/Province]], ", ", Table1[[#This Row],[Billing Zip/Postal Code]])</f>
        <v>151 Main Street west, Monmouth, OR, 97361</v>
      </c>
    </row>
    <row r="1062" spans="1:13" ht="15.6" hidden="1" x14ac:dyDescent="0.3">
      <c r="A1062" s="1" t="s">
        <v>3607</v>
      </c>
      <c r="B1062" s="1"/>
      <c r="C1062" s="1"/>
      <c r="D1062" s="1"/>
      <c r="E1062" s="1"/>
      <c r="F1062" s="1"/>
      <c r="G1062" s="1" t="s">
        <v>43</v>
      </c>
      <c r="H1062" s="2">
        <v>365</v>
      </c>
      <c r="I1062" s="1" t="s">
        <v>3608</v>
      </c>
      <c r="J1062" s="1" t="s">
        <v>3609</v>
      </c>
      <c r="K1062" s="1" t="s">
        <v>3610</v>
      </c>
      <c r="L1062" s="1" t="s">
        <v>3611</v>
      </c>
      <c r="M1062" s="6" t="str">
        <f>_xlfn.CONCAT(Table1[[#This Row],[Billing Street]], ", ", Table1[[#This Row],[Billing City]], ", ", Table1[[#This Row],[Billing State/Province]], ", ", Table1[[#This Row],[Billing Zip/Postal Code]])</f>
        <v>N 117 W 18493 Fulton Dr., Germantown, Wi, 53022</v>
      </c>
    </row>
    <row r="1063" spans="1:13" ht="15.6" hidden="1" x14ac:dyDescent="0.3">
      <c r="A1063" s="1" t="s">
        <v>3612</v>
      </c>
      <c r="B1063" s="1"/>
      <c r="C1063" s="1"/>
      <c r="D1063" s="1"/>
      <c r="E1063" s="1"/>
      <c r="F1063" s="1"/>
      <c r="G1063" s="1" t="s">
        <v>43</v>
      </c>
      <c r="H1063" s="2">
        <v>173</v>
      </c>
      <c r="I1063" s="1" t="s">
        <v>3613</v>
      </c>
      <c r="J1063" s="1" t="s">
        <v>3614</v>
      </c>
      <c r="K1063" s="1" t="s">
        <v>82</v>
      </c>
      <c r="L1063" s="1" t="s">
        <v>3615</v>
      </c>
      <c r="M1063" s="6" t="str">
        <f>_xlfn.CONCAT(Table1[[#This Row],[Billing Street]], ", ", Table1[[#This Row],[Billing City]], ", ", Table1[[#This Row],[Billing State/Province]], ", ", Table1[[#This Row],[Billing Zip/Postal Code]])</f>
        <v>2595 N. Sand Lake Road, Hillsdale, MI, 49242</v>
      </c>
    </row>
    <row r="1064" spans="1:13" ht="15.6" hidden="1" x14ac:dyDescent="0.3">
      <c r="A1064" s="1" t="s">
        <v>3616</v>
      </c>
      <c r="B1064" s="1"/>
      <c r="C1064" s="1"/>
      <c r="D1064" s="1"/>
      <c r="E1064" s="1"/>
      <c r="F1064" s="1"/>
      <c r="G1064" s="1" t="s">
        <v>43</v>
      </c>
      <c r="H1064" s="2">
        <v>165</v>
      </c>
      <c r="I1064" s="1" t="s">
        <v>3617</v>
      </c>
      <c r="J1064" s="1" t="s">
        <v>3618</v>
      </c>
      <c r="K1064" s="1" t="s">
        <v>45</v>
      </c>
      <c r="L1064" s="1" t="s">
        <v>3619</v>
      </c>
      <c r="M1064" s="6" t="str">
        <f>_xlfn.CONCAT(Table1[[#This Row],[Billing Street]], ", ", Table1[[#This Row],[Billing City]], ", ", Table1[[#This Row],[Billing State/Province]], ", ", Table1[[#This Row],[Billing Zip/Postal Code]])</f>
        <v>100 Dayton Street, Yellow Springs, OH, 45387</v>
      </c>
    </row>
    <row r="1065" spans="1:13" ht="15.6" hidden="1" x14ac:dyDescent="0.3">
      <c r="A1065" s="1" t="s">
        <v>3620</v>
      </c>
      <c r="B1065" s="1"/>
      <c r="C1065" s="1"/>
      <c r="D1065" s="1"/>
      <c r="E1065" s="1"/>
      <c r="F1065" s="1"/>
      <c r="G1065" s="1" t="s">
        <v>54</v>
      </c>
      <c r="H1065" s="2">
        <v>784</v>
      </c>
      <c r="I1065" s="1" t="s">
        <v>3621</v>
      </c>
      <c r="J1065" s="1" t="s">
        <v>3622</v>
      </c>
      <c r="K1065" s="1" t="s">
        <v>2254</v>
      </c>
      <c r="L1065" s="1" t="s">
        <v>3623</v>
      </c>
      <c r="M1065" s="6" t="str">
        <f>_xlfn.CONCAT(Table1[[#This Row],[Billing Street]], ", ", Table1[[#This Row],[Billing City]], ", ", Table1[[#This Row],[Billing State/Province]], ", ", Table1[[#This Row],[Billing Zip/Postal Code]])</f>
        <v>171 W Linden Way, Heppner, OR, 97836</v>
      </c>
    </row>
    <row r="1066" spans="1:13" ht="15.6" hidden="1" x14ac:dyDescent="0.3">
      <c r="A1066" s="1" t="s">
        <v>3624</v>
      </c>
      <c r="B1066" s="1"/>
      <c r="C1066" s="1"/>
      <c r="D1066" s="1"/>
      <c r="E1066" s="1"/>
      <c r="F1066" s="1"/>
      <c r="G1066" s="1" t="s">
        <v>8</v>
      </c>
      <c r="H1066" s="2">
        <v>6528</v>
      </c>
      <c r="I1066" s="1" t="s">
        <v>3625</v>
      </c>
      <c r="J1066" s="1" t="s">
        <v>422</v>
      </c>
      <c r="K1066" s="1" t="s">
        <v>2414</v>
      </c>
      <c r="L1066" s="1" t="s">
        <v>3626</v>
      </c>
      <c r="M1066" s="6" t="str">
        <f>_xlfn.CONCAT(Table1[[#This Row],[Billing Street]], ", ", Table1[[#This Row],[Billing City]], ", ", Table1[[#This Row],[Billing State/Province]], ", ", Table1[[#This Row],[Billing Zip/Postal Code]])</f>
        <v>910 Roosevelt Hwy, Shelby, MT, 59474</v>
      </c>
    </row>
    <row r="1067" spans="1:13" ht="15.6" hidden="1" x14ac:dyDescent="0.3">
      <c r="A1067" s="1" t="s">
        <v>3627</v>
      </c>
      <c r="B1067" s="1"/>
      <c r="C1067" s="1"/>
      <c r="D1067" s="1"/>
      <c r="E1067" s="1"/>
      <c r="F1067" s="1"/>
      <c r="G1067" s="1" t="s">
        <v>54</v>
      </c>
      <c r="H1067" s="2">
        <v>903</v>
      </c>
      <c r="I1067" s="1" t="s">
        <v>3628</v>
      </c>
      <c r="J1067" s="1" t="s">
        <v>3629</v>
      </c>
      <c r="K1067" s="1" t="s">
        <v>405</v>
      </c>
      <c r="L1067" s="1" t="s">
        <v>3630</v>
      </c>
      <c r="M1067" s="6" t="str">
        <f>_xlfn.CONCAT(Table1[[#This Row],[Billing Street]], ", ", Table1[[#This Row],[Billing City]], ", ", Table1[[#This Row],[Billing State/Province]], ", ", Table1[[#This Row],[Billing Zip/Postal Code]])</f>
        <v>1400 Vantage Hwy, Ellensburg, WA, 98926</v>
      </c>
    </row>
    <row r="1068" spans="1:13" ht="15.6" hidden="1" x14ac:dyDescent="0.3">
      <c r="A1068" s="1" t="s">
        <v>3631</v>
      </c>
      <c r="B1068" s="1"/>
      <c r="C1068" s="1"/>
      <c r="D1068" s="1"/>
      <c r="E1068" s="1"/>
      <c r="F1068" s="1"/>
      <c r="G1068" s="1" t="s">
        <v>8</v>
      </c>
      <c r="H1068" s="2">
        <v>6528</v>
      </c>
      <c r="I1068" s="1" t="s">
        <v>3632</v>
      </c>
      <c r="J1068" s="1" t="s">
        <v>3633</v>
      </c>
      <c r="K1068" s="1" t="s">
        <v>2414</v>
      </c>
      <c r="L1068" s="1" t="s">
        <v>3634</v>
      </c>
      <c r="M1068" s="6" t="str">
        <f>_xlfn.CONCAT(Table1[[#This Row],[Billing Street]], ", ", Table1[[#This Row],[Billing City]], ", ", Table1[[#This Row],[Billing State/Province]], ", ", Table1[[#This Row],[Billing Zip/Postal Code]])</f>
        <v>303 S. MITCHELL AVE, HARDIN, MT, 59034</v>
      </c>
    </row>
    <row r="1069" spans="1:13" ht="15.6" hidden="1" x14ac:dyDescent="0.3">
      <c r="A1069" s="1" t="s">
        <v>3635</v>
      </c>
      <c r="B1069" s="1"/>
      <c r="C1069" s="1"/>
      <c r="D1069" s="1"/>
      <c r="E1069" s="1"/>
      <c r="F1069" s="1"/>
      <c r="G1069" s="1" t="s">
        <v>8</v>
      </c>
      <c r="H1069" s="2">
        <v>6528</v>
      </c>
      <c r="I1069" s="1" t="s">
        <v>3636</v>
      </c>
      <c r="J1069" s="1" t="s">
        <v>728</v>
      </c>
      <c r="K1069" s="1" t="s">
        <v>2414</v>
      </c>
      <c r="L1069" s="1" t="s">
        <v>3637</v>
      </c>
      <c r="M1069" s="6" t="str">
        <f>_xlfn.CONCAT(Table1[[#This Row],[Billing Street]], ", ", Table1[[#This Row],[Billing City]], ", ", Table1[[#This Row],[Billing State/Province]], ", ", Table1[[#This Row],[Billing Zip/Postal Code]])</f>
        <v>3200 W Holly St, Sidney, MT, 59270</v>
      </c>
    </row>
    <row r="1070" spans="1:13" ht="15.6" hidden="1" x14ac:dyDescent="0.3">
      <c r="A1070" s="1" t="s">
        <v>3638</v>
      </c>
      <c r="B1070" s="1"/>
      <c r="C1070" s="1"/>
      <c r="D1070" s="1"/>
      <c r="E1070" s="1"/>
      <c r="F1070" s="1"/>
      <c r="G1070" s="1" t="s">
        <v>54</v>
      </c>
      <c r="H1070" s="2">
        <v>916</v>
      </c>
      <c r="I1070" s="1" t="s">
        <v>3639</v>
      </c>
      <c r="J1070" s="1" t="s">
        <v>3640</v>
      </c>
      <c r="K1070" s="1" t="s">
        <v>2304</v>
      </c>
      <c r="L1070" s="1" t="s">
        <v>3641</v>
      </c>
      <c r="M1070" s="6" t="str">
        <f>_xlfn.CONCAT(Table1[[#This Row],[Billing Street]], ", ", Table1[[#This Row],[Billing City]], ", ", Table1[[#This Row],[Billing State/Province]], ", ", Table1[[#This Row],[Billing Zip/Postal Code]])</f>
        <v>34014 Mountain Highway, Eatonville, Wa, 98328</v>
      </c>
    </row>
    <row r="1071" spans="1:13" ht="15.6" hidden="1" x14ac:dyDescent="0.3">
      <c r="A1071" s="1" t="s">
        <v>3642</v>
      </c>
      <c r="B1071" s="1"/>
      <c r="C1071" s="1"/>
      <c r="D1071" s="1"/>
      <c r="E1071" s="1"/>
      <c r="F1071" s="1"/>
      <c r="G1071" s="1" t="s">
        <v>54</v>
      </c>
      <c r="H1071" s="2">
        <v>831</v>
      </c>
      <c r="I1071" s="1" t="s">
        <v>3643</v>
      </c>
      <c r="J1071" s="1" t="s">
        <v>3644</v>
      </c>
      <c r="K1071" s="1" t="s">
        <v>405</v>
      </c>
      <c r="L1071" s="1" t="s">
        <v>3645</v>
      </c>
      <c r="M1071" s="6" t="str">
        <f>_xlfn.CONCAT(Table1[[#This Row],[Billing Street]], ", ", Table1[[#This Row],[Billing City]], ", ", Table1[[#This Row],[Billing State/Province]], ", ", Table1[[#This Row],[Billing Zip/Postal Code]])</f>
        <v>2929 Melrose St,, Walla Walla, WA, 99362</v>
      </c>
    </row>
    <row r="1072" spans="1:13" ht="15.6" hidden="1" x14ac:dyDescent="0.3">
      <c r="A1072" s="1" t="s">
        <v>3646</v>
      </c>
      <c r="B1072" s="1"/>
      <c r="C1072" s="1"/>
      <c r="D1072" s="1"/>
      <c r="E1072" s="1"/>
      <c r="F1072" s="1"/>
      <c r="G1072" s="1" t="s">
        <v>43</v>
      </c>
      <c r="H1072" s="2">
        <v>91</v>
      </c>
      <c r="I1072" s="1" t="s">
        <v>3647</v>
      </c>
      <c r="J1072" s="1" t="s">
        <v>3648</v>
      </c>
      <c r="K1072" s="1" t="s">
        <v>45</v>
      </c>
      <c r="L1072" s="1" t="s">
        <v>3649</v>
      </c>
      <c r="M1072" s="6" t="str">
        <f>_xlfn.CONCAT(Table1[[#This Row],[Billing Street]], ", ", Table1[[#This Row],[Billing City]], ", ", Table1[[#This Row],[Billing State/Province]], ", ", Table1[[#This Row],[Billing Zip/Postal Code]])</f>
        <v>129 Reservoir Road, St. Clairsville, OH, 43950</v>
      </c>
    </row>
    <row r="1073" spans="1:13" ht="15.6" x14ac:dyDescent="0.3">
      <c r="A1073" s="1" t="s">
        <v>3650</v>
      </c>
      <c r="B1073" s="1"/>
      <c r="C1073" s="1"/>
      <c r="D1073" s="1"/>
      <c r="E1073" s="1"/>
      <c r="F1073" s="1"/>
      <c r="G1073" s="1" t="s">
        <v>24</v>
      </c>
      <c r="H1073" s="2">
        <v>188</v>
      </c>
      <c r="I1073" s="1" t="s">
        <v>3651</v>
      </c>
      <c r="J1073" s="1" t="s">
        <v>438</v>
      </c>
      <c r="K1073" s="1" t="s">
        <v>26</v>
      </c>
      <c r="L1073" s="1" t="s">
        <v>3652</v>
      </c>
      <c r="M1073" s="6" t="str">
        <f>_xlfn.CONCAT(Table1[[#This Row],[Billing Street]], ", ", Table1[[#This Row],[Billing City]], ", ", Table1[[#This Row],[Billing State/Province]], ", ", Table1[[#This Row],[Billing Zip/Postal Code]])</f>
        <v>1323 Whigham Place, Tuscaloosa, AL, 35405</v>
      </c>
    </row>
    <row r="1074" spans="1:13" ht="15.6" hidden="1" x14ac:dyDescent="0.3">
      <c r="A1074" s="1" t="s">
        <v>3653</v>
      </c>
      <c r="B1074" s="1"/>
      <c r="C1074" s="1"/>
      <c r="D1074" s="1"/>
      <c r="E1074" s="1"/>
      <c r="F1074" s="1"/>
      <c r="G1074" s="1" t="s">
        <v>54</v>
      </c>
      <c r="H1074" s="2">
        <v>945</v>
      </c>
      <c r="I1074" s="1" t="s">
        <v>3654</v>
      </c>
      <c r="J1074" s="1" t="s">
        <v>3655</v>
      </c>
      <c r="K1074" s="1" t="s">
        <v>405</v>
      </c>
      <c r="L1074" s="1" t="s">
        <v>3656</v>
      </c>
      <c r="M1074" s="6" t="str">
        <f>_xlfn.CONCAT(Table1[[#This Row],[Billing Street]], ", ", Table1[[#This Row],[Billing City]], ", ", Table1[[#This Row],[Billing State/Province]], ", ", Table1[[#This Row],[Billing Zip/Postal Code]])</f>
        <v>45710 SE North Bend Way, North Bend, WA, 98045</v>
      </c>
    </row>
    <row r="1075" spans="1:13" ht="15.6" hidden="1" x14ac:dyDescent="0.3">
      <c r="A1075" s="1" t="s">
        <v>3657</v>
      </c>
      <c r="B1075" s="1"/>
      <c r="C1075" s="1"/>
      <c r="D1075" s="1"/>
      <c r="E1075" s="1"/>
      <c r="F1075" s="1"/>
      <c r="G1075" s="1" t="s">
        <v>43</v>
      </c>
      <c r="H1075" s="2">
        <v>176</v>
      </c>
      <c r="I1075" s="1" t="s">
        <v>3658</v>
      </c>
      <c r="J1075" s="1" t="s">
        <v>3659</v>
      </c>
      <c r="K1075" s="1" t="s">
        <v>45</v>
      </c>
      <c r="L1075" s="1" t="s">
        <v>3660</v>
      </c>
      <c r="M1075" s="6" t="str">
        <f>_xlfn.CONCAT(Table1[[#This Row],[Billing Street]], ", ", Table1[[#This Row],[Billing City]], ", ", Table1[[#This Row],[Billing State/Province]], ", ", Table1[[#This Row],[Billing Zip/Postal Code]])</f>
        <v>177 N Center St,, Versailles, OH, 45380</v>
      </c>
    </row>
    <row r="1076" spans="1:13" ht="15.6" hidden="1" x14ac:dyDescent="0.3">
      <c r="A1076" s="1" t="s">
        <v>3661</v>
      </c>
      <c r="B1076" s="1"/>
      <c r="C1076" s="1"/>
      <c r="D1076" s="1"/>
      <c r="E1076" s="1"/>
      <c r="F1076" s="1"/>
      <c r="G1076" s="1" t="s">
        <v>8</v>
      </c>
      <c r="H1076" s="2">
        <v>344</v>
      </c>
      <c r="I1076" s="1" t="s">
        <v>3662</v>
      </c>
      <c r="J1076" s="1" t="s">
        <v>3663</v>
      </c>
      <c r="K1076" s="1" t="s">
        <v>21</v>
      </c>
      <c r="L1076" s="1" t="s">
        <v>3664</v>
      </c>
      <c r="M1076" s="6" t="str">
        <f>_xlfn.CONCAT(Table1[[#This Row],[Billing Street]], ", ", Table1[[#This Row],[Billing City]], ", ", Table1[[#This Row],[Billing State/Province]], ", ", Table1[[#This Row],[Billing Zip/Postal Code]])</f>
        <v>721 Broadway, Denison, IA, 51442</v>
      </c>
    </row>
    <row r="1077" spans="1:13" ht="15.6" hidden="1" x14ac:dyDescent="0.3">
      <c r="A1077" s="1" t="s">
        <v>3665</v>
      </c>
      <c r="B1077" s="1"/>
      <c r="C1077" s="1"/>
      <c r="D1077" s="1"/>
      <c r="E1077" s="1"/>
      <c r="F1077" s="1"/>
      <c r="G1077" s="1" t="s">
        <v>43</v>
      </c>
      <c r="H1077" s="2">
        <v>143</v>
      </c>
      <c r="I1077" s="1" t="s">
        <v>3666</v>
      </c>
      <c r="J1077" s="1" t="s">
        <v>3667</v>
      </c>
      <c r="K1077" s="1" t="s">
        <v>82</v>
      </c>
      <c r="L1077" s="1" t="s">
        <v>3668</v>
      </c>
      <c r="M1077" s="6" t="str">
        <f>_xlfn.CONCAT(Table1[[#This Row],[Billing Street]], ", ", Table1[[#This Row],[Billing City]], ", ", Table1[[#This Row],[Billing State/Province]], ", ", Table1[[#This Row],[Billing Zip/Postal Code]])</f>
        <v>2290 Bishop Circle East, Dexter, MI, 48130</v>
      </c>
    </row>
    <row r="1078" spans="1:13" ht="15.6" x14ac:dyDescent="0.3">
      <c r="A1078" s="1" t="s">
        <v>3669</v>
      </c>
      <c r="B1078" s="1"/>
      <c r="C1078" s="1"/>
      <c r="D1078" s="1"/>
      <c r="E1078" s="1"/>
      <c r="F1078" s="1"/>
      <c r="G1078" s="1" t="s">
        <v>24</v>
      </c>
      <c r="H1078" s="2">
        <v>255</v>
      </c>
      <c r="I1078" s="1" t="s">
        <v>3670</v>
      </c>
      <c r="J1078" s="1" t="s">
        <v>3671</v>
      </c>
      <c r="K1078" s="1" t="s">
        <v>36</v>
      </c>
      <c r="L1078" s="1" t="s">
        <v>3672</v>
      </c>
      <c r="M1078" s="6" t="str">
        <f>_xlfn.CONCAT(Table1[[#This Row],[Billing Street]], ", ", Table1[[#This Row],[Billing City]], ", ", Table1[[#This Row],[Billing State/Province]], ", ", Table1[[#This Row],[Billing Zip/Postal Code]])</f>
        <v>212820 SE Hawthorne Rd, Hawthorne, FL, 32640</v>
      </c>
    </row>
    <row r="1079" spans="1:13" ht="15.6" hidden="1" x14ac:dyDescent="0.3">
      <c r="A1079" s="1" t="s">
        <v>3673</v>
      </c>
      <c r="B1079" s="1"/>
      <c r="C1079" s="1"/>
      <c r="D1079" s="1"/>
      <c r="E1079" s="1"/>
      <c r="F1079" s="1"/>
      <c r="G1079" s="1" t="s">
        <v>8</v>
      </c>
      <c r="H1079" s="2">
        <v>248</v>
      </c>
      <c r="I1079" s="1" t="s">
        <v>3674</v>
      </c>
      <c r="J1079" s="1" t="s">
        <v>1668</v>
      </c>
      <c r="K1079" s="1" t="s">
        <v>165</v>
      </c>
      <c r="L1079" s="1" t="s">
        <v>3675</v>
      </c>
      <c r="M1079" s="6" t="str">
        <f>_xlfn.CONCAT(Table1[[#This Row],[Billing Street]], ", ", Table1[[#This Row],[Billing City]], ", ", Table1[[#This Row],[Billing State/Province]], ", ", Table1[[#This Row],[Billing Zip/Postal Code]])</f>
        <v>1000 South J.P. Wright Loop Road, Jacksonville, AR, 72078</v>
      </c>
    </row>
    <row r="1080" spans="1:13" ht="15.6" hidden="1" x14ac:dyDescent="0.3">
      <c r="A1080" s="1" t="s">
        <v>3676</v>
      </c>
      <c r="B1080" s="1"/>
      <c r="C1080" s="1"/>
      <c r="D1080" s="1"/>
      <c r="E1080" s="1"/>
      <c r="F1080" s="1"/>
      <c r="G1080" s="1" t="s">
        <v>43</v>
      </c>
      <c r="H1080" s="2">
        <v>5776</v>
      </c>
      <c r="I1080" s="1" t="s">
        <v>3677</v>
      </c>
      <c r="J1080" s="1" t="s">
        <v>1628</v>
      </c>
      <c r="K1080" s="1" t="s">
        <v>82</v>
      </c>
      <c r="L1080" s="1" t="s">
        <v>13</v>
      </c>
      <c r="M1080" s="6" t="str">
        <f>_xlfn.CONCAT(Table1[[#This Row],[Billing Street]], ", ", Table1[[#This Row],[Billing City]], ", ", Table1[[#This Row],[Billing State/Province]], ", ", Table1[[#This Row],[Billing Zip/Postal Code]])</f>
        <v xml:space="preserve">1995 Gover Parkway, Mt. Pleasant, MI, </v>
      </c>
    </row>
    <row r="1081" spans="1:13" ht="15.6" hidden="1" x14ac:dyDescent="0.3">
      <c r="A1081" s="1" t="s">
        <v>3678</v>
      </c>
      <c r="B1081" s="1"/>
      <c r="C1081" s="1"/>
      <c r="D1081" s="1"/>
      <c r="E1081" s="1"/>
      <c r="F1081" s="1"/>
      <c r="G1081" s="1" t="s">
        <v>43</v>
      </c>
      <c r="H1081" s="2">
        <v>229</v>
      </c>
      <c r="I1081" s="1" t="s">
        <v>3679</v>
      </c>
      <c r="J1081" s="1" t="s">
        <v>1628</v>
      </c>
      <c r="K1081" s="1" t="s">
        <v>82</v>
      </c>
      <c r="L1081" s="1" t="s">
        <v>3680</v>
      </c>
      <c r="M1081" s="6" t="str">
        <f>_xlfn.CONCAT(Table1[[#This Row],[Billing Street]], ", ", Table1[[#This Row],[Billing City]], ", ", Table1[[#This Row],[Billing State/Province]], ", ", Table1[[#This Row],[Billing Zip/Postal Code]])</f>
        <v>1993 Gover Parkway, Mt. Pleasant, MI, 48858</v>
      </c>
    </row>
    <row r="1082" spans="1:13" ht="15.6" hidden="1" x14ac:dyDescent="0.3">
      <c r="A1082" s="1" t="s">
        <v>3681</v>
      </c>
      <c r="B1082" s="1"/>
      <c r="C1082" s="1"/>
      <c r="D1082" s="1"/>
      <c r="E1082" s="1"/>
      <c r="F1082" s="1"/>
      <c r="G1082" s="1" t="s">
        <v>43</v>
      </c>
      <c r="H1082" s="2">
        <v>278</v>
      </c>
      <c r="I1082" s="1" t="s">
        <v>3682</v>
      </c>
      <c r="J1082" s="1" t="s">
        <v>3683</v>
      </c>
      <c r="K1082" s="1" t="s">
        <v>82</v>
      </c>
      <c r="L1082" s="1" t="s">
        <v>3684</v>
      </c>
      <c r="M1082" s="6" t="str">
        <f>_xlfn.CONCAT(Table1[[#This Row],[Billing Street]], ", ", Table1[[#This Row],[Billing City]], ", ", Table1[[#This Row],[Billing State/Province]], ", ", Table1[[#This Row],[Billing Zip/Postal Code]])</f>
        <v>401 N. 9th Avenue, Alpena, MI, 49707</v>
      </c>
    </row>
    <row r="1083" spans="1:13" ht="15.6" hidden="1" x14ac:dyDescent="0.3">
      <c r="A1083" s="1" t="s">
        <v>3685</v>
      </c>
      <c r="B1083" s="1"/>
      <c r="C1083" s="1"/>
      <c r="D1083" s="1"/>
      <c r="E1083" s="1"/>
      <c r="F1083" s="1"/>
      <c r="G1083" s="1" t="s">
        <v>43</v>
      </c>
      <c r="H1083" s="2">
        <v>402</v>
      </c>
      <c r="I1083" s="1" t="s">
        <v>3686</v>
      </c>
      <c r="J1083" s="1" t="s">
        <v>3159</v>
      </c>
      <c r="K1083" s="1" t="s">
        <v>82</v>
      </c>
      <c r="L1083" s="1" t="s">
        <v>3687</v>
      </c>
      <c r="M1083" s="6" t="str">
        <f>_xlfn.CONCAT(Table1[[#This Row],[Billing Street]], ", ", Table1[[#This Row],[Billing City]], ", ", Table1[[#This Row],[Billing State/Province]], ", ", Table1[[#This Row],[Billing Zip/Postal Code]])</f>
        <v>302 E. McMillan Ave., Newberry, MI, 49868</v>
      </c>
    </row>
    <row r="1084" spans="1:13" ht="15.6" hidden="1" x14ac:dyDescent="0.3">
      <c r="A1084" s="1" t="s">
        <v>3688</v>
      </c>
      <c r="B1084" s="1"/>
      <c r="C1084" s="1"/>
      <c r="D1084" s="1"/>
      <c r="E1084" s="1"/>
      <c r="F1084" s="1"/>
      <c r="G1084" s="1" t="s">
        <v>43</v>
      </c>
      <c r="H1084" s="2">
        <v>512</v>
      </c>
      <c r="I1084" s="1" t="s">
        <v>3689</v>
      </c>
      <c r="J1084" s="1" t="s">
        <v>3690</v>
      </c>
      <c r="K1084" s="1" t="s">
        <v>82</v>
      </c>
      <c r="L1084" s="1" t="s">
        <v>3691</v>
      </c>
      <c r="M1084" s="6" t="str">
        <f>_xlfn.CONCAT(Table1[[#This Row],[Billing Street]], ", ", Table1[[#This Row],[Billing City]], ", ", Table1[[#This Row],[Billing State/Province]], ", ", Table1[[#This Row],[Billing Zip/Postal Code]])</f>
        <v>101 N. Main Street, L'Anse, MI, 49946</v>
      </c>
    </row>
    <row r="1085" spans="1:13" ht="15.6" hidden="1" x14ac:dyDescent="0.3">
      <c r="A1085" s="1" t="s">
        <v>3692</v>
      </c>
      <c r="B1085" s="1"/>
      <c r="C1085" s="1"/>
      <c r="D1085" s="1"/>
      <c r="E1085" s="1"/>
      <c r="F1085" s="1"/>
      <c r="G1085" s="1" t="s">
        <v>43</v>
      </c>
      <c r="H1085" s="2">
        <v>275</v>
      </c>
      <c r="I1085" s="1" t="s">
        <v>3693</v>
      </c>
      <c r="J1085" s="1" t="s">
        <v>3694</v>
      </c>
      <c r="K1085" s="1" t="s">
        <v>82</v>
      </c>
      <c r="L1085" s="1" t="s">
        <v>3695</v>
      </c>
      <c r="M1085" s="6" t="str">
        <f>_xlfn.CONCAT(Table1[[#This Row],[Billing Street]], ", ", Table1[[#This Row],[Billing City]], ", ", Table1[[#This Row],[Billing State/Province]], ", ", Table1[[#This Row],[Billing Zip/Postal Code]])</f>
        <v>1675 S. Sheridan Drive, Muskegon, MI, 49442</v>
      </c>
    </row>
    <row r="1086" spans="1:13" ht="15.6" hidden="1" x14ac:dyDescent="0.3">
      <c r="A1086" s="1" t="s">
        <v>3696</v>
      </c>
      <c r="B1086" s="1"/>
      <c r="C1086" s="1"/>
      <c r="D1086" s="1"/>
      <c r="E1086" s="1"/>
      <c r="F1086" s="1"/>
      <c r="G1086" s="1" t="s">
        <v>43</v>
      </c>
      <c r="H1086" s="2">
        <v>158</v>
      </c>
      <c r="I1086" s="1" t="s">
        <v>3697</v>
      </c>
      <c r="J1086" s="1" t="s">
        <v>728</v>
      </c>
      <c r="K1086" s="1" t="s">
        <v>45</v>
      </c>
      <c r="L1086" s="1" t="s">
        <v>3698</v>
      </c>
      <c r="M1086" s="6" t="str">
        <f>_xlfn.CONCAT(Table1[[#This Row],[Billing Street]], ", ", Table1[[#This Row],[Billing City]], ", ", Table1[[#This Row],[Billing State/Province]], ", ", Table1[[#This Row],[Billing Zip/Postal Code]])</f>
        <v>2001 Commerce Drive, Sidney, OH, 45365</v>
      </c>
    </row>
    <row r="1087" spans="1:13" ht="15.6" x14ac:dyDescent="0.3">
      <c r="A1087" s="1" t="s">
        <v>3699</v>
      </c>
      <c r="B1087" s="1"/>
      <c r="C1087" s="1"/>
      <c r="D1087" s="1"/>
      <c r="E1087" s="1"/>
      <c r="F1087" s="1"/>
      <c r="G1087" s="1" t="s">
        <v>24</v>
      </c>
      <c r="H1087" s="2">
        <v>5988</v>
      </c>
      <c r="I1087" s="1" t="s">
        <v>3700</v>
      </c>
      <c r="J1087" s="1" t="s">
        <v>1831</v>
      </c>
      <c r="K1087" s="1" t="s">
        <v>31</v>
      </c>
      <c r="L1087" s="1" t="s">
        <v>13</v>
      </c>
      <c r="M1087" s="6" t="str">
        <f>_xlfn.CONCAT(Table1[[#This Row],[Billing Street]], ", ", Table1[[#This Row],[Billing City]], ", ", Table1[[#This Row],[Billing State/Province]], ", ", Table1[[#This Row],[Billing Zip/Postal Code]])</f>
        <v xml:space="preserve">1980 Hwy 184, Laurel, MS, </v>
      </c>
    </row>
    <row r="1088" spans="1:13" ht="15.6" hidden="1" x14ac:dyDescent="0.3">
      <c r="A1088" s="1" t="s">
        <v>3701</v>
      </c>
      <c r="B1088" s="1"/>
      <c r="C1088" s="1"/>
      <c r="D1088" s="1"/>
      <c r="E1088" s="1"/>
      <c r="F1088" s="1"/>
      <c r="G1088" s="1" t="s">
        <v>8</v>
      </c>
      <c r="H1088" s="2">
        <v>230</v>
      </c>
      <c r="I1088" s="1" t="s">
        <v>3702</v>
      </c>
      <c r="J1088" s="1" t="s">
        <v>3703</v>
      </c>
      <c r="K1088" s="1" t="s">
        <v>198</v>
      </c>
      <c r="L1088" s="1" t="s">
        <v>3704</v>
      </c>
      <c r="M1088" s="6" t="str">
        <f>_xlfn.CONCAT(Table1[[#This Row],[Billing Street]], ", ", Table1[[#This Row],[Billing City]], ", ", Table1[[#This Row],[Billing State/Province]], ", ", Table1[[#This Row],[Billing Zip/Postal Code]])</f>
        <v>612 D Street, Fairbury, NE, 68352</v>
      </c>
    </row>
    <row r="1089" spans="1:13" ht="15.6" hidden="1" x14ac:dyDescent="0.3">
      <c r="A1089" s="1" t="s">
        <v>3705</v>
      </c>
      <c r="B1089" s="1"/>
      <c r="C1089" s="1"/>
      <c r="D1089" s="1"/>
      <c r="E1089" s="1"/>
      <c r="F1089" s="1"/>
      <c r="G1089" s="1" t="s">
        <v>43</v>
      </c>
      <c r="H1089" s="2">
        <v>467</v>
      </c>
      <c r="I1089" s="1" t="s">
        <v>3706</v>
      </c>
      <c r="J1089" s="1" t="s">
        <v>3707</v>
      </c>
      <c r="K1089" s="1" t="s">
        <v>82</v>
      </c>
      <c r="L1089" s="1" t="s">
        <v>3708</v>
      </c>
      <c r="M1089" s="6" t="str">
        <f>_xlfn.CONCAT(Table1[[#This Row],[Billing Street]], ", ", Table1[[#This Row],[Billing City]], ", ", Table1[[#This Row],[Billing State/Province]], ", ", Table1[[#This Row],[Billing Zip/Postal Code]])</f>
        <v>830 W. Washington Street, Marquette, MI, 49855</v>
      </c>
    </row>
    <row r="1090" spans="1:13" ht="15.6" hidden="1" x14ac:dyDescent="0.3">
      <c r="A1090" s="1" t="s">
        <v>3709</v>
      </c>
      <c r="B1090" s="1"/>
      <c r="C1090" s="1"/>
      <c r="D1090" s="1"/>
      <c r="E1090" s="1"/>
      <c r="F1090" s="1"/>
      <c r="G1090" s="1" t="s">
        <v>43</v>
      </c>
      <c r="H1090" s="2">
        <v>322</v>
      </c>
      <c r="I1090" s="1" t="s">
        <v>3710</v>
      </c>
      <c r="J1090" s="1" t="s">
        <v>3711</v>
      </c>
      <c r="K1090" s="1" t="s">
        <v>82</v>
      </c>
      <c r="L1090" s="1" t="s">
        <v>3712</v>
      </c>
      <c r="M1090" s="6" t="str">
        <f>_xlfn.CONCAT(Table1[[#This Row],[Billing Street]], ", ", Table1[[#This Row],[Billing City]], ", ", Table1[[#This Row],[Billing State/Province]], ", ", Table1[[#This Row],[Billing Zip/Postal Code]])</f>
        <v>1323 Boyne Ave, Boyne City, MI, 49712-0070</v>
      </c>
    </row>
    <row r="1091" spans="1:13" ht="15.6" hidden="1" x14ac:dyDescent="0.3">
      <c r="A1091" s="1" t="s">
        <v>3713</v>
      </c>
      <c r="B1091" s="1"/>
      <c r="C1091" s="1"/>
      <c r="D1091" s="1"/>
      <c r="E1091" s="1"/>
      <c r="F1091" s="1"/>
      <c r="G1091" s="1" t="s">
        <v>43</v>
      </c>
      <c r="H1091" s="2">
        <v>5776</v>
      </c>
      <c r="I1091" s="1" t="s">
        <v>13</v>
      </c>
      <c r="J1091" s="1" t="s">
        <v>13</v>
      </c>
      <c r="K1091" s="1" t="s">
        <v>82</v>
      </c>
      <c r="L1091" s="1" t="s">
        <v>13</v>
      </c>
      <c r="M1091" s="6" t="str">
        <f>_xlfn.CONCAT(Table1[[#This Row],[Billing Street]], ", ", Table1[[#This Row],[Billing City]], ", ", Table1[[#This Row],[Billing State/Province]], ", ", Table1[[#This Row],[Billing Zip/Postal Code]])</f>
        <v xml:space="preserve">, , MI, </v>
      </c>
    </row>
    <row r="1092" spans="1:13" ht="15.6" hidden="1" x14ac:dyDescent="0.3">
      <c r="A1092" s="1" t="s">
        <v>3714</v>
      </c>
      <c r="B1092" s="1"/>
      <c r="C1092" s="1"/>
      <c r="D1092" s="1"/>
      <c r="E1092" s="1"/>
      <c r="F1092" s="1"/>
      <c r="G1092" s="1" t="s">
        <v>8</v>
      </c>
      <c r="H1092" s="2">
        <v>340</v>
      </c>
      <c r="I1092" s="1" t="s">
        <v>3715</v>
      </c>
      <c r="J1092" s="1" t="s">
        <v>3716</v>
      </c>
      <c r="K1092" s="1" t="s">
        <v>198</v>
      </c>
      <c r="L1092" s="1" t="s">
        <v>3717</v>
      </c>
      <c r="M1092" s="6" t="str">
        <f>_xlfn.CONCAT(Table1[[#This Row],[Billing Street]], ", ", Table1[[#This Row],[Billing City]], ", ", Table1[[#This Row],[Billing State/Province]], ", ", Table1[[#This Row],[Billing Zip/Postal Code]])</f>
        <v>406 E 7th St, Lexington, NE, 68850</v>
      </c>
    </row>
    <row r="1093" spans="1:13" ht="15.6" hidden="1" x14ac:dyDescent="0.3">
      <c r="A1093" s="1" t="s">
        <v>3718</v>
      </c>
      <c r="B1093" s="1"/>
      <c r="C1093" s="1"/>
      <c r="D1093" s="1"/>
      <c r="E1093" s="1"/>
      <c r="F1093" s="1"/>
      <c r="G1093" s="1" t="s">
        <v>43</v>
      </c>
      <c r="H1093" s="2">
        <v>546</v>
      </c>
      <c r="I1093" s="1" t="s">
        <v>3719</v>
      </c>
      <c r="J1093" s="1" t="s">
        <v>3720</v>
      </c>
      <c r="K1093" s="1" t="s">
        <v>82</v>
      </c>
      <c r="L1093" s="1" t="s">
        <v>3721</v>
      </c>
      <c r="M1093" s="6" t="str">
        <f>_xlfn.CONCAT(Table1[[#This Row],[Billing Street]], ", ", Table1[[#This Row],[Billing City]], ", ", Table1[[#This Row],[Billing State/Province]], ", ", Table1[[#This Row],[Billing Zip/Postal Code]])</f>
        <v>500 James K Paul Street, Ontonagon, MI, 49953</v>
      </c>
    </row>
    <row r="1094" spans="1:13" ht="15.6" hidden="1" x14ac:dyDescent="0.3">
      <c r="A1094" s="1" t="s">
        <v>3722</v>
      </c>
      <c r="B1094" s="1"/>
      <c r="C1094" s="1"/>
      <c r="D1094" s="1"/>
      <c r="E1094" s="1"/>
      <c r="F1094" s="1"/>
      <c r="G1094" s="1" t="s">
        <v>8</v>
      </c>
      <c r="H1094" s="2">
        <v>498</v>
      </c>
      <c r="I1094" s="1" t="s">
        <v>3723</v>
      </c>
      <c r="J1094" s="1" t="s">
        <v>3724</v>
      </c>
      <c r="K1094" s="1" t="s">
        <v>128</v>
      </c>
      <c r="L1094" s="1" t="s">
        <v>3725</v>
      </c>
      <c r="M1094" s="6" t="str">
        <f>_xlfn.CONCAT(Table1[[#This Row],[Billing Street]], ", ", Table1[[#This Row],[Billing City]], ", ", Table1[[#This Row],[Billing State/Province]], ", ", Table1[[#This Row],[Billing Zip/Postal Code]])</f>
        <v>20946 549th Ave, Mankato, MN, 56002</v>
      </c>
    </row>
    <row r="1095" spans="1:13" ht="15.6" hidden="1" x14ac:dyDescent="0.3">
      <c r="A1095" s="1" t="s">
        <v>3726</v>
      </c>
      <c r="B1095" s="1"/>
      <c r="C1095" s="1"/>
      <c r="D1095" s="1"/>
      <c r="E1095" s="1"/>
      <c r="F1095" s="1"/>
      <c r="G1095" s="1" t="s">
        <v>8</v>
      </c>
      <c r="H1095" s="2">
        <v>6528</v>
      </c>
      <c r="I1095" s="1" t="s">
        <v>13</v>
      </c>
      <c r="J1095" s="1" t="s">
        <v>13</v>
      </c>
      <c r="K1095" s="1" t="s">
        <v>128</v>
      </c>
      <c r="L1095" s="1" t="s">
        <v>13</v>
      </c>
      <c r="M1095" s="6" t="str">
        <f>_xlfn.CONCAT(Table1[[#This Row],[Billing Street]], ", ", Table1[[#This Row],[Billing City]], ", ", Table1[[#This Row],[Billing State/Province]], ", ", Table1[[#This Row],[Billing Zip/Postal Code]])</f>
        <v xml:space="preserve">, , MN, </v>
      </c>
    </row>
    <row r="1096" spans="1:13" ht="15.6" hidden="1" x14ac:dyDescent="0.3">
      <c r="A1096" s="1" t="s">
        <v>3727</v>
      </c>
      <c r="B1096" s="1"/>
      <c r="C1096" s="1"/>
      <c r="D1096" s="1"/>
      <c r="E1096" s="1"/>
      <c r="F1096" s="1"/>
      <c r="G1096" s="1" t="s">
        <v>8</v>
      </c>
      <c r="H1096" s="2">
        <v>6528</v>
      </c>
      <c r="I1096" s="1" t="s">
        <v>13</v>
      </c>
      <c r="J1096" s="1" t="s">
        <v>13</v>
      </c>
      <c r="K1096" s="1" t="s">
        <v>128</v>
      </c>
      <c r="L1096" s="1" t="s">
        <v>13</v>
      </c>
      <c r="M1096" s="6" t="str">
        <f>_xlfn.CONCAT(Table1[[#This Row],[Billing Street]], ", ", Table1[[#This Row],[Billing City]], ", ", Table1[[#This Row],[Billing State/Province]], ", ", Table1[[#This Row],[Billing Zip/Postal Code]])</f>
        <v xml:space="preserve">, , MN, </v>
      </c>
    </row>
    <row r="1097" spans="1:13" ht="15.6" hidden="1" x14ac:dyDescent="0.3">
      <c r="A1097" s="1" t="s">
        <v>3728</v>
      </c>
      <c r="B1097" s="1"/>
      <c r="C1097" s="1"/>
      <c r="D1097" s="1"/>
      <c r="E1097" s="1"/>
      <c r="F1097" s="1"/>
      <c r="G1097" s="1" t="s">
        <v>43</v>
      </c>
      <c r="H1097" s="2">
        <v>349</v>
      </c>
      <c r="I1097" s="1" t="s">
        <v>3729</v>
      </c>
      <c r="J1097" s="1" t="s">
        <v>3730</v>
      </c>
      <c r="K1097" s="1" t="s">
        <v>1115</v>
      </c>
      <c r="L1097" s="1" t="s">
        <v>3731</v>
      </c>
      <c r="M1097" s="6" t="str">
        <f>_xlfn.CONCAT(Table1[[#This Row],[Billing Street]], ", ", Table1[[#This Row],[Billing City]], ", ", Table1[[#This Row],[Billing State/Province]], ", ", Table1[[#This Row],[Billing Zip/Postal Code]])</f>
        <v>2135 Philpott Road, South Boston, VA, 24592</v>
      </c>
    </row>
    <row r="1098" spans="1:13" ht="15.6" hidden="1" x14ac:dyDescent="0.3">
      <c r="A1098" s="1" t="s">
        <v>3732</v>
      </c>
      <c r="B1098" s="1"/>
      <c r="C1098" s="1"/>
      <c r="D1098" s="1"/>
      <c r="E1098" s="1"/>
      <c r="F1098" s="1"/>
      <c r="G1098" s="1" t="s">
        <v>8</v>
      </c>
      <c r="H1098" s="2">
        <v>824</v>
      </c>
      <c r="I1098" s="1" t="s">
        <v>3733</v>
      </c>
      <c r="J1098" s="1" t="s">
        <v>3734</v>
      </c>
      <c r="K1098" s="1" t="s">
        <v>3735</v>
      </c>
      <c r="L1098" s="1" t="s">
        <v>3736</v>
      </c>
      <c r="M1098" s="6" t="str">
        <f>_xlfn.CONCAT(Table1[[#This Row],[Billing Street]], ", ", Table1[[#This Row],[Billing City]], ", ", Table1[[#This Row],[Billing State/Province]], ", ", Table1[[#This Row],[Billing Zip/Postal Code]])</f>
        <v>525 20th Ave SW, Minot, ND, 58701</v>
      </c>
    </row>
    <row r="1099" spans="1:13" ht="15.6" hidden="1" x14ac:dyDescent="0.3">
      <c r="A1099" s="1" t="s">
        <v>3737</v>
      </c>
      <c r="B1099" s="1"/>
      <c r="C1099" s="1"/>
      <c r="D1099" s="1"/>
      <c r="E1099" s="1"/>
      <c r="F1099" s="1"/>
      <c r="G1099" s="1" t="s">
        <v>43</v>
      </c>
      <c r="H1099" s="2">
        <v>112</v>
      </c>
      <c r="I1099" s="1" t="s">
        <v>3738</v>
      </c>
      <c r="J1099" s="1" t="s">
        <v>1959</v>
      </c>
      <c r="K1099" s="1" t="s">
        <v>45</v>
      </c>
      <c r="L1099" s="1" t="s">
        <v>3739</v>
      </c>
      <c r="M1099" s="6" t="str">
        <f>_xlfn.CONCAT(Table1[[#This Row],[Billing Street]], ", ", Table1[[#This Row],[Billing City]], ", ", Table1[[#This Row],[Billing State/Province]], ", ", Table1[[#This Row],[Billing Zip/Postal Code]])</f>
        <v>527 E. Woodland Circle, Bowling Green, OH, 43402</v>
      </c>
    </row>
    <row r="1100" spans="1:13" ht="15.6" hidden="1" x14ac:dyDescent="0.3">
      <c r="A1100" s="1" t="s">
        <v>3740</v>
      </c>
      <c r="B1100" s="1"/>
      <c r="C1100" s="1"/>
      <c r="D1100" s="1"/>
      <c r="E1100" s="1"/>
      <c r="F1100" s="1"/>
      <c r="G1100" s="1" t="s">
        <v>8</v>
      </c>
      <c r="H1100" s="2">
        <v>535</v>
      </c>
      <c r="I1100" s="1" t="s">
        <v>3741</v>
      </c>
      <c r="J1100" s="1" t="s">
        <v>3742</v>
      </c>
      <c r="K1100" s="1" t="s">
        <v>128</v>
      </c>
      <c r="L1100" s="1" t="s">
        <v>3743</v>
      </c>
      <c r="M1100" s="6" t="str">
        <f>_xlfn.CONCAT(Table1[[#This Row],[Billing Street]], ", ", Table1[[#This Row],[Billing City]], ", ", Table1[[#This Row],[Billing State/Province]], ", ", Table1[[#This Row],[Billing Zip/Postal Code]])</f>
        <v>3555 280th Street West, Northfield, MN, 55057</v>
      </c>
    </row>
    <row r="1101" spans="1:13" ht="15.6" hidden="1" x14ac:dyDescent="0.3">
      <c r="A1101" s="1" t="s">
        <v>3744</v>
      </c>
      <c r="B1101" s="1"/>
      <c r="C1101" s="1"/>
      <c r="D1101" s="1"/>
      <c r="E1101" s="1"/>
      <c r="F1101" s="1"/>
      <c r="G1101" s="1" t="s">
        <v>8</v>
      </c>
      <c r="H1101" s="2">
        <v>554</v>
      </c>
      <c r="I1101" s="1" t="s">
        <v>3745</v>
      </c>
      <c r="J1101" s="1" t="s">
        <v>3746</v>
      </c>
      <c r="K1101" s="1" t="s">
        <v>128</v>
      </c>
      <c r="L1101" s="1" t="s">
        <v>3747</v>
      </c>
      <c r="M1101" s="6" t="str">
        <f>_xlfn.CONCAT(Table1[[#This Row],[Billing Street]], ", ", Table1[[#This Row],[Billing City]], ", ", Table1[[#This Row],[Billing State/Province]], ", ", Table1[[#This Row],[Billing Zip/Postal Code]])</f>
        <v>4570 West 77th Street, Suite 265, Edina, MN, 55435</v>
      </c>
    </row>
    <row r="1102" spans="1:13" ht="15.6" hidden="1" x14ac:dyDescent="0.3">
      <c r="A1102" s="1" t="s">
        <v>3748</v>
      </c>
      <c r="B1102" s="1"/>
      <c r="C1102" s="1"/>
      <c r="D1102" s="1"/>
      <c r="E1102" s="1"/>
      <c r="F1102" s="1"/>
      <c r="G1102" s="1" t="s">
        <v>43</v>
      </c>
      <c r="H1102" s="2">
        <v>9</v>
      </c>
      <c r="I1102" s="1" t="s">
        <v>3749</v>
      </c>
      <c r="J1102" s="1" t="s">
        <v>3750</v>
      </c>
      <c r="K1102" s="1" t="s">
        <v>45</v>
      </c>
      <c r="L1102" s="1" t="s">
        <v>3751</v>
      </c>
      <c r="M1102" s="6" t="str">
        <f>_xlfn.CONCAT(Table1[[#This Row],[Billing Street]], ", ", Table1[[#This Row],[Billing City]], ", ", Table1[[#This Row],[Billing State/Province]], ", ", Table1[[#This Row],[Billing Zip/Postal Code]])</f>
        <v>4540 Boyce Parkway, Stow, OH, 44224</v>
      </c>
    </row>
    <row r="1103" spans="1:13" ht="15.6" hidden="1" x14ac:dyDescent="0.3">
      <c r="A1103" s="1" t="s">
        <v>3752</v>
      </c>
      <c r="B1103" s="1"/>
      <c r="C1103" s="1"/>
      <c r="D1103" s="1"/>
      <c r="E1103" s="1"/>
      <c r="F1103" s="1"/>
      <c r="G1103" s="1" t="s">
        <v>8</v>
      </c>
      <c r="H1103" s="2">
        <v>565</v>
      </c>
      <c r="I1103" s="1" t="s">
        <v>3753</v>
      </c>
      <c r="J1103" s="1" t="s">
        <v>3754</v>
      </c>
      <c r="K1103" s="1" t="s">
        <v>128</v>
      </c>
      <c r="L1103" s="1" t="s">
        <v>3755</v>
      </c>
      <c r="M1103" s="6" t="str">
        <f>_xlfn.CONCAT(Table1[[#This Row],[Billing Street]], ", ", Table1[[#This Row],[Billing City]], ", ", Table1[[#This Row],[Billing State/Province]], ", ", Table1[[#This Row],[Billing Zip/Postal Code]])</f>
        <v>6800 Electric Drive, Rockford, MN, 55373-0330</v>
      </c>
    </row>
    <row r="1104" spans="1:13" ht="15.6" hidden="1" x14ac:dyDescent="0.3">
      <c r="A1104" s="1" t="s">
        <v>3756</v>
      </c>
      <c r="B1104" s="1"/>
      <c r="C1104" s="1"/>
      <c r="D1104" s="1"/>
      <c r="E1104" s="1"/>
      <c r="F1104" s="1"/>
      <c r="G1104" s="1" t="s">
        <v>8</v>
      </c>
      <c r="H1104" s="2">
        <v>511</v>
      </c>
      <c r="I1104" s="1" t="s">
        <v>3757</v>
      </c>
      <c r="J1104" s="1" t="s">
        <v>3758</v>
      </c>
      <c r="K1104" s="1" t="s">
        <v>128</v>
      </c>
      <c r="L1104" s="1" t="s">
        <v>128</v>
      </c>
      <c r="M1104" s="6" t="str">
        <f>_xlfn.CONCAT(Table1[[#This Row],[Billing Street]], ", ", Table1[[#This Row],[Billing City]], ", ", Table1[[#This Row],[Billing State/Province]], ", ", Table1[[#This Row],[Billing Zip/Postal Code]])</f>
        <v>227 S Front Street, Saint Peter, MN, MN</v>
      </c>
    </row>
    <row r="1105" spans="1:13" ht="15.6" hidden="1" x14ac:dyDescent="0.3">
      <c r="A1105" s="1" t="s">
        <v>3759</v>
      </c>
      <c r="B1105" s="1"/>
      <c r="C1105" s="1"/>
      <c r="D1105" s="1"/>
      <c r="E1105" s="1"/>
      <c r="F1105" s="1"/>
      <c r="G1105" s="1" t="s">
        <v>8</v>
      </c>
      <c r="H1105" s="2">
        <v>513</v>
      </c>
      <c r="I1105" s="1" t="s">
        <v>3760</v>
      </c>
      <c r="J1105" s="1" t="s">
        <v>3455</v>
      </c>
      <c r="K1105" s="1" t="s">
        <v>128</v>
      </c>
      <c r="L1105" s="1" t="s">
        <v>3761</v>
      </c>
      <c r="M1105" s="6" t="str">
        <f>_xlfn.CONCAT(Table1[[#This Row],[Billing Street]], ", ", Table1[[#This Row],[Billing City]], ", ", Table1[[#This Row],[Billing State/Province]], ", ", Table1[[#This Row],[Billing Zip/Postal Code]])</f>
        <v>505 40th Street NE, Rochester, MN, 55906</v>
      </c>
    </row>
    <row r="1106" spans="1:13" ht="15.6" hidden="1" x14ac:dyDescent="0.3">
      <c r="A1106" s="1" t="s">
        <v>3762</v>
      </c>
      <c r="B1106" s="1"/>
      <c r="C1106" s="1"/>
      <c r="D1106" s="1"/>
      <c r="E1106" s="1"/>
      <c r="F1106" s="1"/>
      <c r="G1106" s="1" t="s">
        <v>8</v>
      </c>
      <c r="H1106" s="2">
        <v>537</v>
      </c>
      <c r="I1106" s="1" t="s">
        <v>3763</v>
      </c>
      <c r="J1106" s="1" t="s">
        <v>3764</v>
      </c>
      <c r="K1106" s="1" t="s">
        <v>128</v>
      </c>
      <c r="L1106" s="1" t="s">
        <v>3765</v>
      </c>
      <c r="M1106" s="6" t="str">
        <f>_xlfn.CONCAT(Table1[[#This Row],[Billing Street]], ", ", Table1[[#This Row],[Billing City]], ", ", Table1[[#This Row],[Billing State/Province]], ", ", Table1[[#This Row],[Billing Zip/Postal Code]])</f>
        <v>125 Minnesota Valley Electric Dr., Jordan, MN, 55352</v>
      </c>
    </row>
    <row r="1107" spans="1:13" ht="15.6" hidden="1" x14ac:dyDescent="0.3">
      <c r="A1107" s="1" t="s">
        <v>3766</v>
      </c>
      <c r="B1107" s="1"/>
      <c r="C1107" s="1"/>
      <c r="D1107" s="1"/>
      <c r="E1107" s="1"/>
      <c r="F1107" s="1"/>
      <c r="G1107" s="1" t="s">
        <v>8</v>
      </c>
      <c r="H1107" s="2">
        <v>724</v>
      </c>
      <c r="I1107" s="1" t="s">
        <v>3767</v>
      </c>
      <c r="J1107" s="1" t="s">
        <v>3768</v>
      </c>
      <c r="K1107" s="1" t="s">
        <v>128</v>
      </c>
      <c r="L1107" s="1" t="s">
        <v>3769</v>
      </c>
      <c r="M1107" s="6" t="str">
        <f>_xlfn.CONCAT(Table1[[#This Row],[Billing Street]], ", ", Table1[[#This Row],[Billing City]], ", ", Table1[[#This Row],[Billing State/Province]], ", ", Table1[[#This Row],[Billing Zip/Postal Code]])</f>
        <v>4111 Technology Dr NW, Bemidji, MN, 56601</v>
      </c>
    </row>
    <row r="1108" spans="1:13" ht="15.6" hidden="1" x14ac:dyDescent="0.3">
      <c r="A1108" s="1" t="s">
        <v>3770</v>
      </c>
      <c r="B1108" s="1"/>
      <c r="C1108" s="1"/>
      <c r="D1108" s="1"/>
      <c r="E1108" s="1"/>
      <c r="F1108" s="1"/>
      <c r="G1108" s="1" t="s">
        <v>8</v>
      </c>
      <c r="H1108" s="2">
        <v>639</v>
      </c>
      <c r="I1108" s="1" t="s">
        <v>3771</v>
      </c>
      <c r="J1108" s="1" t="s">
        <v>3772</v>
      </c>
      <c r="K1108" s="1" t="s">
        <v>128</v>
      </c>
      <c r="L1108" s="1" t="s">
        <v>3773</v>
      </c>
      <c r="M1108" s="6" t="str">
        <f>_xlfn.CONCAT(Table1[[#This Row],[Billing Street]], ", ", Table1[[#This Row],[Billing City]], ", ", Table1[[#This Row],[Billing State/Province]], ", ", Table1[[#This Row],[Billing Zip/Postal Code]])</f>
        <v>215 South Cascade Street, Fergus Falls, MN, 56538</v>
      </c>
    </row>
    <row r="1109" spans="1:13" ht="15.6" hidden="1" x14ac:dyDescent="0.3">
      <c r="A1109" s="1" t="s">
        <v>3774</v>
      </c>
      <c r="B1109" s="1"/>
      <c r="C1109" s="1"/>
      <c r="D1109" s="1"/>
      <c r="E1109" s="1"/>
      <c r="F1109" s="1"/>
      <c r="G1109" s="1" t="s">
        <v>8</v>
      </c>
      <c r="H1109" s="2">
        <v>378</v>
      </c>
      <c r="I1109" s="1" t="s">
        <v>3775</v>
      </c>
      <c r="J1109" s="1" t="s">
        <v>3776</v>
      </c>
      <c r="K1109" s="1" t="s">
        <v>198</v>
      </c>
      <c r="L1109" s="1" t="s">
        <v>3777</v>
      </c>
      <c r="M1109" s="6" t="str">
        <f>_xlfn.CONCAT(Table1[[#This Row],[Billing Street]], ", ", Table1[[#This Row],[Billing City]], ", ", Table1[[#This Row],[Billing State/Province]], ", ", Table1[[#This Row],[Billing Zip/Postal Code]])</f>
        <v>1615 1st Ave, South Sioux City, NE, 68776</v>
      </c>
    </row>
    <row r="1110" spans="1:13" ht="15.6" hidden="1" x14ac:dyDescent="0.3">
      <c r="A1110" s="1" t="s">
        <v>3778</v>
      </c>
      <c r="B1110" s="1"/>
      <c r="C1110" s="1"/>
      <c r="D1110" s="1"/>
      <c r="E1110" s="1"/>
      <c r="F1110" s="1"/>
      <c r="G1110" s="1" t="s">
        <v>8</v>
      </c>
      <c r="H1110" s="2">
        <v>463</v>
      </c>
      <c r="I1110" s="1" t="s">
        <v>3779</v>
      </c>
      <c r="J1110" s="1" t="s">
        <v>3780</v>
      </c>
      <c r="K1110" s="1" t="s">
        <v>128</v>
      </c>
      <c r="L1110" s="1" t="s">
        <v>3781</v>
      </c>
      <c r="M1110" s="6" t="str">
        <f>_xlfn.CONCAT(Table1[[#This Row],[Billing Street]], ", ", Table1[[#This Row],[Billing City]], ", ", Table1[[#This Row],[Billing State/Province]], ", ", Table1[[#This Row],[Billing Zip/Postal Code]])</f>
        <v>125 East 7th Street, Blue Earth, MN, 56013</v>
      </c>
    </row>
    <row r="1111" spans="1:13" ht="15.6" hidden="1" x14ac:dyDescent="0.3">
      <c r="A1111" s="1" t="s">
        <v>3782</v>
      </c>
      <c r="B1111" s="1"/>
      <c r="C1111" s="1"/>
      <c r="D1111" s="1"/>
      <c r="E1111" s="1"/>
      <c r="F1111" s="1"/>
      <c r="G1111" s="1" t="s">
        <v>8</v>
      </c>
      <c r="H1111" s="2">
        <v>541</v>
      </c>
      <c r="I1111" s="1" t="s">
        <v>3783</v>
      </c>
      <c r="J1111" s="1" t="s">
        <v>3784</v>
      </c>
      <c r="K1111" s="1" t="s">
        <v>198</v>
      </c>
      <c r="L1111" s="1" t="s">
        <v>3785</v>
      </c>
      <c r="M1111" s="6" t="str">
        <f>_xlfn.CONCAT(Table1[[#This Row],[Billing Street]], ", ", Table1[[#This Row],[Billing City]], ", ", Table1[[#This Row],[Billing State/Province]], ", ", Table1[[#This Row],[Billing Zip/Postal Code]])</f>
        <v>225 East D Street, Gering, NE, 69341</v>
      </c>
    </row>
    <row r="1112" spans="1:13" ht="15.6" hidden="1" x14ac:dyDescent="0.3">
      <c r="A1112" s="1" t="s">
        <v>3786</v>
      </c>
      <c r="B1112" s="1"/>
      <c r="C1112" s="1"/>
      <c r="D1112" s="1"/>
      <c r="E1112" s="1"/>
      <c r="F1112" s="1"/>
      <c r="G1112" s="1" t="s">
        <v>8</v>
      </c>
      <c r="H1112" s="2">
        <v>6528</v>
      </c>
      <c r="I1112" s="1" t="s">
        <v>13</v>
      </c>
      <c r="J1112" s="1" t="s">
        <v>13</v>
      </c>
      <c r="K1112" s="1" t="s">
        <v>128</v>
      </c>
      <c r="L1112" s="1" t="s">
        <v>13</v>
      </c>
      <c r="M1112" s="6" t="str">
        <f>_xlfn.CONCAT(Table1[[#This Row],[Billing Street]], ", ", Table1[[#This Row],[Billing City]], ", ", Table1[[#This Row],[Billing State/Province]], ", ", Table1[[#This Row],[Billing Zip/Postal Code]])</f>
        <v xml:space="preserve">, , MN, </v>
      </c>
    </row>
    <row r="1113" spans="1:13" ht="15.6" hidden="1" x14ac:dyDescent="0.3">
      <c r="A1113" s="1" t="s">
        <v>3787</v>
      </c>
      <c r="B1113" s="1"/>
      <c r="C1113" s="1"/>
      <c r="D1113" s="1"/>
      <c r="E1113" s="1"/>
      <c r="F1113" s="1"/>
      <c r="G1113" s="1" t="s">
        <v>8</v>
      </c>
      <c r="H1113" s="2">
        <v>712</v>
      </c>
      <c r="I1113" s="1" t="s">
        <v>3788</v>
      </c>
      <c r="J1113" s="1" t="s">
        <v>2023</v>
      </c>
      <c r="K1113" s="1" t="s">
        <v>128</v>
      </c>
      <c r="L1113" s="1" t="s">
        <v>3789</v>
      </c>
      <c r="M1113" s="6" t="str">
        <f>_xlfn.CONCAT(Table1[[#This Row],[Billing Street]], ", ", Table1[[#This Row],[Billing City]], ", ", Table1[[#This Row],[Billing State/Province]], ", ", Table1[[#This Row],[Billing Zip/Postal Code]])</f>
        <v>500 SE 4th St, Grand Rapids, MN, 55744</v>
      </c>
    </row>
    <row r="1114" spans="1:13" ht="15.6" hidden="1" x14ac:dyDescent="0.3">
      <c r="A1114" s="1" t="s">
        <v>3790</v>
      </c>
      <c r="B1114" s="1"/>
      <c r="C1114" s="1"/>
      <c r="D1114" s="1"/>
      <c r="E1114" s="1"/>
      <c r="F1114" s="1"/>
      <c r="G1114" s="1" t="s">
        <v>8</v>
      </c>
      <c r="H1114" s="2">
        <v>548</v>
      </c>
      <c r="I1114" s="1" t="s">
        <v>3791</v>
      </c>
      <c r="J1114" s="1" t="s">
        <v>3792</v>
      </c>
      <c r="K1114" s="1" t="s">
        <v>128</v>
      </c>
      <c r="L1114" s="1" t="s">
        <v>3793</v>
      </c>
      <c r="M1114" s="6" t="str">
        <f>_xlfn.CONCAT(Table1[[#This Row],[Billing Street]], ", ", Table1[[#This Row],[Billing City]], ", ", Table1[[#This Row],[Billing State/Province]], ", ", Table1[[#This Row],[Billing Zip/Postal Code]])</f>
        <v>255 Sarazin St, Shakopee, MN, 55379</v>
      </c>
    </row>
    <row r="1115" spans="1:13" ht="15.6" hidden="1" x14ac:dyDescent="0.3">
      <c r="A1115" s="1" t="s">
        <v>3794</v>
      </c>
      <c r="B1115" s="1"/>
      <c r="C1115" s="1"/>
      <c r="D1115" s="1"/>
      <c r="E1115" s="1"/>
      <c r="F1115" s="1"/>
      <c r="G1115" s="1" t="s">
        <v>8</v>
      </c>
      <c r="H1115" s="2">
        <v>581</v>
      </c>
      <c r="I1115" s="1" t="s">
        <v>3795</v>
      </c>
      <c r="J1115" s="1" t="s">
        <v>3796</v>
      </c>
      <c r="K1115" s="1" t="s">
        <v>128</v>
      </c>
      <c r="L1115" s="1" t="s">
        <v>3797</v>
      </c>
      <c r="M1115" s="6" t="str">
        <f>_xlfn.CONCAT(Table1[[#This Row],[Billing Street]], ", ", Table1[[#This Row],[Billing City]], ", ", Table1[[#This Row],[Billing State/Province]], ", ", Table1[[#This Row],[Billing Zip/Postal Code]])</f>
        <v>17845 E. Highway 10, Elk River, MN, 55330</v>
      </c>
    </row>
    <row r="1116" spans="1:13" ht="15.6" x14ac:dyDescent="0.3">
      <c r="A1116" s="1" t="s">
        <v>3798</v>
      </c>
      <c r="B1116" s="1"/>
      <c r="C1116" s="1"/>
      <c r="D1116" s="1"/>
      <c r="E1116" s="1"/>
      <c r="F1116" s="1"/>
      <c r="G1116" s="1" t="s">
        <v>24</v>
      </c>
      <c r="H1116" s="2">
        <v>5988</v>
      </c>
      <c r="I1116" s="1" t="s">
        <v>3799</v>
      </c>
      <c r="J1116" s="1" t="s">
        <v>3800</v>
      </c>
      <c r="K1116" s="1" t="s">
        <v>31</v>
      </c>
      <c r="L1116" s="1" t="s">
        <v>3801</v>
      </c>
      <c r="M1116" s="6" t="str">
        <f>_xlfn.CONCAT(Table1[[#This Row],[Billing Street]], ", ", Table1[[#This Row],[Billing City]], ", ", Table1[[#This Row],[Billing State/Province]], ", ", Table1[[#This Row],[Billing Zip/Postal Code]])</f>
        <v>190 D'Evereaux Drive, Natchez, MS, 39121</v>
      </c>
    </row>
    <row r="1117" spans="1:13" ht="15.6" hidden="1" x14ac:dyDescent="0.3">
      <c r="A1117" s="1" t="s">
        <v>3802</v>
      </c>
      <c r="B1117" s="1"/>
      <c r="C1117" s="1"/>
      <c r="D1117" s="1"/>
      <c r="E1117" s="1"/>
      <c r="F1117" s="1"/>
      <c r="G1117" s="1" t="s">
        <v>8</v>
      </c>
      <c r="H1117" s="2">
        <v>408</v>
      </c>
      <c r="I1117" s="1" t="s">
        <v>3803</v>
      </c>
      <c r="J1117" s="1" t="s">
        <v>3804</v>
      </c>
      <c r="K1117" s="1" t="s">
        <v>51</v>
      </c>
      <c r="L1117" s="1" t="s">
        <v>3805</v>
      </c>
      <c r="M1117" s="6" t="str">
        <f>_xlfn.CONCAT(Table1[[#This Row],[Billing Street]], ", ", Table1[[#This Row],[Billing City]], ", ", Table1[[#This Row],[Billing State/Province]], ", ", Table1[[#This Row],[Billing Zip/Postal Code]])</f>
        <v>1501 E 1st Street, Hereford, TX, 79045</v>
      </c>
    </row>
    <row r="1118" spans="1:13" ht="15.6" hidden="1" x14ac:dyDescent="0.3">
      <c r="A1118" s="1" t="s">
        <v>3806</v>
      </c>
      <c r="B1118" s="1"/>
      <c r="C1118" s="1"/>
      <c r="D1118" s="1"/>
      <c r="E1118" s="1"/>
      <c r="F1118" s="1"/>
      <c r="G1118" s="1" t="s">
        <v>8</v>
      </c>
      <c r="H1118" s="2">
        <v>512</v>
      </c>
      <c r="I1118" s="1" t="s">
        <v>3807</v>
      </c>
      <c r="J1118" s="1" t="s">
        <v>3808</v>
      </c>
      <c r="K1118" s="1" t="s">
        <v>51</v>
      </c>
      <c r="L1118" s="1" t="s">
        <v>3809</v>
      </c>
      <c r="M1118" s="6" t="str">
        <f>_xlfn.CONCAT(Table1[[#This Row],[Billing Street]], ", ", Table1[[#This Row],[Billing City]], ", ", Table1[[#This Row],[Billing State/Province]], ", ", Table1[[#This Row],[Billing Zip/Postal Code]])</f>
        <v>630 E Hopkins St, San Marcos, TX, 78666</v>
      </c>
    </row>
    <row r="1119" spans="1:13" ht="15.6" hidden="1" x14ac:dyDescent="0.3">
      <c r="A1119" s="1" t="s">
        <v>3810</v>
      </c>
      <c r="B1119" s="1"/>
      <c r="C1119" s="1"/>
      <c r="D1119" s="1"/>
      <c r="E1119" s="1"/>
      <c r="F1119" s="1"/>
      <c r="G1119" s="1" t="s">
        <v>8</v>
      </c>
      <c r="H1119" s="2">
        <v>540</v>
      </c>
      <c r="I1119" s="1" t="s">
        <v>3811</v>
      </c>
      <c r="J1119" s="1" t="s">
        <v>2337</v>
      </c>
      <c r="K1119" s="1" t="s">
        <v>128</v>
      </c>
      <c r="L1119" s="1" t="s">
        <v>3812</v>
      </c>
      <c r="M1119" s="6" t="str">
        <f>_xlfn.CONCAT(Table1[[#This Row],[Billing Street]], ", ", Table1[[#This Row],[Billing City]], ", ", Table1[[#This Row],[Billing State/Province]], ", ", Table1[[#This Row],[Billing Zip/Postal Code]])</f>
        <v>4300 220th Street West, Farmington, MN, 55024</v>
      </c>
    </row>
    <row r="1120" spans="1:13" ht="15.6" hidden="1" x14ac:dyDescent="0.3">
      <c r="A1120" s="1" t="s">
        <v>3813</v>
      </c>
      <c r="B1120" s="1"/>
      <c r="C1120" s="1"/>
      <c r="D1120" s="1"/>
      <c r="E1120" s="1"/>
      <c r="F1120" s="1"/>
      <c r="G1120" s="1" t="s">
        <v>8</v>
      </c>
      <c r="H1120" s="2">
        <v>503</v>
      </c>
      <c r="I1120" s="1" t="s">
        <v>3814</v>
      </c>
      <c r="J1120" s="1" t="s">
        <v>3815</v>
      </c>
      <c r="K1120" s="1" t="s">
        <v>128</v>
      </c>
      <c r="L1120" s="1" t="s">
        <v>1275</v>
      </c>
      <c r="M1120" s="6" t="str">
        <f>_xlfn.CONCAT(Table1[[#This Row],[Billing Street]], ", ", Table1[[#This Row],[Billing City]], ", ", Table1[[#This Row],[Billing State/Province]], ", ", Table1[[#This Row],[Billing Zip/Postal Code]])</f>
        <v>208 S. Walnut Ave., Owatonna, MN, 55060</v>
      </c>
    </row>
    <row r="1121" spans="1:13" ht="15.6" hidden="1" x14ac:dyDescent="0.3">
      <c r="A1121" s="1" t="s">
        <v>3816</v>
      </c>
      <c r="B1121" s="1"/>
      <c r="C1121" s="1"/>
      <c r="D1121" s="1"/>
      <c r="E1121" s="1"/>
      <c r="F1121" s="1"/>
      <c r="G1121" s="1" t="s">
        <v>8</v>
      </c>
      <c r="H1121" s="2">
        <v>547</v>
      </c>
      <c r="I1121" s="1" t="s">
        <v>3817</v>
      </c>
      <c r="J1121" s="1" t="s">
        <v>3818</v>
      </c>
      <c r="K1121" s="1" t="s">
        <v>128</v>
      </c>
      <c r="L1121" s="1" t="s">
        <v>3819</v>
      </c>
      <c r="M1121" s="6" t="str">
        <f>_xlfn.CONCAT(Table1[[#This Row],[Billing Street]], ", ", Table1[[#This Row],[Billing City]], ", ", Table1[[#This Row],[Billing State/Province]], ", ", Table1[[#This Row],[Billing Zip/Postal Code]])</f>
        <v>660 Victoria Dr, Chaska, MN, 55318</v>
      </c>
    </row>
    <row r="1122" spans="1:13" ht="15.6" hidden="1" x14ac:dyDescent="0.3">
      <c r="A1122" s="1" t="s">
        <v>3820</v>
      </c>
      <c r="B1122" s="1"/>
      <c r="C1122" s="1"/>
      <c r="D1122" s="1"/>
      <c r="E1122" s="1"/>
      <c r="F1122" s="1"/>
      <c r="G1122" s="1" t="s">
        <v>8</v>
      </c>
      <c r="H1122" s="2">
        <v>456</v>
      </c>
      <c r="I1122" s="1" t="s">
        <v>3821</v>
      </c>
      <c r="J1122" s="1" t="s">
        <v>3822</v>
      </c>
      <c r="K1122" s="1" t="s">
        <v>128</v>
      </c>
      <c r="L1122" s="1" t="s">
        <v>3823</v>
      </c>
      <c r="M1122" s="6" t="str">
        <f>_xlfn.CONCAT(Table1[[#This Row],[Billing Street]], ", ", Table1[[#This Row],[Billing City]], ", ", Table1[[#This Row],[Billing State/Province]], ", ", Table1[[#This Row],[Billing Zip/Postal Code]])</f>
        <v>20 Maine Ave, Adrian, MN, 56110</v>
      </c>
    </row>
    <row r="1123" spans="1:13" ht="15.6" hidden="1" x14ac:dyDescent="0.3">
      <c r="A1123" s="1" t="s">
        <v>3824</v>
      </c>
      <c r="B1123" s="1"/>
      <c r="C1123" s="1"/>
      <c r="D1123" s="1"/>
      <c r="E1123" s="1"/>
      <c r="F1123" s="1"/>
      <c r="G1123" s="1" t="s">
        <v>205</v>
      </c>
      <c r="H1123" s="2">
        <v>87</v>
      </c>
      <c r="I1123" s="1" t="s">
        <v>3825</v>
      </c>
      <c r="J1123" s="1" t="s">
        <v>3826</v>
      </c>
      <c r="K1123" s="1" t="s">
        <v>479</v>
      </c>
      <c r="L1123" s="1" t="s">
        <v>3827</v>
      </c>
      <c r="M1123" s="6" t="str">
        <f>_xlfn.CONCAT(Table1[[#This Row],[Billing Street]], ", ", Table1[[#This Row],[Billing City]], ", ", Table1[[#This Row],[Billing State/Province]], ", ", Table1[[#This Row],[Billing Zip/Postal Code]])</f>
        <v>111 South Elota Avenue, Ajo, AZ, 85321</v>
      </c>
    </row>
    <row r="1124" spans="1:13" ht="15.6" hidden="1" x14ac:dyDescent="0.3">
      <c r="A1124" s="1" t="s">
        <v>3828</v>
      </c>
      <c r="B1124" s="1"/>
      <c r="C1124" s="1"/>
      <c r="D1124" s="1"/>
      <c r="E1124" s="1"/>
      <c r="F1124" s="1"/>
      <c r="G1124" s="1" t="s">
        <v>205</v>
      </c>
      <c r="H1124" s="2">
        <v>307</v>
      </c>
      <c r="I1124" s="1" t="s">
        <v>3829</v>
      </c>
      <c r="J1124" s="1" t="s">
        <v>3830</v>
      </c>
      <c r="K1124" s="1" t="s">
        <v>472</v>
      </c>
      <c r="L1124" s="1" t="s">
        <v>3831</v>
      </c>
      <c r="M1124" s="6" t="str">
        <f>_xlfn.CONCAT(Table1[[#This Row],[Billing Street]], ", ", Table1[[#This Row],[Billing City]], ", ", Table1[[#This Row],[Billing State/Province]], ", ", Table1[[#This Row],[Billing Zip/Postal Code]])</f>
        <v>405 N Main St, Parowan, UT, 84761</v>
      </c>
    </row>
    <row r="1125" spans="1:13" ht="15.6" hidden="1" x14ac:dyDescent="0.3">
      <c r="A1125" s="1" t="s">
        <v>3832</v>
      </c>
      <c r="B1125" s="1"/>
      <c r="C1125" s="1"/>
      <c r="D1125" s="1"/>
      <c r="E1125" s="1"/>
      <c r="F1125" s="1"/>
      <c r="G1125" s="1" t="s">
        <v>8</v>
      </c>
      <c r="H1125" s="2">
        <v>6528</v>
      </c>
      <c r="I1125" s="1" t="s">
        <v>13</v>
      </c>
      <c r="J1125" s="1" t="s">
        <v>13</v>
      </c>
      <c r="K1125" s="1" t="s">
        <v>128</v>
      </c>
      <c r="L1125" s="1" t="s">
        <v>13</v>
      </c>
      <c r="M1125" s="6" t="str">
        <f>_xlfn.CONCAT(Table1[[#This Row],[Billing Street]], ", ", Table1[[#This Row],[Billing City]], ", ", Table1[[#This Row],[Billing State/Province]], ", ", Table1[[#This Row],[Billing Zip/Postal Code]])</f>
        <v xml:space="preserve">, , MN, </v>
      </c>
    </row>
    <row r="1126" spans="1:13" ht="15.6" hidden="1" x14ac:dyDescent="0.3">
      <c r="A1126" s="1" t="s">
        <v>3833</v>
      </c>
      <c r="B1126" s="1"/>
      <c r="C1126" s="1"/>
      <c r="D1126" s="1"/>
      <c r="E1126" s="1"/>
      <c r="F1126" s="1"/>
      <c r="G1126" s="1" t="s">
        <v>8</v>
      </c>
      <c r="H1126" s="2">
        <v>462</v>
      </c>
      <c r="I1126" s="1" t="s">
        <v>3834</v>
      </c>
      <c r="J1126" s="1" t="s">
        <v>3835</v>
      </c>
      <c r="K1126" s="1" t="s">
        <v>128</v>
      </c>
      <c r="L1126" s="1" t="s">
        <v>3836</v>
      </c>
      <c r="M1126" s="6" t="str">
        <f>_xlfn.CONCAT(Table1[[#This Row],[Billing Street]], ", ", Table1[[#This Row],[Billing City]], ", ", Table1[[#This Row],[Billing State/Province]], ", ", Table1[[#This Row],[Billing Zip/Postal Code]])</f>
        <v>1120 Marcus Street, Fairmont, MN, 56031</v>
      </c>
    </row>
    <row r="1127" spans="1:13" ht="15.6" hidden="1" x14ac:dyDescent="0.3">
      <c r="A1127" s="1" t="s">
        <v>3837</v>
      </c>
      <c r="B1127" s="1"/>
      <c r="C1127" s="1"/>
      <c r="D1127" s="1"/>
      <c r="E1127" s="1"/>
      <c r="F1127" s="1"/>
      <c r="G1127" s="1" t="s">
        <v>98</v>
      </c>
      <c r="H1127" s="2">
        <v>29</v>
      </c>
      <c r="I1127" s="1" t="s">
        <v>3838</v>
      </c>
      <c r="J1127" s="1" t="s">
        <v>3839</v>
      </c>
      <c r="K1127" s="1" t="s">
        <v>101</v>
      </c>
      <c r="L1127" s="1" t="s">
        <v>3840</v>
      </c>
      <c r="M1127" s="6" t="str">
        <f>_xlfn.CONCAT(Table1[[#This Row],[Billing Street]], ", ", Table1[[#This Row],[Billing City]], ", ", Table1[[#This Row],[Billing State/Province]], ", ", Table1[[#This Row],[Billing Zip/Postal Code]])</f>
        <v>4040 Bankhead Hwy, Douglasville, GA, 30157</v>
      </c>
    </row>
    <row r="1128" spans="1:13" ht="15.6" x14ac:dyDescent="0.3">
      <c r="A1128" s="1" t="s">
        <v>3841</v>
      </c>
      <c r="B1128" s="1"/>
      <c r="C1128" s="1"/>
      <c r="D1128" s="1"/>
      <c r="E1128" s="1"/>
      <c r="F1128" s="1"/>
      <c r="G1128" s="1" t="s">
        <v>24</v>
      </c>
      <c r="H1128" s="2">
        <v>327</v>
      </c>
      <c r="I1128" s="1" t="s">
        <v>3842</v>
      </c>
      <c r="J1128" s="1" t="s">
        <v>3037</v>
      </c>
      <c r="K1128" s="1" t="s">
        <v>36</v>
      </c>
      <c r="L1128" s="1" t="s">
        <v>3843</v>
      </c>
      <c r="M1128" s="6" t="str">
        <f>_xlfn.CONCAT(Table1[[#This Row],[Billing Street]], ", ", Table1[[#This Row],[Billing City]], ", ", Table1[[#This Row],[Billing State/Province]], ", ", Table1[[#This Row],[Billing Zip/Postal Code]])</f>
        <v>6003 Pershing Ave, Orlando, FL, 32802</v>
      </c>
    </row>
    <row r="1129" spans="1:13" ht="15.6" x14ac:dyDescent="0.3">
      <c r="A1129" s="1" t="s">
        <v>3844</v>
      </c>
      <c r="B1129" s="1"/>
      <c r="C1129" s="1"/>
      <c r="D1129" s="1"/>
      <c r="E1129" s="1"/>
      <c r="F1129" s="1"/>
      <c r="G1129" s="1" t="s">
        <v>24</v>
      </c>
      <c r="H1129" s="2">
        <v>304</v>
      </c>
      <c r="I1129" s="1" t="s">
        <v>3845</v>
      </c>
      <c r="J1129" s="1" t="s">
        <v>3846</v>
      </c>
      <c r="K1129" s="1" t="s">
        <v>36</v>
      </c>
      <c r="L1129" s="1" t="s">
        <v>3847</v>
      </c>
      <c r="M1129" s="6" t="str">
        <f>_xlfn.CONCAT(Table1[[#This Row],[Billing Street]], ", ", Table1[[#This Row],[Billing City]], ", ", Table1[[#This Row],[Billing State/Province]], ", ", Table1[[#This Row],[Billing Zip/Postal Code]])</f>
        <v>1401 Mercantile Ct, Plant City, FL, 22563</v>
      </c>
    </row>
    <row r="1130" spans="1:13" ht="15.6" x14ac:dyDescent="0.3">
      <c r="A1130" s="1" t="s">
        <v>3848</v>
      </c>
      <c r="B1130" s="1"/>
      <c r="C1130" s="1"/>
      <c r="D1130" s="1"/>
      <c r="E1130" s="1"/>
      <c r="F1130" s="1"/>
      <c r="G1130" s="1" t="s">
        <v>24</v>
      </c>
      <c r="H1130" s="2">
        <v>238</v>
      </c>
      <c r="I1130" s="1" t="s">
        <v>3849</v>
      </c>
      <c r="J1130" s="1" t="s">
        <v>3850</v>
      </c>
      <c r="K1130" s="1" t="s">
        <v>36</v>
      </c>
      <c r="L1130" s="1" t="s">
        <v>13</v>
      </c>
      <c r="M1130" s="6" t="str">
        <f>_xlfn.CONCAT(Table1[[#This Row],[Billing Street]], ", ", Table1[[#This Row],[Billing City]], ", ", Table1[[#This Row],[Billing State/Province]], ", ", Table1[[#This Row],[Billing Zip/Postal Code]])</f>
        <v xml:space="preserve">4747 N Main St, Gainesville, FL, </v>
      </c>
    </row>
    <row r="1131" spans="1:13" ht="15.6" hidden="1" x14ac:dyDescent="0.3">
      <c r="A1131" s="1" t="s">
        <v>3851</v>
      </c>
      <c r="B1131" s="1"/>
      <c r="C1131" s="1"/>
      <c r="D1131" s="1"/>
      <c r="E1131" s="1"/>
      <c r="F1131" s="1"/>
      <c r="G1131" s="1" t="s">
        <v>43</v>
      </c>
      <c r="H1131" s="2">
        <v>5776</v>
      </c>
      <c r="I1131" s="1" t="s">
        <v>13</v>
      </c>
      <c r="J1131" s="1" t="s">
        <v>13</v>
      </c>
      <c r="K1131" s="1" t="s">
        <v>237</v>
      </c>
      <c r="L1131" s="1" t="s">
        <v>13</v>
      </c>
      <c r="M1131" s="6" t="str">
        <f>_xlfn.CONCAT(Table1[[#This Row],[Billing Street]], ", ", Table1[[#This Row],[Billing City]], ", ", Table1[[#This Row],[Billing State/Province]], ", ", Table1[[#This Row],[Billing Zip/Postal Code]])</f>
        <v xml:space="preserve">, , IN, </v>
      </c>
    </row>
    <row r="1132" spans="1:13" ht="15.6" hidden="1" x14ac:dyDescent="0.3">
      <c r="A1132" s="1" t="s">
        <v>3852</v>
      </c>
      <c r="B1132" s="1"/>
      <c r="C1132" s="1"/>
      <c r="D1132" s="1"/>
      <c r="E1132" s="1"/>
      <c r="F1132" s="1"/>
      <c r="G1132" s="1" t="s">
        <v>43</v>
      </c>
      <c r="H1132" s="2">
        <v>348</v>
      </c>
      <c r="I1132" s="1" t="s">
        <v>3853</v>
      </c>
      <c r="J1132" s="1" t="s">
        <v>3854</v>
      </c>
      <c r="K1132" s="1" t="s">
        <v>152</v>
      </c>
      <c r="L1132" s="1" t="s">
        <v>3855</v>
      </c>
      <c r="M1132" s="6" t="str">
        <f>_xlfn.CONCAT(Table1[[#This Row],[Billing Street]], ", ", Table1[[#This Row],[Billing City]], ", ", Table1[[#This Row],[Billing State/Province]], ", ", Table1[[#This Row],[Billing Zip/Postal Code]])</f>
        <v>400 South Eagle St., Naperville, IL, 60540</v>
      </c>
    </row>
    <row r="1133" spans="1:13" ht="15.6" hidden="1" x14ac:dyDescent="0.3">
      <c r="A1133" s="1" t="s">
        <v>3856</v>
      </c>
      <c r="B1133" s="1"/>
      <c r="C1133" s="1"/>
      <c r="D1133" s="1"/>
      <c r="E1133" s="1"/>
      <c r="F1133" s="1"/>
      <c r="G1133" s="1" t="s">
        <v>43</v>
      </c>
      <c r="H1133" s="2">
        <v>5776</v>
      </c>
      <c r="I1133" s="1" t="s">
        <v>13</v>
      </c>
      <c r="J1133" s="1" t="s">
        <v>13</v>
      </c>
      <c r="K1133" s="1" t="s">
        <v>237</v>
      </c>
      <c r="L1133" s="1" t="s">
        <v>13</v>
      </c>
      <c r="M1133" s="6" t="str">
        <f>_xlfn.CONCAT(Table1[[#This Row],[Billing Street]], ", ", Table1[[#This Row],[Billing City]], ", ", Table1[[#This Row],[Billing State/Province]], ", ", Table1[[#This Row],[Billing Zip/Postal Code]])</f>
        <v xml:space="preserve">, , IN, </v>
      </c>
    </row>
    <row r="1134" spans="1:13" ht="15.6" hidden="1" x14ac:dyDescent="0.3">
      <c r="A1134" s="1" t="s">
        <v>3857</v>
      </c>
      <c r="B1134" s="1"/>
      <c r="C1134" s="1"/>
      <c r="D1134" s="1"/>
      <c r="E1134" s="1"/>
      <c r="F1134" s="1"/>
      <c r="G1134" s="1" t="s">
        <v>54</v>
      </c>
      <c r="H1134" s="2">
        <v>7813</v>
      </c>
      <c r="I1134" s="1" t="s">
        <v>3858</v>
      </c>
      <c r="J1134" s="1" t="s">
        <v>3859</v>
      </c>
      <c r="K1134" s="1" t="s">
        <v>57</v>
      </c>
      <c r="L1134" s="1" t="s">
        <v>13</v>
      </c>
      <c r="M1134" s="6" t="str">
        <f>_xlfn.CONCAT(Table1[[#This Row],[Billing Street]], ", ", Table1[[#This Row],[Billing City]], ", ", Table1[[#This Row],[Billing State/Province]], ", ", Table1[[#This Row],[Billing Zip/Postal Code]])</f>
        <v xml:space="preserve">Castaic Lake, Santa Clarita, CA, </v>
      </c>
    </row>
    <row r="1135" spans="1:13" ht="15.6" hidden="1" x14ac:dyDescent="0.3">
      <c r="A1135" s="1" t="s">
        <v>3860</v>
      </c>
      <c r="B1135" s="1"/>
      <c r="C1135" s="1"/>
      <c r="D1135" s="1"/>
      <c r="E1135" s="1"/>
      <c r="F1135" s="1"/>
      <c r="G1135" s="1" t="s">
        <v>205</v>
      </c>
      <c r="H1135" s="2">
        <v>35</v>
      </c>
      <c r="I1135" s="1" t="s">
        <v>3861</v>
      </c>
      <c r="J1135" s="1" t="s">
        <v>3862</v>
      </c>
      <c r="K1135" s="1" t="s">
        <v>479</v>
      </c>
      <c r="L1135" s="1" t="s">
        <v>3863</v>
      </c>
      <c r="M1135" s="6" t="str">
        <f>_xlfn.CONCAT(Table1[[#This Row],[Billing Street]], ", ", Table1[[#This Row],[Billing City]], ", ", Table1[[#This Row],[Billing State/Province]], ", ", Table1[[#This Row],[Billing Zip/Postal Code]])</f>
        <v>41412 W Louis Johnson Dr, Maricopa, AZ, 85139</v>
      </c>
    </row>
    <row r="1136" spans="1:13" ht="15.6" x14ac:dyDescent="0.3">
      <c r="A1136" s="1" t="s">
        <v>3864</v>
      </c>
      <c r="B1136" s="1"/>
      <c r="C1136" s="1"/>
      <c r="D1136" s="1"/>
      <c r="E1136" s="1"/>
      <c r="F1136" s="1"/>
      <c r="G1136" s="1" t="s">
        <v>24</v>
      </c>
      <c r="H1136" s="2">
        <v>5988</v>
      </c>
      <c r="I1136" s="1" t="s">
        <v>3865</v>
      </c>
      <c r="J1136" s="1" t="s">
        <v>2871</v>
      </c>
      <c r="K1136" s="1" t="s">
        <v>31</v>
      </c>
      <c r="L1136" s="1" t="s">
        <v>2872</v>
      </c>
      <c r="M1136" s="6" t="str">
        <f>_xlfn.CONCAT(Table1[[#This Row],[Billing Street]], ", ", Table1[[#This Row],[Billing City]], ", ", Table1[[#This Row],[Billing State/Province]], ", ", Table1[[#This Row],[Billing Zip/Postal Code]])</f>
        <v>1382 U.S. Highway 11 North (P.O. Box 1103), Petal, MS, 39465</v>
      </c>
    </row>
    <row r="1137" spans="1:13" ht="15.6" hidden="1" x14ac:dyDescent="0.3">
      <c r="A1137" s="1" t="s">
        <v>3866</v>
      </c>
      <c r="B1137" s="1"/>
      <c r="C1137" s="1"/>
      <c r="D1137" s="1"/>
      <c r="E1137" s="1"/>
      <c r="F1137" s="1"/>
      <c r="G1137" s="1" t="s">
        <v>43</v>
      </c>
      <c r="H1137" s="2">
        <v>295</v>
      </c>
      <c r="I1137" s="1" t="s">
        <v>3867</v>
      </c>
      <c r="J1137" s="1" t="s">
        <v>3868</v>
      </c>
      <c r="K1137" s="1" t="s">
        <v>237</v>
      </c>
      <c r="L1137" s="1" t="s">
        <v>3869</v>
      </c>
      <c r="M1137" s="6" t="str">
        <f>_xlfn.CONCAT(Table1[[#This Row],[Billing Street]], ", ", Table1[[#This Row],[Billing City]], ", ", Table1[[#This Row],[Billing State/Province]], ", ", Table1[[#This Row],[Billing Zip/Postal Code]])</f>
        <v>690 E. State Rd. 250, Brownstown, IN, 47220</v>
      </c>
    </row>
    <row r="1138" spans="1:13" ht="15.6" hidden="1" x14ac:dyDescent="0.3">
      <c r="A1138" s="1" t="s">
        <v>3870</v>
      </c>
      <c r="B1138" s="1"/>
      <c r="C1138" s="1"/>
      <c r="D1138" s="1"/>
      <c r="E1138" s="1"/>
      <c r="F1138" s="1"/>
      <c r="G1138" s="1" t="s">
        <v>43</v>
      </c>
      <c r="H1138" s="2">
        <v>307</v>
      </c>
      <c r="I1138" s="1" t="s">
        <v>3871</v>
      </c>
      <c r="J1138" s="1" t="s">
        <v>3872</v>
      </c>
      <c r="K1138" s="1" t="s">
        <v>237</v>
      </c>
      <c r="L1138" s="1" t="s">
        <v>3873</v>
      </c>
      <c r="M1138" s="6" t="str">
        <f>_xlfn.CONCAT(Table1[[#This Row],[Billing Street]], ", ", Table1[[#This Row],[Billing City]], ", ", Table1[[#This Row],[Billing State/Province]], ", ", Table1[[#This Row],[Billing Zip/Postal Code]])</f>
        <v>6200 W. Hwy 62, Jeffersonville, IN, 47130</v>
      </c>
    </row>
    <row r="1139" spans="1:13" ht="15.6" x14ac:dyDescent="0.3">
      <c r="A1139" s="1" t="s">
        <v>3874</v>
      </c>
      <c r="B1139" s="1"/>
      <c r="C1139" s="1"/>
      <c r="D1139" s="1"/>
      <c r="E1139" s="1"/>
      <c r="F1139" s="1"/>
      <c r="G1139" s="1" t="s">
        <v>24</v>
      </c>
      <c r="H1139" s="2">
        <v>355</v>
      </c>
      <c r="I1139" s="1" t="s">
        <v>3875</v>
      </c>
      <c r="J1139" s="1" t="s">
        <v>997</v>
      </c>
      <c r="K1139" s="1" t="s">
        <v>3357</v>
      </c>
      <c r="L1139" s="1" t="s">
        <v>3876</v>
      </c>
      <c r="M1139" s="6" t="str">
        <f>_xlfn.CONCAT(Table1[[#This Row],[Billing Street]], ", ", Table1[[#This Row],[Billing City]], ", ", Table1[[#This Row],[Billing State/Province]], ", ", Table1[[#This Row],[Billing Zip/Postal Code]])</f>
        <v>1314 Walker Road, Lafayette, La, 70506</v>
      </c>
    </row>
    <row r="1140" spans="1:13" ht="15.6" hidden="1" x14ac:dyDescent="0.3">
      <c r="A1140" s="1" t="s">
        <v>3877</v>
      </c>
      <c r="B1140" s="1"/>
      <c r="C1140" s="1"/>
      <c r="D1140" s="1"/>
      <c r="E1140" s="1"/>
      <c r="F1140" s="1"/>
      <c r="G1140" s="1" t="s">
        <v>43</v>
      </c>
      <c r="H1140" s="2">
        <v>206</v>
      </c>
      <c r="I1140" s="1" t="s">
        <v>3878</v>
      </c>
      <c r="J1140" s="1" t="s">
        <v>1578</v>
      </c>
      <c r="K1140" s="1" t="s">
        <v>237</v>
      </c>
      <c r="L1140" s="1" t="s">
        <v>3879</v>
      </c>
      <c r="M1140" s="6" t="str">
        <f>_xlfn.CONCAT(Table1[[#This Row],[Billing Street]], ", ", Table1[[#This Row],[Billing City]], ", ", Table1[[#This Row],[Billing State/Province]], ", ", Table1[[#This Row],[Billing Zip/Postal Code]])</f>
        <v>300 Weber Road, Albion, IN, 46701</v>
      </c>
    </row>
    <row r="1141" spans="1:13" ht="15.6" x14ac:dyDescent="0.3">
      <c r="A1141" s="1" t="s">
        <v>3880</v>
      </c>
      <c r="B1141" s="1"/>
      <c r="C1141" s="1"/>
      <c r="D1141" s="1"/>
      <c r="E1141" s="1"/>
      <c r="F1141" s="1"/>
      <c r="G1141" s="1" t="s">
        <v>24</v>
      </c>
      <c r="H1141" s="2">
        <v>76</v>
      </c>
      <c r="I1141" s="1" t="s">
        <v>3881</v>
      </c>
      <c r="J1141" s="1" t="s">
        <v>3882</v>
      </c>
      <c r="K1141" s="1" t="s">
        <v>36</v>
      </c>
      <c r="L1141" s="1" t="s">
        <v>3883</v>
      </c>
      <c r="M1141" s="6" t="str">
        <f>_xlfn.CONCAT(Table1[[#This Row],[Billing Street]], ", ", Table1[[#This Row],[Billing City]], ", ", Table1[[#This Row],[Billing State/Province]], ", ", Table1[[#This Row],[Billing Zip/Postal Code]])</f>
        <v>115 Lincoln Drive, Chattahoochee, FL, 32324</v>
      </c>
    </row>
    <row r="1142" spans="1:13" ht="15.6" hidden="1" x14ac:dyDescent="0.3">
      <c r="A1142" s="1" t="s">
        <v>3884</v>
      </c>
      <c r="B1142" s="1"/>
      <c r="C1142" s="1"/>
      <c r="D1142" s="1"/>
      <c r="E1142" s="1"/>
      <c r="F1142" s="1"/>
      <c r="G1142" s="1" t="s">
        <v>43</v>
      </c>
      <c r="H1142" s="2">
        <v>400</v>
      </c>
      <c r="I1142" s="1" t="s">
        <v>3885</v>
      </c>
      <c r="J1142" s="1" t="s">
        <v>3886</v>
      </c>
      <c r="K1142" s="1" t="s">
        <v>152</v>
      </c>
      <c r="L1142" s="1" t="s">
        <v>3887</v>
      </c>
      <c r="M1142" s="6" t="str">
        <f>_xlfn.CONCAT(Table1[[#This Row],[Billing Street]], ", ", Table1[[#This Row],[Billing City]], ", ", Table1[[#This Row],[Billing State/Province]], ", ", Table1[[#This Row],[Billing Zip/Postal Code]])</f>
        <v>201 W. Main St., Bethany, IL, 61914</v>
      </c>
    </row>
    <row r="1143" spans="1:13" ht="15.6" hidden="1" x14ac:dyDescent="0.3">
      <c r="A1143" s="1" t="s">
        <v>3888</v>
      </c>
      <c r="B1143" s="1"/>
      <c r="C1143" s="1"/>
      <c r="D1143" s="1"/>
      <c r="E1143" s="1"/>
      <c r="F1143" s="1"/>
      <c r="G1143" s="1" t="s">
        <v>43</v>
      </c>
      <c r="H1143" s="2">
        <v>409</v>
      </c>
      <c r="I1143" s="1" t="s">
        <v>3889</v>
      </c>
      <c r="J1143" s="1" t="s">
        <v>3890</v>
      </c>
      <c r="K1143" s="1" t="s">
        <v>152</v>
      </c>
      <c r="L1143" s="1" t="s">
        <v>3891</v>
      </c>
      <c r="M1143" s="6" t="str">
        <f>_xlfn.CONCAT(Table1[[#This Row],[Billing Street]], ", ", Table1[[#This Row],[Billing City]], ", ", Table1[[#This Row],[Billing State/Province]], ", ", Table1[[#This Row],[Billing Zip/Postal Code]])</f>
        <v>Rt 128 &amp; N Sixth St, Shelbyville, IL, 62565-0560</v>
      </c>
    </row>
    <row r="1144" spans="1:13" ht="15.6" hidden="1" x14ac:dyDescent="0.3">
      <c r="A1144" s="1" t="s">
        <v>3892</v>
      </c>
      <c r="B1144" s="1"/>
      <c r="C1144" s="1"/>
      <c r="D1144" s="1"/>
      <c r="E1144" s="1"/>
      <c r="F1144" s="1"/>
      <c r="G1144" s="1" t="s">
        <v>43</v>
      </c>
      <c r="H1144" s="2">
        <v>5776</v>
      </c>
      <c r="I1144" s="1" t="s">
        <v>13</v>
      </c>
      <c r="J1144" s="1" t="s">
        <v>13</v>
      </c>
      <c r="K1144" s="1" t="s">
        <v>237</v>
      </c>
      <c r="L1144" s="1" t="s">
        <v>13</v>
      </c>
      <c r="M1144" s="6" t="str">
        <f>_xlfn.CONCAT(Table1[[#This Row],[Billing Street]], ", ", Table1[[#This Row],[Billing City]], ", ", Table1[[#This Row],[Billing State/Province]], ", ", Table1[[#This Row],[Billing Zip/Postal Code]])</f>
        <v xml:space="preserve">, , IN, </v>
      </c>
    </row>
    <row r="1145" spans="1:13" ht="15.6" hidden="1" x14ac:dyDescent="0.3">
      <c r="A1145" s="1" t="s">
        <v>3893</v>
      </c>
      <c r="B1145" s="1"/>
      <c r="C1145" s="1"/>
      <c r="D1145" s="1"/>
      <c r="E1145" s="1"/>
      <c r="F1145" s="1"/>
      <c r="G1145" s="1" t="s">
        <v>8</v>
      </c>
      <c r="H1145" s="2">
        <v>6528</v>
      </c>
      <c r="I1145" s="1" t="s">
        <v>3894</v>
      </c>
      <c r="J1145" s="1" t="s">
        <v>3895</v>
      </c>
      <c r="K1145" s="1" t="s">
        <v>554</v>
      </c>
      <c r="L1145" s="1" t="s">
        <v>13</v>
      </c>
      <c r="M1145" s="6" t="str">
        <f>_xlfn.CONCAT(Table1[[#This Row],[Billing Street]], ", ", Table1[[#This Row],[Billing City]], ", ", Table1[[#This Row],[Billing State/Province]], ", ", Table1[[#This Row],[Billing Zip/Postal Code]])</f>
        <v xml:space="preserve">801 North Industrial Dr., Iola, KS, </v>
      </c>
    </row>
    <row r="1146" spans="1:13" ht="15.6" hidden="1" x14ac:dyDescent="0.3">
      <c r="A1146" s="1" t="s">
        <v>3896</v>
      </c>
      <c r="B1146" s="1"/>
      <c r="C1146" s="1"/>
      <c r="D1146" s="1"/>
      <c r="E1146" s="1"/>
      <c r="F1146" s="1"/>
      <c r="G1146" s="1" t="s">
        <v>8</v>
      </c>
      <c r="H1146" s="2">
        <v>163</v>
      </c>
      <c r="I1146" s="1" t="s">
        <v>13</v>
      </c>
      <c r="J1146" s="1" t="s">
        <v>3897</v>
      </c>
      <c r="K1146" s="1" t="s">
        <v>554</v>
      </c>
      <c r="L1146" s="1" t="s">
        <v>3898</v>
      </c>
      <c r="M1146" s="6" t="str">
        <f>_xlfn.CONCAT(Table1[[#This Row],[Billing Street]], ", ", Table1[[#This Row],[Billing City]], ", ", Table1[[#This Row],[Billing State/Province]], ", ", Table1[[#This Row],[Billing Zip/Postal Code]])</f>
        <v>, Isabel, KS, 67065</v>
      </c>
    </row>
    <row r="1147" spans="1:13" ht="15.6" hidden="1" x14ac:dyDescent="0.3">
      <c r="A1147" s="1" t="s">
        <v>3899</v>
      </c>
      <c r="B1147" s="1"/>
      <c r="C1147" s="1"/>
      <c r="D1147" s="1"/>
      <c r="E1147" s="1"/>
      <c r="F1147" s="1"/>
      <c r="G1147" s="1" t="s">
        <v>8</v>
      </c>
      <c r="H1147" s="2">
        <v>245</v>
      </c>
      <c r="I1147" s="1" t="s">
        <v>3900</v>
      </c>
      <c r="J1147" s="1" t="s">
        <v>3901</v>
      </c>
      <c r="K1147" s="1" t="s">
        <v>554</v>
      </c>
      <c r="L1147" s="1" t="s">
        <v>3902</v>
      </c>
      <c r="M1147" s="6" t="str">
        <f>_xlfn.CONCAT(Table1[[#This Row],[Billing Street]], ", ", Table1[[#This Row],[Billing City]], ", ", Table1[[#This Row],[Billing State/Province]], ", ", Table1[[#This Row],[Billing Zip/Postal Code]])</f>
        <v>501 S Main St, Jetmore, KS, 67854</v>
      </c>
    </row>
    <row r="1148" spans="1:13" ht="15.6" hidden="1" x14ac:dyDescent="0.3">
      <c r="A1148" s="1" t="s">
        <v>3903</v>
      </c>
      <c r="B1148" s="1"/>
      <c r="C1148" s="1"/>
      <c r="D1148" s="1"/>
      <c r="E1148" s="1"/>
      <c r="F1148" s="1"/>
      <c r="G1148" s="1" t="s">
        <v>43</v>
      </c>
      <c r="H1148" s="2">
        <v>246</v>
      </c>
      <c r="I1148" s="1" t="s">
        <v>3904</v>
      </c>
      <c r="J1148" s="1" t="s">
        <v>3905</v>
      </c>
      <c r="K1148" s="1" t="s">
        <v>237</v>
      </c>
      <c r="L1148" s="1" t="s">
        <v>3906</v>
      </c>
      <c r="M1148" s="6" t="str">
        <f>_xlfn.CONCAT(Table1[[#This Row],[Billing Street]], ", ", Table1[[#This Row],[Billing City]], ", ", Table1[[#This Row],[Billing State/Province]], ", ", Table1[[#This Row],[Billing Zip/Postal Code]])</f>
        <v>126 North Church Street, Mishawaka, IN, 46544</v>
      </c>
    </row>
    <row r="1149" spans="1:13" ht="15.6" hidden="1" x14ac:dyDescent="0.3">
      <c r="A1149" s="1" t="s">
        <v>3907</v>
      </c>
      <c r="B1149" s="1"/>
      <c r="C1149" s="1"/>
      <c r="D1149" s="1"/>
      <c r="E1149" s="1"/>
      <c r="F1149" s="1"/>
      <c r="G1149" s="1" t="s">
        <v>8</v>
      </c>
      <c r="H1149" s="2">
        <v>195</v>
      </c>
      <c r="I1149" s="1" t="s">
        <v>3908</v>
      </c>
      <c r="J1149" s="1" t="s">
        <v>3909</v>
      </c>
      <c r="K1149" s="1" t="s">
        <v>554</v>
      </c>
      <c r="L1149" s="1" t="s">
        <v>3910</v>
      </c>
      <c r="M1149" s="6" t="str">
        <f>_xlfn.CONCAT(Table1[[#This Row],[Billing Street]], ", ", Table1[[#This Row],[Billing City]], ", ", Table1[[#This Row],[Billing State/Province]], ", ", Table1[[#This Row],[Billing Zip/Postal Code]])</f>
        <v>153 W Lincoln, Lincoln, KS, 67455</v>
      </c>
    </row>
    <row r="1150" spans="1:13" ht="15.6" hidden="1" x14ac:dyDescent="0.3">
      <c r="A1150" s="1" t="s">
        <v>3911</v>
      </c>
      <c r="B1150" s="1"/>
      <c r="C1150" s="1"/>
      <c r="D1150" s="1"/>
      <c r="E1150" s="1"/>
      <c r="F1150" s="1"/>
      <c r="G1150" s="1" t="s">
        <v>43</v>
      </c>
      <c r="H1150" s="2">
        <v>297</v>
      </c>
      <c r="I1150" s="1" t="s">
        <v>3912</v>
      </c>
      <c r="J1150" s="1" t="s">
        <v>2032</v>
      </c>
      <c r="K1150" s="1" t="s">
        <v>237</v>
      </c>
      <c r="L1150" s="1" t="s">
        <v>3913</v>
      </c>
      <c r="M1150" s="6" t="str">
        <f>_xlfn.CONCAT(Table1[[#This Row],[Billing Street]], ", ", Table1[[#This Row],[Billing City]], ", ", Table1[[#This Row],[Billing State/Province]], ", ", Table1[[#This Row],[Billing Zip/Postal Code]])</f>
        <v>121 E. Main St., Ladoga, IN, 47954-0187</v>
      </c>
    </row>
    <row r="1151" spans="1:13" ht="15.6" hidden="1" x14ac:dyDescent="0.3">
      <c r="A1151" s="1" t="s">
        <v>3914</v>
      </c>
      <c r="B1151" s="1"/>
      <c r="C1151" s="1"/>
      <c r="D1151" s="1"/>
      <c r="E1151" s="1"/>
      <c r="F1151" s="1"/>
      <c r="G1151" s="1" t="s">
        <v>8</v>
      </c>
      <c r="H1151" s="2">
        <v>315</v>
      </c>
      <c r="I1151" s="1" t="s">
        <v>3915</v>
      </c>
      <c r="J1151" s="1" t="s">
        <v>3916</v>
      </c>
      <c r="K1151" s="1" t="s">
        <v>554</v>
      </c>
      <c r="L1151" s="1" t="s">
        <v>3917</v>
      </c>
      <c r="M1151" s="6" t="str">
        <f>_xlfn.CONCAT(Table1[[#This Row],[Billing Street]], ", ", Table1[[#This Row],[Billing City]], ", ", Table1[[#This Row],[Billing State/Province]], ", ", Table1[[#This Row],[Billing Zip/Postal Code]])</f>
        <v>121 N Main St, Lakin, KS, 67860</v>
      </c>
    </row>
    <row r="1152" spans="1:13" ht="15.6" hidden="1" x14ac:dyDescent="0.3">
      <c r="A1152" s="1" t="s">
        <v>3918</v>
      </c>
      <c r="B1152" s="1"/>
      <c r="C1152" s="1"/>
      <c r="D1152" s="1"/>
      <c r="E1152" s="1"/>
      <c r="F1152" s="1"/>
      <c r="G1152" s="1" t="s">
        <v>8</v>
      </c>
      <c r="H1152" s="2">
        <v>63</v>
      </c>
      <c r="I1152" s="1" t="s">
        <v>3919</v>
      </c>
      <c r="J1152" s="1" t="s">
        <v>3920</v>
      </c>
      <c r="K1152" s="1" t="s">
        <v>554</v>
      </c>
      <c r="L1152" s="1" t="s">
        <v>3921</v>
      </c>
      <c r="M1152" s="6" t="str">
        <f>_xlfn.CONCAT(Table1[[#This Row],[Billing Street]], ", ", Table1[[#This Row],[Billing City]], ", ", Table1[[#This Row],[Billing State/Province]], ", ", Table1[[#This Row],[Billing Zip/Postal Code]])</f>
        <v>902 S Washington, La Harpe, KS, 66751</v>
      </c>
    </row>
    <row r="1153" spans="1:13" ht="15.6" hidden="1" x14ac:dyDescent="0.3">
      <c r="A1153" s="1" t="s">
        <v>3922</v>
      </c>
      <c r="B1153" s="1"/>
      <c r="C1153" s="1"/>
      <c r="D1153" s="1"/>
      <c r="E1153" s="1"/>
      <c r="F1153" s="1"/>
      <c r="G1153" s="1" t="s">
        <v>8</v>
      </c>
      <c r="H1153" s="2">
        <v>226</v>
      </c>
      <c r="I1153" s="1" t="s">
        <v>3923</v>
      </c>
      <c r="J1153" s="1" t="s">
        <v>3924</v>
      </c>
      <c r="K1153" s="1" t="s">
        <v>554</v>
      </c>
      <c r="L1153" s="1" t="s">
        <v>3925</v>
      </c>
      <c r="M1153" s="6" t="str">
        <f>_xlfn.CONCAT(Table1[[#This Row],[Billing Street]], ", ", Table1[[#This Row],[Billing City]], ", ", Table1[[#This Row],[Billing State/Province]], ", ", Table1[[#This Row],[Billing Zip/Postal Code]])</f>
        <v>1119 Main Street, La Crosse, KS, 67548</v>
      </c>
    </row>
    <row r="1154" spans="1:13" ht="15.6" hidden="1" x14ac:dyDescent="0.3">
      <c r="A1154" s="1" t="s">
        <v>3926</v>
      </c>
      <c r="B1154" s="1"/>
      <c r="C1154" s="1"/>
      <c r="D1154" s="1"/>
      <c r="E1154" s="1"/>
      <c r="F1154" s="1"/>
      <c r="G1154" s="1" t="s">
        <v>8</v>
      </c>
      <c r="H1154" s="2">
        <v>158</v>
      </c>
      <c r="I1154" s="1" t="s">
        <v>3927</v>
      </c>
      <c r="J1154" s="1" t="s">
        <v>3928</v>
      </c>
      <c r="K1154" s="1" t="s">
        <v>554</v>
      </c>
      <c r="L1154" s="1" t="s">
        <v>3929</v>
      </c>
      <c r="M1154" s="6" t="str">
        <f>_xlfn.CONCAT(Table1[[#This Row],[Billing Street]], ", ", Table1[[#This Row],[Billing City]], ", ", Table1[[#This Row],[Billing State/Province]], ", ", Table1[[#This Row],[Billing Zip/Postal Code]])</f>
        <v>618 Main St, Kiowa, KS, 67070</v>
      </c>
    </row>
    <row r="1155" spans="1:13" ht="15.6" x14ac:dyDescent="0.3">
      <c r="A1155" s="1" t="s">
        <v>3930</v>
      </c>
      <c r="B1155" s="1"/>
      <c r="C1155" s="1"/>
      <c r="D1155" s="1"/>
      <c r="E1155" s="1"/>
      <c r="F1155" s="1"/>
      <c r="G1155" s="1" t="s">
        <v>24</v>
      </c>
      <c r="H1155" s="2">
        <v>440</v>
      </c>
      <c r="I1155" s="1" t="s">
        <v>3931</v>
      </c>
      <c r="J1155" s="1" t="s">
        <v>3932</v>
      </c>
      <c r="K1155" s="1" t="s">
        <v>577</v>
      </c>
      <c r="L1155" s="1" t="s">
        <v>3933</v>
      </c>
      <c r="M1155" s="6" t="str">
        <f>_xlfn.CONCAT(Table1[[#This Row],[Billing Street]], ", ", Table1[[#This Row],[Billing City]], ", ", Table1[[#This Row],[Billing State/Province]], ", ", Table1[[#This Row],[Billing Zip/Postal Code]])</f>
        <v>Hwy 7 South, Sibley, LA, 71073</v>
      </c>
    </row>
    <row r="1156" spans="1:13" ht="15.6" hidden="1" x14ac:dyDescent="0.3">
      <c r="A1156" s="1" t="s">
        <v>3934</v>
      </c>
      <c r="B1156" s="1"/>
      <c r="C1156" s="1"/>
      <c r="D1156" s="1"/>
      <c r="E1156" s="1"/>
      <c r="F1156" s="1"/>
      <c r="G1156" s="1" t="s">
        <v>43</v>
      </c>
      <c r="H1156" s="2">
        <v>5776</v>
      </c>
      <c r="I1156" s="1" t="s">
        <v>13</v>
      </c>
      <c r="J1156" s="1" t="s">
        <v>2041</v>
      </c>
      <c r="K1156" s="1" t="s">
        <v>152</v>
      </c>
      <c r="L1156" s="1" t="s">
        <v>13</v>
      </c>
      <c r="M1156" s="6" t="str">
        <f>_xlfn.CONCAT(Table1[[#This Row],[Billing Street]], ", ", Table1[[#This Row],[Billing City]], ", ", Table1[[#This Row],[Billing State/Province]], ", ", Table1[[#This Row],[Billing Zip/Postal Code]])</f>
        <v xml:space="preserve">, Chicago, IL, </v>
      </c>
    </row>
    <row r="1157" spans="1:13" ht="15.6" hidden="1" x14ac:dyDescent="0.3">
      <c r="A1157" s="1" t="s">
        <v>3935</v>
      </c>
      <c r="B1157" s="1"/>
      <c r="C1157" s="1"/>
      <c r="D1157" s="1"/>
      <c r="E1157" s="1"/>
      <c r="F1157" s="1"/>
      <c r="G1157" s="1" t="s">
        <v>43</v>
      </c>
      <c r="H1157" s="2">
        <v>5776</v>
      </c>
      <c r="I1157" s="1" t="s">
        <v>13</v>
      </c>
      <c r="J1157" s="1" t="s">
        <v>13</v>
      </c>
      <c r="K1157" s="1" t="s">
        <v>237</v>
      </c>
      <c r="L1157" s="1" t="s">
        <v>13</v>
      </c>
      <c r="M1157" s="6" t="str">
        <f>_xlfn.CONCAT(Table1[[#This Row],[Billing Street]], ", ", Table1[[#This Row],[Billing City]], ", ", Table1[[#This Row],[Billing State/Province]], ", ", Table1[[#This Row],[Billing Zip/Postal Code]])</f>
        <v xml:space="preserve">, , IN, </v>
      </c>
    </row>
    <row r="1158" spans="1:13" ht="15.6" hidden="1" x14ac:dyDescent="0.3">
      <c r="A1158" s="1" t="s">
        <v>3936</v>
      </c>
      <c r="B1158" s="1"/>
      <c r="C1158" s="1"/>
      <c r="D1158" s="1"/>
      <c r="E1158" s="1"/>
      <c r="F1158" s="1"/>
      <c r="G1158" s="1" t="s">
        <v>43</v>
      </c>
      <c r="H1158" s="2">
        <v>5776</v>
      </c>
      <c r="I1158" s="1" t="s">
        <v>13</v>
      </c>
      <c r="J1158" s="1" t="s">
        <v>13</v>
      </c>
      <c r="K1158" s="1" t="s">
        <v>237</v>
      </c>
      <c r="L1158" s="1" t="s">
        <v>13</v>
      </c>
      <c r="M1158" s="6" t="str">
        <f>_xlfn.CONCAT(Table1[[#This Row],[Billing Street]], ", ", Table1[[#This Row],[Billing City]], ", ", Table1[[#This Row],[Billing State/Province]], ", ", Table1[[#This Row],[Billing Zip/Postal Code]])</f>
        <v xml:space="preserve">, , IN, </v>
      </c>
    </row>
    <row r="1159" spans="1:13" ht="15.6" hidden="1" x14ac:dyDescent="0.3">
      <c r="A1159" s="1" t="s">
        <v>3937</v>
      </c>
      <c r="B1159" s="1"/>
      <c r="C1159" s="1"/>
      <c r="D1159" s="1"/>
      <c r="E1159" s="1"/>
      <c r="F1159" s="1"/>
      <c r="G1159" s="1" t="s">
        <v>43</v>
      </c>
      <c r="H1159" s="2">
        <v>355</v>
      </c>
      <c r="I1159" s="1" t="s">
        <v>3938</v>
      </c>
      <c r="J1159" s="1" t="s">
        <v>13</v>
      </c>
      <c r="K1159" s="1" t="s">
        <v>237</v>
      </c>
      <c r="L1159" s="1" t="s">
        <v>13</v>
      </c>
      <c r="M1159" s="6" t="str">
        <f>_xlfn.CONCAT(Table1[[#This Row],[Billing Street]], ", ", Table1[[#This Row],[Billing City]], ", ", Table1[[#This Row],[Billing State/Province]], ", ", Table1[[#This Row],[Billing Zip/Postal Code]])</f>
        <v xml:space="preserve">413 W VANTREES ST WASHINGTON IN 47501, , IN, </v>
      </c>
    </row>
    <row r="1160" spans="1:13" ht="15.6" hidden="1" x14ac:dyDescent="0.3">
      <c r="A1160" s="1" t="s">
        <v>3939</v>
      </c>
      <c r="B1160" s="1"/>
      <c r="C1160" s="1"/>
      <c r="D1160" s="1"/>
      <c r="E1160" s="1"/>
      <c r="F1160" s="1"/>
      <c r="G1160" s="1" t="s">
        <v>8</v>
      </c>
      <c r="H1160" s="2">
        <v>399</v>
      </c>
      <c r="I1160" s="1" t="s">
        <v>3940</v>
      </c>
      <c r="J1160" s="1" t="s">
        <v>3941</v>
      </c>
      <c r="K1160" s="1" t="s">
        <v>21</v>
      </c>
      <c r="L1160" s="1" t="s">
        <v>3942</v>
      </c>
      <c r="M1160" s="6" t="str">
        <f>_xlfn.CONCAT(Table1[[#This Row],[Billing Street]], ", ", Table1[[#This Row],[Billing City]], ", ", Table1[[#This Row],[Billing State/Province]], ", ", Table1[[#This Row],[Billing Zip/Postal Code]])</f>
        <v>220 West 3rd St., Wilton, IA, 52778</v>
      </c>
    </row>
    <row r="1161" spans="1:13" ht="15.6" x14ac:dyDescent="0.3">
      <c r="A1161" s="1" t="s">
        <v>3943</v>
      </c>
      <c r="B1161" s="1"/>
      <c r="C1161" s="1"/>
      <c r="D1161" s="1"/>
      <c r="E1161" s="1"/>
      <c r="F1161" s="1"/>
      <c r="G1161" s="1" t="s">
        <v>24</v>
      </c>
      <c r="H1161" s="2">
        <v>5988</v>
      </c>
      <c r="I1161" s="1" t="s">
        <v>3944</v>
      </c>
      <c r="J1161" s="1" t="s">
        <v>1074</v>
      </c>
      <c r="K1161" s="1" t="s">
        <v>951</v>
      </c>
      <c r="L1161" s="1" t="s">
        <v>3945</v>
      </c>
      <c r="M1161" s="6" t="str">
        <f>_xlfn.CONCAT(Table1[[#This Row],[Billing Street]], ", ", Table1[[#This Row],[Billing City]], ", ", Table1[[#This Row],[Billing State/Province]], ", ", Table1[[#This Row],[Billing Zip/Postal Code]])</f>
        <v>1308 West Pine Street, Hattiesburg, Ms, 39401</v>
      </c>
    </row>
    <row r="1162" spans="1:13" ht="15.6" hidden="1" x14ac:dyDescent="0.3">
      <c r="A1162" s="1" t="s">
        <v>3946</v>
      </c>
      <c r="B1162" s="1"/>
      <c r="C1162" s="1"/>
      <c r="D1162" s="1"/>
      <c r="E1162" s="1"/>
      <c r="F1162" s="1"/>
      <c r="G1162" s="1" t="s">
        <v>8</v>
      </c>
      <c r="H1162" s="2">
        <v>390</v>
      </c>
      <c r="I1162" s="1" t="s">
        <v>3947</v>
      </c>
      <c r="J1162" s="1" t="s">
        <v>3948</v>
      </c>
      <c r="K1162" s="1" t="s">
        <v>21</v>
      </c>
      <c r="L1162" s="1" t="s">
        <v>3949</v>
      </c>
      <c r="M1162" s="6" t="str">
        <f>_xlfn.CONCAT(Table1[[#This Row],[Billing Street]], ", ", Table1[[#This Row],[Billing City]], ", ", Table1[[#This Row],[Billing State/Province]], ", ", Table1[[#This Row],[Billing Zip/Postal Code]])</f>
        <v>105 W 2nd St, West Liberty, IA, 52776</v>
      </c>
    </row>
    <row r="1163" spans="1:13" ht="15.6" hidden="1" x14ac:dyDescent="0.3">
      <c r="A1163" s="1" t="s">
        <v>3950</v>
      </c>
      <c r="B1163" s="1"/>
      <c r="C1163" s="1"/>
      <c r="D1163" s="1"/>
      <c r="E1163" s="1"/>
      <c r="F1163" s="1"/>
      <c r="G1163" s="1" t="s">
        <v>8</v>
      </c>
      <c r="H1163" s="2">
        <v>186</v>
      </c>
      <c r="I1163" s="1" t="s">
        <v>3951</v>
      </c>
      <c r="J1163" s="1" t="s">
        <v>3950</v>
      </c>
      <c r="K1163" s="1" t="s">
        <v>554</v>
      </c>
      <c r="L1163" s="1" t="s">
        <v>3952</v>
      </c>
      <c r="M1163" s="6" t="str">
        <f>_xlfn.CONCAT(Table1[[#This Row],[Billing Street]], ", ", Table1[[#This Row],[Billing City]], ", ", Table1[[#This Row],[Billing State/Province]], ", ", Table1[[#This Row],[Billing Zip/Postal Code]])</f>
        <v>116 S Main, Holyrood, KS, 67450</v>
      </c>
    </row>
    <row r="1164" spans="1:13" ht="15.6" hidden="1" x14ac:dyDescent="0.3">
      <c r="A1164" s="1" t="s">
        <v>3953</v>
      </c>
      <c r="B1164" s="1"/>
      <c r="C1164" s="1"/>
      <c r="D1164" s="1"/>
      <c r="E1164" s="1"/>
      <c r="F1164" s="1"/>
      <c r="G1164" s="1" t="s">
        <v>8</v>
      </c>
      <c r="H1164" s="2">
        <v>200</v>
      </c>
      <c r="I1164" s="1" t="s">
        <v>3954</v>
      </c>
      <c r="J1164" s="1" t="s">
        <v>3955</v>
      </c>
      <c r="K1164" s="1" t="s">
        <v>554</v>
      </c>
      <c r="L1164" s="1" t="s">
        <v>3956</v>
      </c>
      <c r="M1164" s="6" t="str">
        <f>_xlfn.CONCAT(Table1[[#This Row],[Billing Street]], ", ", Table1[[#This Row],[Billing City]], ", ", Table1[[#This Row],[Billing State/Province]], ", ", Table1[[#This Row],[Billing Zip/Postal Code]])</f>
        <v>160 S Pine, Hoisington, KS, 67544</v>
      </c>
    </row>
    <row r="1165" spans="1:13" ht="15.6" hidden="1" x14ac:dyDescent="0.3">
      <c r="A1165" s="1" t="s">
        <v>3957</v>
      </c>
      <c r="B1165" s="1"/>
      <c r="C1165" s="1"/>
      <c r="D1165" s="1"/>
      <c r="E1165" s="1"/>
      <c r="F1165" s="1"/>
      <c r="G1165" s="1" t="s">
        <v>8</v>
      </c>
      <c r="H1165" s="2">
        <v>345</v>
      </c>
      <c r="I1165" s="1" t="s">
        <v>3958</v>
      </c>
      <c r="J1165" s="1" t="s">
        <v>3959</v>
      </c>
      <c r="K1165" s="1" t="s">
        <v>21</v>
      </c>
      <c r="L1165" s="1" t="s">
        <v>3960</v>
      </c>
      <c r="M1165" s="6" t="str">
        <f>_xlfn.CONCAT(Table1[[#This Row],[Billing Street]], ", ", Table1[[#This Row],[Billing City]], ", ", Table1[[#This Row],[Billing State/Province]], ", ", Table1[[#This Row],[Billing Zip/Postal Code]])</f>
        <v>1514 6th Street, Onawa, IA, 51040</v>
      </c>
    </row>
    <row r="1166" spans="1:13" ht="15.6" hidden="1" x14ac:dyDescent="0.3">
      <c r="A1166" s="1" t="s">
        <v>3961</v>
      </c>
      <c r="B1166" s="1"/>
      <c r="C1166" s="1"/>
      <c r="D1166" s="1"/>
      <c r="E1166" s="1"/>
      <c r="F1166" s="1"/>
      <c r="G1166" s="1" t="s">
        <v>8</v>
      </c>
      <c r="H1166" s="2">
        <v>280</v>
      </c>
      <c r="I1166" s="1" t="s">
        <v>3962</v>
      </c>
      <c r="J1166" s="1" t="s">
        <v>3961</v>
      </c>
      <c r="K1166" s="1" t="s">
        <v>554</v>
      </c>
      <c r="L1166" s="1" t="s">
        <v>3963</v>
      </c>
      <c r="M1166" s="6" t="str">
        <f>_xlfn.CONCAT(Table1[[#This Row],[Billing Street]], ", ", Table1[[#This Row],[Billing City]], ", ", Table1[[#This Row],[Billing State/Province]], ", ", Table1[[#This Row],[Billing Zip/Postal Code]])</f>
        <v>205 N Pomeroy, Hill City, KS, 67642</v>
      </c>
    </row>
    <row r="1167" spans="1:13" ht="15.6" hidden="1" x14ac:dyDescent="0.3">
      <c r="A1167" s="1" t="s">
        <v>3964</v>
      </c>
      <c r="B1167" s="1"/>
      <c r="C1167" s="1"/>
      <c r="D1167" s="1"/>
      <c r="E1167" s="1"/>
      <c r="F1167" s="1"/>
      <c r="G1167" s="1" t="s">
        <v>8</v>
      </c>
      <c r="H1167" s="2">
        <v>133</v>
      </c>
      <c r="I1167" s="1" t="s">
        <v>3965</v>
      </c>
      <c r="J1167" s="1" t="s">
        <v>3966</v>
      </c>
      <c r="K1167" s="1" t="s">
        <v>554</v>
      </c>
      <c r="L1167" s="1" t="s">
        <v>3967</v>
      </c>
      <c r="M1167" s="6" t="str">
        <f>_xlfn.CONCAT(Table1[[#This Row],[Billing Street]], ", ", Table1[[#This Row],[Billing City]], ", ", Table1[[#This Row],[Billing State/Province]], ", ", Table1[[#This Row],[Billing Zip/Postal Code]])</f>
        <v>120 S KANSAS Ave, Haven, KS, 67543</v>
      </c>
    </row>
    <row r="1168" spans="1:13" ht="15.6" hidden="1" x14ac:dyDescent="0.3">
      <c r="A1168" s="1" t="s">
        <v>3968</v>
      </c>
      <c r="B1168" s="1"/>
      <c r="C1168" s="1"/>
      <c r="D1168" s="1"/>
      <c r="E1168" s="1"/>
      <c r="F1168" s="1"/>
      <c r="G1168" s="1" t="s">
        <v>8</v>
      </c>
      <c r="H1168" s="2">
        <v>206</v>
      </c>
      <c r="I1168" s="1" t="s">
        <v>3969</v>
      </c>
      <c r="J1168" s="1" t="s">
        <v>3970</v>
      </c>
      <c r="K1168" s="1" t="s">
        <v>554</v>
      </c>
      <c r="L1168" s="1" t="s">
        <v>3971</v>
      </c>
      <c r="M1168" s="6" t="str">
        <f>_xlfn.CONCAT(Table1[[#This Row],[Billing Street]], ", ", Table1[[#This Row],[Billing City]], ", ", Table1[[#This Row],[Billing State/Province]], ", ", Table1[[#This Row],[Billing Zip/Postal Code]])</f>
        <v>300 S Main, Greensburg, KS, 67054</v>
      </c>
    </row>
    <row r="1169" spans="1:13" ht="15.6" hidden="1" x14ac:dyDescent="0.3">
      <c r="A1169" s="1" t="s">
        <v>3972</v>
      </c>
      <c r="B1169" s="1"/>
      <c r="C1169" s="1"/>
      <c r="D1169" s="1"/>
      <c r="E1169" s="1"/>
      <c r="F1169" s="1"/>
      <c r="G1169" s="1" t="s">
        <v>8</v>
      </c>
      <c r="H1169" s="2">
        <v>224</v>
      </c>
      <c r="I1169" s="1" t="s">
        <v>3973</v>
      </c>
      <c r="J1169" s="1" t="s">
        <v>3972</v>
      </c>
      <c r="K1169" s="1" t="s">
        <v>554</v>
      </c>
      <c r="L1169" s="1" t="s">
        <v>3974</v>
      </c>
      <c r="M1169" s="6" t="str">
        <f>_xlfn.CONCAT(Table1[[#This Row],[Billing Street]], ", ", Table1[[#This Row],[Billing City]], ", ", Table1[[#This Row],[Billing State/Province]], ", ", Table1[[#This Row],[Billing Zip/Postal Code]])</f>
        <v>213 S Market St, Glen Elder, KS, 67446</v>
      </c>
    </row>
    <row r="1170" spans="1:13" ht="15.6" hidden="1" x14ac:dyDescent="0.3">
      <c r="A1170" s="1" t="s">
        <v>3975</v>
      </c>
      <c r="B1170" s="1"/>
      <c r="C1170" s="1"/>
      <c r="D1170" s="1"/>
      <c r="E1170" s="1"/>
      <c r="F1170" s="1"/>
      <c r="G1170" s="1" t="s">
        <v>8</v>
      </c>
      <c r="H1170" s="2">
        <v>201</v>
      </c>
      <c r="I1170" s="1" t="s">
        <v>3976</v>
      </c>
      <c r="J1170" s="1" t="s">
        <v>3977</v>
      </c>
      <c r="K1170" s="1" t="s">
        <v>554</v>
      </c>
      <c r="L1170" s="1" t="s">
        <v>3978</v>
      </c>
      <c r="M1170" s="6" t="str">
        <f>_xlfn.CONCAT(Table1[[#This Row],[Billing Street]], ", ", Table1[[#This Row],[Billing City]], ", ", Table1[[#This Row],[Billing State/Province]], ", ", Table1[[#This Row],[Billing Zip/Postal Code]])</f>
        <v>206 E Main, Glasco, KS, 67445</v>
      </c>
    </row>
    <row r="1171" spans="1:13" ht="15.6" hidden="1" x14ac:dyDescent="0.3">
      <c r="A1171" s="1" t="s">
        <v>3979</v>
      </c>
      <c r="B1171" s="1"/>
      <c r="C1171" s="1"/>
      <c r="D1171" s="1"/>
      <c r="E1171" s="1"/>
      <c r="F1171" s="1"/>
      <c r="G1171" s="1" t="s">
        <v>8</v>
      </c>
      <c r="H1171" s="2">
        <v>140</v>
      </c>
      <c r="I1171" s="1" t="s">
        <v>3980</v>
      </c>
      <c r="J1171" s="1" t="s">
        <v>3981</v>
      </c>
      <c r="K1171" s="1" t="s">
        <v>554</v>
      </c>
      <c r="L1171" s="1" t="s">
        <v>3982</v>
      </c>
      <c r="M1171" s="6" t="str">
        <f>_xlfn.CONCAT(Table1[[#This Row],[Billing Street]], ", ", Table1[[#This Row],[Billing City]], ", ", Table1[[#This Row],[Billing State/Province]], ", ", Table1[[#This Row],[Billing Zip/Postal Code]])</f>
        <v>208 S Main, Galva, KS, 67443</v>
      </c>
    </row>
    <row r="1172" spans="1:13" ht="15.6" hidden="1" x14ac:dyDescent="0.3">
      <c r="A1172" s="1" t="s">
        <v>3983</v>
      </c>
      <c r="B1172" s="1"/>
      <c r="C1172" s="1"/>
      <c r="D1172" s="1"/>
      <c r="E1172" s="1"/>
      <c r="F1172" s="1"/>
      <c r="G1172" s="1" t="s">
        <v>8</v>
      </c>
      <c r="H1172" s="2">
        <v>373</v>
      </c>
      <c r="I1172" s="1" t="s">
        <v>3984</v>
      </c>
      <c r="J1172" s="1" t="s">
        <v>3985</v>
      </c>
      <c r="K1172" s="1" t="s">
        <v>21</v>
      </c>
      <c r="L1172" s="1" t="s">
        <v>3986</v>
      </c>
      <c r="M1172" s="6" t="str">
        <f>_xlfn.CONCAT(Table1[[#This Row],[Billing Street]], ", ", Table1[[#This Row],[Billing City]], ", ", Table1[[#This Row],[Billing State/Province]], ", ", Table1[[#This Row],[Billing Zip/Postal Code]])</f>
        <v>401 4th Street, Sergeant Bluff, IA, 51054</v>
      </c>
    </row>
    <row r="1173" spans="1:13" ht="15.6" hidden="1" x14ac:dyDescent="0.3">
      <c r="A1173" s="1" t="s">
        <v>3987</v>
      </c>
      <c r="B1173" s="1"/>
      <c r="C1173" s="1"/>
      <c r="D1173" s="1"/>
      <c r="E1173" s="1"/>
      <c r="F1173" s="1"/>
      <c r="G1173" s="1" t="s">
        <v>8</v>
      </c>
      <c r="H1173" s="2">
        <v>42</v>
      </c>
      <c r="I1173" s="1" t="s">
        <v>3988</v>
      </c>
      <c r="J1173" s="1" t="s">
        <v>3989</v>
      </c>
      <c r="K1173" s="1" t="s">
        <v>554</v>
      </c>
      <c r="L1173" s="1" t="s">
        <v>3990</v>
      </c>
      <c r="M1173" s="6" t="str">
        <f>_xlfn.CONCAT(Table1[[#This Row],[Billing Street]], ", ", Table1[[#This Row],[Billing City]], ", ", Table1[[#This Row],[Billing State/Province]], ", ", Table1[[#This Row],[Billing Zip/Postal Code]])</f>
        <v>618 E 2nd, Erie, KS, 66733</v>
      </c>
    </row>
    <row r="1174" spans="1:13" ht="15.6" hidden="1" x14ac:dyDescent="0.3">
      <c r="A1174" s="1" t="s">
        <v>3991</v>
      </c>
      <c r="B1174" s="1"/>
      <c r="C1174" s="1"/>
      <c r="D1174" s="1"/>
      <c r="E1174" s="1"/>
      <c r="F1174" s="1"/>
      <c r="G1174" s="1" t="s">
        <v>8</v>
      </c>
      <c r="H1174" s="2">
        <v>6528</v>
      </c>
      <c r="I1174" s="1" t="s">
        <v>3992</v>
      </c>
      <c r="J1174" s="1" t="s">
        <v>3993</v>
      </c>
      <c r="K1174" s="1" t="s">
        <v>554</v>
      </c>
      <c r="L1174" s="1" t="s">
        <v>13</v>
      </c>
      <c r="M1174" s="6" t="str">
        <f>_xlfn.CONCAT(Table1[[#This Row],[Billing Street]], ", ", Table1[[#This Row],[Billing City]], ", ", Table1[[#This Row],[Billing State/Province]], ", ", Table1[[#This Row],[Billing Zip/Postal Code]])</f>
        <v xml:space="preserve">P.O. Box 357, Elwood, KS, </v>
      </c>
    </row>
    <row r="1175" spans="1:13" ht="15.6" hidden="1" x14ac:dyDescent="0.3">
      <c r="A1175" s="1" t="s">
        <v>3994</v>
      </c>
      <c r="B1175" s="1"/>
      <c r="C1175" s="1"/>
      <c r="D1175" s="1"/>
      <c r="E1175" s="1"/>
      <c r="F1175" s="1"/>
      <c r="G1175" s="1" t="s">
        <v>8</v>
      </c>
      <c r="H1175" s="2">
        <v>186</v>
      </c>
      <c r="I1175" s="1" t="s">
        <v>3995</v>
      </c>
      <c r="J1175" s="1" t="s">
        <v>3996</v>
      </c>
      <c r="K1175" s="1" t="s">
        <v>554</v>
      </c>
      <c r="L1175" s="1" t="s">
        <v>3997</v>
      </c>
      <c r="M1175" s="6" t="str">
        <f>_xlfn.CONCAT(Table1[[#This Row],[Billing Street]], ", ", Table1[[#This Row],[Billing City]], ", ", Table1[[#This Row],[Billing State/Province]], ", ", Table1[[#This Row],[Billing Zip/Postal Code]])</f>
        <v>104 E Second St, Ellinwood, KS, 67526</v>
      </c>
    </row>
    <row r="1176" spans="1:13" ht="15.6" hidden="1" x14ac:dyDescent="0.3">
      <c r="A1176" s="1" t="s">
        <v>3998</v>
      </c>
      <c r="B1176" s="1"/>
      <c r="C1176" s="1"/>
      <c r="D1176" s="1"/>
      <c r="E1176" s="1"/>
      <c r="F1176" s="1"/>
      <c r="G1176" s="1" t="s">
        <v>8</v>
      </c>
      <c r="H1176" s="2">
        <v>192</v>
      </c>
      <c r="I1176" s="1" t="s">
        <v>3999</v>
      </c>
      <c r="J1176" s="1" t="s">
        <v>2642</v>
      </c>
      <c r="K1176" s="1" t="s">
        <v>554</v>
      </c>
      <c r="L1176" s="1" t="s">
        <v>4000</v>
      </c>
      <c r="M1176" s="6" t="str">
        <f>_xlfn.CONCAT(Table1[[#This Row],[Billing Street]], ", ", Table1[[#This Row],[Billing City]], ", ", Table1[[#This Row],[Billing State/Province]], ", ", Table1[[#This Row],[Billing Zip/Postal Code]])</f>
        <v>530 W Jones St, Troy, KS, 66087</v>
      </c>
    </row>
    <row r="1177" spans="1:13" ht="15.6" hidden="1" x14ac:dyDescent="0.3">
      <c r="A1177" s="1" t="s">
        <v>4001</v>
      </c>
      <c r="B1177" s="1"/>
      <c r="C1177" s="1"/>
      <c r="D1177" s="1"/>
      <c r="E1177" s="1"/>
      <c r="F1177" s="1"/>
      <c r="G1177" s="1" t="s">
        <v>54</v>
      </c>
      <c r="H1177" s="2">
        <v>7813</v>
      </c>
      <c r="I1177" s="1" t="s">
        <v>13</v>
      </c>
      <c r="J1177" s="1" t="s">
        <v>13</v>
      </c>
      <c r="K1177" s="1" t="s">
        <v>13</v>
      </c>
      <c r="L1177" s="1" t="s">
        <v>13</v>
      </c>
      <c r="M1177" s="6" t="str">
        <f>_xlfn.CONCAT(Table1[[#This Row],[Billing Street]], ", ", Table1[[#This Row],[Billing City]], ", ", Table1[[#This Row],[Billing State/Province]], ", ", Table1[[#This Row],[Billing Zip/Postal Code]])</f>
        <v xml:space="preserve">, , , </v>
      </c>
    </row>
    <row r="1178" spans="1:13" ht="15.6" x14ac:dyDescent="0.3">
      <c r="A1178" s="1" t="s">
        <v>4002</v>
      </c>
      <c r="B1178" s="1"/>
      <c r="C1178" s="1"/>
      <c r="D1178" s="1"/>
      <c r="E1178" s="1"/>
      <c r="F1178" s="1"/>
      <c r="G1178" s="1" t="s">
        <v>24</v>
      </c>
      <c r="H1178" s="2">
        <v>46</v>
      </c>
      <c r="I1178" s="1" t="s">
        <v>4003</v>
      </c>
      <c r="J1178" s="1" t="s">
        <v>4004</v>
      </c>
      <c r="K1178" s="1" t="s">
        <v>36</v>
      </c>
      <c r="L1178" s="1" t="s">
        <v>4005</v>
      </c>
      <c r="M1178" s="6" t="str">
        <f>_xlfn.CONCAT(Table1[[#This Row],[Billing Street]], ", ", Table1[[#This Row],[Billing City]], ", ", Table1[[#This Row],[Billing State/Province]], ", ", Table1[[#This Row],[Billing Zip/Postal Code]])</f>
        <v>2824 Co Rd 2321, Southport, FL 32409, Southport, FL, 32406</v>
      </c>
    </row>
    <row r="1179" spans="1:13" ht="15.6" x14ac:dyDescent="0.3">
      <c r="A1179" s="1" t="s">
        <v>4006</v>
      </c>
      <c r="B1179" s="1"/>
      <c r="C1179" s="1"/>
      <c r="D1179" s="1"/>
      <c r="E1179" s="1"/>
      <c r="F1179" s="1"/>
      <c r="G1179" s="1" t="s">
        <v>24</v>
      </c>
      <c r="H1179" s="2">
        <v>5988</v>
      </c>
      <c r="I1179" s="1" t="s">
        <v>4007</v>
      </c>
      <c r="J1179" s="1" t="s">
        <v>372</v>
      </c>
      <c r="K1179" s="1" t="s">
        <v>26</v>
      </c>
      <c r="L1179" s="1" t="s">
        <v>4008</v>
      </c>
      <c r="M1179" s="6" t="str">
        <f>_xlfn.CONCAT(Table1[[#This Row],[Billing Street]], ", ", Table1[[#This Row],[Billing City]], ", ", Table1[[#This Row],[Billing State/Province]], ", ", Table1[[#This Row],[Billing Zip/Postal Code]])</f>
        <v>90 Carson Road, Birmingham, AL, 35215</v>
      </c>
    </row>
    <row r="1180" spans="1:13" ht="15.6" hidden="1" x14ac:dyDescent="0.3">
      <c r="A1180" s="1" t="s">
        <v>4009</v>
      </c>
      <c r="B1180" s="1"/>
      <c r="C1180" s="1"/>
      <c r="D1180" s="1"/>
      <c r="E1180" s="1"/>
      <c r="F1180" s="1"/>
      <c r="G1180" s="1" t="s">
        <v>43</v>
      </c>
      <c r="H1180" s="2">
        <v>582</v>
      </c>
      <c r="I1180" s="1" t="s">
        <v>4010</v>
      </c>
      <c r="J1180" s="1" t="s">
        <v>4011</v>
      </c>
      <c r="K1180" s="1" t="s">
        <v>4012</v>
      </c>
      <c r="L1180" s="1" t="s">
        <v>4013</v>
      </c>
      <c r="M1180" s="6" t="str">
        <f>_xlfn.CONCAT(Table1[[#This Row],[Billing Street]], ", ", Table1[[#This Row],[Billing City]], ", ", Table1[[#This Row],[Billing State/Province]], ", ", Table1[[#This Row],[Billing Zip/Postal Code]])</f>
        <v>34 Spring Hill Rd, Saco, ME, 4072</v>
      </c>
    </row>
    <row r="1181" spans="1:13" ht="15.6" hidden="1" x14ac:dyDescent="0.3">
      <c r="A1181" s="1" t="s">
        <v>4014</v>
      </c>
      <c r="B1181" s="1"/>
      <c r="C1181" s="1"/>
      <c r="D1181" s="1"/>
      <c r="E1181" s="1"/>
      <c r="F1181" s="1"/>
      <c r="G1181" s="1" t="s">
        <v>98</v>
      </c>
      <c r="H1181" s="2">
        <v>111</v>
      </c>
      <c r="I1181" s="1" t="s">
        <v>4015</v>
      </c>
      <c r="J1181" s="1" t="s">
        <v>4016</v>
      </c>
      <c r="K1181" s="1" t="s">
        <v>1135</v>
      </c>
      <c r="L1181" s="1" t="s">
        <v>4017</v>
      </c>
      <c r="M1181" s="6" t="str">
        <f>_xlfn.CONCAT(Table1[[#This Row],[Billing Street]], ", ", Table1[[#This Row],[Billing City]], ", ", Table1[[#This Row],[Billing State/Province]], ", ", Table1[[#This Row],[Billing Zip/Postal Code]])</f>
        <v>2731 Indian Pipe Lane, Signal Mountain, TN, 37377</v>
      </c>
    </row>
    <row r="1182" spans="1:13" ht="15.6" hidden="1" x14ac:dyDescent="0.3">
      <c r="A1182" s="1" t="s">
        <v>4018</v>
      </c>
      <c r="B1182" s="1"/>
      <c r="C1182" s="1"/>
      <c r="D1182" s="1"/>
      <c r="E1182" s="1"/>
      <c r="F1182" s="1"/>
      <c r="G1182" s="1" t="s">
        <v>98</v>
      </c>
      <c r="H1182" s="2">
        <v>25</v>
      </c>
      <c r="I1182" s="1" t="s">
        <v>4019</v>
      </c>
      <c r="J1182" s="1" t="s">
        <v>4020</v>
      </c>
      <c r="K1182" s="1" t="s">
        <v>101</v>
      </c>
      <c r="L1182" s="1" t="s">
        <v>4021</v>
      </c>
      <c r="M1182" s="6" t="str">
        <f>_xlfn.CONCAT(Table1[[#This Row],[Billing Street]], ", ", Table1[[#This Row],[Billing City]], ", ", Table1[[#This Row],[Billing State/Province]], ", ", Table1[[#This Row],[Billing Zip/Postal Code]])</f>
        <v>1025 A Cobb International Place, Kennesaw, GA, 30152</v>
      </c>
    </row>
    <row r="1183" spans="1:13" ht="15.6" hidden="1" x14ac:dyDescent="0.3">
      <c r="A1183" s="1" t="s">
        <v>4022</v>
      </c>
      <c r="B1183" s="1"/>
      <c r="C1183" s="1"/>
      <c r="D1183" s="1"/>
      <c r="E1183" s="1"/>
      <c r="F1183" s="1"/>
      <c r="G1183" s="1" t="s">
        <v>43</v>
      </c>
      <c r="H1183" s="2">
        <v>395</v>
      </c>
      <c r="I1183" s="1" t="s">
        <v>4023</v>
      </c>
      <c r="J1183" s="1" t="s">
        <v>4024</v>
      </c>
      <c r="K1183" s="1" t="s">
        <v>275</v>
      </c>
      <c r="L1183" s="1" t="s">
        <v>4025</v>
      </c>
      <c r="M1183" s="6" t="str">
        <f>_xlfn.CONCAT(Table1[[#This Row],[Billing Street]], ", ", Table1[[#This Row],[Billing City]], ", ", Table1[[#This Row],[Billing State/Province]], ", ", Table1[[#This Row],[Billing Zip/Postal Code]])</f>
        <v>42-19 19th Ave, Astoria, ny, 11105</v>
      </c>
    </row>
    <row r="1184" spans="1:13" ht="15.6" hidden="1" x14ac:dyDescent="0.3">
      <c r="A1184" s="1" t="s">
        <v>4026</v>
      </c>
      <c r="B1184" s="1"/>
      <c r="C1184" s="1"/>
      <c r="D1184" s="1"/>
      <c r="E1184" s="1"/>
      <c r="F1184" s="1"/>
      <c r="G1184" s="1" t="s">
        <v>13</v>
      </c>
      <c r="H1184" s="2">
        <v>0</v>
      </c>
      <c r="I1184" s="1" t="s">
        <v>13</v>
      </c>
      <c r="J1184" s="1" t="s">
        <v>13</v>
      </c>
      <c r="K1184" s="1" t="s">
        <v>13</v>
      </c>
      <c r="L1184" s="1" t="s">
        <v>13</v>
      </c>
      <c r="M1184" s="6" t="str">
        <f>_xlfn.CONCAT(Table1[[#This Row],[Billing Street]], ", ", Table1[[#This Row],[Billing City]], ", ", Table1[[#This Row],[Billing State/Province]], ", ", Table1[[#This Row],[Billing Zip/Postal Code]])</f>
        <v xml:space="preserve">, , , </v>
      </c>
    </row>
    <row r="1185" spans="1:13" ht="15.6" hidden="1" x14ac:dyDescent="0.3">
      <c r="A1185" s="1" t="s">
        <v>4027</v>
      </c>
      <c r="B1185" s="1"/>
      <c r="C1185" s="1"/>
      <c r="D1185" s="1"/>
      <c r="E1185" s="1"/>
      <c r="F1185" s="1"/>
      <c r="G1185" s="1" t="s">
        <v>43</v>
      </c>
      <c r="H1185" s="2">
        <v>5776</v>
      </c>
      <c r="I1185" s="1" t="s">
        <v>4028</v>
      </c>
      <c r="J1185" s="1" t="s">
        <v>4029</v>
      </c>
      <c r="K1185" s="1" t="s">
        <v>781</v>
      </c>
      <c r="L1185" s="1" t="s">
        <v>4030</v>
      </c>
      <c r="M1185" s="6" t="str">
        <f>_xlfn.CONCAT(Table1[[#This Row],[Billing Street]], ", ", Table1[[#This Row],[Billing City]], ", ", Table1[[#This Row],[Billing State/Province]], ", ", Table1[[#This Row],[Billing Zip/Postal Code]])</f>
        <v>1500 Gehman Rd, Harleysville, pa, 19438</v>
      </c>
    </row>
    <row r="1186" spans="1:13" ht="15.6" hidden="1" x14ac:dyDescent="0.3">
      <c r="A1186" s="1" t="s">
        <v>4031</v>
      </c>
      <c r="B1186" s="1"/>
      <c r="C1186" s="1"/>
      <c r="D1186" s="1"/>
      <c r="E1186" s="1"/>
      <c r="F1186" s="1"/>
      <c r="G1186" s="1" t="s">
        <v>13</v>
      </c>
      <c r="H1186" s="2">
        <v>0</v>
      </c>
      <c r="I1186" s="1" t="s">
        <v>13</v>
      </c>
      <c r="J1186" s="1" t="s">
        <v>13</v>
      </c>
      <c r="K1186" s="1" t="s">
        <v>13</v>
      </c>
      <c r="L1186" s="1" t="s">
        <v>13</v>
      </c>
      <c r="M1186" s="6" t="str">
        <f>_xlfn.CONCAT(Table1[[#This Row],[Billing Street]], ", ", Table1[[#This Row],[Billing City]], ", ", Table1[[#This Row],[Billing State/Province]], ", ", Table1[[#This Row],[Billing Zip/Postal Code]])</f>
        <v xml:space="preserve">, , , </v>
      </c>
    </row>
    <row r="1187" spans="1:13" ht="15.6" x14ac:dyDescent="0.3">
      <c r="A1187" s="1" t="s">
        <v>4032</v>
      </c>
      <c r="B1187" s="1"/>
      <c r="C1187" s="1"/>
      <c r="D1187" s="1"/>
      <c r="E1187" s="1"/>
      <c r="F1187" s="1"/>
      <c r="G1187" s="1" t="s">
        <v>24</v>
      </c>
      <c r="H1187" s="2">
        <v>322</v>
      </c>
      <c r="I1187" s="1" t="s">
        <v>4033</v>
      </c>
      <c r="J1187" s="1" t="s">
        <v>4034</v>
      </c>
      <c r="K1187" s="1" t="s">
        <v>36</v>
      </c>
      <c r="L1187" s="1" t="s">
        <v>4035</v>
      </c>
      <c r="M1187" s="6" t="str">
        <f>_xlfn.CONCAT(Table1[[#This Row],[Billing Street]], ", ", Table1[[#This Row],[Billing City]], ", ", Table1[[#This Row],[Billing State/Province]], ", ", Table1[[#This Row],[Billing Zip/Postal Code]])</f>
        <v>231 Jean St, Daytona Beach, FL, 32114</v>
      </c>
    </row>
    <row r="1188" spans="1:13" ht="15.6" hidden="1" x14ac:dyDescent="0.3">
      <c r="A1188" s="1" t="s">
        <v>4036</v>
      </c>
      <c r="B1188" s="1"/>
      <c r="C1188" s="1"/>
      <c r="D1188" s="1"/>
      <c r="E1188" s="1"/>
      <c r="F1188" s="1"/>
      <c r="G1188" s="1" t="s">
        <v>98</v>
      </c>
      <c r="H1188" s="2">
        <v>9</v>
      </c>
      <c r="I1188" s="1" t="s">
        <v>4037</v>
      </c>
      <c r="J1188" s="1" t="s">
        <v>1001</v>
      </c>
      <c r="K1188" s="1" t="s">
        <v>101</v>
      </c>
      <c r="L1188" s="1" t="s">
        <v>4038</v>
      </c>
      <c r="M1188" s="6" t="str">
        <f>_xlfn.CONCAT(Table1[[#This Row],[Billing Street]], ", ", Table1[[#This Row],[Billing City]], ", ", Table1[[#This Row],[Billing State/Province]], ", ", Table1[[#This Row],[Billing Zip/Postal Code]])</f>
        <v>4266 Roswell Rd NE F2, Atlanta, GA, 30342</v>
      </c>
    </row>
    <row r="1189" spans="1:13" ht="15.6" hidden="1" x14ac:dyDescent="0.3">
      <c r="A1189" s="1" t="s">
        <v>4039</v>
      </c>
      <c r="B1189" s="1"/>
      <c r="C1189" s="1"/>
      <c r="D1189" s="1"/>
      <c r="E1189" s="1"/>
      <c r="F1189" s="1"/>
      <c r="G1189" s="1" t="s">
        <v>43</v>
      </c>
      <c r="H1189" s="2">
        <v>153</v>
      </c>
      <c r="I1189" s="1" t="s">
        <v>4040</v>
      </c>
      <c r="J1189" s="1" t="s">
        <v>4041</v>
      </c>
      <c r="K1189" s="1" t="s">
        <v>82</v>
      </c>
      <c r="L1189" s="1" t="s">
        <v>4042</v>
      </c>
      <c r="M1189" s="6" t="str">
        <f>_xlfn.CONCAT(Table1[[#This Row],[Billing Street]], ", ", Table1[[#This Row],[Billing City]], ", ", Table1[[#This Row],[Billing State/Province]], ", ", Table1[[#This Row],[Billing Zip/Postal Code]])</f>
        <v>PO Box 307, Lapeer, MI, 48446</v>
      </c>
    </row>
    <row r="1190" spans="1:13" ht="15.6" x14ac:dyDescent="0.3">
      <c r="A1190" s="1" t="s">
        <v>4043</v>
      </c>
      <c r="B1190" s="1"/>
      <c r="C1190" s="1"/>
      <c r="D1190" s="1"/>
      <c r="E1190" s="1"/>
      <c r="F1190" s="1"/>
      <c r="G1190" s="1" t="s">
        <v>24</v>
      </c>
      <c r="H1190" s="2">
        <v>277</v>
      </c>
      <c r="I1190" s="1" t="s">
        <v>4044</v>
      </c>
      <c r="J1190" s="1" t="s">
        <v>4045</v>
      </c>
      <c r="K1190" s="1" t="s">
        <v>36</v>
      </c>
      <c r="L1190" s="1" t="s">
        <v>4046</v>
      </c>
      <c r="M1190" s="6" t="str">
        <f>_xlfn.CONCAT(Table1[[#This Row],[Billing Street]], ", ", Table1[[#This Row],[Billing City]], ", ", Table1[[#This Row],[Billing State/Province]], ", ", Table1[[#This Row],[Billing Zip/Postal Code]])</f>
        <v>600 N 8th St, Fernandina Beach, FL, 32034</v>
      </c>
    </row>
    <row r="1191" spans="1:13" ht="15.6" x14ac:dyDescent="0.3">
      <c r="A1191" s="1" t="s">
        <v>4047</v>
      </c>
      <c r="B1191" s="1"/>
      <c r="C1191" s="1"/>
      <c r="D1191" s="1"/>
      <c r="E1191" s="1"/>
      <c r="F1191" s="1"/>
      <c r="G1191" s="1" t="s">
        <v>24</v>
      </c>
      <c r="H1191" s="2">
        <v>27</v>
      </c>
      <c r="I1191" s="1" t="s">
        <v>4048</v>
      </c>
      <c r="J1191" s="1" t="s">
        <v>381</v>
      </c>
      <c r="K1191" s="1" t="s">
        <v>36</v>
      </c>
      <c r="L1191" s="1" t="s">
        <v>4049</v>
      </c>
      <c r="M1191" s="6" t="str">
        <f>_xlfn.CONCAT(Table1[[#This Row],[Billing Street]], ", ", Table1[[#This Row],[Billing City]], ", ", Table1[[#This Row],[Billing State/Province]], ", ", Table1[[#This Row],[Billing Zip/Postal Code]])</f>
        <v>4050 S Ferdon Blvd, Crestview, FL, 32536</v>
      </c>
    </row>
    <row r="1192" spans="1:13" ht="15.6" hidden="1" x14ac:dyDescent="0.3">
      <c r="A1192" s="1" t="s">
        <v>4050</v>
      </c>
      <c r="B1192" s="1"/>
      <c r="C1192" s="1"/>
      <c r="D1192" s="1"/>
      <c r="E1192" s="1"/>
      <c r="F1192" s="1"/>
      <c r="G1192" s="1" t="s">
        <v>13</v>
      </c>
      <c r="H1192" s="2">
        <v>0</v>
      </c>
      <c r="I1192" s="1" t="s">
        <v>13</v>
      </c>
      <c r="J1192" s="1" t="s">
        <v>13</v>
      </c>
      <c r="K1192" s="1" t="s">
        <v>13</v>
      </c>
      <c r="L1192" s="1" t="s">
        <v>13</v>
      </c>
      <c r="M1192" s="6" t="str">
        <f>_xlfn.CONCAT(Table1[[#This Row],[Billing Street]], ", ", Table1[[#This Row],[Billing City]], ", ", Table1[[#This Row],[Billing State/Province]], ", ", Table1[[#This Row],[Billing Zip/Postal Code]])</f>
        <v xml:space="preserve">, , , </v>
      </c>
    </row>
    <row r="1193" spans="1:13" ht="15.6" x14ac:dyDescent="0.3">
      <c r="A1193" s="1" t="s">
        <v>4051</v>
      </c>
      <c r="B1193" s="1"/>
      <c r="C1193" s="1"/>
      <c r="D1193" s="1"/>
      <c r="E1193" s="1"/>
      <c r="F1193" s="1"/>
      <c r="G1193" s="1" t="s">
        <v>24</v>
      </c>
      <c r="H1193" s="2">
        <v>5988</v>
      </c>
      <c r="I1193" s="1" t="s">
        <v>4052</v>
      </c>
      <c r="J1193" s="1" t="s">
        <v>4053</v>
      </c>
      <c r="K1193" s="1" t="s">
        <v>36</v>
      </c>
      <c r="L1193" s="1" t="s">
        <v>13</v>
      </c>
      <c r="M1193" s="6" t="str">
        <f>_xlfn.CONCAT(Table1[[#This Row],[Billing Street]], ", ", Table1[[#This Row],[Billing City]], ", ", Table1[[#This Row],[Billing State/Province]], ", ", Table1[[#This Row],[Billing Zip/Postal Code]])</f>
        <v xml:space="preserve">516 Perimeter Rd. Suite 1, Eglin AFB, FL, </v>
      </c>
    </row>
    <row r="1194" spans="1:13" ht="15.6" hidden="1" x14ac:dyDescent="0.3">
      <c r="A1194" s="1" t="s">
        <v>4054</v>
      </c>
      <c r="B1194" s="1"/>
      <c r="C1194" s="1"/>
      <c r="D1194" s="1"/>
      <c r="E1194" s="1"/>
      <c r="F1194" s="1"/>
      <c r="G1194" s="1" t="s">
        <v>43</v>
      </c>
      <c r="H1194" s="2">
        <v>5776</v>
      </c>
      <c r="I1194" s="1" t="s">
        <v>4055</v>
      </c>
      <c r="J1194" s="1" t="s">
        <v>418</v>
      </c>
      <c r="K1194" s="1" t="s">
        <v>586</v>
      </c>
      <c r="L1194" s="1" t="s">
        <v>4056</v>
      </c>
      <c r="M1194" s="6" t="str">
        <f>_xlfn.CONCAT(Table1[[#This Row],[Billing Street]], ", ", Table1[[#This Row],[Billing City]], ", ", Table1[[#This Row],[Billing State/Province]], ", ", Table1[[#This Row],[Billing Zip/Postal Code]])</f>
        <v>352 Albany St, Springfield, ma, 1105</v>
      </c>
    </row>
    <row r="1195" spans="1:13" ht="15.6" x14ac:dyDescent="0.3">
      <c r="A1195" s="1" t="s">
        <v>4057</v>
      </c>
      <c r="B1195" s="1"/>
      <c r="C1195" s="1"/>
      <c r="D1195" s="1"/>
      <c r="E1195" s="1"/>
      <c r="F1195" s="1"/>
      <c r="G1195" s="1" t="s">
        <v>24</v>
      </c>
      <c r="H1195" s="2">
        <v>185</v>
      </c>
      <c r="I1195" s="1" t="s">
        <v>4058</v>
      </c>
      <c r="J1195" s="1" t="s">
        <v>4059</v>
      </c>
      <c r="K1195" s="1" t="s">
        <v>26</v>
      </c>
      <c r="L1195" s="1" t="s">
        <v>4060</v>
      </c>
      <c r="M1195" s="6" t="str">
        <f>_xlfn.CONCAT(Table1[[#This Row],[Billing Street]], ", ", Table1[[#This Row],[Billing City]], ", ", Table1[[#This Row],[Billing State/Province]], ", ", Table1[[#This Row],[Billing Zip/Postal Code]])</f>
        <v>700 Cahaba Valley Cir, Pelham, AL, 35124</v>
      </c>
    </row>
    <row r="1196" spans="1:13" ht="15.6" hidden="1" x14ac:dyDescent="0.3">
      <c r="A1196" s="1" t="s">
        <v>4061</v>
      </c>
      <c r="B1196" s="1"/>
      <c r="C1196" s="1"/>
      <c r="D1196" s="1"/>
      <c r="E1196" s="1"/>
      <c r="F1196" s="1"/>
      <c r="G1196" s="1" t="s">
        <v>13</v>
      </c>
      <c r="H1196" s="2">
        <v>0</v>
      </c>
      <c r="I1196" s="1" t="s">
        <v>13</v>
      </c>
      <c r="J1196" s="1" t="s">
        <v>13</v>
      </c>
      <c r="K1196" s="1" t="s">
        <v>13</v>
      </c>
      <c r="L1196" s="1" t="s">
        <v>13</v>
      </c>
      <c r="M1196" s="6" t="str">
        <f>_xlfn.CONCAT(Table1[[#This Row],[Billing Street]], ", ", Table1[[#This Row],[Billing City]], ", ", Table1[[#This Row],[Billing State/Province]], ", ", Table1[[#This Row],[Billing Zip/Postal Code]])</f>
        <v xml:space="preserve">, , , </v>
      </c>
    </row>
    <row r="1197" spans="1:13" ht="15.6" x14ac:dyDescent="0.3">
      <c r="A1197" s="1" t="s">
        <v>4062</v>
      </c>
      <c r="B1197" s="1"/>
      <c r="C1197" s="1"/>
      <c r="D1197" s="1"/>
      <c r="E1197" s="1"/>
      <c r="F1197" s="1"/>
      <c r="G1197" s="1" t="s">
        <v>24</v>
      </c>
      <c r="H1197" s="2">
        <v>190</v>
      </c>
      <c r="I1197" s="1" t="s">
        <v>4063</v>
      </c>
      <c r="J1197" s="1" t="s">
        <v>1831</v>
      </c>
      <c r="K1197" s="1" t="s">
        <v>31</v>
      </c>
      <c r="L1197" s="1" t="s">
        <v>4064</v>
      </c>
      <c r="M1197" s="6" t="str">
        <f>_xlfn.CONCAT(Table1[[#This Row],[Billing Street]], ", ", Table1[[#This Row],[Billing City]], ", ", Table1[[#This Row],[Billing State/Province]], ", ", Table1[[#This Row],[Billing Zip/Postal Code]])</f>
        <v>720 Ellisville Blvd, Laurel, MS, 39440</v>
      </c>
    </row>
    <row r="1198" spans="1:13" ht="15.6" x14ac:dyDescent="0.3">
      <c r="A1198" s="1" t="s">
        <v>4065</v>
      </c>
      <c r="B1198" s="1"/>
      <c r="C1198" s="1"/>
      <c r="D1198" s="1"/>
      <c r="E1198" s="1"/>
      <c r="F1198" s="1"/>
      <c r="G1198" s="1" t="s">
        <v>24</v>
      </c>
      <c r="H1198" s="2">
        <v>265</v>
      </c>
      <c r="I1198" s="1" t="s">
        <v>4066</v>
      </c>
      <c r="J1198" s="1" t="s">
        <v>4067</v>
      </c>
      <c r="K1198" s="1" t="s">
        <v>36</v>
      </c>
      <c r="L1198" s="1" t="s">
        <v>4068</v>
      </c>
      <c r="M1198" s="6" t="str">
        <f>_xlfn.CONCAT(Table1[[#This Row],[Billing Street]], ", ", Table1[[#This Row],[Billing City]], ", ", Table1[[#This Row],[Billing State/Province]], ", ", Table1[[#This Row],[Billing Zip/Postal Code]])</f>
        <v>109 Industrial Loop Rd, Orange Park, FL, 32073</v>
      </c>
    </row>
    <row r="1199" spans="1:13" ht="15.6" hidden="1" x14ac:dyDescent="0.3">
      <c r="A1199" s="1" t="s">
        <v>4069</v>
      </c>
      <c r="B1199" s="1"/>
      <c r="C1199" s="1"/>
      <c r="D1199" s="1"/>
      <c r="E1199" s="1"/>
      <c r="F1199" s="1"/>
      <c r="G1199" s="1" t="s">
        <v>13</v>
      </c>
      <c r="H1199" s="2">
        <v>0</v>
      </c>
      <c r="I1199" s="1" t="s">
        <v>13</v>
      </c>
      <c r="J1199" s="1" t="s">
        <v>13</v>
      </c>
      <c r="K1199" s="1" t="s">
        <v>13</v>
      </c>
      <c r="L1199" s="1" t="s">
        <v>13</v>
      </c>
      <c r="M1199" s="6" t="str">
        <f>_xlfn.CONCAT(Table1[[#This Row],[Billing Street]], ", ", Table1[[#This Row],[Billing City]], ", ", Table1[[#This Row],[Billing State/Province]], ", ", Table1[[#This Row],[Billing Zip/Postal Code]])</f>
        <v xml:space="preserve">, , , </v>
      </c>
    </row>
    <row r="1200" spans="1:13" ht="15.6" x14ac:dyDescent="0.3">
      <c r="A1200" s="1" t="s">
        <v>4070</v>
      </c>
      <c r="B1200" s="1"/>
      <c r="C1200" s="1"/>
      <c r="D1200" s="1"/>
      <c r="E1200" s="1"/>
      <c r="F1200" s="1"/>
      <c r="G1200" s="1" t="s">
        <v>24</v>
      </c>
      <c r="H1200" s="2">
        <v>265</v>
      </c>
      <c r="I1200" s="1" t="s">
        <v>4071</v>
      </c>
      <c r="J1200" s="1" t="s">
        <v>4067</v>
      </c>
      <c r="K1200" s="1" t="s">
        <v>36</v>
      </c>
      <c r="L1200" s="1" t="s">
        <v>4068</v>
      </c>
      <c r="M1200" s="6" t="str">
        <f>_xlfn.CONCAT(Table1[[#This Row],[Billing Street]], ", ", Table1[[#This Row],[Billing City]], ", ", Table1[[#This Row],[Billing State/Province]], ", ", Table1[[#This Row],[Billing Zip/Postal Code]])</f>
        <v>1246 Kingsley Av, Orange Park, FL, 32073</v>
      </c>
    </row>
    <row r="1201" spans="1:13" ht="15.6" x14ac:dyDescent="0.3">
      <c r="A1201" s="1" t="s">
        <v>4072</v>
      </c>
      <c r="B1201" s="1"/>
      <c r="C1201" s="1"/>
      <c r="D1201" s="1"/>
      <c r="E1201" s="1"/>
      <c r="F1201" s="1"/>
      <c r="G1201" s="1" t="s">
        <v>24</v>
      </c>
      <c r="H1201" s="2">
        <v>236</v>
      </c>
      <c r="I1201" s="1" t="s">
        <v>4073</v>
      </c>
      <c r="J1201" s="1" t="s">
        <v>3850</v>
      </c>
      <c r="K1201" s="1" t="s">
        <v>36</v>
      </c>
      <c r="L1201" s="1" t="s">
        <v>4074</v>
      </c>
      <c r="M1201" s="6" t="str">
        <f>_xlfn.CONCAT(Table1[[#This Row],[Billing Street]], ", ", Table1[[#This Row],[Billing City]], ", ", Table1[[#This Row],[Billing State/Province]], ", ", Table1[[#This Row],[Billing Zip/Postal Code]])</f>
        <v>4000 SW 35th Terr, Gainesville, FL, 32608</v>
      </c>
    </row>
    <row r="1202" spans="1:13" ht="15.6" x14ac:dyDescent="0.3">
      <c r="A1202" s="1" t="s">
        <v>4075</v>
      </c>
      <c r="B1202" s="1"/>
      <c r="C1202" s="1"/>
      <c r="D1202" s="1"/>
      <c r="E1202" s="1"/>
      <c r="F1202" s="1"/>
      <c r="G1202" s="1" t="s">
        <v>24</v>
      </c>
      <c r="H1202" s="2">
        <v>69</v>
      </c>
      <c r="I1202" s="1" t="s">
        <v>4076</v>
      </c>
      <c r="J1202" s="1" t="s">
        <v>715</v>
      </c>
      <c r="K1202" s="1" t="s">
        <v>36</v>
      </c>
      <c r="L1202" s="1" t="s">
        <v>716</v>
      </c>
      <c r="M1202" s="6" t="str">
        <f>_xlfn.CONCAT(Table1[[#This Row],[Billing Street]], ", ", Table1[[#This Row],[Billing City]], ", ", Table1[[#This Row],[Billing State/Province]], ", ", Table1[[#This Row],[Billing Zip/Postal Code]])</f>
        <v>2302 Town St, Pensacola, FL, 32505</v>
      </c>
    </row>
    <row r="1203" spans="1:13" ht="15.6" x14ac:dyDescent="0.3">
      <c r="A1203" s="1" t="s">
        <v>4077</v>
      </c>
      <c r="B1203" s="1"/>
      <c r="C1203" s="1"/>
      <c r="D1203" s="1"/>
      <c r="E1203" s="1"/>
      <c r="F1203" s="1"/>
      <c r="G1203" s="1" t="s">
        <v>24</v>
      </c>
      <c r="H1203" s="2">
        <v>119</v>
      </c>
      <c r="I1203" s="1" t="s">
        <v>4078</v>
      </c>
      <c r="J1203" s="1" t="s">
        <v>633</v>
      </c>
      <c r="K1203" s="1" t="s">
        <v>26</v>
      </c>
      <c r="L1203" s="1" t="s">
        <v>4079</v>
      </c>
      <c r="M1203" s="6" t="str">
        <f>_xlfn.CONCAT(Table1[[#This Row],[Billing Street]], ", ", Table1[[#This Row],[Billing City]], ", ", Table1[[#This Row],[Billing State/Province]], ", ", Table1[[#This Row],[Billing Zip/Postal Code]])</f>
        <v>3809 Moffet Rd, Mobile, AL, 36618</v>
      </c>
    </row>
    <row r="1204" spans="1:13" ht="15.6" x14ac:dyDescent="0.3">
      <c r="A1204" s="1" t="s">
        <v>4080</v>
      </c>
      <c r="B1204" s="1"/>
      <c r="C1204" s="1"/>
      <c r="D1204" s="1"/>
      <c r="E1204" s="1"/>
      <c r="F1204" s="1"/>
      <c r="G1204" s="1" t="s">
        <v>24</v>
      </c>
      <c r="H1204" s="2">
        <v>273</v>
      </c>
      <c r="I1204" s="1" t="s">
        <v>4081</v>
      </c>
      <c r="J1204" s="1" t="s">
        <v>526</v>
      </c>
      <c r="K1204" s="1" t="s">
        <v>26</v>
      </c>
      <c r="L1204" s="1" t="s">
        <v>4082</v>
      </c>
      <c r="M1204" s="6" t="str">
        <f>_xlfn.CONCAT(Table1[[#This Row],[Billing Street]], ", ", Table1[[#This Row],[Billing City]], ", ", Table1[[#This Row],[Billing State/Province]], ", ", Table1[[#This Row],[Billing Zip/Postal Code]])</f>
        <v>1400 Market St NE, Decatur, AL, 35601</v>
      </c>
    </row>
    <row r="1205" spans="1:13" ht="15.6" x14ac:dyDescent="0.3">
      <c r="A1205" s="1" t="s">
        <v>4083</v>
      </c>
      <c r="B1205" s="1"/>
      <c r="C1205" s="1"/>
      <c r="D1205" s="1"/>
      <c r="E1205" s="1"/>
      <c r="F1205" s="1"/>
      <c r="G1205" s="1" t="s">
        <v>24</v>
      </c>
      <c r="H1205" s="2">
        <v>5988</v>
      </c>
      <c r="I1205" s="1" t="s">
        <v>4084</v>
      </c>
      <c r="J1205" s="1" t="s">
        <v>711</v>
      </c>
      <c r="K1205" s="1" t="s">
        <v>31</v>
      </c>
      <c r="L1205" s="1" t="s">
        <v>4085</v>
      </c>
      <c r="M1205" s="6" t="str">
        <f>_xlfn.CONCAT(Table1[[#This Row],[Billing Street]], ", ", Table1[[#This Row],[Billing City]], ", ", Table1[[#This Row],[Billing State/Province]], ", ", Table1[[#This Row],[Billing Zip/Postal Code]])</f>
        <v>55 Airline Road, Columbus, MS, 39702</v>
      </c>
    </row>
    <row r="1206" spans="1:13" ht="15.6" x14ac:dyDescent="0.3">
      <c r="A1206" s="1" t="s">
        <v>4086</v>
      </c>
      <c r="B1206" s="1"/>
      <c r="C1206" s="1"/>
      <c r="D1206" s="1"/>
      <c r="E1206" s="1"/>
      <c r="F1206" s="1"/>
      <c r="G1206" s="1" t="s">
        <v>24</v>
      </c>
      <c r="H1206" s="2">
        <v>246</v>
      </c>
      <c r="I1206" s="1" t="s">
        <v>4087</v>
      </c>
      <c r="J1206" s="1" t="s">
        <v>3356</v>
      </c>
      <c r="K1206" s="1" t="s">
        <v>577</v>
      </c>
      <c r="L1206" s="1" t="s">
        <v>4088</v>
      </c>
      <c r="M1206" s="6" t="str">
        <f>_xlfn.CONCAT(Table1[[#This Row],[Billing Street]], ", ", Table1[[#This Row],[Billing City]], ", ", Table1[[#This Row],[Billing State/Province]], ", ", Table1[[#This Row],[Billing Zip/Postal Code]])</f>
        <v>1617 River Road, New Orleans, LA, 70094</v>
      </c>
    </row>
    <row r="1207" spans="1:13" ht="15.6" x14ac:dyDescent="0.3">
      <c r="A1207" s="1" t="s">
        <v>4089</v>
      </c>
      <c r="B1207" s="1"/>
      <c r="C1207" s="1"/>
      <c r="D1207" s="1"/>
      <c r="E1207" s="1"/>
      <c r="F1207" s="1"/>
      <c r="G1207" s="1" t="s">
        <v>24</v>
      </c>
      <c r="H1207" s="2">
        <v>70</v>
      </c>
      <c r="I1207" s="1" t="s">
        <v>4090</v>
      </c>
      <c r="J1207" s="1" t="s">
        <v>715</v>
      </c>
      <c r="K1207" s="1" t="s">
        <v>36</v>
      </c>
      <c r="L1207" s="1" t="s">
        <v>716</v>
      </c>
      <c r="M1207" s="6" t="str">
        <f>_xlfn.CONCAT(Table1[[#This Row],[Billing Street]], ", ", Table1[[#This Row],[Billing City]], ", ", Table1[[#This Row],[Billing State/Province]], ", ", Table1[[#This Row],[Billing Zip/Postal Code]])</f>
        <v>2405 W Herman St, Pensacola, FL, 32505</v>
      </c>
    </row>
    <row r="1208" spans="1:13" ht="15.6" x14ac:dyDescent="0.3">
      <c r="A1208" s="1" t="s">
        <v>4091</v>
      </c>
      <c r="B1208" s="1"/>
      <c r="C1208" s="1"/>
      <c r="D1208" s="1"/>
      <c r="E1208" s="1"/>
      <c r="F1208" s="1"/>
      <c r="G1208" s="1" t="s">
        <v>24</v>
      </c>
      <c r="H1208" s="2">
        <v>70</v>
      </c>
      <c r="I1208" s="1" t="s">
        <v>4092</v>
      </c>
      <c r="J1208" s="1" t="s">
        <v>715</v>
      </c>
      <c r="K1208" s="1" t="s">
        <v>36</v>
      </c>
      <c r="L1208" s="1" t="s">
        <v>716</v>
      </c>
      <c r="M1208" s="6" t="str">
        <f>_xlfn.CONCAT(Table1[[#This Row],[Billing Street]], ", ", Table1[[#This Row],[Billing City]], ", ", Table1[[#This Row],[Billing State/Province]], ", ", Table1[[#This Row],[Billing Zip/Postal Code]])</f>
        <v>122 Industrial Blvd., Pensacola, FL, 32505</v>
      </c>
    </row>
    <row r="1209" spans="1:13" ht="15.6" x14ac:dyDescent="0.3">
      <c r="A1209" s="1" t="s">
        <v>4093</v>
      </c>
      <c r="B1209" s="1"/>
      <c r="C1209" s="1"/>
      <c r="D1209" s="1"/>
      <c r="E1209" s="1"/>
      <c r="F1209" s="1"/>
      <c r="G1209" s="1" t="s">
        <v>24</v>
      </c>
      <c r="H1209" s="2">
        <v>70</v>
      </c>
      <c r="I1209" s="1" t="s">
        <v>4094</v>
      </c>
      <c r="J1209" s="1" t="s">
        <v>13</v>
      </c>
      <c r="K1209" s="1" t="s">
        <v>36</v>
      </c>
      <c r="L1209" s="1" t="s">
        <v>716</v>
      </c>
      <c r="M1209" s="6" t="str">
        <f>_xlfn.CONCAT(Table1[[#This Row],[Billing Street]], ", ", Table1[[#This Row],[Billing City]], ", ", Table1[[#This Row],[Billing State/Province]], ", ", Table1[[#This Row],[Billing Zip/Postal Code]])</f>
        <v>2320 Town St, , FL, 32505</v>
      </c>
    </row>
    <row r="1210" spans="1:13" ht="15.6" hidden="1" x14ac:dyDescent="0.3">
      <c r="A1210" s="1" t="s">
        <v>4095</v>
      </c>
      <c r="B1210" s="1"/>
      <c r="C1210" s="1"/>
      <c r="D1210" s="1"/>
      <c r="E1210" s="1"/>
      <c r="F1210" s="1"/>
      <c r="G1210" s="1" t="s">
        <v>8</v>
      </c>
      <c r="H1210" s="2">
        <v>513</v>
      </c>
      <c r="I1210" s="1" t="s">
        <v>4096</v>
      </c>
      <c r="J1210" s="1" t="s">
        <v>557</v>
      </c>
      <c r="K1210" s="1" t="s">
        <v>51</v>
      </c>
      <c r="L1210" s="1" t="s">
        <v>4097</v>
      </c>
      <c r="M1210" s="6" t="str">
        <f>_xlfn.CONCAT(Table1[[#This Row],[Billing Street]], ", ", Table1[[#This Row],[Billing City]], ", ", Table1[[#This Row],[Billing State/Province]], ", ", Table1[[#This Row],[Billing Zip/Postal Code]])</f>
        <v>530 East Sam Houston Pkwy, South, Houston, TX, 77503</v>
      </c>
    </row>
    <row r="1211" spans="1:13" ht="15.6" hidden="1" x14ac:dyDescent="0.3">
      <c r="A1211" s="1" t="s">
        <v>4098</v>
      </c>
      <c r="B1211" s="1"/>
      <c r="C1211" s="1"/>
      <c r="D1211" s="1"/>
      <c r="E1211" s="1"/>
      <c r="F1211" s="1"/>
      <c r="G1211" s="1" t="s">
        <v>43</v>
      </c>
      <c r="H1211" s="2">
        <v>5776</v>
      </c>
      <c r="I1211" s="1" t="s">
        <v>4099</v>
      </c>
      <c r="J1211" s="1" t="s">
        <v>4100</v>
      </c>
      <c r="K1211" s="1" t="s">
        <v>781</v>
      </c>
      <c r="L1211" s="1" t="s">
        <v>4101</v>
      </c>
      <c r="M1211" s="6" t="str">
        <f>_xlfn.CONCAT(Table1[[#This Row],[Billing Street]], ", ", Table1[[#This Row],[Billing City]], ", ", Table1[[#This Row],[Billing State/Province]], ", ", Table1[[#This Row],[Billing Zip/Postal Code]])</f>
        <v>2375 Philmont Ave, Huntingdon Valley, pa, 19006</v>
      </c>
    </row>
    <row r="1212" spans="1:13" ht="15.6" hidden="1" x14ac:dyDescent="0.3">
      <c r="A1212" s="1" t="s">
        <v>4102</v>
      </c>
      <c r="B1212" s="1"/>
      <c r="C1212" s="1"/>
      <c r="D1212" s="1"/>
      <c r="E1212" s="1"/>
      <c r="F1212" s="1"/>
      <c r="G1212" s="1" t="s">
        <v>13</v>
      </c>
      <c r="H1212" s="2">
        <v>0</v>
      </c>
      <c r="I1212" s="1" t="s">
        <v>13</v>
      </c>
      <c r="J1212" s="1" t="s">
        <v>13</v>
      </c>
      <c r="K1212" s="1" t="s">
        <v>13</v>
      </c>
      <c r="L1212" s="1" t="s">
        <v>13</v>
      </c>
      <c r="M1212" s="6" t="str">
        <f>_xlfn.CONCAT(Table1[[#This Row],[Billing Street]], ", ", Table1[[#This Row],[Billing City]], ", ", Table1[[#This Row],[Billing State/Province]], ", ", Table1[[#This Row],[Billing Zip/Postal Code]])</f>
        <v xml:space="preserve">, , , </v>
      </c>
    </row>
    <row r="1213" spans="1:13" ht="15.6" hidden="1" x14ac:dyDescent="0.3">
      <c r="A1213" s="1" t="s">
        <v>4103</v>
      </c>
      <c r="B1213" s="1"/>
      <c r="C1213" s="1"/>
      <c r="D1213" s="1"/>
      <c r="E1213" s="1"/>
      <c r="F1213" s="1"/>
      <c r="G1213" s="1" t="s">
        <v>13</v>
      </c>
      <c r="H1213" s="2">
        <v>0</v>
      </c>
      <c r="I1213" s="1" t="s">
        <v>13</v>
      </c>
      <c r="J1213" s="1" t="s">
        <v>13</v>
      </c>
      <c r="K1213" s="1" t="s">
        <v>13</v>
      </c>
      <c r="L1213" s="1" t="s">
        <v>13</v>
      </c>
      <c r="M1213" s="6" t="str">
        <f>_xlfn.CONCAT(Table1[[#This Row],[Billing Street]], ", ", Table1[[#This Row],[Billing City]], ", ", Table1[[#This Row],[Billing State/Province]], ", ", Table1[[#This Row],[Billing Zip/Postal Code]])</f>
        <v xml:space="preserve">, , , </v>
      </c>
    </row>
    <row r="1214" spans="1:13" ht="15.6" hidden="1" x14ac:dyDescent="0.3">
      <c r="A1214" s="1" t="s">
        <v>4104</v>
      </c>
      <c r="B1214" s="1"/>
      <c r="C1214" s="1"/>
      <c r="D1214" s="1"/>
      <c r="E1214" s="1"/>
      <c r="F1214" s="1"/>
      <c r="G1214" s="1" t="s">
        <v>13</v>
      </c>
      <c r="H1214" s="2">
        <v>0</v>
      </c>
      <c r="I1214" s="1" t="s">
        <v>4105</v>
      </c>
      <c r="J1214" s="1" t="s">
        <v>4106</v>
      </c>
      <c r="K1214" s="1" t="s">
        <v>13</v>
      </c>
      <c r="L1214" s="1" t="s">
        <v>4107</v>
      </c>
      <c r="M1214" s="6" t="str">
        <f>_xlfn.CONCAT(Table1[[#This Row],[Billing Street]], ", ", Table1[[#This Row],[Billing City]], ", ", Table1[[#This Row],[Billing State/Province]], ", ", Table1[[#This Row],[Billing Zip/Postal Code]])</f>
        <v>1338 N. Market Blvd, Sacramento, , 95834</v>
      </c>
    </row>
    <row r="1215" spans="1:13" ht="15.6" x14ac:dyDescent="0.3">
      <c r="A1215" s="1" t="s">
        <v>4108</v>
      </c>
      <c r="B1215" s="1"/>
      <c r="C1215" s="1"/>
      <c r="D1215" s="1"/>
      <c r="E1215" s="1"/>
      <c r="F1215" s="1"/>
      <c r="G1215" s="1" t="s">
        <v>24</v>
      </c>
      <c r="H1215" s="2">
        <v>205</v>
      </c>
      <c r="I1215" s="1" t="s">
        <v>4109</v>
      </c>
      <c r="J1215" s="1" t="s">
        <v>372</v>
      </c>
      <c r="K1215" s="1" t="s">
        <v>26</v>
      </c>
      <c r="L1215" s="1" t="s">
        <v>4008</v>
      </c>
      <c r="M1215" s="6" t="str">
        <f>_xlfn.CONCAT(Table1[[#This Row],[Billing Street]], ", ", Table1[[#This Row],[Billing City]], ", ", Table1[[#This Row],[Billing State/Province]], ", ", Table1[[#This Row],[Billing Zip/Postal Code]])</f>
        <v>2601 Carson Road, Birmingham, AL, 35215</v>
      </c>
    </row>
    <row r="1216" spans="1:13" ht="15.6" hidden="1" x14ac:dyDescent="0.3">
      <c r="A1216" s="1" t="s">
        <v>4110</v>
      </c>
      <c r="B1216" s="1"/>
      <c r="C1216" s="1"/>
      <c r="D1216" s="1"/>
      <c r="E1216" s="1"/>
      <c r="F1216" s="1"/>
      <c r="G1216" s="1" t="s">
        <v>13</v>
      </c>
      <c r="H1216" s="2">
        <v>0</v>
      </c>
      <c r="I1216" s="1" t="s">
        <v>13</v>
      </c>
      <c r="J1216" s="1" t="s">
        <v>13</v>
      </c>
      <c r="K1216" s="1" t="s">
        <v>13</v>
      </c>
      <c r="L1216" s="1" t="s">
        <v>13</v>
      </c>
      <c r="M1216" s="6" t="str">
        <f>_xlfn.CONCAT(Table1[[#This Row],[Billing Street]], ", ", Table1[[#This Row],[Billing City]], ", ", Table1[[#This Row],[Billing State/Province]], ", ", Table1[[#This Row],[Billing Zip/Postal Code]])</f>
        <v xml:space="preserve">, , , </v>
      </c>
    </row>
    <row r="1217" spans="1:13" ht="15.6" hidden="1" x14ac:dyDescent="0.3">
      <c r="A1217" s="1" t="s">
        <v>4111</v>
      </c>
      <c r="B1217" s="1"/>
      <c r="C1217" s="1"/>
      <c r="D1217" s="1"/>
      <c r="E1217" s="1"/>
      <c r="F1217" s="1"/>
      <c r="G1217" s="1" t="s">
        <v>43</v>
      </c>
      <c r="H1217" s="2">
        <v>5776</v>
      </c>
      <c r="I1217" s="1" t="s">
        <v>4112</v>
      </c>
      <c r="J1217" s="1" t="s">
        <v>2221</v>
      </c>
      <c r="K1217" s="1" t="s">
        <v>781</v>
      </c>
      <c r="L1217" s="1" t="s">
        <v>4113</v>
      </c>
      <c r="M1217" s="6" t="str">
        <f>_xlfn.CONCAT(Table1[[#This Row],[Billing Street]], ", ", Table1[[#This Row],[Billing City]], ", ", Table1[[#This Row],[Billing State/Province]], ", ", Table1[[#This Row],[Billing Zip/Postal Code]])</f>
        <v>20 36th St, Pittsburgh, pa, 15201</v>
      </c>
    </row>
    <row r="1218" spans="1:13" ht="15.6" hidden="1" x14ac:dyDescent="0.3">
      <c r="A1218" s="1" t="s">
        <v>4114</v>
      </c>
      <c r="B1218" s="1"/>
      <c r="C1218" s="1"/>
      <c r="D1218" s="1"/>
      <c r="E1218" s="1"/>
      <c r="F1218" s="1"/>
      <c r="G1218" s="1" t="s">
        <v>13</v>
      </c>
      <c r="H1218" s="2">
        <v>0</v>
      </c>
      <c r="I1218" s="1" t="s">
        <v>13</v>
      </c>
      <c r="J1218" s="1" t="s">
        <v>4115</v>
      </c>
      <c r="K1218" s="1" t="s">
        <v>13</v>
      </c>
      <c r="L1218" s="1" t="s">
        <v>13</v>
      </c>
      <c r="M1218" s="6" t="str">
        <f>_xlfn.CONCAT(Table1[[#This Row],[Billing Street]], ", ", Table1[[#This Row],[Billing City]], ", ", Table1[[#This Row],[Billing State/Province]], ", ", Table1[[#This Row],[Billing Zip/Postal Code]])</f>
        <v xml:space="preserve">, Morgantown, NC, , </v>
      </c>
    </row>
    <row r="1219" spans="1:13" ht="15.6" hidden="1" x14ac:dyDescent="0.3">
      <c r="A1219" s="1" t="s">
        <v>4116</v>
      </c>
      <c r="B1219" s="1"/>
      <c r="C1219" s="1"/>
      <c r="D1219" s="1"/>
      <c r="E1219" s="1"/>
      <c r="F1219" s="1"/>
      <c r="G1219" s="1" t="s">
        <v>43</v>
      </c>
      <c r="H1219" s="2">
        <v>228</v>
      </c>
      <c r="I1219" s="1" t="s">
        <v>4117</v>
      </c>
      <c r="J1219" s="1" t="s">
        <v>3455</v>
      </c>
      <c r="K1219" s="1" t="s">
        <v>275</v>
      </c>
      <c r="L1219" s="1" t="s">
        <v>4118</v>
      </c>
      <c r="M1219" s="6" t="str">
        <f>_xlfn.CONCAT(Table1[[#This Row],[Billing Street]], ", ", Table1[[#This Row],[Billing City]], ", ", Table1[[#This Row],[Billing State/Province]], ", ", Table1[[#This Row],[Billing Zip/Postal Code]])</f>
        <v>30 Vantage Dr, Rochester, ny, 14624</v>
      </c>
    </row>
    <row r="1220" spans="1:13" ht="15.6" hidden="1" x14ac:dyDescent="0.3">
      <c r="A1220" s="1" t="s">
        <v>4119</v>
      </c>
      <c r="B1220" s="1"/>
      <c r="C1220" s="1"/>
      <c r="D1220" s="1"/>
      <c r="E1220" s="1"/>
      <c r="F1220" s="1"/>
      <c r="G1220" s="1" t="s">
        <v>43</v>
      </c>
      <c r="H1220" s="2">
        <v>159</v>
      </c>
      <c r="I1220" s="1" t="s">
        <v>4120</v>
      </c>
      <c r="J1220" s="1" t="s">
        <v>4121</v>
      </c>
      <c r="K1220" s="1" t="s">
        <v>241</v>
      </c>
      <c r="L1220" s="1" t="s">
        <v>4122</v>
      </c>
      <c r="M1220" s="6" t="str">
        <f>_xlfn.CONCAT(Table1[[#This Row],[Billing Street]], ", ", Table1[[#This Row],[Billing City]], ", ", Table1[[#This Row],[Billing State/Province]], ", ", Table1[[#This Row],[Billing Zip/Postal Code]])</f>
        <v>201 W. Main Street, Smethport, PA, 16749</v>
      </c>
    </row>
    <row r="1221" spans="1:13" ht="15.6" hidden="1" x14ac:dyDescent="0.3">
      <c r="A1221" s="1" t="s">
        <v>4123</v>
      </c>
      <c r="B1221" s="1"/>
      <c r="C1221" s="1"/>
      <c r="D1221" s="1"/>
      <c r="E1221" s="1"/>
      <c r="F1221" s="1"/>
      <c r="G1221" s="1" t="s">
        <v>13</v>
      </c>
      <c r="H1221" s="2">
        <v>0</v>
      </c>
      <c r="I1221" s="1" t="s">
        <v>4124</v>
      </c>
      <c r="J1221" s="1" t="s">
        <v>3589</v>
      </c>
      <c r="K1221" s="1" t="s">
        <v>13</v>
      </c>
      <c r="L1221" s="1" t="s">
        <v>4125</v>
      </c>
      <c r="M1221" s="6" t="str">
        <f>_xlfn.CONCAT(Table1[[#This Row],[Billing Street]], ", ", Table1[[#This Row],[Billing City]], ", ", Table1[[#This Row],[Billing State/Province]], ", ", Table1[[#This Row],[Billing Zip/Postal Code]])</f>
        <v>33733 Seavey Loop Rd, Eugene, , 97405</v>
      </c>
    </row>
    <row r="1222" spans="1:13" ht="15.6" x14ac:dyDescent="0.3">
      <c r="A1222" s="1" t="s">
        <v>4126</v>
      </c>
      <c r="B1222" s="1"/>
      <c r="C1222" s="1"/>
      <c r="D1222" s="1"/>
      <c r="E1222" s="1"/>
      <c r="F1222" s="1"/>
      <c r="G1222" s="1" t="s">
        <v>24</v>
      </c>
      <c r="H1222" s="2">
        <v>70</v>
      </c>
      <c r="I1222" s="1" t="s">
        <v>4127</v>
      </c>
      <c r="J1222" s="1" t="s">
        <v>715</v>
      </c>
      <c r="K1222" s="1" t="s">
        <v>36</v>
      </c>
      <c r="L1222" s="1" t="s">
        <v>716</v>
      </c>
      <c r="M1222" s="6" t="str">
        <f>_xlfn.CONCAT(Table1[[#This Row],[Billing Street]], ", ", Table1[[#This Row],[Billing City]], ", ", Table1[[#This Row],[Billing State/Province]], ", ", Table1[[#This Row],[Billing Zip/Postal Code]])</f>
        <v>2803 W Lakeview Ave, Pensacola, FL, 32505</v>
      </c>
    </row>
    <row r="1223" spans="1:13" ht="15.6" x14ac:dyDescent="0.3">
      <c r="A1223" s="1" t="s">
        <v>4128</v>
      </c>
      <c r="B1223" s="1"/>
      <c r="C1223" s="1"/>
      <c r="D1223" s="1"/>
      <c r="E1223" s="1"/>
      <c r="F1223" s="1"/>
      <c r="G1223" s="1" t="s">
        <v>24</v>
      </c>
      <c r="H1223" s="2">
        <v>46</v>
      </c>
      <c r="I1223" s="1" t="s">
        <v>4129</v>
      </c>
      <c r="J1223" s="1" t="s">
        <v>522</v>
      </c>
      <c r="K1223" s="1" t="s">
        <v>26</v>
      </c>
      <c r="L1223" s="1" t="s">
        <v>4130</v>
      </c>
      <c r="M1223" s="6" t="str">
        <f>_xlfn.CONCAT(Table1[[#This Row],[Billing Street]], ", ", Table1[[#This Row],[Billing City]], ", ", Table1[[#This Row],[Billing State/Province]], ", ", Table1[[#This Row],[Billing Zip/Postal Code]])</f>
        <v>950 West Bypass, Andalusia, AL, 36420</v>
      </c>
    </row>
    <row r="1224" spans="1:13" ht="15.6" hidden="1" x14ac:dyDescent="0.3">
      <c r="A1224" s="1" t="s">
        <v>4131</v>
      </c>
      <c r="B1224" s="1"/>
      <c r="C1224" s="1"/>
      <c r="D1224" s="1"/>
      <c r="E1224" s="1"/>
      <c r="F1224" s="1"/>
      <c r="G1224" s="1" t="s">
        <v>43</v>
      </c>
      <c r="H1224" s="2">
        <v>37</v>
      </c>
      <c r="I1224" s="1" t="s">
        <v>4132</v>
      </c>
      <c r="J1224" s="1" t="s">
        <v>4133</v>
      </c>
      <c r="K1224" s="1" t="s">
        <v>45</v>
      </c>
      <c r="L1224" s="1" t="s">
        <v>4134</v>
      </c>
      <c r="M1224" s="6" t="str">
        <f>_xlfn.CONCAT(Table1[[#This Row],[Billing Street]], ", ", Table1[[#This Row],[Billing City]], ", ", Table1[[#This Row],[Billing State/Province]], ", ", Table1[[#This Row],[Billing Zip/Postal Code]])</f>
        <v>113 Erie Street South, Massillon, OH, 44646</v>
      </c>
    </row>
    <row r="1225" spans="1:13" ht="15.6" x14ac:dyDescent="0.3">
      <c r="A1225" s="1" t="s">
        <v>4135</v>
      </c>
      <c r="B1225" s="1"/>
      <c r="C1225" s="1"/>
      <c r="D1225" s="1"/>
      <c r="E1225" s="1"/>
      <c r="F1225" s="1"/>
      <c r="G1225" s="1" t="s">
        <v>24</v>
      </c>
      <c r="H1225" s="2">
        <v>71</v>
      </c>
      <c r="I1225" s="1" t="s">
        <v>4136</v>
      </c>
      <c r="J1225" s="1" t="s">
        <v>4137</v>
      </c>
      <c r="K1225" s="1" t="s">
        <v>36</v>
      </c>
      <c r="L1225" s="1" t="s">
        <v>4138</v>
      </c>
      <c r="M1225" s="6" t="str">
        <f>_xlfn.CONCAT(Table1[[#This Row],[Billing Street]], ", ", Table1[[#This Row],[Billing City]], ", ", Table1[[#This Row],[Billing State/Province]], ", ", Table1[[#This Row],[Billing Zip/Postal Code]])</f>
        <v>530 Williams Ditch Rd, Cantonment, FL, 32533</v>
      </c>
    </row>
    <row r="1226" spans="1:13" ht="15.6" hidden="1" x14ac:dyDescent="0.3">
      <c r="A1226" s="1" t="s">
        <v>4139</v>
      </c>
      <c r="B1226" s="1"/>
      <c r="C1226" s="1"/>
      <c r="D1226" s="1"/>
      <c r="E1226" s="1"/>
      <c r="F1226" s="1"/>
      <c r="G1226" s="1" t="s">
        <v>43</v>
      </c>
      <c r="H1226" s="2">
        <v>69</v>
      </c>
      <c r="I1226" s="1" t="s">
        <v>4140</v>
      </c>
      <c r="J1226" s="1" t="s">
        <v>4141</v>
      </c>
      <c r="K1226" s="1" t="s">
        <v>241</v>
      </c>
      <c r="L1226" s="1" t="s">
        <v>4142</v>
      </c>
      <c r="M1226" s="6" t="str">
        <f>_xlfn.CONCAT(Table1[[#This Row],[Billing Street]], ", ", Table1[[#This Row],[Billing City]], ", ", Table1[[#This Row],[Billing State/Province]], ", ", Table1[[#This Row],[Billing Zip/Postal Code]])</f>
        <v>1 Early Street, Ellwood City, PA, 16117</v>
      </c>
    </row>
    <row r="1227" spans="1:13" ht="15.6" hidden="1" x14ac:dyDescent="0.3">
      <c r="A1227" s="1" t="s">
        <v>4143</v>
      </c>
      <c r="B1227" s="1"/>
      <c r="C1227" s="1"/>
      <c r="D1227" s="1"/>
      <c r="E1227" s="1"/>
      <c r="F1227" s="1"/>
      <c r="G1227" s="1" t="s">
        <v>43</v>
      </c>
      <c r="H1227" s="2">
        <v>5776</v>
      </c>
      <c r="I1227" s="1" t="s">
        <v>13</v>
      </c>
      <c r="J1227" s="1" t="s">
        <v>13</v>
      </c>
      <c r="K1227" s="1" t="s">
        <v>133</v>
      </c>
      <c r="L1227" s="1" t="s">
        <v>13</v>
      </c>
      <c r="M1227" s="6" t="str">
        <f>_xlfn.CONCAT(Table1[[#This Row],[Billing Street]], ", ", Table1[[#This Row],[Billing City]], ", ", Table1[[#This Row],[Billing State/Province]], ", ", Table1[[#This Row],[Billing Zip/Postal Code]])</f>
        <v xml:space="preserve">, , WI, </v>
      </c>
    </row>
    <row r="1228" spans="1:13" ht="15.6" hidden="1" x14ac:dyDescent="0.3">
      <c r="A1228" s="1" t="s">
        <v>4144</v>
      </c>
      <c r="B1228" s="1"/>
      <c r="C1228" s="1"/>
      <c r="D1228" s="1"/>
      <c r="E1228" s="1"/>
      <c r="F1228" s="1"/>
      <c r="G1228" s="1" t="s">
        <v>43</v>
      </c>
      <c r="H1228" s="2">
        <v>5776</v>
      </c>
      <c r="I1228" s="1" t="s">
        <v>13</v>
      </c>
      <c r="J1228" s="1" t="s">
        <v>13</v>
      </c>
      <c r="K1228" s="1" t="s">
        <v>133</v>
      </c>
      <c r="L1228" s="1" t="s">
        <v>13</v>
      </c>
      <c r="M1228" s="6" t="str">
        <f>_xlfn.CONCAT(Table1[[#This Row],[Billing Street]], ", ", Table1[[#This Row],[Billing City]], ", ", Table1[[#This Row],[Billing State/Province]], ", ", Table1[[#This Row],[Billing Zip/Postal Code]])</f>
        <v xml:space="preserve">, , WI, </v>
      </c>
    </row>
    <row r="1229" spans="1:13" ht="15.6" hidden="1" x14ac:dyDescent="0.3">
      <c r="A1229" s="1" t="s">
        <v>4145</v>
      </c>
      <c r="B1229" s="1"/>
      <c r="C1229" s="1"/>
      <c r="D1229" s="1"/>
      <c r="E1229" s="1"/>
      <c r="F1229" s="1"/>
      <c r="G1229" s="1" t="s">
        <v>43</v>
      </c>
      <c r="H1229" s="2">
        <v>5776</v>
      </c>
      <c r="I1229" s="1" t="s">
        <v>13</v>
      </c>
      <c r="J1229" s="1" t="s">
        <v>13</v>
      </c>
      <c r="K1229" s="1" t="s">
        <v>133</v>
      </c>
      <c r="L1229" s="1" t="s">
        <v>13</v>
      </c>
      <c r="M1229" s="6" t="str">
        <f>_xlfn.CONCAT(Table1[[#This Row],[Billing Street]], ", ", Table1[[#This Row],[Billing City]], ", ", Table1[[#This Row],[Billing State/Province]], ", ", Table1[[#This Row],[Billing Zip/Postal Code]])</f>
        <v xml:space="preserve">, , WI, </v>
      </c>
    </row>
    <row r="1230" spans="1:13" ht="15.6" hidden="1" x14ac:dyDescent="0.3">
      <c r="A1230" s="1" t="s">
        <v>4146</v>
      </c>
      <c r="B1230" s="1"/>
      <c r="C1230" s="1"/>
      <c r="D1230" s="1"/>
      <c r="E1230" s="1"/>
      <c r="F1230" s="1"/>
      <c r="G1230" s="1" t="s">
        <v>43</v>
      </c>
      <c r="H1230" s="2">
        <v>5776</v>
      </c>
      <c r="I1230" s="1" t="s">
        <v>13</v>
      </c>
      <c r="J1230" s="1" t="s">
        <v>13</v>
      </c>
      <c r="K1230" s="1" t="s">
        <v>133</v>
      </c>
      <c r="L1230" s="1" t="s">
        <v>13</v>
      </c>
      <c r="M1230" s="6" t="str">
        <f>_xlfn.CONCAT(Table1[[#This Row],[Billing Street]], ", ", Table1[[#This Row],[Billing City]], ", ", Table1[[#This Row],[Billing State/Province]], ", ", Table1[[#This Row],[Billing Zip/Postal Code]])</f>
        <v xml:space="preserve">, , WI, </v>
      </c>
    </row>
    <row r="1231" spans="1:13" ht="15.6" hidden="1" x14ac:dyDescent="0.3">
      <c r="A1231" s="1" t="s">
        <v>4147</v>
      </c>
      <c r="B1231" s="1"/>
      <c r="C1231" s="1"/>
      <c r="D1231" s="1"/>
      <c r="E1231" s="1"/>
      <c r="F1231" s="1"/>
      <c r="G1231" s="1" t="s">
        <v>43</v>
      </c>
      <c r="H1231" s="2">
        <v>5776</v>
      </c>
      <c r="I1231" s="1" t="s">
        <v>13</v>
      </c>
      <c r="J1231" s="1" t="s">
        <v>13</v>
      </c>
      <c r="K1231" s="1" t="s">
        <v>133</v>
      </c>
      <c r="L1231" s="1" t="s">
        <v>13</v>
      </c>
      <c r="M1231" s="6" t="str">
        <f>_xlfn.CONCAT(Table1[[#This Row],[Billing Street]], ", ", Table1[[#This Row],[Billing City]], ", ", Table1[[#This Row],[Billing State/Province]], ", ", Table1[[#This Row],[Billing Zip/Postal Code]])</f>
        <v xml:space="preserve">, , WI, </v>
      </c>
    </row>
    <row r="1232" spans="1:13" ht="15.6" hidden="1" x14ac:dyDescent="0.3">
      <c r="A1232" s="1" t="s">
        <v>4148</v>
      </c>
      <c r="B1232" s="1"/>
      <c r="C1232" s="1"/>
      <c r="D1232" s="1"/>
      <c r="E1232" s="1"/>
      <c r="F1232" s="1"/>
      <c r="G1232" s="1" t="s">
        <v>43</v>
      </c>
      <c r="H1232" s="2">
        <v>5776</v>
      </c>
      <c r="I1232" s="1" t="s">
        <v>13</v>
      </c>
      <c r="J1232" s="1" t="s">
        <v>13</v>
      </c>
      <c r="K1232" s="1" t="s">
        <v>133</v>
      </c>
      <c r="L1232" s="1" t="s">
        <v>13</v>
      </c>
      <c r="M1232" s="6" t="str">
        <f>_xlfn.CONCAT(Table1[[#This Row],[Billing Street]], ", ", Table1[[#This Row],[Billing City]], ", ", Table1[[#This Row],[Billing State/Province]], ", ", Table1[[#This Row],[Billing Zip/Postal Code]])</f>
        <v xml:space="preserve">, , WI, </v>
      </c>
    </row>
    <row r="1233" spans="1:13" ht="15.6" hidden="1" x14ac:dyDescent="0.3">
      <c r="A1233" s="1" t="s">
        <v>4149</v>
      </c>
      <c r="B1233" s="1"/>
      <c r="C1233" s="1"/>
      <c r="D1233" s="1"/>
      <c r="E1233" s="1"/>
      <c r="F1233" s="1"/>
      <c r="G1233" s="1" t="s">
        <v>43</v>
      </c>
      <c r="H1233" s="2">
        <v>5776</v>
      </c>
      <c r="I1233" s="1" t="s">
        <v>13</v>
      </c>
      <c r="J1233" s="1" t="s">
        <v>13</v>
      </c>
      <c r="K1233" s="1" t="s">
        <v>133</v>
      </c>
      <c r="L1233" s="1" t="s">
        <v>13</v>
      </c>
      <c r="M1233" s="6" t="str">
        <f>_xlfn.CONCAT(Table1[[#This Row],[Billing Street]], ", ", Table1[[#This Row],[Billing City]], ", ", Table1[[#This Row],[Billing State/Province]], ", ", Table1[[#This Row],[Billing Zip/Postal Code]])</f>
        <v xml:space="preserve">, , WI, </v>
      </c>
    </row>
    <row r="1234" spans="1:13" ht="15.6" hidden="1" x14ac:dyDescent="0.3">
      <c r="A1234" s="1" t="s">
        <v>4150</v>
      </c>
      <c r="B1234" s="1"/>
      <c r="C1234" s="1"/>
      <c r="D1234" s="1"/>
      <c r="E1234" s="1"/>
      <c r="F1234" s="1"/>
      <c r="G1234" s="1" t="s">
        <v>43</v>
      </c>
      <c r="H1234" s="2">
        <v>5776</v>
      </c>
      <c r="I1234" s="1" t="s">
        <v>13</v>
      </c>
      <c r="J1234" s="1" t="s">
        <v>13</v>
      </c>
      <c r="K1234" s="1" t="s">
        <v>133</v>
      </c>
      <c r="L1234" s="1" t="s">
        <v>13</v>
      </c>
      <c r="M1234" s="6" t="str">
        <f>_xlfn.CONCAT(Table1[[#This Row],[Billing Street]], ", ", Table1[[#This Row],[Billing City]], ", ", Table1[[#This Row],[Billing State/Province]], ", ", Table1[[#This Row],[Billing Zip/Postal Code]])</f>
        <v xml:space="preserve">, , WI, </v>
      </c>
    </row>
    <row r="1235" spans="1:13" ht="15.6" hidden="1" x14ac:dyDescent="0.3">
      <c r="A1235" s="1" t="s">
        <v>4151</v>
      </c>
      <c r="B1235" s="1"/>
      <c r="C1235" s="1"/>
      <c r="D1235" s="1"/>
      <c r="E1235" s="1"/>
      <c r="F1235" s="1"/>
      <c r="G1235" s="1" t="s">
        <v>43</v>
      </c>
      <c r="H1235" s="2">
        <v>5776</v>
      </c>
      <c r="I1235" s="1" t="s">
        <v>13</v>
      </c>
      <c r="J1235" s="1" t="s">
        <v>13</v>
      </c>
      <c r="K1235" s="1" t="s">
        <v>133</v>
      </c>
      <c r="L1235" s="1" t="s">
        <v>13</v>
      </c>
      <c r="M1235" s="6" t="str">
        <f>_xlfn.CONCAT(Table1[[#This Row],[Billing Street]], ", ", Table1[[#This Row],[Billing City]], ", ", Table1[[#This Row],[Billing State/Province]], ", ", Table1[[#This Row],[Billing Zip/Postal Code]])</f>
        <v xml:space="preserve">, , WI, </v>
      </c>
    </row>
    <row r="1236" spans="1:13" ht="15.6" hidden="1" x14ac:dyDescent="0.3">
      <c r="A1236" s="1" t="s">
        <v>4152</v>
      </c>
      <c r="B1236" s="1"/>
      <c r="C1236" s="1"/>
      <c r="D1236" s="1"/>
      <c r="E1236" s="1"/>
      <c r="F1236" s="1"/>
      <c r="G1236" s="1" t="s">
        <v>43</v>
      </c>
      <c r="H1236" s="2">
        <v>5776</v>
      </c>
      <c r="I1236" s="1" t="s">
        <v>13</v>
      </c>
      <c r="J1236" s="1" t="s">
        <v>13</v>
      </c>
      <c r="K1236" s="1" t="s">
        <v>133</v>
      </c>
      <c r="L1236" s="1" t="s">
        <v>13</v>
      </c>
      <c r="M1236" s="6" t="str">
        <f>_xlfn.CONCAT(Table1[[#This Row],[Billing Street]], ", ", Table1[[#This Row],[Billing City]], ", ", Table1[[#This Row],[Billing State/Province]], ", ", Table1[[#This Row],[Billing Zip/Postal Code]])</f>
        <v xml:space="preserve">, , WI, </v>
      </c>
    </row>
    <row r="1237" spans="1:13" ht="15.6" hidden="1" x14ac:dyDescent="0.3">
      <c r="A1237" s="1" t="s">
        <v>4153</v>
      </c>
      <c r="B1237" s="1"/>
      <c r="C1237" s="1"/>
      <c r="D1237" s="1"/>
      <c r="E1237" s="1"/>
      <c r="F1237" s="1"/>
      <c r="G1237" s="1" t="s">
        <v>43</v>
      </c>
      <c r="H1237" s="2">
        <v>5776</v>
      </c>
      <c r="I1237" s="1" t="s">
        <v>13</v>
      </c>
      <c r="J1237" s="1" t="s">
        <v>13</v>
      </c>
      <c r="K1237" s="1" t="s">
        <v>133</v>
      </c>
      <c r="L1237" s="1" t="s">
        <v>13</v>
      </c>
      <c r="M1237" s="6" t="str">
        <f>_xlfn.CONCAT(Table1[[#This Row],[Billing Street]], ", ", Table1[[#This Row],[Billing City]], ", ", Table1[[#This Row],[Billing State/Province]], ", ", Table1[[#This Row],[Billing Zip/Postal Code]])</f>
        <v xml:space="preserve">, , WI, </v>
      </c>
    </row>
    <row r="1238" spans="1:13" ht="15.6" hidden="1" x14ac:dyDescent="0.3">
      <c r="A1238" s="1" t="s">
        <v>4154</v>
      </c>
      <c r="B1238" s="1"/>
      <c r="C1238" s="1"/>
      <c r="D1238" s="1"/>
      <c r="E1238" s="1"/>
      <c r="F1238" s="1"/>
      <c r="G1238" s="1" t="s">
        <v>43</v>
      </c>
      <c r="H1238" s="2">
        <v>5776</v>
      </c>
      <c r="I1238" s="1" t="s">
        <v>13</v>
      </c>
      <c r="J1238" s="1" t="s">
        <v>13</v>
      </c>
      <c r="K1238" s="1" t="s">
        <v>133</v>
      </c>
      <c r="L1238" s="1" t="s">
        <v>13</v>
      </c>
      <c r="M1238" s="6" t="str">
        <f>_xlfn.CONCAT(Table1[[#This Row],[Billing Street]], ", ", Table1[[#This Row],[Billing City]], ", ", Table1[[#This Row],[Billing State/Province]], ", ", Table1[[#This Row],[Billing Zip/Postal Code]])</f>
        <v xml:space="preserve">, , WI, </v>
      </c>
    </row>
    <row r="1239" spans="1:13" ht="15.6" hidden="1" x14ac:dyDescent="0.3">
      <c r="A1239" s="1" t="s">
        <v>4155</v>
      </c>
      <c r="B1239" s="1"/>
      <c r="C1239" s="1"/>
      <c r="D1239" s="1"/>
      <c r="E1239" s="1"/>
      <c r="F1239" s="1"/>
      <c r="G1239" s="1" t="s">
        <v>43</v>
      </c>
      <c r="H1239" s="2">
        <v>5776</v>
      </c>
      <c r="I1239" s="1" t="s">
        <v>13</v>
      </c>
      <c r="J1239" s="1" t="s">
        <v>13</v>
      </c>
      <c r="K1239" s="1" t="s">
        <v>133</v>
      </c>
      <c r="L1239" s="1" t="s">
        <v>13</v>
      </c>
      <c r="M1239" s="6" t="str">
        <f>_xlfn.CONCAT(Table1[[#This Row],[Billing Street]], ", ", Table1[[#This Row],[Billing City]], ", ", Table1[[#This Row],[Billing State/Province]], ", ", Table1[[#This Row],[Billing Zip/Postal Code]])</f>
        <v xml:space="preserve">, , WI, </v>
      </c>
    </row>
    <row r="1240" spans="1:13" ht="15.6" hidden="1" x14ac:dyDescent="0.3">
      <c r="A1240" s="1" t="s">
        <v>4156</v>
      </c>
      <c r="B1240" s="1"/>
      <c r="C1240" s="1"/>
      <c r="D1240" s="1"/>
      <c r="E1240" s="1"/>
      <c r="F1240" s="1"/>
      <c r="G1240" s="1" t="s">
        <v>43</v>
      </c>
      <c r="H1240" s="2">
        <v>5776</v>
      </c>
      <c r="I1240" s="1" t="s">
        <v>13</v>
      </c>
      <c r="J1240" s="1" t="s">
        <v>13</v>
      </c>
      <c r="K1240" s="1" t="s">
        <v>133</v>
      </c>
      <c r="L1240" s="1" t="s">
        <v>13</v>
      </c>
      <c r="M1240" s="6" t="str">
        <f>_xlfn.CONCAT(Table1[[#This Row],[Billing Street]], ", ", Table1[[#This Row],[Billing City]], ", ", Table1[[#This Row],[Billing State/Province]], ", ", Table1[[#This Row],[Billing Zip/Postal Code]])</f>
        <v xml:space="preserve">, , WI, </v>
      </c>
    </row>
    <row r="1241" spans="1:13" ht="15.6" hidden="1" x14ac:dyDescent="0.3">
      <c r="A1241" s="1" t="s">
        <v>4157</v>
      </c>
      <c r="B1241" s="1"/>
      <c r="C1241" s="1"/>
      <c r="D1241" s="1"/>
      <c r="E1241" s="1"/>
      <c r="F1241" s="1"/>
      <c r="G1241" s="1" t="s">
        <v>43</v>
      </c>
      <c r="H1241" s="2">
        <v>5776</v>
      </c>
      <c r="I1241" s="1" t="s">
        <v>13</v>
      </c>
      <c r="J1241" s="1" t="s">
        <v>13</v>
      </c>
      <c r="K1241" s="1" t="s">
        <v>133</v>
      </c>
      <c r="L1241" s="1" t="s">
        <v>13</v>
      </c>
      <c r="M1241" s="6" t="str">
        <f>_xlfn.CONCAT(Table1[[#This Row],[Billing Street]], ", ", Table1[[#This Row],[Billing City]], ", ", Table1[[#This Row],[Billing State/Province]], ", ", Table1[[#This Row],[Billing Zip/Postal Code]])</f>
        <v xml:space="preserve">, , WI, </v>
      </c>
    </row>
    <row r="1242" spans="1:13" ht="15.6" hidden="1" x14ac:dyDescent="0.3">
      <c r="A1242" s="1" t="s">
        <v>4158</v>
      </c>
      <c r="B1242" s="1"/>
      <c r="C1242" s="1"/>
      <c r="D1242" s="1"/>
      <c r="E1242" s="1"/>
      <c r="F1242" s="1"/>
      <c r="G1242" s="1" t="s">
        <v>43</v>
      </c>
      <c r="H1242" s="2">
        <v>5776</v>
      </c>
      <c r="I1242" s="1" t="s">
        <v>13</v>
      </c>
      <c r="J1242" s="1" t="s">
        <v>13</v>
      </c>
      <c r="K1242" s="1" t="s">
        <v>133</v>
      </c>
      <c r="L1242" s="1" t="s">
        <v>13</v>
      </c>
      <c r="M1242" s="6" t="str">
        <f>_xlfn.CONCAT(Table1[[#This Row],[Billing Street]], ", ", Table1[[#This Row],[Billing City]], ", ", Table1[[#This Row],[Billing State/Province]], ", ", Table1[[#This Row],[Billing Zip/Postal Code]])</f>
        <v xml:space="preserve">, , WI, </v>
      </c>
    </row>
    <row r="1243" spans="1:13" ht="15.6" hidden="1" x14ac:dyDescent="0.3">
      <c r="A1243" s="1" t="s">
        <v>4159</v>
      </c>
      <c r="B1243" s="1"/>
      <c r="C1243" s="1"/>
      <c r="D1243" s="1"/>
      <c r="E1243" s="1"/>
      <c r="F1243" s="1"/>
      <c r="G1243" s="1" t="s">
        <v>43</v>
      </c>
      <c r="H1243" s="2">
        <v>5776</v>
      </c>
      <c r="I1243" s="1" t="s">
        <v>13</v>
      </c>
      <c r="J1243" s="1" t="s">
        <v>13</v>
      </c>
      <c r="K1243" s="1" t="s">
        <v>133</v>
      </c>
      <c r="L1243" s="1" t="s">
        <v>13</v>
      </c>
      <c r="M1243" s="6" t="str">
        <f>_xlfn.CONCAT(Table1[[#This Row],[Billing Street]], ", ", Table1[[#This Row],[Billing City]], ", ", Table1[[#This Row],[Billing State/Province]], ", ", Table1[[#This Row],[Billing Zip/Postal Code]])</f>
        <v xml:space="preserve">, , WI, </v>
      </c>
    </row>
    <row r="1244" spans="1:13" ht="15.6" hidden="1" x14ac:dyDescent="0.3">
      <c r="A1244" s="1" t="s">
        <v>4160</v>
      </c>
      <c r="B1244" s="1"/>
      <c r="C1244" s="1"/>
      <c r="D1244" s="1"/>
      <c r="E1244" s="1"/>
      <c r="F1244" s="1"/>
      <c r="G1244" s="1" t="s">
        <v>43</v>
      </c>
      <c r="H1244" s="2">
        <v>5776</v>
      </c>
      <c r="I1244" s="1" t="s">
        <v>13</v>
      </c>
      <c r="J1244" s="1" t="s">
        <v>13</v>
      </c>
      <c r="K1244" s="1" t="s">
        <v>133</v>
      </c>
      <c r="L1244" s="1" t="s">
        <v>13</v>
      </c>
      <c r="M1244" s="6" t="str">
        <f>_xlfn.CONCAT(Table1[[#This Row],[Billing Street]], ", ", Table1[[#This Row],[Billing City]], ", ", Table1[[#This Row],[Billing State/Province]], ", ", Table1[[#This Row],[Billing Zip/Postal Code]])</f>
        <v xml:space="preserve">, , WI, </v>
      </c>
    </row>
    <row r="1245" spans="1:13" ht="15.6" hidden="1" x14ac:dyDescent="0.3">
      <c r="A1245" s="1" t="s">
        <v>4161</v>
      </c>
      <c r="B1245" s="1"/>
      <c r="C1245" s="1"/>
      <c r="D1245" s="1"/>
      <c r="E1245" s="1"/>
      <c r="F1245" s="1"/>
      <c r="G1245" s="1" t="s">
        <v>43</v>
      </c>
      <c r="H1245" s="2">
        <v>5776</v>
      </c>
      <c r="I1245" s="1" t="s">
        <v>13</v>
      </c>
      <c r="J1245" s="1" t="s">
        <v>13</v>
      </c>
      <c r="K1245" s="1" t="s">
        <v>133</v>
      </c>
      <c r="L1245" s="1" t="s">
        <v>13</v>
      </c>
      <c r="M1245" s="6" t="str">
        <f>_xlfn.CONCAT(Table1[[#This Row],[Billing Street]], ", ", Table1[[#This Row],[Billing City]], ", ", Table1[[#This Row],[Billing State/Province]], ", ", Table1[[#This Row],[Billing Zip/Postal Code]])</f>
        <v xml:space="preserve">, , WI, </v>
      </c>
    </row>
    <row r="1246" spans="1:13" ht="15.6" hidden="1" x14ac:dyDescent="0.3">
      <c r="A1246" s="1" t="s">
        <v>4162</v>
      </c>
      <c r="B1246" s="1"/>
      <c r="C1246" s="1"/>
      <c r="D1246" s="1"/>
      <c r="E1246" s="1"/>
      <c r="F1246" s="1"/>
      <c r="G1246" s="1" t="s">
        <v>43</v>
      </c>
      <c r="H1246" s="2">
        <v>5776</v>
      </c>
      <c r="I1246" s="1" t="s">
        <v>13</v>
      </c>
      <c r="J1246" s="1" t="s">
        <v>13</v>
      </c>
      <c r="K1246" s="1" t="s">
        <v>133</v>
      </c>
      <c r="L1246" s="1" t="s">
        <v>13</v>
      </c>
      <c r="M1246" s="6" t="str">
        <f>_xlfn.CONCAT(Table1[[#This Row],[Billing Street]], ", ", Table1[[#This Row],[Billing City]], ", ", Table1[[#This Row],[Billing State/Province]], ", ", Table1[[#This Row],[Billing Zip/Postal Code]])</f>
        <v xml:space="preserve">, , WI, </v>
      </c>
    </row>
    <row r="1247" spans="1:13" ht="15.6" hidden="1" x14ac:dyDescent="0.3">
      <c r="A1247" s="1" t="s">
        <v>4163</v>
      </c>
      <c r="B1247" s="1"/>
      <c r="C1247" s="1"/>
      <c r="D1247" s="1"/>
      <c r="E1247" s="1"/>
      <c r="F1247" s="1"/>
      <c r="G1247" s="1" t="s">
        <v>43</v>
      </c>
      <c r="H1247" s="2">
        <v>5776</v>
      </c>
      <c r="I1247" s="1" t="s">
        <v>13</v>
      </c>
      <c r="J1247" s="1" t="s">
        <v>13</v>
      </c>
      <c r="K1247" s="1" t="s">
        <v>133</v>
      </c>
      <c r="L1247" s="1" t="s">
        <v>13</v>
      </c>
      <c r="M1247" s="6" t="str">
        <f>_xlfn.CONCAT(Table1[[#This Row],[Billing Street]], ", ", Table1[[#This Row],[Billing City]], ", ", Table1[[#This Row],[Billing State/Province]], ", ", Table1[[#This Row],[Billing Zip/Postal Code]])</f>
        <v xml:space="preserve">, , WI, </v>
      </c>
    </row>
    <row r="1248" spans="1:13" ht="15.6" hidden="1" x14ac:dyDescent="0.3">
      <c r="A1248" s="1" t="s">
        <v>4164</v>
      </c>
      <c r="B1248" s="1"/>
      <c r="C1248" s="1"/>
      <c r="D1248" s="1"/>
      <c r="E1248" s="1"/>
      <c r="F1248" s="1"/>
      <c r="G1248" s="1" t="s">
        <v>43</v>
      </c>
      <c r="H1248" s="2">
        <v>5776</v>
      </c>
      <c r="I1248" s="1" t="s">
        <v>13</v>
      </c>
      <c r="J1248" s="1" t="s">
        <v>13</v>
      </c>
      <c r="K1248" s="1" t="s">
        <v>133</v>
      </c>
      <c r="L1248" s="1" t="s">
        <v>13</v>
      </c>
      <c r="M1248" s="6" t="str">
        <f>_xlfn.CONCAT(Table1[[#This Row],[Billing Street]], ", ", Table1[[#This Row],[Billing City]], ", ", Table1[[#This Row],[Billing State/Province]], ", ", Table1[[#This Row],[Billing Zip/Postal Code]])</f>
        <v xml:space="preserve">, , WI, </v>
      </c>
    </row>
    <row r="1249" spans="1:13" ht="15.6" hidden="1" x14ac:dyDescent="0.3">
      <c r="A1249" s="1" t="s">
        <v>4165</v>
      </c>
      <c r="B1249" s="1"/>
      <c r="C1249" s="1"/>
      <c r="D1249" s="1"/>
      <c r="E1249" s="1"/>
      <c r="F1249" s="1"/>
      <c r="G1249" s="1" t="s">
        <v>43</v>
      </c>
      <c r="H1249" s="2">
        <v>5776</v>
      </c>
      <c r="I1249" s="1" t="s">
        <v>13</v>
      </c>
      <c r="J1249" s="1" t="s">
        <v>13</v>
      </c>
      <c r="K1249" s="1" t="s">
        <v>133</v>
      </c>
      <c r="L1249" s="1" t="s">
        <v>13</v>
      </c>
      <c r="M1249" s="6" t="str">
        <f>_xlfn.CONCAT(Table1[[#This Row],[Billing Street]], ", ", Table1[[#This Row],[Billing City]], ", ", Table1[[#This Row],[Billing State/Province]], ", ", Table1[[#This Row],[Billing Zip/Postal Code]])</f>
        <v xml:space="preserve">, , WI, </v>
      </c>
    </row>
    <row r="1250" spans="1:13" ht="15.6" hidden="1" x14ac:dyDescent="0.3">
      <c r="A1250" s="1" t="s">
        <v>4166</v>
      </c>
      <c r="B1250" s="1"/>
      <c r="C1250" s="1"/>
      <c r="D1250" s="1"/>
      <c r="E1250" s="1"/>
      <c r="F1250" s="1"/>
      <c r="G1250" s="1" t="s">
        <v>43</v>
      </c>
      <c r="H1250" s="2">
        <v>5776</v>
      </c>
      <c r="I1250" s="1" t="s">
        <v>13</v>
      </c>
      <c r="J1250" s="1" t="s">
        <v>13</v>
      </c>
      <c r="K1250" s="1" t="s">
        <v>133</v>
      </c>
      <c r="L1250" s="1" t="s">
        <v>13</v>
      </c>
      <c r="M1250" s="6" t="str">
        <f>_xlfn.CONCAT(Table1[[#This Row],[Billing Street]], ", ", Table1[[#This Row],[Billing City]], ", ", Table1[[#This Row],[Billing State/Province]], ", ", Table1[[#This Row],[Billing Zip/Postal Code]])</f>
        <v xml:space="preserve">, , WI, </v>
      </c>
    </row>
    <row r="1251" spans="1:13" ht="15.6" hidden="1" x14ac:dyDescent="0.3">
      <c r="A1251" s="1" t="s">
        <v>4167</v>
      </c>
      <c r="B1251" s="1"/>
      <c r="C1251" s="1"/>
      <c r="D1251" s="1"/>
      <c r="E1251" s="1"/>
      <c r="F1251" s="1"/>
      <c r="G1251" s="1" t="s">
        <v>43</v>
      </c>
      <c r="H1251" s="2">
        <v>378</v>
      </c>
      <c r="I1251" s="1" t="s">
        <v>4168</v>
      </c>
      <c r="J1251" s="1" t="s">
        <v>4169</v>
      </c>
      <c r="K1251" s="1" t="s">
        <v>133</v>
      </c>
      <c r="L1251" s="1" t="s">
        <v>4170</v>
      </c>
      <c r="M1251" s="6" t="str">
        <f>_xlfn.CONCAT(Table1[[#This Row],[Billing Street]], ", ", Table1[[#This Row],[Billing City]], ", ", Table1[[#This Row],[Billing State/Province]], ", ", Table1[[#This Row],[Billing Zip/Postal Code]])</f>
        <v>1407 Flora Avenue, Algoma, WI, 54201</v>
      </c>
    </row>
    <row r="1252" spans="1:13" ht="15.6" hidden="1" x14ac:dyDescent="0.3">
      <c r="A1252" s="1" t="s">
        <v>4171</v>
      </c>
      <c r="B1252" s="1"/>
      <c r="C1252" s="1"/>
      <c r="D1252" s="1"/>
      <c r="E1252" s="1"/>
      <c r="F1252" s="1"/>
      <c r="G1252" s="1" t="s">
        <v>43</v>
      </c>
      <c r="H1252" s="2">
        <v>417</v>
      </c>
      <c r="I1252" s="1" t="s">
        <v>4172</v>
      </c>
      <c r="J1252" s="1" t="s">
        <v>4173</v>
      </c>
      <c r="K1252" s="1" t="s">
        <v>133</v>
      </c>
      <c r="L1252" s="1" t="s">
        <v>4174</v>
      </c>
      <c r="M1252" s="6" t="str">
        <f>_xlfn.CONCAT(Table1[[#This Row],[Billing Street]], ", ", Table1[[#This Row],[Billing City]], ", ", Table1[[#This Row],[Billing State/Province]], ", ", Table1[[#This Row],[Billing Zip/Postal Code]])</f>
        <v>223 Monroe St, Oconto Falls, WI, 54154-0070</v>
      </c>
    </row>
    <row r="1253" spans="1:13" ht="15.6" hidden="1" x14ac:dyDescent="0.3">
      <c r="A1253" s="1" t="s">
        <v>4175</v>
      </c>
      <c r="B1253" s="1"/>
      <c r="C1253" s="1"/>
      <c r="D1253" s="1"/>
      <c r="E1253" s="1"/>
      <c r="F1253" s="1"/>
      <c r="G1253" s="1" t="s">
        <v>43</v>
      </c>
      <c r="H1253" s="2">
        <v>5776</v>
      </c>
      <c r="I1253" s="1" t="s">
        <v>13</v>
      </c>
      <c r="J1253" s="1" t="s">
        <v>13</v>
      </c>
      <c r="K1253" s="1" t="s">
        <v>133</v>
      </c>
      <c r="L1253" s="1" t="s">
        <v>13</v>
      </c>
      <c r="M1253" s="6" t="str">
        <f>_xlfn.CONCAT(Table1[[#This Row],[Billing Street]], ", ", Table1[[#This Row],[Billing City]], ", ", Table1[[#This Row],[Billing State/Province]], ", ", Table1[[#This Row],[Billing Zip/Postal Code]])</f>
        <v xml:space="preserve">, , WI, </v>
      </c>
    </row>
    <row r="1254" spans="1:13" ht="15.6" hidden="1" x14ac:dyDescent="0.3">
      <c r="A1254" s="1" t="s">
        <v>4176</v>
      </c>
      <c r="B1254" s="1"/>
      <c r="C1254" s="1"/>
      <c r="D1254" s="1"/>
      <c r="E1254" s="1"/>
      <c r="F1254" s="1"/>
      <c r="G1254" s="1" t="s">
        <v>43</v>
      </c>
      <c r="H1254" s="2">
        <v>417</v>
      </c>
      <c r="I1254" s="1" t="s">
        <v>4177</v>
      </c>
      <c r="J1254" s="1" t="s">
        <v>4178</v>
      </c>
      <c r="K1254" s="1" t="s">
        <v>133</v>
      </c>
      <c r="L1254" s="1" t="s">
        <v>4179</v>
      </c>
      <c r="M1254" s="6" t="str">
        <f>_xlfn.CONCAT(Table1[[#This Row],[Billing Street]], ", ", Table1[[#This Row],[Billing City]], ", ", Table1[[#This Row],[Billing State/Province]], ", ", Table1[[#This Row],[Billing Zip/Postal Code]])</f>
        <v>1425 Corporate Center Drive, Sun Prairie, WI, 53590-9109</v>
      </c>
    </row>
    <row r="1255" spans="1:13" ht="15.6" hidden="1" x14ac:dyDescent="0.3">
      <c r="A1255" s="1" t="s">
        <v>4180</v>
      </c>
      <c r="B1255" s="1"/>
      <c r="C1255" s="1"/>
      <c r="D1255" s="1"/>
      <c r="E1255" s="1"/>
      <c r="F1255" s="1"/>
      <c r="G1255" s="1" t="s">
        <v>43</v>
      </c>
      <c r="H1255" s="2">
        <v>415</v>
      </c>
      <c r="I1255" s="1" t="s">
        <v>4181</v>
      </c>
      <c r="J1255" s="1" t="s">
        <v>338</v>
      </c>
      <c r="K1255" s="1" t="s">
        <v>133</v>
      </c>
      <c r="L1255" s="1" t="s">
        <v>4182</v>
      </c>
      <c r="M1255" s="6" t="str">
        <f>_xlfn.CONCAT(Table1[[#This Row],[Billing Street]], ", ", Table1[[#This Row],[Billing City]], ", ", Table1[[#This Row],[Billing State/Province]], ", ", Table1[[#This Row],[Billing Zip/Postal Code]])</f>
        <v>31 S Madison St, Evansville, WI, 53536</v>
      </c>
    </row>
    <row r="1256" spans="1:13" ht="15.6" hidden="1" x14ac:dyDescent="0.3">
      <c r="A1256" s="1" t="s">
        <v>4183</v>
      </c>
      <c r="B1256" s="1"/>
      <c r="C1256" s="1"/>
      <c r="D1256" s="1"/>
      <c r="E1256" s="1"/>
      <c r="F1256" s="1"/>
      <c r="G1256" s="1" t="s">
        <v>43</v>
      </c>
      <c r="H1256" s="2">
        <v>428</v>
      </c>
      <c r="I1256" s="1" t="s">
        <v>4184</v>
      </c>
      <c r="J1256" s="1" t="s">
        <v>4185</v>
      </c>
      <c r="K1256" s="1" t="s">
        <v>133</v>
      </c>
      <c r="L1256" s="1" t="s">
        <v>4186</v>
      </c>
      <c r="M1256" s="6" t="str">
        <f>_xlfn.CONCAT(Table1[[#This Row],[Billing Street]], ", ", Table1[[#This Row],[Billing City]], ", ", Table1[[#This Row],[Billing State/Province]], ", ", Table1[[#This Row],[Billing Zip/Postal Code]])</f>
        <v>322 Moravian Valley Road, Waunakee, WI, 53597-0070</v>
      </c>
    </row>
    <row r="1257" spans="1:13" ht="15.6" hidden="1" x14ac:dyDescent="0.3">
      <c r="A1257" s="1" t="s">
        <v>4187</v>
      </c>
      <c r="B1257" s="1"/>
      <c r="C1257" s="1"/>
      <c r="D1257" s="1"/>
      <c r="E1257" s="1"/>
      <c r="F1257" s="1"/>
      <c r="G1257" s="1" t="s">
        <v>43</v>
      </c>
      <c r="H1257" s="2">
        <v>473</v>
      </c>
      <c r="I1257" s="1" t="s">
        <v>4188</v>
      </c>
      <c r="J1257" s="1" t="s">
        <v>4189</v>
      </c>
      <c r="K1257" s="1" t="s">
        <v>133</v>
      </c>
      <c r="L1257" s="1" t="s">
        <v>4190</v>
      </c>
      <c r="M1257" s="6" t="str">
        <f>_xlfn.CONCAT(Table1[[#This Row],[Billing Street]], ", ", Table1[[#This Row],[Billing City]], ", ", Table1[[#This Row],[Billing State/Province]], ", ", Table1[[#This Row],[Billing Zip/Postal Code]])</f>
        <v>221 16th Street S., Wisconsin Rapids, WI, 54494</v>
      </c>
    </row>
    <row r="1258" spans="1:13" ht="15.6" hidden="1" x14ac:dyDescent="0.3">
      <c r="A1258" s="1" t="s">
        <v>4191</v>
      </c>
      <c r="B1258" s="1"/>
      <c r="C1258" s="1"/>
      <c r="D1258" s="1"/>
      <c r="E1258" s="1"/>
      <c r="F1258" s="1"/>
      <c r="G1258" s="1" t="s">
        <v>43</v>
      </c>
      <c r="H1258" s="2">
        <v>497</v>
      </c>
      <c r="I1258" s="1" t="s">
        <v>4192</v>
      </c>
      <c r="J1258" s="1" t="s">
        <v>319</v>
      </c>
      <c r="K1258" s="1" t="s">
        <v>133</v>
      </c>
      <c r="L1258" s="1" t="s">
        <v>4193</v>
      </c>
      <c r="M1258" s="6" t="str">
        <f>_xlfn.CONCAT(Table1[[#This Row],[Billing Street]], ", ", Table1[[#This Row],[Billing City]], ", ", Table1[[#This Row],[Billing State/Province]], ", ", Table1[[#This Row],[Billing Zip/Postal Code]])</f>
        <v>2000 S. Central Avenue, Marshfield, WI, 54449</v>
      </c>
    </row>
    <row r="1259" spans="1:13" ht="15.6" hidden="1" x14ac:dyDescent="0.3">
      <c r="A1259" s="1" t="s">
        <v>4194</v>
      </c>
      <c r="B1259" s="1"/>
      <c r="C1259" s="1"/>
      <c r="D1259" s="1"/>
      <c r="E1259" s="1"/>
      <c r="F1259" s="1"/>
      <c r="G1259" s="1" t="s">
        <v>43</v>
      </c>
      <c r="H1259" s="2">
        <v>5776</v>
      </c>
      <c r="I1259" s="1" t="s">
        <v>13</v>
      </c>
      <c r="J1259" s="1" t="s">
        <v>13</v>
      </c>
      <c r="K1259" s="1" t="s">
        <v>133</v>
      </c>
      <c r="L1259" s="1" t="s">
        <v>13</v>
      </c>
      <c r="M1259" s="6" t="str">
        <f>_xlfn.CONCAT(Table1[[#This Row],[Billing Street]], ", ", Table1[[#This Row],[Billing City]], ", ", Table1[[#This Row],[Billing State/Province]], ", ", Table1[[#This Row],[Billing Zip/Postal Code]])</f>
        <v xml:space="preserve">, , WI, </v>
      </c>
    </row>
    <row r="1260" spans="1:13" ht="15.6" hidden="1" x14ac:dyDescent="0.3">
      <c r="A1260" s="1" t="s">
        <v>4195</v>
      </c>
      <c r="B1260" s="1"/>
      <c r="C1260" s="1"/>
      <c r="D1260" s="1"/>
      <c r="E1260" s="1"/>
      <c r="F1260" s="1"/>
      <c r="G1260" s="1" t="s">
        <v>43</v>
      </c>
      <c r="H1260" s="2">
        <v>5776</v>
      </c>
      <c r="I1260" s="1" t="s">
        <v>13</v>
      </c>
      <c r="J1260" s="1" t="s">
        <v>13</v>
      </c>
      <c r="K1260" s="1" t="s">
        <v>133</v>
      </c>
      <c r="L1260" s="1" t="s">
        <v>13</v>
      </c>
      <c r="M1260" s="6" t="str">
        <f>_xlfn.CONCAT(Table1[[#This Row],[Billing Street]], ", ", Table1[[#This Row],[Billing City]], ", ", Table1[[#This Row],[Billing State/Province]], ", ", Table1[[#This Row],[Billing Zip/Postal Code]])</f>
        <v xml:space="preserve">, , WI, </v>
      </c>
    </row>
    <row r="1261" spans="1:13" ht="15.6" hidden="1" x14ac:dyDescent="0.3">
      <c r="A1261" s="1" t="s">
        <v>4196</v>
      </c>
      <c r="B1261" s="1"/>
      <c r="C1261" s="1"/>
      <c r="D1261" s="1"/>
      <c r="E1261" s="1"/>
      <c r="F1261" s="1"/>
      <c r="G1261" s="1" t="s">
        <v>43</v>
      </c>
      <c r="H1261" s="2">
        <v>5776</v>
      </c>
      <c r="I1261" s="1" t="s">
        <v>13</v>
      </c>
      <c r="J1261" s="1" t="s">
        <v>13</v>
      </c>
      <c r="K1261" s="1" t="s">
        <v>133</v>
      </c>
      <c r="L1261" s="1" t="s">
        <v>13</v>
      </c>
      <c r="M1261" s="6" t="str">
        <f>_xlfn.CONCAT(Table1[[#This Row],[Billing Street]], ", ", Table1[[#This Row],[Billing City]], ", ", Table1[[#This Row],[Billing State/Province]], ", ", Table1[[#This Row],[Billing Zip/Postal Code]])</f>
        <v xml:space="preserve">, , WI, </v>
      </c>
    </row>
    <row r="1262" spans="1:13" ht="15.6" hidden="1" x14ac:dyDescent="0.3">
      <c r="A1262" s="1" t="s">
        <v>4197</v>
      </c>
      <c r="B1262" s="1"/>
      <c r="C1262" s="1"/>
      <c r="D1262" s="1"/>
      <c r="E1262" s="1"/>
      <c r="F1262" s="1"/>
      <c r="G1262" s="1" t="s">
        <v>43</v>
      </c>
      <c r="H1262" s="2">
        <v>428</v>
      </c>
      <c r="I1262" s="1" t="s">
        <v>4198</v>
      </c>
      <c r="J1262" s="1" t="s">
        <v>4199</v>
      </c>
      <c r="K1262" s="1" t="s">
        <v>133</v>
      </c>
      <c r="L1262" s="1" t="s">
        <v>4200</v>
      </c>
      <c r="M1262" s="6" t="str">
        <f>_xlfn.CONCAT(Table1[[#This Row],[Billing Street]], ", ", Table1[[#This Row],[Billing City]], ", ", Table1[[#This Row],[Billing State/Province]], ", ", Table1[[#This Row],[Billing Zip/Postal Code]])</f>
        <v>114 Lake Street, Pardeeville, WI, 53954</v>
      </c>
    </row>
    <row r="1263" spans="1:13" ht="15.6" hidden="1" x14ac:dyDescent="0.3">
      <c r="A1263" s="1" t="s">
        <v>4201</v>
      </c>
      <c r="B1263" s="1"/>
      <c r="C1263" s="1"/>
      <c r="D1263" s="1"/>
      <c r="E1263" s="1"/>
      <c r="F1263" s="1"/>
      <c r="G1263" s="1" t="s">
        <v>43</v>
      </c>
      <c r="H1263" s="2">
        <v>5776</v>
      </c>
      <c r="I1263" s="1" t="s">
        <v>13</v>
      </c>
      <c r="J1263" s="1" t="s">
        <v>13</v>
      </c>
      <c r="K1263" s="1" t="s">
        <v>133</v>
      </c>
      <c r="L1263" s="1" t="s">
        <v>13</v>
      </c>
      <c r="M1263" s="6" t="str">
        <f>_xlfn.CONCAT(Table1[[#This Row],[Billing Street]], ", ", Table1[[#This Row],[Billing City]], ", ", Table1[[#This Row],[Billing State/Province]], ", ", Table1[[#This Row],[Billing Zip/Postal Code]])</f>
        <v xml:space="preserve">, , WI, </v>
      </c>
    </row>
    <row r="1264" spans="1:13" ht="15.6" hidden="1" x14ac:dyDescent="0.3">
      <c r="A1264" s="1" t="s">
        <v>4202</v>
      </c>
      <c r="B1264" s="1"/>
      <c r="C1264" s="1"/>
      <c r="D1264" s="1"/>
      <c r="E1264" s="1"/>
      <c r="F1264" s="1"/>
      <c r="G1264" s="1" t="s">
        <v>43</v>
      </c>
      <c r="H1264" s="2">
        <v>5776</v>
      </c>
      <c r="I1264" s="1" t="s">
        <v>13</v>
      </c>
      <c r="J1264" s="1" t="s">
        <v>13</v>
      </c>
      <c r="K1264" s="1" t="s">
        <v>133</v>
      </c>
      <c r="L1264" s="1" t="s">
        <v>13</v>
      </c>
      <c r="M1264" s="6" t="str">
        <f>_xlfn.CONCAT(Table1[[#This Row],[Billing Street]], ", ", Table1[[#This Row],[Billing City]], ", ", Table1[[#This Row],[Billing State/Province]], ", ", Table1[[#This Row],[Billing Zip/Postal Code]])</f>
        <v xml:space="preserve">, , WI, </v>
      </c>
    </row>
    <row r="1265" spans="1:13" ht="15.6" hidden="1" x14ac:dyDescent="0.3">
      <c r="A1265" s="1" t="s">
        <v>4203</v>
      </c>
      <c r="B1265" s="1"/>
      <c r="C1265" s="1"/>
      <c r="D1265" s="1"/>
      <c r="E1265" s="1"/>
      <c r="F1265" s="1"/>
      <c r="G1265" s="1" t="s">
        <v>43</v>
      </c>
      <c r="H1265" s="2">
        <v>5776</v>
      </c>
      <c r="I1265" s="1" t="s">
        <v>13</v>
      </c>
      <c r="J1265" s="1" t="s">
        <v>13</v>
      </c>
      <c r="K1265" s="1" t="s">
        <v>133</v>
      </c>
      <c r="L1265" s="1" t="s">
        <v>13</v>
      </c>
      <c r="M1265" s="6" t="str">
        <f>_xlfn.CONCAT(Table1[[#This Row],[Billing Street]], ", ", Table1[[#This Row],[Billing City]], ", ", Table1[[#This Row],[Billing State/Province]], ", ", Table1[[#This Row],[Billing Zip/Postal Code]])</f>
        <v xml:space="preserve">, , WI, </v>
      </c>
    </row>
    <row r="1266" spans="1:13" ht="15.6" hidden="1" x14ac:dyDescent="0.3">
      <c r="A1266" s="1" t="s">
        <v>4204</v>
      </c>
      <c r="B1266" s="1"/>
      <c r="C1266" s="1"/>
      <c r="D1266" s="1"/>
      <c r="E1266" s="1"/>
      <c r="F1266" s="1"/>
      <c r="G1266" s="1" t="s">
        <v>43</v>
      </c>
      <c r="H1266" s="2">
        <v>5776</v>
      </c>
      <c r="I1266" s="1" t="s">
        <v>13</v>
      </c>
      <c r="J1266" s="1" t="s">
        <v>13</v>
      </c>
      <c r="K1266" s="1" t="s">
        <v>133</v>
      </c>
      <c r="L1266" s="1" t="s">
        <v>13</v>
      </c>
      <c r="M1266" s="6" t="str">
        <f>_xlfn.CONCAT(Table1[[#This Row],[Billing Street]], ", ", Table1[[#This Row],[Billing City]], ", ", Table1[[#This Row],[Billing State/Province]], ", ", Table1[[#This Row],[Billing Zip/Postal Code]])</f>
        <v xml:space="preserve">, , WI, </v>
      </c>
    </row>
    <row r="1267" spans="1:13" ht="15.6" hidden="1" x14ac:dyDescent="0.3">
      <c r="A1267" s="1" t="s">
        <v>4205</v>
      </c>
      <c r="B1267" s="1"/>
      <c r="C1267" s="1"/>
      <c r="D1267" s="1"/>
      <c r="E1267" s="1"/>
      <c r="F1267" s="1"/>
      <c r="G1267" s="1" t="s">
        <v>43</v>
      </c>
      <c r="H1267" s="2">
        <v>5776</v>
      </c>
      <c r="I1267" s="1" t="s">
        <v>13</v>
      </c>
      <c r="J1267" s="1" t="s">
        <v>13</v>
      </c>
      <c r="K1267" s="1" t="s">
        <v>133</v>
      </c>
      <c r="L1267" s="1" t="s">
        <v>13</v>
      </c>
      <c r="M1267" s="6" t="str">
        <f>_xlfn.CONCAT(Table1[[#This Row],[Billing Street]], ", ", Table1[[#This Row],[Billing City]], ", ", Table1[[#This Row],[Billing State/Province]], ", ", Table1[[#This Row],[Billing Zip/Postal Code]])</f>
        <v xml:space="preserve">, , WI, </v>
      </c>
    </row>
    <row r="1268" spans="1:13" ht="15.6" hidden="1" x14ac:dyDescent="0.3">
      <c r="A1268" s="1" t="s">
        <v>4206</v>
      </c>
      <c r="B1268" s="1"/>
      <c r="C1268" s="1"/>
      <c r="D1268" s="1"/>
      <c r="E1268" s="1"/>
      <c r="F1268" s="1"/>
      <c r="G1268" s="1" t="s">
        <v>43</v>
      </c>
      <c r="H1268" s="2">
        <v>5776</v>
      </c>
      <c r="I1268" s="1" t="s">
        <v>13</v>
      </c>
      <c r="J1268" s="1" t="s">
        <v>13</v>
      </c>
      <c r="K1268" s="1" t="s">
        <v>133</v>
      </c>
      <c r="L1268" s="1" t="s">
        <v>13</v>
      </c>
      <c r="M1268" s="6" t="str">
        <f>_xlfn.CONCAT(Table1[[#This Row],[Billing Street]], ", ", Table1[[#This Row],[Billing City]], ", ", Table1[[#This Row],[Billing State/Province]], ", ", Table1[[#This Row],[Billing Zip/Postal Code]])</f>
        <v xml:space="preserve">, , WI, </v>
      </c>
    </row>
    <row r="1269" spans="1:13" ht="15.6" hidden="1" x14ac:dyDescent="0.3">
      <c r="A1269" s="1" t="s">
        <v>4207</v>
      </c>
      <c r="B1269" s="1"/>
      <c r="C1269" s="1"/>
      <c r="D1269" s="1"/>
      <c r="E1269" s="1"/>
      <c r="F1269" s="1"/>
      <c r="G1269" s="1" t="s">
        <v>43</v>
      </c>
      <c r="H1269" s="2">
        <v>5776</v>
      </c>
      <c r="I1269" s="1" t="s">
        <v>13</v>
      </c>
      <c r="J1269" s="1" t="s">
        <v>13</v>
      </c>
      <c r="K1269" s="1" t="s">
        <v>133</v>
      </c>
      <c r="L1269" s="1" t="s">
        <v>13</v>
      </c>
      <c r="M1269" s="6" t="str">
        <f>_xlfn.CONCAT(Table1[[#This Row],[Billing Street]], ", ", Table1[[#This Row],[Billing City]], ", ", Table1[[#This Row],[Billing State/Province]], ", ", Table1[[#This Row],[Billing Zip/Postal Code]])</f>
        <v xml:space="preserve">, , WI, </v>
      </c>
    </row>
    <row r="1270" spans="1:13" ht="15.6" hidden="1" x14ac:dyDescent="0.3">
      <c r="A1270" s="1" t="s">
        <v>4208</v>
      </c>
      <c r="B1270" s="1"/>
      <c r="C1270" s="1"/>
      <c r="D1270" s="1"/>
      <c r="E1270" s="1"/>
      <c r="F1270" s="1"/>
      <c r="G1270" s="1" t="s">
        <v>43</v>
      </c>
      <c r="H1270" s="2">
        <v>5776</v>
      </c>
      <c r="I1270" s="1" t="s">
        <v>13</v>
      </c>
      <c r="J1270" s="1" t="s">
        <v>13</v>
      </c>
      <c r="K1270" s="1" t="s">
        <v>133</v>
      </c>
      <c r="L1270" s="1" t="s">
        <v>13</v>
      </c>
      <c r="M1270" s="6" t="str">
        <f>_xlfn.CONCAT(Table1[[#This Row],[Billing Street]], ", ", Table1[[#This Row],[Billing City]], ", ", Table1[[#This Row],[Billing State/Province]], ", ", Table1[[#This Row],[Billing Zip/Postal Code]])</f>
        <v xml:space="preserve">, , WI, </v>
      </c>
    </row>
    <row r="1271" spans="1:13" ht="15.6" hidden="1" x14ac:dyDescent="0.3">
      <c r="A1271" s="1" t="s">
        <v>4209</v>
      </c>
      <c r="B1271" s="1"/>
      <c r="C1271" s="1"/>
      <c r="D1271" s="1"/>
      <c r="E1271" s="1"/>
      <c r="F1271" s="1"/>
      <c r="G1271" s="1" t="s">
        <v>43</v>
      </c>
      <c r="H1271" s="2">
        <v>5776</v>
      </c>
      <c r="I1271" s="1" t="s">
        <v>13</v>
      </c>
      <c r="J1271" s="1" t="s">
        <v>13</v>
      </c>
      <c r="K1271" s="1" t="s">
        <v>133</v>
      </c>
      <c r="L1271" s="1" t="s">
        <v>13</v>
      </c>
      <c r="M1271" s="6" t="str">
        <f>_xlfn.CONCAT(Table1[[#This Row],[Billing Street]], ", ", Table1[[#This Row],[Billing City]], ", ", Table1[[#This Row],[Billing State/Province]], ", ", Table1[[#This Row],[Billing Zip/Postal Code]])</f>
        <v xml:space="preserve">, , WI, </v>
      </c>
    </row>
    <row r="1272" spans="1:13" ht="15.6" hidden="1" x14ac:dyDescent="0.3">
      <c r="A1272" s="1" t="s">
        <v>4210</v>
      </c>
      <c r="B1272" s="1"/>
      <c r="C1272" s="1"/>
      <c r="D1272" s="1"/>
      <c r="E1272" s="1"/>
      <c r="F1272" s="1"/>
      <c r="G1272" s="1" t="s">
        <v>8</v>
      </c>
      <c r="H1272" s="2">
        <v>613</v>
      </c>
      <c r="I1272" s="1" t="s">
        <v>4211</v>
      </c>
      <c r="J1272" s="1" t="s">
        <v>4212</v>
      </c>
      <c r="K1272" s="1" t="s">
        <v>410</v>
      </c>
      <c r="L1272" s="1" t="s">
        <v>4213</v>
      </c>
      <c r="M1272" s="6" t="str">
        <f>_xlfn.CONCAT(Table1[[#This Row],[Billing Street]], ", ", Table1[[#This Row],[Billing City]], ", ", Table1[[#This Row],[Billing State/Province]], ", ", Table1[[#This Row],[Billing Zip/Postal Code]])</f>
        <v>3951 U.S. Hwy. 20, Box 697, Lusk, WY, 82225</v>
      </c>
    </row>
    <row r="1273" spans="1:13" ht="15.6" hidden="1" x14ac:dyDescent="0.3">
      <c r="A1273" s="1" t="s">
        <v>4214</v>
      </c>
      <c r="B1273" s="1"/>
      <c r="C1273" s="1"/>
      <c r="D1273" s="1"/>
      <c r="E1273" s="1"/>
      <c r="F1273" s="1"/>
      <c r="G1273" s="1" t="s">
        <v>8</v>
      </c>
      <c r="H1273" s="2">
        <v>606</v>
      </c>
      <c r="I1273" s="1" t="s">
        <v>4215</v>
      </c>
      <c r="J1273" s="1" t="s">
        <v>4216</v>
      </c>
      <c r="K1273" s="1" t="s">
        <v>410</v>
      </c>
      <c r="L1273" s="1" t="s">
        <v>4217</v>
      </c>
      <c r="M1273" s="6" t="str">
        <f>_xlfn.CONCAT(Table1[[#This Row],[Billing Street]], ", ", Table1[[#This Row],[Billing City]], ", ", Table1[[#This Row],[Billing State/Province]], ", ", Table1[[#This Row],[Billing Zip/Postal Code]])</f>
        <v>2154 South Road, Wheatland, WY, 82201</v>
      </c>
    </row>
    <row r="1274" spans="1:13" ht="15.6" hidden="1" x14ac:dyDescent="0.3">
      <c r="A1274" s="1" t="s">
        <v>4218</v>
      </c>
      <c r="B1274" s="1"/>
      <c r="C1274" s="1"/>
      <c r="D1274" s="1"/>
      <c r="E1274" s="1"/>
      <c r="F1274" s="1"/>
      <c r="G1274" s="1" t="s">
        <v>8</v>
      </c>
      <c r="H1274" s="2">
        <v>606</v>
      </c>
      <c r="I1274" s="1" t="s">
        <v>4219</v>
      </c>
      <c r="J1274" s="1" t="s">
        <v>4216</v>
      </c>
      <c r="K1274" s="1" t="s">
        <v>410</v>
      </c>
      <c r="L1274" s="1" t="s">
        <v>4217</v>
      </c>
      <c r="M1274" s="6" t="str">
        <f>_xlfn.CONCAT(Table1[[#This Row],[Billing Street]], ", ", Table1[[#This Row],[Billing City]], ", ", Table1[[#This Row],[Billing State/Province]], ", ", Table1[[#This Row],[Billing Zip/Postal Code]])</f>
        <v>600-9th St, Wheatland, WY, 82201</v>
      </c>
    </row>
    <row r="1275" spans="1:13" ht="15.6" hidden="1" x14ac:dyDescent="0.3">
      <c r="A1275" s="1" t="s">
        <v>4220</v>
      </c>
      <c r="B1275" s="1"/>
      <c r="C1275" s="1"/>
      <c r="D1275" s="1"/>
      <c r="E1275" s="1"/>
      <c r="F1275" s="1"/>
      <c r="G1275" s="1" t="s">
        <v>13</v>
      </c>
      <c r="H1275" s="2">
        <v>0</v>
      </c>
      <c r="I1275" s="1" t="s">
        <v>13</v>
      </c>
      <c r="J1275" s="1" t="s">
        <v>13</v>
      </c>
      <c r="K1275" s="1" t="s">
        <v>13</v>
      </c>
      <c r="L1275" s="1" t="s">
        <v>13</v>
      </c>
      <c r="M1275" s="6" t="str">
        <f>_xlfn.CONCAT(Table1[[#This Row],[Billing Street]], ", ", Table1[[#This Row],[Billing City]], ", ", Table1[[#This Row],[Billing State/Province]], ", ", Table1[[#This Row],[Billing Zip/Postal Code]])</f>
        <v xml:space="preserve">, , , </v>
      </c>
    </row>
    <row r="1276" spans="1:13" ht="15.6" hidden="1" x14ac:dyDescent="0.3">
      <c r="A1276" s="1" t="s">
        <v>4221</v>
      </c>
      <c r="B1276" s="1"/>
      <c r="C1276" s="1"/>
      <c r="D1276" s="1"/>
      <c r="E1276" s="1"/>
      <c r="F1276" s="1"/>
      <c r="G1276" s="1" t="s">
        <v>13</v>
      </c>
      <c r="H1276" s="2">
        <v>0</v>
      </c>
      <c r="I1276" s="1" t="s">
        <v>13</v>
      </c>
      <c r="J1276" s="1" t="s">
        <v>13</v>
      </c>
      <c r="K1276" s="1" t="s">
        <v>13</v>
      </c>
      <c r="L1276" s="1" t="s">
        <v>13</v>
      </c>
      <c r="M1276" s="6" t="str">
        <f>_xlfn.CONCAT(Table1[[#This Row],[Billing Street]], ", ", Table1[[#This Row],[Billing City]], ", ", Table1[[#This Row],[Billing State/Province]], ", ", Table1[[#This Row],[Billing Zip/Postal Code]])</f>
        <v xml:space="preserve">, , , </v>
      </c>
    </row>
    <row r="1277" spans="1:13" ht="15.6" hidden="1" x14ac:dyDescent="0.3">
      <c r="A1277" s="1" t="s">
        <v>4222</v>
      </c>
      <c r="B1277" s="1"/>
      <c r="C1277" s="1"/>
      <c r="D1277" s="1"/>
      <c r="E1277" s="1"/>
      <c r="F1277" s="1"/>
      <c r="G1277" s="1" t="s">
        <v>13</v>
      </c>
      <c r="H1277" s="2">
        <v>0</v>
      </c>
      <c r="I1277" s="1" t="s">
        <v>13</v>
      </c>
      <c r="J1277" s="1" t="s">
        <v>13</v>
      </c>
      <c r="K1277" s="1" t="s">
        <v>13</v>
      </c>
      <c r="L1277" s="1" t="s">
        <v>13</v>
      </c>
      <c r="M1277" s="6" t="str">
        <f>_xlfn.CONCAT(Table1[[#This Row],[Billing Street]], ", ", Table1[[#This Row],[Billing City]], ", ", Table1[[#This Row],[Billing State/Province]], ", ", Table1[[#This Row],[Billing Zip/Postal Code]])</f>
        <v xml:space="preserve">, , , </v>
      </c>
    </row>
    <row r="1278" spans="1:13" ht="15.6" hidden="1" x14ac:dyDescent="0.3">
      <c r="A1278" s="1" t="s">
        <v>4223</v>
      </c>
      <c r="B1278" s="1"/>
      <c r="C1278" s="1"/>
      <c r="D1278" s="1"/>
      <c r="E1278" s="1"/>
      <c r="F1278" s="1"/>
      <c r="G1278" s="1" t="s">
        <v>13</v>
      </c>
      <c r="H1278" s="2">
        <v>0</v>
      </c>
      <c r="I1278" s="1" t="s">
        <v>13</v>
      </c>
      <c r="J1278" s="1" t="s">
        <v>13</v>
      </c>
      <c r="K1278" s="1" t="s">
        <v>13</v>
      </c>
      <c r="L1278" s="1" t="s">
        <v>13</v>
      </c>
      <c r="M1278" s="6" t="str">
        <f>_xlfn.CONCAT(Table1[[#This Row],[Billing Street]], ", ", Table1[[#This Row],[Billing City]], ", ", Table1[[#This Row],[Billing State/Province]], ", ", Table1[[#This Row],[Billing Zip/Postal Code]])</f>
        <v xml:space="preserve">, , , </v>
      </c>
    </row>
    <row r="1279" spans="1:13" ht="15.6" hidden="1" x14ac:dyDescent="0.3">
      <c r="A1279" s="1" t="s">
        <v>4224</v>
      </c>
      <c r="B1279" s="1"/>
      <c r="C1279" s="1"/>
      <c r="D1279" s="1"/>
      <c r="E1279" s="1"/>
      <c r="F1279" s="1"/>
      <c r="G1279" s="1" t="s">
        <v>13</v>
      </c>
      <c r="H1279" s="2">
        <v>0</v>
      </c>
      <c r="I1279" s="1" t="s">
        <v>13</v>
      </c>
      <c r="J1279" s="1" t="s">
        <v>13</v>
      </c>
      <c r="K1279" s="1" t="s">
        <v>13</v>
      </c>
      <c r="L1279" s="1" t="s">
        <v>13</v>
      </c>
      <c r="M1279" s="6" t="str">
        <f>_xlfn.CONCAT(Table1[[#This Row],[Billing Street]], ", ", Table1[[#This Row],[Billing City]], ", ", Table1[[#This Row],[Billing State/Province]], ", ", Table1[[#This Row],[Billing Zip/Postal Code]])</f>
        <v xml:space="preserve">, , , </v>
      </c>
    </row>
    <row r="1280" spans="1:13" ht="15.6" hidden="1" x14ac:dyDescent="0.3">
      <c r="A1280" s="1" t="s">
        <v>4225</v>
      </c>
      <c r="B1280" s="1"/>
      <c r="C1280" s="1"/>
      <c r="D1280" s="1"/>
      <c r="E1280" s="1"/>
      <c r="F1280" s="1"/>
      <c r="G1280" s="1" t="s">
        <v>13</v>
      </c>
      <c r="H1280" s="2">
        <v>0</v>
      </c>
      <c r="I1280" s="1" t="s">
        <v>13</v>
      </c>
      <c r="J1280" s="1" t="s">
        <v>4226</v>
      </c>
      <c r="K1280" s="1" t="s">
        <v>13</v>
      </c>
      <c r="L1280" s="1" t="s">
        <v>133</v>
      </c>
      <c r="M1280" s="6" t="str">
        <f>_xlfn.CONCAT(Table1[[#This Row],[Billing Street]], ", ", Table1[[#This Row],[Billing City]], ", ", Table1[[#This Row],[Billing State/Province]], ", ", Table1[[#This Row],[Billing Zip/Postal Code]])</f>
        <v>, New Berlin, , WI</v>
      </c>
    </row>
    <row r="1281" spans="1:13" ht="15.6" hidden="1" x14ac:dyDescent="0.3">
      <c r="A1281" s="1" t="s">
        <v>4227</v>
      </c>
      <c r="B1281" s="1"/>
      <c r="C1281" s="1"/>
      <c r="D1281" s="1"/>
      <c r="E1281" s="1"/>
      <c r="F1281" s="1"/>
      <c r="G1281" s="1" t="s">
        <v>13</v>
      </c>
      <c r="H1281" s="2">
        <v>0</v>
      </c>
      <c r="I1281" s="1" t="s">
        <v>13</v>
      </c>
      <c r="J1281" s="1" t="s">
        <v>13</v>
      </c>
      <c r="K1281" s="1" t="s">
        <v>13</v>
      </c>
      <c r="L1281" s="1" t="s">
        <v>13</v>
      </c>
      <c r="M1281" s="6" t="str">
        <f>_xlfn.CONCAT(Table1[[#This Row],[Billing Street]], ", ", Table1[[#This Row],[Billing City]], ", ", Table1[[#This Row],[Billing State/Province]], ", ", Table1[[#This Row],[Billing Zip/Postal Code]])</f>
        <v xml:space="preserve">, , , </v>
      </c>
    </row>
    <row r="1282" spans="1:13" ht="15.6" hidden="1" x14ac:dyDescent="0.3">
      <c r="A1282" s="1" t="s">
        <v>4228</v>
      </c>
      <c r="B1282" s="1"/>
      <c r="C1282" s="1"/>
      <c r="D1282" s="1"/>
      <c r="E1282" s="1"/>
      <c r="F1282" s="1"/>
      <c r="G1282" s="1" t="s">
        <v>13</v>
      </c>
      <c r="H1282" s="2">
        <v>0</v>
      </c>
      <c r="I1282" s="1" t="s">
        <v>13</v>
      </c>
      <c r="J1282" s="1" t="s">
        <v>13</v>
      </c>
      <c r="K1282" s="1" t="s">
        <v>13</v>
      </c>
      <c r="L1282" s="1" t="s">
        <v>13</v>
      </c>
      <c r="M1282" s="6" t="str">
        <f>_xlfn.CONCAT(Table1[[#This Row],[Billing Street]], ", ", Table1[[#This Row],[Billing City]], ", ", Table1[[#This Row],[Billing State/Province]], ", ", Table1[[#This Row],[Billing Zip/Postal Code]])</f>
        <v xml:space="preserve">, , , </v>
      </c>
    </row>
    <row r="1283" spans="1:13" ht="15.6" hidden="1" x14ac:dyDescent="0.3">
      <c r="A1283" s="1" t="s">
        <v>4229</v>
      </c>
      <c r="B1283" s="1"/>
      <c r="C1283" s="1"/>
      <c r="D1283" s="1"/>
      <c r="E1283" s="1"/>
      <c r="F1283" s="1"/>
      <c r="G1283" s="1" t="s">
        <v>98</v>
      </c>
      <c r="H1283" s="2">
        <v>324</v>
      </c>
      <c r="I1283" s="1" t="s">
        <v>4230</v>
      </c>
      <c r="J1283" s="1" t="s">
        <v>4231</v>
      </c>
      <c r="K1283" s="1" t="s">
        <v>1135</v>
      </c>
      <c r="L1283" s="1" t="s">
        <v>4232</v>
      </c>
      <c r="M1283" s="6" t="str">
        <f>_xlfn.CONCAT(Table1[[#This Row],[Billing Street]], ", ", Table1[[#This Row],[Billing City]], ", ", Table1[[#This Row],[Billing State/Province]], ", ", Table1[[#This Row],[Billing Zip/Postal Code]])</f>
        <v>11625 Hwy 64, Eads, TN, 38028</v>
      </c>
    </row>
    <row r="1284" spans="1:13" ht="15.6" hidden="1" x14ac:dyDescent="0.3">
      <c r="A1284" s="1" t="s">
        <v>4229</v>
      </c>
      <c r="B1284" s="1"/>
      <c r="C1284" s="1"/>
      <c r="D1284" s="1"/>
      <c r="E1284" s="1"/>
      <c r="F1284" s="1"/>
      <c r="G1284" s="1" t="s">
        <v>98</v>
      </c>
      <c r="H1284" s="2">
        <v>324</v>
      </c>
      <c r="I1284" s="1" t="s">
        <v>4230</v>
      </c>
      <c r="J1284" s="1" t="s">
        <v>4233</v>
      </c>
      <c r="K1284" s="1" t="s">
        <v>1135</v>
      </c>
      <c r="L1284" s="1" t="s">
        <v>4232</v>
      </c>
      <c r="M1284" s="6" t="str">
        <f>_xlfn.CONCAT(Table1[[#This Row],[Billing Street]], ", ", Table1[[#This Row],[Billing City]], ", ", Table1[[#This Row],[Billing State/Province]], ", ", Table1[[#This Row],[Billing Zip/Postal Code]])</f>
        <v>11625 Hwy 64, Eads (Memphis), TN, 38028</v>
      </c>
    </row>
    <row r="1285" spans="1:13" ht="15.6" hidden="1" x14ac:dyDescent="0.3">
      <c r="A1285" s="1" t="s">
        <v>4234</v>
      </c>
      <c r="B1285" s="1"/>
      <c r="C1285" s="1"/>
      <c r="D1285" s="1"/>
      <c r="E1285" s="1"/>
      <c r="F1285" s="1"/>
      <c r="G1285" s="1" t="s">
        <v>43</v>
      </c>
      <c r="H1285" s="2">
        <v>390</v>
      </c>
      <c r="I1285" s="1" t="s">
        <v>4235</v>
      </c>
      <c r="J1285" s="1" t="s">
        <v>338</v>
      </c>
      <c r="K1285" s="1" t="s">
        <v>237</v>
      </c>
      <c r="L1285" s="1" t="s">
        <v>4236</v>
      </c>
      <c r="M1285" s="6" t="str">
        <f>_xlfn.CONCAT(Table1[[#This Row],[Billing Street]], ", ", Table1[[#This Row],[Billing City]], ", ", Table1[[#This Row],[Billing State/Province]], ", ", Table1[[#This Row],[Billing Zip/Postal Code]])</f>
        <v>13800 N. Hwy 57, Evansville, IN, 47725</v>
      </c>
    </row>
    <row r="1286" spans="1:13" ht="15.6" hidden="1" x14ac:dyDescent="0.3">
      <c r="A1286" s="1" t="s">
        <v>4237</v>
      </c>
      <c r="B1286" s="1"/>
      <c r="C1286" s="1"/>
      <c r="D1286" s="1"/>
      <c r="E1286" s="1"/>
      <c r="F1286" s="1"/>
      <c r="G1286" s="1" t="s">
        <v>13</v>
      </c>
      <c r="H1286" s="2">
        <v>0</v>
      </c>
      <c r="I1286" s="1" t="s">
        <v>13</v>
      </c>
      <c r="J1286" s="1" t="s">
        <v>13</v>
      </c>
      <c r="K1286" s="1" t="s">
        <v>13</v>
      </c>
      <c r="L1286" s="1" t="s">
        <v>13</v>
      </c>
      <c r="M1286" s="6" t="str">
        <f>_xlfn.CONCAT(Table1[[#This Row],[Billing Street]], ", ", Table1[[#This Row],[Billing City]], ", ", Table1[[#This Row],[Billing State/Province]], ", ", Table1[[#This Row],[Billing Zip/Postal Code]])</f>
        <v xml:space="preserve">, , , </v>
      </c>
    </row>
    <row r="1287" spans="1:13" ht="15.6" hidden="1" x14ac:dyDescent="0.3">
      <c r="A1287" s="1" t="s">
        <v>4238</v>
      </c>
      <c r="B1287" s="1"/>
      <c r="C1287" s="1"/>
      <c r="D1287" s="1"/>
      <c r="E1287" s="1"/>
      <c r="F1287" s="1"/>
      <c r="G1287" s="1" t="s">
        <v>43</v>
      </c>
      <c r="H1287" s="2">
        <v>106</v>
      </c>
      <c r="I1287" s="1" t="s">
        <v>4239</v>
      </c>
      <c r="J1287" s="1" t="s">
        <v>4240</v>
      </c>
      <c r="K1287" s="1" t="s">
        <v>82</v>
      </c>
      <c r="L1287" s="1" t="s">
        <v>4241</v>
      </c>
      <c r="M1287" s="6" t="str">
        <f>_xlfn.CONCAT(Table1[[#This Row],[Billing Street]], ", ", Table1[[#This Row],[Billing City]], ", ", Table1[[#This Row],[Billing State/Province]], ", ", Table1[[#This Row],[Billing Zip/Postal Code]])</f>
        <v>PO Box 152, Newport, MI, 48166</v>
      </c>
    </row>
    <row r="1288" spans="1:13" ht="15.6" hidden="1" x14ac:dyDescent="0.3">
      <c r="A1288" s="1" t="s">
        <v>4242</v>
      </c>
      <c r="B1288" s="1"/>
      <c r="C1288" s="1"/>
      <c r="D1288" s="1"/>
      <c r="E1288" s="1"/>
      <c r="F1288" s="1"/>
      <c r="G1288" s="1" t="s">
        <v>54</v>
      </c>
      <c r="H1288" s="2">
        <v>7813</v>
      </c>
      <c r="I1288" s="1" t="s">
        <v>13</v>
      </c>
      <c r="J1288" s="1" t="s">
        <v>1078</v>
      </c>
      <c r="K1288" s="1" t="s">
        <v>57</v>
      </c>
      <c r="L1288" s="1" t="s">
        <v>13</v>
      </c>
      <c r="M1288" s="6" t="str">
        <f>_xlfn.CONCAT(Table1[[#This Row],[Billing Street]], ", ", Table1[[#This Row],[Billing City]], ", ", Table1[[#This Row],[Billing State/Province]], ", ", Table1[[#This Row],[Billing Zip/Postal Code]])</f>
        <v xml:space="preserve">, Redding, CA, </v>
      </c>
    </row>
    <row r="1289" spans="1:13" ht="15.6" hidden="1" x14ac:dyDescent="0.3">
      <c r="A1289" s="1" t="s">
        <v>4243</v>
      </c>
      <c r="B1289" s="1"/>
      <c r="C1289" s="1"/>
      <c r="D1289" s="1"/>
      <c r="E1289" s="1"/>
      <c r="F1289" s="1"/>
      <c r="G1289" s="1" t="s">
        <v>13</v>
      </c>
      <c r="H1289" s="2">
        <v>0</v>
      </c>
      <c r="I1289" s="1" t="s">
        <v>13</v>
      </c>
      <c r="J1289" s="1" t="s">
        <v>13</v>
      </c>
      <c r="K1289" s="1" t="s">
        <v>13</v>
      </c>
      <c r="L1289" s="1" t="s">
        <v>13</v>
      </c>
      <c r="M1289" s="6" t="str">
        <f>_xlfn.CONCAT(Table1[[#This Row],[Billing Street]], ", ", Table1[[#This Row],[Billing City]], ", ", Table1[[#This Row],[Billing State/Province]], ", ", Table1[[#This Row],[Billing Zip/Postal Code]])</f>
        <v xml:space="preserve">, , , </v>
      </c>
    </row>
    <row r="1290" spans="1:13" ht="15.6" hidden="1" x14ac:dyDescent="0.3">
      <c r="A1290" s="1" t="s">
        <v>4244</v>
      </c>
      <c r="B1290" s="1"/>
      <c r="C1290" s="1"/>
      <c r="D1290" s="1"/>
      <c r="E1290" s="1"/>
      <c r="F1290" s="1"/>
      <c r="G1290" s="1" t="s">
        <v>13</v>
      </c>
      <c r="H1290" s="2">
        <v>0</v>
      </c>
      <c r="I1290" s="1" t="s">
        <v>13</v>
      </c>
      <c r="J1290" s="1" t="s">
        <v>13</v>
      </c>
      <c r="K1290" s="1" t="s">
        <v>13</v>
      </c>
      <c r="L1290" s="1" t="s">
        <v>13</v>
      </c>
      <c r="M1290" s="6" t="str">
        <f>_xlfn.CONCAT(Table1[[#This Row],[Billing Street]], ", ", Table1[[#This Row],[Billing City]], ", ", Table1[[#This Row],[Billing State/Province]], ", ", Table1[[#This Row],[Billing Zip/Postal Code]])</f>
        <v xml:space="preserve">, , , </v>
      </c>
    </row>
    <row r="1291" spans="1:13" ht="15.6" hidden="1" x14ac:dyDescent="0.3">
      <c r="A1291" s="1" t="s">
        <v>4245</v>
      </c>
      <c r="B1291" s="1"/>
      <c r="C1291" s="1"/>
      <c r="D1291" s="1"/>
      <c r="E1291" s="1"/>
      <c r="F1291" s="1"/>
      <c r="G1291" s="1" t="s">
        <v>205</v>
      </c>
      <c r="H1291" s="2">
        <v>457</v>
      </c>
      <c r="I1291" s="1" t="s">
        <v>4246</v>
      </c>
      <c r="J1291" s="1" t="s">
        <v>866</v>
      </c>
      <c r="K1291" s="1" t="s">
        <v>472</v>
      </c>
      <c r="L1291" s="1" t="s">
        <v>867</v>
      </c>
      <c r="M1291" s="6" t="str">
        <f>_xlfn.CONCAT(Table1[[#This Row],[Billing Street]], ", ", Table1[[#This Row],[Billing City]], ", ", Table1[[#This Row],[Billing State/Province]], ", ", Table1[[#This Row],[Billing Zip/Postal Code]])</f>
        <v>428 N  SR 198, Salem, UT, 84653</v>
      </c>
    </row>
    <row r="1292" spans="1:13" ht="15.6" hidden="1" x14ac:dyDescent="0.3">
      <c r="A1292" s="1" t="s">
        <v>4247</v>
      </c>
      <c r="B1292" s="1"/>
      <c r="C1292" s="1"/>
      <c r="D1292" s="1"/>
      <c r="E1292" s="1"/>
      <c r="F1292" s="1"/>
      <c r="G1292" s="1" t="s">
        <v>43</v>
      </c>
      <c r="H1292" s="2">
        <v>5776</v>
      </c>
      <c r="I1292" s="1" t="s">
        <v>13</v>
      </c>
      <c r="J1292" s="1" t="s">
        <v>13</v>
      </c>
      <c r="K1292" s="1" t="s">
        <v>133</v>
      </c>
      <c r="L1292" s="1" t="s">
        <v>13</v>
      </c>
      <c r="M1292" s="6" t="str">
        <f>_xlfn.CONCAT(Table1[[#This Row],[Billing Street]], ", ", Table1[[#This Row],[Billing City]], ", ", Table1[[#This Row],[Billing State/Province]], ", ", Table1[[#This Row],[Billing Zip/Postal Code]])</f>
        <v xml:space="preserve">, , WI, </v>
      </c>
    </row>
    <row r="1293" spans="1:13" ht="15.6" hidden="1" x14ac:dyDescent="0.3">
      <c r="A1293" s="1" t="s">
        <v>4248</v>
      </c>
      <c r="B1293" s="1"/>
      <c r="C1293" s="1"/>
      <c r="D1293" s="1"/>
      <c r="E1293" s="1"/>
      <c r="F1293" s="1"/>
      <c r="G1293" s="1" t="s">
        <v>43</v>
      </c>
      <c r="H1293" s="2">
        <v>5776</v>
      </c>
      <c r="I1293" s="1" t="s">
        <v>13</v>
      </c>
      <c r="J1293" s="1" t="s">
        <v>13</v>
      </c>
      <c r="K1293" s="1" t="s">
        <v>133</v>
      </c>
      <c r="L1293" s="1" t="s">
        <v>13</v>
      </c>
      <c r="M1293" s="6" t="str">
        <f>_xlfn.CONCAT(Table1[[#This Row],[Billing Street]], ", ", Table1[[#This Row],[Billing City]], ", ", Table1[[#This Row],[Billing State/Province]], ", ", Table1[[#This Row],[Billing Zip/Postal Code]])</f>
        <v xml:space="preserve">, , WI, </v>
      </c>
    </row>
    <row r="1294" spans="1:13" ht="15.6" hidden="1" x14ac:dyDescent="0.3">
      <c r="A1294" s="1" t="s">
        <v>4249</v>
      </c>
      <c r="B1294" s="1"/>
      <c r="C1294" s="1"/>
      <c r="D1294" s="1"/>
      <c r="E1294" s="1"/>
      <c r="F1294" s="1"/>
      <c r="G1294" s="1" t="s">
        <v>8</v>
      </c>
      <c r="H1294" s="2">
        <v>514</v>
      </c>
      <c r="I1294" s="1" t="s">
        <v>4250</v>
      </c>
      <c r="J1294" s="1" t="s">
        <v>557</v>
      </c>
      <c r="K1294" s="1" t="s">
        <v>51</v>
      </c>
      <c r="L1294" s="1" t="s">
        <v>4251</v>
      </c>
      <c r="M1294" s="6" t="str">
        <f>_xlfn.CONCAT(Table1[[#This Row],[Billing Street]], ", ", Table1[[#This Row],[Billing City]], ", ", Table1[[#This Row],[Billing State/Province]], ", ", Table1[[#This Row],[Billing Zip/Postal Code]])</f>
        <v>80 White Road, Houston, TX, 77047</v>
      </c>
    </row>
    <row r="1295" spans="1:13" ht="15.6" hidden="1" x14ac:dyDescent="0.3">
      <c r="A1295" s="1" t="s">
        <v>4252</v>
      </c>
      <c r="B1295" s="1"/>
      <c r="C1295" s="1"/>
      <c r="D1295" s="1"/>
      <c r="E1295" s="1"/>
      <c r="F1295" s="1"/>
      <c r="G1295" s="1" t="s">
        <v>43</v>
      </c>
      <c r="H1295" s="2">
        <v>5776</v>
      </c>
      <c r="I1295" s="1" t="s">
        <v>13</v>
      </c>
      <c r="J1295" s="1" t="s">
        <v>4253</v>
      </c>
      <c r="K1295" s="1" t="s">
        <v>241</v>
      </c>
      <c r="L1295" s="1" t="s">
        <v>13</v>
      </c>
      <c r="M1295" s="6" t="str">
        <f>_xlfn.CONCAT(Table1[[#This Row],[Billing Street]], ", ", Table1[[#This Row],[Billing City]], ", ", Table1[[#This Row],[Billing State/Province]], ", ", Table1[[#This Row],[Billing Zip/Postal Code]])</f>
        <v xml:space="preserve">, Quakertown, PA, </v>
      </c>
    </row>
    <row r="1296" spans="1:13" ht="15.6" hidden="1" x14ac:dyDescent="0.3">
      <c r="A1296" s="1" t="s">
        <v>4254</v>
      </c>
      <c r="B1296" s="1"/>
      <c r="C1296" s="1"/>
      <c r="D1296" s="1"/>
      <c r="E1296" s="1"/>
      <c r="F1296" s="1"/>
      <c r="G1296" s="1" t="s">
        <v>205</v>
      </c>
      <c r="H1296" s="2">
        <v>2</v>
      </c>
      <c r="I1296" s="1" t="s">
        <v>4255</v>
      </c>
      <c r="J1296" s="1" t="s">
        <v>4256</v>
      </c>
      <c r="K1296" s="1" t="s">
        <v>479</v>
      </c>
      <c r="L1296" s="1" t="s">
        <v>573</v>
      </c>
      <c r="M1296" s="6" t="str">
        <f>_xlfn.CONCAT(Table1[[#This Row],[Billing Street]], ", ", Table1[[#This Row],[Billing City]], ", ", Table1[[#This Row],[Billing State/Province]], ", ", Table1[[#This Row],[Billing Zip/Postal Code]])</f>
        <v>438 West Watkins road, Phx, AZ, 85003</v>
      </c>
    </row>
    <row r="1297" spans="1:13" ht="15.6" hidden="1" x14ac:dyDescent="0.3">
      <c r="A1297" s="1" t="s">
        <v>4257</v>
      </c>
      <c r="B1297" s="1"/>
      <c r="C1297" s="1"/>
      <c r="D1297" s="1"/>
      <c r="E1297" s="1"/>
      <c r="F1297" s="1"/>
      <c r="G1297" s="1" t="s">
        <v>43</v>
      </c>
      <c r="H1297" s="2">
        <v>221</v>
      </c>
      <c r="I1297" s="1" t="s">
        <v>4258</v>
      </c>
      <c r="J1297" s="1" t="s">
        <v>4259</v>
      </c>
      <c r="K1297" s="1" t="s">
        <v>45</v>
      </c>
      <c r="L1297" s="1" t="s">
        <v>4260</v>
      </c>
      <c r="M1297" s="6" t="str">
        <f>_xlfn.CONCAT(Table1[[#This Row],[Billing Street]], ", ", Table1[[#This Row],[Billing City]], ", ", Table1[[#This Row],[Billing State/Province]], ", ", Table1[[#This Row],[Billing Zip/Postal Code]])</f>
        <v>745 US 52, Aberdeen, OH, 45101</v>
      </c>
    </row>
    <row r="1298" spans="1:13" ht="15.6" hidden="1" x14ac:dyDescent="0.3">
      <c r="A1298" s="1" t="s">
        <v>4261</v>
      </c>
      <c r="B1298" s="1"/>
      <c r="C1298" s="1"/>
      <c r="D1298" s="1"/>
      <c r="E1298" s="1"/>
      <c r="F1298" s="1"/>
      <c r="G1298" s="1" t="s">
        <v>205</v>
      </c>
      <c r="H1298" s="2">
        <v>4</v>
      </c>
      <c r="I1298" s="1" t="s">
        <v>4262</v>
      </c>
      <c r="J1298" s="1" t="s">
        <v>4256</v>
      </c>
      <c r="K1298" s="1" t="s">
        <v>2545</v>
      </c>
      <c r="L1298" s="1" t="s">
        <v>4263</v>
      </c>
      <c r="M1298" s="6" t="str">
        <f>_xlfn.CONCAT(Table1[[#This Row],[Billing Street]], ", ", Table1[[#This Row],[Billing City]], ", ", Table1[[#This Row],[Billing State/Province]], ", ", Table1[[#This Row],[Billing Zip/Postal Code]])</f>
        <v>2410 W. Broadway Road, Phx, Az, 85041</v>
      </c>
    </row>
    <row r="1299" spans="1:13" ht="15.6" hidden="1" x14ac:dyDescent="0.3">
      <c r="A1299" s="1" t="s">
        <v>4264</v>
      </c>
      <c r="B1299" s="1"/>
      <c r="C1299" s="1"/>
      <c r="D1299" s="1"/>
      <c r="E1299" s="1"/>
      <c r="F1299" s="1"/>
      <c r="G1299" s="1" t="s">
        <v>205</v>
      </c>
      <c r="H1299" s="2">
        <v>258</v>
      </c>
      <c r="I1299" s="1" t="s">
        <v>4265</v>
      </c>
      <c r="J1299" s="1" t="s">
        <v>4266</v>
      </c>
      <c r="K1299" s="1" t="s">
        <v>1695</v>
      </c>
      <c r="L1299" s="1" t="s">
        <v>4267</v>
      </c>
      <c r="M1299" s="6" t="str">
        <f>_xlfn.CONCAT(Table1[[#This Row],[Billing Street]], ", ", Table1[[#This Row],[Billing City]], ", ", Table1[[#This Row],[Billing State/Province]], ", ", Table1[[#This Row],[Billing Zip/Postal Code]])</f>
        <v>3853 Losee Road, Lac Vegas, NV, 89030</v>
      </c>
    </row>
    <row r="1300" spans="1:13" ht="15.6" hidden="1" x14ac:dyDescent="0.3">
      <c r="A1300" s="1" t="s">
        <v>4268</v>
      </c>
      <c r="B1300" s="1"/>
      <c r="C1300" s="1"/>
      <c r="D1300" s="1"/>
      <c r="E1300" s="1"/>
      <c r="F1300" s="1"/>
      <c r="G1300" s="1" t="s">
        <v>13</v>
      </c>
      <c r="H1300" s="2">
        <v>0</v>
      </c>
      <c r="I1300" s="1" t="s">
        <v>13</v>
      </c>
      <c r="J1300" s="1" t="s">
        <v>13</v>
      </c>
      <c r="K1300" s="1" t="s">
        <v>13</v>
      </c>
      <c r="L1300" s="1" t="s">
        <v>13</v>
      </c>
      <c r="M1300" s="6" t="str">
        <f>_xlfn.CONCAT(Table1[[#This Row],[Billing Street]], ", ", Table1[[#This Row],[Billing City]], ", ", Table1[[#This Row],[Billing State/Province]], ", ", Table1[[#This Row],[Billing Zip/Postal Code]])</f>
        <v xml:space="preserve">, , , </v>
      </c>
    </row>
    <row r="1301" spans="1:13" ht="15.6" hidden="1" x14ac:dyDescent="0.3">
      <c r="A1301" s="1" t="s">
        <v>4269</v>
      </c>
      <c r="B1301" s="1"/>
      <c r="C1301" s="1"/>
      <c r="D1301" s="1"/>
      <c r="E1301" s="1"/>
      <c r="F1301" s="1"/>
      <c r="G1301" s="1" t="s">
        <v>205</v>
      </c>
      <c r="H1301" s="2">
        <v>17</v>
      </c>
      <c r="I1301" s="1" t="s">
        <v>4270</v>
      </c>
      <c r="J1301" s="1" t="s">
        <v>4271</v>
      </c>
      <c r="K1301" s="1" t="s">
        <v>2545</v>
      </c>
      <c r="L1301" s="1" t="s">
        <v>4272</v>
      </c>
      <c r="M1301" s="6" t="str">
        <f>_xlfn.CONCAT(Table1[[#This Row],[Billing Street]], ", ", Table1[[#This Row],[Billing City]], ", ", Table1[[#This Row],[Billing State/Province]], ", ", Table1[[#This Row],[Billing Zip/Postal Code]])</f>
        <v>411 E. Frye Road, Chandler, Az, 85225</v>
      </c>
    </row>
    <row r="1302" spans="1:13" ht="15.6" hidden="1" x14ac:dyDescent="0.3">
      <c r="A1302" s="1" t="s">
        <v>4273</v>
      </c>
      <c r="B1302" s="1"/>
      <c r="C1302" s="1"/>
      <c r="D1302" s="1"/>
      <c r="E1302" s="1"/>
      <c r="F1302" s="1"/>
      <c r="G1302" s="1" t="s">
        <v>43</v>
      </c>
      <c r="H1302" s="2">
        <v>388</v>
      </c>
      <c r="I1302" s="1" t="s">
        <v>4274</v>
      </c>
      <c r="J1302" s="1" t="s">
        <v>4275</v>
      </c>
      <c r="K1302" s="1" t="s">
        <v>1191</v>
      </c>
      <c r="L1302" s="1" t="s">
        <v>4276</v>
      </c>
      <c r="M1302" s="6" t="str">
        <f>_xlfn.CONCAT(Table1[[#This Row],[Billing Street]], ", ", Table1[[#This Row],[Billing City]], ", ", Table1[[#This Row],[Billing State/Province]], ", ", Table1[[#This Row],[Billing Zip/Postal Code]])</f>
        <v>1531 East 4th Street, Owensboro, KY, 42303</v>
      </c>
    </row>
    <row r="1303" spans="1:13" ht="15.6" hidden="1" x14ac:dyDescent="0.3">
      <c r="A1303" s="1" t="s">
        <v>4277</v>
      </c>
      <c r="B1303" s="1"/>
      <c r="C1303" s="1"/>
      <c r="D1303" s="1"/>
      <c r="E1303" s="1"/>
      <c r="F1303" s="1"/>
      <c r="G1303" s="1" t="s">
        <v>13</v>
      </c>
      <c r="H1303" s="2">
        <v>0</v>
      </c>
      <c r="I1303" s="1" t="s">
        <v>13</v>
      </c>
      <c r="J1303" s="1" t="s">
        <v>13</v>
      </c>
      <c r="K1303" s="1" t="s">
        <v>13</v>
      </c>
      <c r="L1303" s="1" t="s">
        <v>13</v>
      </c>
      <c r="M1303" s="6" t="str">
        <f>_xlfn.CONCAT(Table1[[#This Row],[Billing Street]], ", ", Table1[[#This Row],[Billing City]], ", ", Table1[[#This Row],[Billing State/Province]], ", ", Table1[[#This Row],[Billing Zip/Postal Code]])</f>
        <v xml:space="preserve">, , , </v>
      </c>
    </row>
    <row r="1304" spans="1:13" ht="15.6" hidden="1" x14ac:dyDescent="0.3">
      <c r="A1304" s="1" t="s">
        <v>4278</v>
      </c>
      <c r="B1304" s="1"/>
      <c r="C1304" s="1"/>
      <c r="D1304" s="1"/>
      <c r="E1304" s="1"/>
      <c r="F1304" s="1"/>
      <c r="G1304" s="1" t="s">
        <v>13</v>
      </c>
      <c r="H1304" s="2">
        <v>0</v>
      </c>
      <c r="I1304" s="1" t="s">
        <v>13</v>
      </c>
      <c r="J1304" s="1" t="s">
        <v>13</v>
      </c>
      <c r="K1304" s="1" t="s">
        <v>13</v>
      </c>
      <c r="L1304" s="1" t="s">
        <v>13</v>
      </c>
      <c r="M1304" s="6" t="str">
        <f>_xlfn.CONCAT(Table1[[#This Row],[Billing Street]], ", ", Table1[[#This Row],[Billing City]], ", ", Table1[[#This Row],[Billing State/Province]], ", ", Table1[[#This Row],[Billing Zip/Postal Code]])</f>
        <v xml:space="preserve">, , , </v>
      </c>
    </row>
    <row r="1305" spans="1:13" ht="15.6" hidden="1" x14ac:dyDescent="0.3">
      <c r="A1305" s="1" t="s">
        <v>4279</v>
      </c>
      <c r="B1305" s="1"/>
      <c r="C1305" s="1"/>
      <c r="D1305" s="1"/>
      <c r="E1305" s="1"/>
      <c r="F1305" s="1"/>
      <c r="G1305" s="1" t="s">
        <v>43</v>
      </c>
      <c r="H1305" s="2">
        <v>5776</v>
      </c>
      <c r="I1305" s="1" t="s">
        <v>13</v>
      </c>
      <c r="J1305" s="1" t="s">
        <v>1356</v>
      </c>
      <c r="K1305" s="1" t="s">
        <v>95</v>
      </c>
      <c r="L1305" s="1" t="s">
        <v>13</v>
      </c>
      <c r="M1305" s="6" t="str">
        <f>_xlfn.CONCAT(Table1[[#This Row],[Billing Street]], ", ", Table1[[#This Row],[Billing City]], ", ", Table1[[#This Row],[Billing State/Province]], ", ", Table1[[#This Row],[Billing Zip/Postal Code]])</f>
        <v xml:space="preserve">, Sutton, MA, </v>
      </c>
    </row>
    <row r="1306" spans="1:13" ht="15.6" hidden="1" x14ac:dyDescent="0.3">
      <c r="A1306" s="1" t="s">
        <v>4280</v>
      </c>
      <c r="B1306" s="1"/>
      <c r="C1306" s="1"/>
      <c r="D1306" s="1"/>
      <c r="E1306" s="1"/>
      <c r="F1306" s="1"/>
      <c r="G1306" s="1" t="s">
        <v>43</v>
      </c>
      <c r="H1306" s="2">
        <v>416</v>
      </c>
      <c r="I1306" s="1" t="s">
        <v>4281</v>
      </c>
      <c r="J1306" s="1" t="s">
        <v>4282</v>
      </c>
      <c r="K1306" s="1" t="s">
        <v>133</v>
      </c>
      <c r="L1306" s="1" t="s">
        <v>4283</v>
      </c>
      <c r="M1306" s="6" t="str">
        <f>_xlfn.CONCAT(Table1[[#This Row],[Billing Street]], ", ", Table1[[#This Row],[Billing City]], ", ", Table1[[#This Row],[Billing State/Province]], ", ", Table1[[#This Row],[Billing Zip/Postal Code]])</f>
        <v>507 19th St, PO Box 227, Brodhead, WI, 53520</v>
      </c>
    </row>
    <row r="1307" spans="1:13" ht="15.6" hidden="1" x14ac:dyDescent="0.3">
      <c r="A1307" s="1" t="s">
        <v>4284</v>
      </c>
      <c r="B1307" s="1"/>
      <c r="C1307" s="1"/>
      <c r="D1307" s="1"/>
      <c r="E1307" s="1"/>
      <c r="F1307" s="1"/>
      <c r="G1307" s="1" t="s">
        <v>43</v>
      </c>
      <c r="H1307" s="2">
        <v>432</v>
      </c>
      <c r="I1307" s="1" t="s">
        <v>4285</v>
      </c>
      <c r="J1307" s="1" t="s">
        <v>4286</v>
      </c>
      <c r="K1307" s="1" t="s">
        <v>133</v>
      </c>
      <c r="L1307" s="1" t="s">
        <v>4287</v>
      </c>
      <c r="M1307" s="6" t="str">
        <f>_xlfn.CONCAT(Table1[[#This Row],[Billing Street]], ", ", Table1[[#This Row],[Billing City]], ", ", Table1[[#This Row],[Billing State/Province]], ", ", Table1[[#This Row],[Billing Zip/Postal Code]])</f>
        <v>319 2nd St,, New Glarus, WI, 53574</v>
      </c>
    </row>
    <row r="1308" spans="1:13" ht="15.6" hidden="1" x14ac:dyDescent="0.3">
      <c r="A1308" s="1" t="s">
        <v>4288</v>
      </c>
      <c r="B1308" s="1"/>
      <c r="C1308" s="1"/>
      <c r="D1308" s="1"/>
      <c r="E1308" s="1"/>
      <c r="F1308" s="1"/>
      <c r="G1308" s="1" t="s">
        <v>13</v>
      </c>
      <c r="H1308" s="2">
        <v>0</v>
      </c>
      <c r="I1308" s="1" t="s">
        <v>13</v>
      </c>
      <c r="J1308" s="1" t="s">
        <v>13</v>
      </c>
      <c r="K1308" s="1" t="s">
        <v>13</v>
      </c>
      <c r="L1308" s="1" t="s">
        <v>13</v>
      </c>
      <c r="M1308" s="6" t="str">
        <f>_xlfn.CONCAT(Table1[[#This Row],[Billing Street]], ", ", Table1[[#This Row],[Billing City]], ", ", Table1[[#This Row],[Billing State/Province]], ", ", Table1[[#This Row],[Billing Zip/Postal Code]])</f>
        <v xml:space="preserve">, , , </v>
      </c>
    </row>
    <row r="1309" spans="1:13" ht="15.6" hidden="1" x14ac:dyDescent="0.3">
      <c r="A1309" s="1" t="s">
        <v>4289</v>
      </c>
      <c r="B1309" s="1"/>
      <c r="C1309" s="1"/>
      <c r="D1309" s="1"/>
      <c r="E1309" s="1"/>
      <c r="F1309" s="1"/>
      <c r="G1309" s="1" t="s">
        <v>13</v>
      </c>
      <c r="H1309" s="2">
        <v>0</v>
      </c>
      <c r="I1309" s="1" t="s">
        <v>13</v>
      </c>
      <c r="J1309" s="1" t="s">
        <v>13</v>
      </c>
      <c r="K1309" s="1" t="s">
        <v>13</v>
      </c>
      <c r="L1309" s="1" t="s">
        <v>13</v>
      </c>
      <c r="M1309" s="6" t="str">
        <f>_xlfn.CONCAT(Table1[[#This Row],[Billing Street]], ", ", Table1[[#This Row],[Billing City]], ", ", Table1[[#This Row],[Billing State/Province]], ", ", Table1[[#This Row],[Billing Zip/Postal Code]])</f>
        <v xml:space="preserve">, , , </v>
      </c>
    </row>
    <row r="1310" spans="1:13" ht="15.6" hidden="1" x14ac:dyDescent="0.3">
      <c r="A1310" s="1" t="s">
        <v>4290</v>
      </c>
      <c r="B1310" s="1"/>
      <c r="C1310" s="1"/>
      <c r="D1310" s="1"/>
      <c r="E1310" s="1"/>
      <c r="F1310" s="1"/>
      <c r="G1310" s="1" t="s">
        <v>13</v>
      </c>
      <c r="H1310" s="2">
        <v>0</v>
      </c>
      <c r="I1310" s="1" t="s">
        <v>13</v>
      </c>
      <c r="J1310" s="1" t="s">
        <v>13</v>
      </c>
      <c r="K1310" s="1" t="s">
        <v>13</v>
      </c>
      <c r="L1310" s="1" t="s">
        <v>13</v>
      </c>
      <c r="M1310" s="6" t="str">
        <f>_xlfn.CONCAT(Table1[[#This Row],[Billing Street]], ", ", Table1[[#This Row],[Billing City]], ", ", Table1[[#This Row],[Billing State/Province]], ", ", Table1[[#This Row],[Billing Zip/Postal Code]])</f>
        <v xml:space="preserve">, , , </v>
      </c>
    </row>
    <row r="1311" spans="1:13" ht="15.6" hidden="1" x14ac:dyDescent="0.3">
      <c r="A1311" s="1" t="s">
        <v>4291</v>
      </c>
      <c r="B1311" s="1"/>
      <c r="C1311" s="1"/>
      <c r="D1311" s="1"/>
      <c r="E1311" s="1"/>
      <c r="F1311" s="1"/>
      <c r="G1311" s="1" t="s">
        <v>13</v>
      </c>
      <c r="H1311" s="2">
        <v>0</v>
      </c>
      <c r="I1311" s="1" t="s">
        <v>13</v>
      </c>
      <c r="J1311" s="1" t="s">
        <v>13</v>
      </c>
      <c r="K1311" s="1" t="s">
        <v>13</v>
      </c>
      <c r="L1311" s="1" t="s">
        <v>13</v>
      </c>
      <c r="M1311" s="6" t="str">
        <f>_xlfn.CONCAT(Table1[[#This Row],[Billing Street]], ", ", Table1[[#This Row],[Billing City]], ", ", Table1[[#This Row],[Billing State/Province]], ", ", Table1[[#This Row],[Billing Zip/Postal Code]])</f>
        <v xml:space="preserve">, , , </v>
      </c>
    </row>
    <row r="1312" spans="1:13" ht="15.6" hidden="1" x14ac:dyDescent="0.3">
      <c r="A1312" s="1" t="s">
        <v>4292</v>
      </c>
      <c r="B1312" s="1"/>
      <c r="C1312" s="1"/>
      <c r="D1312" s="1"/>
      <c r="E1312" s="1"/>
      <c r="F1312" s="1"/>
      <c r="G1312" s="1" t="s">
        <v>13</v>
      </c>
      <c r="H1312" s="2">
        <v>0</v>
      </c>
      <c r="I1312" s="1" t="s">
        <v>4293</v>
      </c>
      <c r="J1312" s="1" t="s">
        <v>4294</v>
      </c>
      <c r="K1312" s="1" t="s">
        <v>13</v>
      </c>
      <c r="L1312" s="1" t="s">
        <v>13</v>
      </c>
      <c r="M1312" s="6" t="str">
        <f>_xlfn.CONCAT(Table1[[#This Row],[Billing Street]], ", ", Table1[[#This Row],[Billing City]], ", ", Table1[[#This Row],[Billing State/Province]], ", ", Table1[[#This Row],[Billing Zip/Postal Code]])</f>
        <v xml:space="preserve">115 Thomson, Iowa, LA 70647, , </v>
      </c>
    </row>
    <row r="1313" spans="1:13" ht="15.6" hidden="1" x14ac:dyDescent="0.3">
      <c r="A1313" s="1" t="s">
        <v>4295</v>
      </c>
      <c r="B1313" s="1"/>
      <c r="C1313" s="1"/>
      <c r="D1313" s="1"/>
      <c r="E1313" s="1"/>
      <c r="F1313" s="1"/>
      <c r="G1313" s="1" t="s">
        <v>43</v>
      </c>
      <c r="H1313" s="2">
        <v>527</v>
      </c>
      <c r="I1313" s="1" t="s">
        <v>4296</v>
      </c>
      <c r="J1313" s="1" t="s">
        <v>4297</v>
      </c>
      <c r="K1313" s="1" t="s">
        <v>95</v>
      </c>
      <c r="L1313" s="1" t="s">
        <v>4298</v>
      </c>
      <c r="M1313" s="6" t="str">
        <f>_xlfn.CONCAT(Table1[[#This Row],[Billing Street]], ", ", Table1[[#This Row],[Billing City]], ", ", Table1[[#This Row],[Billing State/Province]], ", ", Table1[[#This Row],[Billing Zip/Postal Code]])</f>
        <v>25 Industrial Ave, Chelmsford, MA, 1824</v>
      </c>
    </row>
    <row r="1314" spans="1:13" ht="15.6" hidden="1" x14ac:dyDescent="0.3">
      <c r="A1314" s="1" t="s">
        <v>4299</v>
      </c>
      <c r="B1314" s="1"/>
      <c r="C1314" s="1"/>
      <c r="D1314" s="1"/>
      <c r="E1314" s="1"/>
      <c r="F1314" s="1"/>
      <c r="G1314" s="1" t="s">
        <v>8</v>
      </c>
      <c r="H1314" s="2">
        <v>503</v>
      </c>
      <c r="I1314" s="1" t="s">
        <v>4300</v>
      </c>
      <c r="J1314" s="1" t="s">
        <v>4301</v>
      </c>
      <c r="K1314" s="1" t="s">
        <v>208</v>
      </c>
      <c r="L1314" s="1" t="s">
        <v>4302</v>
      </c>
      <c r="M1314" s="6" t="str">
        <f>_xlfn.CONCAT(Table1[[#This Row],[Billing Street]], ", ", Table1[[#This Row],[Billing City]], ", ", Table1[[#This Row],[Billing State/Province]], ", ", Table1[[#This Row],[Billing Zip/Postal Code]])</f>
        <v>14850 Davis Road, Peyton, CO, 80831</v>
      </c>
    </row>
    <row r="1315" spans="1:13" ht="15.6" hidden="1" x14ac:dyDescent="0.3">
      <c r="A1315" s="1" t="s">
        <v>4303</v>
      </c>
      <c r="B1315" s="1"/>
      <c r="C1315" s="1"/>
      <c r="D1315" s="1"/>
      <c r="E1315" s="1"/>
      <c r="F1315" s="1"/>
      <c r="G1315" s="1" t="s">
        <v>54</v>
      </c>
      <c r="H1315" s="2">
        <v>363</v>
      </c>
      <c r="I1315" s="1" t="s">
        <v>4304</v>
      </c>
      <c r="J1315" s="1" t="s">
        <v>4305</v>
      </c>
      <c r="K1315" s="1" t="s">
        <v>57</v>
      </c>
      <c r="L1315" s="1" t="s">
        <v>4306</v>
      </c>
      <c r="M1315" s="6" t="str">
        <f>_xlfn.CONCAT(Table1[[#This Row],[Billing Street]], ", ", Table1[[#This Row],[Billing City]], ", ", Table1[[#This Row],[Billing State/Province]], ", ", Table1[[#This Row],[Billing Zip/Postal Code]])</f>
        <v>3100 Beacon Blvd, W Sacramento, CA, 95691</v>
      </c>
    </row>
    <row r="1316" spans="1:13" ht="15.6" hidden="1" x14ac:dyDescent="0.3">
      <c r="A1316" s="1" t="s">
        <v>4307</v>
      </c>
      <c r="B1316" s="1"/>
      <c r="C1316" s="1"/>
      <c r="D1316" s="1"/>
      <c r="E1316" s="1"/>
      <c r="F1316" s="1"/>
      <c r="G1316" s="1" t="s">
        <v>13</v>
      </c>
      <c r="H1316" s="2">
        <v>0</v>
      </c>
      <c r="I1316" s="1" t="s">
        <v>13</v>
      </c>
      <c r="J1316" s="1" t="s">
        <v>13</v>
      </c>
      <c r="K1316" s="1" t="s">
        <v>13</v>
      </c>
      <c r="L1316" s="1" t="s">
        <v>13</v>
      </c>
      <c r="M1316" s="6" t="str">
        <f>_xlfn.CONCAT(Table1[[#This Row],[Billing Street]], ", ", Table1[[#This Row],[Billing City]], ", ", Table1[[#This Row],[Billing State/Province]], ", ", Table1[[#This Row],[Billing Zip/Postal Code]])</f>
        <v xml:space="preserve">, , , </v>
      </c>
    </row>
    <row r="1317" spans="1:13" ht="15.6" hidden="1" x14ac:dyDescent="0.3">
      <c r="A1317" s="1" t="s">
        <v>4308</v>
      </c>
      <c r="B1317" s="1"/>
      <c r="C1317" s="1"/>
      <c r="D1317" s="1"/>
      <c r="E1317" s="1"/>
      <c r="F1317" s="1"/>
      <c r="G1317" s="1" t="s">
        <v>43</v>
      </c>
      <c r="H1317" s="2">
        <v>265</v>
      </c>
      <c r="I1317" s="1" t="s">
        <v>4309</v>
      </c>
      <c r="J1317" s="1" t="s">
        <v>261</v>
      </c>
      <c r="K1317" s="1" t="s">
        <v>237</v>
      </c>
      <c r="L1317" s="1" t="s">
        <v>4310</v>
      </c>
      <c r="M1317" s="6" t="str">
        <f>_xlfn.CONCAT(Table1[[#This Row],[Billing Street]], ", ", Table1[[#This Row],[Billing City]], ", ", Table1[[#This Row],[Billing State/Province]], ", ", Table1[[#This Row],[Billing Zip/Postal Code]])</f>
        <v>5202 E 24th Street, Indianapolis, IN, 46218</v>
      </c>
    </row>
    <row r="1318" spans="1:13" ht="15.6" hidden="1" x14ac:dyDescent="0.3">
      <c r="A1318" s="1" t="s">
        <v>4311</v>
      </c>
      <c r="B1318" s="1"/>
      <c r="C1318" s="1"/>
      <c r="D1318" s="1"/>
      <c r="E1318" s="1"/>
      <c r="F1318" s="1"/>
      <c r="G1318" s="1" t="s">
        <v>13</v>
      </c>
      <c r="H1318" s="2">
        <v>0</v>
      </c>
      <c r="I1318" s="1" t="s">
        <v>13</v>
      </c>
      <c r="J1318" s="1" t="s">
        <v>13</v>
      </c>
      <c r="K1318" s="1" t="s">
        <v>13</v>
      </c>
      <c r="L1318" s="1" t="s">
        <v>13</v>
      </c>
      <c r="M1318" s="6" t="str">
        <f>_xlfn.CONCAT(Table1[[#This Row],[Billing Street]], ", ", Table1[[#This Row],[Billing City]], ", ", Table1[[#This Row],[Billing State/Province]], ", ", Table1[[#This Row],[Billing Zip/Postal Code]])</f>
        <v xml:space="preserve">, , , </v>
      </c>
    </row>
    <row r="1319" spans="1:13" ht="15.6" hidden="1" x14ac:dyDescent="0.3">
      <c r="A1319" s="1" t="s">
        <v>4312</v>
      </c>
      <c r="B1319" s="1"/>
      <c r="C1319" s="1"/>
      <c r="D1319" s="1"/>
      <c r="E1319" s="1"/>
      <c r="F1319" s="1"/>
      <c r="G1319" s="1" t="s">
        <v>13</v>
      </c>
      <c r="H1319" s="2">
        <v>0</v>
      </c>
      <c r="I1319" s="1" t="s">
        <v>13</v>
      </c>
      <c r="J1319" s="1" t="s">
        <v>13</v>
      </c>
      <c r="K1319" s="1" t="s">
        <v>13</v>
      </c>
      <c r="L1319" s="1" t="s">
        <v>13</v>
      </c>
      <c r="M1319" s="6" t="str">
        <f>_xlfn.CONCAT(Table1[[#This Row],[Billing Street]], ", ", Table1[[#This Row],[Billing City]], ", ", Table1[[#This Row],[Billing State/Province]], ", ", Table1[[#This Row],[Billing Zip/Postal Code]])</f>
        <v xml:space="preserve">, , , </v>
      </c>
    </row>
    <row r="1320" spans="1:13" ht="15.6" hidden="1" x14ac:dyDescent="0.3">
      <c r="A1320" s="1" t="s">
        <v>4313</v>
      </c>
      <c r="B1320" s="1"/>
      <c r="C1320" s="1"/>
      <c r="D1320" s="1"/>
      <c r="E1320" s="1"/>
      <c r="F1320" s="1"/>
      <c r="G1320" s="1" t="s">
        <v>13</v>
      </c>
      <c r="H1320" s="2">
        <v>0</v>
      </c>
      <c r="I1320" s="1" t="s">
        <v>13</v>
      </c>
      <c r="J1320" s="1" t="s">
        <v>13</v>
      </c>
      <c r="K1320" s="1" t="s">
        <v>13</v>
      </c>
      <c r="L1320" s="1" t="s">
        <v>13</v>
      </c>
      <c r="M1320" s="6" t="str">
        <f>_xlfn.CONCAT(Table1[[#This Row],[Billing Street]], ", ", Table1[[#This Row],[Billing City]], ", ", Table1[[#This Row],[Billing State/Province]], ", ", Table1[[#This Row],[Billing Zip/Postal Code]])</f>
        <v xml:space="preserve">, , , </v>
      </c>
    </row>
    <row r="1321" spans="1:13" ht="15.6" hidden="1" x14ac:dyDescent="0.3">
      <c r="A1321" s="1" t="s">
        <v>4314</v>
      </c>
      <c r="B1321" s="1"/>
      <c r="C1321" s="1"/>
      <c r="D1321" s="1"/>
      <c r="E1321" s="1"/>
      <c r="F1321" s="1"/>
      <c r="G1321" s="1" t="s">
        <v>13</v>
      </c>
      <c r="H1321" s="2">
        <v>0</v>
      </c>
      <c r="I1321" s="1" t="s">
        <v>13</v>
      </c>
      <c r="J1321" s="1" t="s">
        <v>13</v>
      </c>
      <c r="K1321" s="1" t="s">
        <v>13</v>
      </c>
      <c r="L1321" s="1" t="s">
        <v>13</v>
      </c>
      <c r="M1321" s="6" t="str">
        <f>_xlfn.CONCAT(Table1[[#This Row],[Billing Street]], ", ", Table1[[#This Row],[Billing City]], ", ", Table1[[#This Row],[Billing State/Province]], ", ", Table1[[#This Row],[Billing Zip/Postal Code]])</f>
        <v xml:space="preserve">, , , </v>
      </c>
    </row>
    <row r="1322" spans="1:13" ht="15.6" hidden="1" x14ac:dyDescent="0.3">
      <c r="A1322" s="1" t="s">
        <v>4315</v>
      </c>
      <c r="B1322" s="1"/>
      <c r="C1322" s="1"/>
      <c r="D1322" s="1"/>
      <c r="E1322" s="1"/>
      <c r="F1322" s="1"/>
      <c r="G1322" s="1" t="s">
        <v>54</v>
      </c>
      <c r="H1322" s="2">
        <v>59</v>
      </c>
      <c r="I1322" s="1" t="s">
        <v>4316</v>
      </c>
      <c r="J1322" s="1" t="s">
        <v>4317</v>
      </c>
      <c r="K1322" s="1" t="s">
        <v>57</v>
      </c>
      <c r="L1322" s="1" t="s">
        <v>4318</v>
      </c>
      <c r="M1322" s="6" t="str">
        <f>_xlfn.CONCAT(Table1[[#This Row],[Billing Street]], ", ", Table1[[#This Row],[Billing City]], ", ", Table1[[#This Row],[Billing State/Province]], ", ", Table1[[#This Row],[Billing Zip/Postal Code]])</f>
        <v>393 North Harbor Blvd, Oxnard, CA, 93035</v>
      </c>
    </row>
    <row r="1323" spans="1:13" ht="15.6" hidden="1" x14ac:dyDescent="0.3">
      <c r="A1323" s="1" t="s">
        <v>4319</v>
      </c>
      <c r="B1323" s="1"/>
      <c r="C1323" s="1"/>
      <c r="D1323" s="1"/>
      <c r="E1323" s="1"/>
      <c r="F1323" s="1"/>
      <c r="G1323" s="1" t="s">
        <v>205</v>
      </c>
      <c r="H1323" s="2">
        <v>7481</v>
      </c>
      <c r="I1323" s="1" t="s">
        <v>13</v>
      </c>
      <c r="J1323" s="1" t="s">
        <v>13</v>
      </c>
      <c r="K1323" s="1" t="s">
        <v>13</v>
      </c>
      <c r="L1323" s="1" t="s">
        <v>13</v>
      </c>
      <c r="M1323" s="6" t="str">
        <f>_xlfn.CONCAT(Table1[[#This Row],[Billing Street]], ", ", Table1[[#This Row],[Billing City]], ", ", Table1[[#This Row],[Billing State/Province]], ", ", Table1[[#This Row],[Billing Zip/Postal Code]])</f>
        <v xml:space="preserve">, , , </v>
      </c>
    </row>
    <row r="1324" spans="1:13" ht="15.6" hidden="1" x14ac:dyDescent="0.3">
      <c r="A1324" s="1" t="s">
        <v>4320</v>
      </c>
      <c r="B1324" s="1"/>
      <c r="C1324" s="1"/>
      <c r="D1324" s="1"/>
      <c r="E1324" s="1"/>
      <c r="F1324" s="1"/>
      <c r="G1324" s="1" t="s">
        <v>48</v>
      </c>
      <c r="H1324" s="2">
        <v>0</v>
      </c>
      <c r="I1324" s="1" t="s">
        <v>4321</v>
      </c>
      <c r="J1324" s="1" t="s">
        <v>4322</v>
      </c>
      <c r="K1324" s="1" t="s">
        <v>36</v>
      </c>
      <c r="L1324" s="1" t="s">
        <v>4323</v>
      </c>
      <c r="M1324" s="6" t="str">
        <f>_xlfn.CONCAT(Table1[[#This Row],[Billing Street]], ", ", Table1[[#This Row],[Billing City]], ", ", Table1[[#This Row],[Billing State/Province]], ", ", Table1[[#This Row],[Billing Zip/Postal Code]])</f>
        <v>1099 Shotgun Rd, Sunrise, FL, 33326</v>
      </c>
    </row>
    <row r="1325" spans="1:13" ht="15.6" x14ac:dyDescent="0.3">
      <c r="A1325" s="1" t="s">
        <v>4324</v>
      </c>
      <c r="B1325" s="1"/>
      <c r="C1325" s="1"/>
      <c r="D1325" s="1"/>
      <c r="E1325" s="1"/>
      <c r="F1325" s="1"/>
      <c r="G1325" s="1" t="s">
        <v>24</v>
      </c>
      <c r="H1325" s="2">
        <v>458</v>
      </c>
      <c r="I1325" s="1" t="s">
        <v>4325</v>
      </c>
      <c r="J1325" s="1" t="s">
        <v>656</v>
      </c>
      <c r="K1325" s="1" t="s">
        <v>36</v>
      </c>
      <c r="L1325" s="1" t="s">
        <v>4326</v>
      </c>
      <c r="M1325" s="6" t="str">
        <f>_xlfn.CONCAT(Table1[[#This Row],[Billing Street]], ", ", Table1[[#This Row],[Billing City]], ", ", Table1[[#This Row],[Billing State/Province]], ", ", Table1[[#This Row],[Billing Zip/Postal Code]])</f>
        <v>1500 N Fl Mango Rd 9aA, West Palm Beach, FL, 33409</v>
      </c>
    </row>
    <row r="1326" spans="1:13" ht="15.6" hidden="1" x14ac:dyDescent="0.3">
      <c r="A1326" s="1" t="s">
        <v>4327</v>
      </c>
      <c r="B1326" s="1"/>
      <c r="C1326" s="1"/>
      <c r="D1326" s="1"/>
      <c r="E1326" s="1"/>
      <c r="F1326" s="1"/>
      <c r="G1326" s="1" t="s">
        <v>43</v>
      </c>
      <c r="H1326" s="2">
        <v>73</v>
      </c>
      <c r="I1326" s="1" t="s">
        <v>4328</v>
      </c>
      <c r="J1326" s="1" t="s">
        <v>4329</v>
      </c>
      <c r="K1326" s="1" t="s">
        <v>45</v>
      </c>
      <c r="L1326" s="1" t="s">
        <v>4330</v>
      </c>
      <c r="M1326" s="6" t="str">
        <f>_xlfn.CONCAT(Table1[[#This Row],[Billing Street]], ", ", Table1[[#This Row],[Billing City]], ", ", Table1[[#This Row],[Billing State/Province]], ", ", Table1[[#This Row],[Billing Zip/Postal Code]])</f>
        <v>559 State Route 97E, Bellville, OH, 44813</v>
      </c>
    </row>
    <row r="1327" spans="1:13" ht="15.6" hidden="1" x14ac:dyDescent="0.3">
      <c r="A1327" s="1" t="s">
        <v>4331</v>
      </c>
      <c r="B1327" s="1"/>
      <c r="C1327" s="1"/>
      <c r="D1327" s="1"/>
      <c r="E1327" s="1"/>
      <c r="F1327" s="1"/>
      <c r="G1327" s="1" t="s">
        <v>54</v>
      </c>
      <c r="H1327" s="2">
        <v>7813</v>
      </c>
      <c r="I1327" s="1" t="s">
        <v>13</v>
      </c>
      <c r="J1327" s="1" t="s">
        <v>13</v>
      </c>
      <c r="K1327" s="1" t="s">
        <v>13</v>
      </c>
      <c r="L1327" s="1" t="s">
        <v>13</v>
      </c>
      <c r="M1327" s="6" t="str">
        <f>_xlfn.CONCAT(Table1[[#This Row],[Billing Street]], ", ", Table1[[#This Row],[Billing City]], ", ", Table1[[#This Row],[Billing State/Province]], ", ", Table1[[#This Row],[Billing Zip/Postal Code]])</f>
        <v xml:space="preserve">, , , </v>
      </c>
    </row>
    <row r="1328" spans="1:13" ht="15.6" hidden="1" x14ac:dyDescent="0.3">
      <c r="A1328" s="1" t="s">
        <v>4332</v>
      </c>
      <c r="B1328" s="1"/>
      <c r="C1328" s="1"/>
      <c r="D1328" s="1"/>
      <c r="E1328" s="1"/>
      <c r="F1328" s="1"/>
      <c r="G1328" s="1" t="s">
        <v>54</v>
      </c>
      <c r="H1328" s="2">
        <v>7813</v>
      </c>
      <c r="I1328" s="1" t="s">
        <v>13</v>
      </c>
      <c r="J1328" s="1" t="s">
        <v>13</v>
      </c>
      <c r="K1328" s="1" t="s">
        <v>13</v>
      </c>
      <c r="L1328" s="1" t="s">
        <v>13</v>
      </c>
      <c r="M1328" s="6" t="str">
        <f>_xlfn.CONCAT(Table1[[#This Row],[Billing Street]], ", ", Table1[[#This Row],[Billing City]], ", ", Table1[[#This Row],[Billing State/Province]], ", ", Table1[[#This Row],[Billing Zip/Postal Code]])</f>
        <v xml:space="preserve">, , , </v>
      </c>
    </row>
    <row r="1329" spans="1:13" ht="15.6" hidden="1" x14ac:dyDescent="0.3">
      <c r="A1329" s="1" t="s">
        <v>4333</v>
      </c>
      <c r="B1329" s="1"/>
      <c r="C1329" s="1"/>
      <c r="D1329" s="1"/>
      <c r="E1329" s="1"/>
      <c r="F1329" s="1"/>
      <c r="G1329" s="1" t="s">
        <v>43</v>
      </c>
      <c r="H1329" s="2">
        <v>153</v>
      </c>
      <c r="I1329" s="1" t="s">
        <v>4334</v>
      </c>
      <c r="J1329" s="1" t="s">
        <v>4335</v>
      </c>
      <c r="K1329" s="1" t="s">
        <v>241</v>
      </c>
      <c r="L1329" s="1" t="s">
        <v>4336</v>
      </c>
      <c r="M1329" s="6" t="str">
        <f>_xlfn.CONCAT(Table1[[#This Row],[Billing Street]], ", ", Table1[[#This Row],[Billing City]], ", ", Table1[[#This Row],[Billing State/Province]], ", ", Table1[[#This Row],[Billing Zip/Postal Code]])</f>
        <v>667 Industrial Park Road, Ebensburg, PA, 15931</v>
      </c>
    </row>
    <row r="1330" spans="1:13" ht="15.6" x14ac:dyDescent="0.3">
      <c r="A1330" s="1" t="s">
        <v>4337</v>
      </c>
      <c r="B1330" s="1"/>
      <c r="C1330" s="1"/>
      <c r="D1330" s="1"/>
      <c r="E1330" s="1"/>
      <c r="F1330" s="1"/>
      <c r="G1330" s="1" t="s">
        <v>24</v>
      </c>
      <c r="H1330" s="2">
        <v>326</v>
      </c>
      <c r="I1330" s="1" t="s">
        <v>4338</v>
      </c>
      <c r="J1330" s="1" t="s">
        <v>3037</v>
      </c>
      <c r="K1330" s="1" t="s">
        <v>36</v>
      </c>
      <c r="L1330" s="1" t="s">
        <v>4339</v>
      </c>
      <c r="M1330" s="6" t="str">
        <f>_xlfn.CONCAT(Table1[[#This Row],[Billing Street]], ", ", Table1[[#This Row],[Billing City]], ", ", Table1[[#This Row],[Billing State/Province]], ", ", Table1[[#This Row],[Billing Zip/Postal Code]])</f>
        <v>170 Sunport Ln suite 90, Orlando, FL, 32809</v>
      </c>
    </row>
    <row r="1331" spans="1:13" ht="15.6" hidden="1" x14ac:dyDescent="0.3">
      <c r="A1331" s="1" t="s">
        <v>4340</v>
      </c>
      <c r="B1331" s="1"/>
      <c r="C1331" s="1"/>
      <c r="D1331" s="1"/>
      <c r="E1331" s="1"/>
      <c r="F1331" s="1"/>
      <c r="G1331" s="1" t="s">
        <v>48</v>
      </c>
      <c r="H1331" s="2">
        <v>0</v>
      </c>
      <c r="I1331" s="1" t="s">
        <v>4341</v>
      </c>
      <c r="J1331" s="1" t="s">
        <v>4342</v>
      </c>
      <c r="K1331" s="1" t="s">
        <v>4343</v>
      </c>
      <c r="L1331" s="1" t="s">
        <v>4344</v>
      </c>
      <c r="M1331" s="6" t="str">
        <f>_xlfn.CONCAT(Table1[[#This Row],[Billing Street]], ", ", Table1[[#This Row],[Billing City]], ", ", Table1[[#This Row],[Billing State/Province]], ", ", Table1[[#This Row],[Billing Zip/Postal Code]])</f>
        <v>2526 N Stallings Dr, Nacogdoches, Texas, 75964</v>
      </c>
    </row>
    <row r="1332" spans="1:13" ht="15.6" hidden="1" x14ac:dyDescent="0.3">
      <c r="A1332" s="1" t="s">
        <v>4345</v>
      </c>
      <c r="B1332" s="1"/>
      <c r="C1332" s="1"/>
      <c r="D1332" s="1"/>
      <c r="E1332" s="1"/>
      <c r="F1332" s="1"/>
      <c r="G1332" s="1" t="s">
        <v>48</v>
      </c>
      <c r="H1332" s="2">
        <v>0</v>
      </c>
      <c r="I1332" s="1" t="s">
        <v>4346</v>
      </c>
      <c r="J1332" s="1" t="s">
        <v>4347</v>
      </c>
      <c r="K1332" s="1" t="s">
        <v>165</v>
      </c>
      <c r="L1332" s="1" t="s">
        <v>4348</v>
      </c>
      <c r="M1332" s="6" t="str">
        <f>_xlfn.CONCAT(Table1[[#This Row],[Billing Street]], ", ", Table1[[#This Row],[Billing City]], ", ", Table1[[#This Row],[Billing State/Province]], ", ", Table1[[#This Row],[Billing Zip/Postal Code]])</f>
        <v>2814 West 6th Street, Pine Bluff, AR, 71601</v>
      </c>
    </row>
    <row r="1333" spans="1:13" ht="15.6" hidden="1" x14ac:dyDescent="0.3">
      <c r="A1333" s="1" t="s">
        <v>4349</v>
      </c>
      <c r="B1333" s="1"/>
      <c r="C1333" s="1"/>
      <c r="D1333" s="1"/>
      <c r="E1333" s="1"/>
      <c r="F1333" s="1"/>
      <c r="G1333" s="1" t="s">
        <v>48</v>
      </c>
      <c r="H1333" s="2">
        <v>0</v>
      </c>
      <c r="I1333" s="1" t="s">
        <v>4350</v>
      </c>
      <c r="J1333" s="1" t="s">
        <v>4351</v>
      </c>
      <c r="K1333" s="1" t="s">
        <v>101</v>
      </c>
      <c r="L1333" s="1" t="s">
        <v>4352</v>
      </c>
      <c r="M1333" s="6" t="str">
        <f>_xlfn.CONCAT(Table1[[#This Row],[Billing Street]], ", ", Table1[[#This Row],[Billing City]], ", ", Table1[[#This Row],[Billing State/Province]], ", ", Table1[[#This Row],[Billing Zip/Postal Code]])</f>
        <v>1000 Skc Drive, Covington, GA, 30014</v>
      </c>
    </row>
    <row r="1334" spans="1:13" ht="15.6" hidden="1" x14ac:dyDescent="0.3">
      <c r="A1334" s="1" t="s">
        <v>4353</v>
      </c>
      <c r="B1334" s="1"/>
      <c r="C1334" s="1"/>
      <c r="D1334" s="1"/>
      <c r="E1334" s="1"/>
      <c r="F1334" s="1"/>
      <c r="G1334" s="1" t="s">
        <v>43</v>
      </c>
      <c r="H1334" s="2">
        <v>432</v>
      </c>
      <c r="I1334" s="1" t="s">
        <v>4354</v>
      </c>
      <c r="J1334" s="1" t="s">
        <v>4355</v>
      </c>
      <c r="K1334" s="1" t="s">
        <v>133</v>
      </c>
      <c r="L1334" s="1" t="s">
        <v>4356</v>
      </c>
      <c r="M1334" s="6" t="str">
        <f>_xlfn.CONCAT(Table1[[#This Row],[Billing Street]], ", ", Table1[[#This Row],[Billing City]], ", ", Table1[[#This Row],[Billing State/Province]], ", ", Table1[[#This Row],[Billing Zip/Postal Code]])</f>
        <v>2250 Pinehurst Drive, Middleton, WI, 53562</v>
      </c>
    </row>
    <row r="1335" spans="1:13" ht="15.6" hidden="1" x14ac:dyDescent="0.3">
      <c r="A1335" s="1" t="s">
        <v>4357</v>
      </c>
      <c r="B1335" s="1"/>
      <c r="C1335" s="1"/>
      <c r="D1335" s="1"/>
      <c r="E1335" s="1"/>
      <c r="F1335" s="1"/>
      <c r="G1335" s="1" t="s">
        <v>43</v>
      </c>
      <c r="H1335" s="2">
        <v>399</v>
      </c>
      <c r="I1335" s="1" t="s">
        <v>4358</v>
      </c>
      <c r="J1335" s="1" t="s">
        <v>4359</v>
      </c>
      <c r="K1335" s="1" t="s">
        <v>133</v>
      </c>
      <c r="L1335" s="1" t="s">
        <v>4360</v>
      </c>
      <c r="M1335" s="6" t="str">
        <f>_xlfn.CONCAT(Table1[[#This Row],[Billing Street]], ", ", Table1[[#This Row],[Billing City]], ", ", Table1[[#This Row],[Billing State/Province]], ", ", Table1[[#This Row],[Billing Zip/Postal Code]])</f>
        <v>2955 Ramada Way, Green Bay, WI, 54304</v>
      </c>
    </row>
    <row r="1336" spans="1:13" ht="15.6" hidden="1" x14ac:dyDescent="0.3">
      <c r="A1336" s="1" t="s">
        <v>4361</v>
      </c>
      <c r="B1336" s="1"/>
      <c r="C1336" s="1"/>
      <c r="D1336" s="1"/>
      <c r="E1336" s="1"/>
      <c r="F1336" s="1"/>
      <c r="G1336" s="1" t="s">
        <v>98</v>
      </c>
      <c r="H1336" s="2">
        <v>77</v>
      </c>
      <c r="I1336" s="1" t="s">
        <v>4362</v>
      </c>
      <c r="J1336" s="1" t="s">
        <v>4363</v>
      </c>
      <c r="K1336" s="1" t="s">
        <v>101</v>
      </c>
      <c r="L1336" s="1" t="s">
        <v>4364</v>
      </c>
      <c r="M1336" s="6" t="str">
        <f>_xlfn.CONCAT(Table1[[#This Row],[Billing Street]], ", ", Table1[[#This Row],[Billing City]], ", ", Table1[[#This Row],[Billing State/Province]], ", ", Table1[[#This Row],[Billing Zip/Postal Code]])</f>
        <v>875 Main Street, Young Harris, GA, 30582</v>
      </c>
    </row>
    <row r="1337" spans="1:13" ht="15.6" hidden="1" x14ac:dyDescent="0.3">
      <c r="A1337" s="1" t="s">
        <v>4365</v>
      </c>
      <c r="B1337" s="1"/>
      <c r="C1337" s="1"/>
      <c r="D1337" s="1"/>
      <c r="E1337" s="1"/>
      <c r="F1337" s="1"/>
      <c r="G1337" s="1" t="s">
        <v>98</v>
      </c>
      <c r="H1337" s="2">
        <v>63</v>
      </c>
      <c r="I1337" s="1" t="s">
        <v>4366</v>
      </c>
      <c r="J1337" s="1" t="s">
        <v>3716</v>
      </c>
      <c r="K1337" s="1" t="s">
        <v>101</v>
      </c>
      <c r="L1337" s="1" t="s">
        <v>4367</v>
      </c>
      <c r="M1337" s="6" t="str">
        <f>_xlfn.CONCAT(Table1[[#This Row],[Billing Street]], ", ", Table1[[#This Row],[Billing City]], ", ", Table1[[#This Row],[Billing State/Province]], ", ", Table1[[#This Row],[Billing Zip/Postal Code]])</f>
        <v>786 Athens Road, Lexington, GA, 30648</v>
      </c>
    </row>
    <row r="1338" spans="1:13" ht="15.6" x14ac:dyDescent="0.3">
      <c r="A1338" s="1" t="s">
        <v>4368</v>
      </c>
      <c r="B1338" s="1"/>
      <c r="C1338" s="1"/>
      <c r="D1338" s="1"/>
      <c r="E1338" s="1"/>
      <c r="F1338" s="1"/>
      <c r="G1338" s="1" t="s">
        <v>24</v>
      </c>
      <c r="H1338" s="2">
        <v>316</v>
      </c>
      <c r="I1338" s="1" t="s">
        <v>4369</v>
      </c>
      <c r="J1338" s="1" t="s">
        <v>4370</v>
      </c>
      <c r="K1338" s="1" t="s">
        <v>36</v>
      </c>
      <c r="L1338" s="1" t="s">
        <v>4371</v>
      </c>
      <c r="M1338" s="6" t="str">
        <f>_xlfn.CONCAT(Table1[[#This Row],[Billing Street]], ", ", Table1[[#This Row],[Billing City]], ", ", Table1[[#This Row],[Billing State/Province]], ", ", Table1[[#This Row],[Billing Zip/Postal Code]])</f>
        <v>520 Prairie Industrial Parkway, Mulberry, FL, 33860</v>
      </c>
    </row>
    <row r="1339" spans="1:13" ht="15.6" hidden="1" x14ac:dyDescent="0.3">
      <c r="A1339" s="1" t="s">
        <v>4372</v>
      </c>
      <c r="B1339" s="1"/>
      <c r="C1339" s="1"/>
      <c r="D1339" s="1"/>
      <c r="E1339" s="1"/>
      <c r="F1339" s="1"/>
      <c r="G1339" s="1" t="s">
        <v>98</v>
      </c>
      <c r="H1339" s="2">
        <v>315</v>
      </c>
      <c r="I1339" s="1" t="s">
        <v>4373</v>
      </c>
      <c r="J1339" s="1" t="s">
        <v>4374</v>
      </c>
      <c r="K1339" s="1" t="s">
        <v>1178</v>
      </c>
      <c r="L1339" s="1" t="s">
        <v>4375</v>
      </c>
      <c r="M1339" s="6" t="str">
        <f>_xlfn.CONCAT(Table1[[#This Row],[Billing Street]], ", ", Table1[[#This Row],[Billing City]], ", ", Table1[[#This Row],[Billing State/Province]], ", ", Table1[[#This Row],[Billing Zip/Postal Code]])</f>
        <v>955 Old Wilmington Road, Fayetteville, NC, 28301</v>
      </c>
    </row>
    <row r="1340" spans="1:13" ht="15.6" hidden="1" x14ac:dyDescent="0.3">
      <c r="A1340" s="1" t="s">
        <v>4376</v>
      </c>
      <c r="B1340" s="1"/>
      <c r="C1340" s="1"/>
      <c r="D1340" s="1"/>
      <c r="E1340" s="1"/>
      <c r="F1340" s="1"/>
      <c r="G1340" s="1" t="s">
        <v>8</v>
      </c>
      <c r="H1340" s="2">
        <v>694</v>
      </c>
      <c r="I1340" s="1" t="s">
        <v>4377</v>
      </c>
      <c r="J1340" s="1" t="s">
        <v>127</v>
      </c>
      <c r="K1340" s="1" t="s">
        <v>128</v>
      </c>
      <c r="L1340" s="1" t="s">
        <v>4378</v>
      </c>
      <c r="M1340" s="6" t="str">
        <f>_xlfn.CONCAT(Table1[[#This Row],[Billing Street]], ", ", Table1[[#This Row],[Billing City]], ", ", Table1[[#This Row],[Billing State/Province]], ", ", Table1[[#This Row],[Billing Zip/Postal Code]])</f>
        <v>3902 Oneota Street, Duluth, MN, 55807</v>
      </c>
    </row>
    <row r="1341" spans="1:13" ht="15.6" x14ac:dyDescent="0.3">
      <c r="A1341" s="1" t="s">
        <v>4379</v>
      </c>
      <c r="B1341" s="1"/>
      <c r="C1341" s="1"/>
      <c r="D1341" s="1"/>
      <c r="E1341" s="1"/>
      <c r="F1341" s="1"/>
      <c r="G1341" s="1" t="s">
        <v>24</v>
      </c>
      <c r="H1341" s="2">
        <v>69</v>
      </c>
      <c r="I1341" s="1" t="s">
        <v>4380</v>
      </c>
      <c r="J1341" s="1" t="s">
        <v>715</v>
      </c>
      <c r="K1341" s="1" t="s">
        <v>36</v>
      </c>
      <c r="L1341" s="1" t="s">
        <v>2448</v>
      </c>
      <c r="M1341" s="6" t="str">
        <f>_xlfn.CONCAT(Table1[[#This Row],[Billing Street]], ", ", Table1[[#This Row],[Billing City]], ", ", Table1[[#This Row],[Billing State/Province]], ", ", Table1[[#This Row],[Billing Zip/Postal Code]])</f>
        <v>75 Brent Ln, Pensacola, FL, 32503</v>
      </c>
    </row>
    <row r="1342" spans="1:13" ht="15.6" hidden="1" x14ac:dyDescent="0.3">
      <c r="A1342" s="1" t="s">
        <v>4381</v>
      </c>
      <c r="B1342" s="1"/>
      <c r="C1342" s="1"/>
      <c r="D1342" s="1"/>
      <c r="E1342" s="1"/>
      <c r="F1342" s="1"/>
      <c r="G1342" s="1" t="s">
        <v>13</v>
      </c>
      <c r="H1342" s="2">
        <v>0</v>
      </c>
      <c r="I1342" s="1" t="s">
        <v>13</v>
      </c>
      <c r="J1342" s="1" t="s">
        <v>13</v>
      </c>
      <c r="K1342" s="1" t="s">
        <v>13</v>
      </c>
      <c r="L1342" s="1" t="s">
        <v>13</v>
      </c>
      <c r="M1342" s="6" t="str">
        <f>_xlfn.CONCAT(Table1[[#This Row],[Billing Street]], ", ", Table1[[#This Row],[Billing City]], ", ", Table1[[#This Row],[Billing State/Province]], ", ", Table1[[#This Row],[Billing Zip/Postal Code]])</f>
        <v xml:space="preserve">, , , </v>
      </c>
    </row>
    <row r="1343" spans="1:13" ht="15.6" hidden="1" x14ac:dyDescent="0.3">
      <c r="A1343" s="1" t="s">
        <v>4382</v>
      </c>
      <c r="B1343" s="1"/>
      <c r="C1343" s="1"/>
      <c r="D1343" s="1"/>
      <c r="E1343" s="1"/>
      <c r="F1343" s="1"/>
      <c r="G1343" s="1" t="s">
        <v>43</v>
      </c>
      <c r="H1343" s="2">
        <v>580</v>
      </c>
      <c r="I1343" s="1" t="s">
        <v>4383</v>
      </c>
      <c r="J1343" s="1" t="s">
        <v>4384</v>
      </c>
      <c r="K1343" s="1" t="s">
        <v>4385</v>
      </c>
      <c r="L1343" s="1" t="s">
        <v>4386</v>
      </c>
      <c r="M1343" s="6" t="str">
        <f>_xlfn.CONCAT(Table1[[#This Row],[Billing Street]], ", ", Table1[[#This Row],[Billing City]], ", ", Table1[[#This Row],[Billing State/Province]], ", ", Table1[[#This Row],[Billing Zip/Postal Code]])</f>
        <v>39 Church St, Bethel, Maine, 04217</v>
      </c>
    </row>
    <row r="1344" spans="1:13" ht="15.6" hidden="1" x14ac:dyDescent="0.3">
      <c r="A1344" s="1" t="s">
        <v>4387</v>
      </c>
      <c r="B1344" s="1"/>
      <c r="C1344" s="1"/>
      <c r="D1344" s="1"/>
      <c r="E1344" s="1"/>
      <c r="F1344" s="1"/>
      <c r="G1344" s="1" t="s">
        <v>8</v>
      </c>
      <c r="H1344" s="2">
        <v>6528</v>
      </c>
      <c r="I1344" s="1" t="s">
        <v>13</v>
      </c>
      <c r="J1344" s="1" t="s">
        <v>13</v>
      </c>
      <c r="K1344" s="1" t="s">
        <v>13</v>
      </c>
      <c r="L1344" s="1" t="s">
        <v>13</v>
      </c>
      <c r="M1344" s="6" t="str">
        <f>_xlfn.CONCAT(Table1[[#This Row],[Billing Street]], ", ", Table1[[#This Row],[Billing City]], ", ", Table1[[#This Row],[Billing State/Province]], ", ", Table1[[#This Row],[Billing Zip/Postal Code]])</f>
        <v xml:space="preserve">, , , </v>
      </c>
    </row>
    <row r="1345" spans="1:13" ht="15.6" x14ac:dyDescent="0.3">
      <c r="A1345" s="1" t="s">
        <v>4388</v>
      </c>
      <c r="B1345" s="1"/>
      <c r="C1345" s="1"/>
      <c r="D1345" s="1"/>
      <c r="E1345" s="1"/>
      <c r="F1345" s="1"/>
      <c r="G1345" s="1" t="s">
        <v>24</v>
      </c>
      <c r="H1345" s="2">
        <v>668</v>
      </c>
      <c r="I1345" s="1" t="s">
        <v>4389</v>
      </c>
      <c r="J1345" s="1" t="s">
        <v>4390</v>
      </c>
      <c r="K1345" s="1" t="s">
        <v>51</v>
      </c>
      <c r="L1345" s="1" t="s">
        <v>4391</v>
      </c>
      <c r="M1345" s="6" t="str">
        <f>_xlfn.CONCAT(Table1[[#This Row],[Billing Street]], ", ", Table1[[#This Row],[Billing City]], ", ", Table1[[#This Row],[Billing State/Province]], ", ", Table1[[#This Row],[Billing Zip/Postal Code]])</f>
        <v>2601 South Burleson Boulevard, Burleson, TX, 76028</v>
      </c>
    </row>
    <row r="1346" spans="1:13" ht="15.6" hidden="1" x14ac:dyDescent="0.3">
      <c r="A1346" s="1" t="s">
        <v>4392</v>
      </c>
      <c r="B1346" s="1"/>
      <c r="C1346" s="1"/>
      <c r="D1346" s="1"/>
      <c r="E1346" s="1"/>
      <c r="F1346" s="1"/>
      <c r="G1346" s="1" t="s">
        <v>205</v>
      </c>
      <c r="H1346" s="2">
        <v>13</v>
      </c>
      <c r="I1346" s="1" t="s">
        <v>4393</v>
      </c>
      <c r="J1346" s="1" t="s">
        <v>4271</v>
      </c>
      <c r="K1346" s="1" t="s">
        <v>479</v>
      </c>
      <c r="L1346" s="1" t="s">
        <v>4394</v>
      </c>
      <c r="M1346" s="6" t="str">
        <f>_xlfn.CONCAT(Table1[[#This Row],[Billing Street]], ", ", Table1[[#This Row],[Billing City]], ", ", Table1[[#This Row],[Billing State/Province]], ", ", Table1[[#This Row],[Billing Zip/Postal Code]])</f>
        <v>6636 West Sundust Road, Chandler, AZ, 85226</v>
      </c>
    </row>
    <row r="1347" spans="1:13" ht="15.6" x14ac:dyDescent="0.3">
      <c r="A1347" s="1" t="s">
        <v>4395</v>
      </c>
      <c r="B1347" s="1"/>
      <c r="C1347" s="1"/>
      <c r="D1347" s="1"/>
      <c r="E1347" s="1"/>
      <c r="F1347" s="1"/>
      <c r="G1347" s="1" t="s">
        <v>24</v>
      </c>
      <c r="H1347" s="2">
        <v>558</v>
      </c>
      <c r="I1347" s="1" t="s">
        <v>4396</v>
      </c>
      <c r="J1347" s="1" t="s">
        <v>4397</v>
      </c>
      <c r="K1347" s="1" t="s">
        <v>51</v>
      </c>
      <c r="L1347" s="1" t="s">
        <v>2097</v>
      </c>
      <c r="M1347" s="6" t="str">
        <f>_xlfn.CONCAT(Table1[[#This Row],[Billing Street]], ", ", Table1[[#This Row],[Billing City]], ", ", Table1[[#This Row],[Billing State/Province]], ", ", Table1[[#This Row],[Billing Zip/Postal Code]])</f>
        <v>2500 South Millbend Drive, The Woodlands, TX, 77380</v>
      </c>
    </row>
    <row r="1348" spans="1:13" ht="15.6" x14ac:dyDescent="0.3">
      <c r="A1348" s="1" t="s">
        <v>4398</v>
      </c>
      <c r="B1348" s="1"/>
      <c r="C1348" s="1"/>
      <c r="D1348" s="1"/>
      <c r="E1348" s="1"/>
      <c r="F1348" s="1"/>
      <c r="G1348" s="1" t="s">
        <v>24</v>
      </c>
      <c r="H1348" s="2">
        <v>5988</v>
      </c>
      <c r="I1348" s="1" t="s">
        <v>13</v>
      </c>
      <c r="J1348" s="1" t="s">
        <v>13</v>
      </c>
      <c r="K1348" s="1" t="s">
        <v>13</v>
      </c>
      <c r="L1348" s="1" t="s">
        <v>13</v>
      </c>
      <c r="M1348" s="6" t="str">
        <f>_xlfn.CONCAT(Table1[[#This Row],[Billing Street]], ", ", Table1[[#This Row],[Billing City]], ", ", Table1[[#This Row],[Billing State/Province]], ", ", Table1[[#This Row],[Billing Zip/Postal Code]])</f>
        <v xml:space="preserve">, , , </v>
      </c>
    </row>
    <row r="1349" spans="1:13" ht="15.6" hidden="1" x14ac:dyDescent="0.3">
      <c r="A1349" s="1" t="s">
        <v>4399</v>
      </c>
      <c r="B1349" s="1"/>
      <c r="C1349" s="1"/>
      <c r="D1349" s="1"/>
      <c r="E1349" s="1"/>
      <c r="F1349" s="1"/>
      <c r="G1349" s="1" t="s">
        <v>48</v>
      </c>
      <c r="H1349" s="2">
        <v>0</v>
      </c>
      <c r="I1349" s="1" t="s">
        <v>13</v>
      </c>
      <c r="J1349" s="1" t="s">
        <v>13</v>
      </c>
      <c r="K1349" s="1" t="s">
        <v>13</v>
      </c>
      <c r="L1349" s="1" t="s">
        <v>13</v>
      </c>
      <c r="M1349" s="6" t="str">
        <f>_xlfn.CONCAT(Table1[[#This Row],[Billing Street]], ", ", Table1[[#This Row],[Billing City]], ", ", Table1[[#This Row],[Billing State/Province]], ", ", Table1[[#This Row],[Billing Zip/Postal Code]])</f>
        <v xml:space="preserve">, , , </v>
      </c>
    </row>
    <row r="1350" spans="1:13" ht="15.6" x14ac:dyDescent="0.3">
      <c r="A1350" s="1" t="s">
        <v>4400</v>
      </c>
      <c r="B1350" s="1"/>
      <c r="C1350" s="1"/>
      <c r="D1350" s="1"/>
      <c r="E1350" s="1"/>
      <c r="F1350" s="1"/>
      <c r="G1350" s="1" t="s">
        <v>24</v>
      </c>
      <c r="H1350" s="2">
        <v>297</v>
      </c>
      <c r="I1350" s="1" t="s">
        <v>4401</v>
      </c>
      <c r="J1350" s="1" t="s">
        <v>4402</v>
      </c>
      <c r="K1350" s="1" t="s">
        <v>577</v>
      </c>
      <c r="L1350" s="1" t="s">
        <v>4403</v>
      </c>
      <c r="M1350" s="6" t="str">
        <f>_xlfn.CONCAT(Table1[[#This Row],[Billing Street]], ", ", Table1[[#This Row],[Billing City]], ", ", Table1[[#This Row],[Billing State/Province]], ", ", Table1[[#This Row],[Billing Zip/Postal Code]])</f>
        <v>7676 Airline Highway, Baton Rouge, LA, 70814</v>
      </c>
    </row>
    <row r="1351" spans="1:13" ht="15.6" hidden="1" x14ac:dyDescent="0.3">
      <c r="A1351" s="1" t="s">
        <v>4404</v>
      </c>
      <c r="B1351" s="1"/>
      <c r="C1351" s="1"/>
      <c r="D1351" s="1"/>
      <c r="E1351" s="1"/>
      <c r="F1351" s="1"/>
      <c r="G1351" s="1" t="s">
        <v>98</v>
      </c>
      <c r="H1351" s="2">
        <v>5887</v>
      </c>
      <c r="I1351" s="1" t="s">
        <v>13</v>
      </c>
      <c r="J1351" s="1" t="s">
        <v>13</v>
      </c>
      <c r="K1351" s="1" t="s">
        <v>13</v>
      </c>
      <c r="L1351" s="1" t="s">
        <v>13</v>
      </c>
      <c r="M1351" s="6" t="str">
        <f>_xlfn.CONCAT(Table1[[#This Row],[Billing Street]], ", ", Table1[[#This Row],[Billing City]], ", ", Table1[[#This Row],[Billing State/Province]], ", ", Table1[[#This Row],[Billing Zip/Postal Code]])</f>
        <v xml:space="preserve">, , , </v>
      </c>
    </row>
    <row r="1352" spans="1:13" ht="15.6" x14ac:dyDescent="0.3">
      <c r="A1352" s="1" t="s">
        <v>4405</v>
      </c>
      <c r="B1352" s="1"/>
      <c r="C1352" s="1"/>
      <c r="D1352" s="1"/>
      <c r="E1352" s="1"/>
      <c r="F1352" s="1"/>
      <c r="G1352" s="1" t="s">
        <v>24</v>
      </c>
      <c r="H1352" s="2">
        <v>767</v>
      </c>
      <c r="I1352" s="1" t="s">
        <v>4406</v>
      </c>
      <c r="J1352" s="1" t="s">
        <v>4407</v>
      </c>
      <c r="K1352" s="1" t="s">
        <v>45</v>
      </c>
      <c r="L1352" s="1" t="s">
        <v>4408</v>
      </c>
      <c r="M1352" s="6" t="str">
        <f>_xlfn.CONCAT(Table1[[#This Row],[Billing Street]], ", ", Table1[[#This Row],[Billing City]], ", ", Table1[[#This Row],[Billing State/Province]], ", ", Table1[[#This Row],[Billing Zip/Postal Code]])</f>
        <v>1819 Woodville Road, Oregon, OH, 43616</v>
      </c>
    </row>
    <row r="1353" spans="1:13" ht="15.6" hidden="1" x14ac:dyDescent="0.3">
      <c r="A1353" s="1" t="s">
        <v>4409</v>
      </c>
      <c r="B1353" s="1"/>
      <c r="C1353" s="1"/>
      <c r="D1353" s="1"/>
      <c r="E1353" s="1"/>
      <c r="F1353" s="1"/>
      <c r="G1353" s="1" t="s">
        <v>54</v>
      </c>
      <c r="H1353" s="2">
        <v>309</v>
      </c>
      <c r="I1353" s="1" t="s">
        <v>4410</v>
      </c>
      <c r="J1353" s="1" t="s">
        <v>91</v>
      </c>
      <c r="K1353" s="1" t="s">
        <v>4411</v>
      </c>
      <c r="L1353" s="1" t="s">
        <v>92</v>
      </c>
      <c r="M1353" s="6" t="str">
        <f>_xlfn.CONCAT(Table1[[#This Row],[Billing Street]], ", ", Table1[[#This Row],[Billing City]], ", ", Table1[[#This Row],[Billing State/Province]], ", ", Table1[[#This Row],[Billing Zip/Postal Code]])</f>
        <v>1500 Warburton Ave, Santa Clara, California, 95050</v>
      </c>
    </row>
    <row r="1354" spans="1:13" ht="15.6" hidden="1" x14ac:dyDescent="0.3">
      <c r="A1354" s="1" t="s">
        <v>4412</v>
      </c>
      <c r="B1354" s="1"/>
      <c r="C1354" s="1"/>
      <c r="D1354" s="1"/>
      <c r="E1354" s="1"/>
      <c r="F1354" s="1"/>
      <c r="G1354" s="1" t="s">
        <v>43</v>
      </c>
      <c r="H1354" s="2">
        <v>260</v>
      </c>
      <c r="I1354" s="1" t="s">
        <v>4413</v>
      </c>
      <c r="J1354" s="1" t="s">
        <v>261</v>
      </c>
      <c r="K1354" s="1" t="s">
        <v>4414</v>
      </c>
      <c r="L1354" s="1" t="s">
        <v>4415</v>
      </c>
      <c r="M1354" s="6" t="str">
        <f>_xlfn.CONCAT(Table1[[#This Row],[Billing Street]], ", ", Table1[[#This Row],[Billing City]], ", ", Table1[[#This Row],[Billing State/Province]], ", ", Table1[[#This Row],[Billing Zip/Postal Code]])</f>
        <v>2925 N Mitthoeffer Pl, Indianapolis, Indiana, 46229</v>
      </c>
    </row>
    <row r="1355" spans="1:13" ht="15.6" hidden="1" x14ac:dyDescent="0.3">
      <c r="A1355" s="1" t="s">
        <v>4416</v>
      </c>
      <c r="B1355" s="1"/>
      <c r="C1355" s="1"/>
      <c r="D1355" s="1"/>
      <c r="E1355" s="1"/>
      <c r="F1355" s="1"/>
      <c r="G1355" s="1" t="s">
        <v>205</v>
      </c>
      <c r="H1355" s="2">
        <v>589</v>
      </c>
      <c r="I1355" s="1" t="s">
        <v>4417</v>
      </c>
      <c r="J1355" s="1" t="s">
        <v>4418</v>
      </c>
      <c r="K1355" s="1" t="s">
        <v>208</v>
      </c>
      <c r="L1355" s="1" t="s">
        <v>4419</v>
      </c>
      <c r="M1355" s="6" t="str">
        <f>_xlfn.CONCAT(Table1[[#This Row],[Billing Street]], ", ", Table1[[#This Row],[Billing City]], ", ", Table1[[#This Row],[Billing State/Province]], ", ", Table1[[#This Row],[Billing Zip/Postal Code]])</f>
        <v>5344 S Malaya Way, Centennial, CO, 80015</v>
      </c>
    </row>
    <row r="1356" spans="1:13" ht="15.6" hidden="1" x14ac:dyDescent="0.3">
      <c r="A1356" s="1" t="s">
        <v>4420</v>
      </c>
      <c r="B1356" s="1"/>
      <c r="C1356" s="1"/>
      <c r="D1356" s="1"/>
      <c r="E1356" s="1"/>
      <c r="F1356" s="1"/>
      <c r="G1356" s="1" t="s">
        <v>54</v>
      </c>
      <c r="H1356" s="2">
        <v>7813</v>
      </c>
      <c r="I1356" s="1" t="s">
        <v>13</v>
      </c>
      <c r="J1356" s="1" t="s">
        <v>13</v>
      </c>
      <c r="K1356" s="1" t="s">
        <v>13</v>
      </c>
      <c r="L1356" s="1" t="s">
        <v>13</v>
      </c>
      <c r="M1356" s="6" t="str">
        <f>_xlfn.CONCAT(Table1[[#This Row],[Billing Street]], ", ", Table1[[#This Row],[Billing City]], ", ", Table1[[#This Row],[Billing State/Province]], ", ", Table1[[#This Row],[Billing Zip/Postal Code]])</f>
        <v xml:space="preserve">, , , </v>
      </c>
    </row>
    <row r="1357" spans="1:13" ht="15.6" hidden="1" x14ac:dyDescent="0.3">
      <c r="A1357" s="1" t="s">
        <v>4421</v>
      </c>
      <c r="B1357" s="1"/>
      <c r="C1357" s="1"/>
      <c r="D1357" s="1"/>
      <c r="E1357" s="1"/>
      <c r="F1357" s="1"/>
      <c r="G1357" s="1" t="s">
        <v>8</v>
      </c>
      <c r="H1357" s="2">
        <v>6528</v>
      </c>
      <c r="I1357" s="1" t="s">
        <v>13</v>
      </c>
      <c r="J1357" s="1" t="s">
        <v>4421</v>
      </c>
      <c r="K1357" s="1" t="s">
        <v>4422</v>
      </c>
      <c r="L1357" s="1" t="s">
        <v>13</v>
      </c>
      <c r="M1357" s="6" t="str">
        <f>_xlfn.CONCAT(Table1[[#This Row],[Billing Street]], ", ", Table1[[#This Row],[Billing City]], ", ", Table1[[#This Row],[Billing State/Province]], ", ", Table1[[#This Row],[Billing Zip/Postal Code]])</f>
        <v xml:space="preserve">, Neosha Falls, kansas, </v>
      </c>
    </row>
    <row r="1358" spans="1:13" ht="15.6" hidden="1" x14ac:dyDescent="0.3">
      <c r="A1358" s="1" t="s">
        <v>4423</v>
      </c>
      <c r="B1358" s="1"/>
      <c r="C1358" s="1"/>
      <c r="D1358" s="1"/>
      <c r="E1358" s="1"/>
      <c r="F1358" s="1"/>
      <c r="G1358" s="1" t="s">
        <v>8</v>
      </c>
      <c r="H1358" s="2">
        <v>6528</v>
      </c>
      <c r="I1358" s="1" t="s">
        <v>13</v>
      </c>
      <c r="J1358" s="1" t="s">
        <v>4424</v>
      </c>
      <c r="K1358" s="1" t="s">
        <v>128</v>
      </c>
      <c r="L1358" s="1" t="s">
        <v>13</v>
      </c>
      <c r="M1358" s="6" t="str">
        <f>_xlfn.CONCAT(Table1[[#This Row],[Billing Street]], ", ", Table1[[#This Row],[Billing City]], ", ", Table1[[#This Row],[Billing State/Province]], ", ", Table1[[#This Row],[Billing Zip/Postal Code]])</f>
        <v xml:space="preserve">, Stephen, MN, </v>
      </c>
    </row>
    <row r="1359" spans="1:13" ht="15.6" hidden="1" x14ac:dyDescent="0.3">
      <c r="A1359" s="1" t="s">
        <v>4425</v>
      </c>
      <c r="B1359" s="1"/>
      <c r="C1359" s="1"/>
      <c r="D1359" s="1"/>
      <c r="E1359" s="1"/>
      <c r="F1359" s="1"/>
      <c r="G1359" s="1" t="s">
        <v>43</v>
      </c>
      <c r="H1359" s="2">
        <v>250</v>
      </c>
      <c r="I1359" s="1" t="s">
        <v>4426</v>
      </c>
      <c r="J1359" s="1" t="s">
        <v>2023</v>
      </c>
      <c r="K1359" s="1" t="s">
        <v>82</v>
      </c>
      <c r="L1359" s="1" t="s">
        <v>4427</v>
      </c>
      <c r="M1359" s="6" t="str">
        <f>_xlfn.CONCAT(Table1[[#This Row],[Billing Street]], ", ", Table1[[#This Row],[Billing City]], ", ", Table1[[#This Row],[Billing State/Province]], ", ", Table1[[#This Row],[Billing Zip/Postal Code]])</f>
        <v>2700 Mullins Court Northwest, Grand Rapids, MI, 49534</v>
      </c>
    </row>
    <row r="1360" spans="1:13" ht="15.6" hidden="1" x14ac:dyDescent="0.3">
      <c r="A1360" s="1" t="s">
        <v>4428</v>
      </c>
      <c r="B1360" s="1"/>
      <c r="C1360" s="1"/>
      <c r="D1360" s="1"/>
      <c r="E1360" s="1"/>
      <c r="F1360" s="1"/>
      <c r="G1360" s="1" t="s">
        <v>8</v>
      </c>
      <c r="H1360" s="2">
        <v>573</v>
      </c>
      <c r="I1360" s="1" t="s">
        <v>4429</v>
      </c>
      <c r="J1360" s="1" t="s">
        <v>4430</v>
      </c>
      <c r="K1360" s="1" t="s">
        <v>128</v>
      </c>
      <c r="L1360" s="1" t="s">
        <v>4431</v>
      </c>
      <c r="M1360" s="6" t="str">
        <f>_xlfn.CONCAT(Table1[[#This Row],[Billing Street]], ", ", Table1[[#This Row],[Billing City]], ", ", Table1[[#This Row],[Billing State/Province]], ", ", Table1[[#This Row],[Billing Zip/Postal Code]])</f>
        <v>9300 Evergreen Blvd, Coon Rapids, MN, 55433</v>
      </c>
    </row>
    <row r="1361" spans="1:13" ht="15.6" hidden="1" x14ac:dyDescent="0.3">
      <c r="A1361" s="1" t="s">
        <v>4432</v>
      </c>
      <c r="B1361" s="1"/>
      <c r="C1361" s="1"/>
      <c r="D1361" s="1"/>
      <c r="E1361" s="1"/>
      <c r="F1361" s="1"/>
      <c r="G1361" s="1" t="s">
        <v>8</v>
      </c>
      <c r="H1361" s="2">
        <v>307</v>
      </c>
      <c r="I1361" s="1" t="s">
        <v>4433</v>
      </c>
      <c r="J1361" s="1" t="s">
        <v>1309</v>
      </c>
      <c r="K1361" s="1" t="s">
        <v>11</v>
      </c>
      <c r="L1361" s="1" t="s">
        <v>3310</v>
      </c>
      <c r="M1361" s="6" t="str">
        <f>_xlfn.CONCAT(Table1[[#This Row],[Billing Street]], ", ", Table1[[#This Row],[Billing City]], ", ", Table1[[#This Row],[Billing State/Province]], ", ", Table1[[#This Row],[Billing Zip/Postal Code]])</f>
        <v>9735 Gravois, St. Louis, MO, 63123</v>
      </c>
    </row>
    <row r="1362" spans="1:13" ht="15.6" hidden="1" x14ac:dyDescent="0.3">
      <c r="A1362" s="1" t="s">
        <v>4434</v>
      </c>
      <c r="B1362" s="1"/>
      <c r="C1362" s="1"/>
      <c r="D1362" s="1"/>
      <c r="E1362" s="1"/>
      <c r="F1362" s="1"/>
      <c r="G1362" s="1" t="s">
        <v>43</v>
      </c>
      <c r="H1362" s="2">
        <v>273</v>
      </c>
      <c r="I1362" s="1" t="s">
        <v>4435</v>
      </c>
      <c r="J1362" s="1" t="s">
        <v>585</v>
      </c>
      <c r="K1362" s="1" t="s">
        <v>237</v>
      </c>
      <c r="L1362" s="1" t="s">
        <v>2422</v>
      </c>
      <c r="M1362" s="6" t="str">
        <f>_xlfn.CONCAT(Table1[[#This Row],[Billing Street]], ", ", Table1[[#This Row],[Billing City]], ", ", Table1[[#This Row],[Billing State/Province]], ", ", Table1[[#This Row],[Billing Zip/Postal Code]])</f>
        <v>PO Box 616, Franklin, IN, 46131</v>
      </c>
    </row>
    <row r="1363" spans="1:13" ht="15.6" hidden="1" x14ac:dyDescent="0.3">
      <c r="A1363" s="1" t="s">
        <v>4436</v>
      </c>
      <c r="B1363" s="1"/>
      <c r="C1363" s="1"/>
      <c r="D1363" s="1"/>
      <c r="E1363" s="1"/>
      <c r="F1363" s="1"/>
      <c r="G1363" s="1" t="s">
        <v>54</v>
      </c>
      <c r="H1363" s="2">
        <v>25</v>
      </c>
      <c r="I1363" s="1" t="s">
        <v>4437</v>
      </c>
      <c r="J1363" s="1" t="s">
        <v>985</v>
      </c>
      <c r="K1363" s="1" t="s">
        <v>57</v>
      </c>
      <c r="L1363" s="1" t="s">
        <v>986</v>
      </c>
      <c r="M1363" s="6" t="str">
        <f>_xlfn.CONCAT(Table1[[#This Row],[Billing Street]], ", ", Table1[[#This Row],[Billing City]], ", ", Table1[[#This Row],[Billing State/Province]], ", ", Table1[[#This Row],[Billing Zip/Postal Code]])</f>
        <v>731 East Ball Road, #100, Anaheim, CA, 92805</v>
      </c>
    </row>
    <row r="1364" spans="1:13" ht="15.6" hidden="1" x14ac:dyDescent="0.3">
      <c r="A1364" s="1" t="s">
        <v>4438</v>
      </c>
      <c r="B1364" s="1"/>
      <c r="C1364" s="1"/>
      <c r="D1364" s="1"/>
      <c r="E1364" s="1"/>
      <c r="F1364" s="1"/>
      <c r="G1364" s="1" t="s">
        <v>43</v>
      </c>
      <c r="H1364" s="2">
        <v>48</v>
      </c>
      <c r="I1364" s="1" t="s">
        <v>4439</v>
      </c>
      <c r="J1364" s="1" t="s">
        <v>4440</v>
      </c>
      <c r="K1364" s="1" t="s">
        <v>45</v>
      </c>
      <c r="L1364" s="1" t="s">
        <v>4441</v>
      </c>
      <c r="M1364" s="6" t="str">
        <f>_xlfn.CONCAT(Table1[[#This Row],[Billing Street]], ", ", Table1[[#This Row],[Billing City]], ", ", Table1[[#This Row],[Billing State/Province]], ", ", Table1[[#This Row],[Billing Zip/Postal Code]])</f>
        <v>1370 Sharon Hogue Road, Masury, OH, 44438</v>
      </c>
    </row>
    <row r="1365" spans="1:13" ht="15.6" hidden="1" x14ac:dyDescent="0.3">
      <c r="A1365" s="1" t="s">
        <v>4442</v>
      </c>
      <c r="B1365" s="1"/>
      <c r="C1365" s="1"/>
      <c r="D1365" s="1"/>
      <c r="E1365" s="1"/>
      <c r="F1365" s="1"/>
      <c r="G1365" s="1" t="s">
        <v>13</v>
      </c>
      <c r="H1365" s="2">
        <v>0</v>
      </c>
      <c r="I1365" s="1" t="s">
        <v>13</v>
      </c>
      <c r="J1365" s="1" t="s">
        <v>13</v>
      </c>
      <c r="K1365" s="1" t="s">
        <v>13</v>
      </c>
      <c r="L1365" s="1" t="s">
        <v>13</v>
      </c>
      <c r="M1365" s="6" t="str">
        <f>_xlfn.CONCAT(Table1[[#This Row],[Billing Street]], ", ", Table1[[#This Row],[Billing City]], ", ", Table1[[#This Row],[Billing State/Province]], ", ", Table1[[#This Row],[Billing Zip/Postal Code]])</f>
        <v xml:space="preserve">, , , </v>
      </c>
    </row>
    <row r="1366" spans="1:13" ht="15.6" hidden="1" x14ac:dyDescent="0.3">
      <c r="A1366" s="1" t="s">
        <v>4443</v>
      </c>
      <c r="B1366" s="1"/>
      <c r="C1366" s="1"/>
      <c r="D1366" s="1"/>
      <c r="E1366" s="1"/>
      <c r="F1366" s="1"/>
      <c r="G1366" s="1" t="s">
        <v>13</v>
      </c>
      <c r="H1366" s="2">
        <v>0</v>
      </c>
      <c r="I1366" s="1" t="s">
        <v>13</v>
      </c>
      <c r="J1366" s="1" t="s">
        <v>13</v>
      </c>
      <c r="K1366" s="1" t="s">
        <v>13</v>
      </c>
      <c r="L1366" s="1" t="s">
        <v>13</v>
      </c>
      <c r="M1366" s="6" t="str">
        <f>_xlfn.CONCAT(Table1[[#This Row],[Billing Street]], ", ", Table1[[#This Row],[Billing City]], ", ", Table1[[#This Row],[Billing State/Province]], ", ", Table1[[#This Row],[Billing Zip/Postal Code]])</f>
        <v xml:space="preserve">, , , </v>
      </c>
    </row>
    <row r="1367" spans="1:13" ht="15.6" hidden="1" x14ac:dyDescent="0.3">
      <c r="A1367" s="1" t="s">
        <v>4444</v>
      </c>
      <c r="B1367" s="1"/>
      <c r="C1367" s="1"/>
      <c r="D1367" s="1"/>
      <c r="E1367" s="1"/>
      <c r="F1367" s="1"/>
      <c r="G1367" s="1" t="s">
        <v>13</v>
      </c>
      <c r="H1367" s="2">
        <v>0</v>
      </c>
      <c r="I1367" s="1" t="s">
        <v>13</v>
      </c>
      <c r="J1367" s="1" t="s">
        <v>13</v>
      </c>
      <c r="K1367" s="1" t="s">
        <v>13</v>
      </c>
      <c r="L1367" s="1" t="s">
        <v>13</v>
      </c>
      <c r="M1367" s="6" t="str">
        <f>_xlfn.CONCAT(Table1[[#This Row],[Billing Street]], ", ", Table1[[#This Row],[Billing City]], ", ", Table1[[#This Row],[Billing State/Province]], ", ", Table1[[#This Row],[Billing Zip/Postal Code]])</f>
        <v xml:space="preserve">, , , </v>
      </c>
    </row>
    <row r="1368" spans="1:13" ht="15.6" hidden="1" x14ac:dyDescent="0.3">
      <c r="A1368" s="1" t="s">
        <v>4445</v>
      </c>
      <c r="B1368" s="1"/>
      <c r="C1368" s="1"/>
      <c r="D1368" s="1"/>
      <c r="E1368" s="1"/>
      <c r="F1368" s="1"/>
      <c r="G1368" s="1" t="s">
        <v>8</v>
      </c>
      <c r="H1368" s="2">
        <v>311</v>
      </c>
      <c r="I1368" s="1" t="s">
        <v>4446</v>
      </c>
      <c r="J1368" s="1" t="s">
        <v>4447</v>
      </c>
      <c r="K1368" s="1" t="s">
        <v>51</v>
      </c>
      <c r="L1368" s="1" t="s">
        <v>4448</v>
      </c>
      <c r="M1368" s="6" t="str">
        <f>_xlfn.CONCAT(Table1[[#This Row],[Billing Street]], ", ", Table1[[#This Row],[Billing City]], ", ", Table1[[#This Row],[Billing State/Province]], ", ", Table1[[#This Row],[Billing Zip/Postal Code]])</f>
        <v>100 East Weatherford Street, Fort Worth, TX, 76102</v>
      </c>
    </row>
    <row r="1369" spans="1:13" ht="15.6" hidden="1" x14ac:dyDescent="0.3">
      <c r="A1369" s="1" t="s">
        <v>4449</v>
      </c>
      <c r="B1369" s="1"/>
      <c r="C1369" s="1"/>
      <c r="D1369" s="1"/>
      <c r="E1369" s="1"/>
      <c r="F1369" s="1"/>
      <c r="G1369" s="1" t="s">
        <v>43</v>
      </c>
      <c r="H1369" s="2">
        <v>555</v>
      </c>
      <c r="I1369" s="1" t="s">
        <v>4450</v>
      </c>
      <c r="J1369" s="1" t="s">
        <v>4451</v>
      </c>
      <c r="K1369" s="1" t="s">
        <v>2359</v>
      </c>
      <c r="L1369" s="1" t="s">
        <v>4452</v>
      </c>
      <c r="M1369" s="6" t="str">
        <f>_xlfn.CONCAT(Table1[[#This Row],[Billing Street]], ", ", Table1[[#This Row],[Billing City]], ", ", Table1[[#This Row],[Billing State/Province]], ", ", Table1[[#This Row],[Billing Zip/Postal Code]])</f>
        <v>122 Willey Rd, Milton Mills, NH, 03852</v>
      </c>
    </row>
    <row r="1370" spans="1:13" ht="15.6" x14ac:dyDescent="0.3">
      <c r="A1370" s="1" t="s">
        <v>4453</v>
      </c>
      <c r="B1370" s="1"/>
      <c r="C1370" s="1"/>
      <c r="D1370" s="1"/>
      <c r="E1370" s="1"/>
      <c r="F1370" s="1"/>
      <c r="G1370" s="1" t="s">
        <v>24</v>
      </c>
      <c r="H1370" s="2">
        <v>304</v>
      </c>
      <c r="I1370" s="1" t="s">
        <v>4454</v>
      </c>
      <c r="J1370" s="1" t="s">
        <v>2816</v>
      </c>
      <c r="K1370" s="1" t="s">
        <v>36</v>
      </c>
      <c r="L1370" s="1" t="s">
        <v>2817</v>
      </c>
      <c r="M1370" s="6" t="str">
        <f>_xlfn.CONCAT(Table1[[#This Row],[Billing Street]], ", ", Table1[[#This Row],[Billing City]], ", ", Table1[[#This Row],[Billing State/Province]], ", ", Table1[[#This Row],[Billing Zip/Postal Code]])</f>
        <v>5551 W. Ponkan Rd, Apopka, FL, 32703</v>
      </c>
    </row>
    <row r="1371" spans="1:13" ht="15.6" hidden="1" x14ac:dyDescent="0.3">
      <c r="A1371" s="1" t="s">
        <v>4455</v>
      </c>
      <c r="B1371" s="1"/>
      <c r="C1371" s="1"/>
      <c r="D1371" s="1"/>
      <c r="E1371" s="1"/>
      <c r="F1371" s="1"/>
      <c r="G1371" s="1" t="s">
        <v>13</v>
      </c>
      <c r="H1371" s="2">
        <v>0</v>
      </c>
      <c r="I1371" s="1" t="s">
        <v>13</v>
      </c>
      <c r="J1371" s="1" t="s">
        <v>13</v>
      </c>
      <c r="K1371" s="1" t="s">
        <v>13</v>
      </c>
      <c r="L1371" s="1" t="s">
        <v>13</v>
      </c>
      <c r="M1371" s="6" t="str">
        <f>_xlfn.CONCAT(Table1[[#This Row],[Billing Street]], ", ", Table1[[#This Row],[Billing City]], ", ", Table1[[#This Row],[Billing State/Province]], ", ", Table1[[#This Row],[Billing Zip/Postal Code]])</f>
        <v xml:space="preserve">, , , </v>
      </c>
    </row>
    <row r="1372" spans="1:13" ht="15.6" x14ac:dyDescent="0.3">
      <c r="A1372" s="1" t="s">
        <v>4456</v>
      </c>
      <c r="B1372" s="1"/>
      <c r="C1372" s="1"/>
      <c r="D1372" s="1"/>
      <c r="E1372" s="1"/>
      <c r="F1372" s="1"/>
      <c r="G1372" s="1" t="s">
        <v>24</v>
      </c>
      <c r="H1372" s="2">
        <v>5988</v>
      </c>
      <c r="I1372" s="1" t="s">
        <v>4457</v>
      </c>
      <c r="J1372" s="1" t="s">
        <v>305</v>
      </c>
      <c r="K1372" s="1" t="s">
        <v>26</v>
      </c>
      <c r="L1372" s="1" t="s">
        <v>4458</v>
      </c>
      <c r="M1372" s="6" t="str">
        <f>_xlfn.CONCAT(Table1[[#This Row],[Billing Street]], ", ", Table1[[#This Row],[Billing City]], ", ", Table1[[#This Row],[Billing State/Province]], ", ", Table1[[#This Row],[Billing Zip/Postal Code]])</f>
        <v>1015 Temple Avenue South, Fayette, AL, 36555</v>
      </c>
    </row>
    <row r="1373" spans="1:13" ht="15.6" hidden="1" x14ac:dyDescent="0.3">
      <c r="A1373" s="1" t="s">
        <v>4459</v>
      </c>
      <c r="B1373" s="1"/>
      <c r="C1373" s="1"/>
      <c r="D1373" s="1"/>
      <c r="E1373" s="1"/>
      <c r="F1373" s="1"/>
      <c r="G1373" s="1" t="s">
        <v>98</v>
      </c>
      <c r="H1373" s="2">
        <v>303</v>
      </c>
      <c r="I1373" s="1" t="s">
        <v>4460</v>
      </c>
      <c r="J1373" s="1" t="s">
        <v>4461</v>
      </c>
      <c r="K1373" s="1" t="s">
        <v>234</v>
      </c>
      <c r="L1373" s="1" t="s">
        <v>4462</v>
      </c>
      <c r="M1373" s="6" t="str">
        <f>_xlfn.CONCAT(Table1[[#This Row],[Billing Street]], ", ", Table1[[#This Row],[Billing City]], ", ", Table1[[#This Row],[Billing State/Province]], ", ", Table1[[#This Row],[Billing Zip/Postal Code]])</f>
        <v>3700 Clay Pond Road, Myrtle Beach, SC, 29579</v>
      </c>
    </row>
    <row r="1374" spans="1:13" ht="15.6" x14ac:dyDescent="0.3">
      <c r="A1374" s="1" t="s">
        <v>4463</v>
      </c>
      <c r="B1374" s="1"/>
      <c r="C1374" s="1"/>
      <c r="D1374" s="1"/>
      <c r="E1374" s="1"/>
      <c r="F1374" s="1"/>
      <c r="G1374" s="1" t="s">
        <v>24</v>
      </c>
      <c r="H1374" s="2">
        <v>263</v>
      </c>
      <c r="I1374" s="1" t="s">
        <v>4464</v>
      </c>
      <c r="J1374" s="1" t="s">
        <v>4465</v>
      </c>
      <c r="K1374" s="1" t="s">
        <v>36</v>
      </c>
      <c r="L1374" s="1" t="s">
        <v>4466</v>
      </c>
      <c r="M1374" s="6" t="str">
        <f>_xlfn.CONCAT(Table1[[#This Row],[Billing Street]], ", ", Table1[[#This Row],[Billing City]], ", ", Table1[[#This Row],[Billing State/Province]], ", ", Table1[[#This Row],[Billing Zip/Postal Code]])</f>
        <v>6640 FL-42, Hudson, FL, 34667</v>
      </c>
    </row>
    <row r="1375" spans="1:13" ht="15.6" hidden="1" x14ac:dyDescent="0.3">
      <c r="A1375" s="1" t="s">
        <v>4467</v>
      </c>
      <c r="B1375" s="1"/>
      <c r="C1375" s="1"/>
      <c r="D1375" s="1"/>
      <c r="E1375" s="1"/>
      <c r="F1375" s="1"/>
      <c r="G1375" s="1" t="s">
        <v>13</v>
      </c>
      <c r="H1375" s="2">
        <v>0</v>
      </c>
      <c r="I1375" s="1" t="s">
        <v>13</v>
      </c>
      <c r="J1375" s="1" t="s">
        <v>13</v>
      </c>
      <c r="K1375" s="1" t="s">
        <v>13</v>
      </c>
      <c r="L1375" s="1" t="s">
        <v>13</v>
      </c>
      <c r="M1375" s="6" t="str">
        <f>_xlfn.CONCAT(Table1[[#This Row],[Billing Street]], ", ", Table1[[#This Row],[Billing City]], ", ", Table1[[#This Row],[Billing State/Province]], ", ", Table1[[#This Row],[Billing Zip/Postal Code]])</f>
        <v xml:space="preserve">, , , </v>
      </c>
    </row>
    <row r="1376" spans="1:13" ht="15.6" hidden="1" x14ac:dyDescent="0.3">
      <c r="A1376" s="1" t="s">
        <v>4468</v>
      </c>
      <c r="B1376" s="1"/>
      <c r="C1376" s="1"/>
      <c r="D1376" s="1"/>
      <c r="E1376" s="1"/>
      <c r="F1376" s="1"/>
      <c r="G1376" s="1" t="s">
        <v>43</v>
      </c>
      <c r="H1376" s="2">
        <v>364</v>
      </c>
      <c r="I1376" s="1" t="s">
        <v>4469</v>
      </c>
      <c r="J1376" s="1" t="s">
        <v>4470</v>
      </c>
      <c r="K1376" s="1" t="s">
        <v>4471</v>
      </c>
      <c r="L1376" s="1" t="s">
        <v>4472</v>
      </c>
      <c r="M1376" s="6" t="str">
        <f>_xlfn.CONCAT(Table1[[#This Row],[Billing Street]], ", ", Table1[[#This Row],[Billing City]], ", ", Table1[[#This Row],[Billing State/Province]], ", ", Table1[[#This Row],[Billing Zip/Postal Code]])</f>
        <v>100 Stellarator Rd, Princeton, New Jersey, 08540</v>
      </c>
    </row>
    <row r="1377" spans="1:13" ht="15.6" hidden="1" x14ac:dyDescent="0.3">
      <c r="A1377" s="1" t="s">
        <v>4473</v>
      </c>
      <c r="B1377" s="1"/>
      <c r="C1377" s="1"/>
      <c r="D1377" s="1"/>
      <c r="E1377" s="1"/>
      <c r="F1377" s="1"/>
      <c r="G1377" s="1" t="s">
        <v>48</v>
      </c>
      <c r="H1377" s="2">
        <v>0</v>
      </c>
      <c r="I1377" s="1" t="s">
        <v>4474</v>
      </c>
      <c r="J1377" s="1" t="s">
        <v>4475</v>
      </c>
      <c r="K1377" s="1" t="s">
        <v>51</v>
      </c>
      <c r="L1377" s="1" t="s">
        <v>4476</v>
      </c>
      <c r="M1377" s="6" t="str">
        <f>_xlfn.CONCAT(Table1[[#This Row],[Billing Street]], ", ", Table1[[#This Row],[Billing City]], ", ", Table1[[#This Row],[Billing State/Province]], ", ", Table1[[#This Row],[Billing Zip/Postal Code]])</f>
        <v>4775 M.L.K. Jr. Parkway, Beaumont, TX, 77705</v>
      </c>
    </row>
    <row r="1378" spans="1:13" ht="15.6" hidden="1" x14ac:dyDescent="0.3">
      <c r="A1378" s="1" t="s">
        <v>4477</v>
      </c>
      <c r="B1378" s="1"/>
      <c r="C1378" s="1"/>
      <c r="D1378" s="1"/>
      <c r="E1378" s="1"/>
      <c r="F1378" s="1"/>
      <c r="G1378" s="1" t="s">
        <v>13</v>
      </c>
      <c r="H1378" s="2">
        <v>0</v>
      </c>
      <c r="I1378" s="1" t="s">
        <v>13</v>
      </c>
      <c r="J1378" s="1" t="s">
        <v>13</v>
      </c>
      <c r="K1378" s="1" t="s">
        <v>13</v>
      </c>
      <c r="L1378" s="1" t="s">
        <v>13</v>
      </c>
      <c r="M1378" s="6" t="str">
        <f>_xlfn.CONCAT(Table1[[#This Row],[Billing Street]], ", ", Table1[[#This Row],[Billing City]], ", ", Table1[[#This Row],[Billing State/Province]], ", ", Table1[[#This Row],[Billing Zip/Postal Code]])</f>
        <v xml:space="preserve">, , , </v>
      </c>
    </row>
    <row r="1379" spans="1:13" ht="15.6" hidden="1" x14ac:dyDescent="0.3">
      <c r="A1379" s="1" t="s">
        <v>4478</v>
      </c>
      <c r="B1379" s="1"/>
      <c r="C1379" s="1"/>
      <c r="D1379" s="1"/>
      <c r="E1379" s="1"/>
      <c r="F1379" s="1"/>
      <c r="G1379" s="1" t="s">
        <v>13</v>
      </c>
      <c r="H1379" s="2">
        <v>0</v>
      </c>
      <c r="I1379" s="1" t="s">
        <v>13</v>
      </c>
      <c r="J1379" s="1" t="s">
        <v>13</v>
      </c>
      <c r="K1379" s="1" t="s">
        <v>13</v>
      </c>
      <c r="L1379" s="1" t="s">
        <v>13</v>
      </c>
      <c r="M1379" s="6" t="str">
        <f>_xlfn.CONCAT(Table1[[#This Row],[Billing Street]], ", ", Table1[[#This Row],[Billing City]], ", ", Table1[[#This Row],[Billing State/Province]], ", ", Table1[[#This Row],[Billing Zip/Postal Code]])</f>
        <v xml:space="preserve">, , , </v>
      </c>
    </row>
    <row r="1380" spans="1:13" ht="15.6" hidden="1" x14ac:dyDescent="0.3">
      <c r="A1380" s="1" t="s">
        <v>4479</v>
      </c>
      <c r="B1380" s="1"/>
      <c r="C1380" s="1"/>
      <c r="D1380" s="1"/>
      <c r="E1380" s="1"/>
      <c r="F1380" s="1"/>
      <c r="G1380" s="1" t="s">
        <v>13</v>
      </c>
      <c r="H1380" s="2">
        <v>0</v>
      </c>
      <c r="I1380" s="1" t="s">
        <v>13</v>
      </c>
      <c r="J1380" s="1" t="s">
        <v>13</v>
      </c>
      <c r="K1380" s="1" t="s">
        <v>13</v>
      </c>
      <c r="L1380" s="1" t="s">
        <v>13</v>
      </c>
      <c r="M1380" s="6" t="str">
        <f>_xlfn.CONCAT(Table1[[#This Row],[Billing Street]], ", ", Table1[[#This Row],[Billing City]], ", ", Table1[[#This Row],[Billing State/Province]], ", ", Table1[[#This Row],[Billing Zip/Postal Code]])</f>
        <v xml:space="preserve">, , , </v>
      </c>
    </row>
    <row r="1381" spans="1:13" ht="15.6" hidden="1" x14ac:dyDescent="0.3">
      <c r="A1381" s="1" t="s">
        <v>4480</v>
      </c>
      <c r="B1381" s="1"/>
      <c r="C1381" s="1"/>
      <c r="D1381" s="1"/>
      <c r="E1381" s="1"/>
      <c r="F1381" s="1"/>
      <c r="G1381" s="1" t="s">
        <v>13</v>
      </c>
      <c r="H1381" s="2">
        <v>0</v>
      </c>
      <c r="I1381" s="1" t="s">
        <v>13</v>
      </c>
      <c r="J1381" s="1" t="s">
        <v>13</v>
      </c>
      <c r="K1381" s="1" t="s">
        <v>13</v>
      </c>
      <c r="L1381" s="1" t="s">
        <v>13</v>
      </c>
      <c r="M1381" s="6" t="str">
        <f>_xlfn.CONCAT(Table1[[#This Row],[Billing Street]], ", ", Table1[[#This Row],[Billing City]], ", ", Table1[[#This Row],[Billing State/Province]], ", ", Table1[[#This Row],[Billing Zip/Postal Code]])</f>
        <v xml:space="preserve">, , , </v>
      </c>
    </row>
    <row r="1382" spans="1:13" ht="15.6" hidden="1" x14ac:dyDescent="0.3">
      <c r="A1382" s="1" t="s">
        <v>4481</v>
      </c>
      <c r="B1382" s="1"/>
      <c r="C1382" s="1"/>
      <c r="D1382" s="1"/>
      <c r="E1382" s="1"/>
      <c r="F1382" s="1"/>
      <c r="G1382" s="1" t="s">
        <v>13</v>
      </c>
      <c r="H1382" s="2">
        <v>0</v>
      </c>
      <c r="I1382" s="1" t="s">
        <v>13</v>
      </c>
      <c r="J1382" s="1" t="s">
        <v>13</v>
      </c>
      <c r="K1382" s="1" t="s">
        <v>13</v>
      </c>
      <c r="L1382" s="1" t="s">
        <v>13</v>
      </c>
      <c r="M1382" s="6" t="str">
        <f>_xlfn.CONCAT(Table1[[#This Row],[Billing Street]], ", ", Table1[[#This Row],[Billing City]], ", ", Table1[[#This Row],[Billing State/Province]], ", ", Table1[[#This Row],[Billing Zip/Postal Code]])</f>
        <v xml:space="preserve">, , , </v>
      </c>
    </row>
    <row r="1383" spans="1:13" ht="15.6" hidden="1" x14ac:dyDescent="0.3">
      <c r="A1383" s="1" t="s">
        <v>4482</v>
      </c>
      <c r="B1383" s="1"/>
      <c r="C1383" s="1"/>
      <c r="D1383" s="1"/>
      <c r="E1383" s="1"/>
      <c r="F1383" s="1"/>
      <c r="G1383" s="1" t="s">
        <v>13</v>
      </c>
      <c r="H1383" s="2">
        <v>0</v>
      </c>
      <c r="I1383" s="1" t="s">
        <v>13</v>
      </c>
      <c r="J1383" s="1" t="s">
        <v>13</v>
      </c>
      <c r="K1383" s="1" t="s">
        <v>13</v>
      </c>
      <c r="L1383" s="1" t="s">
        <v>13</v>
      </c>
      <c r="M1383" s="6" t="str">
        <f>_xlfn.CONCAT(Table1[[#This Row],[Billing Street]], ", ", Table1[[#This Row],[Billing City]], ", ", Table1[[#This Row],[Billing State/Province]], ", ", Table1[[#This Row],[Billing Zip/Postal Code]])</f>
        <v xml:space="preserve">, , , </v>
      </c>
    </row>
    <row r="1384" spans="1:13" ht="15.6" hidden="1" x14ac:dyDescent="0.3">
      <c r="A1384" s="1" t="s">
        <v>4483</v>
      </c>
      <c r="B1384" s="1"/>
      <c r="C1384" s="1"/>
      <c r="D1384" s="1"/>
      <c r="E1384" s="1"/>
      <c r="F1384" s="1"/>
      <c r="G1384" s="1" t="s">
        <v>13</v>
      </c>
      <c r="H1384" s="2">
        <v>0</v>
      </c>
      <c r="I1384" s="1" t="s">
        <v>13</v>
      </c>
      <c r="J1384" s="1" t="s">
        <v>13</v>
      </c>
      <c r="K1384" s="1" t="s">
        <v>13</v>
      </c>
      <c r="L1384" s="1" t="s">
        <v>13</v>
      </c>
      <c r="M1384" s="6" t="str">
        <f>_xlfn.CONCAT(Table1[[#This Row],[Billing Street]], ", ", Table1[[#This Row],[Billing City]], ", ", Table1[[#This Row],[Billing State/Province]], ", ", Table1[[#This Row],[Billing Zip/Postal Code]])</f>
        <v xml:space="preserve">, , , </v>
      </c>
    </row>
    <row r="1385" spans="1:13" ht="15.6" hidden="1" x14ac:dyDescent="0.3">
      <c r="A1385" s="1" t="s">
        <v>4484</v>
      </c>
      <c r="B1385" s="1"/>
      <c r="C1385" s="1"/>
      <c r="D1385" s="1"/>
      <c r="E1385" s="1"/>
      <c r="F1385" s="1"/>
      <c r="G1385" s="1" t="s">
        <v>8</v>
      </c>
      <c r="H1385" s="2">
        <v>395</v>
      </c>
      <c r="I1385" s="1" t="s">
        <v>4485</v>
      </c>
      <c r="J1385" s="1" t="s">
        <v>4486</v>
      </c>
      <c r="K1385" s="1" t="s">
        <v>4343</v>
      </c>
      <c r="L1385" s="1" t="s">
        <v>4487</v>
      </c>
      <c r="M1385" s="6" t="str">
        <f>_xlfn.CONCAT(Table1[[#This Row],[Billing Street]], ", ", Table1[[#This Row],[Billing City]], ", ", Table1[[#This Row],[Billing State/Province]], ", ", Table1[[#This Row],[Billing Zip/Postal Code]])</f>
        <v>7616 Bagby Ave, Waco, Texas, 76712</v>
      </c>
    </row>
    <row r="1386" spans="1:13" ht="15.6" hidden="1" x14ac:dyDescent="0.3">
      <c r="A1386" s="1" t="s">
        <v>4488</v>
      </c>
      <c r="B1386" s="1"/>
      <c r="C1386" s="1"/>
      <c r="D1386" s="1"/>
      <c r="E1386" s="1"/>
      <c r="F1386" s="1"/>
      <c r="G1386" s="1" t="s">
        <v>43</v>
      </c>
      <c r="H1386" s="2">
        <v>5776</v>
      </c>
      <c r="I1386" s="1" t="s">
        <v>13</v>
      </c>
      <c r="J1386" s="1" t="s">
        <v>4489</v>
      </c>
      <c r="K1386" s="1" t="s">
        <v>671</v>
      </c>
      <c r="L1386" s="1" t="s">
        <v>13</v>
      </c>
      <c r="M1386" s="6" t="str">
        <f>_xlfn.CONCAT(Table1[[#This Row],[Billing Street]], ", ", Table1[[#This Row],[Billing City]], ", ", Table1[[#This Row],[Billing State/Province]], ", ", Table1[[#This Row],[Billing Zip/Postal Code]])</f>
        <v xml:space="preserve">, Nesconsett, NY, </v>
      </c>
    </row>
    <row r="1387" spans="1:13" ht="15.6" hidden="1" x14ac:dyDescent="0.3">
      <c r="A1387" s="1" t="s">
        <v>4490</v>
      </c>
      <c r="B1387" s="1"/>
      <c r="C1387" s="1"/>
      <c r="D1387" s="1"/>
      <c r="E1387" s="1"/>
      <c r="F1387" s="1"/>
      <c r="G1387" s="1" t="s">
        <v>48</v>
      </c>
      <c r="H1387" s="2">
        <v>0</v>
      </c>
      <c r="I1387" s="1" t="s">
        <v>4491</v>
      </c>
      <c r="J1387" s="1" t="s">
        <v>4492</v>
      </c>
      <c r="K1387" s="1" t="s">
        <v>237</v>
      </c>
      <c r="L1387" s="1" t="s">
        <v>4493</v>
      </c>
      <c r="M1387" s="6" t="str">
        <f>_xlfn.CONCAT(Table1[[#This Row],[Billing Street]], ", ", Table1[[#This Row],[Billing City]], ", ", Table1[[#This Row],[Billing State/Province]], ", ", Table1[[#This Row],[Billing Zip/Postal Code]])</f>
        <v>2755 Raystone Drive, Valparaiso, IN, 46383</v>
      </c>
    </row>
    <row r="1388" spans="1:13" ht="15.6" x14ac:dyDescent="0.3">
      <c r="A1388" s="1" t="s">
        <v>4494</v>
      </c>
      <c r="B1388" s="1"/>
      <c r="C1388" s="1"/>
      <c r="D1388" s="1"/>
      <c r="E1388" s="1"/>
      <c r="F1388" s="1"/>
      <c r="G1388" s="1" t="s">
        <v>24</v>
      </c>
      <c r="H1388" s="2">
        <v>404</v>
      </c>
      <c r="I1388" s="1" t="s">
        <v>4495</v>
      </c>
      <c r="J1388" s="1" t="s">
        <v>4496</v>
      </c>
      <c r="K1388" s="1" t="s">
        <v>577</v>
      </c>
      <c r="L1388" s="1" t="s">
        <v>4497</v>
      </c>
      <c r="M1388" s="6" t="str">
        <f>_xlfn.CONCAT(Table1[[#This Row],[Billing Street]], ", ", Table1[[#This Row],[Billing City]], ", ", Table1[[#This Row],[Billing State/Province]], ", ", Table1[[#This Row],[Billing Zip/Postal Code]])</f>
        <v>1201 Hull Avenue, Ruston, LA, 71272</v>
      </c>
    </row>
    <row r="1389" spans="1:13" ht="15.6" x14ac:dyDescent="0.3">
      <c r="A1389" s="1" t="s">
        <v>4498</v>
      </c>
      <c r="B1389" s="1"/>
      <c r="C1389" s="1"/>
      <c r="D1389" s="1"/>
      <c r="E1389" s="1"/>
      <c r="F1389" s="1"/>
      <c r="G1389" s="1" t="s">
        <v>24</v>
      </c>
      <c r="H1389" s="2">
        <v>494</v>
      </c>
      <c r="I1389" s="1" t="s">
        <v>4499</v>
      </c>
      <c r="J1389" s="1" t="s">
        <v>2587</v>
      </c>
      <c r="K1389" s="1" t="s">
        <v>36</v>
      </c>
      <c r="L1389" s="1" t="s">
        <v>4500</v>
      </c>
      <c r="M1389" s="6" t="str">
        <f>_xlfn.CONCAT(Table1[[#This Row],[Billing Street]], ", ", Table1[[#This Row],[Billing City]], ", ", Table1[[#This Row],[Billing State/Province]], ", ", Table1[[#This Row],[Billing Zip/Postal Code]])</f>
        <v>4970 SW 72 Ave, Miami, FL, 33155</v>
      </c>
    </row>
    <row r="1390" spans="1:13" ht="15.6" hidden="1" x14ac:dyDescent="0.3">
      <c r="A1390" s="1" t="s">
        <v>4501</v>
      </c>
      <c r="B1390" s="1"/>
      <c r="C1390" s="1"/>
      <c r="D1390" s="1"/>
      <c r="E1390" s="1"/>
      <c r="F1390" s="1"/>
      <c r="G1390" s="1" t="s">
        <v>8</v>
      </c>
      <c r="H1390" s="2">
        <v>115</v>
      </c>
      <c r="I1390" s="1" t="s">
        <v>4502</v>
      </c>
      <c r="J1390" s="1" t="s">
        <v>2644</v>
      </c>
      <c r="K1390" s="1" t="s">
        <v>554</v>
      </c>
      <c r="L1390" s="1" t="s">
        <v>4503</v>
      </c>
      <c r="M1390" s="6" t="str">
        <f>_xlfn.CONCAT(Table1[[#This Row],[Billing Street]], ", ", Table1[[#This Row],[Billing City]], ", ", Table1[[#This Row],[Billing State/Province]], ", ", Table1[[#This Row],[Billing Zip/Postal Code]])</f>
        <v>1324 N Oliver Rd, Newton, KS, 67114</v>
      </c>
    </row>
    <row r="1391" spans="1:13" ht="15.6" hidden="1" x14ac:dyDescent="0.3">
      <c r="A1391" s="1" t="s">
        <v>4504</v>
      </c>
      <c r="B1391" s="1"/>
      <c r="C1391" s="1"/>
      <c r="D1391" s="1"/>
      <c r="E1391" s="1"/>
      <c r="F1391" s="1"/>
      <c r="G1391" s="1" t="s">
        <v>13</v>
      </c>
      <c r="H1391" s="2">
        <v>0</v>
      </c>
      <c r="I1391" s="1" t="s">
        <v>13</v>
      </c>
      <c r="J1391" s="1" t="s">
        <v>13</v>
      </c>
      <c r="K1391" s="1" t="s">
        <v>13</v>
      </c>
      <c r="L1391" s="1" t="s">
        <v>13</v>
      </c>
      <c r="M1391" s="6" t="str">
        <f>_xlfn.CONCAT(Table1[[#This Row],[Billing Street]], ", ", Table1[[#This Row],[Billing City]], ", ", Table1[[#This Row],[Billing State/Province]], ", ", Table1[[#This Row],[Billing Zip/Postal Code]])</f>
        <v xml:space="preserve">, , , </v>
      </c>
    </row>
    <row r="1392" spans="1:13" ht="15.6" hidden="1" x14ac:dyDescent="0.3">
      <c r="A1392" s="1" t="s">
        <v>4505</v>
      </c>
      <c r="B1392" s="1"/>
      <c r="C1392" s="1"/>
      <c r="D1392" s="1"/>
      <c r="E1392" s="1"/>
      <c r="F1392" s="1"/>
      <c r="G1392" s="1" t="s">
        <v>48</v>
      </c>
      <c r="H1392" s="2">
        <v>0</v>
      </c>
      <c r="I1392" s="1" t="s">
        <v>4506</v>
      </c>
      <c r="J1392" s="1" t="s">
        <v>4402</v>
      </c>
      <c r="K1392" s="1" t="s">
        <v>577</v>
      </c>
      <c r="L1392" s="1" t="s">
        <v>4507</v>
      </c>
      <c r="M1392" s="6" t="str">
        <f>_xlfn.CONCAT(Table1[[#This Row],[Billing Street]], ", ", Table1[[#This Row],[Billing City]], ", ", Table1[[#This Row],[Billing State/Province]], ", ", Table1[[#This Row],[Billing Zip/Postal Code]])</f>
        <v>P.O.  Box  15276, Baton Rouge, LA, 70895</v>
      </c>
    </row>
    <row r="1393" spans="1:13" ht="15.6" hidden="1" x14ac:dyDescent="0.3">
      <c r="A1393" s="1" t="s">
        <v>4508</v>
      </c>
      <c r="B1393" s="1"/>
      <c r="C1393" s="1"/>
      <c r="D1393" s="1"/>
      <c r="E1393" s="1"/>
      <c r="F1393" s="1"/>
      <c r="G1393" s="1" t="s">
        <v>13</v>
      </c>
      <c r="H1393" s="2">
        <v>0</v>
      </c>
      <c r="I1393" s="1" t="s">
        <v>13</v>
      </c>
      <c r="J1393" s="1" t="s">
        <v>13</v>
      </c>
      <c r="K1393" s="1" t="s">
        <v>13</v>
      </c>
      <c r="L1393" s="1" t="s">
        <v>13</v>
      </c>
      <c r="M1393" s="6" t="str">
        <f>_xlfn.CONCAT(Table1[[#This Row],[Billing Street]], ", ", Table1[[#This Row],[Billing City]], ", ", Table1[[#This Row],[Billing State/Province]], ", ", Table1[[#This Row],[Billing Zip/Postal Code]])</f>
        <v xml:space="preserve">, , , </v>
      </c>
    </row>
    <row r="1394" spans="1:13" ht="15.6" hidden="1" x14ac:dyDescent="0.3">
      <c r="A1394" s="1" t="s">
        <v>4509</v>
      </c>
      <c r="B1394" s="1"/>
      <c r="C1394" s="1"/>
      <c r="D1394" s="1"/>
      <c r="E1394" s="1"/>
      <c r="F1394" s="1"/>
      <c r="G1394" s="1" t="s">
        <v>8</v>
      </c>
      <c r="H1394" s="2">
        <v>573</v>
      </c>
      <c r="I1394" s="1" t="s">
        <v>4510</v>
      </c>
      <c r="J1394" s="1" t="s">
        <v>4511</v>
      </c>
      <c r="K1394" s="1" t="s">
        <v>410</v>
      </c>
      <c r="L1394" s="1" t="s">
        <v>4512</v>
      </c>
      <c r="M1394" s="6" t="str">
        <f>_xlfn.CONCAT(Table1[[#This Row],[Billing Street]], ", ", Table1[[#This Row],[Billing City]], ", ", Table1[[#This Row],[Billing State/Province]], ", ", Table1[[#This Row],[Billing Zip/Postal Code]])</f>
        <v>702 city shop road, Torrington, WY, 82240</v>
      </c>
    </row>
    <row r="1395" spans="1:13" ht="15.6" hidden="1" x14ac:dyDescent="0.3">
      <c r="A1395" s="1" t="s">
        <v>4513</v>
      </c>
      <c r="B1395" s="1"/>
      <c r="C1395" s="1"/>
      <c r="D1395" s="1"/>
      <c r="E1395" s="1"/>
      <c r="F1395" s="1"/>
      <c r="G1395" s="1" t="s">
        <v>8</v>
      </c>
      <c r="H1395" s="2">
        <v>671</v>
      </c>
      <c r="I1395" s="1" t="s">
        <v>4514</v>
      </c>
      <c r="J1395" s="1" t="s">
        <v>4515</v>
      </c>
      <c r="K1395" s="1" t="s">
        <v>410</v>
      </c>
      <c r="L1395" s="1" t="s">
        <v>4516</v>
      </c>
      <c r="M1395" s="6" t="str">
        <f>_xlfn.CONCAT(Table1[[#This Row],[Billing Street]], ", ", Table1[[#This Row],[Billing City]], ", ", Table1[[#This Row],[Billing State/Province]], ", ", Table1[[#This Row],[Billing Zip/Postal Code]])</f>
        <v>100 E Willow Avenue, Saratoga, WY, 82331</v>
      </c>
    </row>
    <row r="1396" spans="1:13" ht="15.6" hidden="1" x14ac:dyDescent="0.3">
      <c r="A1396" s="1" t="s">
        <v>4517</v>
      </c>
      <c r="B1396" s="1"/>
      <c r="C1396" s="1"/>
      <c r="D1396" s="1"/>
      <c r="E1396" s="1"/>
      <c r="F1396" s="1"/>
      <c r="G1396" s="1" t="s">
        <v>8</v>
      </c>
      <c r="H1396" s="2">
        <v>691</v>
      </c>
      <c r="I1396" s="1" t="s">
        <v>4518</v>
      </c>
      <c r="J1396" s="1" t="s">
        <v>4519</v>
      </c>
      <c r="K1396" s="1" t="s">
        <v>410</v>
      </c>
      <c r="L1396" s="1" t="s">
        <v>4520</v>
      </c>
      <c r="M1396" s="6" t="str">
        <f>_xlfn.CONCAT(Table1[[#This Row],[Billing Street]], ", ", Table1[[#This Row],[Billing City]], ", ", Table1[[#This Row],[Billing State/Province]], ", ", Table1[[#This Row],[Billing Zip/Postal Code]])</f>
        <v>441 Landmark Dr, Casper, WY, 82609</v>
      </c>
    </row>
    <row r="1397" spans="1:13" ht="15.6" hidden="1" x14ac:dyDescent="0.3">
      <c r="A1397" s="1" t="s">
        <v>4521</v>
      </c>
      <c r="B1397" s="1"/>
      <c r="C1397" s="1"/>
      <c r="D1397" s="1"/>
      <c r="E1397" s="1"/>
      <c r="F1397" s="1"/>
      <c r="G1397" s="1" t="s">
        <v>8</v>
      </c>
      <c r="H1397" s="2">
        <v>578</v>
      </c>
      <c r="I1397" s="1" t="s">
        <v>4522</v>
      </c>
      <c r="J1397" s="1" t="s">
        <v>4511</v>
      </c>
      <c r="K1397" s="1" t="s">
        <v>410</v>
      </c>
      <c r="L1397" s="1" t="s">
        <v>4512</v>
      </c>
      <c r="M1397" s="6" t="str">
        <f>_xlfn.CONCAT(Table1[[#This Row],[Billing Street]], ", ", Table1[[#This Row],[Billing City]], ", ", Table1[[#This Row],[Billing State/Province]], ", ", Table1[[#This Row],[Billing Zip/Postal Code]])</f>
        <v>3978 US Hwy 26/85, Torrington, WY, 82240</v>
      </c>
    </row>
    <row r="1398" spans="1:13" ht="15.6" hidden="1" x14ac:dyDescent="0.3">
      <c r="A1398" s="1" t="s">
        <v>4523</v>
      </c>
      <c r="B1398" s="1"/>
      <c r="C1398" s="1"/>
      <c r="D1398" s="1"/>
      <c r="E1398" s="1"/>
      <c r="F1398" s="1"/>
      <c r="G1398" s="1" t="s">
        <v>8</v>
      </c>
      <c r="H1398" s="2">
        <v>605</v>
      </c>
      <c r="I1398" s="1" t="s">
        <v>4524</v>
      </c>
      <c r="J1398" s="1" t="s">
        <v>4216</v>
      </c>
      <c r="K1398" s="1" t="s">
        <v>410</v>
      </c>
      <c r="L1398" s="1" t="s">
        <v>4525</v>
      </c>
      <c r="M1398" s="6" t="str">
        <f>_xlfn.CONCAT(Table1[[#This Row],[Billing Street]], ", ", Table1[[#This Row],[Billing City]], ", ", Table1[[#This Row],[Billing State/Province]], ", ", Table1[[#This Row],[Billing Zip/Postal Code]])</f>
        <v>347 Grayrock Road, Wheatland, WY, 802201</v>
      </c>
    </row>
    <row r="1399" spans="1:13" ht="15.6" hidden="1" x14ac:dyDescent="0.3">
      <c r="A1399" s="1" t="s">
        <v>4526</v>
      </c>
      <c r="B1399" s="1"/>
      <c r="C1399" s="1"/>
      <c r="D1399" s="1"/>
      <c r="E1399" s="1"/>
      <c r="F1399" s="1"/>
      <c r="G1399" s="1" t="s">
        <v>8</v>
      </c>
      <c r="H1399" s="2">
        <v>6528</v>
      </c>
      <c r="I1399" s="1" t="s">
        <v>13</v>
      </c>
      <c r="J1399" s="1" t="s">
        <v>4527</v>
      </c>
      <c r="K1399" s="1" t="s">
        <v>410</v>
      </c>
      <c r="L1399" s="1" t="s">
        <v>13</v>
      </c>
      <c r="M1399" s="6" t="str">
        <f>_xlfn.CONCAT(Table1[[#This Row],[Billing Street]], ", ", Table1[[#This Row],[Billing City]], ", ", Table1[[#This Row],[Billing State/Province]], ", ", Table1[[#This Row],[Billing Zip/Postal Code]])</f>
        <v xml:space="preserve">, Rock Springs, WY, </v>
      </c>
    </row>
    <row r="1400" spans="1:13" ht="15.6" hidden="1" x14ac:dyDescent="0.3">
      <c r="A1400" s="1" t="s">
        <v>4528</v>
      </c>
      <c r="B1400" s="1"/>
      <c r="C1400" s="1"/>
      <c r="D1400" s="1"/>
      <c r="E1400" s="1"/>
      <c r="F1400" s="1"/>
      <c r="G1400" s="1" t="s">
        <v>13</v>
      </c>
      <c r="H1400" s="2">
        <v>0</v>
      </c>
      <c r="I1400" s="1" t="s">
        <v>4529</v>
      </c>
      <c r="J1400" s="1" t="s">
        <v>4530</v>
      </c>
      <c r="K1400" s="1" t="s">
        <v>13</v>
      </c>
      <c r="L1400" s="1" t="s">
        <v>13</v>
      </c>
      <c r="M1400" s="6" t="str">
        <f>_xlfn.CONCAT(Table1[[#This Row],[Billing Street]], ", ", Table1[[#This Row],[Billing City]], ", ", Table1[[#This Row],[Billing State/Province]], ", ", Table1[[#This Row],[Billing Zip/Postal Code]])</f>
        <v xml:space="preserve">Calle Juan Ballenilla #35, Santo Domingo, , </v>
      </c>
    </row>
    <row r="1401" spans="1:13" ht="15.6" hidden="1" x14ac:dyDescent="0.3">
      <c r="A1401" s="1" t="s">
        <v>4531</v>
      </c>
      <c r="B1401" s="1"/>
      <c r="C1401" s="1"/>
      <c r="D1401" s="1"/>
      <c r="E1401" s="1"/>
      <c r="F1401" s="1"/>
      <c r="G1401" s="1" t="s">
        <v>43</v>
      </c>
      <c r="H1401" s="2">
        <v>399</v>
      </c>
      <c r="I1401" s="1" t="s">
        <v>4532</v>
      </c>
      <c r="J1401" s="1" t="s">
        <v>3754</v>
      </c>
      <c r="K1401" s="1" t="s">
        <v>152</v>
      </c>
      <c r="L1401" s="1" t="s">
        <v>4533</v>
      </c>
      <c r="M1401" s="6" t="str">
        <f>_xlfn.CONCAT(Table1[[#This Row],[Billing Street]], ", ", Table1[[#This Row],[Billing City]], ", ", Table1[[#This Row],[Billing State/Province]], ", ", Table1[[#This Row],[Billing Zip/Postal Code]])</f>
        <v>1925 Elmwood Rd, Rockford, IL, 61103</v>
      </c>
    </row>
    <row r="1402" spans="1:13" ht="15.6" x14ac:dyDescent="0.3">
      <c r="A1402" s="1" t="s">
        <v>4534</v>
      </c>
      <c r="B1402" s="1"/>
      <c r="C1402" s="1"/>
      <c r="D1402" s="1"/>
      <c r="E1402" s="1"/>
      <c r="F1402" s="1"/>
      <c r="G1402" s="1" t="s">
        <v>24</v>
      </c>
      <c r="H1402" s="2">
        <v>299</v>
      </c>
      <c r="I1402" s="1" t="s">
        <v>4535</v>
      </c>
      <c r="J1402" s="1" t="s">
        <v>4536</v>
      </c>
      <c r="K1402" s="1" t="s">
        <v>36</v>
      </c>
      <c r="L1402" s="1" t="s">
        <v>4537</v>
      </c>
      <c r="M1402" s="6" t="str">
        <f>_xlfn.CONCAT(Table1[[#This Row],[Billing Street]], ", ", Table1[[#This Row],[Billing City]], ", ", Table1[[#This Row],[Billing State/Province]], ", ", Table1[[#This Row],[Billing Zip/Postal Code]])</f>
        <v>6312 78th Street, Riverview, FL, 33578</v>
      </c>
    </row>
    <row r="1403" spans="1:13" ht="15.6" hidden="1" x14ac:dyDescent="0.3">
      <c r="A1403" s="1" t="s">
        <v>4538</v>
      </c>
      <c r="B1403" s="1"/>
      <c r="C1403" s="1"/>
      <c r="D1403" s="1"/>
      <c r="E1403" s="1"/>
      <c r="F1403" s="1"/>
      <c r="G1403" s="1" t="s">
        <v>13</v>
      </c>
      <c r="H1403" s="2">
        <v>0</v>
      </c>
      <c r="I1403" s="1" t="s">
        <v>4529</v>
      </c>
      <c r="J1403" s="1" t="s">
        <v>4530</v>
      </c>
      <c r="K1403" s="1" t="s">
        <v>13</v>
      </c>
      <c r="L1403" s="1" t="s">
        <v>13</v>
      </c>
      <c r="M1403" s="6" t="str">
        <f>_xlfn.CONCAT(Table1[[#This Row],[Billing Street]], ", ", Table1[[#This Row],[Billing City]], ", ", Table1[[#This Row],[Billing State/Province]], ", ", Table1[[#This Row],[Billing Zip/Postal Code]])</f>
        <v xml:space="preserve">Calle Juan Ballenilla #35, Santo Domingo, , </v>
      </c>
    </row>
    <row r="1404" spans="1:13" ht="15.6" hidden="1" x14ac:dyDescent="0.3">
      <c r="A1404" s="1" t="s">
        <v>4539</v>
      </c>
      <c r="B1404" s="1"/>
      <c r="C1404" s="1"/>
      <c r="D1404" s="1"/>
      <c r="E1404" s="1"/>
      <c r="F1404" s="1"/>
      <c r="G1404" s="1" t="s">
        <v>13</v>
      </c>
      <c r="H1404" s="2">
        <v>0</v>
      </c>
      <c r="I1404" s="1" t="s">
        <v>13</v>
      </c>
      <c r="J1404" s="1" t="s">
        <v>13</v>
      </c>
      <c r="K1404" s="1" t="s">
        <v>13</v>
      </c>
      <c r="L1404" s="1" t="s">
        <v>13</v>
      </c>
      <c r="M1404" s="6" t="str">
        <f>_xlfn.CONCAT(Table1[[#This Row],[Billing Street]], ", ", Table1[[#This Row],[Billing City]], ", ", Table1[[#This Row],[Billing State/Province]], ", ", Table1[[#This Row],[Billing Zip/Postal Code]])</f>
        <v xml:space="preserve">, , , </v>
      </c>
    </row>
    <row r="1405" spans="1:13" ht="15.6" hidden="1" x14ac:dyDescent="0.3">
      <c r="A1405" s="1" t="s">
        <v>4540</v>
      </c>
      <c r="B1405" s="1"/>
      <c r="C1405" s="1"/>
      <c r="D1405" s="1"/>
      <c r="E1405" s="1"/>
      <c r="F1405" s="1"/>
      <c r="G1405" s="1" t="s">
        <v>13</v>
      </c>
      <c r="H1405" s="2">
        <v>0</v>
      </c>
      <c r="I1405" s="1" t="s">
        <v>13</v>
      </c>
      <c r="J1405" s="1" t="s">
        <v>13</v>
      </c>
      <c r="K1405" s="1" t="s">
        <v>13</v>
      </c>
      <c r="L1405" s="1" t="s">
        <v>13</v>
      </c>
      <c r="M1405" s="6" t="str">
        <f>_xlfn.CONCAT(Table1[[#This Row],[Billing Street]], ", ", Table1[[#This Row],[Billing City]], ", ", Table1[[#This Row],[Billing State/Province]], ", ", Table1[[#This Row],[Billing Zip/Postal Code]])</f>
        <v xml:space="preserve">, , , </v>
      </c>
    </row>
    <row r="1406" spans="1:13" ht="15.6" hidden="1" x14ac:dyDescent="0.3">
      <c r="A1406" s="1" t="s">
        <v>4541</v>
      </c>
      <c r="B1406" s="1"/>
      <c r="C1406" s="1"/>
      <c r="D1406" s="1"/>
      <c r="E1406" s="1"/>
      <c r="F1406" s="1"/>
      <c r="G1406" s="1" t="s">
        <v>43</v>
      </c>
      <c r="H1406" s="2">
        <v>5776</v>
      </c>
      <c r="I1406" s="1" t="s">
        <v>4542</v>
      </c>
      <c r="J1406" s="1" t="s">
        <v>691</v>
      </c>
      <c r="K1406" s="1" t="s">
        <v>3104</v>
      </c>
      <c r="L1406" s="1" t="s">
        <v>4543</v>
      </c>
      <c r="M1406" s="6" t="str">
        <f>_xlfn.CONCAT(Table1[[#This Row],[Billing Street]], ", ", Table1[[#This Row],[Billing City]], ", ", Table1[[#This Row],[Billing State/Province]], ", ", Table1[[#This Row],[Billing Zip/Postal Code]])</f>
        <v>596 John St, Bridgeport, ct, 6604</v>
      </c>
    </row>
    <row r="1407" spans="1:13" ht="15.6" hidden="1" x14ac:dyDescent="0.3">
      <c r="A1407" s="1" t="s">
        <v>4544</v>
      </c>
      <c r="B1407" s="1"/>
      <c r="C1407" s="1"/>
      <c r="D1407" s="1"/>
      <c r="E1407" s="1"/>
      <c r="F1407" s="1"/>
      <c r="G1407" s="1" t="s">
        <v>13</v>
      </c>
      <c r="H1407" s="2">
        <v>0</v>
      </c>
      <c r="I1407" s="1" t="s">
        <v>13</v>
      </c>
      <c r="J1407" s="1" t="s">
        <v>13</v>
      </c>
      <c r="K1407" s="1" t="s">
        <v>13</v>
      </c>
      <c r="L1407" s="1" t="s">
        <v>13</v>
      </c>
      <c r="M1407" s="6" t="str">
        <f>_xlfn.CONCAT(Table1[[#This Row],[Billing Street]], ", ", Table1[[#This Row],[Billing City]], ", ", Table1[[#This Row],[Billing State/Province]], ", ", Table1[[#This Row],[Billing Zip/Postal Code]])</f>
        <v xml:space="preserve">, , , </v>
      </c>
    </row>
    <row r="1408" spans="1:13" ht="15.6" hidden="1" x14ac:dyDescent="0.3">
      <c r="A1408" s="1" t="s">
        <v>4545</v>
      </c>
      <c r="B1408" s="1"/>
      <c r="C1408" s="1"/>
      <c r="D1408" s="1"/>
      <c r="E1408" s="1"/>
      <c r="F1408" s="1"/>
      <c r="G1408" s="1" t="s">
        <v>13</v>
      </c>
      <c r="H1408" s="2">
        <v>0</v>
      </c>
      <c r="I1408" s="1" t="s">
        <v>4546</v>
      </c>
      <c r="J1408" s="1" t="s">
        <v>202</v>
      </c>
      <c r="K1408" s="1" t="s">
        <v>13</v>
      </c>
      <c r="L1408" s="1" t="s">
        <v>203</v>
      </c>
      <c r="M1408" s="6" t="str">
        <f>_xlfn.CONCAT(Table1[[#This Row],[Billing Street]], ", ", Table1[[#This Row],[Billing City]], ", ", Table1[[#This Row],[Billing State/Province]], ", ", Table1[[#This Row],[Billing Zip/Postal Code]])</f>
        <v>11117 River Run Blvd, 121A,, Bakersfield, , 93311</v>
      </c>
    </row>
    <row r="1409" spans="1:13" ht="15.6" hidden="1" x14ac:dyDescent="0.3">
      <c r="A1409" s="1" t="s">
        <v>4547</v>
      </c>
      <c r="B1409" s="1"/>
      <c r="C1409" s="1"/>
      <c r="D1409" s="1"/>
      <c r="E1409" s="1"/>
      <c r="F1409" s="1"/>
      <c r="G1409" s="1" t="s">
        <v>43</v>
      </c>
      <c r="H1409" s="2">
        <v>5776</v>
      </c>
      <c r="I1409" s="1" t="s">
        <v>13</v>
      </c>
      <c r="J1409" s="1" t="s">
        <v>4548</v>
      </c>
      <c r="K1409" s="1" t="s">
        <v>237</v>
      </c>
      <c r="L1409" s="1" t="s">
        <v>13</v>
      </c>
      <c r="M1409" s="6" t="str">
        <f>_xlfn.CONCAT(Table1[[#This Row],[Billing Street]], ", ", Table1[[#This Row],[Billing City]], ", ", Table1[[#This Row],[Billing State/Province]], ", ", Table1[[#This Row],[Billing Zip/Postal Code]])</f>
        <v xml:space="preserve">, Ossian, IN, </v>
      </c>
    </row>
    <row r="1410" spans="1:13" ht="15.6" hidden="1" x14ac:dyDescent="0.3">
      <c r="A1410" s="1" t="s">
        <v>4549</v>
      </c>
      <c r="B1410" s="1"/>
      <c r="C1410" s="1"/>
      <c r="D1410" s="1"/>
      <c r="E1410" s="1"/>
      <c r="F1410" s="1"/>
      <c r="G1410" s="1" t="s">
        <v>13</v>
      </c>
      <c r="H1410" s="2">
        <v>0</v>
      </c>
      <c r="I1410" s="1" t="s">
        <v>4550</v>
      </c>
      <c r="J1410" s="1" t="s">
        <v>4551</v>
      </c>
      <c r="K1410" s="1" t="s">
        <v>13</v>
      </c>
      <c r="L1410" s="1" t="s">
        <v>4552</v>
      </c>
      <c r="M1410" s="6" t="str">
        <f>_xlfn.CONCAT(Table1[[#This Row],[Billing Street]], ", ", Table1[[#This Row],[Billing City]], ", ", Table1[[#This Row],[Billing State/Province]], ", ", Table1[[#This Row],[Billing Zip/Postal Code]])</f>
        <v>13837 Bettencourt St., Cerritos, , 90703</v>
      </c>
    </row>
    <row r="1411" spans="1:13" ht="15.6" hidden="1" x14ac:dyDescent="0.3">
      <c r="A1411" s="1" t="s">
        <v>4553</v>
      </c>
      <c r="B1411" s="1"/>
      <c r="C1411" s="1"/>
      <c r="D1411" s="1"/>
      <c r="E1411" s="1"/>
      <c r="F1411" s="1"/>
      <c r="G1411" s="1" t="s">
        <v>98</v>
      </c>
      <c r="H1411" s="2">
        <v>278</v>
      </c>
      <c r="I1411" s="1" t="s">
        <v>4554</v>
      </c>
      <c r="J1411" s="1" t="s">
        <v>4555</v>
      </c>
      <c r="K1411" s="1" t="s">
        <v>1178</v>
      </c>
      <c r="L1411" s="1" t="s">
        <v>4556</v>
      </c>
      <c r="M1411" s="6" t="str">
        <f>_xlfn.CONCAT(Table1[[#This Row],[Billing Street]], ", ", Table1[[#This Row],[Billing City]], ", ", Table1[[#This Row],[Billing State/Province]], ", ", Table1[[#This Row],[Billing Zip/Postal Code]])</f>
        <v>879 McDowell Rd, Asheboro, NC, 27205</v>
      </c>
    </row>
    <row r="1412" spans="1:13" ht="15.6" hidden="1" x14ac:dyDescent="0.3">
      <c r="A1412" s="1" t="s">
        <v>4557</v>
      </c>
      <c r="B1412" s="1"/>
      <c r="C1412" s="1"/>
      <c r="D1412" s="1"/>
      <c r="E1412" s="1"/>
      <c r="F1412" s="1"/>
      <c r="G1412" s="1" t="s">
        <v>13</v>
      </c>
      <c r="H1412" s="2">
        <v>0</v>
      </c>
      <c r="I1412" s="1" t="s">
        <v>13</v>
      </c>
      <c r="J1412" s="1" t="s">
        <v>13</v>
      </c>
      <c r="K1412" s="1" t="s">
        <v>13</v>
      </c>
      <c r="L1412" s="1" t="s">
        <v>13</v>
      </c>
      <c r="M1412" s="6" t="str">
        <f>_xlfn.CONCAT(Table1[[#This Row],[Billing Street]], ", ", Table1[[#This Row],[Billing City]], ", ", Table1[[#This Row],[Billing State/Province]], ", ", Table1[[#This Row],[Billing Zip/Postal Code]])</f>
        <v xml:space="preserve">, , , </v>
      </c>
    </row>
    <row r="1413" spans="1:13" ht="15.6" hidden="1" x14ac:dyDescent="0.3">
      <c r="A1413" s="1" t="s">
        <v>4558</v>
      </c>
      <c r="B1413" s="1"/>
      <c r="C1413" s="1"/>
      <c r="D1413" s="1"/>
      <c r="E1413" s="1"/>
      <c r="F1413" s="1"/>
      <c r="G1413" s="1" t="s">
        <v>98</v>
      </c>
      <c r="H1413" s="2">
        <v>262</v>
      </c>
      <c r="I1413" s="1" t="s">
        <v>4559</v>
      </c>
      <c r="J1413" s="1" t="s">
        <v>3716</v>
      </c>
      <c r="K1413" s="1" t="s">
        <v>1178</v>
      </c>
      <c r="L1413" s="1" t="s">
        <v>4560</v>
      </c>
      <c r="M1413" s="6" t="str">
        <f>_xlfn.CONCAT(Table1[[#This Row],[Billing Street]], ", ", Table1[[#This Row],[Billing City]], ", ", Table1[[#This Row],[Billing State/Province]], ", ", Table1[[#This Row],[Billing Zip/Postal Code]])</f>
        <v>711 S Talbert Blvd, Lexington, NC, 27292</v>
      </c>
    </row>
    <row r="1414" spans="1:13" ht="15.6" hidden="1" x14ac:dyDescent="0.3">
      <c r="A1414" s="1" t="s">
        <v>4561</v>
      </c>
      <c r="B1414" s="1"/>
      <c r="C1414" s="1"/>
      <c r="D1414" s="1"/>
      <c r="E1414" s="1"/>
      <c r="F1414" s="1"/>
      <c r="G1414" s="1" t="s">
        <v>13</v>
      </c>
      <c r="H1414" s="2">
        <v>0</v>
      </c>
      <c r="I1414" s="1" t="s">
        <v>13</v>
      </c>
      <c r="J1414" s="1" t="s">
        <v>13</v>
      </c>
      <c r="K1414" s="1" t="s">
        <v>13</v>
      </c>
      <c r="L1414" s="1" t="s">
        <v>13</v>
      </c>
      <c r="M1414" s="6" t="str">
        <f>_xlfn.CONCAT(Table1[[#This Row],[Billing Street]], ", ", Table1[[#This Row],[Billing City]], ", ", Table1[[#This Row],[Billing State/Province]], ", ", Table1[[#This Row],[Billing Zip/Postal Code]])</f>
        <v xml:space="preserve">, , , </v>
      </c>
    </row>
    <row r="1415" spans="1:13" ht="15.6" x14ac:dyDescent="0.3">
      <c r="A1415" s="1" t="s">
        <v>4562</v>
      </c>
      <c r="B1415" s="1"/>
      <c r="C1415" s="1"/>
      <c r="D1415" s="1"/>
      <c r="E1415" s="1"/>
      <c r="F1415" s="1"/>
      <c r="G1415" s="1" t="s">
        <v>24</v>
      </c>
      <c r="H1415" s="2">
        <v>5988</v>
      </c>
      <c r="I1415" s="1" t="s">
        <v>4563</v>
      </c>
      <c r="J1415" s="1" t="s">
        <v>2725</v>
      </c>
      <c r="K1415" s="1" t="s">
        <v>26</v>
      </c>
      <c r="L1415" s="1" t="s">
        <v>4564</v>
      </c>
      <c r="M1415" s="6" t="str">
        <f>_xlfn.CONCAT(Table1[[#This Row],[Billing Street]], ", ", Table1[[#This Row],[Billing City]], ", ", Table1[[#This Row],[Billing State/Province]], ", ", Table1[[#This Row],[Billing Zip/Postal Code]])</f>
        <v>9411 US-431, Albertville, AL, 35950</v>
      </c>
    </row>
    <row r="1416" spans="1:13" ht="15.6" x14ac:dyDescent="0.3">
      <c r="A1416" s="1" t="s">
        <v>4565</v>
      </c>
      <c r="B1416" s="1"/>
      <c r="C1416" s="1"/>
      <c r="D1416" s="1"/>
      <c r="E1416" s="1"/>
      <c r="F1416" s="1"/>
      <c r="G1416" s="1" t="s">
        <v>24</v>
      </c>
      <c r="H1416" s="2">
        <v>89</v>
      </c>
      <c r="I1416" s="1" t="s">
        <v>4566</v>
      </c>
      <c r="J1416" s="1" t="s">
        <v>4567</v>
      </c>
      <c r="K1416" s="1" t="s">
        <v>26</v>
      </c>
      <c r="L1416" s="1" t="s">
        <v>4568</v>
      </c>
      <c r="M1416" s="6" t="str">
        <f>_xlfn.CONCAT(Table1[[#This Row],[Billing Street]], ", ", Table1[[#This Row],[Billing City]], ", ", Table1[[#This Row],[Billing State/Province]], ", ", Table1[[#This Row],[Billing Zip/Postal Code]])</f>
        <v>675 Hornady Dr, Monroeville, AL, 36460</v>
      </c>
    </row>
    <row r="1417" spans="1:13" ht="15.6" x14ac:dyDescent="0.3">
      <c r="A1417" s="1" t="s">
        <v>4569</v>
      </c>
      <c r="B1417" s="1"/>
      <c r="C1417" s="1"/>
      <c r="D1417" s="1"/>
      <c r="E1417" s="1"/>
      <c r="F1417" s="1"/>
      <c r="G1417" s="1" t="s">
        <v>24</v>
      </c>
      <c r="H1417" s="2">
        <v>117</v>
      </c>
      <c r="I1417" s="1" t="s">
        <v>4570</v>
      </c>
      <c r="J1417" s="1" t="s">
        <v>25</v>
      </c>
      <c r="K1417" s="1" t="s">
        <v>26</v>
      </c>
      <c r="L1417" s="1" t="s">
        <v>4571</v>
      </c>
      <c r="M1417" s="6" t="str">
        <f>_xlfn.CONCAT(Table1[[#This Row],[Billing Street]], ", ", Table1[[#This Row],[Billing City]], ", ", Table1[[#This Row],[Billing State/Province]], ", ", Table1[[#This Row],[Billing Zip/Postal Code]])</f>
        <v>2255 Cong W L Dickinson Dr (Gunter Annex), Montgomery, AL, 36109</v>
      </c>
    </row>
    <row r="1418" spans="1:13" ht="15.6" x14ac:dyDescent="0.3">
      <c r="A1418" s="1" t="s">
        <v>4572</v>
      </c>
      <c r="B1418" s="1"/>
      <c r="C1418" s="1"/>
      <c r="D1418" s="1"/>
      <c r="E1418" s="1"/>
      <c r="F1418" s="1"/>
      <c r="G1418" s="1" t="s">
        <v>24</v>
      </c>
      <c r="H1418" s="2">
        <v>115</v>
      </c>
      <c r="I1418" s="1" t="s">
        <v>4573</v>
      </c>
      <c r="J1418" s="1" t="s">
        <v>25</v>
      </c>
      <c r="K1418" s="1" t="s">
        <v>26</v>
      </c>
      <c r="L1418" s="1" t="s">
        <v>27</v>
      </c>
      <c r="M1418" s="6" t="str">
        <f>_xlfn.CONCAT(Table1[[#This Row],[Billing Street]], ", ", Table1[[#This Row],[Billing City]], ", ", Table1[[#This Row],[Billing State/Province]], ", ", Table1[[#This Row],[Billing Zip/Postal Code]])</f>
        <v>300 Water Street, Suite 404 Montgomery, AL 36104, Montgomery, AL, 36104</v>
      </c>
    </row>
    <row r="1419" spans="1:13" ht="15.6" x14ac:dyDescent="0.3">
      <c r="A1419" s="1" t="s">
        <v>4574</v>
      </c>
      <c r="B1419" s="1"/>
      <c r="C1419" s="1"/>
      <c r="D1419" s="1"/>
      <c r="E1419" s="1"/>
      <c r="F1419" s="1"/>
      <c r="G1419" s="1" t="s">
        <v>24</v>
      </c>
      <c r="H1419" s="2">
        <v>5988</v>
      </c>
      <c r="I1419" s="1" t="s">
        <v>4575</v>
      </c>
      <c r="J1419" s="1" t="s">
        <v>438</v>
      </c>
      <c r="K1419" s="1" t="s">
        <v>26</v>
      </c>
      <c r="L1419" s="1" t="s">
        <v>4576</v>
      </c>
      <c r="M1419" s="6" t="str">
        <f>_xlfn.CONCAT(Table1[[#This Row],[Billing Street]], ", ", Table1[[#This Row],[Billing City]], ", ", Table1[[#This Row],[Billing State/Province]], ", ", Table1[[#This Row],[Billing Zip/Postal Code]])</f>
        <v>1301 Snows Mill Ave, Tuscaloosa, AL, 35406</v>
      </c>
    </row>
    <row r="1420" spans="1:13" ht="15.6" x14ac:dyDescent="0.3">
      <c r="A1420" s="1" t="s">
        <v>4577</v>
      </c>
      <c r="B1420" s="1"/>
      <c r="C1420" s="1"/>
      <c r="D1420" s="1"/>
      <c r="E1420" s="1"/>
      <c r="F1420" s="1"/>
      <c r="G1420" s="1" t="s">
        <v>24</v>
      </c>
      <c r="H1420" s="2">
        <v>5988</v>
      </c>
      <c r="I1420" s="1" t="s">
        <v>4578</v>
      </c>
      <c r="J1420" s="1" t="s">
        <v>4579</v>
      </c>
      <c r="K1420" s="1" t="s">
        <v>26</v>
      </c>
      <c r="L1420" s="1" t="s">
        <v>4580</v>
      </c>
      <c r="M1420" s="6" t="str">
        <f>_xlfn.CONCAT(Table1[[#This Row],[Billing Street]], ", ", Table1[[#This Row],[Billing City]], ", ", Table1[[#This Row],[Billing State/Province]], ", ", Table1[[#This Row],[Billing Zip/Postal Code]])</f>
        <v>2408 Caton Rd, Florala, AL, 36442</v>
      </c>
    </row>
    <row r="1421" spans="1:13" ht="15.6" x14ac:dyDescent="0.3">
      <c r="A1421" s="1" t="s">
        <v>4581</v>
      </c>
      <c r="B1421" s="1"/>
      <c r="C1421" s="1"/>
      <c r="D1421" s="1"/>
      <c r="E1421" s="1"/>
      <c r="F1421" s="1"/>
      <c r="G1421" s="1" t="s">
        <v>24</v>
      </c>
      <c r="H1421" s="2">
        <v>62</v>
      </c>
      <c r="I1421" s="1" t="s">
        <v>4582</v>
      </c>
      <c r="J1421" s="1" t="s">
        <v>4583</v>
      </c>
      <c r="K1421" s="1" t="s">
        <v>26</v>
      </c>
      <c r="L1421" s="1" t="s">
        <v>4584</v>
      </c>
      <c r="M1421" s="6" t="str">
        <f>_xlfn.CONCAT(Table1[[#This Row],[Billing Street]], ", ", Table1[[#This Row],[Billing City]], ", ", Table1[[#This Row],[Billing State/Province]], ", ", Table1[[#This Row],[Billing Zip/Postal Code]])</f>
        <v>8974 North US Highway 231, Ariton, AL, 36311</v>
      </c>
    </row>
    <row r="1422" spans="1:13" ht="15.6" hidden="1" x14ac:dyDescent="0.3">
      <c r="A1422" s="1" t="s">
        <v>4585</v>
      </c>
      <c r="B1422" s="1"/>
      <c r="C1422" s="1"/>
      <c r="D1422" s="1"/>
      <c r="E1422" s="1"/>
      <c r="F1422" s="1"/>
      <c r="G1422" s="1" t="s">
        <v>13</v>
      </c>
      <c r="H1422" s="2">
        <v>0</v>
      </c>
      <c r="I1422" s="1" t="s">
        <v>13</v>
      </c>
      <c r="J1422" s="1" t="s">
        <v>13</v>
      </c>
      <c r="K1422" s="1" t="s">
        <v>13</v>
      </c>
      <c r="L1422" s="1" t="s">
        <v>13</v>
      </c>
      <c r="M1422" s="6" t="str">
        <f>_xlfn.CONCAT(Table1[[#This Row],[Billing Street]], ", ", Table1[[#This Row],[Billing City]], ", ", Table1[[#This Row],[Billing State/Province]], ", ", Table1[[#This Row],[Billing Zip/Postal Code]])</f>
        <v xml:space="preserve">, , , </v>
      </c>
    </row>
    <row r="1423" spans="1:13" ht="15.6" hidden="1" x14ac:dyDescent="0.3">
      <c r="A1423" s="1" t="s">
        <v>4586</v>
      </c>
      <c r="B1423" s="1"/>
      <c r="C1423" s="1"/>
      <c r="D1423" s="1"/>
      <c r="E1423" s="1"/>
      <c r="F1423" s="1"/>
      <c r="G1423" s="1" t="s">
        <v>13</v>
      </c>
      <c r="H1423" s="2">
        <v>0</v>
      </c>
      <c r="I1423" s="1" t="s">
        <v>4587</v>
      </c>
      <c r="J1423" s="1" t="s">
        <v>4588</v>
      </c>
      <c r="K1423" s="1" t="s">
        <v>13</v>
      </c>
      <c r="L1423" s="1" t="s">
        <v>13</v>
      </c>
      <c r="M1423" s="6" t="str">
        <f>_xlfn.CONCAT(Table1[[#This Row],[Billing Street]], ", ", Table1[[#This Row],[Billing City]], ", ", Table1[[#This Row],[Billing State/Province]], ", ", Table1[[#This Row],[Billing Zip/Postal Code]])</f>
        <v xml:space="preserve">254 Airport rd, Manchester Centre, , </v>
      </c>
    </row>
    <row r="1424" spans="1:13" ht="15.6" hidden="1" x14ac:dyDescent="0.3">
      <c r="A1424" s="1" t="s">
        <v>4589</v>
      </c>
      <c r="B1424" s="1"/>
      <c r="C1424" s="1"/>
      <c r="D1424" s="1"/>
      <c r="E1424" s="1"/>
      <c r="F1424" s="1"/>
      <c r="G1424" s="1" t="s">
        <v>98</v>
      </c>
      <c r="H1424" s="2">
        <v>424</v>
      </c>
      <c r="I1424" s="1" t="s">
        <v>13</v>
      </c>
      <c r="J1424" s="1" t="s">
        <v>4590</v>
      </c>
      <c r="K1424" s="1" t="s">
        <v>1178</v>
      </c>
      <c r="L1424" s="1" t="s">
        <v>4591</v>
      </c>
      <c r="M1424" s="6" t="str">
        <f>_xlfn.CONCAT(Table1[[#This Row],[Billing Street]], ", ", Table1[[#This Row],[Billing City]], ", ", Table1[[#This Row],[Billing State/Province]], ", ", Table1[[#This Row],[Billing Zip/Postal Code]])</f>
        <v>, Washington, NC, 27889</v>
      </c>
    </row>
    <row r="1425" spans="1:13" ht="15.6" hidden="1" x14ac:dyDescent="0.3">
      <c r="A1425" s="1" t="s">
        <v>4592</v>
      </c>
      <c r="B1425" s="1"/>
      <c r="C1425" s="1"/>
      <c r="D1425" s="1"/>
      <c r="E1425" s="1"/>
      <c r="F1425" s="1"/>
      <c r="G1425" s="1" t="s">
        <v>13</v>
      </c>
      <c r="H1425" s="2">
        <v>0</v>
      </c>
      <c r="I1425" s="1" t="s">
        <v>13</v>
      </c>
      <c r="J1425" s="1" t="s">
        <v>13</v>
      </c>
      <c r="K1425" s="1" t="s">
        <v>13</v>
      </c>
      <c r="L1425" s="1" t="s">
        <v>13</v>
      </c>
      <c r="M1425" s="6" t="str">
        <f>_xlfn.CONCAT(Table1[[#This Row],[Billing Street]], ", ", Table1[[#This Row],[Billing City]], ", ", Table1[[#This Row],[Billing State/Province]], ", ", Table1[[#This Row],[Billing Zip/Postal Code]])</f>
        <v xml:space="preserve">, , , </v>
      </c>
    </row>
    <row r="1426" spans="1:13" ht="15.6" hidden="1" x14ac:dyDescent="0.3">
      <c r="A1426" s="1" t="s">
        <v>4593</v>
      </c>
      <c r="B1426" s="1"/>
      <c r="C1426" s="1"/>
      <c r="D1426" s="1"/>
      <c r="E1426" s="1"/>
      <c r="F1426" s="1"/>
      <c r="G1426" s="1" t="s">
        <v>8</v>
      </c>
      <c r="H1426" s="2">
        <v>299</v>
      </c>
      <c r="I1426" s="1" t="s">
        <v>4594</v>
      </c>
      <c r="J1426" s="1" t="s">
        <v>625</v>
      </c>
      <c r="K1426" s="1" t="s">
        <v>1439</v>
      </c>
      <c r="L1426" s="1" t="s">
        <v>4595</v>
      </c>
      <c r="M1426" s="6" t="str">
        <f>_xlfn.CONCAT(Table1[[#This Row],[Billing Street]], ", ", Table1[[#This Row],[Billing City]], ", ", Table1[[#This Row],[Billing State/Province]], ", ", Table1[[#This Row],[Billing Zip/Postal Code]])</f>
        <v>9011 Governors Row, Dallas, Tx, 75247</v>
      </c>
    </row>
    <row r="1427" spans="1:13" ht="15.6" hidden="1" x14ac:dyDescent="0.3">
      <c r="A1427" s="1" t="s">
        <v>4596</v>
      </c>
      <c r="B1427" s="1"/>
      <c r="C1427" s="1"/>
      <c r="D1427" s="1"/>
      <c r="E1427" s="1"/>
      <c r="F1427" s="1"/>
      <c r="G1427" s="1" t="s">
        <v>8</v>
      </c>
      <c r="H1427" s="2">
        <v>195</v>
      </c>
      <c r="I1427" s="1" t="s">
        <v>4597</v>
      </c>
      <c r="J1427" s="1" t="s">
        <v>4598</v>
      </c>
      <c r="K1427" s="1" t="s">
        <v>165</v>
      </c>
      <c r="L1427" s="1" t="s">
        <v>4599</v>
      </c>
      <c r="M1427" s="6" t="str">
        <f>_xlfn.CONCAT(Table1[[#This Row],[Billing Street]], ", ", Table1[[#This Row],[Billing City]], ", ", Table1[[#This Row],[Billing State/Province]], ", ", Table1[[#This Row],[Billing Zip/Postal Code]])</f>
        <v>1487 Highway 177 south, Calico Rock, AR, 72653</v>
      </c>
    </row>
    <row r="1428" spans="1:13" ht="15.6" hidden="1" x14ac:dyDescent="0.3">
      <c r="A1428" s="1" t="s">
        <v>4600</v>
      </c>
      <c r="B1428" s="1"/>
      <c r="C1428" s="1"/>
      <c r="D1428" s="1"/>
      <c r="E1428" s="1"/>
      <c r="F1428" s="1"/>
      <c r="G1428" s="1" t="s">
        <v>13</v>
      </c>
      <c r="H1428" s="2">
        <v>0</v>
      </c>
      <c r="I1428" s="1" t="s">
        <v>13</v>
      </c>
      <c r="J1428" s="1" t="s">
        <v>13</v>
      </c>
      <c r="K1428" s="1" t="s">
        <v>13</v>
      </c>
      <c r="L1428" s="1" t="s">
        <v>13</v>
      </c>
      <c r="M1428" s="6" t="str">
        <f>_xlfn.CONCAT(Table1[[#This Row],[Billing Street]], ", ", Table1[[#This Row],[Billing City]], ", ", Table1[[#This Row],[Billing State/Province]], ", ", Table1[[#This Row],[Billing Zip/Postal Code]])</f>
        <v xml:space="preserve">, , , </v>
      </c>
    </row>
    <row r="1429" spans="1:13" ht="15.6" hidden="1" x14ac:dyDescent="0.3">
      <c r="A1429" s="1" t="s">
        <v>4601</v>
      </c>
      <c r="B1429" s="1"/>
      <c r="C1429" s="1"/>
      <c r="D1429" s="1"/>
      <c r="E1429" s="1"/>
      <c r="F1429" s="1"/>
      <c r="G1429" s="1" t="s">
        <v>54</v>
      </c>
      <c r="H1429" s="2">
        <v>78</v>
      </c>
      <c r="I1429" s="1" t="s">
        <v>4602</v>
      </c>
      <c r="J1429" s="1" t="s">
        <v>4603</v>
      </c>
      <c r="K1429" s="1" t="s">
        <v>57</v>
      </c>
      <c r="L1429" s="1" t="s">
        <v>4604</v>
      </c>
      <c r="M1429" s="6" t="str">
        <f>_xlfn.CONCAT(Table1[[#This Row],[Billing Street]], ", ", Table1[[#This Row],[Billing City]], ", ", Table1[[#This Row],[Billing State/Province]], ", ", Table1[[#This Row],[Billing Zip/Postal Code]])</f>
        <v>2941 San Luis rey Rd, Oceanside, CA, 92058</v>
      </c>
    </row>
    <row r="1430" spans="1:13" ht="15.6" hidden="1" x14ac:dyDescent="0.3">
      <c r="A1430" s="1" t="s">
        <v>4605</v>
      </c>
      <c r="B1430" s="1"/>
      <c r="C1430" s="1"/>
      <c r="D1430" s="1"/>
      <c r="E1430" s="1"/>
      <c r="F1430" s="1"/>
      <c r="G1430" s="1" t="s">
        <v>13</v>
      </c>
      <c r="H1430" s="2">
        <v>0</v>
      </c>
      <c r="I1430" s="1" t="s">
        <v>13</v>
      </c>
      <c r="J1430" s="1" t="s">
        <v>13</v>
      </c>
      <c r="K1430" s="1" t="s">
        <v>13</v>
      </c>
      <c r="L1430" s="1" t="s">
        <v>13</v>
      </c>
      <c r="M1430" s="6" t="str">
        <f>_xlfn.CONCAT(Table1[[#This Row],[Billing Street]], ", ", Table1[[#This Row],[Billing City]], ", ", Table1[[#This Row],[Billing State/Province]], ", ", Table1[[#This Row],[Billing Zip/Postal Code]])</f>
        <v xml:space="preserve">, , , </v>
      </c>
    </row>
    <row r="1431" spans="1:13" ht="15.6" hidden="1" x14ac:dyDescent="0.3">
      <c r="A1431" s="1" t="s">
        <v>4606</v>
      </c>
      <c r="B1431" s="1"/>
      <c r="C1431" s="1"/>
      <c r="D1431" s="1"/>
      <c r="E1431" s="1"/>
      <c r="F1431" s="1"/>
      <c r="G1431" s="1" t="s">
        <v>43</v>
      </c>
      <c r="H1431" s="2">
        <v>5776</v>
      </c>
      <c r="I1431" s="1" t="s">
        <v>4607</v>
      </c>
      <c r="J1431" s="1" t="s">
        <v>4608</v>
      </c>
      <c r="K1431" s="1" t="s">
        <v>1745</v>
      </c>
      <c r="L1431" s="1" t="s">
        <v>4609</v>
      </c>
      <c r="M1431" s="6" t="str">
        <f>_xlfn.CONCAT(Table1[[#This Row],[Billing Street]], ", ", Table1[[#This Row],[Billing City]], ", ", Table1[[#This Row],[Billing State/Province]], ", ", Table1[[#This Row],[Billing Zip/Postal Code]])</f>
        <v>424 Franklin Avenue, Denville, nj, 7834</v>
      </c>
    </row>
    <row r="1432" spans="1:13" ht="15.6" hidden="1" x14ac:dyDescent="0.3">
      <c r="A1432" s="1" t="s">
        <v>4610</v>
      </c>
      <c r="B1432" s="1"/>
      <c r="C1432" s="1"/>
      <c r="D1432" s="1"/>
      <c r="E1432" s="1"/>
      <c r="F1432" s="1"/>
      <c r="G1432" s="1" t="s">
        <v>13</v>
      </c>
      <c r="H1432" s="2">
        <v>0</v>
      </c>
      <c r="I1432" s="1" t="s">
        <v>4611</v>
      </c>
      <c r="J1432" s="1" t="s">
        <v>2587</v>
      </c>
      <c r="K1432" s="1" t="s">
        <v>13</v>
      </c>
      <c r="L1432" s="1" t="s">
        <v>4612</v>
      </c>
      <c r="M1432" s="6" t="str">
        <f>_xlfn.CONCAT(Table1[[#This Row],[Billing Street]], ", ", Table1[[#This Row],[Billing City]], ", ", Table1[[#This Row],[Billing State/Province]], ", ", Table1[[#This Row],[Billing Zip/Postal Code]])</f>
        <v>PB Box 029950, Miami, , 33102</v>
      </c>
    </row>
    <row r="1433" spans="1:13" ht="15.6" hidden="1" x14ac:dyDescent="0.3">
      <c r="A1433" s="1" t="s">
        <v>4613</v>
      </c>
      <c r="B1433" s="1"/>
      <c r="C1433" s="1"/>
      <c r="D1433" s="1"/>
      <c r="E1433" s="1"/>
      <c r="F1433" s="1"/>
      <c r="G1433" s="1" t="s">
        <v>43</v>
      </c>
      <c r="H1433" s="2">
        <v>35</v>
      </c>
      <c r="I1433" s="1" t="s">
        <v>4614</v>
      </c>
      <c r="J1433" s="1" t="s">
        <v>703</v>
      </c>
      <c r="K1433" s="1" t="s">
        <v>45</v>
      </c>
      <c r="L1433" s="1" t="s">
        <v>1757</v>
      </c>
      <c r="M1433" s="6" t="str">
        <f>_xlfn.CONCAT(Table1[[#This Row],[Billing Street]], ", ", Table1[[#This Row],[Billing City]], ", ", Table1[[#This Row],[Billing State/Province]], ", ", Table1[[#This Row],[Billing Zip/Postal Code]])</f>
        <v>20874 Lake Park Blvd., Alliance, OH, 44601</v>
      </c>
    </row>
    <row r="1434" spans="1:13" ht="15.6" hidden="1" x14ac:dyDescent="0.3">
      <c r="A1434" s="1" t="s">
        <v>4615</v>
      </c>
      <c r="B1434" s="1"/>
      <c r="C1434" s="1"/>
      <c r="D1434" s="1"/>
      <c r="E1434" s="1"/>
      <c r="F1434" s="1"/>
      <c r="G1434" s="1" t="s">
        <v>43</v>
      </c>
      <c r="H1434" s="2">
        <v>455</v>
      </c>
      <c r="I1434" s="1" t="s">
        <v>4616</v>
      </c>
      <c r="J1434" s="1" t="s">
        <v>4617</v>
      </c>
      <c r="K1434" s="1" t="s">
        <v>82</v>
      </c>
      <c r="L1434" s="1" t="s">
        <v>4618</v>
      </c>
      <c r="M1434" s="6" t="str">
        <f>_xlfn.CONCAT(Table1[[#This Row],[Billing Street]], ", ", Table1[[#This Row],[Billing City]], ", ", Table1[[#This Row],[Billing State/Province]], ", ", Table1[[#This Row],[Billing Zip/Postal Code]])</f>
        <v>627 Circle Drive, Iron Mountian, MI, 49801</v>
      </c>
    </row>
    <row r="1435" spans="1:13" ht="15.6" hidden="1" x14ac:dyDescent="0.3">
      <c r="A1435" s="1" t="s">
        <v>4619</v>
      </c>
      <c r="B1435" s="1"/>
      <c r="C1435" s="1"/>
      <c r="D1435" s="1"/>
      <c r="E1435" s="1"/>
      <c r="F1435" s="1"/>
      <c r="G1435" s="1" t="s">
        <v>13</v>
      </c>
      <c r="H1435" s="2">
        <v>0</v>
      </c>
      <c r="I1435" s="1" t="s">
        <v>4620</v>
      </c>
      <c r="J1435" s="1" t="s">
        <v>4621</v>
      </c>
      <c r="K1435" s="1" t="s">
        <v>13</v>
      </c>
      <c r="L1435" s="1" t="s">
        <v>13</v>
      </c>
      <c r="M1435" s="6" t="str">
        <f>_xlfn.CONCAT(Table1[[#This Row],[Billing Street]], ", ", Table1[[#This Row],[Billing City]], ", ", Table1[[#This Row],[Billing State/Province]], ", ", Table1[[#This Row],[Billing Zip/Postal Code]])</f>
        <v xml:space="preserve">788 Main St, Hugoton, KS 67951, , </v>
      </c>
    </row>
    <row r="1436" spans="1:13" ht="15.6" x14ac:dyDescent="0.3">
      <c r="A1436" s="1" t="s">
        <v>4622</v>
      </c>
      <c r="B1436" s="1"/>
      <c r="C1436" s="1"/>
      <c r="D1436" s="1"/>
      <c r="E1436" s="1"/>
      <c r="F1436" s="1"/>
      <c r="G1436" s="1" t="s">
        <v>24</v>
      </c>
      <c r="H1436" s="2">
        <v>5988</v>
      </c>
      <c r="I1436" s="1" t="s">
        <v>4623</v>
      </c>
      <c r="J1436" s="1" t="s">
        <v>2642</v>
      </c>
      <c r="K1436" s="1" t="s">
        <v>26</v>
      </c>
      <c r="L1436" s="1" t="s">
        <v>4624</v>
      </c>
      <c r="M1436" s="6" t="str">
        <f>_xlfn.CONCAT(Table1[[#This Row],[Billing Street]], ", ", Table1[[#This Row],[Billing City]], ", ", Table1[[#This Row],[Billing State/Province]], ", ", Table1[[#This Row],[Billing Zip/Postal Code]])</f>
        <v>200 Industrial Blvd, Troy, AL, 36081</v>
      </c>
    </row>
    <row r="1437" spans="1:13" ht="15.6" hidden="1" x14ac:dyDescent="0.3">
      <c r="A1437" s="1" t="s">
        <v>4625</v>
      </c>
      <c r="B1437" s="1"/>
      <c r="C1437" s="1"/>
      <c r="D1437" s="1"/>
      <c r="E1437" s="1"/>
      <c r="F1437" s="1"/>
      <c r="G1437" s="1" t="s">
        <v>13</v>
      </c>
      <c r="H1437" s="2">
        <v>0</v>
      </c>
      <c r="I1437" s="1" t="s">
        <v>13</v>
      </c>
      <c r="J1437" s="1" t="s">
        <v>13</v>
      </c>
      <c r="K1437" s="1" t="s">
        <v>13</v>
      </c>
      <c r="L1437" s="1" t="s">
        <v>13</v>
      </c>
      <c r="M1437" s="6" t="str">
        <f>_xlfn.CONCAT(Table1[[#This Row],[Billing Street]], ", ", Table1[[#This Row],[Billing City]], ", ", Table1[[#This Row],[Billing State/Province]], ", ", Table1[[#This Row],[Billing Zip/Postal Code]])</f>
        <v xml:space="preserve">, , , </v>
      </c>
    </row>
    <row r="1438" spans="1:13" ht="15.6" hidden="1" x14ac:dyDescent="0.3">
      <c r="A1438" s="1" t="s">
        <v>4626</v>
      </c>
      <c r="B1438" s="1"/>
      <c r="C1438" s="1"/>
      <c r="D1438" s="1"/>
      <c r="E1438" s="1"/>
      <c r="F1438" s="1"/>
      <c r="G1438" s="1" t="s">
        <v>13</v>
      </c>
      <c r="H1438" s="2">
        <v>0</v>
      </c>
      <c r="I1438" s="1" t="s">
        <v>13</v>
      </c>
      <c r="J1438" s="1" t="s">
        <v>13</v>
      </c>
      <c r="K1438" s="1" t="s">
        <v>13</v>
      </c>
      <c r="L1438" s="1" t="s">
        <v>13</v>
      </c>
      <c r="M1438" s="6" t="str">
        <f>_xlfn.CONCAT(Table1[[#This Row],[Billing Street]], ", ", Table1[[#This Row],[Billing City]], ", ", Table1[[#This Row],[Billing State/Province]], ", ", Table1[[#This Row],[Billing Zip/Postal Code]])</f>
        <v xml:space="preserve">, , , </v>
      </c>
    </row>
    <row r="1439" spans="1:13" ht="15.6" hidden="1" x14ac:dyDescent="0.3">
      <c r="A1439" s="1" t="s">
        <v>4627</v>
      </c>
      <c r="B1439" s="1"/>
      <c r="C1439" s="1"/>
      <c r="D1439" s="1"/>
      <c r="E1439" s="1"/>
      <c r="F1439" s="1"/>
      <c r="G1439" s="1" t="s">
        <v>13</v>
      </c>
      <c r="H1439" s="2">
        <v>0</v>
      </c>
      <c r="I1439" s="1" t="s">
        <v>4628</v>
      </c>
      <c r="J1439" s="1" t="s">
        <v>13</v>
      </c>
      <c r="K1439" s="1" t="s">
        <v>13</v>
      </c>
      <c r="L1439" s="1" t="s">
        <v>13</v>
      </c>
      <c r="M1439" s="6" t="str">
        <f>_xlfn.CONCAT(Table1[[#This Row],[Billing Street]], ", ", Table1[[#This Row],[Billing City]], ", ", Table1[[#This Row],[Billing State/Province]], ", ", Table1[[#This Row],[Billing Zip/Postal Code]])</f>
        <v xml:space="preserve">Hurlburt Field AFB, , , </v>
      </c>
    </row>
    <row r="1440" spans="1:13" ht="15.6" hidden="1" x14ac:dyDescent="0.3">
      <c r="A1440" s="1" t="s">
        <v>4629</v>
      </c>
      <c r="B1440" s="1"/>
      <c r="C1440" s="1"/>
      <c r="D1440" s="1"/>
      <c r="E1440" s="1"/>
      <c r="F1440" s="1"/>
      <c r="G1440" s="1" t="s">
        <v>54</v>
      </c>
      <c r="H1440" s="2">
        <v>38</v>
      </c>
      <c r="I1440" s="1" t="s">
        <v>4630</v>
      </c>
      <c r="J1440" s="1" t="s">
        <v>4631</v>
      </c>
      <c r="K1440" s="1" t="s">
        <v>57</v>
      </c>
      <c r="L1440" s="1" t="s">
        <v>4632</v>
      </c>
      <c r="M1440" s="6" t="str">
        <f>_xlfn.CONCAT(Table1[[#This Row],[Billing Street]], ", ", Table1[[#This Row],[Billing City]], ", ", Table1[[#This Row],[Billing State/Province]], ", ", Table1[[#This Row],[Billing Zip/Postal Code]])</f>
        <v>2151 S. Haven Avenue. Suite 202, Ontario, CA, 90761</v>
      </c>
    </row>
    <row r="1441" spans="1:13" ht="15.6" hidden="1" x14ac:dyDescent="0.3">
      <c r="A1441" s="1" t="s">
        <v>4633</v>
      </c>
      <c r="B1441" s="1"/>
      <c r="C1441" s="1"/>
      <c r="D1441" s="1"/>
      <c r="E1441" s="1"/>
      <c r="F1441" s="1"/>
      <c r="G1441" s="1" t="s">
        <v>8</v>
      </c>
      <c r="H1441" s="2">
        <v>280</v>
      </c>
      <c r="I1441" s="1" t="s">
        <v>4634</v>
      </c>
      <c r="J1441" s="1" t="s">
        <v>4347</v>
      </c>
      <c r="K1441" s="1" t="s">
        <v>165</v>
      </c>
      <c r="L1441" s="1" t="s">
        <v>4348</v>
      </c>
      <c r="M1441" s="6" t="str">
        <f>_xlfn.CONCAT(Table1[[#This Row],[Billing Street]], ", ", Table1[[#This Row],[Billing City]], ", ", Table1[[#This Row],[Billing State/Province]], ", ", Table1[[#This Row],[Billing Zip/Postal Code]])</f>
        <v>2400 West 6th Avenue, Pine Bluff, AR, 71601</v>
      </c>
    </row>
    <row r="1442" spans="1:13" ht="15.6" hidden="1" x14ac:dyDescent="0.3">
      <c r="A1442" s="1" t="s">
        <v>4635</v>
      </c>
      <c r="B1442" s="1"/>
      <c r="C1442" s="1"/>
      <c r="D1442" s="1"/>
      <c r="E1442" s="1"/>
      <c r="F1442" s="1"/>
      <c r="G1442" s="1" t="s">
        <v>54</v>
      </c>
      <c r="H1442" s="2">
        <v>329</v>
      </c>
      <c r="I1442" s="1" t="s">
        <v>4636</v>
      </c>
      <c r="J1442" s="1" t="s">
        <v>4637</v>
      </c>
      <c r="K1442" s="1" t="s">
        <v>57</v>
      </c>
      <c r="L1442" s="1" t="s">
        <v>4638</v>
      </c>
      <c r="M1442" s="6" t="str">
        <f>_xlfn.CONCAT(Table1[[#This Row],[Billing Street]], ", ", Table1[[#This Row],[Billing City]], ", ", Table1[[#This Row],[Billing State/Province]], ", ", Table1[[#This Row],[Billing Zip/Postal Code]])</f>
        <v>1171 Sellers Ave, Brentwood, CA, 94513</v>
      </c>
    </row>
    <row r="1443" spans="1:13" ht="15.6" hidden="1" x14ac:dyDescent="0.3">
      <c r="A1443" s="1" t="s">
        <v>4639</v>
      </c>
      <c r="B1443" s="1"/>
      <c r="C1443" s="1"/>
      <c r="D1443" s="1"/>
      <c r="E1443" s="1"/>
      <c r="F1443" s="1"/>
      <c r="G1443" s="1" t="s">
        <v>8</v>
      </c>
      <c r="H1443" s="2">
        <v>6528</v>
      </c>
      <c r="I1443" s="1" t="s">
        <v>13</v>
      </c>
      <c r="J1443" s="1" t="s">
        <v>812</v>
      </c>
      <c r="K1443" s="1" t="s">
        <v>51</v>
      </c>
      <c r="L1443" s="1" t="s">
        <v>13</v>
      </c>
      <c r="M1443" s="6" t="str">
        <f>_xlfn.CONCAT(Table1[[#This Row],[Billing Street]], ", ", Table1[[#This Row],[Billing City]], ", ", Table1[[#This Row],[Billing State/Province]], ", ", Table1[[#This Row],[Billing Zip/Postal Code]])</f>
        <v xml:space="preserve">, Wichita Falls, TX, </v>
      </c>
    </row>
    <row r="1444" spans="1:13" ht="15.6" hidden="1" x14ac:dyDescent="0.3">
      <c r="A1444" s="1" t="s">
        <v>4640</v>
      </c>
      <c r="B1444" s="1"/>
      <c r="C1444" s="1"/>
      <c r="D1444" s="1"/>
      <c r="E1444" s="1"/>
      <c r="F1444" s="1"/>
      <c r="G1444" s="1" t="s">
        <v>98</v>
      </c>
      <c r="H1444" s="2">
        <v>5887</v>
      </c>
      <c r="I1444" s="1" t="s">
        <v>13</v>
      </c>
      <c r="J1444" s="1" t="s">
        <v>4641</v>
      </c>
      <c r="K1444" s="1" t="s">
        <v>1135</v>
      </c>
      <c r="L1444" s="1" t="s">
        <v>13</v>
      </c>
      <c r="M1444" s="6" t="str">
        <f>_xlfn.CONCAT(Table1[[#This Row],[Billing Street]], ", ", Table1[[#This Row],[Billing City]], ", ", Table1[[#This Row],[Billing State/Province]], ", ", Table1[[#This Row],[Billing Zip/Postal Code]])</f>
        <v xml:space="preserve">, Dechard, TN, </v>
      </c>
    </row>
    <row r="1445" spans="1:13" ht="15.6" hidden="1" x14ac:dyDescent="0.3">
      <c r="A1445" s="1" t="s">
        <v>4642</v>
      </c>
      <c r="B1445" s="1"/>
      <c r="C1445" s="1"/>
      <c r="D1445" s="1"/>
      <c r="E1445" s="1"/>
      <c r="F1445" s="1"/>
      <c r="G1445" s="1" t="s">
        <v>8</v>
      </c>
      <c r="H1445" s="2">
        <v>6528</v>
      </c>
      <c r="I1445" s="1" t="s">
        <v>13</v>
      </c>
      <c r="J1445" s="1" t="s">
        <v>4643</v>
      </c>
      <c r="K1445" s="1" t="s">
        <v>51</v>
      </c>
      <c r="L1445" s="1" t="s">
        <v>13</v>
      </c>
      <c r="M1445" s="6" t="str">
        <f>_xlfn.CONCAT(Table1[[#This Row],[Billing Street]], ", ", Table1[[#This Row],[Billing City]], ", ", Table1[[#This Row],[Billing State/Province]], ", ", Table1[[#This Row],[Billing Zip/Postal Code]])</f>
        <v xml:space="preserve">, Temple, TX, </v>
      </c>
    </row>
    <row r="1446" spans="1:13" ht="15.6" hidden="1" x14ac:dyDescent="0.3">
      <c r="A1446" s="1" t="s">
        <v>4644</v>
      </c>
      <c r="B1446" s="1"/>
      <c r="C1446" s="1"/>
      <c r="D1446" s="1"/>
      <c r="E1446" s="1"/>
      <c r="F1446" s="1"/>
      <c r="G1446" s="1" t="s">
        <v>43</v>
      </c>
      <c r="H1446" s="2">
        <v>5776</v>
      </c>
      <c r="I1446" s="1" t="s">
        <v>13</v>
      </c>
      <c r="J1446" s="1" t="s">
        <v>502</v>
      </c>
      <c r="K1446" s="1" t="s">
        <v>2610</v>
      </c>
      <c r="L1446" s="1" t="s">
        <v>13</v>
      </c>
      <c r="M1446" s="6" t="str">
        <f>_xlfn.CONCAT(Table1[[#This Row],[Billing Street]], ", ", Table1[[#This Row],[Billing City]], ", ", Table1[[#This Row],[Billing State/Province]], ", ", Table1[[#This Row],[Billing Zip/Postal Code]])</f>
        <v xml:space="preserve">, Columbia, MD, </v>
      </c>
    </row>
    <row r="1447" spans="1:13" ht="15.6" hidden="1" x14ac:dyDescent="0.3">
      <c r="A1447" s="1" t="s">
        <v>4428</v>
      </c>
      <c r="B1447" s="1"/>
      <c r="C1447" s="1"/>
      <c r="D1447" s="1"/>
      <c r="E1447" s="1"/>
      <c r="F1447" s="1"/>
      <c r="G1447" s="1" t="s">
        <v>43</v>
      </c>
      <c r="H1447" s="2">
        <v>5776</v>
      </c>
      <c r="I1447" s="1" t="s">
        <v>13</v>
      </c>
      <c r="J1447" s="1" t="s">
        <v>4645</v>
      </c>
      <c r="K1447" s="1" t="s">
        <v>133</v>
      </c>
      <c r="L1447" s="1" t="s">
        <v>13</v>
      </c>
      <c r="M1447" s="6" t="str">
        <f>_xlfn.CONCAT(Table1[[#This Row],[Billing Street]], ", ", Table1[[#This Row],[Billing City]], ", ", Table1[[#This Row],[Billing State/Province]], ", ", Table1[[#This Row],[Billing Zip/Postal Code]])</f>
        <v xml:space="preserve">, Schofield, WI, </v>
      </c>
    </row>
    <row r="1448" spans="1:13" ht="15.6" hidden="1" x14ac:dyDescent="0.3">
      <c r="A1448" s="1" t="s">
        <v>4646</v>
      </c>
      <c r="B1448" s="1"/>
      <c r="C1448" s="1"/>
      <c r="D1448" s="1"/>
      <c r="E1448" s="1"/>
      <c r="F1448" s="1"/>
      <c r="G1448" s="1" t="s">
        <v>98</v>
      </c>
      <c r="H1448" s="2">
        <v>5887</v>
      </c>
      <c r="I1448" s="1" t="s">
        <v>13</v>
      </c>
      <c r="J1448" s="1" t="s">
        <v>4647</v>
      </c>
      <c r="K1448" s="1" t="s">
        <v>1135</v>
      </c>
      <c r="L1448" s="1" t="s">
        <v>13</v>
      </c>
      <c r="M1448" s="6" t="str">
        <f>_xlfn.CONCAT(Table1[[#This Row],[Billing Street]], ", ", Table1[[#This Row],[Billing City]], ", ", Table1[[#This Row],[Billing State/Province]], ", ", Table1[[#This Row],[Billing Zip/Postal Code]])</f>
        <v xml:space="preserve">, Rutledge, TN, </v>
      </c>
    </row>
    <row r="1449" spans="1:13" ht="15.6" hidden="1" x14ac:dyDescent="0.3">
      <c r="A1449" s="1" t="s">
        <v>4648</v>
      </c>
      <c r="B1449" s="1"/>
      <c r="C1449" s="1"/>
      <c r="D1449" s="1"/>
      <c r="E1449" s="1"/>
      <c r="F1449" s="1"/>
      <c r="G1449" s="1" t="s">
        <v>98</v>
      </c>
      <c r="H1449" s="2">
        <v>185</v>
      </c>
      <c r="I1449" s="1" t="s">
        <v>4649</v>
      </c>
      <c r="J1449" s="1" t="s">
        <v>3302</v>
      </c>
      <c r="K1449" s="1" t="s">
        <v>1135</v>
      </c>
      <c r="L1449" s="1" t="s">
        <v>4650</v>
      </c>
      <c r="M1449" s="6" t="str">
        <f>_xlfn.CONCAT(Table1[[#This Row],[Billing Street]], ", ", Table1[[#This Row],[Billing City]], ", ", Table1[[#This Row],[Billing State/Province]], ", ", Table1[[#This Row],[Billing Zip/Postal Code]])</f>
        <v>599 W Ellington Pkwy, Lewisburg, TN, 37091</v>
      </c>
    </row>
    <row r="1450" spans="1:13" ht="15.6" hidden="1" x14ac:dyDescent="0.3">
      <c r="A1450" s="1" t="s">
        <v>4651</v>
      </c>
      <c r="B1450" s="1"/>
      <c r="C1450" s="1"/>
      <c r="D1450" s="1"/>
      <c r="E1450" s="1"/>
      <c r="F1450" s="1"/>
      <c r="G1450" s="1" t="s">
        <v>48</v>
      </c>
      <c r="H1450" s="2">
        <v>0</v>
      </c>
      <c r="I1450" s="1" t="s">
        <v>4652</v>
      </c>
      <c r="J1450" s="1" t="s">
        <v>160</v>
      </c>
      <c r="K1450" s="1" t="s">
        <v>2359</v>
      </c>
      <c r="L1450" s="1" t="s">
        <v>4653</v>
      </c>
      <c r="M1450" s="6" t="str">
        <f>_xlfn.CONCAT(Table1[[#This Row],[Billing Street]], ", ", Table1[[#This Row],[Billing City]], ", ", Table1[[#This Row],[Billing State/Province]], ", ", Table1[[#This Row],[Billing Zip/Postal Code]])</f>
        <v>74 Regional Drive, PO Box 1077, Concord, NH, 03302</v>
      </c>
    </row>
    <row r="1451" spans="1:13" ht="15.6" hidden="1" x14ac:dyDescent="0.3">
      <c r="A1451" s="1" t="s">
        <v>4654</v>
      </c>
      <c r="B1451" s="1"/>
      <c r="C1451" s="1"/>
      <c r="D1451" s="1"/>
      <c r="E1451" s="1"/>
      <c r="F1451" s="1"/>
      <c r="G1451" s="1" t="s">
        <v>8</v>
      </c>
      <c r="H1451" s="2">
        <v>682</v>
      </c>
      <c r="I1451" s="1" t="s">
        <v>4655</v>
      </c>
      <c r="J1451" s="1" t="s">
        <v>4656</v>
      </c>
      <c r="K1451" s="1" t="s">
        <v>208</v>
      </c>
      <c r="L1451" s="1" t="s">
        <v>4657</v>
      </c>
      <c r="M1451" s="6" t="str">
        <f>_xlfn.CONCAT(Table1[[#This Row],[Billing Street]], ", ", Table1[[#This Row],[Billing City]], ", ", Table1[[#This Row],[Billing State/Province]], ", ", Table1[[#This Row],[Billing Zip/Postal Code]])</f>
        <v>320 Industrial Ave, Olathe, CO, 81425</v>
      </c>
    </row>
    <row r="1452" spans="1:13" ht="15.6" hidden="1" x14ac:dyDescent="0.3">
      <c r="A1452" s="1" t="s">
        <v>4658</v>
      </c>
      <c r="B1452" s="1"/>
      <c r="C1452" s="1"/>
      <c r="D1452" s="1"/>
      <c r="E1452" s="1"/>
      <c r="F1452" s="1"/>
      <c r="G1452" s="1" t="s">
        <v>98</v>
      </c>
      <c r="H1452" s="2">
        <v>159</v>
      </c>
      <c r="I1452" s="1" t="s">
        <v>4659</v>
      </c>
      <c r="J1452" s="1" t="s">
        <v>4660</v>
      </c>
      <c r="K1452" s="1" t="s">
        <v>1135</v>
      </c>
      <c r="L1452" s="1" t="s">
        <v>4661</v>
      </c>
      <c r="M1452" s="6" t="str">
        <f>_xlfn.CONCAT(Table1[[#This Row],[Billing Street]], ", ", Table1[[#This Row],[Billing City]], ", ", Table1[[#This Row],[Billing State/Province]], ", ", Table1[[#This Row],[Billing Zip/Postal Code]])</f>
        <v>545 Bockman Way, Sparta, TN, 38583</v>
      </c>
    </row>
    <row r="1453" spans="1:13" ht="15.6" hidden="1" x14ac:dyDescent="0.3">
      <c r="A1453" s="1" t="s">
        <v>4662</v>
      </c>
      <c r="B1453" s="1"/>
      <c r="C1453" s="1"/>
      <c r="D1453" s="1"/>
      <c r="E1453" s="1"/>
      <c r="F1453" s="1"/>
      <c r="G1453" s="1" t="s">
        <v>98</v>
      </c>
      <c r="H1453" s="2">
        <v>103</v>
      </c>
      <c r="I1453" s="1" t="s">
        <v>4663</v>
      </c>
      <c r="J1453" s="1" t="s">
        <v>4664</v>
      </c>
      <c r="K1453" s="1" t="s">
        <v>1135</v>
      </c>
      <c r="L1453" s="1" t="s">
        <v>4665</v>
      </c>
      <c r="M1453" s="6" t="str">
        <f>_xlfn.CONCAT(Table1[[#This Row],[Billing Street]], ", ", Table1[[#This Row],[Billing City]], ", ", Table1[[#This Row],[Billing State/Province]], ", ", Table1[[#This Row],[Billing Zip/Postal Code]])</f>
        <v>1316 Tennessee Avenue, Etowah, TN, 37331</v>
      </c>
    </row>
    <row r="1454" spans="1:13" ht="15.6" hidden="1" x14ac:dyDescent="0.3">
      <c r="A1454" s="1" t="s">
        <v>4666</v>
      </c>
      <c r="B1454" s="1"/>
      <c r="C1454" s="1"/>
      <c r="D1454" s="1"/>
      <c r="E1454" s="1"/>
      <c r="F1454" s="1"/>
      <c r="G1454" s="1" t="s">
        <v>98</v>
      </c>
      <c r="H1454" s="2">
        <v>215</v>
      </c>
      <c r="I1454" s="1" t="s">
        <v>4667</v>
      </c>
      <c r="J1454" s="1" t="s">
        <v>4668</v>
      </c>
      <c r="K1454" s="1" t="s">
        <v>1135</v>
      </c>
      <c r="L1454" s="1" t="s">
        <v>4669</v>
      </c>
      <c r="M1454" s="6" t="str">
        <f>_xlfn.CONCAT(Table1[[#This Row],[Billing Street]], ", ", Table1[[#This Row],[Billing City]], ", ", Table1[[#This Row],[Billing State/Province]], ", ", Table1[[#This Row],[Billing Zip/Postal Code]])</f>
        <v>140 Jones Street, Gallatin, TN, 37066</v>
      </c>
    </row>
    <row r="1455" spans="1:13" ht="15.6" hidden="1" x14ac:dyDescent="0.3">
      <c r="A1455" s="1" t="s">
        <v>4670</v>
      </c>
      <c r="B1455" s="1"/>
      <c r="C1455" s="1"/>
      <c r="D1455" s="1"/>
      <c r="E1455" s="1"/>
      <c r="F1455" s="1"/>
      <c r="G1455" s="1" t="s">
        <v>43</v>
      </c>
      <c r="H1455" s="2">
        <v>5776</v>
      </c>
      <c r="I1455" s="1" t="s">
        <v>13</v>
      </c>
      <c r="J1455" s="1" t="s">
        <v>4671</v>
      </c>
      <c r="K1455" s="1" t="s">
        <v>95</v>
      </c>
      <c r="L1455" s="1" t="s">
        <v>13</v>
      </c>
      <c r="M1455" s="6" t="str">
        <f>_xlfn.CONCAT(Table1[[#This Row],[Billing Street]], ", ", Table1[[#This Row],[Billing City]], ", ", Table1[[#This Row],[Billing State/Province]], ", ", Table1[[#This Row],[Billing Zip/Postal Code]])</f>
        <v xml:space="preserve">, Walpole, MA, </v>
      </c>
    </row>
    <row r="1456" spans="1:13" ht="15.6" hidden="1" x14ac:dyDescent="0.3">
      <c r="A1456" s="1" t="s">
        <v>4672</v>
      </c>
      <c r="B1456" s="1"/>
      <c r="C1456" s="1"/>
      <c r="D1456" s="1"/>
      <c r="E1456" s="1"/>
      <c r="F1456" s="1"/>
      <c r="G1456" s="1" t="s">
        <v>8</v>
      </c>
      <c r="H1456" s="2">
        <v>6528</v>
      </c>
      <c r="I1456" s="1" t="s">
        <v>13</v>
      </c>
      <c r="J1456" s="1" t="s">
        <v>4673</v>
      </c>
      <c r="K1456" s="1" t="s">
        <v>11</v>
      </c>
      <c r="L1456" s="1" t="s">
        <v>13</v>
      </c>
      <c r="M1456" s="6" t="str">
        <f>_xlfn.CONCAT(Table1[[#This Row],[Billing Street]], ", ", Table1[[#This Row],[Billing City]], ", ", Table1[[#This Row],[Billing State/Province]], ", ", Table1[[#This Row],[Billing Zip/Postal Code]])</f>
        <v xml:space="preserve">, ST Louis, MO, </v>
      </c>
    </row>
    <row r="1457" spans="1:13" ht="15.6" hidden="1" x14ac:dyDescent="0.3">
      <c r="A1457" s="1" t="s">
        <v>4674</v>
      </c>
      <c r="B1457" s="1"/>
      <c r="C1457" s="1"/>
      <c r="D1457" s="1"/>
      <c r="E1457" s="1"/>
      <c r="F1457" s="1"/>
      <c r="G1457" s="1" t="s">
        <v>98</v>
      </c>
      <c r="H1457" s="2">
        <v>202</v>
      </c>
      <c r="I1457" s="1" t="s">
        <v>4675</v>
      </c>
      <c r="J1457" s="1" t="s">
        <v>2451</v>
      </c>
      <c r="K1457" s="1" t="s">
        <v>1135</v>
      </c>
      <c r="L1457" s="1" t="s">
        <v>4676</v>
      </c>
      <c r="M1457" s="6" t="str">
        <f>_xlfn.CONCAT(Table1[[#This Row],[Billing Street]], ", ", Table1[[#This Row],[Billing City]], ", ", Table1[[#This Row],[Billing State/Province]], ", ", Table1[[#This Row],[Billing Zip/Postal Code]])</f>
        <v>1607 North Locust Ave, Lawrenceburg, TN, 38464</v>
      </c>
    </row>
    <row r="1458" spans="1:13" ht="15.6" hidden="1" x14ac:dyDescent="0.3">
      <c r="A1458" s="1" t="s">
        <v>4677</v>
      </c>
      <c r="B1458" s="1"/>
      <c r="C1458" s="1"/>
      <c r="D1458" s="1"/>
      <c r="E1458" s="1"/>
      <c r="F1458" s="1"/>
      <c r="G1458" s="1" t="s">
        <v>98</v>
      </c>
      <c r="H1458" s="2">
        <v>189</v>
      </c>
      <c r="I1458" s="1" t="s">
        <v>4678</v>
      </c>
      <c r="J1458" s="1" t="s">
        <v>4679</v>
      </c>
      <c r="K1458" s="1" t="s">
        <v>1135</v>
      </c>
      <c r="L1458" s="1" t="s">
        <v>4680</v>
      </c>
      <c r="M1458" s="6" t="str">
        <f>_xlfn.CONCAT(Table1[[#This Row],[Billing Street]], ", ", Table1[[#This Row],[Billing City]], ", ", Table1[[#This Row],[Billing State/Province]], ", ", Table1[[#This Row],[Billing Zip/Postal Code]])</f>
        <v>410 S. Main St., Jellico, TN, 37762</v>
      </c>
    </row>
    <row r="1459" spans="1:13" ht="15.6" hidden="1" x14ac:dyDescent="0.3">
      <c r="A1459" s="1" t="s">
        <v>4681</v>
      </c>
      <c r="B1459" s="1"/>
      <c r="C1459" s="1"/>
      <c r="D1459" s="1"/>
      <c r="E1459" s="1"/>
      <c r="F1459" s="1"/>
      <c r="G1459" s="1" t="s">
        <v>43</v>
      </c>
      <c r="H1459" s="2">
        <v>216</v>
      </c>
      <c r="I1459" s="1" t="s">
        <v>4682</v>
      </c>
      <c r="J1459" s="1" t="s">
        <v>4683</v>
      </c>
      <c r="K1459" s="1" t="s">
        <v>45</v>
      </c>
      <c r="L1459" s="1" t="s">
        <v>4684</v>
      </c>
      <c r="M1459" s="6" t="str">
        <f>_xlfn.CONCAT(Table1[[#This Row],[Billing Street]], ", ", Table1[[#This Row],[Billing City]], ", ", Table1[[#This Row],[Billing State/Province]], ", ", Table1[[#This Row],[Billing Zip/Postal Code]])</f>
        <v>5331 Hetzel St., Cincinnati, OH, 45227</v>
      </c>
    </row>
    <row r="1460" spans="1:13" ht="15.6" hidden="1" x14ac:dyDescent="0.3">
      <c r="A1460" s="1" t="s">
        <v>4685</v>
      </c>
      <c r="B1460" s="1"/>
      <c r="C1460" s="1"/>
      <c r="D1460" s="1"/>
      <c r="E1460" s="1"/>
      <c r="F1460" s="1"/>
      <c r="G1460" s="1" t="s">
        <v>98</v>
      </c>
      <c r="H1460" s="2">
        <v>142</v>
      </c>
      <c r="I1460" s="1" t="s">
        <v>4686</v>
      </c>
      <c r="J1460" s="1" t="s">
        <v>4687</v>
      </c>
      <c r="K1460" s="1" t="s">
        <v>1135</v>
      </c>
      <c r="L1460" s="1" t="s">
        <v>4688</v>
      </c>
      <c r="M1460" s="6" t="str">
        <f>_xlfn.CONCAT(Table1[[#This Row],[Billing Street]], ", ", Table1[[#This Row],[Billing City]], ", ", Table1[[#This Row],[Billing State/Province]], ", ", Table1[[#This Row],[Billing Zip/Postal Code]])</f>
        <v>219 Second Avenue, Winchester, TN, 37398</v>
      </c>
    </row>
    <row r="1461" spans="1:13" ht="15.6" hidden="1" x14ac:dyDescent="0.3">
      <c r="A1461" s="1" t="s">
        <v>4689</v>
      </c>
      <c r="B1461" s="1"/>
      <c r="C1461" s="1"/>
      <c r="D1461" s="1"/>
      <c r="E1461" s="1"/>
      <c r="F1461" s="1"/>
      <c r="G1461" s="1" t="s">
        <v>43</v>
      </c>
      <c r="H1461" s="2">
        <v>5776</v>
      </c>
      <c r="I1461" s="1" t="s">
        <v>13</v>
      </c>
      <c r="J1461" s="1" t="s">
        <v>2221</v>
      </c>
      <c r="K1461" s="1" t="s">
        <v>241</v>
      </c>
      <c r="L1461" s="1" t="s">
        <v>13</v>
      </c>
      <c r="M1461" s="6" t="str">
        <f>_xlfn.CONCAT(Table1[[#This Row],[Billing Street]], ", ", Table1[[#This Row],[Billing City]], ", ", Table1[[#This Row],[Billing State/Province]], ", ", Table1[[#This Row],[Billing Zip/Postal Code]])</f>
        <v xml:space="preserve">, Pittsburgh, PA, </v>
      </c>
    </row>
    <row r="1462" spans="1:13" ht="15.6" hidden="1" x14ac:dyDescent="0.3">
      <c r="A1462" s="1" t="s">
        <v>4690</v>
      </c>
      <c r="B1462" s="1"/>
      <c r="C1462" s="1"/>
      <c r="D1462" s="1"/>
      <c r="E1462" s="1"/>
      <c r="F1462" s="1"/>
      <c r="G1462" s="1" t="s">
        <v>98</v>
      </c>
      <c r="H1462" s="2">
        <v>215</v>
      </c>
      <c r="I1462" s="1" t="s">
        <v>4691</v>
      </c>
      <c r="J1462" s="1" t="s">
        <v>4692</v>
      </c>
      <c r="K1462" s="1" t="s">
        <v>1135</v>
      </c>
      <c r="L1462" s="1" t="s">
        <v>4693</v>
      </c>
      <c r="M1462" s="6" t="str">
        <f>_xlfn.CONCAT(Table1[[#This Row],[Billing Street]], ", ", Table1[[#This Row],[Billing City]], ", ", Table1[[#This Row],[Billing State/Province]], ", ", Table1[[#This Row],[Billing Zip/Postal Code]])</f>
        <v>2515 McGavock Pike, Nashville, TN, 37214</v>
      </c>
    </row>
    <row r="1463" spans="1:13" ht="15.6" hidden="1" x14ac:dyDescent="0.3">
      <c r="A1463" s="1" t="s">
        <v>4694</v>
      </c>
      <c r="B1463" s="1"/>
      <c r="C1463" s="1"/>
      <c r="D1463" s="1"/>
      <c r="E1463" s="1"/>
      <c r="F1463" s="1"/>
      <c r="G1463" s="1" t="s">
        <v>98</v>
      </c>
      <c r="H1463" s="2">
        <v>206</v>
      </c>
      <c r="I1463" s="1" t="s">
        <v>4695</v>
      </c>
      <c r="J1463" s="1" t="s">
        <v>4696</v>
      </c>
      <c r="K1463" s="1" t="s">
        <v>1135</v>
      </c>
      <c r="L1463" s="1" t="s">
        <v>4697</v>
      </c>
      <c r="M1463" s="6" t="str">
        <f>_xlfn.CONCAT(Table1[[#This Row],[Billing Street]], ", ", Table1[[#This Row],[Billing City]], ", ", Table1[[#This Row],[Billing State/Province]], ", ", Table1[[#This Row],[Billing Zip/Postal Code]])</f>
        <v>123 N Main St, Mount Pleasant, TN, 38474</v>
      </c>
    </row>
    <row r="1464" spans="1:13" ht="15.6" hidden="1" x14ac:dyDescent="0.3">
      <c r="A1464" s="1" t="s">
        <v>4698</v>
      </c>
      <c r="B1464" s="1"/>
      <c r="C1464" s="1"/>
      <c r="D1464" s="1"/>
      <c r="E1464" s="1"/>
      <c r="F1464" s="1"/>
      <c r="G1464" s="1" t="s">
        <v>98</v>
      </c>
      <c r="H1464" s="2">
        <v>145</v>
      </c>
      <c r="I1464" s="1" t="s">
        <v>4699</v>
      </c>
      <c r="J1464" s="1" t="s">
        <v>4700</v>
      </c>
      <c r="K1464" s="1" t="s">
        <v>1135</v>
      </c>
      <c r="L1464" s="1" t="s">
        <v>4701</v>
      </c>
      <c r="M1464" s="6" t="str">
        <f>_xlfn.CONCAT(Table1[[#This Row],[Billing Street]], ", ", Table1[[#This Row],[Billing City]], ", ", Table1[[#This Row],[Billing State/Province]], ", ", Table1[[#This Row],[Billing Zip/Postal Code]])</f>
        <v>101 Margrave Drive, Harriman, TN, 37748</v>
      </c>
    </row>
    <row r="1465" spans="1:13" ht="15.6" hidden="1" x14ac:dyDescent="0.3">
      <c r="A1465" s="1" t="s">
        <v>4702</v>
      </c>
      <c r="B1465" s="1"/>
      <c r="C1465" s="1"/>
      <c r="D1465" s="1"/>
      <c r="E1465" s="1"/>
      <c r="F1465" s="1"/>
      <c r="G1465" s="1" t="s">
        <v>48</v>
      </c>
      <c r="H1465" s="2">
        <v>0</v>
      </c>
      <c r="I1465" s="1" t="s">
        <v>4703</v>
      </c>
      <c r="J1465" s="1" t="s">
        <v>4704</v>
      </c>
      <c r="K1465" s="1" t="s">
        <v>237</v>
      </c>
      <c r="L1465" s="1" t="s">
        <v>4705</v>
      </c>
      <c r="M1465" s="6" t="str">
        <f>_xlfn.CONCAT(Table1[[#This Row],[Billing Street]], ", ", Table1[[#This Row],[Billing City]], ", ", Table1[[#This Row],[Billing State/Province]], ", ", Table1[[#This Row],[Billing Zip/Postal Code]])</f>
        <v>7944 East 150 South, Akron, IN, 46910</v>
      </c>
    </row>
    <row r="1466" spans="1:13" ht="15.6" hidden="1" x14ac:dyDescent="0.3">
      <c r="A1466" s="1" t="s">
        <v>4706</v>
      </c>
      <c r="B1466" s="1"/>
      <c r="C1466" s="1"/>
      <c r="D1466" s="1"/>
      <c r="E1466" s="1"/>
      <c r="F1466" s="1"/>
      <c r="G1466" s="1" t="s">
        <v>43</v>
      </c>
      <c r="H1466" s="2">
        <v>5776</v>
      </c>
      <c r="I1466" s="1" t="s">
        <v>13</v>
      </c>
      <c r="J1466" s="1" t="s">
        <v>4707</v>
      </c>
      <c r="K1466" s="1" t="s">
        <v>45</v>
      </c>
      <c r="L1466" s="1" t="s">
        <v>13</v>
      </c>
      <c r="M1466" s="6" t="str">
        <f>_xlfn.CONCAT(Table1[[#This Row],[Billing Street]], ", ", Table1[[#This Row],[Billing City]], ", ", Table1[[#This Row],[Billing State/Province]], ", ", Table1[[#This Row],[Billing Zip/Postal Code]])</f>
        <v xml:space="preserve">, Massilon, OH, </v>
      </c>
    </row>
    <row r="1467" spans="1:13" ht="15.6" hidden="1" x14ac:dyDescent="0.3">
      <c r="A1467" s="1" t="s">
        <v>4708</v>
      </c>
      <c r="B1467" s="1"/>
      <c r="C1467" s="1"/>
      <c r="D1467" s="1"/>
      <c r="E1467" s="1"/>
      <c r="F1467" s="1"/>
      <c r="G1467" s="1" t="s">
        <v>48</v>
      </c>
      <c r="H1467" s="2">
        <v>0</v>
      </c>
      <c r="I1467" s="1" t="s">
        <v>4709</v>
      </c>
      <c r="J1467" s="1" t="s">
        <v>261</v>
      </c>
      <c r="K1467" s="1" t="s">
        <v>237</v>
      </c>
      <c r="L1467" s="1" t="s">
        <v>4710</v>
      </c>
      <c r="M1467" s="6" t="str">
        <f>_xlfn.CONCAT(Table1[[#This Row],[Billing Street]], ", ", Table1[[#This Row],[Billing City]], ", ", Table1[[#This Row],[Billing State/Province]], ", ", Table1[[#This Row],[Billing Zip/Postal Code]])</f>
        <v>1751 W. Raymond Street _x000D_
Indianapolis Branch, Indianapolis, IN, 46221</v>
      </c>
    </row>
    <row r="1468" spans="1:13" ht="15.6" hidden="1" x14ac:dyDescent="0.3">
      <c r="A1468" s="1" t="s">
        <v>4711</v>
      </c>
      <c r="B1468" s="1"/>
      <c r="C1468" s="1"/>
      <c r="D1468" s="1"/>
      <c r="E1468" s="1"/>
      <c r="F1468" s="1"/>
      <c r="G1468" s="1" t="s">
        <v>48</v>
      </c>
      <c r="H1468" s="2">
        <v>0</v>
      </c>
      <c r="I1468" s="1" t="s">
        <v>4712</v>
      </c>
      <c r="J1468" s="1" t="s">
        <v>4713</v>
      </c>
      <c r="K1468" s="1" t="s">
        <v>2309</v>
      </c>
      <c r="L1468" s="1" t="s">
        <v>4714</v>
      </c>
      <c r="M1468" s="6" t="str">
        <f>_xlfn.CONCAT(Table1[[#This Row],[Billing Street]], ", ", Table1[[#This Row],[Billing City]], ", ", Table1[[#This Row],[Billing State/Province]], ", ", Table1[[#This Row],[Billing Zip/Postal Code]])</f>
        <v>14207 W. Hwy 30, Pocatello, ID, 83202</v>
      </c>
    </row>
    <row r="1469" spans="1:13" ht="15.6" hidden="1" x14ac:dyDescent="0.3">
      <c r="A1469" s="1" t="s">
        <v>4715</v>
      </c>
      <c r="B1469" s="1"/>
      <c r="C1469" s="1"/>
      <c r="D1469" s="1"/>
      <c r="E1469" s="1"/>
      <c r="F1469" s="1"/>
      <c r="G1469" s="1" t="s">
        <v>43</v>
      </c>
      <c r="H1469" s="2">
        <v>5776</v>
      </c>
      <c r="I1469" s="1" t="s">
        <v>13</v>
      </c>
      <c r="J1469" s="1" t="s">
        <v>4716</v>
      </c>
      <c r="K1469" s="1" t="s">
        <v>95</v>
      </c>
      <c r="L1469" s="1" t="s">
        <v>13</v>
      </c>
      <c r="M1469" s="6" t="str">
        <f>_xlfn.CONCAT(Table1[[#This Row],[Billing Street]], ", ", Table1[[#This Row],[Billing City]], ", ", Table1[[#This Row],[Billing State/Province]], ", ", Table1[[#This Row],[Billing Zip/Postal Code]])</f>
        <v xml:space="preserve">, Uxbridge, MA, </v>
      </c>
    </row>
    <row r="1470" spans="1:13" ht="15.6" hidden="1" x14ac:dyDescent="0.3">
      <c r="A1470" s="1" t="s">
        <v>4717</v>
      </c>
      <c r="B1470" s="1"/>
      <c r="C1470" s="1"/>
      <c r="D1470" s="1"/>
      <c r="E1470" s="1"/>
      <c r="F1470" s="1"/>
      <c r="G1470" s="1" t="s">
        <v>98</v>
      </c>
      <c r="H1470" s="2">
        <v>170</v>
      </c>
      <c r="I1470" s="1" t="s">
        <v>4718</v>
      </c>
      <c r="J1470" s="1" t="s">
        <v>3890</v>
      </c>
      <c r="K1470" s="1" t="s">
        <v>1135</v>
      </c>
      <c r="L1470" s="1" t="s">
        <v>4719</v>
      </c>
      <c r="M1470" s="6" t="str">
        <f>_xlfn.CONCAT(Table1[[#This Row],[Billing Street]], ", ", Table1[[#This Row],[Billing City]], ", ", Table1[[#This Row],[Billing State/Province]], ", ", Table1[[#This Row],[Billing Zip/Postal Code]])</f>
        <v>308 South Main Street, Shelbyville, TN, 37160</v>
      </c>
    </row>
    <row r="1471" spans="1:13" ht="15.6" hidden="1" x14ac:dyDescent="0.3">
      <c r="A1471" s="1" t="s">
        <v>4720</v>
      </c>
      <c r="B1471" s="1"/>
      <c r="C1471" s="1"/>
      <c r="D1471" s="1"/>
      <c r="E1471" s="1"/>
      <c r="F1471" s="1"/>
      <c r="G1471" s="1" t="s">
        <v>98</v>
      </c>
      <c r="H1471" s="2">
        <v>154</v>
      </c>
      <c r="I1471" s="1" t="s">
        <v>4721</v>
      </c>
      <c r="J1471" s="1" t="s">
        <v>4722</v>
      </c>
      <c r="K1471" s="1" t="s">
        <v>1135</v>
      </c>
      <c r="L1471" s="1" t="s">
        <v>4723</v>
      </c>
      <c r="M1471" s="6" t="str">
        <f>_xlfn.CONCAT(Table1[[#This Row],[Billing Street]], ", ", Table1[[#This Row],[Billing City]], ", ", Table1[[#This Row],[Billing State/Province]], ", ", Table1[[#This Row],[Billing Zip/Postal Code]])</f>
        <v>202 West Morford Street, McMinnville, TN, 37110</v>
      </c>
    </row>
    <row r="1472" spans="1:13" ht="15.6" x14ac:dyDescent="0.3">
      <c r="A1472" s="1" t="s">
        <v>4724</v>
      </c>
      <c r="B1472" s="1"/>
      <c r="C1472" s="1"/>
      <c r="D1472" s="1"/>
      <c r="E1472" s="1"/>
      <c r="F1472" s="1"/>
      <c r="G1472" s="1" t="s">
        <v>24</v>
      </c>
      <c r="H1472" s="2">
        <v>314</v>
      </c>
      <c r="I1472" s="1" t="s">
        <v>4725</v>
      </c>
      <c r="J1472" s="1" t="s">
        <v>2816</v>
      </c>
      <c r="K1472" s="1" t="s">
        <v>36</v>
      </c>
      <c r="L1472" s="1" t="s">
        <v>2817</v>
      </c>
      <c r="M1472" s="6" t="str">
        <f>_xlfn.CONCAT(Table1[[#This Row],[Billing Street]], ", ", Table1[[#This Row],[Billing City]], ", ", Table1[[#This Row],[Billing State/Province]], ", ", Table1[[#This Row],[Billing Zip/Postal Code]])</f>
        <v>2234 S. Apopka Blvd, Apopka, FL, 32703</v>
      </c>
    </row>
    <row r="1473" spans="1:13" ht="15.6" hidden="1" x14ac:dyDescent="0.3">
      <c r="A1473" s="1" t="s">
        <v>4726</v>
      </c>
      <c r="B1473" s="1"/>
      <c r="C1473" s="1"/>
      <c r="D1473" s="1"/>
      <c r="E1473" s="1"/>
      <c r="F1473" s="1"/>
      <c r="G1473" s="1" t="s">
        <v>98</v>
      </c>
      <c r="H1473" s="2">
        <v>5887</v>
      </c>
      <c r="I1473" s="1" t="s">
        <v>13</v>
      </c>
      <c r="J1473" s="1" t="s">
        <v>4727</v>
      </c>
      <c r="K1473" s="1" t="s">
        <v>1178</v>
      </c>
      <c r="L1473" s="1" t="s">
        <v>13</v>
      </c>
      <c r="M1473" s="6" t="str">
        <f>_xlfn.CONCAT(Table1[[#This Row],[Billing Street]], ", ", Table1[[#This Row],[Billing City]], ", ", Table1[[#This Row],[Billing State/Province]], ", ", Table1[[#This Row],[Billing Zip/Postal Code]])</f>
        <v xml:space="preserve">, Charlotte, NC, </v>
      </c>
    </row>
    <row r="1474" spans="1:13" ht="15.6" hidden="1" x14ac:dyDescent="0.3">
      <c r="A1474" s="1" t="s">
        <v>4728</v>
      </c>
      <c r="B1474" s="1"/>
      <c r="C1474" s="1"/>
      <c r="D1474" s="1"/>
      <c r="E1474" s="1"/>
      <c r="F1474" s="1"/>
      <c r="G1474" s="1" t="s">
        <v>98</v>
      </c>
      <c r="H1474" s="2">
        <v>5887</v>
      </c>
      <c r="I1474" s="1" t="s">
        <v>13</v>
      </c>
      <c r="J1474" s="1" t="s">
        <v>4727</v>
      </c>
      <c r="K1474" s="1" t="s">
        <v>1178</v>
      </c>
      <c r="L1474" s="1" t="s">
        <v>13</v>
      </c>
      <c r="M1474" s="6" t="str">
        <f>_xlfn.CONCAT(Table1[[#This Row],[Billing Street]], ", ", Table1[[#This Row],[Billing City]], ", ", Table1[[#This Row],[Billing State/Province]], ", ", Table1[[#This Row],[Billing Zip/Postal Code]])</f>
        <v xml:space="preserve">, Charlotte, NC, </v>
      </c>
    </row>
    <row r="1475" spans="1:13" ht="15.6" hidden="1" x14ac:dyDescent="0.3">
      <c r="A1475" s="1" t="s">
        <v>4729</v>
      </c>
      <c r="B1475" s="1"/>
      <c r="C1475" s="1"/>
      <c r="D1475" s="1"/>
      <c r="E1475" s="1"/>
      <c r="F1475" s="1"/>
      <c r="G1475" s="1" t="s">
        <v>98</v>
      </c>
      <c r="H1475" s="2">
        <v>168</v>
      </c>
      <c r="I1475" s="1" t="s">
        <v>4730</v>
      </c>
      <c r="J1475" s="1" t="s">
        <v>3890</v>
      </c>
      <c r="K1475" s="1" t="s">
        <v>1135</v>
      </c>
      <c r="L1475" s="1" t="s">
        <v>4719</v>
      </c>
      <c r="M1475" s="6" t="str">
        <f>_xlfn.CONCAT(Table1[[#This Row],[Billing Street]], ", ", Table1[[#This Row],[Billing City]], ", ", Table1[[#This Row],[Billing State/Province]], ", ", Table1[[#This Row],[Billing Zip/Postal Code]])</f>
        <v>1411 Madison Street, Shelbyville, TN, 37160</v>
      </c>
    </row>
    <row r="1476" spans="1:13" ht="15.6" hidden="1" x14ac:dyDescent="0.3">
      <c r="A1476" s="1" t="s">
        <v>4731</v>
      </c>
      <c r="B1476" s="1"/>
      <c r="C1476" s="1"/>
      <c r="D1476" s="1"/>
      <c r="E1476" s="1"/>
      <c r="F1476" s="1"/>
      <c r="G1476" s="1" t="s">
        <v>43</v>
      </c>
      <c r="H1476" s="2">
        <v>303</v>
      </c>
      <c r="I1476" s="1" t="s">
        <v>4732</v>
      </c>
      <c r="J1476" s="1" t="s">
        <v>4733</v>
      </c>
      <c r="K1476" s="1" t="s">
        <v>82</v>
      </c>
      <c r="L1476" s="1" t="s">
        <v>4734</v>
      </c>
      <c r="M1476" s="6" t="str">
        <f>_xlfn.CONCAT(Table1[[#This Row],[Billing Street]], ", ", Table1[[#This Row],[Billing City]], ", ", Table1[[#This Row],[Billing State/Province]], ", ", Table1[[#This Row],[Billing Zip/Postal Code]])</f>
        <v>3947 US 131 North, Kalkaska, MI, 49646</v>
      </c>
    </row>
    <row r="1477" spans="1:13" ht="15.6" hidden="1" x14ac:dyDescent="0.3">
      <c r="A1477" s="1" t="s">
        <v>4735</v>
      </c>
      <c r="B1477" s="1"/>
      <c r="C1477" s="1"/>
      <c r="D1477" s="1"/>
      <c r="E1477" s="1"/>
      <c r="F1477" s="1"/>
      <c r="G1477" s="1" t="s">
        <v>98</v>
      </c>
      <c r="H1477" s="2">
        <v>237</v>
      </c>
      <c r="I1477" s="1" t="s">
        <v>4736</v>
      </c>
      <c r="J1477" s="1" t="s">
        <v>418</v>
      </c>
      <c r="K1477" s="1" t="s">
        <v>1135</v>
      </c>
      <c r="L1477" s="1" t="s">
        <v>4737</v>
      </c>
      <c r="M1477" s="6" t="str">
        <f>_xlfn.CONCAT(Table1[[#This Row],[Billing Street]], ", ", Table1[[#This Row],[Billing City]], ", ", Table1[[#This Row],[Billing State/Province]], ", ", Table1[[#This Row],[Billing Zip/Postal Code]])</f>
        <v>1000 Central Avenue West, Springfield, TN, 37172</v>
      </c>
    </row>
    <row r="1478" spans="1:13" ht="15.6" hidden="1" x14ac:dyDescent="0.3">
      <c r="A1478" s="1" t="s">
        <v>4738</v>
      </c>
      <c r="B1478" s="1"/>
      <c r="C1478" s="1"/>
      <c r="D1478" s="1"/>
      <c r="E1478" s="1"/>
      <c r="F1478" s="1"/>
      <c r="G1478" s="1" t="s">
        <v>98</v>
      </c>
      <c r="H1478" s="2">
        <v>256</v>
      </c>
      <c r="I1478" s="1" t="s">
        <v>4739</v>
      </c>
      <c r="J1478" s="1" t="s">
        <v>4740</v>
      </c>
      <c r="K1478" s="1" t="s">
        <v>1135</v>
      </c>
      <c r="L1478" s="1" t="s">
        <v>4741</v>
      </c>
      <c r="M1478" s="6" t="str">
        <f>_xlfn.CONCAT(Table1[[#This Row],[Billing Street]], ", ", Table1[[#This Row],[Billing City]], ", ", Table1[[#This Row],[Billing State/Province]], ", ", Table1[[#This Row],[Billing Zip/Postal Code]])</f>
        <v>2021 Wilma Rudolph Blvd, Clarksville, TN, 37040</v>
      </c>
    </row>
    <row r="1479" spans="1:13" ht="15.6" hidden="1" x14ac:dyDescent="0.3">
      <c r="A1479" s="1" t="s">
        <v>4742</v>
      </c>
      <c r="B1479" s="1"/>
      <c r="C1479" s="1"/>
      <c r="D1479" s="1"/>
      <c r="E1479" s="1"/>
      <c r="F1479" s="1"/>
      <c r="G1479" s="1" t="s">
        <v>8</v>
      </c>
      <c r="H1479" s="2">
        <v>245</v>
      </c>
      <c r="I1479" s="1" t="s">
        <v>4743</v>
      </c>
      <c r="J1479" s="1" t="s">
        <v>4744</v>
      </c>
      <c r="K1479" s="1" t="s">
        <v>165</v>
      </c>
      <c r="L1479" s="1" t="s">
        <v>4745</v>
      </c>
      <c r="M1479" s="6" t="str">
        <f>_xlfn.CONCAT(Table1[[#This Row],[Billing Street]], ", ", Table1[[#This Row],[Billing City]], ", ", Table1[[#This Row],[Billing State/Province]], ", ", Table1[[#This Row],[Billing Zip/Postal Code]])</f>
        <v>241 Newman Drive, North Little Rock, AR, 72117</v>
      </c>
    </row>
    <row r="1480" spans="1:13" ht="15.6" hidden="1" x14ac:dyDescent="0.3">
      <c r="A1480" s="1" t="s">
        <v>4746</v>
      </c>
      <c r="B1480" s="1"/>
      <c r="C1480" s="1"/>
      <c r="D1480" s="1"/>
      <c r="E1480" s="1"/>
      <c r="F1480" s="1"/>
      <c r="G1480" s="1" t="s">
        <v>43</v>
      </c>
      <c r="H1480" s="2">
        <v>5776</v>
      </c>
      <c r="I1480" s="1" t="s">
        <v>4747</v>
      </c>
      <c r="J1480" s="1" t="s">
        <v>4748</v>
      </c>
      <c r="K1480" s="1" t="s">
        <v>4749</v>
      </c>
      <c r="L1480" s="1" t="s">
        <v>4750</v>
      </c>
      <c r="M1480" s="6" t="str">
        <f>_xlfn.CONCAT(Table1[[#This Row],[Billing Street]], ", ", Table1[[#This Row],[Billing City]], ", ", Table1[[#This Row],[Billing State/Province]], ", ", Table1[[#This Row],[Billing Zip/Postal Code]])</f>
        <v>21 Griffin Rd North, Windsor, Ct, 6095</v>
      </c>
    </row>
    <row r="1481" spans="1:13" ht="15.6" hidden="1" x14ac:dyDescent="0.3">
      <c r="A1481" s="1" t="s">
        <v>4751</v>
      </c>
      <c r="B1481" s="1"/>
      <c r="C1481" s="1"/>
      <c r="D1481" s="1"/>
      <c r="E1481" s="1"/>
      <c r="F1481" s="1"/>
      <c r="G1481" s="1" t="s">
        <v>98</v>
      </c>
      <c r="H1481" s="2">
        <v>153</v>
      </c>
      <c r="I1481" s="1" t="s">
        <v>4752</v>
      </c>
      <c r="J1481" s="1" t="s">
        <v>4753</v>
      </c>
      <c r="K1481" s="1" t="s">
        <v>1135</v>
      </c>
      <c r="L1481" s="1" t="s">
        <v>4754</v>
      </c>
      <c r="M1481" s="6" t="str">
        <f>_xlfn.CONCAT(Table1[[#This Row],[Billing Street]], ", ", Table1[[#This Row],[Billing City]], ", ", Table1[[#This Row],[Billing State/Province]], ", ", Table1[[#This Row],[Billing Zip/Postal Code]])</f>
        <v>901 S. Jackson Street, Tullahoma, TN, 37388</v>
      </c>
    </row>
    <row r="1482" spans="1:13" ht="15.6" x14ac:dyDescent="0.3">
      <c r="A1482" s="1" t="s">
        <v>4755</v>
      </c>
      <c r="B1482" s="1"/>
      <c r="C1482" s="1"/>
      <c r="D1482" s="1"/>
      <c r="E1482" s="1"/>
      <c r="F1482" s="1"/>
      <c r="G1482" s="1" t="s">
        <v>24</v>
      </c>
      <c r="H1482" s="2">
        <v>5988</v>
      </c>
      <c r="I1482" s="1" t="s">
        <v>4756</v>
      </c>
      <c r="J1482" s="1" t="s">
        <v>4757</v>
      </c>
      <c r="K1482" s="1" t="s">
        <v>31</v>
      </c>
      <c r="L1482" s="1" t="s">
        <v>4758</v>
      </c>
      <c r="M1482" s="6" t="str">
        <f>_xlfn.CONCAT(Table1[[#This Row],[Billing Street]], ", ", Table1[[#This Row],[Billing City]], ", ", Table1[[#This Row],[Billing State/Province]], ", ", Table1[[#This Row],[Billing Zip/Postal Code]])</f>
        <v>3794 MS-468, Pearl, MS, 39208</v>
      </c>
    </row>
    <row r="1483" spans="1:13" ht="15.6" hidden="1" x14ac:dyDescent="0.3">
      <c r="A1483" s="1" t="s">
        <v>4759</v>
      </c>
      <c r="B1483" s="1"/>
      <c r="C1483" s="1"/>
      <c r="D1483" s="1"/>
      <c r="E1483" s="1"/>
      <c r="F1483" s="1"/>
      <c r="G1483" s="1" t="s">
        <v>98</v>
      </c>
      <c r="H1483" s="2">
        <v>325</v>
      </c>
      <c r="I1483" s="1" t="s">
        <v>4760</v>
      </c>
      <c r="J1483" s="1" t="s">
        <v>4761</v>
      </c>
      <c r="K1483" s="1" t="s">
        <v>1135</v>
      </c>
      <c r="L1483" s="1" t="s">
        <v>4762</v>
      </c>
      <c r="M1483" s="6" t="str">
        <f>_xlfn.CONCAT(Table1[[#This Row],[Billing Street]], ", ", Table1[[#This Row],[Billing City]], ", ", Table1[[#This Row],[Billing State/Province]], ", ", Table1[[#This Row],[Billing Zip/Postal Code]])</f>
        <v>318 south main, Newbern, TN, 38059</v>
      </c>
    </row>
    <row r="1484" spans="1:13" ht="15.6" hidden="1" x14ac:dyDescent="0.3">
      <c r="A1484" s="1" t="s">
        <v>4763</v>
      </c>
      <c r="B1484" s="1"/>
      <c r="C1484" s="1"/>
      <c r="D1484" s="1"/>
      <c r="E1484" s="1"/>
      <c r="F1484" s="1"/>
      <c r="G1484" s="1" t="s">
        <v>8</v>
      </c>
      <c r="H1484" s="2">
        <v>512</v>
      </c>
      <c r="I1484" s="1" t="s">
        <v>4764</v>
      </c>
      <c r="J1484" s="1" t="s">
        <v>207</v>
      </c>
      <c r="K1484" s="1" t="s">
        <v>208</v>
      </c>
      <c r="L1484" s="1" t="s">
        <v>4765</v>
      </c>
      <c r="M1484" s="6" t="str">
        <f>_xlfn.CONCAT(Table1[[#This Row],[Billing Street]], ", ", Table1[[#This Row],[Billing City]], ", ", Table1[[#This Row],[Billing State/Province]], ", ", Table1[[#This Row],[Billing Zip/Postal Code]])</f>
        <v>4450 E Fountain Blvd, Colorado Springs, CO, 80916</v>
      </c>
    </row>
    <row r="1485" spans="1:13" ht="15.6" hidden="1" x14ac:dyDescent="0.3">
      <c r="A1485" s="1" t="s">
        <v>4766</v>
      </c>
      <c r="B1485" s="1"/>
      <c r="C1485" s="1"/>
      <c r="D1485" s="1"/>
      <c r="E1485" s="1"/>
      <c r="F1485" s="1"/>
      <c r="G1485" s="1" t="s">
        <v>98</v>
      </c>
      <c r="H1485" s="2">
        <v>203</v>
      </c>
      <c r="I1485" s="1" t="s">
        <v>4767</v>
      </c>
      <c r="J1485" s="1" t="s">
        <v>585</v>
      </c>
      <c r="K1485" s="1" t="s">
        <v>1135</v>
      </c>
      <c r="L1485" s="1" t="s">
        <v>4768</v>
      </c>
      <c r="M1485" s="6" t="str">
        <f>_xlfn.CONCAT(Table1[[#This Row],[Billing Street]], ", ", Table1[[#This Row],[Billing City]], ", ", Table1[[#This Row],[Billing State/Province]], ", ", Table1[[#This Row],[Billing Zip/Postal Code]])</f>
        <v>4057 Rural Plains Drive, Franklin, TN, 37064</v>
      </c>
    </row>
    <row r="1486" spans="1:13" ht="15.6" hidden="1" x14ac:dyDescent="0.3">
      <c r="A1486" s="1" t="s">
        <v>4769</v>
      </c>
      <c r="B1486" s="1"/>
      <c r="C1486" s="1"/>
      <c r="D1486" s="1"/>
      <c r="E1486" s="1"/>
      <c r="F1486" s="1"/>
      <c r="G1486" s="1" t="s">
        <v>98</v>
      </c>
      <c r="H1486" s="2">
        <v>256</v>
      </c>
      <c r="I1486" s="1" t="s">
        <v>4770</v>
      </c>
      <c r="J1486" s="1" t="s">
        <v>4740</v>
      </c>
      <c r="K1486" s="1" t="s">
        <v>1135</v>
      </c>
      <c r="L1486" s="1" t="s">
        <v>4741</v>
      </c>
      <c r="M1486" s="6" t="str">
        <f>_xlfn.CONCAT(Table1[[#This Row],[Billing Street]], ", ", Table1[[#This Row],[Billing City]], ", ", Table1[[#This Row],[Billing State/Province]], ", ", Table1[[#This Row],[Billing Zip/Postal Code]])</f>
        <v>681 Summer Street, Clarksville, TN, 37040</v>
      </c>
    </row>
    <row r="1487" spans="1:13" ht="15.6" hidden="1" x14ac:dyDescent="0.3">
      <c r="A1487" s="1" t="s">
        <v>4771</v>
      </c>
      <c r="B1487" s="1"/>
      <c r="C1487" s="1"/>
      <c r="D1487" s="1"/>
      <c r="E1487" s="1"/>
      <c r="F1487" s="1"/>
      <c r="G1487" s="1" t="s">
        <v>98</v>
      </c>
      <c r="H1487" s="2">
        <v>220</v>
      </c>
      <c r="I1487" s="1" t="s">
        <v>4772</v>
      </c>
      <c r="J1487" s="1" t="s">
        <v>4773</v>
      </c>
      <c r="K1487" s="1" t="s">
        <v>1135</v>
      </c>
      <c r="L1487" s="1" t="s">
        <v>4774</v>
      </c>
      <c r="M1487" s="6" t="str">
        <f>_xlfn.CONCAT(Table1[[#This Row],[Billing Street]], ", ", Table1[[#This Row],[Billing City]], ", ", Table1[[#This Row],[Billing State/Province]], ", ", Table1[[#This Row],[Billing Zip/Postal Code]])</f>
        <v>500 Highway 13 S., Collingwood, TN, 38450</v>
      </c>
    </row>
    <row r="1488" spans="1:13" ht="15.6" hidden="1" x14ac:dyDescent="0.3">
      <c r="A1488" s="1" t="s">
        <v>4775</v>
      </c>
      <c r="B1488" s="1"/>
      <c r="C1488" s="1"/>
      <c r="D1488" s="1"/>
      <c r="E1488" s="1"/>
      <c r="F1488" s="1"/>
      <c r="G1488" s="1" t="s">
        <v>98</v>
      </c>
      <c r="H1488" s="2">
        <v>150</v>
      </c>
      <c r="I1488" s="1" t="s">
        <v>4776</v>
      </c>
      <c r="J1488" s="1" t="s">
        <v>3508</v>
      </c>
      <c r="K1488" s="1" t="s">
        <v>1135</v>
      </c>
      <c r="L1488" s="1" t="s">
        <v>4777</v>
      </c>
      <c r="M1488" s="6" t="str">
        <f>_xlfn.CONCAT(Table1[[#This Row],[Billing Street]], ", ", Table1[[#This Row],[Billing City]], ", ", Table1[[#This Row],[Billing State/Province]], ", ", Table1[[#This Row],[Billing Zip/Postal Code]])</f>
        <v>1352 Edgemoor Road, Clinton, TN, 37716</v>
      </c>
    </row>
    <row r="1489" spans="1:13" ht="15.6" hidden="1" x14ac:dyDescent="0.3">
      <c r="A1489" s="1" t="s">
        <v>4778</v>
      </c>
      <c r="B1489" s="1"/>
      <c r="C1489" s="1"/>
      <c r="D1489" s="1"/>
      <c r="E1489" s="1"/>
      <c r="F1489" s="1"/>
      <c r="G1489" s="1" t="s">
        <v>98</v>
      </c>
      <c r="H1489" s="2">
        <v>136</v>
      </c>
      <c r="I1489" s="1" t="s">
        <v>4779</v>
      </c>
      <c r="J1489" s="1" t="s">
        <v>4780</v>
      </c>
      <c r="K1489" s="1" t="s">
        <v>1135</v>
      </c>
      <c r="L1489" s="1" t="s">
        <v>4781</v>
      </c>
      <c r="M1489" s="6" t="str">
        <f>_xlfn.CONCAT(Table1[[#This Row],[Billing Street]], ", ", Table1[[#This Row],[Billing City]], ", ", Table1[[#This Row],[Billing State/Province]], ", ", Table1[[#This Row],[Billing Zip/Postal Code]])</f>
        <v>2343 West General Aviation Drive, Alcoa, TN, 37701</v>
      </c>
    </row>
    <row r="1490" spans="1:13" ht="15.6" hidden="1" x14ac:dyDescent="0.3">
      <c r="A1490" s="1" t="s">
        <v>4782</v>
      </c>
      <c r="B1490" s="1"/>
      <c r="C1490" s="1"/>
      <c r="D1490" s="1"/>
      <c r="E1490" s="1"/>
      <c r="F1490" s="1"/>
      <c r="G1490" s="1" t="s">
        <v>98</v>
      </c>
      <c r="H1490" s="2">
        <v>132</v>
      </c>
      <c r="I1490" s="1" t="s">
        <v>4783</v>
      </c>
      <c r="J1490" s="1" t="s">
        <v>4784</v>
      </c>
      <c r="K1490" s="1" t="s">
        <v>1135</v>
      </c>
      <c r="L1490" s="1" t="s">
        <v>4785</v>
      </c>
      <c r="M1490" s="6" t="str">
        <f>_xlfn.CONCAT(Table1[[#This Row],[Billing Street]], ", ", Table1[[#This Row],[Billing City]], ", ", Table1[[#This Row],[Billing State/Province]], ", ", Table1[[#This Row],[Billing Zip/Postal Code]])</f>
        <v>502 East Lamar Alexander Parkway, Maryville, TN, 37804</v>
      </c>
    </row>
    <row r="1491" spans="1:13" ht="15.6" hidden="1" x14ac:dyDescent="0.3">
      <c r="A1491" s="1" t="s">
        <v>4786</v>
      </c>
      <c r="B1491" s="1"/>
      <c r="C1491" s="1"/>
      <c r="D1491" s="1"/>
      <c r="E1491" s="1"/>
      <c r="F1491" s="1"/>
      <c r="G1491" s="1" t="s">
        <v>43</v>
      </c>
      <c r="H1491" s="2">
        <v>131</v>
      </c>
      <c r="I1491" s="1" t="s">
        <v>4787</v>
      </c>
      <c r="J1491" s="1" t="s">
        <v>4788</v>
      </c>
      <c r="K1491" s="1" t="s">
        <v>82</v>
      </c>
      <c r="L1491" s="1" t="s">
        <v>4789</v>
      </c>
      <c r="M1491" s="6" t="str">
        <f>_xlfn.CONCAT(Table1[[#This Row],[Billing Street]], ", ", Table1[[#This Row],[Billing City]], ", ", Table1[[#This Row],[Billing State/Province]], ", ", Table1[[#This Row],[Billing Zip/Postal Code]])</f>
        <v>4800 E. Huron River Road, Ann Arbor, MI, 48105</v>
      </c>
    </row>
    <row r="1492" spans="1:13" ht="15.6" hidden="1" x14ac:dyDescent="0.3">
      <c r="A1492" s="1" t="s">
        <v>4790</v>
      </c>
      <c r="B1492" s="1"/>
      <c r="C1492" s="1"/>
      <c r="D1492" s="1"/>
      <c r="E1492" s="1"/>
      <c r="F1492" s="1"/>
      <c r="G1492" s="1" t="s">
        <v>98</v>
      </c>
      <c r="H1492" s="2">
        <v>249</v>
      </c>
      <c r="I1492" s="1" t="s">
        <v>4791</v>
      </c>
      <c r="J1492" s="1" t="s">
        <v>4792</v>
      </c>
      <c r="K1492" s="1" t="s">
        <v>1178</v>
      </c>
      <c r="L1492" s="1" t="s">
        <v>4793</v>
      </c>
      <c r="M1492" s="6" t="str">
        <f>_xlfn.CONCAT(Table1[[#This Row],[Billing Street]], ", ", Table1[[#This Row],[Billing City]], ", ", Table1[[#This Row],[Billing State/Province]], ", ", Table1[[#This Row],[Billing Zip/Postal Code]])</f>
        <v>575 US Hwy 52 South, Wadesboro, NC, 28170</v>
      </c>
    </row>
    <row r="1493" spans="1:13" ht="15.6" hidden="1" x14ac:dyDescent="0.3">
      <c r="A1493" s="1" t="s">
        <v>4794</v>
      </c>
      <c r="B1493" s="1"/>
      <c r="C1493" s="1"/>
      <c r="D1493" s="1"/>
      <c r="E1493" s="1"/>
      <c r="F1493" s="1"/>
      <c r="G1493" s="1" t="s">
        <v>8</v>
      </c>
      <c r="H1493" s="2">
        <v>318</v>
      </c>
      <c r="I1493" s="1" t="s">
        <v>4795</v>
      </c>
      <c r="J1493" s="1" t="s">
        <v>1325</v>
      </c>
      <c r="K1493" s="1" t="s">
        <v>51</v>
      </c>
      <c r="L1493" s="1" t="s">
        <v>4796</v>
      </c>
      <c r="M1493" s="6" t="str">
        <f>_xlfn.CONCAT(Table1[[#This Row],[Billing Street]], ", ", Table1[[#This Row],[Billing City]], ", ", Table1[[#This Row],[Billing State/Province]], ", ", Table1[[#This Row],[Billing Zip/Postal Code]])</f>
        <v>410 East Houston Street, Marshall, TX, 75671</v>
      </c>
    </row>
    <row r="1494" spans="1:13" ht="15.6" hidden="1" x14ac:dyDescent="0.3">
      <c r="A1494" s="1" t="s">
        <v>4797</v>
      </c>
      <c r="B1494" s="1"/>
      <c r="C1494" s="1"/>
      <c r="D1494" s="1"/>
      <c r="E1494" s="1"/>
      <c r="F1494" s="1"/>
      <c r="G1494" s="1" t="s">
        <v>8</v>
      </c>
      <c r="H1494" s="2">
        <v>543</v>
      </c>
      <c r="I1494" s="1" t="s">
        <v>4798</v>
      </c>
      <c r="J1494" s="1" t="s">
        <v>4799</v>
      </c>
      <c r="K1494" s="1" t="s">
        <v>51</v>
      </c>
      <c r="L1494" s="1" t="s">
        <v>4800</v>
      </c>
      <c r="M1494" s="6" t="str">
        <f>_xlfn.CONCAT(Table1[[#This Row],[Billing Street]], ", ", Table1[[#This Row],[Billing City]], ", ", Table1[[#This Row],[Billing State/Province]], ", ", Table1[[#This Row],[Billing Zip/Postal Code]])</f>
        <v>900 Irvine St, Yoakum, TX, 77995</v>
      </c>
    </row>
    <row r="1495" spans="1:13" ht="15.6" hidden="1" x14ac:dyDescent="0.3">
      <c r="A1495" s="1" t="s">
        <v>4801</v>
      </c>
      <c r="B1495" s="1"/>
      <c r="C1495" s="1"/>
      <c r="D1495" s="1"/>
      <c r="E1495" s="1"/>
      <c r="F1495" s="1"/>
      <c r="G1495" s="1" t="s">
        <v>43</v>
      </c>
      <c r="H1495" s="2">
        <v>11287</v>
      </c>
      <c r="I1495" s="1" t="s">
        <v>4802</v>
      </c>
      <c r="J1495" s="1" t="s">
        <v>1009</v>
      </c>
      <c r="K1495" s="1" t="s">
        <v>3104</v>
      </c>
      <c r="L1495" s="1" t="s">
        <v>4803</v>
      </c>
      <c r="M1495" s="6" t="str">
        <f>_xlfn.CONCAT(Table1[[#This Row],[Billing Street]], ", ", Table1[[#This Row],[Billing City]], ", ", Table1[[#This Row],[Billing State/Province]], ", ", Table1[[#This Row],[Billing Zip/Postal Code]])</f>
        <v>814 Albany Ave, Hartford, ct, 6112</v>
      </c>
    </row>
    <row r="1496" spans="1:13" ht="15.6" hidden="1" x14ac:dyDescent="0.3">
      <c r="A1496" s="1" t="s">
        <v>4804</v>
      </c>
      <c r="B1496" s="1"/>
      <c r="C1496" s="1"/>
      <c r="D1496" s="1"/>
      <c r="E1496" s="1"/>
      <c r="F1496" s="1"/>
      <c r="G1496" s="1" t="s">
        <v>8</v>
      </c>
      <c r="H1496" s="2">
        <v>245</v>
      </c>
      <c r="I1496" s="1" t="s">
        <v>4805</v>
      </c>
      <c r="J1496" s="1" t="s">
        <v>4806</v>
      </c>
      <c r="K1496" s="1" t="s">
        <v>51</v>
      </c>
      <c r="L1496" s="1" t="s">
        <v>13</v>
      </c>
      <c r="M1496" s="6" t="str">
        <f>_xlfn.CONCAT(Table1[[#This Row],[Billing Street]], ", ", Table1[[#This Row],[Billing City]], ", ", Table1[[#This Row],[Billing State/Province]], ", ", Table1[[#This Row],[Billing Zip/Postal Code]])</f>
        <v xml:space="preserve">111 W. Main Street, Whitesboro, TX, </v>
      </c>
    </row>
    <row r="1497" spans="1:13" ht="15.6" hidden="1" x14ac:dyDescent="0.3">
      <c r="A1497" s="1" t="s">
        <v>4807</v>
      </c>
      <c r="B1497" s="1"/>
      <c r="C1497" s="1"/>
      <c r="D1497" s="1"/>
      <c r="E1497" s="1"/>
      <c r="F1497" s="1"/>
      <c r="G1497" s="1" t="s">
        <v>8</v>
      </c>
      <c r="H1497" s="2">
        <v>298</v>
      </c>
      <c r="I1497" s="1" t="s">
        <v>4808</v>
      </c>
      <c r="J1497" s="1" t="s">
        <v>2129</v>
      </c>
      <c r="K1497" s="1" t="s">
        <v>51</v>
      </c>
      <c r="L1497" s="1" t="s">
        <v>4809</v>
      </c>
      <c r="M1497" s="6" t="str">
        <f>_xlfn.CONCAT(Table1[[#This Row],[Billing Street]], ", ", Table1[[#This Row],[Billing City]], ", ", Table1[[#This Row],[Billing State/Province]], ", ", Table1[[#This Row],[Billing Zip/Postal Code]])</f>
        <v>706 10th St, Wellington, TX, 79095</v>
      </c>
    </row>
    <row r="1498" spans="1:13" ht="15.6" hidden="1" x14ac:dyDescent="0.3">
      <c r="A1498" s="1" t="s">
        <v>4810</v>
      </c>
      <c r="B1498" s="1"/>
      <c r="C1498" s="1"/>
      <c r="D1498" s="1"/>
      <c r="E1498" s="1"/>
      <c r="F1498" s="1"/>
      <c r="G1498" s="1" t="s">
        <v>8</v>
      </c>
      <c r="H1498" s="2">
        <v>511</v>
      </c>
      <c r="I1498" s="1" t="s">
        <v>4811</v>
      </c>
      <c r="J1498" s="1" t="s">
        <v>4812</v>
      </c>
      <c r="K1498" s="1" t="s">
        <v>51</v>
      </c>
      <c r="L1498" s="1" t="s">
        <v>4813</v>
      </c>
      <c r="M1498" s="6" t="str">
        <f>_xlfn.CONCAT(Table1[[#This Row],[Billing Street]], ", ", Table1[[#This Row],[Billing City]], ", ", Table1[[#This Row],[Billing State/Province]], ", ", Table1[[#This Row],[Billing Zip/Postal Code]])</f>
        <v>109 W Jackson St, Weimar, TX, 78962</v>
      </c>
    </row>
    <row r="1499" spans="1:13" ht="15.6" hidden="1" x14ac:dyDescent="0.3">
      <c r="A1499" s="1" t="s">
        <v>4814</v>
      </c>
      <c r="B1499" s="1"/>
      <c r="C1499" s="1"/>
      <c r="D1499" s="1"/>
      <c r="E1499" s="1"/>
      <c r="F1499" s="1"/>
      <c r="G1499" s="1" t="s">
        <v>43</v>
      </c>
      <c r="H1499" s="2">
        <v>115</v>
      </c>
      <c r="I1499" s="1" t="s">
        <v>4815</v>
      </c>
      <c r="J1499" s="1" t="s">
        <v>4816</v>
      </c>
      <c r="K1499" s="1" t="s">
        <v>45</v>
      </c>
      <c r="L1499" s="1" t="s">
        <v>4817</v>
      </c>
      <c r="M1499" s="6" t="str">
        <f>_xlfn.CONCAT(Table1[[#This Row],[Billing Street]], ", ", Table1[[#This Row],[Billing City]], ", ", Table1[[#This Row],[Billing State/Province]], ", ", Table1[[#This Row],[Billing Zip/Postal Code]])</f>
        <v>8169 Pelham Drive, Westerville, OH, 43081</v>
      </c>
    </row>
    <row r="1500" spans="1:13" ht="15.6" hidden="1" x14ac:dyDescent="0.3">
      <c r="A1500" s="1" t="s">
        <v>4818</v>
      </c>
      <c r="B1500" s="1"/>
      <c r="C1500" s="1"/>
      <c r="D1500" s="1"/>
      <c r="E1500" s="1"/>
      <c r="F1500" s="1"/>
      <c r="G1500" s="1" t="s">
        <v>8</v>
      </c>
      <c r="H1500" s="2">
        <v>6528</v>
      </c>
      <c r="I1500" s="1" t="s">
        <v>13</v>
      </c>
      <c r="J1500" s="1" t="s">
        <v>13</v>
      </c>
      <c r="K1500" s="1" t="s">
        <v>51</v>
      </c>
      <c r="L1500" s="1" t="s">
        <v>13</v>
      </c>
      <c r="M1500" s="6" t="str">
        <f>_xlfn.CONCAT(Table1[[#This Row],[Billing Street]], ", ", Table1[[#This Row],[Billing City]], ", ", Table1[[#This Row],[Billing State/Province]], ", ", Table1[[#This Row],[Billing Zip/Postal Code]])</f>
        <v xml:space="preserve">, , TX, </v>
      </c>
    </row>
    <row r="1501" spans="1:13" ht="15.6" hidden="1" x14ac:dyDescent="0.3">
      <c r="A1501" s="1" t="s">
        <v>4819</v>
      </c>
      <c r="B1501" s="1"/>
      <c r="C1501" s="1"/>
      <c r="D1501" s="1"/>
      <c r="E1501" s="1"/>
      <c r="F1501" s="1"/>
      <c r="G1501" s="1" t="s">
        <v>8</v>
      </c>
      <c r="H1501" s="2">
        <v>346</v>
      </c>
      <c r="I1501" s="1" t="s">
        <v>4820</v>
      </c>
      <c r="J1501" s="1" t="s">
        <v>4821</v>
      </c>
      <c r="K1501" s="1" t="s">
        <v>51</v>
      </c>
      <c r="L1501" s="1" t="s">
        <v>4822</v>
      </c>
      <c r="M1501" s="6" t="str">
        <f>_xlfn.CONCAT(Table1[[#This Row],[Billing Street]], ", ", Table1[[#This Row],[Billing City]], ", ", Table1[[#This Row],[Billing State/Province]], ", ", Table1[[#This Row],[Billing Zip/Postal Code]])</f>
        <v>300 Electric Rd, Tolar, TX, 76476</v>
      </c>
    </row>
    <row r="1502" spans="1:13" ht="15.6" x14ac:dyDescent="0.3">
      <c r="A1502" s="1" t="s">
        <v>4823</v>
      </c>
      <c r="B1502" s="1"/>
      <c r="C1502" s="1"/>
      <c r="D1502" s="1"/>
      <c r="E1502" s="1"/>
      <c r="F1502" s="1"/>
      <c r="G1502" s="1" t="s">
        <v>24</v>
      </c>
      <c r="H1502" s="2">
        <v>55</v>
      </c>
      <c r="I1502" s="1" t="s">
        <v>4824</v>
      </c>
      <c r="J1502" s="1" t="s">
        <v>4825</v>
      </c>
      <c r="K1502" s="1" t="s">
        <v>26</v>
      </c>
      <c r="L1502" s="1" t="s">
        <v>4826</v>
      </c>
      <c r="M1502" s="6" t="str">
        <f>_xlfn.CONCAT(Table1[[#This Row],[Billing Street]], ", ", Table1[[#This Row],[Billing City]], ", ", Table1[[#This Row],[Billing State/Province]], ", ", Table1[[#This Row],[Billing Zip/Postal Code]])</f>
        <v>1020 Co Rd 114, Jack, AL, 36346</v>
      </c>
    </row>
    <row r="1503" spans="1:13" ht="15.6" hidden="1" x14ac:dyDescent="0.3">
      <c r="A1503" s="1" t="s">
        <v>4827</v>
      </c>
      <c r="B1503" s="1"/>
      <c r="C1503" s="1"/>
      <c r="D1503" s="1"/>
      <c r="E1503" s="1"/>
      <c r="F1503" s="1"/>
      <c r="G1503" s="1" t="s">
        <v>8</v>
      </c>
      <c r="H1503" s="2">
        <v>508</v>
      </c>
      <c r="I1503" s="1" t="s">
        <v>4828</v>
      </c>
      <c r="J1503" s="1" t="s">
        <v>1909</v>
      </c>
      <c r="K1503" s="1" t="s">
        <v>1439</v>
      </c>
      <c r="L1503" s="1" t="s">
        <v>1910</v>
      </c>
      <c r="M1503" s="6" t="str">
        <f>_xlfn.CONCAT(Table1[[#This Row],[Billing Street]], ", ", Table1[[#This Row],[Billing City]], ", ", Table1[[#This Row],[Billing State/Province]], ", ", Table1[[#This Row],[Billing Zip/Postal Code]])</f>
        <v>2202 S. Battleground Rd, La Porte, Tx, 77571</v>
      </c>
    </row>
    <row r="1504" spans="1:13" ht="15.6" hidden="1" x14ac:dyDescent="0.3">
      <c r="A1504" s="1" t="s">
        <v>4829</v>
      </c>
      <c r="B1504" s="1"/>
      <c r="C1504" s="1"/>
      <c r="D1504" s="1"/>
      <c r="E1504" s="1"/>
      <c r="F1504" s="1"/>
      <c r="G1504" s="1" t="s">
        <v>8</v>
      </c>
      <c r="H1504" s="2">
        <v>575</v>
      </c>
      <c r="I1504" s="1" t="s">
        <v>4830</v>
      </c>
      <c r="J1504" s="1" t="s">
        <v>4831</v>
      </c>
      <c r="K1504" s="1" t="s">
        <v>51</v>
      </c>
      <c r="L1504" s="1" t="s">
        <v>4832</v>
      </c>
      <c r="M1504" s="6" t="str">
        <f>_xlfn.CONCAT(Table1[[#This Row],[Billing Street]], ", ", Table1[[#This Row],[Billing City]], ", ", Table1[[#This Row],[Billing State/Province]], ", ", Table1[[#This Row],[Billing Zip/Postal Code]])</f>
        <v>5502 U.S. 59, Victoria, TX, 77905</v>
      </c>
    </row>
    <row r="1505" spans="1:13" ht="15.6" x14ac:dyDescent="0.3">
      <c r="A1505" s="1" t="s">
        <v>4833</v>
      </c>
      <c r="B1505" s="1"/>
      <c r="C1505" s="1"/>
      <c r="D1505" s="1"/>
      <c r="E1505" s="1"/>
      <c r="F1505" s="1"/>
      <c r="G1505" s="1" t="s">
        <v>24</v>
      </c>
      <c r="H1505" s="2">
        <v>289</v>
      </c>
      <c r="I1505" s="1" t="s">
        <v>4834</v>
      </c>
      <c r="J1505" s="1" t="s">
        <v>4402</v>
      </c>
      <c r="K1505" s="1" t="s">
        <v>577</v>
      </c>
      <c r="L1505" s="1" t="s">
        <v>4835</v>
      </c>
      <c r="M1505" s="6" t="str">
        <f>_xlfn.CONCAT(Table1[[#This Row],[Billing Street]], ", ", Table1[[#This Row],[Billing City]], ", ", Table1[[#This Row],[Billing State/Province]], ", ", Table1[[#This Row],[Billing Zip/Postal Code]])</f>
        <v>20351 Puligny Ave., Baton Rouge, LA, 70817</v>
      </c>
    </row>
    <row r="1506" spans="1:13" ht="15.6" hidden="1" x14ac:dyDescent="0.3">
      <c r="A1506" s="1" t="s">
        <v>4836</v>
      </c>
      <c r="B1506" s="1"/>
      <c r="C1506" s="1"/>
      <c r="D1506" s="1"/>
      <c r="E1506" s="1"/>
      <c r="F1506" s="1"/>
      <c r="G1506" s="1" t="s">
        <v>205</v>
      </c>
      <c r="H1506" s="2">
        <v>103</v>
      </c>
      <c r="I1506" s="1" t="s">
        <v>4837</v>
      </c>
      <c r="J1506" s="1" t="s">
        <v>3006</v>
      </c>
      <c r="K1506" s="1" t="s">
        <v>479</v>
      </c>
      <c r="L1506" s="1" t="s">
        <v>4838</v>
      </c>
      <c r="M1506" s="6" t="str">
        <f>_xlfn.CONCAT(Table1[[#This Row],[Billing Street]], ", ", Table1[[#This Row],[Billing City]], ", ", Table1[[#This Row],[Billing State/Province]], ", ", Table1[[#This Row],[Billing Zip/Postal Code]])</f>
        <v>2540 N Jackrabbit Ave, Tucson, AZ, 85745</v>
      </c>
    </row>
    <row r="1507" spans="1:13" ht="15.6" hidden="1" x14ac:dyDescent="0.3">
      <c r="A1507" s="1" t="s">
        <v>4839</v>
      </c>
      <c r="B1507" s="1"/>
      <c r="C1507" s="1"/>
      <c r="D1507" s="1"/>
      <c r="E1507" s="1"/>
      <c r="F1507" s="1"/>
      <c r="G1507" s="1" t="s">
        <v>8</v>
      </c>
      <c r="H1507" s="2">
        <v>256</v>
      </c>
      <c r="I1507" s="1" t="s">
        <v>4840</v>
      </c>
      <c r="J1507" s="1" t="s">
        <v>4841</v>
      </c>
      <c r="K1507" s="1" t="s">
        <v>51</v>
      </c>
      <c r="L1507" s="1" t="s">
        <v>4842</v>
      </c>
      <c r="M1507" s="6" t="str">
        <f>_xlfn.CONCAT(Table1[[#This Row],[Billing Street]], ", ", Table1[[#This Row],[Billing City]], ", ", Table1[[#This Row],[Billing State/Province]], ", ", Table1[[#This Row],[Billing Zip/Postal Code]])</f>
        <v>14568 FM 121, Van Alstyne, TX, 75495</v>
      </c>
    </row>
    <row r="1508" spans="1:13" ht="15.6" hidden="1" x14ac:dyDescent="0.3">
      <c r="A1508" s="1" t="s">
        <v>4843</v>
      </c>
      <c r="B1508" s="1"/>
      <c r="C1508" s="1"/>
      <c r="D1508" s="1"/>
      <c r="E1508" s="1"/>
      <c r="F1508" s="1"/>
      <c r="G1508" s="1" t="s">
        <v>8</v>
      </c>
      <c r="H1508" s="2">
        <v>385</v>
      </c>
      <c r="I1508" s="1" t="s">
        <v>4844</v>
      </c>
      <c r="J1508" s="1" t="s">
        <v>4845</v>
      </c>
      <c r="K1508" s="1" t="s">
        <v>51</v>
      </c>
      <c r="L1508" s="1" t="s">
        <v>4846</v>
      </c>
      <c r="M1508" s="6" t="str">
        <f>_xlfn.CONCAT(Table1[[#This Row],[Billing Street]], ", ", Table1[[#This Row],[Billing City]], ", ", Table1[[#This Row],[Billing State/Province]], ", ", Table1[[#This Row],[Billing Zip/Postal Code]])</f>
        <v>401 Southwest 2nd Street, Tulia, TX, 79088</v>
      </c>
    </row>
    <row r="1509" spans="1:13" ht="15.6" hidden="1" x14ac:dyDescent="0.3">
      <c r="A1509" s="1" t="s">
        <v>4847</v>
      </c>
      <c r="B1509" s="1"/>
      <c r="C1509" s="1"/>
      <c r="D1509" s="1"/>
      <c r="E1509" s="1"/>
      <c r="F1509" s="1"/>
      <c r="G1509" s="1" t="s">
        <v>8</v>
      </c>
      <c r="H1509" s="2">
        <v>533</v>
      </c>
      <c r="I1509" s="1" t="s">
        <v>4848</v>
      </c>
      <c r="J1509" s="1" t="s">
        <v>4849</v>
      </c>
      <c r="K1509" s="1" t="s">
        <v>51</v>
      </c>
      <c r="L1509" s="1" t="s">
        <v>4850</v>
      </c>
      <c r="M1509" s="6" t="str">
        <f>_xlfn.CONCAT(Table1[[#This Row],[Billing Street]], ", ", Table1[[#This Row],[Billing City]], ", ", Table1[[#This Row],[Billing State/Province]], ", ", Table1[[#This Row],[Billing Zip/Postal Code]])</f>
        <v>513 N Ave. C, Shiner, TX, 77984</v>
      </c>
    </row>
    <row r="1510" spans="1:13" ht="15.6" x14ac:dyDescent="0.3">
      <c r="A1510" s="1" t="s">
        <v>4851</v>
      </c>
      <c r="B1510" s="1"/>
      <c r="C1510" s="1"/>
      <c r="D1510" s="1"/>
      <c r="E1510" s="1"/>
      <c r="F1510" s="1"/>
      <c r="G1510" s="1" t="s">
        <v>24</v>
      </c>
      <c r="H1510" s="2">
        <v>36</v>
      </c>
      <c r="I1510" s="1" t="s">
        <v>4852</v>
      </c>
      <c r="J1510" s="1" t="s">
        <v>4853</v>
      </c>
      <c r="K1510" s="1" t="s">
        <v>36</v>
      </c>
      <c r="L1510" s="1" t="s">
        <v>1532</v>
      </c>
      <c r="M1510" s="6" t="str">
        <f>_xlfn.CONCAT(Table1[[#This Row],[Billing Street]], ", ", Table1[[#This Row],[Billing City]], ", ", Table1[[#This Row],[Billing State/Province]], ", ", Table1[[#This Row],[Billing Zip/Postal Code]])</f>
        <v>121 Chestnut Ave, Fort Walton Beach, FL, 32548</v>
      </c>
    </row>
    <row r="1511" spans="1:13" ht="15.6" hidden="1" x14ac:dyDescent="0.3">
      <c r="A1511" s="1" t="s">
        <v>4854</v>
      </c>
      <c r="B1511" s="1"/>
      <c r="C1511" s="1"/>
      <c r="D1511" s="1"/>
      <c r="E1511" s="1"/>
      <c r="F1511" s="1"/>
      <c r="G1511" s="1" t="s">
        <v>43</v>
      </c>
      <c r="H1511" s="2">
        <v>129</v>
      </c>
      <c r="I1511" s="1" t="s">
        <v>4855</v>
      </c>
      <c r="J1511" s="1" t="s">
        <v>1802</v>
      </c>
      <c r="K1511" s="1" t="s">
        <v>82</v>
      </c>
      <c r="L1511" s="1" t="s">
        <v>4856</v>
      </c>
      <c r="M1511" s="6" t="str">
        <f>_xlfn.CONCAT(Table1[[#This Row],[Billing Street]], ", ", Table1[[#This Row],[Billing City]], ", ", Table1[[#This Row],[Billing State/Province]], ", ", Table1[[#This Row],[Billing Zip/Postal Code]])</f>
        <v>37720 Interchange Drive, Farmington Hills, MI, 48335</v>
      </c>
    </row>
    <row r="1512" spans="1:13" ht="15.6" hidden="1" x14ac:dyDescent="0.3">
      <c r="A1512" s="1" t="s">
        <v>4857</v>
      </c>
      <c r="B1512" s="1"/>
      <c r="C1512" s="1"/>
      <c r="D1512" s="1"/>
      <c r="E1512" s="1"/>
      <c r="F1512" s="1"/>
      <c r="G1512" s="1" t="s">
        <v>98</v>
      </c>
      <c r="H1512" s="2">
        <v>5887</v>
      </c>
      <c r="I1512" s="1" t="s">
        <v>4858</v>
      </c>
      <c r="J1512" s="1" t="s">
        <v>4859</v>
      </c>
      <c r="K1512" s="1" t="s">
        <v>234</v>
      </c>
      <c r="L1512" s="1" t="s">
        <v>4860</v>
      </c>
      <c r="M1512" s="6" t="str">
        <f>_xlfn.CONCAT(Table1[[#This Row],[Billing Street]], ", ", Table1[[#This Row],[Billing City]], ", ", Table1[[#This Row],[Billing State/Province]], ", ", Table1[[#This Row],[Billing Zip/Postal Code]])</f>
        <v>896 Calhoun St, Bamberg, SC, SC, 29003</v>
      </c>
    </row>
    <row r="1513" spans="1:13" ht="15.6" hidden="1" x14ac:dyDescent="0.3">
      <c r="A1513" s="1" t="s">
        <v>4861</v>
      </c>
      <c r="B1513" s="1"/>
      <c r="C1513" s="1"/>
      <c r="D1513" s="1"/>
      <c r="E1513" s="1"/>
      <c r="F1513" s="1"/>
      <c r="G1513" s="1" t="s">
        <v>43</v>
      </c>
      <c r="H1513" s="2">
        <v>5776</v>
      </c>
      <c r="I1513" s="1" t="s">
        <v>4862</v>
      </c>
      <c r="J1513" s="1" t="s">
        <v>4863</v>
      </c>
      <c r="K1513" s="1" t="s">
        <v>1745</v>
      </c>
      <c r="L1513" s="1" t="s">
        <v>4864</v>
      </c>
      <c r="M1513" s="6" t="str">
        <f>_xlfn.CONCAT(Table1[[#This Row],[Billing Street]], ", ", Table1[[#This Row],[Billing City]], ", ", Table1[[#This Row],[Billing State/Province]], ", ", Table1[[#This Row],[Billing Zip/Postal Code]])</f>
        <v>74 street 1603, Bldg 4116, Piscataway, nj, 8854</v>
      </c>
    </row>
    <row r="1514" spans="1:13" ht="15.6" hidden="1" x14ac:dyDescent="0.3">
      <c r="A1514" s="1" t="s">
        <v>4865</v>
      </c>
      <c r="B1514" s="1"/>
      <c r="C1514" s="1"/>
      <c r="D1514" s="1"/>
      <c r="E1514" s="1"/>
      <c r="F1514" s="1"/>
      <c r="G1514" s="1" t="s">
        <v>98</v>
      </c>
      <c r="H1514" s="2">
        <v>5887</v>
      </c>
      <c r="I1514" s="1" t="s">
        <v>4866</v>
      </c>
      <c r="J1514" s="1" t="s">
        <v>270</v>
      </c>
      <c r="K1514" s="1" t="s">
        <v>234</v>
      </c>
      <c r="L1514" s="1" t="s">
        <v>4867</v>
      </c>
      <c r="M1514" s="6" t="str">
        <f>_xlfn.CONCAT(Table1[[#This Row],[Billing Street]], ", ", Table1[[#This Row],[Billing City]], ", ", Table1[[#This Row],[Billing State/Province]], ", ", Table1[[#This Row],[Billing Zip/Postal Code]])</f>
        <v>1000 Lyttleton St, Camden, SC, 29020</v>
      </c>
    </row>
    <row r="1515" spans="1:13" ht="15.6" hidden="1" x14ac:dyDescent="0.3">
      <c r="A1515" s="1" t="s">
        <v>4868</v>
      </c>
      <c r="B1515" s="1"/>
      <c r="C1515" s="1"/>
      <c r="D1515" s="1"/>
      <c r="E1515" s="1"/>
      <c r="F1515" s="1"/>
      <c r="G1515" s="1" t="s">
        <v>8</v>
      </c>
      <c r="H1515" s="2">
        <v>530</v>
      </c>
      <c r="I1515" s="1" t="s">
        <v>4869</v>
      </c>
      <c r="J1515" s="1" t="s">
        <v>4870</v>
      </c>
      <c r="K1515" s="1" t="s">
        <v>51</v>
      </c>
      <c r="L1515" s="1" t="s">
        <v>4871</v>
      </c>
      <c r="M1515" s="6" t="str">
        <f>_xlfn.CONCAT(Table1[[#This Row],[Billing Street]], ", ", Table1[[#This Row],[Billing City]], ", ", Table1[[#This Row],[Billing State/Province]], ", ", Table1[[#This Row],[Billing Zip/Postal Code]])</f>
        <v>825 E Sarah Dewitt, Gonzales, TX, 78629</v>
      </c>
    </row>
    <row r="1516" spans="1:13" ht="15.6" hidden="1" x14ac:dyDescent="0.3">
      <c r="A1516" s="1" t="s">
        <v>4872</v>
      </c>
      <c r="B1516" s="1"/>
      <c r="C1516" s="1"/>
      <c r="D1516" s="1"/>
      <c r="E1516" s="1"/>
      <c r="F1516" s="1"/>
      <c r="G1516" s="1" t="s">
        <v>43</v>
      </c>
      <c r="H1516" s="2">
        <v>274</v>
      </c>
      <c r="I1516" s="1" t="s">
        <v>4873</v>
      </c>
      <c r="J1516" s="1" t="s">
        <v>261</v>
      </c>
      <c r="K1516" s="1" t="s">
        <v>237</v>
      </c>
      <c r="L1516" s="1" t="s">
        <v>4874</v>
      </c>
      <c r="M1516" s="6" t="str">
        <f>_xlfn.CONCAT(Table1[[#This Row],[Billing Street]], ", ", Table1[[#This Row],[Billing City]], ", ", Table1[[#This Row],[Billing State/Province]], ", ", Table1[[#This Row],[Billing Zip/Postal Code]])</f>
        <v>6220 S. Belmont Ave., Indianapolis, IN, 46217</v>
      </c>
    </row>
    <row r="1517" spans="1:13" ht="15.6" hidden="1" x14ac:dyDescent="0.3">
      <c r="A1517" s="1" t="s">
        <v>4875</v>
      </c>
      <c r="B1517" s="1"/>
      <c r="C1517" s="1"/>
      <c r="D1517" s="1"/>
      <c r="E1517" s="1"/>
      <c r="F1517" s="1"/>
      <c r="G1517" s="1" t="s">
        <v>13</v>
      </c>
      <c r="H1517" s="2">
        <v>0</v>
      </c>
      <c r="I1517" s="1" t="s">
        <v>13</v>
      </c>
      <c r="J1517" s="1" t="s">
        <v>13</v>
      </c>
      <c r="K1517" s="1" t="s">
        <v>13</v>
      </c>
      <c r="L1517" s="1" t="s">
        <v>13</v>
      </c>
      <c r="M1517" s="6" t="str">
        <f>_xlfn.CONCAT(Table1[[#This Row],[Billing Street]], ", ", Table1[[#This Row],[Billing City]], ", ", Table1[[#This Row],[Billing State/Province]], ", ", Table1[[#This Row],[Billing Zip/Postal Code]])</f>
        <v xml:space="preserve">, , , </v>
      </c>
    </row>
    <row r="1518" spans="1:13" ht="15.6" hidden="1" x14ac:dyDescent="0.3">
      <c r="A1518" s="1" t="s">
        <v>4876</v>
      </c>
      <c r="B1518" s="1"/>
      <c r="C1518" s="1"/>
      <c r="D1518" s="1"/>
      <c r="E1518" s="1"/>
      <c r="F1518" s="1"/>
      <c r="G1518" s="1" t="s">
        <v>13</v>
      </c>
      <c r="H1518" s="2">
        <v>0</v>
      </c>
      <c r="I1518" s="1" t="s">
        <v>13</v>
      </c>
      <c r="J1518" s="1" t="s">
        <v>13</v>
      </c>
      <c r="K1518" s="1" t="s">
        <v>13</v>
      </c>
      <c r="L1518" s="1" t="s">
        <v>13</v>
      </c>
      <c r="M1518" s="6" t="str">
        <f>_xlfn.CONCAT(Table1[[#This Row],[Billing Street]], ", ", Table1[[#This Row],[Billing City]], ", ", Table1[[#This Row],[Billing State/Province]], ", ", Table1[[#This Row],[Billing Zip/Postal Code]])</f>
        <v xml:space="preserve">, , , </v>
      </c>
    </row>
    <row r="1519" spans="1:13" ht="15.6" hidden="1" x14ac:dyDescent="0.3">
      <c r="A1519" s="1" t="s">
        <v>4877</v>
      </c>
      <c r="B1519" s="1"/>
      <c r="C1519" s="1"/>
      <c r="D1519" s="1"/>
      <c r="E1519" s="1"/>
      <c r="F1519" s="1"/>
      <c r="G1519" s="1" t="s">
        <v>13</v>
      </c>
      <c r="H1519" s="2">
        <v>0</v>
      </c>
      <c r="I1519" s="1" t="s">
        <v>13</v>
      </c>
      <c r="J1519" s="1" t="s">
        <v>13</v>
      </c>
      <c r="K1519" s="1" t="s">
        <v>13</v>
      </c>
      <c r="L1519" s="1" t="s">
        <v>13</v>
      </c>
      <c r="M1519" s="6" t="str">
        <f>_xlfn.CONCAT(Table1[[#This Row],[Billing Street]], ", ", Table1[[#This Row],[Billing City]], ", ", Table1[[#This Row],[Billing State/Province]], ", ", Table1[[#This Row],[Billing Zip/Postal Code]])</f>
        <v xml:space="preserve">, , , </v>
      </c>
    </row>
    <row r="1520" spans="1:13" ht="15.6" hidden="1" x14ac:dyDescent="0.3">
      <c r="A1520" s="1" t="s">
        <v>4878</v>
      </c>
      <c r="B1520" s="1"/>
      <c r="C1520" s="1"/>
      <c r="D1520" s="1"/>
      <c r="E1520" s="1"/>
      <c r="F1520" s="1"/>
      <c r="G1520" s="1" t="s">
        <v>13</v>
      </c>
      <c r="H1520" s="2">
        <v>0</v>
      </c>
      <c r="I1520" s="1" t="s">
        <v>13</v>
      </c>
      <c r="J1520" s="1" t="s">
        <v>13</v>
      </c>
      <c r="K1520" s="1" t="s">
        <v>13</v>
      </c>
      <c r="L1520" s="1" t="s">
        <v>13</v>
      </c>
      <c r="M1520" s="6" t="str">
        <f>_xlfn.CONCAT(Table1[[#This Row],[Billing Street]], ", ", Table1[[#This Row],[Billing City]], ", ", Table1[[#This Row],[Billing State/Province]], ", ", Table1[[#This Row],[Billing Zip/Postal Code]])</f>
        <v xml:space="preserve">, , , </v>
      </c>
    </row>
    <row r="1521" spans="1:13" ht="15.6" hidden="1" x14ac:dyDescent="0.3">
      <c r="A1521" s="1" t="s">
        <v>4879</v>
      </c>
      <c r="B1521" s="1"/>
      <c r="C1521" s="1"/>
      <c r="D1521" s="1"/>
      <c r="E1521" s="1"/>
      <c r="F1521" s="1"/>
      <c r="G1521" s="1" t="s">
        <v>13</v>
      </c>
      <c r="H1521" s="2">
        <v>0</v>
      </c>
      <c r="I1521" s="1" t="s">
        <v>13</v>
      </c>
      <c r="J1521" s="1" t="s">
        <v>4880</v>
      </c>
      <c r="K1521" s="1" t="s">
        <v>13</v>
      </c>
      <c r="L1521" s="1" t="s">
        <v>1647</v>
      </c>
      <c r="M1521" s="6" t="str">
        <f>_xlfn.CONCAT(Table1[[#This Row],[Billing Street]], ", ", Table1[[#This Row],[Billing City]], ", ", Table1[[#This Row],[Billing State/Province]], ", ", Table1[[#This Row],[Billing Zip/Postal Code]])</f>
        <v>, Boulder, CO, , 80301</v>
      </c>
    </row>
    <row r="1522" spans="1:13" ht="15.6" hidden="1" x14ac:dyDescent="0.3">
      <c r="A1522" s="1" t="s">
        <v>4881</v>
      </c>
      <c r="B1522" s="1"/>
      <c r="C1522" s="1"/>
      <c r="D1522" s="1"/>
      <c r="E1522" s="1"/>
      <c r="F1522" s="1"/>
      <c r="G1522" s="1" t="s">
        <v>13</v>
      </c>
      <c r="H1522" s="2">
        <v>0</v>
      </c>
      <c r="I1522" s="1" t="s">
        <v>13</v>
      </c>
      <c r="J1522" s="1" t="s">
        <v>13</v>
      </c>
      <c r="K1522" s="1" t="s">
        <v>13</v>
      </c>
      <c r="L1522" s="1" t="s">
        <v>13</v>
      </c>
      <c r="M1522" s="6" t="str">
        <f>_xlfn.CONCAT(Table1[[#This Row],[Billing Street]], ", ", Table1[[#This Row],[Billing City]], ", ", Table1[[#This Row],[Billing State/Province]], ", ", Table1[[#This Row],[Billing Zip/Postal Code]])</f>
        <v xml:space="preserve">, , , </v>
      </c>
    </row>
    <row r="1523" spans="1:13" ht="15.6" hidden="1" x14ac:dyDescent="0.3">
      <c r="A1523" s="1" t="s">
        <v>4882</v>
      </c>
      <c r="B1523" s="1"/>
      <c r="C1523" s="1"/>
      <c r="D1523" s="1"/>
      <c r="E1523" s="1"/>
      <c r="F1523" s="1"/>
      <c r="G1523" s="1" t="s">
        <v>13</v>
      </c>
      <c r="H1523" s="2">
        <v>0</v>
      </c>
      <c r="I1523" s="1" t="s">
        <v>13</v>
      </c>
      <c r="J1523" s="1" t="s">
        <v>13</v>
      </c>
      <c r="K1523" s="1" t="s">
        <v>13</v>
      </c>
      <c r="L1523" s="1" t="s">
        <v>13</v>
      </c>
      <c r="M1523" s="6" t="str">
        <f>_xlfn.CONCAT(Table1[[#This Row],[Billing Street]], ", ", Table1[[#This Row],[Billing City]], ", ", Table1[[#This Row],[Billing State/Province]], ", ", Table1[[#This Row],[Billing Zip/Postal Code]])</f>
        <v xml:space="preserve">, , , </v>
      </c>
    </row>
    <row r="1524" spans="1:13" ht="15.6" hidden="1" x14ac:dyDescent="0.3">
      <c r="A1524" s="1" t="s">
        <v>4881</v>
      </c>
      <c r="B1524" s="1"/>
      <c r="C1524" s="1"/>
      <c r="D1524" s="1"/>
      <c r="E1524" s="1"/>
      <c r="F1524" s="1"/>
      <c r="G1524" s="1" t="s">
        <v>13</v>
      </c>
      <c r="H1524" s="2">
        <v>0</v>
      </c>
      <c r="I1524" s="1" t="s">
        <v>13</v>
      </c>
      <c r="J1524" s="1" t="s">
        <v>13</v>
      </c>
      <c r="K1524" s="1" t="s">
        <v>13</v>
      </c>
      <c r="L1524" s="1" t="s">
        <v>13</v>
      </c>
      <c r="M1524" s="6" t="str">
        <f>_xlfn.CONCAT(Table1[[#This Row],[Billing Street]], ", ", Table1[[#This Row],[Billing City]], ", ", Table1[[#This Row],[Billing State/Province]], ", ", Table1[[#This Row],[Billing Zip/Postal Code]])</f>
        <v xml:space="preserve">, , , </v>
      </c>
    </row>
    <row r="1525" spans="1:13" ht="15.6" hidden="1" x14ac:dyDescent="0.3">
      <c r="A1525" s="1" t="s">
        <v>4883</v>
      </c>
      <c r="B1525" s="1"/>
      <c r="C1525" s="1"/>
      <c r="D1525" s="1"/>
      <c r="E1525" s="1"/>
      <c r="F1525" s="1"/>
      <c r="G1525" s="1" t="s">
        <v>13</v>
      </c>
      <c r="H1525" s="2">
        <v>0</v>
      </c>
      <c r="I1525" s="1" t="s">
        <v>13</v>
      </c>
      <c r="J1525" s="1" t="s">
        <v>13</v>
      </c>
      <c r="K1525" s="1" t="s">
        <v>13</v>
      </c>
      <c r="L1525" s="1" t="s">
        <v>13</v>
      </c>
      <c r="M1525" s="6" t="str">
        <f>_xlfn.CONCAT(Table1[[#This Row],[Billing Street]], ", ", Table1[[#This Row],[Billing City]], ", ", Table1[[#This Row],[Billing State/Province]], ", ", Table1[[#This Row],[Billing Zip/Postal Code]])</f>
        <v xml:space="preserve">, , , </v>
      </c>
    </row>
    <row r="1526" spans="1:13" ht="15.6" hidden="1" x14ac:dyDescent="0.3">
      <c r="A1526" s="1" t="s">
        <v>4884</v>
      </c>
      <c r="B1526" s="1"/>
      <c r="C1526" s="1"/>
      <c r="D1526" s="1"/>
      <c r="E1526" s="1"/>
      <c r="F1526" s="1"/>
      <c r="G1526" s="1" t="s">
        <v>54</v>
      </c>
      <c r="H1526" s="2">
        <v>361</v>
      </c>
      <c r="I1526" s="1" t="s">
        <v>4885</v>
      </c>
      <c r="J1526" s="1" t="s">
        <v>4886</v>
      </c>
      <c r="K1526" s="1" t="s">
        <v>57</v>
      </c>
      <c r="L1526" s="1" t="s">
        <v>4887</v>
      </c>
      <c r="M1526" s="6" t="str">
        <f>_xlfn.CONCAT(Table1[[#This Row],[Billing Street]], ", ", Table1[[#This Row],[Billing City]], ", ", Table1[[#This Row],[Billing State/Province]], ", ", Table1[[#This Row],[Billing Zip/Postal Code]])</f>
        <v>915 L St #1460,, Sacrameno, CA, 95814</v>
      </c>
    </row>
    <row r="1527" spans="1:13" ht="15.6" hidden="1" x14ac:dyDescent="0.3">
      <c r="A1527" s="1" t="s">
        <v>4888</v>
      </c>
      <c r="B1527" s="1"/>
      <c r="C1527" s="1"/>
      <c r="D1527" s="1"/>
      <c r="E1527" s="1"/>
      <c r="F1527" s="1"/>
      <c r="G1527" s="1" t="s">
        <v>13</v>
      </c>
      <c r="H1527" s="2">
        <v>0</v>
      </c>
      <c r="I1527" s="1" t="s">
        <v>13</v>
      </c>
      <c r="J1527" s="1" t="s">
        <v>13</v>
      </c>
      <c r="K1527" s="1" t="s">
        <v>13</v>
      </c>
      <c r="L1527" s="1" t="s">
        <v>13</v>
      </c>
      <c r="M1527" s="6" t="str">
        <f>_xlfn.CONCAT(Table1[[#This Row],[Billing Street]], ", ", Table1[[#This Row],[Billing City]], ", ", Table1[[#This Row],[Billing State/Province]], ", ", Table1[[#This Row],[Billing Zip/Postal Code]])</f>
        <v xml:space="preserve">, , , </v>
      </c>
    </row>
    <row r="1528" spans="1:13" ht="15.6" hidden="1" x14ac:dyDescent="0.3">
      <c r="A1528" s="1" t="s">
        <v>4889</v>
      </c>
      <c r="B1528" s="1"/>
      <c r="C1528" s="1"/>
      <c r="D1528" s="1"/>
      <c r="E1528" s="1"/>
      <c r="F1528" s="1"/>
      <c r="G1528" s="1" t="s">
        <v>13</v>
      </c>
      <c r="H1528" s="2">
        <v>0</v>
      </c>
      <c r="I1528" s="1" t="s">
        <v>13</v>
      </c>
      <c r="J1528" s="1" t="s">
        <v>13</v>
      </c>
      <c r="K1528" s="1" t="s">
        <v>13</v>
      </c>
      <c r="L1528" s="1" t="s">
        <v>13</v>
      </c>
      <c r="M1528" s="6" t="str">
        <f>_xlfn.CONCAT(Table1[[#This Row],[Billing Street]], ", ", Table1[[#This Row],[Billing City]], ", ", Table1[[#This Row],[Billing State/Province]], ", ", Table1[[#This Row],[Billing Zip/Postal Code]])</f>
        <v xml:space="preserve">, , , </v>
      </c>
    </row>
    <row r="1529" spans="1:13" ht="15.6" hidden="1" x14ac:dyDescent="0.3">
      <c r="A1529" s="1" t="s">
        <v>4890</v>
      </c>
      <c r="B1529" s="1"/>
      <c r="C1529" s="1"/>
      <c r="D1529" s="1"/>
      <c r="E1529" s="1"/>
      <c r="F1529" s="1"/>
      <c r="G1529" s="1" t="s">
        <v>13</v>
      </c>
      <c r="H1529" s="2">
        <v>0</v>
      </c>
      <c r="I1529" s="1" t="s">
        <v>13</v>
      </c>
      <c r="J1529" s="1" t="s">
        <v>4692</v>
      </c>
      <c r="K1529" s="1" t="s">
        <v>13</v>
      </c>
      <c r="L1529" s="1" t="s">
        <v>13</v>
      </c>
      <c r="M1529" s="6" t="str">
        <f>_xlfn.CONCAT(Table1[[#This Row],[Billing Street]], ", ", Table1[[#This Row],[Billing City]], ", ", Table1[[#This Row],[Billing State/Province]], ", ", Table1[[#This Row],[Billing Zip/Postal Code]])</f>
        <v xml:space="preserve">, Nashville, , </v>
      </c>
    </row>
    <row r="1530" spans="1:13" ht="15.6" hidden="1" x14ac:dyDescent="0.3">
      <c r="A1530" s="1" t="s">
        <v>4891</v>
      </c>
      <c r="B1530" s="1"/>
      <c r="C1530" s="1"/>
      <c r="D1530" s="1"/>
      <c r="E1530" s="1"/>
      <c r="F1530" s="1"/>
      <c r="G1530" s="1" t="s">
        <v>13</v>
      </c>
      <c r="H1530" s="2">
        <v>0</v>
      </c>
      <c r="I1530" s="1" t="s">
        <v>13</v>
      </c>
      <c r="J1530" s="1" t="s">
        <v>13</v>
      </c>
      <c r="K1530" s="1" t="s">
        <v>13</v>
      </c>
      <c r="L1530" s="1" t="s">
        <v>13</v>
      </c>
      <c r="M1530" s="6" t="str">
        <f>_xlfn.CONCAT(Table1[[#This Row],[Billing Street]], ", ", Table1[[#This Row],[Billing City]], ", ", Table1[[#This Row],[Billing State/Province]], ", ", Table1[[#This Row],[Billing Zip/Postal Code]])</f>
        <v xml:space="preserve">, , , </v>
      </c>
    </row>
    <row r="1531" spans="1:13" ht="15.6" hidden="1" x14ac:dyDescent="0.3">
      <c r="A1531" s="1" t="s">
        <v>4892</v>
      </c>
      <c r="B1531" s="1"/>
      <c r="C1531" s="1"/>
      <c r="D1531" s="1"/>
      <c r="E1531" s="1"/>
      <c r="F1531" s="1"/>
      <c r="G1531" s="1" t="s">
        <v>13</v>
      </c>
      <c r="H1531" s="2">
        <v>0</v>
      </c>
      <c r="I1531" s="1" t="s">
        <v>13</v>
      </c>
      <c r="J1531" s="1" t="s">
        <v>13</v>
      </c>
      <c r="K1531" s="1" t="s">
        <v>13</v>
      </c>
      <c r="L1531" s="1" t="s">
        <v>13</v>
      </c>
      <c r="M1531" s="6" t="str">
        <f>_xlfn.CONCAT(Table1[[#This Row],[Billing Street]], ", ", Table1[[#This Row],[Billing City]], ", ", Table1[[#This Row],[Billing State/Province]], ", ", Table1[[#This Row],[Billing Zip/Postal Code]])</f>
        <v xml:space="preserve">, , , </v>
      </c>
    </row>
    <row r="1532" spans="1:13" ht="15.6" hidden="1" x14ac:dyDescent="0.3">
      <c r="A1532" s="1" t="s">
        <v>4893</v>
      </c>
      <c r="B1532" s="1"/>
      <c r="C1532" s="1"/>
      <c r="D1532" s="1"/>
      <c r="E1532" s="1"/>
      <c r="F1532" s="1"/>
      <c r="G1532" s="1" t="s">
        <v>13</v>
      </c>
      <c r="H1532" s="2">
        <v>0</v>
      </c>
      <c r="I1532" s="1" t="s">
        <v>13</v>
      </c>
      <c r="J1532" s="1" t="s">
        <v>372</v>
      </c>
      <c r="K1532" s="1" t="s">
        <v>13</v>
      </c>
      <c r="L1532" s="1" t="s">
        <v>13</v>
      </c>
      <c r="M1532" s="6" t="str">
        <f>_xlfn.CONCAT(Table1[[#This Row],[Billing Street]], ", ", Table1[[#This Row],[Billing City]], ", ", Table1[[#This Row],[Billing State/Province]], ", ", Table1[[#This Row],[Billing Zip/Postal Code]])</f>
        <v xml:space="preserve">, Birmingham, , </v>
      </c>
    </row>
    <row r="1533" spans="1:13" ht="15.6" hidden="1" x14ac:dyDescent="0.3">
      <c r="A1533" s="1" t="s">
        <v>4894</v>
      </c>
      <c r="B1533" s="1"/>
      <c r="C1533" s="1"/>
      <c r="D1533" s="1"/>
      <c r="E1533" s="1"/>
      <c r="F1533" s="1"/>
      <c r="G1533" s="1" t="s">
        <v>13</v>
      </c>
      <c r="H1533" s="2">
        <v>0</v>
      </c>
      <c r="I1533" s="1" t="s">
        <v>13</v>
      </c>
      <c r="J1533" s="1" t="s">
        <v>13</v>
      </c>
      <c r="K1533" s="1" t="s">
        <v>13</v>
      </c>
      <c r="L1533" s="1" t="s">
        <v>13</v>
      </c>
      <c r="M1533" s="6" t="str">
        <f>_xlfn.CONCAT(Table1[[#This Row],[Billing Street]], ", ", Table1[[#This Row],[Billing City]], ", ", Table1[[#This Row],[Billing State/Province]], ", ", Table1[[#This Row],[Billing Zip/Postal Code]])</f>
        <v xml:space="preserve">, , , </v>
      </c>
    </row>
    <row r="1534" spans="1:13" ht="15.6" hidden="1" x14ac:dyDescent="0.3">
      <c r="A1534" s="1" t="s">
        <v>4895</v>
      </c>
      <c r="B1534" s="1"/>
      <c r="C1534" s="1"/>
      <c r="D1534" s="1"/>
      <c r="E1534" s="1"/>
      <c r="F1534" s="1"/>
      <c r="G1534" s="1" t="s">
        <v>13</v>
      </c>
      <c r="H1534" s="2">
        <v>0</v>
      </c>
      <c r="I1534" s="1" t="s">
        <v>13</v>
      </c>
      <c r="J1534" s="1" t="s">
        <v>13</v>
      </c>
      <c r="K1534" s="1" t="s">
        <v>13</v>
      </c>
      <c r="L1534" s="1" t="s">
        <v>13</v>
      </c>
      <c r="M1534" s="6" t="str">
        <f>_xlfn.CONCAT(Table1[[#This Row],[Billing Street]], ", ", Table1[[#This Row],[Billing City]], ", ", Table1[[#This Row],[Billing State/Province]], ", ", Table1[[#This Row],[Billing Zip/Postal Code]])</f>
        <v xml:space="preserve">, , , </v>
      </c>
    </row>
    <row r="1535" spans="1:13" ht="15.6" hidden="1" x14ac:dyDescent="0.3">
      <c r="A1535" s="1" t="s">
        <v>4896</v>
      </c>
      <c r="B1535" s="1"/>
      <c r="C1535" s="1"/>
      <c r="D1535" s="1"/>
      <c r="E1535" s="1"/>
      <c r="F1535" s="1"/>
      <c r="G1535" s="1" t="s">
        <v>13</v>
      </c>
      <c r="H1535" s="2">
        <v>0</v>
      </c>
      <c r="I1535" s="1" t="s">
        <v>13</v>
      </c>
      <c r="J1535" s="1" t="s">
        <v>13</v>
      </c>
      <c r="K1535" s="1" t="s">
        <v>13</v>
      </c>
      <c r="L1535" s="1" t="s">
        <v>13</v>
      </c>
      <c r="M1535" s="6" t="str">
        <f>_xlfn.CONCAT(Table1[[#This Row],[Billing Street]], ", ", Table1[[#This Row],[Billing City]], ", ", Table1[[#This Row],[Billing State/Province]], ", ", Table1[[#This Row],[Billing Zip/Postal Code]])</f>
        <v xml:space="preserve">, , , </v>
      </c>
    </row>
    <row r="1536" spans="1:13" ht="15.6" hidden="1" x14ac:dyDescent="0.3">
      <c r="A1536" s="1" t="s">
        <v>4897</v>
      </c>
      <c r="B1536" s="1"/>
      <c r="C1536" s="1"/>
      <c r="D1536" s="1"/>
      <c r="E1536" s="1"/>
      <c r="F1536" s="1"/>
      <c r="G1536" s="1" t="s">
        <v>13</v>
      </c>
      <c r="H1536" s="2">
        <v>0</v>
      </c>
      <c r="I1536" s="1" t="s">
        <v>13</v>
      </c>
      <c r="J1536" s="1" t="s">
        <v>13</v>
      </c>
      <c r="K1536" s="1" t="s">
        <v>13</v>
      </c>
      <c r="L1536" s="1" t="s">
        <v>13</v>
      </c>
      <c r="M1536" s="6" t="str">
        <f>_xlfn.CONCAT(Table1[[#This Row],[Billing Street]], ", ", Table1[[#This Row],[Billing City]], ", ", Table1[[#This Row],[Billing State/Province]], ", ", Table1[[#This Row],[Billing Zip/Postal Code]])</f>
        <v xml:space="preserve">, , , </v>
      </c>
    </row>
    <row r="1537" spans="1:13" ht="15.6" hidden="1" x14ac:dyDescent="0.3">
      <c r="A1537" s="1" t="s">
        <v>4898</v>
      </c>
      <c r="B1537" s="1"/>
      <c r="C1537" s="1"/>
      <c r="D1537" s="1"/>
      <c r="E1537" s="1"/>
      <c r="F1537" s="1"/>
      <c r="G1537" s="1" t="s">
        <v>13</v>
      </c>
      <c r="H1537" s="2">
        <v>0</v>
      </c>
      <c r="I1537" s="1" t="s">
        <v>13</v>
      </c>
      <c r="J1537" s="1" t="s">
        <v>13</v>
      </c>
      <c r="K1537" s="1" t="s">
        <v>13</v>
      </c>
      <c r="L1537" s="1" t="s">
        <v>13</v>
      </c>
      <c r="M1537" s="6" t="str">
        <f>_xlfn.CONCAT(Table1[[#This Row],[Billing Street]], ", ", Table1[[#This Row],[Billing City]], ", ", Table1[[#This Row],[Billing State/Province]], ", ", Table1[[#This Row],[Billing Zip/Postal Code]])</f>
        <v xml:space="preserve">, , , </v>
      </c>
    </row>
    <row r="1538" spans="1:13" ht="15.6" hidden="1" x14ac:dyDescent="0.3">
      <c r="A1538" s="1" t="s">
        <v>4899</v>
      </c>
      <c r="B1538" s="1"/>
      <c r="C1538" s="1"/>
      <c r="D1538" s="1"/>
      <c r="E1538" s="1"/>
      <c r="F1538" s="1"/>
      <c r="G1538" s="1" t="s">
        <v>13</v>
      </c>
      <c r="H1538" s="2">
        <v>0</v>
      </c>
      <c r="I1538" s="1" t="s">
        <v>13</v>
      </c>
      <c r="J1538" s="1" t="s">
        <v>13</v>
      </c>
      <c r="K1538" s="1" t="s">
        <v>13</v>
      </c>
      <c r="L1538" s="1" t="s">
        <v>13</v>
      </c>
      <c r="M1538" s="6" t="str">
        <f>_xlfn.CONCAT(Table1[[#This Row],[Billing Street]], ", ", Table1[[#This Row],[Billing City]], ", ", Table1[[#This Row],[Billing State/Province]], ", ", Table1[[#This Row],[Billing Zip/Postal Code]])</f>
        <v xml:space="preserve">, , , </v>
      </c>
    </row>
    <row r="1539" spans="1:13" ht="15.6" hidden="1" x14ac:dyDescent="0.3">
      <c r="A1539" s="1" t="s">
        <v>4900</v>
      </c>
      <c r="B1539" s="1"/>
      <c r="C1539" s="1"/>
      <c r="D1539" s="1"/>
      <c r="E1539" s="1"/>
      <c r="F1539" s="1"/>
      <c r="G1539" s="1" t="s">
        <v>13</v>
      </c>
      <c r="H1539" s="2">
        <v>0</v>
      </c>
      <c r="I1539" s="1" t="s">
        <v>13</v>
      </c>
      <c r="J1539" s="1" t="s">
        <v>13</v>
      </c>
      <c r="K1539" s="1" t="s">
        <v>13</v>
      </c>
      <c r="L1539" s="1" t="s">
        <v>13</v>
      </c>
      <c r="M1539" s="6" t="str">
        <f>_xlfn.CONCAT(Table1[[#This Row],[Billing Street]], ", ", Table1[[#This Row],[Billing City]], ", ", Table1[[#This Row],[Billing State/Province]], ", ", Table1[[#This Row],[Billing Zip/Postal Code]])</f>
        <v xml:space="preserve">, , , </v>
      </c>
    </row>
    <row r="1540" spans="1:13" ht="15.6" hidden="1" x14ac:dyDescent="0.3">
      <c r="A1540" s="1" t="s">
        <v>4901</v>
      </c>
      <c r="B1540" s="1"/>
      <c r="C1540" s="1"/>
      <c r="D1540" s="1"/>
      <c r="E1540" s="1"/>
      <c r="F1540" s="1"/>
      <c r="G1540" s="1" t="s">
        <v>13</v>
      </c>
      <c r="H1540" s="2">
        <v>0</v>
      </c>
      <c r="I1540" s="1" t="s">
        <v>13</v>
      </c>
      <c r="J1540" s="1" t="s">
        <v>13</v>
      </c>
      <c r="K1540" s="1" t="s">
        <v>13</v>
      </c>
      <c r="L1540" s="1" t="s">
        <v>13</v>
      </c>
      <c r="M1540" s="6" t="str">
        <f>_xlfn.CONCAT(Table1[[#This Row],[Billing Street]], ", ", Table1[[#This Row],[Billing City]], ", ", Table1[[#This Row],[Billing State/Province]], ", ", Table1[[#This Row],[Billing Zip/Postal Code]])</f>
        <v xml:space="preserve">, , , </v>
      </c>
    </row>
    <row r="1541" spans="1:13" ht="15.6" hidden="1" x14ac:dyDescent="0.3">
      <c r="A1541" s="1" t="s">
        <v>4902</v>
      </c>
      <c r="B1541" s="1"/>
      <c r="C1541" s="1"/>
      <c r="D1541" s="1"/>
      <c r="E1541" s="1"/>
      <c r="F1541" s="1"/>
      <c r="G1541" s="1" t="s">
        <v>13</v>
      </c>
      <c r="H1541" s="2">
        <v>0</v>
      </c>
      <c r="I1541" s="1" t="s">
        <v>13</v>
      </c>
      <c r="J1541" s="1" t="s">
        <v>13</v>
      </c>
      <c r="K1541" s="1" t="s">
        <v>13</v>
      </c>
      <c r="L1541" s="1" t="s">
        <v>13</v>
      </c>
      <c r="M1541" s="6" t="str">
        <f>_xlfn.CONCAT(Table1[[#This Row],[Billing Street]], ", ", Table1[[#This Row],[Billing City]], ", ", Table1[[#This Row],[Billing State/Province]], ", ", Table1[[#This Row],[Billing Zip/Postal Code]])</f>
        <v xml:space="preserve">, , , </v>
      </c>
    </row>
    <row r="1542" spans="1:13" ht="15.6" hidden="1" x14ac:dyDescent="0.3">
      <c r="A1542" s="1" t="s">
        <v>4903</v>
      </c>
      <c r="B1542" s="1"/>
      <c r="C1542" s="1"/>
      <c r="D1542" s="1"/>
      <c r="E1542" s="1"/>
      <c r="F1542" s="1"/>
      <c r="G1542" s="1" t="s">
        <v>13</v>
      </c>
      <c r="H1542" s="2">
        <v>0</v>
      </c>
      <c r="I1542" s="1" t="s">
        <v>13</v>
      </c>
      <c r="J1542" s="1" t="s">
        <v>13</v>
      </c>
      <c r="K1542" s="1" t="s">
        <v>13</v>
      </c>
      <c r="L1542" s="1" t="s">
        <v>13</v>
      </c>
      <c r="M1542" s="6" t="str">
        <f>_xlfn.CONCAT(Table1[[#This Row],[Billing Street]], ", ", Table1[[#This Row],[Billing City]], ", ", Table1[[#This Row],[Billing State/Province]], ", ", Table1[[#This Row],[Billing Zip/Postal Code]])</f>
        <v xml:space="preserve">, , , </v>
      </c>
    </row>
    <row r="1543" spans="1:13" ht="15.6" hidden="1" x14ac:dyDescent="0.3">
      <c r="A1543" s="1" t="s">
        <v>4904</v>
      </c>
      <c r="B1543" s="1"/>
      <c r="C1543" s="1"/>
      <c r="D1543" s="1"/>
      <c r="E1543" s="1"/>
      <c r="F1543" s="1"/>
      <c r="G1543" s="1" t="s">
        <v>13</v>
      </c>
      <c r="H1543" s="2">
        <v>0</v>
      </c>
      <c r="I1543" s="1" t="s">
        <v>13</v>
      </c>
      <c r="J1543" s="1" t="s">
        <v>13</v>
      </c>
      <c r="K1543" s="1" t="s">
        <v>13</v>
      </c>
      <c r="L1543" s="1" t="s">
        <v>13</v>
      </c>
      <c r="M1543" s="6" t="str">
        <f>_xlfn.CONCAT(Table1[[#This Row],[Billing Street]], ", ", Table1[[#This Row],[Billing City]], ", ", Table1[[#This Row],[Billing State/Province]], ", ", Table1[[#This Row],[Billing Zip/Postal Code]])</f>
        <v xml:space="preserve">, , , </v>
      </c>
    </row>
    <row r="1544" spans="1:13" ht="15.6" hidden="1" x14ac:dyDescent="0.3">
      <c r="A1544" s="1" t="s">
        <v>4905</v>
      </c>
      <c r="B1544" s="1"/>
      <c r="C1544" s="1"/>
      <c r="D1544" s="1"/>
      <c r="E1544" s="1"/>
      <c r="F1544" s="1"/>
      <c r="G1544" s="1" t="s">
        <v>13</v>
      </c>
      <c r="H1544" s="2">
        <v>0</v>
      </c>
      <c r="I1544" s="1" t="s">
        <v>13</v>
      </c>
      <c r="J1544" s="1" t="s">
        <v>13</v>
      </c>
      <c r="K1544" s="1" t="s">
        <v>13</v>
      </c>
      <c r="L1544" s="1" t="s">
        <v>13</v>
      </c>
      <c r="M1544" s="6" t="str">
        <f>_xlfn.CONCAT(Table1[[#This Row],[Billing Street]], ", ", Table1[[#This Row],[Billing City]], ", ", Table1[[#This Row],[Billing State/Province]], ", ", Table1[[#This Row],[Billing Zip/Postal Code]])</f>
        <v xml:space="preserve">, , , </v>
      </c>
    </row>
    <row r="1545" spans="1:13" ht="15.6" hidden="1" x14ac:dyDescent="0.3">
      <c r="A1545" s="1" t="s">
        <v>4906</v>
      </c>
      <c r="B1545" s="1"/>
      <c r="C1545" s="1"/>
      <c r="D1545" s="1"/>
      <c r="E1545" s="1"/>
      <c r="F1545" s="1"/>
      <c r="G1545" s="1" t="s">
        <v>13</v>
      </c>
      <c r="H1545" s="2">
        <v>0</v>
      </c>
      <c r="I1545" s="1" t="s">
        <v>13</v>
      </c>
      <c r="J1545" s="1" t="s">
        <v>13</v>
      </c>
      <c r="K1545" s="1" t="s">
        <v>13</v>
      </c>
      <c r="L1545" s="1" t="s">
        <v>13</v>
      </c>
      <c r="M1545" s="6" t="str">
        <f>_xlfn.CONCAT(Table1[[#This Row],[Billing Street]], ", ", Table1[[#This Row],[Billing City]], ", ", Table1[[#This Row],[Billing State/Province]], ", ", Table1[[#This Row],[Billing Zip/Postal Code]])</f>
        <v xml:space="preserve">, , , </v>
      </c>
    </row>
    <row r="1546" spans="1:13" ht="15.6" hidden="1" x14ac:dyDescent="0.3">
      <c r="A1546" s="1" t="s">
        <v>4907</v>
      </c>
      <c r="B1546" s="1"/>
      <c r="C1546" s="1"/>
      <c r="D1546" s="1"/>
      <c r="E1546" s="1"/>
      <c r="F1546" s="1"/>
      <c r="G1546" s="1" t="s">
        <v>13</v>
      </c>
      <c r="H1546" s="2">
        <v>0</v>
      </c>
      <c r="I1546" s="1" t="s">
        <v>13</v>
      </c>
      <c r="J1546" s="1" t="s">
        <v>13</v>
      </c>
      <c r="K1546" s="1" t="s">
        <v>13</v>
      </c>
      <c r="L1546" s="1" t="s">
        <v>13</v>
      </c>
      <c r="M1546" s="6" t="str">
        <f>_xlfn.CONCAT(Table1[[#This Row],[Billing Street]], ", ", Table1[[#This Row],[Billing City]], ", ", Table1[[#This Row],[Billing State/Province]], ", ", Table1[[#This Row],[Billing Zip/Postal Code]])</f>
        <v xml:space="preserve">, , , </v>
      </c>
    </row>
    <row r="1547" spans="1:13" ht="15.6" hidden="1" x14ac:dyDescent="0.3">
      <c r="A1547" s="1" t="s">
        <v>4908</v>
      </c>
      <c r="B1547" s="1"/>
      <c r="C1547" s="1"/>
      <c r="D1547" s="1"/>
      <c r="E1547" s="1"/>
      <c r="F1547" s="1"/>
      <c r="G1547" s="1" t="s">
        <v>13</v>
      </c>
      <c r="H1547" s="2">
        <v>0</v>
      </c>
      <c r="I1547" s="1" t="s">
        <v>13</v>
      </c>
      <c r="J1547" s="1" t="s">
        <v>13</v>
      </c>
      <c r="K1547" s="1" t="s">
        <v>13</v>
      </c>
      <c r="L1547" s="1" t="s">
        <v>13</v>
      </c>
      <c r="M1547" s="6" t="str">
        <f>_xlfn.CONCAT(Table1[[#This Row],[Billing Street]], ", ", Table1[[#This Row],[Billing City]], ", ", Table1[[#This Row],[Billing State/Province]], ", ", Table1[[#This Row],[Billing Zip/Postal Code]])</f>
        <v xml:space="preserve">, , , </v>
      </c>
    </row>
    <row r="1548" spans="1:13" ht="15.6" hidden="1" x14ac:dyDescent="0.3">
      <c r="A1548" s="1" t="s">
        <v>4909</v>
      </c>
      <c r="B1548" s="1"/>
      <c r="C1548" s="1"/>
      <c r="D1548" s="1"/>
      <c r="E1548" s="1"/>
      <c r="F1548" s="1"/>
      <c r="G1548" s="1" t="s">
        <v>13</v>
      </c>
      <c r="H1548" s="2">
        <v>0</v>
      </c>
      <c r="I1548" s="1" t="s">
        <v>13</v>
      </c>
      <c r="J1548" s="1" t="s">
        <v>13</v>
      </c>
      <c r="K1548" s="1" t="s">
        <v>13</v>
      </c>
      <c r="L1548" s="1" t="s">
        <v>13</v>
      </c>
      <c r="M1548" s="6" t="str">
        <f>_xlfn.CONCAT(Table1[[#This Row],[Billing Street]], ", ", Table1[[#This Row],[Billing City]], ", ", Table1[[#This Row],[Billing State/Province]], ", ", Table1[[#This Row],[Billing Zip/Postal Code]])</f>
        <v xml:space="preserve">, , , </v>
      </c>
    </row>
    <row r="1549" spans="1:13" ht="15.6" hidden="1" x14ac:dyDescent="0.3">
      <c r="A1549" s="1" t="s">
        <v>4910</v>
      </c>
      <c r="B1549" s="1"/>
      <c r="C1549" s="1"/>
      <c r="D1549" s="1"/>
      <c r="E1549" s="1"/>
      <c r="F1549" s="1"/>
      <c r="G1549" s="1" t="s">
        <v>13</v>
      </c>
      <c r="H1549" s="2">
        <v>0</v>
      </c>
      <c r="I1549" s="1" t="s">
        <v>4911</v>
      </c>
      <c r="J1549" s="1" t="s">
        <v>13</v>
      </c>
      <c r="K1549" s="1" t="s">
        <v>13</v>
      </c>
      <c r="L1549" s="1" t="s">
        <v>13</v>
      </c>
      <c r="M1549" s="6" t="str">
        <f>_xlfn.CONCAT(Table1[[#This Row],[Billing Street]], ", ", Table1[[#This Row],[Billing City]], ", ", Table1[[#This Row],[Billing State/Province]], ", ", Table1[[#This Row],[Billing Zip/Postal Code]])</f>
        <v xml:space="preserve">450 South 15th ave., , , </v>
      </c>
    </row>
    <row r="1550" spans="1:13" ht="15.6" hidden="1" x14ac:dyDescent="0.3">
      <c r="A1550" s="1" t="s">
        <v>4912</v>
      </c>
      <c r="B1550" s="1"/>
      <c r="C1550" s="1"/>
      <c r="D1550" s="1"/>
      <c r="E1550" s="1"/>
      <c r="F1550" s="1"/>
      <c r="G1550" s="1" t="s">
        <v>13</v>
      </c>
      <c r="H1550" s="2">
        <v>0</v>
      </c>
      <c r="I1550" s="1" t="s">
        <v>13</v>
      </c>
      <c r="J1550" s="1" t="s">
        <v>13</v>
      </c>
      <c r="K1550" s="1" t="s">
        <v>13</v>
      </c>
      <c r="L1550" s="1" t="s">
        <v>13</v>
      </c>
      <c r="M1550" s="6" t="str">
        <f>_xlfn.CONCAT(Table1[[#This Row],[Billing Street]], ", ", Table1[[#This Row],[Billing City]], ", ", Table1[[#This Row],[Billing State/Province]], ", ", Table1[[#This Row],[Billing Zip/Postal Code]])</f>
        <v xml:space="preserve">, , , </v>
      </c>
    </row>
    <row r="1551" spans="1:13" ht="15.6" hidden="1" x14ac:dyDescent="0.3">
      <c r="A1551" s="1" t="s">
        <v>4913</v>
      </c>
      <c r="B1551" s="1"/>
      <c r="C1551" s="1"/>
      <c r="D1551" s="1"/>
      <c r="E1551" s="1"/>
      <c r="F1551" s="1"/>
      <c r="G1551" s="1" t="s">
        <v>13</v>
      </c>
      <c r="H1551" s="2">
        <v>0</v>
      </c>
      <c r="I1551" s="1" t="s">
        <v>13</v>
      </c>
      <c r="J1551" s="1" t="s">
        <v>13</v>
      </c>
      <c r="K1551" s="1" t="s">
        <v>13</v>
      </c>
      <c r="L1551" s="1" t="s">
        <v>13</v>
      </c>
      <c r="M1551" s="6" t="str">
        <f>_xlfn.CONCAT(Table1[[#This Row],[Billing Street]], ", ", Table1[[#This Row],[Billing City]], ", ", Table1[[#This Row],[Billing State/Province]], ", ", Table1[[#This Row],[Billing Zip/Postal Code]])</f>
        <v xml:space="preserve">, , , </v>
      </c>
    </row>
    <row r="1552" spans="1:13" ht="15.6" hidden="1" x14ac:dyDescent="0.3">
      <c r="A1552" s="1" t="s">
        <v>4914</v>
      </c>
      <c r="B1552" s="1"/>
      <c r="C1552" s="1"/>
      <c r="D1552" s="1"/>
      <c r="E1552" s="1"/>
      <c r="F1552" s="1"/>
      <c r="G1552" s="1" t="s">
        <v>13</v>
      </c>
      <c r="H1552" s="2">
        <v>0</v>
      </c>
      <c r="I1552" s="1" t="s">
        <v>13</v>
      </c>
      <c r="J1552" s="1" t="s">
        <v>13</v>
      </c>
      <c r="K1552" s="1" t="s">
        <v>13</v>
      </c>
      <c r="L1552" s="1" t="s">
        <v>13</v>
      </c>
      <c r="M1552" s="6" t="str">
        <f>_xlfn.CONCAT(Table1[[#This Row],[Billing Street]], ", ", Table1[[#This Row],[Billing City]], ", ", Table1[[#This Row],[Billing State/Province]], ", ", Table1[[#This Row],[Billing Zip/Postal Code]])</f>
        <v xml:space="preserve">, , , </v>
      </c>
    </row>
    <row r="1553" spans="1:13" ht="15.6" hidden="1" x14ac:dyDescent="0.3">
      <c r="A1553" s="1" t="s">
        <v>4915</v>
      </c>
      <c r="B1553" s="1"/>
      <c r="C1553" s="1"/>
      <c r="D1553" s="1"/>
      <c r="E1553" s="1"/>
      <c r="F1553" s="1"/>
      <c r="G1553" s="1" t="s">
        <v>13</v>
      </c>
      <c r="H1553" s="2">
        <v>0</v>
      </c>
      <c r="I1553" s="1" t="s">
        <v>13</v>
      </c>
      <c r="J1553" s="1" t="s">
        <v>13</v>
      </c>
      <c r="K1553" s="1" t="s">
        <v>13</v>
      </c>
      <c r="L1553" s="1" t="s">
        <v>13</v>
      </c>
      <c r="M1553" s="6" t="str">
        <f>_xlfn.CONCAT(Table1[[#This Row],[Billing Street]], ", ", Table1[[#This Row],[Billing City]], ", ", Table1[[#This Row],[Billing State/Province]], ", ", Table1[[#This Row],[Billing Zip/Postal Code]])</f>
        <v xml:space="preserve">, , , </v>
      </c>
    </row>
    <row r="1554" spans="1:13" ht="15.6" hidden="1" x14ac:dyDescent="0.3">
      <c r="A1554" s="1" t="s">
        <v>4916</v>
      </c>
      <c r="B1554" s="1"/>
      <c r="C1554" s="1"/>
      <c r="D1554" s="1"/>
      <c r="E1554" s="1"/>
      <c r="F1554" s="1"/>
      <c r="G1554" s="1" t="s">
        <v>13</v>
      </c>
      <c r="H1554" s="2">
        <v>0</v>
      </c>
      <c r="I1554" s="1" t="s">
        <v>13</v>
      </c>
      <c r="J1554" s="1" t="s">
        <v>13</v>
      </c>
      <c r="K1554" s="1" t="s">
        <v>13</v>
      </c>
      <c r="L1554" s="1" t="s">
        <v>13</v>
      </c>
      <c r="M1554" s="6" t="str">
        <f>_xlfn.CONCAT(Table1[[#This Row],[Billing Street]], ", ", Table1[[#This Row],[Billing City]], ", ", Table1[[#This Row],[Billing State/Province]], ", ", Table1[[#This Row],[Billing Zip/Postal Code]])</f>
        <v xml:space="preserve">, , , </v>
      </c>
    </row>
    <row r="1555" spans="1:13" ht="15.6" hidden="1" x14ac:dyDescent="0.3">
      <c r="A1555" s="1" t="s">
        <v>4917</v>
      </c>
      <c r="B1555" s="1"/>
      <c r="C1555" s="1"/>
      <c r="D1555" s="1"/>
      <c r="E1555" s="1"/>
      <c r="F1555" s="1"/>
      <c r="G1555" s="1" t="s">
        <v>13</v>
      </c>
      <c r="H1555" s="2">
        <v>0</v>
      </c>
      <c r="I1555" s="1" t="s">
        <v>13</v>
      </c>
      <c r="J1555" s="1" t="s">
        <v>13</v>
      </c>
      <c r="K1555" s="1" t="s">
        <v>13</v>
      </c>
      <c r="L1555" s="1" t="s">
        <v>13</v>
      </c>
      <c r="M1555" s="6" t="str">
        <f>_xlfn.CONCAT(Table1[[#This Row],[Billing Street]], ", ", Table1[[#This Row],[Billing City]], ", ", Table1[[#This Row],[Billing State/Province]], ", ", Table1[[#This Row],[Billing Zip/Postal Code]])</f>
        <v xml:space="preserve">, , , </v>
      </c>
    </row>
    <row r="1556" spans="1:13" ht="15.6" hidden="1" x14ac:dyDescent="0.3">
      <c r="A1556" s="1" t="s">
        <v>4918</v>
      </c>
      <c r="B1556" s="1"/>
      <c r="C1556" s="1"/>
      <c r="D1556" s="1"/>
      <c r="E1556" s="1"/>
      <c r="F1556" s="1"/>
      <c r="G1556" s="1" t="s">
        <v>13</v>
      </c>
      <c r="H1556" s="2">
        <v>0</v>
      </c>
      <c r="I1556" s="1" t="s">
        <v>4919</v>
      </c>
      <c r="J1556" s="1" t="s">
        <v>4920</v>
      </c>
      <c r="K1556" s="1" t="s">
        <v>13</v>
      </c>
      <c r="L1556" s="1" t="s">
        <v>4921</v>
      </c>
      <c r="M1556" s="6" t="str">
        <f>_xlfn.CONCAT(Table1[[#This Row],[Billing Street]], ", ", Table1[[#This Row],[Billing City]], ", ", Table1[[#This Row],[Billing State/Province]], ", ", Table1[[#This Row],[Billing Zip/Postal Code]])</f>
        <v>440 Walnut Avenue, Mare Island, Vallejo, , 94592</v>
      </c>
    </row>
    <row r="1557" spans="1:13" ht="15.6" hidden="1" x14ac:dyDescent="0.3">
      <c r="A1557" s="1" t="s">
        <v>4922</v>
      </c>
      <c r="B1557" s="1"/>
      <c r="C1557" s="1"/>
      <c r="D1557" s="1"/>
      <c r="E1557" s="1"/>
      <c r="F1557" s="1"/>
      <c r="G1557" s="1" t="s">
        <v>13</v>
      </c>
      <c r="H1557" s="2">
        <v>0</v>
      </c>
      <c r="I1557" s="1" t="s">
        <v>4923</v>
      </c>
      <c r="J1557" s="1" t="s">
        <v>4256</v>
      </c>
      <c r="K1557" s="1" t="s">
        <v>13</v>
      </c>
      <c r="L1557" s="1" t="s">
        <v>4924</v>
      </c>
      <c r="M1557" s="6" t="str">
        <f>_xlfn.CONCAT(Table1[[#This Row],[Billing Street]], ", ", Table1[[#This Row],[Billing City]], ", ", Table1[[#This Row],[Billing State/Province]], ", ", Table1[[#This Row],[Billing Zip/Postal Code]])</f>
        <v>3939 West Washington, Phx, , 85009</v>
      </c>
    </row>
    <row r="1558" spans="1:13" ht="15.6" hidden="1" x14ac:dyDescent="0.3">
      <c r="A1558" s="1" t="s">
        <v>4925</v>
      </c>
      <c r="B1558" s="1"/>
      <c r="C1558" s="1"/>
      <c r="D1558" s="1"/>
      <c r="E1558" s="1"/>
      <c r="F1558" s="1"/>
      <c r="G1558" s="1" t="s">
        <v>13</v>
      </c>
      <c r="H1558" s="2">
        <v>0</v>
      </c>
      <c r="I1558" s="1" t="s">
        <v>13</v>
      </c>
      <c r="J1558" s="1" t="s">
        <v>13</v>
      </c>
      <c r="K1558" s="1" t="s">
        <v>13</v>
      </c>
      <c r="L1558" s="1" t="s">
        <v>13</v>
      </c>
      <c r="M1558" s="6" t="str">
        <f>_xlfn.CONCAT(Table1[[#This Row],[Billing Street]], ", ", Table1[[#This Row],[Billing City]], ", ", Table1[[#This Row],[Billing State/Province]], ", ", Table1[[#This Row],[Billing Zip/Postal Code]])</f>
        <v xml:space="preserve">, , , </v>
      </c>
    </row>
    <row r="1559" spans="1:13" ht="15.6" hidden="1" x14ac:dyDescent="0.3">
      <c r="A1559" s="1" t="s">
        <v>4926</v>
      </c>
      <c r="B1559" s="1"/>
      <c r="C1559" s="1"/>
      <c r="D1559" s="1"/>
      <c r="E1559" s="1"/>
      <c r="F1559" s="1"/>
      <c r="G1559" s="1" t="s">
        <v>13</v>
      </c>
      <c r="H1559" s="2">
        <v>0</v>
      </c>
      <c r="I1559" s="1" t="s">
        <v>13</v>
      </c>
      <c r="J1559" s="1" t="s">
        <v>13</v>
      </c>
      <c r="K1559" s="1" t="s">
        <v>13</v>
      </c>
      <c r="L1559" s="1" t="s">
        <v>13</v>
      </c>
      <c r="M1559" s="6" t="str">
        <f>_xlfn.CONCAT(Table1[[#This Row],[Billing Street]], ", ", Table1[[#This Row],[Billing City]], ", ", Table1[[#This Row],[Billing State/Province]], ", ", Table1[[#This Row],[Billing Zip/Postal Code]])</f>
        <v xml:space="preserve">, , , </v>
      </c>
    </row>
    <row r="1560" spans="1:13" ht="15.6" hidden="1" x14ac:dyDescent="0.3">
      <c r="A1560" s="1" t="s">
        <v>4927</v>
      </c>
      <c r="B1560" s="1"/>
      <c r="C1560" s="1"/>
      <c r="D1560" s="1"/>
      <c r="E1560" s="1"/>
      <c r="F1560" s="1"/>
      <c r="G1560" s="1" t="s">
        <v>13</v>
      </c>
      <c r="H1560" s="2">
        <v>0</v>
      </c>
      <c r="I1560" s="1" t="s">
        <v>13</v>
      </c>
      <c r="J1560" s="1" t="s">
        <v>13</v>
      </c>
      <c r="K1560" s="1" t="s">
        <v>13</v>
      </c>
      <c r="L1560" s="1" t="s">
        <v>13</v>
      </c>
      <c r="M1560" s="6" t="str">
        <f>_xlfn.CONCAT(Table1[[#This Row],[Billing Street]], ", ", Table1[[#This Row],[Billing City]], ", ", Table1[[#This Row],[Billing State/Province]], ", ", Table1[[#This Row],[Billing Zip/Postal Code]])</f>
        <v xml:space="preserve">, , , </v>
      </c>
    </row>
    <row r="1561" spans="1:13" ht="15.6" hidden="1" x14ac:dyDescent="0.3">
      <c r="A1561" s="1" t="s">
        <v>4928</v>
      </c>
      <c r="B1561" s="1"/>
      <c r="C1561" s="1"/>
      <c r="D1561" s="1"/>
      <c r="E1561" s="1"/>
      <c r="F1561" s="1"/>
      <c r="G1561" s="1" t="s">
        <v>13</v>
      </c>
      <c r="H1561" s="2">
        <v>0</v>
      </c>
      <c r="I1561" s="1" t="s">
        <v>13</v>
      </c>
      <c r="J1561" s="1" t="s">
        <v>13</v>
      </c>
      <c r="K1561" s="1" t="s">
        <v>13</v>
      </c>
      <c r="L1561" s="1" t="s">
        <v>13</v>
      </c>
      <c r="M1561" s="6" t="str">
        <f>_xlfn.CONCAT(Table1[[#This Row],[Billing Street]], ", ", Table1[[#This Row],[Billing City]], ", ", Table1[[#This Row],[Billing State/Province]], ", ", Table1[[#This Row],[Billing Zip/Postal Code]])</f>
        <v xml:space="preserve">, , , </v>
      </c>
    </row>
    <row r="1562" spans="1:13" ht="15.6" hidden="1" x14ac:dyDescent="0.3">
      <c r="A1562" s="1" t="s">
        <v>4929</v>
      </c>
      <c r="B1562" s="1"/>
      <c r="C1562" s="1"/>
      <c r="D1562" s="1"/>
      <c r="E1562" s="1"/>
      <c r="F1562" s="1"/>
      <c r="G1562" s="1" t="s">
        <v>13</v>
      </c>
      <c r="H1562" s="2">
        <v>0</v>
      </c>
      <c r="I1562" s="1" t="s">
        <v>13</v>
      </c>
      <c r="J1562" s="1" t="s">
        <v>13</v>
      </c>
      <c r="K1562" s="1" t="s">
        <v>13</v>
      </c>
      <c r="L1562" s="1" t="s">
        <v>13</v>
      </c>
      <c r="M1562" s="6" t="str">
        <f>_xlfn.CONCAT(Table1[[#This Row],[Billing Street]], ", ", Table1[[#This Row],[Billing City]], ", ", Table1[[#This Row],[Billing State/Province]], ", ", Table1[[#This Row],[Billing Zip/Postal Code]])</f>
        <v xml:space="preserve">, , , </v>
      </c>
    </row>
    <row r="1563" spans="1:13" ht="15.6" hidden="1" x14ac:dyDescent="0.3">
      <c r="A1563" s="1" t="s">
        <v>4930</v>
      </c>
      <c r="B1563" s="1"/>
      <c r="C1563" s="1"/>
      <c r="D1563" s="1"/>
      <c r="E1563" s="1"/>
      <c r="F1563" s="1"/>
      <c r="G1563" s="1" t="s">
        <v>13</v>
      </c>
      <c r="H1563" s="2">
        <v>0</v>
      </c>
      <c r="I1563" s="1" t="s">
        <v>13</v>
      </c>
      <c r="J1563" s="1" t="s">
        <v>13</v>
      </c>
      <c r="K1563" s="1" t="s">
        <v>13</v>
      </c>
      <c r="L1563" s="1" t="s">
        <v>13</v>
      </c>
      <c r="M1563" s="6" t="str">
        <f>_xlfn.CONCAT(Table1[[#This Row],[Billing Street]], ", ", Table1[[#This Row],[Billing City]], ", ", Table1[[#This Row],[Billing State/Province]], ", ", Table1[[#This Row],[Billing Zip/Postal Code]])</f>
        <v xml:space="preserve">, , , </v>
      </c>
    </row>
    <row r="1564" spans="1:13" ht="15.6" hidden="1" x14ac:dyDescent="0.3">
      <c r="A1564" s="1" t="s">
        <v>4931</v>
      </c>
      <c r="B1564" s="1"/>
      <c r="C1564" s="1"/>
      <c r="D1564" s="1"/>
      <c r="E1564" s="1"/>
      <c r="F1564" s="1"/>
      <c r="G1564" s="1" t="s">
        <v>8</v>
      </c>
      <c r="H1564" s="2">
        <v>505</v>
      </c>
      <c r="I1564" s="1" t="s">
        <v>4932</v>
      </c>
      <c r="J1564" s="1" t="s">
        <v>557</v>
      </c>
      <c r="K1564" s="1" t="s">
        <v>51</v>
      </c>
      <c r="L1564" s="1" t="s">
        <v>4933</v>
      </c>
      <c r="M1564" s="6" t="str">
        <f>_xlfn.CONCAT(Table1[[#This Row],[Billing Street]], ", ", Table1[[#This Row],[Billing City]], ", ", Table1[[#This Row],[Billing State/Province]], ", ", Table1[[#This Row],[Billing Zip/Postal Code]])</f>
        <v>3555 Timmons Lane Suite 1200, Houston, TX, 77027</v>
      </c>
    </row>
    <row r="1565" spans="1:13" ht="15.6" hidden="1" x14ac:dyDescent="0.3">
      <c r="A1565" s="1" t="s">
        <v>4934</v>
      </c>
      <c r="B1565" s="1"/>
      <c r="C1565" s="1"/>
      <c r="D1565" s="1"/>
      <c r="E1565" s="1"/>
      <c r="F1565" s="1"/>
      <c r="G1565" s="1" t="s">
        <v>13</v>
      </c>
      <c r="H1565" s="2">
        <v>0</v>
      </c>
      <c r="I1565" s="1" t="s">
        <v>13</v>
      </c>
      <c r="J1565" s="1" t="s">
        <v>13</v>
      </c>
      <c r="K1565" s="1" t="s">
        <v>13</v>
      </c>
      <c r="L1565" s="1" t="s">
        <v>13</v>
      </c>
      <c r="M1565" s="6" t="str">
        <f>_xlfn.CONCAT(Table1[[#This Row],[Billing Street]], ", ", Table1[[#This Row],[Billing City]], ", ", Table1[[#This Row],[Billing State/Province]], ", ", Table1[[#This Row],[Billing Zip/Postal Code]])</f>
        <v xml:space="preserve">, , , </v>
      </c>
    </row>
    <row r="1566" spans="1:13" ht="15.6" hidden="1" x14ac:dyDescent="0.3">
      <c r="A1566" s="1" t="s">
        <v>4935</v>
      </c>
      <c r="B1566" s="1"/>
      <c r="C1566" s="1"/>
      <c r="D1566" s="1"/>
      <c r="E1566" s="1"/>
      <c r="F1566" s="1"/>
      <c r="G1566" s="1" t="s">
        <v>8</v>
      </c>
      <c r="H1566" s="2">
        <v>6528</v>
      </c>
      <c r="I1566" s="1" t="s">
        <v>4936</v>
      </c>
      <c r="J1566" s="1" t="s">
        <v>4347</v>
      </c>
      <c r="K1566" s="1" t="s">
        <v>165</v>
      </c>
      <c r="L1566" s="1" t="s">
        <v>13</v>
      </c>
      <c r="M1566" s="6" t="str">
        <f>_xlfn.CONCAT(Table1[[#This Row],[Billing Street]], ", ", Table1[[#This Row],[Billing City]], ", ", Table1[[#This Row],[Billing State/Province]], ", ", Table1[[#This Row],[Billing Zip/Postal Code]])</f>
        <v xml:space="preserve">2901 Planters Drive, Pine Bluff, AR, </v>
      </c>
    </row>
    <row r="1567" spans="1:13" ht="15.6" x14ac:dyDescent="0.3">
      <c r="A1567" s="1" t="s">
        <v>4937</v>
      </c>
      <c r="B1567" s="1"/>
      <c r="C1567" s="1"/>
      <c r="D1567" s="1"/>
      <c r="E1567" s="1"/>
      <c r="F1567" s="1"/>
      <c r="G1567" s="1" t="s">
        <v>24</v>
      </c>
      <c r="H1567" s="2">
        <v>233</v>
      </c>
      <c r="I1567" s="1" t="s">
        <v>4938</v>
      </c>
      <c r="J1567" s="1" t="s">
        <v>4939</v>
      </c>
      <c r="K1567" s="1" t="s">
        <v>26</v>
      </c>
      <c r="L1567" s="1" t="s">
        <v>4940</v>
      </c>
      <c r="M1567" s="6" t="str">
        <f>_xlfn.CONCAT(Table1[[#This Row],[Billing Street]], ", ", Table1[[#This Row],[Billing City]], ", ", Table1[[#This Row],[Billing State/Province]], ", ", Table1[[#This Row],[Billing Zip/Postal Code]])</f>
        <v>1166 McDade Rd, Carbon Hill, AL, 35549</v>
      </c>
    </row>
    <row r="1568" spans="1:13" ht="15.6" x14ac:dyDescent="0.3">
      <c r="A1568" s="1" t="s">
        <v>4941</v>
      </c>
      <c r="B1568" s="1"/>
      <c r="C1568" s="1"/>
      <c r="D1568" s="1"/>
      <c r="E1568" s="1"/>
      <c r="F1568" s="1"/>
      <c r="G1568" s="1" t="s">
        <v>24</v>
      </c>
      <c r="H1568" s="2">
        <v>423</v>
      </c>
      <c r="I1568" s="1" t="s">
        <v>4942</v>
      </c>
      <c r="J1568" s="1" t="s">
        <v>2052</v>
      </c>
      <c r="K1568" s="1" t="s">
        <v>3357</v>
      </c>
      <c r="L1568" s="1" t="s">
        <v>4943</v>
      </c>
      <c r="M1568" s="6" t="str">
        <f>_xlfn.CONCAT(Table1[[#This Row],[Billing Street]], ", ", Table1[[#This Row],[Billing City]], ", ", Table1[[#This Row],[Billing State/Province]], ", ", Table1[[#This Row],[Billing Zip/Postal Code]])</f>
        <v>900 I-10, Lake Charles, La, 70601</v>
      </c>
    </row>
    <row r="1569" spans="1:13" ht="15.6" x14ac:dyDescent="0.3">
      <c r="A1569" s="1" t="s">
        <v>4944</v>
      </c>
      <c r="B1569" s="1"/>
      <c r="C1569" s="1"/>
      <c r="D1569" s="1"/>
      <c r="E1569" s="1"/>
      <c r="F1569" s="1"/>
      <c r="G1569" s="1" t="s">
        <v>24</v>
      </c>
      <c r="H1569" s="2">
        <v>5988</v>
      </c>
      <c r="I1569" s="1" t="s">
        <v>4945</v>
      </c>
      <c r="J1569" s="1" t="s">
        <v>637</v>
      </c>
      <c r="K1569" s="1" t="s">
        <v>31</v>
      </c>
      <c r="L1569" s="1" t="s">
        <v>4946</v>
      </c>
      <c r="M1569" s="6" t="str">
        <f>_xlfn.CONCAT(Table1[[#This Row],[Billing Street]], ", ", Table1[[#This Row],[Billing City]], ", ", Table1[[#This Row],[Billing State/Province]], ", ", Table1[[#This Row],[Billing Zip/Postal Code]])</f>
        <v>3460 i-55 South, Jackson, MS, 39212</v>
      </c>
    </row>
    <row r="1570" spans="1:13" ht="15.6" hidden="1" x14ac:dyDescent="0.3">
      <c r="A1570" s="1" t="s">
        <v>4947</v>
      </c>
      <c r="B1570" s="1"/>
      <c r="C1570" s="1"/>
      <c r="D1570" s="1"/>
      <c r="E1570" s="1"/>
      <c r="F1570" s="1"/>
      <c r="G1570" s="1" t="s">
        <v>13</v>
      </c>
      <c r="H1570" s="2">
        <v>0</v>
      </c>
      <c r="I1570" s="1" t="s">
        <v>13</v>
      </c>
      <c r="J1570" s="1" t="s">
        <v>13</v>
      </c>
      <c r="K1570" s="1" t="s">
        <v>13</v>
      </c>
      <c r="L1570" s="1" t="s">
        <v>13</v>
      </c>
      <c r="M1570" s="6" t="str">
        <f>_xlfn.CONCAT(Table1[[#This Row],[Billing Street]], ", ", Table1[[#This Row],[Billing City]], ", ", Table1[[#This Row],[Billing State/Province]], ", ", Table1[[#This Row],[Billing Zip/Postal Code]])</f>
        <v xml:space="preserve">, , , </v>
      </c>
    </row>
    <row r="1571" spans="1:13" ht="15.6" x14ac:dyDescent="0.3">
      <c r="A1571" s="1" t="s">
        <v>4948</v>
      </c>
      <c r="B1571" s="1"/>
      <c r="C1571" s="1"/>
      <c r="D1571" s="1"/>
      <c r="E1571" s="1"/>
      <c r="F1571" s="1"/>
      <c r="G1571" s="1" t="s">
        <v>24</v>
      </c>
      <c r="H1571" s="2">
        <v>177</v>
      </c>
      <c r="I1571" s="1" t="s">
        <v>4949</v>
      </c>
      <c r="J1571" s="1" t="s">
        <v>4950</v>
      </c>
      <c r="K1571" s="1" t="s">
        <v>26</v>
      </c>
      <c r="L1571" s="1" t="s">
        <v>4951</v>
      </c>
      <c r="M1571" s="6" t="str">
        <f>_xlfn.CONCAT(Table1[[#This Row],[Billing Street]], ", ", Table1[[#This Row],[Billing City]], ", ", Table1[[#This Row],[Billing State/Province]], ", ", Table1[[#This Row],[Billing Zip/Postal Code]])</f>
        <v>1152 Old Highway 31, Alabaster, AL, 35007</v>
      </c>
    </row>
    <row r="1572" spans="1:13" ht="15.6" hidden="1" x14ac:dyDescent="0.3">
      <c r="A1572" s="1" t="s">
        <v>4952</v>
      </c>
      <c r="B1572" s="1"/>
      <c r="C1572" s="1"/>
      <c r="D1572" s="1"/>
      <c r="E1572" s="1"/>
      <c r="F1572" s="1"/>
      <c r="G1572" s="1" t="s">
        <v>205</v>
      </c>
      <c r="H1572" s="2">
        <v>13</v>
      </c>
      <c r="I1572" s="1" t="s">
        <v>4953</v>
      </c>
      <c r="J1572" s="1" t="s">
        <v>4954</v>
      </c>
      <c r="K1572" s="1" t="s">
        <v>479</v>
      </c>
      <c r="L1572" s="1" t="s">
        <v>4955</v>
      </c>
      <c r="M1572" s="6" t="str">
        <f>_xlfn.CONCAT(Table1[[#This Row],[Billing Street]], ", ", Table1[[#This Row],[Billing City]], ", ", Table1[[#This Row],[Billing State/Province]], ", ", Table1[[#This Row],[Billing Zip/Postal Code]])</f>
        <v>9200 E Pima Center Pkwy Suite 180, Scottsdale, AZ, 85258</v>
      </c>
    </row>
    <row r="1573" spans="1:13" ht="15.6" hidden="1" x14ac:dyDescent="0.3">
      <c r="A1573" s="1" t="s">
        <v>4956</v>
      </c>
      <c r="B1573" s="1"/>
      <c r="C1573" s="1"/>
      <c r="D1573" s="1"/>
      <c r="E1573" s="1"/>
      <c r="F1573" s="1"/>
      <c r="G1573" s="1" t="s">
        <v>43</v>
      </c>
      <c r="H1573" s="2">
        <v>210</v>
      </c>
      <c r="I1573" s="1" t="s">
        <v>4957</v>
      </c>
      <c r="J1573" s="1" t="s">
        <v>4958</v>
      </c>
      <c r="K1573" s="1" t="s">
        <v>671</v>
      </c>
      <c r="L1573" s="1" t="s">
        <v>4959</v>
      </c>
      <c r="M1573" s="6" t="str">
        <f>_xlfn.CONCAT(Table1[[#This Row],[Billing Street]], ", ", Table1[[#This Row],[Billing City]], ", ", Table1[[#This Row],[Billing State/Province]], ", ", Table1[[#This Row],[Billing Zip/Postal Code]])</f>
        <v>135 Gilbert St, LeRoy, NY, 14482</v>
      </c>
    </row>
    <row r="1574" spans="1:13" ht="15.6" x14ac:dyDescent="0.3">
      <c r="A1574" s="1" t="s">
        <v>4960</v>
      </c>
      <c r="B1574" s="1"/>
      <c r="C1574" s="1"/>
      <c r="D1574" s="1"/>
      <c r="E1574" s="1"/>
      <c r="F1574" s="1"/>
      <c r="G1574" s="1" t="s">
        <v>24</v>
      </c>
      <c r="H1574" s="2">
        <v>455</v>
      </c>
      <c r="I1574" s="1" t="s">
        <v>4961</v>
      </c>
      <c r="J1574" s="1" t="s">
        <v>4962</v>
      </c>
      <c r="K1574" s="1" t="s">
        <v>36</v>
      </c>
      <c r="L1574" s="1" t="s">
        <v>4963</v>
      </c>
      <c r="M1574" s="6" t="str">
        <f>_xlfn.CONCAT(Table1[[#This Row],[Billing Street]], ", ", Table1[[#This Row],[Billing City]], ", ", Table1[[#This Row],[Billing State/Province]], ", ", Table1[[#This Row],[Billing Zip/Postal Code]])</f>
        <v>1321 S. Killian Dr, Lake Park, FL, 33403</v>
      </c>
    </row>
    <row r="1575" spans="1:13" ht="15.6" hidden="1" x14ac:dyDescent="0.3">
      <c r="A1575" s="1" t="s">
        <v>4964</v>
      </c>
      <c r="B1575" s="1"/>
      <c r="C1575" s="1"/>
      <c r="D1575" s="1"/>
      <c r="E1575" s="1"/>
      <c r="F1575" s="1"/>
      <c r="G1575" s="1" t="s">
        <v>13</v>
      </c>
      <c r="H1575" s="2">
        <v>0</v>
      </c>
      <c r="I1575" s="1" t="s">
        <v>13</v>
      </c>
      <c r="J1575" s="1" t="s">
        <v>13</v>
      </c>
      <c r="K1575" s="1" t="s">
        <v>13</v>
      </c>
      <c r="L1575" s="1" t="s">
        <v>13</v>
      </c>
      <c r="M1575" s="6" t="str">
        <f>_xlfn.CONCAT(Table1[[#This Row],[Billing Street]], ", ", Table1[[#This Row],[Billing City]], ", ", Table1[[#This Row],[Billing State/Province]], ", ", Table1[[#This Row],[Billing Zip/Postal Code]])</f>
        <v xml:space="preserve">, , , </v>
      </c>
    </row>
    <row r="1576" spans="1:13" ht="15.6" hidden="1" x14ac:dyDescent="0.3">
      <c r="A1576" s="1" t="s">
        <v>4965</v>
      </c>
      <c r="B1576" s="1"/>
      <c r="C1576" s="1"/>
      <c r="D1576" s="1"/>
      <c r="E1576" s="1"/>
      <c r="F1576" s="1"/>
      <c r="G1576" s="1" t="s">
        <v>8</v>
      </c>
      <c r="H1576" s="2">
        <v>336</v>
      </c>
      <c r="I1576" s="1" t="s">
        <v>4966</v>
      </c>
      <c r="J1576" s="1" t="s">
        <v>4967</v>
      </c>
      <c r="K1576" s="1" t="s">
        <v>11</v>
      </c>
      <c r="L1576" s="1" t="s">
        <v>4968</v>
      </c>
      <c r="M1576" s="6" t="str">
        <f>_xlfn.CONCAT(Table1[[#This Row],[Billing Street]], ", ", Table1[[#This Row],[Billing City]], ", ", Table1[[#This Row],[Billing State/Province]], ", ", Table1[[#This Row],[Billing Zip/Postal Code]])</f>
        <v>391 St. Jude Industrial Park, Marston, MO, 63866</v>
      </c>
    </row>
    <row r="1577" spans="1:13" ht="15.6" x14ac:dyDescent="0.3">
      <c r="A1577" s="1" t="s">
        <v>4969</v>
      </c>
      <c r="B1577" s="1"/>
      <c r="C1577" s="1"/>
      <c r="D1577" s="1"/>
      <c r="E1577" s="1"/>
      <c r="F1577" s="1"/>
      <c r="G1577" s="1" t="s">
        <v>24</v>
      </c>
      <c r="H1577" s="2">
        <v>91</v>
      </c>
      <c r="I1577" s="1" t="s">
        <v>4970</v>
      </c>
      <c r="J1577" s="1" t="s">
        <v>1029</v>
      </c>
      <c r="K1577" s="1" t="s">
        <v>26</v>
      </c>
      <c r="L1577" s="1" t="s">
        <v>1030</v>
      </c>
      <c r="M1577" s="6" t="str">
        <f>_xlfn.CONCAT(Table1[[#This Row],[Billing Street]], ", ", Table1[[#This Row],[Billing City]], ", ", Table1[[#This Row],[Billing State/Province]], ", ", Table1[[#This Row],[Billing Zip/Postal Code]])</f>
        <v>22955 Mcauliffe Dr, Robertsdale, AL 36567, Robertsdale, AL, 36567</v>
      </c>
    </row>
    <row r="1578" spans="1:13" ht="15.6" hidden="1" x14ac:dyDescent="0.3">
      <c r="A1578" s="1" t="s">
        <v>4971</v>
      </c>
      <c r="B1578" s="1"/>
      <c r="C1578" s="1"/>
      <c r="D1578" s="1"/>
      <c r="E1578" s="1"/>
      <c r="F1578" s="1"/>
      <c r="G1578" s="1" t="s">
        <v>43</v>
      </c>
      <c r="H1578" s="2">
        <v>285</v>
      </c>
      <c r="I1578" s="1" t="s">
        <v>4972</v>
      </c>
      <c r="J1578" s="1" t="s">
        <v>4973</v>
      </c>
      <c r="K1578" s="1" t="s">
        <v>82</v>
      </c>
      <c r="L1578" s="1" t="s">
        <v>4974</v>
      </c>
      <c r="M1578" s="6" t="str">
        <f>_xlfn.CONCAT(Table1[[#This Row],[Billing Street]], ", ", Table1[[#This Row],[Billing City]], ", ", Table1[[#This Row],[Billing State/Province]], ", ", Table1[[#This Row],[Billing Zip/Postal Code]])</f>
        <v>210 7th st, Cadillac, MI, 49601</v>
      </c>
    </row>
    <row r="1579" spans="1:13" ht="15.6" x14ac:dyDescent="0.3">
      <c r="A1579" s="1" t="s">
        <v>4975</v>
      </c>
      <c r="B1579" s="1"/>
      <c r="C1579" s="1"/>
      <c r="D1579" s="1"/>
      <c r="E1579" s="1"/>
      <c r="F1579" s="1"/>
      <c r="G1579" s="1" t="s">
        <v>24</v>
      </c>
      <c r="H1579" s="2">
        <v>107</v>
      </c>
      <c r="I1579" s="1" t="s">
        <v>4976</v>
      </c>
      <c r="J1579" s="1" t="s">
        <v>4977</v>
      </c>
      <c r="K1579" s="1" t="s">
        <v>36</v>
      </c>
      <c r="L1579" s="1" t="s">
        <v>4978</v>
      </c>
      <c r="M1579" s="6" t="str">
        <f>_xlfn.CONCAT(Table1[[#This Row],[Billing Street]], ", ", Table1[[#This Row],[Billing City]], ", ", Table1[[#This Row],[Billing State/Province]], ", ", Table1[[#This Row],[Billing Zip/Postal Code]])</f>
        <v>1219 Blountstown Hwy, Tallahassee, FL, 32304</v>
      </c>
    </row>
    <row r="1580" spans="1:13" ht="15.6" x14ac:dyDescent="0.3">
      <c r="A1580" s="1" t="s">
        <v>4979</v>
      </c>
      <c r="B1580" s="1"/>
      <c r="C1580" s="1"/>
      <c r="D1580" s="1"/>
      <c r="E1580" s="1"/>
      <c r="F1580" s="1"/>
      <c r="G1580" s="1" t="s">
        <v>24</v>
      </c>
      <c r="H1580" s="2">
        <v>459</v>
      </c>
      <c r="I1580" s="1" t="s">
        <v>4980</v>
      </c>
      <c r="J1580" s="1" t="s">
        <v>656</v>
      </c>
      <c r="K1580" s="1" t="s">
        <v>36</v>
      </c>
      <c r="L1580" s="1" t="s">
        <v>657</v>
      </c>
      <c r="M1580" s="6" t="str">
        <f>_xlfn.CONCAT(Table1[[#This Row],[Billing Street]], ", ", Table1[[#This Row],[Billing City]], ", ", Table1[[#This Row],[Billing State/Province]], ", ", Table1[[#This Row],[Billing Zip/Postal Code]])</f>
        <v>917 S Military Trail, West Palm Beach, FL, 33406</v>
      </c>
    </row>
    <row r="1581" spans="1:13" ht="15.6" hidden="1" x14ac:dyDescent="0.3">
      <c r="A1581" s="1" t="s">
        <v>4981</v>
      </c>
      <c r="B1581" s="1"/>
      <c r="C1581" s="1"/>
      <c r="D1581" s="1"/>
      <c r="E1581" s="1"/>
      <c r="F1581" s="1"/>
      <c r="G1581" s="1" t="s">
        <v>13</v>
      </c>
      <c r="H1581" s="2">
        <v>0</v>
      </c>
      <c r="I1581" s="1" t="s">
        <v>13</v>
      </c>
      <c r="J1581" s="1" t="s">
        <v>13</v>
      </c>
      <c r="K1581" s="1" t="s">
        <v>13</v>
      </c>
      <c r="L1581" s="1" t="s">
        <v>13</v>
      </c>
      <c r="M1581" s="6" t="str">
        <f>_xlfn.CONCAT(Table1[[#This Row],[Billing Street]], ", ", Table1[[#This Row],[Billing City]], ", ", Table1[[#This Row],[Billing State/Province]], ", ", Table1[[#This Row],[Billing Zip/Postal Code]])</f>
        <v xml:space="preserve">, , , </v>
      </c>
    </row>
    <row r="1582" spans="1:13" ht="15.6" hidden="1" x14ac:dyDescent="0.3">
      <c r="A1582" s="1" t="s">
        <v>4982</v>
      </c>
      <c r="B1582" s="1"/>
      <c r="C1582" s="1"/>
      <c r="D1582" s="1"/>
      <c r="E1582" s="1"/>
      <c r="F1582" s="1"/>
      <c r="G1582" s="1" t="s">
        <v>13</v>
      </c>
      <c r="H1582" s="2">
        <v>0</v>
      </c>
      <c r="I1582" s="1" t="s">
        <v>13</v>
      </c>
      <c r="J1582" s="1" t="s">
        <v>13</v>
      </c>
      <c r="K1582" s="1" t="s">
        <v>13</v>
      </c>
      <c r="L1582" s="1" t="s">
        <v>13</v>
      </c>
      <c r="M1582" s="6" t="str">
        <f>_xlfn.CONCAT(Table1[[#This Row],[Billing Street]], ", ", Table1[[#This Row],[Billing City]], ", ", Table1[[#This Row],[Billing State/Province]], ", ", Table1[[#This Row],[Billing Zip/Postal Code]])</f>
        <v xml:space="preserve">, , , </v>
      </c>
    </row>
    <row r="1583" spans="1:13" ht="15.6" hidden="1" x14ac:dyDescent="0.3">
      <c r="A1583" s="1" t="s">
        <v>4983</v>
      </c>
      <c r="B1583" s="1"/>
      <c r="C1583" s="1"/>
      <c r="D1583" s="1"/>
      <c r="E1583" s="1"/>
      <c r="F1583" s="1"/>
      <c r="G1583" s="1" t="s">
        <v>13</v>
      </c>
      <c r="H1583" s="2">
        <v>0</v>
      </c>
      <c r="I1583" s="1" t="s">
        <v>13</v>
      </c>
      <c r="J1583" s="1" t="s">
        <v>13</v>
      </c>
      <c r="K1583" s="1" t="s">
        <v>13</v>
      </c>
      <c r="L1583" s="1" t="s">
        <v>13</v>
      </c>
      <c r="M1583" s="6" t="str">
        <f>_xlfn.CONCAT(Table1[[#This Row],[Billing Street]], ", ", Table1[[#This Row],[Billing City]], ", ", Table1[[#This Row],[Billing State/Province]], ", ", Table1[[#This Row],[Billing Zip/Postal Code]])</f>
        <v xml:space="preserve">, , , </v>
      </c>
    </row>
    <row r="1584" spans="1:13" ht="15.6" hidden="1" x14ac:dyDescent="0.3">
      <c r="A1584" s="1" t="s">
        <v>4984</v>
      </c>
      <c r="B1584" s="1"/>
      <c r="C1584" s="1"/>
      <c r="D1584" s="1"/>
      <c r="E1584" s="1"/>
      <c r="F1584" s="1"/>
      <c r="G1584" s="1" t="s">
        <v>43</v>
      </c>
      <c r="H1584" s="2">
        <v>5776</v>
      </c>
      <c r="I1584" s="1" t="s">
        <v>4985</v>
      </c>
      <c r="J1584" s="1" t="s">
        <v>4986</v>
      </c>
      <c r="K1584" s="1" t="s">
        <v>4987</v>
      </c>
      <c r="L1584" s="1" t="s">
        <v>4988</v>
      </c>
      <c r="M1584" s="6" t="str">
        <f>_xlfn.CONCAT(Table1[[#This Row],[Billing Street]], ", ", Table1[[#This Row],[Billing City]], ", ", Table1[[#This Row],[Billing State/Province]], ", ", Table1[[#This Row],[Billing Zip/Postal Code]])</f>
        <v>127-5 Joshuatown Road, Lyme, CT, 6371</v>
      </c>
    </row>
    <row r="1585" spans="1:13" ht="15.6" x14ac:dyDescent="0.3">
      <c r="A1585" s="1" t="s">
        <v>4989</v>
      </c>
      <c r="B1585" s="1"/>
      <c r="C1585" s="1"/>
      <c r="D1585" s="1"/>
      <c r="E1585" s="1"/>
      <c r="F1585" s="1"/>
      <c r="G1585" s="1" t="s">
        <v>24</v>
      </c>
      <c r="H1585" s="2">
        <v>200</v>
      </c>
      <c r="I1585" s="1" t="s">
        <v>4990</v>
      </c>
      <c r="J1585" s="1" t="s">
        <v>372</v>
      </c>
      <c r="K1585" s="1" t="s">
        <v>26</v>
      </c>
      <c r="L1585" s="1" t="s">
        <v>4991</v>
      </c>
      <c r="M1585" s="6" t="str">
        <f>_xlfn.CONCAT(Table1[[#This Row],[Billing Street]], ", ", Table1[[#This Row],[Billing City]], ", ", Table1[[#This Row],[Billing State/Province]], ", ", Table1[[#This Row],[Billing Zip/Postal Code]])</f>
        <v>1501 31st Ave North, Birmingham, AL, 35202</v>
      </c>
    </row>
    <row r="1586" spans="1:13" ht="15.6" x14ac:dyDescent="0.3">
      <c r="A1586" s="1" t="s">
        <v>4992</v>
      </c>
      <c r="B1586" s="1"/>
      <c r="C1586" s="1"/>
      <c r="D1586" s="1"/>
      <c r="E1586" s="1"/>
      <c r="F1586" s="1"/>
      <c r="G1586" s="1" t="s">
        <v>24</v>
      </c>
      <c r="H1586" s="2">
        <v>197</v>
      </c>
      <c r="I1586" s="1" t="s">
        <v>4993</v>
      </c>
      <c r="J1586" s="1" t="s">
        <v>372</v>
      </c>
      <c r="K1586" s="1" t="s">
        <v>26</v>
      </c>
      <c r="L1586" s="1" t="s">
        <v>4994</v>
      </c>
      <c r="M1586" s="6" t="str">
        <f>_xlfn.CONCAT(Table1[[#This Row],[Billing Street]], ", ", Table1[[#This Row],[Billing City]], ", ", Table1[[#This Row],[Billing State/Province]], ", ", Table1[[#This Row],[Billing Zip/Postal Code]])</f>
        <v>1038 Lomb Avenue SW, Birmingham, AL, 35211</v>
      </c>
    </row>
    <row r="1587" spans="1:13" ht="15.6" x14ac:dyDescent="0.3">
      <c r="A1587" s="1" t="s">
        <v>4995</v>
      </c>
      <c r="B1587" s="1"/>
      <c r="C1587" s="1"/>
      <c r="D1587" s="1"/>
      <c r="E1587" s="1"/>
      <c r="F1587" s="1"/>
      <c r="G1587" s="1" t="s">
        <v>24</v>
      </c>
      <c r="H1587" s="2">
        <v>192</v>
      </c>
      <c r="I1587" s="1" t="s">
        <v>4996</v>
      </c>
      <c r="J1587" s="1" t="s">
        <v>372</v>
      </c>
      <c r="K1587" s="1" t="s">
        <v>26</v>
      </c>
      <c r="L1587" s="1" t="s">
        <v>4997</v>
      </c>
      <c r="M1587" s="6" t="str">
        <f>_xlfn.CONCAT(Table1[[#This Row],[Billing Street]], ", ", Table1[[#This Row],[Billing City]], ", ", Table1[[#This Row],[Billing State/Province]], ", ", Table1[[#This Row],[Billing Zip/Postal Code]])</f>
        <v>1318 Alford Ave Suite 202, Birmingham, AL, 35226</v>
      </c>
    </row>
    <row r="1588" spans="1:13" ht="15.6" x14ac:dyDescent="0.3">
      <c r="A1588" s="1" t="s">
        <v>4998</v>
      </c>
      <c r="B1588" s="1"/>
      <c r="C1588" s="1"/>
      <c r="D1588" s="1"/>
      <c r="E1588" s="1"/>
      <c r="F1588" s="1"/>
      <c r="G1588" s="1" t="s">
        <v>24</v>
      </c>
      <c r="H1588" s="2">
        <v>198</v>
      </c>
      <c r="I1588" s="1" t="s">
        <v>4999</v>
      </c>
      <c r="J1588" s="1" t="s">
        <v>5000</v>
      </c>
      <c r="K1588" s="1" t="s">
        <v>26</v>
      </c>
      <c r="L1588" s="1" t="s">
        <v>5001</v>
      </c>
      <c r="M1588" s="6" t="str">
        <f>_xlfn.CONCAT(Table1[[#This Row],[Billing Street]], ", ", Table1[[#This Row],[Billing City]], ", ", Table1[[#This Row],[Billing State/Province]], ", ", Table1[[#This Row],[Billing Zip/Postal Code]])</f>
        <v>101 Parkway East, Pell City, AL, 35125</v>
      </c>
    </row>
    <row r="1589" spans="1:13" ht="15.6" hidden="1" x14ac:dyDescent="0.3">
      <c r="A1589" s="1" t="s">
        <v>5002</v>
      </c>
      <c r="B1589" s="1"/>
      <c r="C1589" s="1"/>
      <c r="D1589" s="1"/>
      <c r="E1589" s="1"/>
      <c r="F1589" s="1"/>
      <c r="G1589" s="1" t="s">
        <v>13</v>
      </c>
      <c r="H1589" s="2">
        <v>0</v>
      </c>
      <c r="I1589" s="1" t="s">
        <v>13</v>
      </c>
      <c r="J1589" s="1" t="s">
        <v>13</v>
      </c>
      <c r="K1589" s="1" t="s">
        <v>13</v>
      </c>
      <c r="L1589" s="1" t="s">
        <v>13</v>
      </c>
      <c r="M1589" s="6" t="str">
        <f>_xlfn.CONCAT(Table1[[#This Row],[Billing Street]], ", ", Table1[[#This Row],[Billing City]], ", ", Table1[[#This Row],[Billing State/Province]], ", ", Table1[[#This Row],[Billing Zip/Postal Code]])</f>
        <v xml:space="preserve">, , , </v>
      </c>
    </row>
    <row r="1590" spans="1:13" ht="15.6" hidden="1" x14ac:dyDescent="0.3">
      <c r="A1590" s="1" t="s">
        <v>5003</v>
      </c>
      <c r="B1590" s="1"/>
      <c r="C1590" s="1"/>
      <c r="D1590" s="1"/>
      <c r="E1590" s="1"/>
      <c r="F1590" s="1"/>
      <c r="G1590" s="1" t="s">
        <v>13</v>
      </c>
      <c r="H1590" s="2">
        <v>0</v>
      </c>
      <c r="I1590" s="1" t="s">
        <v>13</v>
      </c>
      <c r="J1590" s="1" t="s">
        <v>13</v>
      </c>
      <c r="K1590" s="1" t="s">
        <v>13</v>
      </c>
      <c r="L1590" s="1" t="s">
        <v>13</v>
      </c>
      <c r="M1590" s="6" t="str">
        <f>_xlfn.CONCAT(Table1[[#This Row],[Billing Street]], ", ", Table1[[#This Row],[Billing City]], ", ", Table1[[#This Row],[Billing State/Province]], ", ", Table1[[#This Row],[Billing Zip/Postal Code]])</f>
        <v xml:space="preserve">, , , </v>
      </c>
    </row>
    <row r="1591" spans="1:13" ht="15.6" hidden="1" x14ac:dyDescent="0.3">
      <c r="A1591" s="1" t="s">
        <v>5004</v>
      </c>
      <c r="B1591" s="1"/>
      <c r="C1591" s="1"/>
      <c r="D1591" s="1"/>
      <c r="E1591" s="1"/>
      <c r="F1591" s="1"/>
      <c r="G1591" s="1" t="s">
        <v>43</v>
      </c>
      <c r="H1591" s="2">
        <v>5776</v>
      </c>
      <c r="I1591" s="1" t="s">
        <v>5005</v>
      </c>
      <c r="J1591" s="1" t="s">
        <v>5006</v>
      </c>
      <c r="K1591" s="1" t="s">
        <v>95</v>
      </c>
      <c r="L1591" s="1" t="s">
        <v>5007</v>
      </c>
      <c r="M1591" s="6" t="str">
        <f>_xlfn.CONCAT(Table1[[#This Row],[Billing Street]], ", ", Table1[[#This Row],[Billing City]], ", ", Table1[[#This Row],[Billing State/Province]], ", ", Table1[[#This Row],[Billing Zip/Postal Code]])</f>
        <v>480 North Ave., Wakefield, MA, 1880</v>
      </c>
    </row>
    <row r="1592" spans="1:13" ht="15.6" hidden="1" x14ac:dyDescent="0.3">
      <c r="A1592" s="1" t="s">
        <v>5008</v>
      </c>
      <c r="B1592" s="1"/>
      <c r="C1592" s="1"/>
      <c r="D1592" s="1"/>
      <c r="E1592" s="1"/>
      <c r="F1592" s="1"/>
      <c r="G1592" s="1" t="s">
        <v>13</v>
      </c>
      <c r="H1592" s="2">
        <v>0</v>
      </c>
      <c r="I1592" s="1" t="s">
        <v>13</v>
      </c>
      <c r="J1592" s="1" t="s">
        <v>13</v>
      </c>
      <c r="K1592" s="1" t="s">
        <v>13</v>
      </c>
      <c r="L1592" s="1" t="s">
        <v>13</v>
      </c>
      <c r="M1592" s="6" t="str">
        <f>_xlfn.CONCAT(Table1[[#This Row],[Billing Street]], ", ", Table1[[#This Row],[Billing City]], ", ", Table1[[#This Row],[Billing State/Province]], ", ", Table1[[#This Row],[Billing Zip/Postal Code]])</f>
        <v xml:space="preserve">, , , </v>
      </c>
    </row>
    <row r="1593" spans="1:13" ht="15.6" hidden="1" x14ac:dyDescent="0.3">
      <c r="A1593" s="1" t="s">
        <v>5009</v>
      </c>
      <c r="B1593" s="1"/>
      <c r="C1593" s="1"/>
      <c r="D1593" s="1"/>
      <c r="E1593" s="1"/>
      <c r="F1593" s="1"/>
      <c r="G1593" s="1" t="s">
        <v>98</v>
      </c>
      <c r="H1593" s="2">
        <v>5887</v>
      </c>
      <c r="I1593" s="1" t="s">
        <v>5010</v>
      </c>
      <c r="J1593" s="1" t="s">
        <v>5011</v>
      </c>
      <c r="K1593" s="1" t="s">
        <v>234</v>
      </c>
      <c r="L1593" s="1" t="s">
        <v>5012</v>
      </c>
      <c r="M1593" s="6" t="str">
        <f>_xlfn.CONCAT(Table1[[#This Row],[Billing Street]], ", ", Table1[[#This Row],[Billing City]], ", ", Table1[[#This Row],[Billing State/Province]], ", ", Table1[[#This Row],[Billing Zip/Postal Code]])</f>
        <v>70 Fort Walker Drive, Hilton Head, SC, 29928</v>
      </c>
    </row>
    <row r="1594" spans="1:13" ht="15.6" hidden="1" x14ac:dyDescent="0.3">
      <c r="A1594" s="1" t="s">
        <v>5013</v>
      </c>
      <c r="B1594" s="1"/>
      <c r="C1594" s="1"/>
      <c r="D1594" s="1"/>
      <c r="E1594" s="1"/>
      <c r="F1594" s="1"/>
      <c r="G1594" s="1" t="s">
        <v>98</v>
      </c>
      <c r="H1594" s="2">
        <v>145</v>
      </c>
      <c r="I1594" s="1" t="s">
        <v>5014</v>
      </c>
      <c r="J1594" s="1" t="s">
        <v>5015</v>
      </c>
      <c r="K1594" s="1" t="s">
        <v>1135</v>
      </c>
      <c r="L1594" s="1" t="s">
        <v>5016</v>
      </c>
      <c r="M1594" s="6" t="str">
        <f>_xlfn.CONCAT(Table1[[#This Row],[Billing Street]], ", ", Table1[[#This Row],[Billing City]], ", ", Table1[[#This Row],[Billing State/Province]], ", ", Table1[[#This Row],[Billing Zip/Postal Code]])</f>
        <v>103 Palladium Way, Oak Ridge, TN, 37830</v>
      </c>
    </row>
    <row r="1595" spans="1:13" ht="15.6" hidden="1" x14ac:dyDescent="0.3">
      <c r="A1595" s="1" t="s">
        <v>5017</v>
      </c>
      <c r="B1595" s="1"/>
      <c r="C1595" s="1"/>
      <c r="D1595" s="1"/>
      <c r="E1595" s="1"/>
      <c r="F1595" s="1"/>
      <c r="G1595" s="1" t="s">
        <v>98</v>
      </c>
      <c r="H1595" s="2">
        <v>344</v>
      </c>
      <c r="I1595" s="1" t="s">
        <v>5018</v>
      </c>
      <c r="J1595" s="1" t="s">
        <v>5019</v>
      </c>
      <c r="K1595" s="1" t="s">
        <v>1135</v>
      </c>
      <c r="L1595" s="1" t="s">
        <v>5020</v>
      </c>
      <c r="M1595" s="6" t="str">
        <f>_xlfn.CONCAT(Table1[[#This Row],[Billing Street]], ", ", Table1[[#This Row],[Billing City]], ", ", Table1[[#This Row],[Billing State/Province]], ", ", Table1[[#This Row],[Billing Zip/Postal Code]])</f>
        <v>125 West Jefferson, Memphis, TN, 38103</v>
      </c>
    </row>
    <row r="1596" spans="1:13" ht="15.6" x14ac:dyDescent="0.3">
      <c r="A1596" s="1" t="s">
        <v>5021</v>
      </c>
      <c r="B1596" s="1"/>
      <c r="C1596" s="1"/>
      <c r="D1596" s="1"/>
      <c r="E1596" s="1"/>
      <c r="F1596" s="1"/>
      <c r="G1596" s="1" t="s">
        <v>24</v>
      </c>
      <c r="H1596" s="2">
        <v>373</v>
      </c>
      <c r="I1596" s="1" t="s">
        <v>5022</v>
      </c>
      <c r="J1596" s="1" t="s">
        <v>5021</v>
      </c>
      <c r="K1596" s="1" t="s">
        <v>36</v>
      </c>
      <c r="L1596" s="1" t="s">
        <v>5023</v>
      </c>
      <c r="M1596" s="6" t="str">
        <f>_xlfn.CONCAT(Table1[[#This Row],[Billing Street]], ", ", Table1[[#This Row],[Billing City]], ", ", Table1[[#This Row],[Billing State/Province]], ", ", Table1[[#This Row],[Billing Zip/Postal Code]])</f>
        <v>743 Delta Dr bldg 710, Patrick Air Force Base, FL, 32925</v>
      </c>
    </row>
    <row r="1597" spans="1:13" ht="15.6" hidden="1" x14ac:dyDescent="0.3">
      <c r="A1597" s="1" t="s">
        <v>5024</v>
      </c>
      <c r="B1597" s="1"/>
      <c r="C1597" s="1"/>
      <c r="D1597" s="1"/>
      <c r="E1597" s="1"/>
      <c r="F1597" s="1"/>
      <c r="G1597" s="1" t="s">
        <v>98</v>
      </c>
      <c r="H1597" s="2">
        <v>216</v>
      </c>
      <c r="I1597" s="1" t="s">
        <v>5025</v>
      </c>
      <c r="J1597" s="1" t="s">
        <v>4692</v>
      </c>
      <c r="K1597" s="1" t="s">
        <v>1135</v>
      </c>
      <c r="L1597" s="1" t="s">
        <v>5026</v>
      </c>
      <c r="M1597" s="6" t="str">
        <f>_xlfn.CONCAT(Table1[[#This Row],[Billing Street]], ", ", Table1[[#This Row],[Billing City]], ", ", Table1[[#This Row],[Billing State/Province]], ", ", Table1[[#This Row],[Billing Zip/Postal Code]])</f>
        <v>3310 West End Ave, Nashville, TN, 37203</v>
      </c>
    </row>
    <row r="1598" spans="1:13" ht="15.6" hidden="1" x14ac:dyDescent="0.3">
      <c r="A1598" s="1" t="s">
        <v>5027</v>
      </c>
      <c r="B1598" s="1"/>
      <c r="C1598" s="1"/>
      <c r="D1598" s="1"/>
      <c r="E1598" s="1"/>
      <c r="F1598" s="1"/>
      <c r="G1598" s="1" t="s">
        <v>8</v>
      </c>
      <c r="H1598" s="2">
        <v>530</v>
      </c>
      <c r="I1598" s="1" t="s">
        <v>5028</v>
      </c>
      <c r="J1598" s="1" t="s">
        <v>5029</v>
      </c>
      <c r="K1598" s="1" t="s">
        <v>128</v>
      </c>
      <c r="L1598" s="1" t="s">
        <v>5030</v>
      </c>
      <c r="M1598" s="6" t="str">
        <f>_xlfn.CONCAT(Table1[[#This Row],[Billing Street]], ", ", Table1[[#This Row],[Billing City]], ", ", Table1[[#This Row],[Billing State/Province]], ", ", Table1[[#This Row],[Billing Zip/Postal Code]])</f>
        <v>118 Central Ave N, New Prague, MN, 56071</v>
      </c>
    </row>
    <row r="1599" spans="1:13" ht="15.6" hidden="1" x14ac:dyDescent="0.3">
      <c r="A1599" s="1" t="s">
        <v>5031</v>
      </c>
      <c r="B1599" s="1"/>
      <c r="C1599" s="1"/>
      <c r="D1599" s="1"/>
      <c r="E1599" s="1"/>
      <c r="F1599" s="1"/>
      <c r="G1599" s="1" t="s">
        <v>98</v>
      </c>
      <c r="H1599" s="2">
        <v>287</v>
      </c>
      <c r="I1599" s="1" t="s">
        <v>5032</v>
      </c>
      <c r="J1599" s="1" t="s">
        <v>637</v>
      </c>
      <c r="K1599" s="1" t="s">
        <v>1135</v>
      </c>
      <c r="L1599" s="1" t="s">
        <v>5033</v>
      </c>
      <c r="M1599" s="6" t="str">
        <f>_xlfn.CONCAT(Table1[[#This Row],[Billing Street]], ", ", Table1[[#This Row],[Billing City]], ", ", Table1[[#This Row],[Billing State/Province]], ", ", Table1[[#This Row],[Billing Zip/Postal Code]])</f>
        <v>96 Pinnacle Drive, Jackson, TN, 38301</v>
      </c>
    </row>
    <row r="1600" spans="1:13" ht="15.6" hidden="1" x14ac:dyDescent="0.3">
      <c r="A1600" s="1" t="s">
        <v>5034</v>
      </c>
      <c r="B1600" s="1"/>
      <c r="C1600" s="1"/>
      <c r="D1600" s="1"/>
      <c r="E1600" s="1"/>
      <c r="F1600" s="1"/>
      <c r="G1600" s="1" t="s">
        <v>98</v>
      </c>
      <c r="H1600" s="2">
        <v>5887</v>
      </c>
      <c r="I1600" s="1" t="s">
        <v>13</v>
      </c>
      <c r="J1600" s="1" t="s">
        <v>13</v>
      </c>
      <c r="K1600" s="1" t="s">
        <v>1135</v>
      </c>
      <c r="L1600" s="1" t="s">
        <v>13</v>
      </c>
      <c r="M1600" s="6" t="str">
        <f>_xlfn.CONCAT(Table1[[#This Row],[Billing Street]], ", ", Table1[[#This Row],[Billing City]], ", ", Table1[[#This Row],[Billing State/Province]], ", ", Table1[[#This Row],[Billing Zip/Postal Code]])</f>
        <v xml:space="preserve">, , TN, </v>
      </c>
    </row>
    <row r="1601" spans="1:13" ht="15.6" hidden="1" x14ac:dyDescent="0.3">
      <c r="A1601" s="1" t="s">
        <v>5035</v>
      </c>
      <c r="B1601" s="1"/>
      <c r="C1601" s="1"/>
      <c r="D1601" s="1"/>
      <c r="E1601" s="1"/>
      <c r="F1601" s="1"/>
      <c r="G1601" s="1" t="s">
        <v>43</v>
      </c>
      <c r="H1601" s="2">
        <v>600</v>
      </c>
      <c r="I1601" s="1" t="s">
        <v>5036</v>
      </c>
      <c r="J1601" s="1" t="s">
        <v>5037</v>
      </c>
      <c r="K1601" s="1" t="s">
        <v>133</v>
      </c>
      <c r="L1601" s="1" t="s">
        <v>5038</v>
      </c>
      <c r="M1601" s="6" t="str">
        <f>_xlfn.CONCAT(Table1[[#This Row],[Billing Street]], ", ", Table1[[#This Row],[Billing City]], ", ", Table1[[#This Row],[Billing State/Province]], ", ", Table1[[#This Row],[Billing Zip/Postal Code]])</f>
        <v>101 Hagen Dr, Woodville, WI, 54028</v>
      </c>
    </row>
    <row r="1602" spans="1:13" ht="15.6" hidden="1" x14ac:dyDescent="0.3">
      <c r="A1602" s="1" t="s">
        <v>5039</v>
      </c>
      <c r="B1602" s="1"/>
      <c r="C1602" s="1"/>
      <c r="D1602" s="1"/>
      <c r="E1602" s="1"/>
      <c r="F1602" s="1"/>
      <c r="G1602" s="1" t="s">
        <v>8</v>
      </c>
      <c r="H1602" s="2">
        <v>595</v>
      </c>
      <c r="I1602" s="1" t="s">
        <v>5040</v>
      </c>
      <c r="J1602" s="1" t="s">
        <v>388</v>
      </c>
      <c r="K1602" s="1" t="s">
        <v>128</v>
      </c>
      <c r="L1602" s="1" t="s">
        <v>5041</v>
      </c>
      <c r="M1602" s="6" t="str">
        <f>_xlfn.CONCAT(Table1[[#This Row],[Billing Street]], ", ", Table1[[#This Row],[Billing City]], ", ", Table1[[#This Row],[Billing State/Province]], ", ", Table1[[#This Row],[Billing Zip/Postal Code]])</f>
        <v>392 County Road 50, Avon, MN, 56310</v>
      </c>
    </row>
    <row r="1603" spans="1:13" ht="15.6" hidden="1" x14ac:dyDescent="0.3">
      <c r="A1603" s="1" t="s">
        <v>5042</v>
      </c>
      <c r="B1603" s="1"/>
      <c r="C1603" s="1"/>
      <c r="D1603" s="1"/>
      <c r="E1603" s="1"/>
      <c r="F1603" s="1"/>
      <c r="G1603" s="1" t="s">
        <v>98</v>
      </c>
      <c r="H1603" s="2">
        <v>128</v>
      </c>
      <c r="I1603" s="1" t="s">
        <v>5043</v>
      </c>
      <c r="J1603" s="1" t="s">
        <v>4784</v>
      </c>
      <c r="K1603" s="1" t="s">
        <v>1135</v>
      </c>
      <c r="L1603" s="1" t="s">
        <v>5044</v>
      </c>
      <c r="M1603" s="6" t="str">
        <f>_xlfn.CONCAT(Table1[[#This Row],[Billing Street]], ", ", Table1[[#This Row],[Billing City]], ", ", Table1[[#This Row],[Billing State/Province]], ", ", Table1[[#This Row],[Billing Zip/Postal Code]])</f>
        <v>3834 Morganton Rd., Maryville, TN, 37801</v>
      </c>
    </row>
    <row r="1604" spans="1:13" ht="15.6" hidden="1" x14ac:dyDescent="0.3">
      <c r="A1604" s="1" t="s">
        <v>5045</v>
      </c>
      <c r="B1604" s="1"/>
      <c r="C1604" s="1"/>
      <c r="D1604" s="1"/>
      <c r="E1604" s="1"/>
      <c r="F1604" s="1"/>
      <c r="G1604" s="1" t="s">
        <v>8</v>
      </c>
      <c r="H1604" s="2">
        <v>438</v>
      </c>
      <c r="I1604" s="1" t="s">
        <v>5046</v>
      </c>
      <c r="J1604" s="1" t="s">
        <v>5047</v>
      </c>
      <c r="K1604" s="1" t="s">
        <v>51</v>
      </c>
      <c r="L1604" s="1" t="s">
        <v>5048</v>
      </c>
      <c r="M1604" s="6" t="str">
        <f>_xlfn.CONCAT(Table1[[#This Row],[Billing Street]], ", ", Table1[[#This Row],[Billing City]], ", ", Table1[[#This Row],[Billing State/Province]], ", ", Table1[[#This Row],[Billing Zip/Postal Code]])</f>
        <v>312 E. Third St, Lampasas, TX, 76550</v>
      </c>
    </row>
    <row r="1605" spans="1:13" ht="15.6" hidden="1" x14ac:dyDescent="0.3">
      <c r="A1605" s="1" t="s">
        <v>5049</v>
      </c>
      <c r="B1605" s="1"/>
      <c r="C1605" s="1"/>
      <c r="D1605" s="1"/>
      <c r="E1605" s="1"/>
      <c r="F1605" s="1"/>
      <c r="G1605" s="1" t="s">
        <v>8</v>
      </c>
      <c r="H1605" s="2">
        <v>316</v>
      </c>
      <c r="I1605" s="1" t="s">
        <v>5050</v>
      </c>
      <c r="J1605" s="1" t="s">
        <v>1517</v>
      </c>
      <c r="K1605" s="1" t="s">
        <v>51</v>
      </c>
      <c r="L1605" s="1" t="s">
        <v>5051</v>
      </c>
      <c r="M1605" s="6" t="str">
        <f>_xlfn.CONCAT(Table1[[#This Row],[Billing Street]], ", ", Table1[[#This Row],[Billing City]], ", ", Table1[[#This Row],[Billing State/Province]], ", ", Table1[[#This Row],[Billing Zip/Postal Code]])</f>
        <v>2471 South Dallas Avenue, Lancaster, TX, 75146</v>
      </c>
    </row>
    <row r="1606" spans="1:13" ht="15.6" hidden="1" x14ac:dyDescent="0.3">
      <c r="A1606" s="1" t="s">
        <v>5052</v>
      </c>
      <c r="B1606" s="1"/>
      <c r="C1606" s="1"/>
      <c r="D1606" s="1"/>
      <c r="E1606" s="1"/>
      <c r="F1606" s="1"/>
      <c r="G1606" s="1" t="s">
        <v>8</v>
      </c>
      <c r="H1606" s="2">
        <v>275</v>
      </c>
      <c r="I1606" s="1" t="s">
        <v>5053</v>
      </c>
      <c r="J1606" s="1" t="s">
        <v>5054</v>
      </c>
      <c r="K1606" s="1" t="s">
        <v>51</v>
      </c>
      <c r="L1606" s="1" t="s">
        <v>5055</v>
      </c>
      <c r="M1606" s="6" t="str">
        <f>_xlfn.CONCAT(Table1[[#This Row],[Billing Street]], ", ", Table1[[#This Row],[Billing City]], ", ", Table1[[#This Row],[Billing State/Province]], ", ", Table1[[#This Row],[Billing Zip/Postal Code]])</f>
        <v>9978 FM 3129, Queen City, TX, 75572</v>
      </c>
    </row>
    <row r="1607" spans="1:13" ht="15.6" hidden="1" x14ac:dyDescent="0.3">
      <c r="A1607" s="1" t="s">
        <v>5056</v>
      </c>
      <c r="B1607" s="1"/>
      <c r="C1607" s="1"/>
      <c r="D1607" s="1"/>
      <c r="E1607" s="1"/>
      <c r="F1607" s="1"/>
      <c r="G1607" s="1" t="s">
        <v>8</v>
      </c>
      <c r="H1607" s="2">
        <v>419</v>
      </c>
      <c r="I1607" s="1" t="s">
        <v>13</v>
      </c>
      <c r="J1607" s="1" t="s">
        <v>5057</v>
      </c>
      <c r="K1607" s="1" t="s">
        <v>51</v>
      </c>
      <c r="L1607" s="1" t="s">
        <v>5058</v>
      </c>
      <c r="M1607" s="6" t="str">
        <f>_xlfn.CONCAT(Table1[[#This Row],[Billing Street]], ", ", Table1[[#This Row],[Billing City]], ", ", Table1[[#This Row],[Billing State/Province]], ", ", Table1[[#This Row],[Billing Zip/Postal Code]])</f>
        <v>, Corrigan, TX, 75939</v>
      </c>
    </row>
    <row r="1608" spans="1:13" ht="15.6" hidden="1" x14ac:dyDescent="0.3">
      <c r="A1608" s="1" t="s">
        <v>5059</v>
      </c>
      <c r="B1608" s="1"/>
      <c r="C1608" s="1"/>
      <c r="D1608" s="1"/>
      <c r="E1608" s="1"/>
      <c r="F1608" s="1"/>
      <c r="G1608" s="1" t="s">
        <v>8</v>
      </c>
      <c r="H1608" s="2">
        <v>503</v>
      </c>
      <c r="I1608" s="1" t="s">
        <v>5060</v>
      </c>
      <c r="J1608" s="1" t="s">
        <v>557</v>
      </c>
      <c r="K1608" s="1" t="s">
        <v>51</v>
      </c>
      <c r="L1608" s="1" t="s">
        <v>5061</v>
      </c>
      <c r="M1608" s="6" t="str">
        <f>_xlfn.CONCAT(Table1[[#This Row],[Billing Street]], ", ", Table1[[#This Row],[Billing City]], ", ", Table1[[#This Row],[Billing State/Province]], ", ", Table1[[#This Row],[Billing Zip/Postal Code]])</f>
        <v>1111 Louisiana St, Houston, TX, 77002</v>
      </c>
    </row>
    <row r="1609" spans="1:13" ht="15.6" hidden="1" x14ac:dyDescent="0.3">
      <c r="A1609" s="1" t="s">
        <v>5062</v>
      </c>
      <c r="B1609" s="1"/>
      <c r="C1609" s="1"/>
      <c r="D1609" s="1"/>
      <c r="E1609" s="1"/>
      <c r="F1609" s="1"/>
      <c r="G1609" s="1" t="s">
        <v>98</v>
      </c>
      <c r="H1609" s="2">
        <v>5887</v>
      </c>
      <c r="I1609" s="1" t="s">
        <v>5063</v>
      </c>
      <c r="J1609" s="1" t="s">
        <v>5064</v>
      </c>
      <c r="K1609" s="1" t="s">
        <v>234</v>
      </c>
      <c r="L1609" s="1" t="s">
        <v>5065</v>
      </c>
      <c r="M1609" s="6" t="str">
        <f>_xlfn.CONCAT(Table1[[#This Row],[Billing Street]], ", ", Table1[[#This Row],[Billing City]], ", ", Table1[[#This Row],[Billing State/Province]], ", ", Table1[[#This Row],[Billing Zip/Postal Code]])</f>
        <v>Hwy 15-401 Bypass, Bennettsville, SC, 29512</v>
      </c>
    </row>
    <row r="1610" spans="1:13" ht="15.6" hidden="1" x14ac:dyDescent="0.3">
      <c r="A1610" s="1" t="s">
        <v>5066</v>
      </c>
      <c r="B1610" s="1"/>
      <c r="C1610" s="1"/>
      <c r="D1610" s="1"/>
      <c r="E1610" s="1"/>
      <c r="F1610" s="1"/>
      <c r="G1610" s="1" t="s">
        <v>8</v>
      </c>
      <c r="H1610" s="2">
        <v>513</v>
      </c>
      <c r="I1610" s="1" t="s">
        <v>5067</v>
      </c>
      <c r="J1610" s="1" t="s">
        <v>3808</v>
      </c>
      <c r="K1610" s="1" t="s">
        <v>51</v>
      </c>
      <c r="L1610" s="1" t="s">
        <v>3809</v>
      </c>
      <c r="M1610" s="6" t="str">
        <f>_xlfn.CONCAT(Table1[[#This Row],[Billing Street]], ", ", Table1[[#This Row],[Billing City]], ", ", Table1[[#This Row],[Billing State/Province]], ", ", Table1[[#This Row],[Billing Zip/Postal Code]])</f>
        <v>1040 highway 123, San Marcos, TX, 78666</v>
      </c>
    </row>
    <row r="1611" spans="1:13" ht="15.6" hidden="1" x14ac:dyDescent="0.3">
      <c r="A1611" s="1" t="s">
        <v>5068</v>
      </c>
      <c r="B1611" s="1"/>
      <c r="C1611" s="1"/>
      <c r="D1611" s="1"/>
      <c r="E1611" s="1"/>
      <c r="F1611" s="1"/>
      <c r="G1611" s="1" t="s">
        <v>8</v>
      </c>
      <c r="H1611" s="2">
        <v>432</v>
      </c>
      <c r="I1611" s="1" t="s">
        <v>5069</v>
      </c>
      <c r="J1611" s="1" t="s">
        <v>5070</v>
      </c>
      <c r="K1611" s="1" t="s">
        <v>51</v>
      </c>
      <c r="L1611" s="1" t="s">
        <v>5071</v>
      </c>
      <c r="M1611" s="6" t="str">
        <f>_xlfn.CONCAT(Table1[[#This Row],[Billing Street]], ", ", Table1[[#This Row],[Billing City]], ", ", Table1[[#This Row],[Billing State/Province]], ", ", Table1[[#This Row],[Billing Zip/Postal Code]])</f>
        <v>950 N. Main Street, Jasper, TX, 75951</v>
      </c>
    </row>
    <row r="1612" spans="1:13" ht="15.6" hidden="1" x14ac:dyDescent="0.3">
      <c r="A1612" s="1" t="s">
        <v>5072</v>
      </c>
      <c r="B1612" s="1"/>
      <c r="C1612" s="1"/>
      <c r="D1612" s="1"/>
      <c r="E1612" s="1"/>
      <c r="F1612" s="1"/>
      <c r="G1612" s="1" t="s">
        <v>8</v>
      </c>
      <c r="H1612" s="2">
        <v>513</v>
      </c>
      <c r="I1612" s="1" t="s">
        <v>5073</v>
      </c>
      <c r="J1612" s="1" t="s">
        <v>5074</v>
      </c>
      <c r="K1612" s="1" t="s">
        <v>1439</v>
      </c>
      <c r="L1612" s="1" t="s">
        <v>5075</v>
      </c>
      <c r="M1612" s="6" t="str">
        <f>_xlfn.CONCAT(Table1[[#This Row],[Billing Street]], ", ", Table1[[#This Row],[Billing City]], ", ", Table1[[#This Row],[Billing State/Province]], ", ", Table1[[#This Row],[Billing Zip/Postal Code]])</f>
        <v>11500 Bay Area Blv, Pasadena, Tx, 77507</v>
      </c>
    </row>
    <row r="1613" spans="1:13" ht="15.6" hidden="1" x14ac:dyDescent="0.3">
      <c r="A1613" s="1" t="s">
        <v>5076</v>
      </c>
      <c r="B1613" s="1"/>
      <c r="C1613" s="1"/>
      <c r="D1613" s="1"/>
      <c r="E1613" s="1"/>
      <c r="F1613" s="1"/>
      <c r="G1613" s="1" t="s">
        <v>8</v>
      </c>
      <c r="H1613" s="2">
        <v>363</v>
      </c>
      <c r="I1613" s="1" t="s">
        <v>5077</v>
      </c>
      <c r="J1613" s="1" t="s">
        <v>5078</v>
      </c>
      <c r="K1613" s="1" t="s">
        <v>51</v>
      </c>
      <c r="L1613" s="1" t="s">
        <v>5079</v>
      </c>
      <c r="M1613" s="6" t="str">
        <f>_xlfn.CONCAT(Table1[[#This Row],[Billing Street]], ", ", Table1[[#This Row],[Billing City]], ", ", Table1[[#This Row],[Billing State/Province]], ", ", Table1[[#This Row],[Billing Zip/Postal Code]])</f>
        <v>29880 Hwy 69 North, Rusk, TX, 75785</v>
      </c>
    </row>
    <row r="1614" spans="1:13" ht="15.6" hidden="1" x14ac:dyDescent="0.3">
      <c r="A1614" s="1" t="s">
        <v>5080</v>
      </c>
      <c r="B1614" s="1"/>
      <c r="C1614" s="1"/>
      <c r="D1614" s="1"/>
      <c r="E1614" s="1"/>
      <c r="F1614" s="1"/>
      <c r="G1614" s="1" t="s">
        <v>98</v>
      </c>
      <c r="H1614" s="2">
        <v>404</v>
      </c>
      <c r="I1614" s="1" t="s">
        <v>5081</v>
      </c>
      <c r="J1614" s="1" t="s">
        <v>5082</v>
      </c>
      <c r="K1614" s="1" t="s">
        <v>1178</v>
      </c>
      <c r="L1614" s="1" t="s">
        <v>5083</v>
      </c>
      <c r="M1614" s="6" t="str">
        <f>_xlfn.CONCAT(Table1[[#This Row],[Billing Street]], ", ", Table1[[#This Row],[Billing City]], ", ", Table1[[#This Row],[Billing State/Province]], ", ", Table1[[#This Row],[Billing Zip/Postal Code]])</f>
        <v>679 NC 33, Tarboro, NC, 27886</v>
      </c>
    </row>
    <row r="1615" spans="1:13" ht="15.6" hidden="1" x14ac:dyDescent="0.3">
      <c r="A1615" s="1" t="s">
        <v>5084</v>
      </c>
      <c r="B1615" s="1"/>
      <c r="C1615" s="1"/>
      <c r="D1615" s="1"/>
      <c r="E1615" s="1"/>
      <c r="F1615" s="1"/>
      <c r="G1615" s="1" t="s">
        <v>98</v>
      </c>
      <c r="H1615" s="2">
        <v>309</v>
      </c>
      <c r="I1615" s="1" t="s">
        <v>5085</v>
      </c>
      <c r="J1615" s="1" t="s">
        <v>5086</v>
      </c>
      <c r="K1615" s="1" t="s">
        <v>1178</v>
      </c>
      <c r="L1615" s="1" t="s">
        <v>5087</v>
      </c>
      <c r="M1615" s="6" t="str">
        <f>_xlfn.CONCAT(Table1[[#This Row],[Billing Street]], ", ", Table1[[#This Row],[Billing City]], ", ", Table1[[#This Row],[Billing State/Province]], ", ", Table1[[#This Row],[Billing Zip/Postal Code]])</f>
        <v>128 Wilson Rd, Sanford, NC, 27331</v>
      </c>
    </row>
    <row r="1616" spans="1:13" ht="15.6" hidden="1" x14ac:dyDescent="0.3">
      <c r="A1616" s="1" t="s">
        <v>5088</v>
      </c>
      <c r="B1616" s="1"/>
      <c r="C1616" s="1"/>
      <c r="D1616" s="1"/>
      <c r="E1616" s="1"/>
      <c r="F1616" s="1"/>
      <c r="G1616" s="1" t="s">
        <v>8</v>
      </c>
      <c r="H1616" s="2">
        <v>493</v>
      </c>
      <c r="I1616" s="1" t="s">
        <v>5089</v>
      </c>
      <c r="J1616" s="1" t="s">
        <v>5090</v>
      </c>
      <c r="K1616" s="1" t="s">
        <v>51</v>
      </c>
      <c r="L1616" s="1" t="s">
        <v>5091</v>
      </c>
      <c r="M1616" s="6" t="str">
        <f>_xlfn.CONCAT(Table1[[#This Row],[Billing Street]], ", ", Table1[[#This Row],[Billing City]], ", ", Table1[[#This Row],[Billing State/Province]], ", ", Table1[[#This Row],[Billing Zip/Postal Code]])</f>
        <v>P.O. Box 1569, Crosby, TX, 77532</v>
      </c>
    </row>
    <row r="1617" spans="1:13" ht="15.6" hidden="1" x14ac:dyDescent="0.3">
      <c r="A1617" s="1" t="s">
        <v>5092</v>
      </c>
      <c r="B1617" s="1"/>
      <c r="C1617" s="1"/>
      <c r="D1617" s="1"/>
      <c r="E1617" s="1"/>
      <c r="F1617" s="1"/>
      <c r="G1617" s="1" t="s">
        <v>8</v>
      </c>
      <c r="H1617" s="2">
        <v>183</v>
      </c>
      <c r="I1617" s="1" t="s">
        <v>5093</v>
      </c>
      <c r="J1617" s="1" t="s">
        <v>5094</v>
      </c>
      <c r="K1617" s="1" t="s">
        <v>147</v>
      </c>
      <c r="L1617" s="1" t="s">
        <v>5095</v>
      </c>
      <c r="M1617" s="6" t="str">
        <f>_xlfn.CONCAT(Table1[[#This Row],[Billing Street]], ", ", Table1[[#This Row],[Billing City]], ", ", Table1[[#This Row],[Billing State/Province]], ", ", Table1[[#This Row],[Billing Zip/Postal Code]])</f>
        <v>1759 E Cecil St, Waynoka, OK, 73860</v>
      </c>
    </row>
    <row r="1618" spans="1:13" ht="15.6" hidden="1" x14ac:dyDescent="0.3">
      <c r="A1618" s="1" t="s">
        <v>5096</v>
      </c>
      <c r="B1618" s="1"/>
      <c r="C1618" s="1"/>
      <c r="D1618" s="1"/>
      <c r="E1618" s="1"/>
      <c r="F1618" s="1"/>
      <c r="G1618" s="1" t="s">
        <v>98</v>
      </c>
      <c r="H1618" s="2">
        <v>1</v>
      </c>
      <c r="I1618" s="1" t="s">
        <v>5097</v>
      </c>
      <c r="J1618" s="1" t="s">
        <v>5098</v>
      </c>
      <c r="K1618" s="1" t="s">
        <v>101</v>
      </c>
      <c r="L1618" s="1" t="s">
        <v>5099</v>
      </c>
      <c r="M1618" s="6" t="str">
        <f>_xlfn.CONCAT(Table1[[#This Row],[Billing Street]], ", ", Table1[[#This Row],[Billing City]], ", ", Table1[[#This Row],[Billing State/Province]], ", ", Table1[[#This Row],[Billing Zip/Postal Code]])</f>
        <v>2100 East Exchange Place, Tucker, GA, 30084</v>
      </c>
    </row>
    <row r="1619" spans="1:13" ht="15.6" hidden="1" x14ac:dyDescent="0.3">
      <c r="A1619" s="1" t="s">
        <v>5100</v>
      </c>
      <c r="B1619" s="1"/>
      <c r="C1619" s="1"/>
      <c r="D1619" s="1"/>
      <c r="E1619" s="1"/>
      <c r="F1619" s="1"/>
      <c r="G1619" s="1" t="s">
        <v>98</v>
      </c>
      <c r="H1619" s="2">
        <v>85</v>
      </c>
      <c r="I1619" s="1" t="s">
        <v>5101</v>
      </c>
      <c r="J1619" s="1" t="s">
        <v>5102</v>
      </c>
      <c r="K1619" s="1" t="s">
        <v>101</v>
      </c>
      <c r="L1619" s="1" t="s">
        <v>5103</v>
      </c>
      <c r="M1619" s="6" t="str">
        <f>_xlfn.CONCAT(Table1[[#This Row],[Billing Street]], ", ", Table1[[#This Row],[Billing City]], ", ", Table1[[#This Row],[Billing State/Province]], ", ", Table1[[#This Row],[Billing Zip/Postal Code]])</f>
        <v>102 E. LIBERTY STREET, WASHINGTON, GA, 30673</v>
      </c>
    </row>
    <row r="1620" spans="1:13" ht="15.6" hidden="1" x14ac:dyDescent="0.3">
      <c r="A1620" s="1" t="s">
        <v>5104</v>
      </c>
      <c r="B1620" s="1"/>
      <c r="C1620" s="1"/>
      <c r="D1620" s="1"/>
      <c r="E1620" s="1"/>
      <c r="F1620" s="1"/>
      <c r="G1620" s="1" t="s">
        <v>98</v>
      </c>
      <c r="H1620" s="2">
        <v>5887</v>
      </c>
      <c r="I1620" s="1" t="s">
        <v>5105</v>
      </c>
      <c r="J1620" s="1" t="s">
        <v>5106</v>
      </c>
      <c r="K1620" s="1" t="s">
        <v>101</v>
      </c>
      <c r="L1620" s="1" t="s">
        <v>13</v>
      </c>
      <c r="M1620" s="6" t="str">
        <f>_xlfn.CONCAT(Table1[[#This Row],[Billing Street]], ", ", Table1[[#This Row],[Billing City]], ", ", Table1[[#This Row],[Billing State/Province]], ", ", Table1[[#This Row],[Billing Zip/Postal Code]])</f>
        <v xml:space="preserve">116 Lincoln Street, Hogansville, GA, </v>
      </c>
    </row>
    <row r="1621" spans="1:13" ht="15.6" hidden="1" x14ac:dyDescent="0.3">
      <c r="A1621" s="1" t="s">
        <v>5107</v>
      </c>
      <c r="B1621" s="1"/>
      <c r="C1621" s="1"/>
      <c r="D1621" s="1"/>
      <c r="E1621" s="1"/>
      <c r="F1621" s="1"/>
      <c r="G1621" s="1" t="s">
        <v>98</v>
      </c>
      <c r="H1621" s="2">
        <v>205</v>
      </c>
      <c r="I1621" s="1" t="s">
        <v>5108</v>
      </c>
      <c r="J1621" s="1" t="s">
        <v>5109</v>
      </c>
      <c r="K1621" s="1" t="s">
        <v>101</v>
      </c>
      <c r="L1621" s="1" t="s">
        <v>5110</v>
      </c>
      <c r="M1621" s="6" t="str">
        <f>_xlfn.CONCAT(Table1[[#This Row],[Billing Street]], ", ", Table1[[#This Row],[Billing City]], ", ", Table1[[#This Row],[Billing State/Province]], ", ", Table1[[#This Row],[Billing Zip/Postal Code]])</f>
        <v>108 West Broad Street, Whigham, GA, 39897</v>
      </c>
    </row>
    <row r="1622" spans="1:13" ht="15.6" hidden="1" x14ac:dyDescent="0.3">
      <c r="A1622" s="1" t="s">
        <v>5111</v>
      </c>
      <c r="B1622" s="1"/>
      <c r="C1622" s="1"/>
      <c r="D1622" s="1"/>
      <c r="E1622" s="1"/>
      <c r="F1622" s="1"/>
      <c r="G1622" s="1" t="s">
        <v>8</v>
      </c>
      <c r="H1622" s="2">
        <v>6528</v>
      </c>
      <c r="I1622" s="1" t="s">
        <v>5112</v>
      </c>
      <c r="J1622" s="1" t="s">
        <v>5113</v>
      </c>
      <c r="K1622" s="1" t="s">
        <v>147</v>
      </c>
      <c r="L1622" s="1" t="s">
        <v>13</v>
      </c>
      <c r="M1622" s="6" t="str">
        <f>_xlfn.CONCAT(Table1[[#This Row],[Billing Street]], ", ", Table1[[#This Row],[Billing City]], ", ", Table1[[#This Row],[Billing State/Province]], ", ", Table1[[#This Row],[Billing Zip/Postal Code]])</f>
        <v xml:space="preserve">114 N Broadway, Tecumseh, OK, </v>
      </c>
    </row>
    <row r="1623" spans="1:13" ht="15.6" hidden="1" x14ac:dyDescent="0.3">
      <c r="A1623" s="1" t="s">
        <v>5114</v>
      </c>
      <c r="B1623" s="1"/>
      <c r="C1623" s="1"/>
      <c r="D1623" s="1"/>
      <c r="E1623" s="1"/>
      <c r="F1623" s="1"/>
      <c r="G1623" s="1" t="s">
        <v>8</v>
      </c>
      <c r="H1623" s="2">
        <v>1069</v>
      </c>
      <c r="I1623" s="1" t="s">
        <v>5115</v>
      </c>
      <c r="J1623" s="1" t="s">
        <v>5116</v>
      </c>
      <c r="K1623" s="1" t="s">
        <v>2414</v>
      </c>
      <c r="L1623" s="1" t="s">
        <v>5117</v>
      </c>
      <c r="M1623" s="6" t="str">
        <f>_xlfn.CONCAT(Table1[[#This Row],[Billing Street]], ", ", Table1[[#This Row],[Billing City]], ", ", Table1[[#This Row],[Billing State/Province]], ", ", Table1[[#This Row],[Billing Zip/Postal Code]])</f>
        <v>400 Oxford Street, Butte, MT, 59701</v>
      </c>
    </row>
    <row r="1624" spans="1:13" ht="15.6" hidden="1" x14ac:dyDescent="0.3">
      <c r="A1624" s="1" t="s">
        <v>5118</v>
      </c>
      <c r="B1624" s="1"/>
      <c r="C1624" s="1"/>
      <c r="D1624" s="1"/>
      <c r="E1624" s="1"/>
      <c r="F1624" s="1"/>
      <c r="G1624" s="1" t="s">
        <v>98</v>
      </c>
      <c r="H1624" s="2">
        <v>181</v>
      </c>
      <c r="I1624" s="1" t="s">
        <v>5119</v>
      </c>
      <c r="J1624" s="1" t="s">
        <v>5120</v>
      </c>
      <c r="K1624" s="1" t="s">
        <v>101</v>
      </c>
      <c r="L1624" s="1" t="s">
        <v>5121</v>
      </c>
      <c r="M1624" s="6" t="str">
        <f>_xlfn.CONCAT(Table1[[#This Row],[Billing Street]], ", ", Table1[[#This Row],[Billing City]], ", ", Table1[[#This Row],[Billing State/Province]], ", ", Table1[[#This Row],[Billing Zip/Postal Code]])</f>
        <v>30 EAST BROAD STREET, CAMILLA, GA, 31730</v>
      </c>
    </row>
    <row r="1625" spans="1:13" ht="15.6" hidden="1" x14ac:dyDescent="0.3">
      <c r="A1625" s="1" t="s">
        <v>5122</v>
      </c>
      <c r="B1625" s="1"/>
      <c r="C1625" s="1"/>
      <c r="D1625" s="1"/>
      <c r="E1625" s="1"/>
      <c r="F1625" s="1"/>
      <c r="G1625" s="1" t="s">
        <v>43</v>
      </c>
      <c r="H1625" s="2">
        <v>282</v>
      </c>
      <c r="I1625" s="1" t="s">
        <v>5123</v>
      </c>
      <c r="J1625" s="1" t="s">
        <v>5124</v>
      </c>
      <c r="K1625" s="1" t="s">
        <v>1115</v>
      </c>
      <c r="L1625" s="1" t="s">
        <v>5125</v>
      </c>
      <c r="M1625" s="6" t="str">
        <f>_xlfn.CONCAT(Table1[[#This Row],[Billing Street]], ", ", Table1[[#This Row],[Billing City]], ", ", Table1[[#This Row],[Billing State/Province]], ", ", Table1[[#This Row],[Billing Zip/Postal Code]])</f>
        <v>1960 Valley Dale Street, Bluefield, VA, 24605</v>
      </c>
    </row>
    <row r="1626" spans="1:13" ht="15.6" x14ac:dyDescent="0.3">
      <c r="A1626" s="1" t="s">
        <v>5126</v>
      </c>
      <c r="B1626" s="1"/>
      <c r="C1626" s="1"/>
      <c r="D1626" s="1"/>
      <c r="E1626" s="1"/>
      <c r="F1626" s="1"/>
      <c r="G1626" s="1" t="s">
        <v>24</v>
      </c>
      <c r="H1626" s="2">
        <v>52</v>
      </c>
      <c r="I1626" s="1" t="s">
        <v>5127</v>
      </c>
      <c r="J1626" s="1" t="s">
        <v>652</v>
      </c>
      <c r="K1626" s="1" t="s">
        <v>26</v>
      </c>
      <c r="L1626" s="1" t="s">
        <v>1732</v>
      </c>
      <c r="M1626" s="6" t="str">
        <f>_xlfn.CONCAT(Table1[[#This Row],[Billing Street]], ", ", Table1[[#This Row],[Billing City]], ", ", Table1[[#This Row],[Billing State/Province]], ", ", Table1[[#This Row],[Billing Zip/Postal Code]])</f>
        <v>200 Kilgore Dr, Dothan, AL, 36301</v>
      </c>
    </row>
    <row r="1627" spans="1:13" ht="15.6" hidden="1" x14ac:dyDescent="0.3">
      <c r="A1627" s="1" t="s">
        <v>5128</v>
      </c>
      <c r="B1627" s="1"/>
      <c r="C1627" s="1"/>
      <c r="D1627" s="1"/>
      <c r="E1627" s="1"/>
      <c r="F1627" s="1"/>
      <c r="G1627" s="1" t="s">
        <v>43</v>
      </c>
      <c r="H1627" s="2">
        <v>291</v>
      </c>
      <c r="I1627" s="1" t="s">
        <v>5129</v>
      </c>
      <c r="J1627" s="1" t="s">
        <v>1105</v>
      </c>
      <c r="K1627" s="1" t="s">
        <v>1106</v>
      </c>
      <c r="L1627" s="1" t="s">
        <v>5130</v>
      </c>
      <c r="M1627" s="6" t="str">
        <f>_xlfn.CONCAT(Table1[[#This Row],[Billing Street]], ", ", Table1[[#This Row],[Billing City]], ", ", Table1[[#This Row],[Billing State/Province]], ", ", Table1[[#This Row],[Billing Zip/Postal Code]])</f>
        <v>7451 Coca Cola Blvd sukite H, Baltimore, md, 21076</v>
      </c>
    </row>
    <row r="1628" spans="1:13" ht="15.6" hidden="1" x14ac:dyDescent="0.3">
      <c r="A1628" s="1" t="s">
        <v>5131</v>
      </c>
      <c r="B1628" s="1"/>
      <c r="C1628" s="1"/>
      <c r="D1628" s="1"/>
      <c r="E1628" s="1"/>
      <c r="F1628" s="1"/>
      <c r="G1628" s="1" t="s">
        <v>43</v>
      </c>
      <c r="H1628" s="2">
        <v>229</v>
      </c>
      <c r="I1628" s="1" t="s">
        <v>5132</v>
      </c>
      <c r="J1628" s="1" t="s">
        <v>3455</v>
      </c>
      <c r="K1628" s="1" t="s">
        <v>671</v>
      </c>
      <c r="L1628" s="1" t="s">
        <v>5133</v>
      </c>
      <c r="M1628" s="6" t="str">
        <f>_xlfn.CONCAT(Table1[[#This Row],[Billing Street]], ", ", Table1[[#This Row],[Billing City]], ", ", Table1[[#This Row],[Billing State/Province]], ", ", Table1[[#This Row],[Billing Zip/Postal Code]])</f>
        <v>240 Commerce Dr, Rochester, NY, 14623</v>
      </c>
    </row>
    <row r="1629" spans="1:13" ht="15.6" hidden="1" x14ac:dyDescent="0.3">
      <c r="A1629" s="1" t="s">
        <v>5134</v>
      </c>
      <c r="B1629" s="1"/>
      <c r="C1629" s="1"/>
      <c r="D1629" s="1"/>
      <c r="E1629" s="1"/>
      <c r="F1629" s="1"/>
      <c r="G1629" s="1" t="s">
        <v>43</v>
      </c>
      <c r="H1629" s="2">
        <v>116</v>
      </c>
      <c r="I1629" s="1" t="s">
        <v>5135</v>
      </c>
      <c r="J1629" s="1" t="s">
        <v>711</v>
      </c>
      <c r="K1629" s="1" t="s">
        <v>45</v>
      </c>
      <c r="L1629" s="1" t="s">
        <v>5136</v>
      </c>
      <c r="M1629" s="6" t="str">
        <f>_xlfn.CONCAT(Table1[[#This Row],[Billing Street]], ", ", Table1[[#This Row],[Billing City]], ", ", Table1[[#This Row],[Billing State/Province]], ", ", Table1[[#This Row],[Billing Zip/Postal Code]])</f>
        <v>1111 Schrock Road, Columbus, OH, 43229</v>
      </c>
    </row>
    <row r="1630" spans="1:13" ht="15.6" hidden="1" x14ac:dyDescent="0.3">
      <c r="A1630" s="1" t="s">
        <v>5137</v>
      </c>
      <c r="B1630" s="1"/>
      <c r="C1630" s="1"/>
      <c r="D1630" s="1"/>
      <c r="E1630" s="1"/>
      <c r="F1630" s="1"/>
      <c r="G1630" s="1" t="s">
        <v>205</v>
      </c>
      <c r="H1630" s="2">
        <v>1020</v>
      </c>
      <c r="I1630" s="1" t="s">
        <v>5138</v>
      </c>
      <c r="J1630" s="1" t="s">
        <v>5139</v>
      </c>
      <c r="K1630" s="1" t="s">
        <v>2309</v>
      </c>
      <c r="L1630" s="1" t="s">
        <v>5140</v>
      </c>
      <c r="M1630" s="6" t="str">
        <f>_xlfn.CONCAT(Table1[[#This Row],[Billing Street]], ", ", Table1[[#This Row],[Billing City]], ", ", Table1[[#This Row],[Billing State/Province]], ", ", Table1[[#This Row],[Billing Zip/Postal Code]])</f>
        <v>4140 W. Grange Ave, Post Falls, ID, 83854</v>
      </c>
    </row>
    <row r="1631" spans="1:13" ht="15.6" x14ac:dyDescent="0.3">
      <c r="A1631" s="1" t="s">
        <v>5141</v>
      </c>
      <c r="B1631" s="1"/>
      <c r="C1631" s="1"/>
      <c r="D1631" s="1"/>
      <c r="E1631" s="1"/>
      <c r="F1631" s="1"/>
      <c r="G1631" s="1" t="s">
        <v>24</v>
      </c>
      <c r="H1631" s="2">
        <v>152</v>
      </c>
      <c r="I1631" s="1" t="s">
        <v>5142</v>
      </c>
      <c r="J1631" s="1" t="s">
        <v>5143</v>
      </c>
      <c r="K1631" s="1" t="s">
        <v>26</v>
      </c>
      <c r="L1631" s="1" t="s">
        <v>5144</v>
      </c>
      <c r="M1631" s="6" t="str">
        <f>_xlfn.CONCAT(Table1[[#This Row],[Billing Street]], ", ", Table1[[#This Row],[Billing City]], ", ", Table1[[#This Row],[Billing State/Province]], ", ", Table1[[#This Row],[Billing Zip/Postal Code]])</f>
        <v>2610 Lay Dam Rd, Clanton, AL, 35045</v>
      </c>
    </row>
    <row r="1632" spans="1:13" ht="15.6" x14ac:dyDescent="0.3">
      <c r="A1632" s="1" t="s">
        <v>5145</v>
      </c>
      <c r="B1632" s="1"/>
      <c r="C1632" s="1"/>
      <c r="D1632" s="1"/>
      <c r="E1632" s="1"/>
      <c r="F1632" s="1"/>
      <c r="G1632" s="1" t="s">
        <v>24</v>
      </c>
      <c r="H1632" s="2">
        <v>353</v>
      </c>
      <c r="I1632" s="1" t="s">
        <v>5146</v>
      </c>
      <c r="J1632" s="1" t="s">
        <v>997</v>
      </c>
      <c r="K1632" s="1" t="s">
        <v>577</v>
      </c>
      <c r="L1632" s="1" t="s">
        <v>3876</v>
      </c>
      <c r="M1632" s="6" t="str">
        <f>_xlfn.CONCAT(Table1[[#This Row],[Billing Street]], ", ", Table1[[#This Row],[Billing City]], ", ", Table1[[#This Row],[Billing State/Province]], ", ", Table1[[#This Row],[Billing Zip/Postal Code]])</f>
        <v>705 West University Ave, Lafayette, LA, 70506</v>
      </c>
    </row>
    <row r="1633" spans="1:13" ht="15.6" hidden="1" x14ac:dyDescent="0.3">
      <c r="A1633" s="1" t="s">
        <v>5147</v>
      </c>
      <c r="B1633" s="1"/>
      <c r="C1633" s="1"/>
      <c r="D1633" s="1"/>
      <c r="E1633" s="1"/>
      <c r="F1633" s="1"/>
      <c r="G1633" s="1" t="s">
        <v>98</v>
      </c>
      <c r="H1633" s="2">
        <v>207</v>
      </c>
      <c r="I1633" s="1" t="s">
        <v>5148</v>
      </c>
      <c r="J1633" s="1" t="s">
        <v>1045</v>
      </c>
      <c r="K1633" s="1" t="s">
        <v>101</v>
      </c>
      <c r="L1633" s="1" t="s">
        <v>5149</v>
      </c>
      <c r="M1633" s="6" t="str">
        <f>_xlfn.CONCAT(Table1[[#This Row],[Billing Street]], ", ", Table1[[#This Row],[Billing City]], ", ", Table1[[#This Row],[Billing State/Province]], ", ", Table1[[#This Row],[Billing Zip/Postal Code]])</f>
        <v>Hwy. 84 Bainbridge Rd, Cairo, GA, 31728</v>
      </c>
    </row>
    <row r="1634" spans="1:13" ht="15.6" hidden="1" x14ac:dyDescent="0.3">
      <c r="A1634" s="1" t="s">
        <v>5150</v>
      </c>
      <c r="B1634" s="1"/>
      <c r="C1634" s="1"/>
      <c r="D1634" s="1"/>
      <c r="E1634" s="1"/>
      <c r="F1634" s="1"/>
      <c r="G1634" s="1" t="s">
        <v>43</v>
      </c>
      <c r="H1634" s="2">
        <v>177</v>
      </c>
      <c r="I1634" s="1" t="s">
        <v>5151</v>
      </c>
      <c r="J1634" s="1" t="s">
        <v>5152</v>
      </c>
      <c r="K1634" s="1" t="s">
        <v>671</v>
      </c>
      <c r="L1634" s="1" t="s">
        <v>5153</v>
      </c>
      <c r="M1634" s="6" t="str">
        <f>_xlfn.CONCAT(Table1[[#This Row],[Billing Street]], ", ", Table1[[#This Row],[Billing City]], ", ", Table1[[#This Row],[Billing State/Province]], ", ", Table1[[#This Row],[Billing Zip/Postal Code]])</f>
        <v>sales@mgmelectricalsurplus.com, Niagara Falls, NY, 14304</v>
      </c>
    </row>
    <row r="1635" spans="1:13" ht="15.6" hidden="1" x14ac:dyDescent="0.3">
      <c r="A1635" s="1" t="s">
        <v>5154</v>
      </c>
      <c r="B1635" s="1"/>
      <c r="C1635" s="1"/>
      <c r="D1635" s="1"/>
      <c r="E1635" s="1"/>
      <c r="F1635" s="1"/>
      <c r="G1635" s="1" t="s">
        <v>54</v>
      </c>
      <c r="H1635" s="2">
        <v>13</v>
      </c>
      <c r="I1635" s="1" t="s">
        <v>5155</v>
      </c>
      <c r="J1635" s="1" t="s">
        <v>2048</v>
      </c>
      <c r="K1635" s="1" t="s">
        <v>57</v>
      </c>
      <c r="L1635" s="1" t="s">
        <v>5156</v>
      </c>
      <c r="M1635" s="6" t="str">
        <f>_xlfn.CONCAT(Table1[[#This Row],[Billing Street]], ", ", Table1[[#This Row],[Billing City]], ", ", Table1[[#This Row],[Billing State/Province]], ", ", Table1[[#This Row],[Billing Zip/Postal Code]])</f>
        <v>11950 San Vicente Boulevard, Los Angeles, CA, 90049</v>
      </c>
    </row>
    <row r="1636" spans="1:13" ht="15.6" hidden="1" x14ac:dyDescent="0.3">
      <c r="A1636" s="1" t="s">
        <v>5157</v>
      </c>
      <c r="B1636" s="1"/>
      <c r="C1636" s="1"/>
      <c r="D1636" s="1"/>
      <c r="E1636" s="1"/>
      <c r="F1636" s="1"/>
      <c r="G1636" s="1" t="s">
        <v>54</v>
      </c>
      <c r="H1636" s="2">
        <v>22</v>
      </c>
      <c r="I1636" s="1" t="s">
        <v>5158</v>
      </c>
      <c r="J1636" s="1" t="s">
        <v>5159</v>
      </c>
      <c r="K1636" s="1" t="s">
        <v>57</v>
      </c>
      <c r="L1636" s="1" t="s">
        <v>5160</v>
      </c>
      <c r="M1636" s="6" t="str">
        <f>_xlfn.CONCAT(Table1[[#This Row],[Billing Street]], ", ", Table1[[#This Row],[Billing City]], ", ", Table1[[#This Row],[Billing State/Province]], ", ", Table1[[#This Row],[Billing Zip/Postal Code]])</f>
        <v>230 N Orange Ave,, Brea, CA, 92821</v>
      </c>
    </row>
    <row r="1637" spans="1:13" ht="15.6" hidden="1" x14ac:dyDescent="0.3">
      <c r="A1637" s="1" t="s">
        <v>5161</v>
      </c>
      <c r="B1637" s="1"/>
      <c r="C1637" s="1"/>
      <c r="D1637" s="1"/>
      <c r="E1637" s="1"/>
      <c r="F1637" s="1"/>
      <c r="G1637" s="1" t="s">
        <v>54</v>
      </c>
      <c r="H1637" s="2">
        <v>92</v>
      </c>
      <c r="I1637" s="1" t="s">
        <v>5162</v>
      </c>
      <c r="J1637" s="1" t="s">
        <v>5163</v>
      </c>
      <c r="K1637" s="1" t="s">
        <v>57</v>
      </c>
      <c r="L1637" s="1" t="s">
        <v>5164</v>
      </c>
      <c r="M1637" s="6" t="str">
        <f>_xlfn.CONCAT(Table1[[#This Row],[Billing Street]], ", ", Table1[[#This Row],[Billing City]], ", ", Table1[[#This Row],[Billing State/Province]], ", ", Table1[[#This Row],[Billing Zip/Postal Code]])</f>
        <v>1298 Pacific Oaks Place, Escondido, CA, 92029</v>
      </c>
    </row>
    <row r="1638" spans="1:13" ht="15.6" hidden="1" x14ac:dyDescent="0.3">
      <c r="A1638" s="1" t="s">
        <v>5165</v>
      </c>
      <c r="B1638" s="1"/>
      <c r="C1638" s="1"/>
      <c r="D1638" s="1"/>
      <c r="E1638" s="1"/>
      <c r="F1638" s="1"/>
      <c r="G1638" s="1" t="s">
        <v>54</v>
      </c>
      <c r="H1638" s="2">
        <v>20</v>
      </c>
      <c r="I1638" s="1" t="s">
        <v>5166</v>
      </c>
      <c r="J1638" s="1" t="s">
        <v>5167</v>
      </c>
      <c r="K1638" s="1" t="s">
        <v>57</v>
      </c>
      <c r="L1638" s="1" t="s">
        <v>5168</v>
      </c>
      <c r="M1638" s="6" t="str">
        <f>_xlfn.CONCAT(Table1[[#This Row],[Billing Street]], ", ", Table1[[#This Row],[Billing City]], ", ", Table1[[#This Row],[Billing State/Province]], ", ", Table1[[#This Row],[Billing Zip/Postal Code]])</f>
        <v>4462 Corporate Center Drive, Los Alamitos, CA, 90720</v>
      </c>
    </row>
    <row r="1639" spans="1:13" ht="15.6" hidden="1" x14ac:dyDescent="0.3">
      <c r="A1639" s="1" t="s">
        <v>5169</v>
      </c>
      <c r="B1639" s="1"/>
      <c r="C1639" s="1"/>
      <c r="D1639" s="1"/>
      <c r="E1639" s="1"/>
      <c r="F1639" s="1"/>
      <c r="G1639" s="1" t="s">
        <v>98</v>
      </c>
      <c r="H1639" s="2">
        <v>158</v>
      </c>
      <c r="I1639" s="1" t="s">
        <v>5170</v>
      </c>
      <c r="J1639" s="1" t="s">
        <v>2949</v>
      </c>
      <c r="K1639" s="1" t="s">
        <v>101</v>
      </c>
      <c r="L1639" s="1" t="s">
        <v>2950</v>
      </c>
      <c r="M1639" s="6" t="str">
        <f>_xlfn.CONCAT(Table1[[#This Row],[Billing Street]], ", ", Table1[[#This Row],[Billing City]], ", ", Table1[[#This Row],[Billing State/Province]], ", ", Table1[[#This Row],[Billing Zip/Postal Code]])</f>
        <v>200 N.Hooker Street, Fitzgerald, GA, 31750</v>
      </c>
    </row>
    <row r="1640" spans="1:13" ht="15.6" hidden="1" x14ac:dyDescent="0.3">
      <c r="A1640" s="1" t="s">
        <v>5171</v>
      </c>
      <c r="B1640" s="1"/>
      <c r="C1640" s="1"/>
      <c r="D1640" s="1"/>
      <c r="E1640" s="1"/>
      <c r="F1640" s="1"/>
      <c r="G1640" s="1" t="s">
        <v>43</v>
      </c>
      <c r="H1640" s="2">
        <v>234</v>
      </c>
      <c r="I1640" s="1" t="s">
        <v>5172</v>
      </c>
      <c r="J1640" s="1" t="s">
        <v>5172</v>
      </c>
      <c r="K1640" s="1" t="s">
        <v>671</v>
      </c>
      <c r="L1640" s="1" t="s">
        <v>5173</v>
      </c>
      <c r="M1640" s="6" t="str">
        <f>_xlfn.CONCAT(Table1[[#This Row],[Billing Street]], ", ", Table1[[#This Row],[Billing City]], ", ", Table1[[#This Row],[Billing State/Province]], ", ", Table1[[#This Row],[Billing Zip/Postal Code]])</f>
        <v>Post Office Box 67283, Post Office Box 67283, NY, 14617</v>
      </c>
    </row>
    <row r="1641" spans="1:13" ht="15.6" hidden="1" x14ac:dyDescent="0.3">
      <c r="A1641" s="1" t="s">
        <v>5174</v>
      </c>
      <c r="B1641" s="1"/>
      <c r="C1641" s="1"/>
      <c r="D1641" s="1"/>
      <c r="E1641" s="1"/>
      <c r="F1641" s="1"/>
      <c r="G1641" s="1" t="s">
        <v>98</v>
      </c>
      <c r="H1641" s="2">
        <v>5887</v>
      </c>
      <c r="I1641" s="1" t="s">
        <v>5175</v>
      </c>
      <c r="J1641" s="1" t="s">
        <v>13</v>
      </c>
      <c r="K1641" s="1" t="s">
        <v>101</v>
      </c>
      <c r="L1641" s="1" t="s">
        <v>13</v>
      </c>
      <c r="M1641" s="6" t="str">
        <f>_xlfn.CONCAT(Table1[[#This Row],[Billing Street]], ", ", Table1[[#This Row],[Billing City]], ", ", Table1[[#This Row],[Billing State/Province]], ", ", Table1[[#This Row],[Billing Zip/Postal Code]])</f>
        <v xml:space="preserve">607 E. Main Steet, , GA, </v>
      </c>
    </row>
    <row r="1642" spans="1:13" ht="15.6" hidden="1" x14ac:dyDescent="0.3">
      <c r="A1642" s="1" t="s">
        <v>5176</v>
      </c>
      <c r="B1642" s="1"/>
      <c r="C1642" s="1"/>
      <c r="D1642" s="1"/>
      <c r="E1642" s="1"/>
      <c r="F1642" s="1"/>
      <c r="G1642" s="1" t="s">
        <v>98</v>
      </c>
      <c r="H1642" s="2">
        <v>39</v>
      </c>
      <c r="I1642" s="1" t="s">
        <v>5177</v>
      </c>
      <c r="J1642" s="1" t="s">
        <v>5178</v>
      </c>
      <c r="K1642" s="1" t="s">
        <v>101</v>
      </c>
      <c r="L1642" s="1" t="s">
        <v>5179</v>
      </c>
      <c r="M1642" s="6" t="str">
        <f>_xlfn.CONCAT(Table1[[#This Row],[Billing Street]], ", ", Table1[[#This Row],[Billing City]], ", ", Table1[[#This Row],[Billing State/Province]], ", ", Table1[[#This Row],[Billing Zip/Postal Code]])</f>
        <v>320 South Erwin Street, Carterville, GA, 30120</v>
      </c>
    </row>
    <row r="1643" spans="1:13" ht="15.6" hidden="1" x14ac:dyDescent="0.3">
      <c r="A1643" s="1" t="s">
        <v>5180</v>
      </c>
      <c r="B1643" s="1"/>
      <c r="C1643" s="1"/>
      <c r="D1643" s="1"/>
      <c r="E1643" s="1"/>
      <c r="F1643" s="1"/>
      <c r="G1643" s="1" t="s">
        <v>98</v>
      </c>
      <c r="H1643" s="2">
        <v>26</v>
      </c>
      <c r="I1643" s="1" t="s">
        <v>5181</v>
      </c>
      <c r="J1643" s="1" t="s">
        <v>3184</v>
      </c>
      <c r="K1643" s="1" t="s">
        <v>101</v>
      </c>
      <c r="L1643" s="1" t="s">
        <v>5182</v>
      </c>
      <c r="M1643" s="6" t="str">
        <f>_xlfn.CONCAT(Table1[[#This Row],[Billing Street]], ", ", Table1[[#This Row],[Billing City]], ", ", Table1[[#This Row],[Billing State/Province]], ", ", Table1[[#This Row],[Billing Zip/Postal Code]])</f>
        <v>110 West Clark Street, Oxford, GA, 30054</v>
      </c>
    </row>
    <row r="1644" spans="1:13" ht="15.6" hidden="1" x14ac:dyDescent="0.3">
      <c r="A1644" s="1" t="s">
        <v>5183</v>
      </c>
      <c r="B1644" s="1"/>
      <c r="C1644" s="1"/>
      <c r="D1644" s="1"/>
      <c r="E1644" s="1"/>
      <c r="F1644" s="1"/>
      <c r="G1644" s="1" t="s">
        <v>98</v>
      </c>
      <c r="H1644" s="2">
        <v>68</v>
      </c>
      <c r="I1644" s="1" t="s">
        <v>5184</v>
      </c>
      <c r="J1644" s="1" t="s">
        <v>5185</v>
      </c>
      <c r="K1644" s="1" t="s">
        <v>101</v>
      </c>
      <c r="L1644" s="1" t="s">
        <v>5186</v>
      </c>
      <c r="M1644" s="6" t="str">
        <f>_xlfn.CONCAT(Table1[[#This Row],[Billing Street]], ", ", Table1[[#This Row],[Billing City]], ", ", Table1[[#This Row],[Billing State/Province]], ", ", Table1[[#This Row],[Billing Zip/Postal Code]])</f>
        <v>309 Veterans blvd, Thomaston, GA, 30286</v>
      </c>
    </row>
    <row r="1645" spans="1:13" ht="15.6" hidden="1" x14ac:dyDescent="0.3">
      <c r="A1645" s="1" t="s">
        <v>5187</v>
      </c>
      <c r="B1645" s="1"/>
      <c r="C1645" s="1"/>
      <c r="D1645" s="1"/>
      <c r="E1645" s="1"/>
      <c r="F1645" s="1"/>
      <c r="G1645" s="1" t="s">
        <v>98</v>
      </c>
      <c r="H1645" s="2">
        <v>5887</v>
      </c>
      <c r="I1645" s="1" t="s">
        <v>5188</v>
      </c>
      <c r="J1645" s="1" t="s">
        <v>5189</v>
      </c>
      <c r="K1645" s="1" t="s">
        <v>101</v>
      </c>
      <c r="L1645" s="1" t="s">
        <v>13</v>
      </c>
      <c r="M1645" s="6" t="str">
        <f>_xlfn.CONCAT(Table1[[#This Row],[Billing Street]], ", ", Table1[[#This Row],[Billing City]], ", ", Table1[[#This Row],[Billing State/Province]], ", ", Table1[[#This Row],[Billing Zip/Postal Code]])</f>
        <v xml:space="preserve">1265 S. Coastal Hwy, Midway, GA, </v>
      </c>
    </row>
    <row r="1646" spans="1:13" ht="15.6" hidden="1" x14ac:dyDescent="0.3">
      <c r="A1646" s="1" t="s">
        <v>5190</v>
      </c>
      <c r="B1646" s="1"/>
      <c r="C1646" s="1"/>
      <c r="D1646" s="1"/>
      <c r="E1646" s="1"/>
      <c r="F1646" s="1"/>
      <c r="G1646" s="1" t="s">
        <v>8</v>
      </c>
      <c r="H1646" s="2">
        <v>129</v>
      </c>
      <c r="I1646" s="1" t="s">
        <v>5191</v>
      </c>
      <c r="J1646" s="1" t="s">
        <v>418</v>
      </c>
      <c r="K1646" s="1" t="s">
        <v>11</v>
      </c>
      <c r="L1646" s="1" t="s">
        <v>5192</v>
      </c>
      <c r="M1646" s="6" t="str">
        <f>_xlfn.CONCAT(Table1[[#This Row],[Billing Street]], ", ", Table1[[#This Row],[Billing City]], ", ", Table1[[#This Row],[Billing State/Province]], ", ", Table1[[#This Row],[Billing Zip/Postal Code]])</f>
        <v>301 E Central, Springfield, MO, 65801-0551</v>
      </c>
    </row>
    <row r="1647" spans="1:13" ht="15.6" hidden="1" x14ac:dyDescent="0.3">
      <c r="A1647" s="1" t="s">
        <v>5193</v>
      </c>
      <c r="B1647" s="1"/>
      <c r="C1647" s="1"/>
      <c r="D1647" s="1"/>
      <c r="E1647" s="1"/>
      <c r="F1647" s="1"/>
      <c r="G1647" s="1" t="s">
        <v>43</v>
      </c>
      <c r="H1647" s="2">
        <v>450</v>
      </c>
      <c r="I1647" s="1" t="s">
        <v>5194</v>
      </c>
      <c r="J1647" s="1" t="s">
        <v>5195</v>
      </c>
      <c r="K1647" s="1" t="s">
        <v>152</v>
      </c>
      <c r="L1647" s="1" t="s">
        <v>5196</v>
      </c>
      <c r="M1647" s="6" t="str">
        <f>_xlfn.CONCAT(Table1[[#This Row],[Billing Street]], ", ", Table1[[#This Row],[Billing City]], ", ", Table1[[#This Row],[Billing State/Province]], ", ", Table1[[#This Row],[Billing Zip/Postal Code]])</f>
        <v>14300 State Hwy 97, Petersburg, IL, 62675</v>
      </c>
    </row>
    <row r="1648" spans="1:13" ht="15.6" hidden="1" x14ac:dyDescent="0.3">
      <c r="A1648" s="1" t="s">
        <v>5197</v>
      </c>
      <c r="B1648" s="1"/>
      <c r="C1648" s="1"/>
      <c r="D1648" s="1"/>
      <c r="E1648" s="1"/>
      <c r="F1648" s="1"/>
      <c r="G1648" s="1" t="s">
        <v>54</v>
      </c>
      <c r="H1648" s="2">
        <v>10</v>
      </c>
      <c r="I1648" s="1" t="s">
        <v>5198</v>
      </c>
      <c r="J1648" s="1" t="s">
        <v>5199</v>
      </c>
      <c r="K1648" s="1" t="s">
        <v>57</v>
      </c>
      <c r="L1648" s="1" t="s">
        <v>5200</v>
      </c>
      <c r="M1648" s="6" t="str">
        <f>_xlfn.CONCAT(Table1[[#This Row],[Billing Street]], ", ", Table1[[#This Row],[Billing City]], ", ", Table1[[#This Row],[Billing State/Province]], ", ", Table1[[#This Row],[Billing Zip/Postal Code]])</f>
        <v>164 W Magnolia blvd, Burbank, CA, 91503</v>
      </c>
    </row>
    <row r="1649" spans="1:13" ht="15.6" hidden="1" x14ac:dyDescent="0.3">
      <c r="A1649" s="1" t="s">
        <v>5201</v>
      </c>
      <c r="B1649" s="1"/>
      <c r="C1649" s="1"/>
      <c r="D1649" s="1"/>
      <c r="E1649" s="1"/>
      <c r="F1649" s="1"/>
      <c r="G1649" s="1" t="s">
        <v>98</v>
      </c>
      <c r="H1649" s="2">
        <v>216</v>
      </c>
      <c r="I1649" s="1" t="s">
        <v>5202</v>
      </c>
      <c r="J1649" s="1" t="s">
        <v>5203</v>
      </c>
      <c r="K1649" s="1" t="s">
        <v>101</v>
      </c>
      <c r="L1649" s="1" t="s">
        <v>13</v>
      </c>
      <c r="M1649" s="6" t="str">
        <f>_xlfn.CONCAT(Table1[[#This Row],[Billing Street]], ", ", Table1[[#This Row],[Billing City]], ", ", Table1[[#This Row],[Billing State/Province]], ", ", Table1[[#This Row],[Billing Zip/Postal Code]])</f>
        <v xml:space="preserve">100 WEST SCREVEN, QUITMAN, GA, </v>
      </c>
    </row>
    <row r="1650" spans="1:13" ht="15.6" hidden="1" x14ac:dyDescent="0.3">
      <c r="A1650" s="1" t="s">
        <v>5204</v>
      </c>
      <c r="B1650" s="1"/>
      <c r="C1650" s="1"/>
      <c r="D1650" s="1"/>
      <c r="E1650" s="1"/>
      <c r="F1650" s="1"/>
      <c r="G1650" s="1" t="s">
        <v>98</v>
      </c>
      <c r="H1650" s="2">
        <v>29</v>
      </c>
      <c r="I1650" s="1" t="s">
        <v>5205</v>
      </c>
      <c r="J1650" s="1" t="s">
        <v>5206</v>
      </c>
      <c r="K1650" s="1" t="s">
        <v>101</v>
      </c>
      <c r="L1650" s="1" t="s">
        <v>5207</v>
      </c>
      <c r="M1650" s="6" t="str">
        <f>_xlfn.CONCAT(Table1[[#This Row],[Billing Street]], ", ", Table1[[#This Row],[Billing City]], ", ", Table1[[#This Row],[Billing State/Province]], ", ", Table1[[#This Row],[Billing Zip/Postal Code]])</f>
        <v>4404 Acworth Industrial Drive, Acworth, GA, 30101</v>
      </c>
    </row>
    <row r="1651" spans="1:13" ht="15.6" hidden="1" x14ac:dyDescent="0.3">
      <c r="A1651" s="1" t="s">
        <v>5208</v>
      </c>
      <c r="B1651" s="1"/>
      <c r="C1651" s="1"/>
      <c r="D1651" s="1"/>
      <c r="E1651" s="1"/>
      <c r="F1651" s="1"/>
      <c r="G1651" s="1" t="s">
        <v>43</v>
      </c>
      <c r="H1651" s="2">
        <v>5776</v>
      </c>
      <c r="I1651" s="1" t="s">
        <v>5209</v>
      </c>
      <c r="J1651" s="1" t="s">
        <v>5210</v>
      </c>
      <c r="K1651" s="1" t="s">
        <v>781</v>
      </c>
      <c r="L1651" s="1" t="s">
        <v>5211</v>
      </c>
      <c r="M1651" s="6" t="str">
        <f>_xlfn.CONCAT(Table1[[#This Row],[Billing Street]], ", ", Table1[[#This Row],[Billing City]], ", ", Table1[[#This Row],[Billing State/Province]], ", ", Table1[[#This Row],[Billing Zip/Postal Code]])</f>
        <v>900 Conshohocken Rd, Conshohocken, pa, 19428</v>
      </c>
    </row>
    <row r="1652" spans="1:13" ht="15.6" hidden="1" x14ac:dyDescent="0.3">
      <c r="A1652" s="1" t="s">
        <v>5212</v>
      </c>
      <c r="B1652" s="1"/>
      <c r="C1652" s="1"/>
      <c r="D1652" s="1"/>
      <c r="E1652" s="1"/>
      <c r="F1652" s="1"/>
      <c r="G1652" s="1" t="s">
        <v>98</v>
      </c>
      <c r="H1652" s="2">
        <v>29</v>
      </c>
      <c r="I1652" s="1" t="s">
        <v>5213</v>
      </c>
      <c r="J1652" s="1" t="s">
        <v>1642</v>
      </c>
      <c r="K1652" s="1" t="s">
        <v>101</v>
      </c>
      <c r="L1652" s="1" t="s">
        <v>2940</v>
      </c>
      <c r="M1652" s="6" t="str">
        <f>_xlfn.CONCAT(Table1[[#This Row],[Billing Street]], ", ", Table1[[#This Row],[Billing City]], ", ", Table1[[#This Row],[Billing State/Province]], ", ", Table1[[#This Row],[Billing Zip/Postal Code]])</f>
        <v>215 broad street, Monroe, GA, 30655</v>
      </c>
    </row>
    <row r="1653" spans="1:13" ht="15.6" hidden="1" x14ac:dyDescent="0.3">
      <c r="A1653" s="1" t="s">
        <v>5214</v>
      </c>
      <c r="B1653" s="1"/>
      <c r="C1653" s="1"/>
      <c r="D1653" s="1"/>
      <c r="E1653" s="1"/>
      <c r="F1653" s="1"/>
      <c r="G1653" s="1" t="s">
        <v>8</v>
      </c>
      <c r="H1653" s="2">
        <v>247</v>
      </c>
      <c r="I1653" s="1" t="s">
        <v>5215</v>
      </c>
      <c r="J1653" s="1" t="s">
        <v>1305</v>
      </c>
      <c r="K1653" s="1" t="s">
        <v>165</v>
      </c>
      <c r="L1653" s="1" t="s">
        <v>5216</v>
      </c>
      <c r="M1653" s="6" t="str">
        <f>_xlfn.CONCAT(Table1[[#This Row],[Billing Street]], ", ", Table1[[#This Row],[Billing City]], ", ", Table1[[#This Row],[Billing State/Province]], ", ", Table1[[#This Row],[Billing Zip/Postal Code]])</f>
        <v>6100 Arch Street, Little Rock, AR, 72209</v>
      </c>
    </row>
    <row r="1654" spans="1:13" ht="15.6" hidden="1" x14ac:dyDescent="0.3">
      <c r="A1654" s="1" t="s">
        <v>5217</v>
      </c>
      <c r="B1654" s="1"/>
      <c r="C1654" s="1"/>
      <c r="D1654" s="1"/>
      <c r="E1654" s="1"/>
      <c r="F1654" s="1"/>
      <c r="G1654" s="1" t="s">
        <v>43</v>
      </c>
      <c r="H1654" s="2">
        <v>11141</v>
      </c>
      <c r="I1654" s="1" t="s">
        <v>5218</v>
      </c>
      <c r="J1654" s="1" t="s">
        <v>5219</v>
      </c>
      <c r="K1654" s="1" t="s">
        <v>4749</v>
      </c>
      <c r="L1654" s="1" t="s">
        <v>5220</v>
      </c>
      <c r="M1654" s="6" t="str">
        <f>_xlfn.CONCAT(Table1[[#This Row],[Billing Street]], ", ", Table1[[#This Row],[Billing City]], ", ", Table1[[#This Row],[Billing State/Province]], ", ", Table1[[#This Row],[Billing Zip/Postal Code]])</f>
        <v>180 Marsh Hill Road, Orange, Ct, 6477</v>
      </c>
    </row>
    <row r="1655" spans="1:13" ht="15.6" hidden="1" x14ac:dyDescent="0.3">
      <c r="A1655" s="1" t="s">
        <v>5221</v>
      </c>
      <c r="B1655" s="1"/>
      <c r="C1655" s="1"/>
      <c r="D1655" s="1"/>
      <c r="E1655" s="1"/>
      <c r="F1655" s="1"/>
      <c r="G1655" s="1" t="s">
        <v>54</v>
      </c>
      <c r="H1655" s="2">
        <v>9</v>
      </c>
      <c r="I1655" s="1" t="s">
        <v>5222</v>
      </c>
      <c r="J1655" s="1" t="s">
        <v>5223</v>
      </c>
      <c r="K1655" s="1" t="s">
        <v>57</v>
      </c>
      <c r="L1655" s="1" t="s">
        <v>5224</v>
      </c>
      <c r="M1655" s="6" t="str">
        <f>_xlfn.CONCAT(Table1[[#This Row],[Billing Street]], ", ", Table1[[#This Row],[Billing City]], ", ", Table1[[#This Row],[Billing State/Province]], ", ", Table1[[#This Row],[Billing Zip/Postal Code]])</f>
        <v>2244 Walnut Grove, GO-1, Quad 2C, Rosemead, CA, 91770</v>
      </c>
    </row>
    <row r="1656" spans="1:13" ht="15.6" hidden="1" x14ac:dyDescent="0.3">
      <c r="A1656" s="1" t="s">
        <v>5225</v>
      </c>
      <c r="B1656" s="1"/>
      <c r="C1656" s="1"/>
      <c r="D1656" s="1"/>
      <c r="E1656" s="1"/>
      <c r="F1656" s="1"/>
      <c r="G1656" s="1" t="s">
        <v>98</v>
      </c>
      <c r="H1656" s="2">
        <v>157</v>
      </c>
      <c r="I1656" s="1" t="s">
        <v>5226</v>
      </c>
      <c r="J1656" s="1" t="s">
        <v>100</v>
      </c>
      <c r="K1656" s="1" t="s">
        <v>101</v>
      </c>
      <c r="L1656" s="1" t="s">
        <v>102</v>
      </c>
      <c r="M1656" s="6" t="str">
        <f>_xlfn.CONCAT(Table1[[#This Row],[Billing Street]], ", ", Table1[[#This Row],[Billing City]], ", ", Table1[[#This Row],[Billing State/Province]], ", ", Table1[[#This Row],[Billing Zip/Postal Code]])</f>
        <v>222 Pine Avenue, Albany, GA, 31701</v>
      </c>
    </row>
    <row r="1657" spans="1:13" ht="15.6" hidden="1" x14ac:dyDescent="0.3">
      <c r="A1657" s="1" t="s">
        <v>5227</v>
      </c>
      <c r="B1657" s="1"/>
      <c r="C1657" s="1"/>
      <c r="D1657" s="1"/>
      <c r="E1657" s="1"/>
      <c r="F1657" s="1"/>
      <c r="G1657" s="1" t="s">
        <v>98</v>
      </c>
      <c r="H1657" s="2">
        <v>5887</v>
      </c>
      <c r="I1657" s="1" t="s">
        <v>5228</v>
      </c>
      <c r="J1657" s="1" t="s">
        <v>5229</v>
      </c>
      <c r="K1657" s="1" t="s">
        <v>101</v>
      </c>
      <c r="L1657" s="1" t="s">
        <v>13</v>
      </c>
      <c r="M1657" s="6" t="str">
        <f>_xlfn.CONCAT(Table1[[#This Row],[Billing Street]], ", ", Table1[[#This Row],[Billing City]], ", ", Table1[[#This Row],[Billing State/Province]], ", ", Table1[[#This Row],[Billing Zip/Postal Code]])</f>
        <v xml:space="preserve">123 Lagrange Street, Grantsville, GA, </v>
      </c>
    </row>
    <row r="1658" spans="1:13" ht="15.6" hidden="1" x14ac:dyDescent="0.3">
      <c r="A1658" s="1" t="s">
        <v>5230</v>
      </c>
      <c r="B1658" s="1"/>
      <c r="C1658" s="1"/>
      <c r="D1658" s="1"/>
      <c r="E1658" s="1"/>
      <c r="F1658" s="1"/>
      <c r="G1658" s="1" t="s">
        <v>43</v>
      </c>
      <c r="H1658" s="2">
        <v>5776</v>
      </c>
      <c r="I1658" s="1" t="s">
        <v>5231</v>
      </c>
      <c r="J1658" s="1" t="s">
        <v>5232</v>
      </c>
      <c r="K1658" s="1" t="s">
        <v>4987</v>
      </c>
      <c r="L1658" s="1" t="s">
        <v>5233</v>
      </c>
      <c r="M1658" s="6" t="str">
        <f>_xlfn.CONCAT(Table1[[#This Row],[Billing Street]], ", ", Table1[[#This Row],[Billing City]], ", ", Table1[[#This Row],[Billing State/Province]], ", ", Table1[[#This Row],[Billing Zip/Postal Code]])</f>
        <v>110 Granby St, Bloomfield, CT, 6002</v>
      </c>
    </row>
    <row r="1659" spans="1:13" ht="15.6" hidden="1" x14ac:dyDescent="0.3">
      <c r="A1659" s="1" t="s">
        <v>5234</v>
      </c>
      <c r="B1659" s="1"/>
      <c r="C1659" s="1"/>
      <c r="D1659" s="1"/>
      <c r="E1659" s="1"/>
      <c r="F1659" s="1"/>
      <c r="G1659" s="1" t="s">
        <v>98</v>
      </c>
      <c r="H1659" s="2">
        <v>191</v>
      </c>
      <c r="I1659" s="1" t="s">
        <v>5235</v>
      </c>
      <c r="J1659" s="1" t="s">
        <v>5236</v>
      </c>
      <c r="K1659" s="1" t="s">
        <v>101</v>
      </c>
      <c r="L1659" s="1" t="s">
        <v>5237</v>
      </c>
      <c r="M1659" s="6" t="str">
        <f>_xlfn.CONCAT(Table1[[#This Row],[Billing Street]], ", ", Table1[[#This Row],[Billing City]], ", ", Table1[[#This Row],[Billing State/Province]], ", ", Table1[[#This Row],[Billing Zip/Postal Code]])</f>
        <v>15 ROWLAND DRIVE, COLQUITT, GA, 31776</v>
      </c>
    </row>
    <row r="1660" spans="1:13" ht="15.6" hidden="1" x14ac:dyDescent="0.3">
      <c r="A1660" s="1" t="s">
        <v>5238</v>
      </c>
      <c r="B1660" s="1"/>
      <c r="C1660" s="1"/>
      <c r="D1660" s="1"/>
      <c r="E1660" s="1"/>
      <c r="F1660" s="1"/>
      <c r="G1660" s="1" t="s">
        <v>98</v>
      </c>
      <c r="H1660" s="2">
        <v>5887</v>
      </c>
      <c r="I1660" s="1" t="s">
        <v>5239</v>
      </c>
      <c r="J1660" s="1" t="s">
        <v>5240</v>
      </c>
      <c r="K1660" s="1" t="s">
        <v>101</v>
      </c>
      <c r="L1660" s="1" t="s">
        <v>13</v>
      </c>
      <c r="M1660" s="6" t="str">
        <f>_xlfn.CONCAT(Table1[[#This Row],[Billing Street]], ", ", Table1[[#This Row],[Billing City]], ", ", Table1[[#This Row],[Billing State/Province]], ", ", Table1[[#This Row],[Billing Zip/Postal Code]])</f>
        <v xml:space="preserve">590 Montpellier Ave., Forsyth, GA, </v>
      </c>
    </row>
    <row r="1661" spans="1:13" ht="15.6" hidden="1" x14ac:dyDescent="0.3">
      <c r="A1661" s="1" t="s">
        <v>5241</v>
      </c>
      <c r="B1661" s="1"/>
      <c r="C1661" s="1"/>
      <c r="D1661" s="1"/>
      <c r="E1661" s="1"/>
      <c r="F1661" s="1"/>
      <c r="G1661" s="1" t="s">
        <v>98</v>
      </c>
      <c r="H1661" s="2">
        <v>5887</v>
      </c>
      <c r="I1661" s="1" t="s">
        <v>5242</v>
      </c>
      <c r="J1661" s="1" t="s">
        <v>5243</v>
      </c>
      <c r="K1661" s="1" t="s">
        <v>101</v>
      </c>
      <c r="L1661" s="1" t="s">
        <v>13</v>
      </c>
      <c r="M1661" s="6" t="str">
        <f>_xlfn.CONCAT(Table1[[#This Row],[Billing Street]], ", ", Table1[[#This Row],[Billing City]], ", ", Table1[[#This Row],[Billing State/Province]], ", ", Table1[[#This Row],[Billing Zip/Postal Code]])</f>
        <v xml:space="preserve">1010 N. Hill Street, Griffin, GA, </v>
      </c>
    </row>
    <row r="1662" spans="1:13" ht="15.6" x14ac:dyDescent="0.3">
      <c r="A1662" s="1" t="s">
        <v>5244</v>
      </c>
      <c r="B1662" s="1"/>
      <c r="C1662" s="1"/>
      <c r="D1662" s="1"/>
      <c r="E1662" s="1"/>
      <c r="F1662" s="1"/>
      <c r="G1662" s="1" t="s">
        <v>24</v>
      </c>
      <c r="H1662" s="2">
        <v>240</v>
      </c>
      <c r="I1662" s="1" t="s">
        <v>5245</v>
      </c>
      <c r="J1662" s="1" t="s">
        <v>5246</v>
      </c>
      <c r="K1662" s="1" t="s">
        <v>26</v>
      </c>
      <c r="L1662" s="1" t="s">
        <v>5247</v>
      </c>
      <c r="M1662" s="6" t="str">
        <f>_xlfn.CONCAT(Table1[[#This Row],[Billing Street]], ", ", Table1[[#This Row],[Billing City]], ", ", Table1[[#This Row],[Billing State/Province]], ", ", Table1[[#This Row],[Billing Zip/Postal Code]])</f>
        <v>10025 AL-168, Boaz, AL, 35957</v>
      </c>
    </row>
    <row r="1663" spans="1:13" ht="15.6" hidden="1" x14ac:dyDescent="0.3">
      <c r="A1663" s="1" t="s">
        <v>5248</v>
      </c>
      <c r="B1663" s="1"/>
      <c r="C1663" s="1"/>
      <c r="D1663" s="1"/>
      <c r="E1663" s="1"/>
      <c r="F1663" s="1"/>
      <c r="G1663" s="1" t="s">
        <v>98</v>
      </c>
      <c r="H1663" s="2">
        <v>5887</v>
      </c>
      <c r="I1663" s="1" t="s">
        <v>5249</v>
      </c>
      <c r="J1663" s="1" t="s">
        <v>2945</v>
      </c>
      <c r="K1663" s="1" t="s">
        <v>101</v>
      </c>
      <c r="L1663" s="1" t="s">
        <v>13</v>
      </c>
      <c r="M1663" s="6" t="str">
        <f>_xlfn.CONCAT(Table1[[#This Row],[Billing Street]], ", ", Table1[[#This Row],[Billing City]], ", ", Table1[[#This Row],[Billing State/Province]], ", ", Table1[[#This Row],[Billing Zip/Postal Code]])</f>
        <v xml:space="preserve">514 harbin blvd, Valdosta, GA, </v>
      </c>
    </row>
    <row r="1664" spans="1:13" ht="15.6" hidden="1" x14ac:dyDescent="0.3">
      <c r="A1664" s="1" t="s">
        <v>5250</v>
      </c>
      <c r="B1664" s="1"/>
      <c r="C1664" s="1"/>
      <c r="D1664" s="1"/>
      <c r="E1664" s="1"/>
      <c r="F1664" s="1"/>
      <c r="G1664" s="1" t="s">
        <v>13</v>
      </c>
      <c r="H1664" s="2">
        <v>0</v>
      </c>
      <c r="I1664" s="1" t="s">
        <v>5251</v>
      </c>
      <c r="J1664" s="1" t="s">
        <v>5252</v>
      </c>
      <c r="K1664" s="1" t="s">
        <v>13</v>
      </c>
      <c r="L1664" s="1" t="s">
        <v>5253</v>
      </c>
      <c r="M1664" s="6" t="str">
        <f>_xlfn.CONCAT(Table1[[#This Row],[Billing Street]], ", ", Table1[[#This Row],[Billing City]], ", ", Table1[[#This Row],[Billing State/Province]], ", ", Table1[[#This Row],[Billing Zip/Postal Code]])</f>
        <v>KM 82.7 Carr.57 Tramo Qro S.L.P., San Luis De La Paz, , 37900</v>
      </c>
    </row>
    <row r="1665" spans="1:13" ht="15.6" hidden="1" x14ac:dyDescent="0.3">
      <c r="A1665" s="1" t="s">
        <v>5254</v>
      </c>
      <c r="B1665" s="1"/>
      <c r="C1665" s="1"/>
      <c r="D1665" s="1"/>
      <c r="E1665" s="1"/>
      <c r="F1665" s="1"/>
      <c r="G1665" s="1" t="s">
        <v>205</v>
      </c>
      <c r="H1665" s="2">
        <v>1020</v>
      </c>
      <c r="I1665" s="1" t="s">
        <v>5255</v>
      </c>
      <c r="J1665" s="1" t="s">
        <v>5139</v>
      </c>
      <c r="K1665" s="1" t="s">
        <v>2309</v>
      </c>
      <c r="L1665" s="1" t="s">
        <v>5140</v>
      </c>
      <c r="M1665" s="6" t="str">
        <f>_xlfn.CONCAT(Table1[[#This Row],[Billing Street]], ", ", Table1[[#This Row],[Billing City]], ", ", Table1[[#This Row],[Billing State/Province]], ", ", Table1[[#This Row],[Billing Zip/Postal Code]])</f>
        <v>4140 W Grange Av, Post Falls, ID, 83854</v>
      </c>
    </row>
    <row r="1666" spans="1:13" ht="15.6" hidden="1" x14ac:dyDescent="0.3">
      <c r="A1666" s="1" t="s">
        <v>5256</v>
      </c>
      <c r="B1666" s="1"/>
      <c r="C1666" s="1"/>
      <c r="D1666" s="1"/>
      <c r="E1666" s="1"/>
      <c r="F1666" s="1"/>
      <c r="G1666" s="1" t="s">
        <v>43</v>
      </c>
      <c r="H1666" s="2">
        <v>290</v>
      </c>
      <c r="I1666" s="1" t="s">
        <v>5257</v>
      </c>
      <c r="J1666" s="1" t="s">
        <v>5258</v>
      </c>
      <c r="K1666" s="1" t="s">
        <v>1191</v>
      </c>
      <c r="L1666" s="1" t="s">
        <v>5259</v>
      </c>
      <c r="M1666" s="6" t="str">
        <f>_xlfn.CONCAT(Table1[[#This Row],[Billing Street]], ", ", Table1[[#This Row],[Billing City]], ", ", Table1[[#This Row],[Billing State/Province]], ", ", Table1[[#This Row],[Billing Zip/Postal Code]])</f>
        <v>517 N Main St., Nicholasville, KY, 40356</v>
      </c>
    </row>
    <row r="1667" spans="1:13" ht="15.6" hidden="1" x14ac:dyDescent="0.3">
      <c r="A1667" s="1" t="s">
        <v>5260</v>
      </c>
      <c r="B1667" s="1"/>
      <c r="C1667" s="1"/>
      <c r="D1667" s="1"/>
      <c r="E1667" s="1"/>
      <c r="F1667" s="1"/>
      <c r="G1667" s="1" t="s">
        <v>98</v>
      </c>
      <c r="H1667" s="2">
        <v>132</v>
      </c>
      <c r="I1667" s="1" t="s">
        <v>5261</v>
      </c>
      <c r="J1667" s="1" t="s">
        <v>5262</v>
      </c>
      <c r="K1667" s="1" t="s">
        <v>101</v>
      </c>
      <c r="L1667" s="1" t="s">
        <v>5263</v>
      </c>
      <c r="M1667" s="6" t="str">
        <f>_xlfn.CONCAT(Table1[[#This Row],[Billing Street]], ", ", Table1[[#This Row],[Billing City]], ", ", Table1[[#This Row],[Billing State/Province]], ", ", Table1[[#This Row],[Billing Zip/Postal Code]])</f>
        <v>1611 North Second Street, Cordele, GA, 31010</v>
      </c>
    </row>
    <row r="1668" spans="1:13" ht="15.6" hidden="1" x14ac:dyDescent="0.3">
      <c r="A1668" s="1" t="s">
        <v>5264</v>
      </c>
      <c r="B1668" s="1"/>
      <c r="C1668" s="1"/>
      <c r="D1668" s="1"/>
      <c r="E1668" s="1"/>
      <c r="F1668" s="1"/>
      <c r="G1668" s="1" t="s">
        <v>43</v>
      </c>
      <c r="H1668" s="2">
        <v>248</v>
      </c>
      <c r="I1668" s="1" t="s">
        <v>5265</v>
      </c>
      <c r="J1668" s="1" t="s">
        <v>5266</v>
      </c>
      <c r="K1668" s="1" t="s">
        <v>1191</v>
      </c>
      <c r="L1668" s="1" t="s">
        <v>5267</v>
      </c>
      <c r="M1668" s="6" t="str">
        <f>_xlfn.CONCAT(Table1[[#This Row],[Billing Street]], ", ", Table1[[#This Row],[Billing City]], ", ", Table1[[#This Row],[Billing State/Province]], ", ", Table1[[#This Row],[Billing Zip/Postal Code]])</f>
        <v>400 North Main St, Williamstown, KY, 41097</v>
      </c>
    </row>
    <row r="1669" spans="1:13" ht="15.6" hidden="1" x14ac:dyDescent="0.3">
      <c r="A1669" s="1" t="s">
        <v>5268</v>
      </c>
      <c r="B1669" s="1"/>
      <c r="C1669" s="1"/>
      <c r="D1669" s="1"/>
      <c r="E1669" s="1"/>
      <c r="F1669" s="1"/>
      <c r="G1669" s="1" t="s">
        <v>98</v>
      </c>
      <c r="H1669" s="2">
        <v>344</v>
      </c>
      <c r="I1669" s="1" t="s">
        <v>5269</v>
      </c>
      <c r="J1669" s="1" t="s">
        <v>5019</v>
      </c>
      <c r="K1669" s="1" t="s">
        <v>1135</v>
      </c>
      <c r="L1669" s="1" t="s">
        <v>5270</v>
      </c>
      <c r="M1669" s="6" t="str">
        <f>_xlfn.CONCAT(Table1[[#This Row],[Billing Street]], ", ", Table1[[#This Row],[Billing City]], ", ", Table1[[#This Row],[Billing State/Province]], ", ", Table1[[#This Row],[Billing Zip/Postal Code]])</f>
        <v>340 Butler, Memphis, TN, 38126</v>
      </c>
    </row>
    <row r="1670" spans="1:13" ht="15.6" hidden="1" x14ac:dyDescent="0.3">
      <c r="A1670" s="1" t="s">
        <v>5271</v>
      </c>
      <c r="B1670" s="1"/>
      <c r="C1670" s="1"/>
      <c r="D1670" s="1"/>
      <c r="E1670" s="1"/>
      <c r="F1670" s="1"/>
      <c r="G1670" s="1" t="s">
        <v>43</v>
      </c>
      <c r="H1670" s="2">
        <v>405</v>
      </c>
      <c r="I1670" s="1" t="s">
        <v>5272</v>
      </c>
      <c r="J1670" s="1" t="s">
        <v>5273</v>
      </c>
      <c r="K1670" s="1" t="s">
        <v>1191</v>
      </c>
      <c r="L1670" s="1" t="s">
        <v>5274</v>
      </c>
      <c r="M1670" s="6" t="str">
        <f>_xlfn.CONCAT(Table1[[#This Row],[Billing Street]], ", ", Table1[[#This Row],[Billing City]], ", ", Table1[[#This Row],[Billing State/Province]], ", ", Table1[[#This Row],[Billing Zip/Postal Code]])</f>
        <v>P. O. Box 24 201 3rd Street, Henderson, KY, 42419</v>
      </c>
    </row>
    <row r="1671" spans="1:13" ht="15.6" hidden="1" x14ac:dyDescent="0.3">
      <c r="A1671" s="1" t="s">
        <v>5275</v>
      </c>
      <c r="B1671" s="1"/>
      <c r="C1671" s="1"/>
      <c r="D1671" s="1"/>
      <c r="E1671" s="1"/>
      <c r="F1671" s="1"/>
      <c r="G1671" s="1" t="s">
        <v>54</v>
      </c>
      <c r="H1671" s="2">
        <v>337</v>
      </c>
      <c r="I1671" s="1" t="s">
        <v>5276</v>
      </c>
      <c r="J1671" s="1" t="s">
        <v>5277</v>
      </c>
      <c r="K1671" s="1" t="s">
        <v>57</v>
      </c>
      <c r="L1671" s="1" t="s">
        <v>5278</v>
      </c>
      <c r="M1671" s="6" t="str">
        <f>_xlfn.CONCAT(Table1[[#This Row],[Billing Street]], ", ", Table1[[#This Row],[Billing City]], ", ", Table1[[#This Row],[Billing State/Province]], ", ", Table1[[#This Row],[Billing Zip/Postal Code]])</f>
        <v>303 Hegenberger Rd # 211, Oakland, CA, 94621</v>
      </c>
    </row>
    <row r="1672" spans="1:13" ht="15.6" hidden="1" x14ac:dyDescent="0.3">
      <c r="A1672" s="1" t="s">
        <v>5279</v>
      </c>
      <c r="B1672" s="1"/>
      <c r="C1672" s="1"/>
      <c r="D1672" s="1"/>
      <c r="E1672" s="1"/>
      <c r="F1672" s="1"/>
      <c r="G1672" s="1" t="s">
        <v>54</v>
      </c>
      <c r="H1672" s="2">
        <v>143</v>
      </c>
      <c r="I1672" s="1" t="s">
        <v>5280</v>
      </c>
      <c r="J1672" s="1" t="s">
        <v>1127</v>
      </c>
      <c r="K1672" s="1" t="s">
        <v>57</v>
      </c>
      <c r="L1672" s="1" t="s">
        <v>1128</v>
      </c>
      <c r="M1672" s="6" t="str">
        <f>_xlfn.CONCAT(Table1[[#This Row],[Billing Street]], ", ", Table1[[#This Row],[Billing City]], ", ", Table1[[#This Row],[Billing State/Province]], ", ", Table1[[#This Row],[Billing Zip/Postal Code]])</f>
        <v>1700 Sinton Road, Santa Maria, CA, 93458</v>
      </c>
    </row>
    <row r="1673" spans="1:13" ht="15.6" x14ac:dyDescent="0.3">
      <c r="A1673" s="1" t="s">
        <v>5281</v>
      </c>
      <c r="B1673" s="1"/>
      <c r="C1673" s="1"/>
      <c r="D1673" s="1"/>
      <c r="E1673" s="1"/>
      <c r="F1673" s="1"/>
      <c r="G1673" s="1" t="s">
        <v>24</v>
      </c>
      <c r="H1673" s="2">
        <v>5988</v>
      </c>
      <c r="I1673" s="1" t="s">
        <v>5282</v>
      </c>
      <c r="J1673" s="1" t="s">
        <v>5283</v>
      </c>
      <c r="K1673" s="1" t="s">
        <v>26</v>
      </c>
      <c r="L1673" s="1" t="s">
        <v>5284</v>
      </c>
      <c r="M1673" s="6" t="str">
        <f>_xlfn.CONCAT(Table1[[#This Row],[Billing Street]], ", ", Table1[[#This Row],[Billing City]], ", ", Table1[[#This Row],[Billing State/Province]], ", ", Table1[[#This Row],[Billing Zip/Postal Code]])</f>
        <v>202 E. Sixth St, Tuscumbia, AL, 35674</v>
      </c>
    </row>
    <row r="1674" spans="1:13" ht="15.6" hidden="1" x14ac:dyDescent="0.3">
      <c r="A1674" s="1" t="s">
        <v>5285</v>
      </c>
      <c r="B1674" s="1"/>
      <c r="C1674" s="1"/>
      <c r="D1674" s="1"/>
      <c r="E1674" s="1"/>
      <c r="F1674" s="1"/>
      <c r="G1674" s="1" t="s">
        <v>8</v>
      </c>
      <c r="H1674" s="2">
        <v>527</v>
      </c>
      <c r="I1674" s="1" t="s">
        <v>5286</v>
      </c>
      <c r="J1674" s="1" t="s">
        <v>5287</v>
      </c>
      <c r="K1674" s="1" t="s">
        <v>208</v>
      </c>
      <c r="L1674" s="1" t="s">
        <v>5288</v>
      </c>
      <c r="M1674" s="6" t="str">
        <f>_xlfn.CONCAT(Table1[[#This Row],[Billing Street]], ", ", Table1[[#This Row],[Billing City]], ", ", Table1[[#This Row],[Billing State/Province]], ", ", Table1[[#This Row],[Billing Zip/Postal Code]])</f>
        <v>1100 Topeka Way, Castle Rock, CO, 80109</v>
      </c>
    </row>
    <row r="1675" spans="1:13" ht="15.6" hidden="1" x14ac:dyDescent="0.3">
      <c r="A1675" s="1" t="s">
        <v>5289</v>
      </c>
      <c r="B1675" s="1"/>
      <c r="C1675" s="1"/>
      <c r="D1675" s="1"/>
      <c r="E1675" s="1"/>
      <c r="F1675" s="1"/>
      <c r="G1675" s="1" t="s">
        <v>43</v>
      </c>
      <c r="H1675" s="2">
        <v>459</v>
      </c>
      <c r="I1675" s="1" t="s">
        <v>5290</v>
      </c>
      <c r="J1675" s="1" t="s">
        <v>5291</v>
      </c>
      <c r="K1675" s="1" t="s">
        <v>1191</v>
      </c>
      <c r="L1675" s="1" t="s">
        <v>5292</v>
      </c>
      <c r="M1675" s="6" t="str">
        <f>_xlfn.CONCAT(Table1[[#This Row],[Billing Street]], ", ", Table1[[#This Row],[Billing City]], ", ", Table1[[#This Row],[Billing State/Province]], ", ", Table1[[#This Row],[Billing Zip/Postal Code]])</f>
        <v>2441 E. Main St., Cadiz, KY, 42211</v>
      </c>
    </row>
    <row r="1676" spans="1:13" ht="15.6" hidden="1" x14ac:dyDescent="0.3">
      <c r="A1676" s="1" t="s">
        <v>5293</v>
      </c>
      <c r="B1676" s="1"/>
      <c r="C1676" s="1"/>
      <c r="D1676" s="1"/>
      <c r="E1676" s="1"/>
      <c r="F1676" s="1"/>
      <c r="G1676" s="1" t="s">
        <v>43</v>
      </c>
      <c r="H1676" s="2">
        <v>323</v>
      </c>
      <c r="I1676" s="1" t="s">
        <v>5294</v>
      </c>
      <c r="J1676" s="1" t="s">
        <v>5295</v>
      </c>
      <c r="K1676" s="1" t="s">
        <v>1191</v>
      </c>
      <c r="L1676" s="1" t="s">
        <v>3175</v>
      </c>
      <c r="M1676" s="6" t="str">
        <f>_xlfn.CONCAT(Table1[[#This Row],[Billing Street]], ", ", Table1[[#This Row],[Billing City]], ", ", Table1[[#This Row],[Billing State/Province]], ", ", Table1[[#This Row],[Billing Zip/Postal Code]])</f>
        <v>220 N. Fifth St., Bardstown, KY, 40004</v>
      </c>
    </row>
    <row r="1677" spans="1:13" ht="15.6" hidden="1" x14ac:dyDescent="0.3">
      <c r="A1677" s="1" t="s">
        <v>5296</v>
      </c>
      <c r="B1677" s="1"/>
      <c r="C1677" s="1"/>
      <c r="D1677" s="1"/>
      <c r="E1677" s="1"/>
      <c r="F1677" s="1"/>
      <c r="G1677" s="1" t="s">
        <v>43</v>
      </c>
      <c r="H1677" s="2">
        <v>5776</v>
      </c>
      <c r="I1677" s="1" t="s">
        <v>13</v>
      </c>
      <c r="J1677" s="1" t="s">
        <v>13</v>
      </c>
      <c r="K1677" s="1" t="s">
        <v>1191</v>
      </c>
      <c r="L1677" s="1" t="s">
        <v>13</v>
      </c>
      <c r="M1677" s="6" t="str">
        <f>_xlfn.CONCAT(Table1[[#This Row],[Billing Street]], ", ", Table1[[#This Row],[Billing City]], ", ", Table1[[#This Row],[Billing State/Province]], ", ", Table1[[#This Row],[Billing Zip/Postal Code]])</f>
        <v xml:space="preserve">, , KY, </v>
      </c>
    </row>
    <row r="1678" spans="1:13" ht="15.6" hidden="1" x14ac:dyDescent="0.3">
      <c r="A1678" s="1" t="s">
        <v>5297</v>
      </c>
      <c r="B1678" s="1"/>
      <c r="C1678" s="1"/>
      <c r="D1678" s="1"/>
      <c r="E1678" s="1"/>
      <c r="F1678" s="1"/>
      <c r="G1678" s="1" t="s">
        <v>8</v>
      </c>
      <c r="H1678" s="2">
        <v>715</v>
      </c>
      <c r="I1678" s="1" t="s">
        <v>5298</v>
      </c>
      <c r="J1678" s="1" t="s">
        <v>5299</v>
      </c>
      <c r="K1678" s="1" t="s">
        <v>128</v>
      </c>
      <c r="L1678" s="1" t="s">
        <v>5300</v>
      </c>
      <c r="M1678" s="6" t="str">
        <f>_xlfn.CONCAT(Table1[[#This Row],[Billing Street]], ", ", Table1[[#This Row],[Billing City]], ", ", Table1[[#This Row],[Billing State/Province]], ", ", Table1[[#This Row],[Billing Zip/Postal Code]])</f>
        <v>109 2nd Ave E, Halstad, MN, 56548</v>
      </c>
    </row>
    <row r="1679" spans="1:13" ht="15.6" hidden="1" x14ac:dyDescent="0.3">
      <c r="A1679" s="1" t="s">
        <v>5301</v>
      </c>
      <c r="B1679" s="1"/>
      <c r="C1679" s="1"/>
      <c r="D1679" s="1"/>
      <c r="E1679" s="1"/>
      <c r="F1679" s="1"/>
      <c r="G1679" s="1" t="s">
        <v>54</v>
      </c>
      <c r="H1679" s="2">
        <v>315</v>
      </c>
      <c r="I1679" s="1" t="s">
        <v>5302</v>
      </c>
      <c r="J1679" s="1" t="s">
        <v>5303</v>
      </c>
      <c r="K1679" s="1" t="s">
        <v>57</v>
      </c>
      <c r="L1679" s="1" t="s">
        <v>5304</v>
      </c>
      <c r="M1679" s="6" t="str">
        <f>_xlfn.CONCAT(Table1[[#This Row],[Billing Street]], ", ", Table1[[#This Row],[Billing City]], ", ", Table1[[#This Row],[Billing State/Province]], ", ", Table1[[#This Row],[Billing Zip/Postal Code]])</f>
        <v>3797 Spinnaker Court, Fremont, CA, 94538</v>
      </c>
    </row>
    <row r="1680" spans="1:13" ht="15.6" hidden="1" x14ac:dyDescent="0.3">
      <c r="A1680" s="1" t="s">
        <v>5305</v>
      </c>
      <c r="B1680" s="1"/>
      <c r="C1680" s="1"/>
      <c r="D1680" s="1"/>
      <c r="E1680" s="1"/>
      <c r="F1680" s="1"/>
      <c r="G1680" s="1" t="s">
        <v>8</v>
      </c>
      <c r="H1680" s="2">
        <v>186</v>
      </c>
      <c r="I1680" s="1" t="s">
        <v>5306</v>
      </c>
      <c r="J1680" s="1" t="s">
        <v>3950</v>
      </c>
      <c r="K1680" s="1" t="s">
        <v>554</v>
      </c>
      <c r="L1680" s="1" t="s">
        <v>3952</v>
      </c>
      <c r="M1680" s="6" t="str">
        <f>_xlfn.CONCAT(Table1[[#This Row],[Billing Street]], ", ", Table1[[#This Row],[Billing City]], ", ", Table1[[#This Row],[Billing State/Province]], ", ", Table1[[#This Row],[Billing Zip/Postal Code]])</f>
        <v>112 S Main, Holyrood, KS, 67450</v>
      </c>
    </row>
    <row r="1681" spans="1:13" ht="15.6" hidden="1" x14ac:dyDescent="0.3">
      <c r="A1681" s="1" t="s">
        <v>5307</v>
      </c>
      <c r="B1681" s="1"/>
      <c r="C1681" s="1"/>
      <c r="D1681" s="1"/>
      <c r="E1681" s="1"/>
      <c r="F1681" s="1"/>
      <c r="G1681" s="1" t="s">
        <v>8</v>
      </c>
      <c r="H1681" s="2">
        <v>317</v>
      </c>
      <c r="I1681" s="1" t="s">
        <v>5308</v>
      </c>
      <c r="J1681" s="1" t="s">
        <v>4447</v>
      </c>
      <c r="K1681" s="1" t="s">
        <v>51</v>
      </c>
      <c r="L1681" s="1" t="s">
        <v>5309</v>
      </c>
      <c r="M1681" s="6" t="str">
        <f>_xlfn.CONCAT(Table1[[#This Row],[Billing Street]], ", ", Table1[[#This Row],[Billing City]], ", ", Table1[[#This Row],[Billing State/Province]], ", ", Table1[[#This Row],[Billing Zip/Postal Code]])</f>
        <v>3024 Wichita CT, Fort Worth, TX, 76140</v>
      </c>
    </row>
    <row r="1682" spans="1:13" ht="15.6" hidden="1" x14ac:dyDescent="0.3">
      <c r="A1682" s="1" t="s">
        <v>5310</v>
      </c>
      <c r="B1682" s="1"/>
      <c r="C1682" s="1"/>
      <c r="D1682" s="1"/>
      <c r="E1682" s="1"/>
      <c r="F1682" s="1"/>
      <c r="G1682" s="1" t="s">
        <v>8</v>
      </c>
      <c r="H1682" s="2">
        <v>384</v>
      </c>
      <c r="I1682" s="1" t="s">
        <v>5311</v>
      </c>
      <c r="J1682" s="1" t="s">
        <v>5312</v>
      </c>
      <c r="K1682" s="1" t="s">
        <v>554</v>
      </c>
      <c r="L1682" s="1" t="s">
        <v>5313</v>
      </c>
      <c r="M1682" s="6" t="str">
        <f>_xlfn.CONCAT(Table1[[#This Row],[Billing Street]], ", ", Table1[[#This Row],[Billing City]], ", ", Table1[[#This Row],[Billing State/Province]], ", ", Table1[[#This Row],[Billing Zip/Postal Code]])</f>
        <v>209 East Washington Street, Saint Francis, KS, 67756</v>
      </c>
    </row>
    <row r="1683" spans="1:13" ht="15.6" hidden="1" x14ac:dyDescent="0.3">
      <c r="A1683" s="1" t="s">
        <v>5314</v>
      </c>
      <c r="B1683" s="1"/>
      <c r="C1683" s="1"/>
      <c r="D1683" s="1"/>
      <c r="E1683" s="1"/>
      <c r="F1683" s="1"/>
      <c r="G1683" s="1" t="s">
        <v>43</v>
      </c>
      <c r="H1683" s="2">
        <v>5776</v>
      </c>
      <c r="I1683" s="1" t="s">
        <v>5315</v>
      </c>
      <c r="J1683" s="1" t="s">
        <v>4704</v>
      </c>
      <c r="K1683" s="1" t="s">
        <v>671</v>
      </c>
      <c r="L1683" s="1" t="s">
        <v>13</v>
      </c>
      <c r="M1683" s="6" t="str">
        <f>_xlfn.CONCAT(Table1[[#This Row],[Billing Street]], ", ", Table1[[#This Row],[Billing City]], ", ", Table1[[#This Row],[Billing State/Province]], ", ", Table1[[#This Row],[Billing Zip/Postal Code]])</f>
        <v xml:space="preserve">5055 Havens Rd, Akron, NY, </v>
      </c>
    </row>
    <row r="1684" spans="1:13" ht="15.6" hidden="1" x14ac:dyDescent="0.3">
      <c r="A1684" s="1" t="s">
        <v>5316</v>
      </c>
      <c r="B1684" s="1"/>
      <c r="C1684" s="1"/>
      <c r="D1684" s="1"/>
      <c r="E1684" s="1"/>
      <c r="F1684" s="1"/>
      <c r="G1684" s="1" t="s">
        <v>8</v>
      </c>
      <c r="H1684" s="2">
        <v>266</v>
      </c>
      <c r="I1684" s="1" t="s">
        <v>5317</v>
      </c>
      <c r="J1684" s="1" t="s">
        <v>5318</v>
      </c>
      <c r="K1684" s="1" t="s">
        <v>165</v>
      </c>
      <c r="L1684" s="1" t="s">
        <v>5319</v>
      </c>
      <c r="M1684" s="6" t="str">
        <f>_xlfn.CONCAT(Table1[[#This Row],[Billing Street]], ", ", Table1[[#This Row],[Billing City]], ", ", Table1[[#This Row],[Billing State/Province]], ", ", Table1[[#This Row],[Billing Zip/Postal Code]])</f>
        <v>210 Main St., Augusta, AR, 72006</v>
      </c>
    </row>
    <row r="1685" spans="1:13" ht="15.6" hidden="1" x14ac:dyDescent="0.3">
      <c r="A1685" s="1" t="s">
        <v>5320</v>
      </c>
      <c r="B1685" s="1"/>
      <c r="C1685" s="1"/>
      <c r="D1685" s="1"/>
      <c r="E1685" s="1"/>
      <c r="F1685" s="1"/>
      <c r="G1685" s="1" t="s">
        <v>43</v>
      </c>
      <c r="H1685" s="2">
        <v>13</v>
      </c>
      <c r="I1685" s="1" t="s">
        <v>5321</v>
      </c>
      <c r="J1685" s="1" t="s">
        <v>5322</v>
      </c>
      <c r="K1685" s="1" t="s">
        <v>45</v>
      </c>
      <c r="L1685" s="1" t="s">
        <v>5323</v>
      </c>
      <c r="M1685" s="6" t="str">
        <f>_xlfn.CONCAT(Table1[[#This Row],[Billing Street]], ", ", Table1[[#This Row],[Billing City]], ", ", Table1[[#This Row],[Billing State/Province]], ", ", Table1[[#This Row],[Billing Zip/Postal Code]])</f>
        <v>1621 St. Clair Avenue, Kent, OH, 44240</v>
      </c>
    </row>
    <row r="1686" spans="1:13" ht="15.6" hidden="1" x14ac:dyDescent="0.3">
      <c r="A1686" s="1" t="s">
        <v>5324</v>
      </c>
      <c r="B1686" s="1"/>
      <c r="C1686" s="1"/>
      <c r="D1686" s="1"/>
      <c r="E1686" s="1"/>
      <c r="F1686" s="1"/>
      <c r="G1686" s="1" t="s">
        <v>43</v>
      </c>
      <c r="H1686" s="2">
        <v>53</v>
      </c>
      <c r="I1686" s="1" t="s">
        <v>5325</v>
      </c>
      <c r="J1686" s="1" t="s">
        <v>5326</v>
      </c>
      <c r="K1686" s="1" t="s">
        <v>241</v>
      </c>
      <c r="L1686" s="1" t="s">
        <v>5327</v>
      </c>
      <c r="M1686" s="6" t="str">
        <f>_xlfn.CONCAT(Table1[[#This Row],[Billing Street]], ", ", Table1[[#This Row],[Billing City]], ", ", Table1[[#This Row],[Billing State/Province]], ", ", Table1[[#This Row],[Billing Zip/Postal Code]])</f>
        <v>3658 New Castle Road, Middlesex, PA, 16159</v>
      </c>
    </row>
    <row r="1687" spans="1:13" ht="15.6" hidden="1" x14ac:dyDescent="0.3">
      <c r="A1687" s="1" t="s">
        <v>5328</v>
      </c>
      <c r="B1687" s="1"/>
      <c r="C1687" s="1"/>
      <c r="D1687" s="1"/>
      <c r="E1687" s="1"/>
      <c r="F1687" s="1"/>
      <c r="G1687" s="1" t="s">
        <v>43</v>
      </c>
      <c r="H1687" s="2">
        <v>5776</v>
      </c>
      <c r="I1687" s="1" t="s">
        <v>13</v>
      </c>
      <c r="J1687" s="1" t="s">
        <v>13</v>
      </c>
      <c r="K1687" s="1" t="s">
        <v>1191</v>
      </c>
      <c r="L1687" s="1" t="s">
        <v>13</v>
      </c>
      <c r="M1687" s="6" t="str">
        <f>_xlfn.CONCAT(Table1[[#This Row],[Billing Street]], ", ", Table1[[#This Row],[Billing City]], ", ", Table1[[#This Row],[Billing State/Province]], ", ", Table1[[#This Row],[Billing Zip/Postal Code]])</f>
        <v xml:space="preserve">, , KY, </v>
      </c>
    </row>
    <row r="1688" spans="1:13" ht="15.6" hidden="1" x14ac:dyDescent="0.3">
      <c r="A1688" s="1" t="s">
        <v>5329</v>
      </c>
      <c r="B1688" s="1"/>
      <c r="C1688" s="1"/>
      <c r="D1688" s="1"/>
      <c r="E1688" s="1"/>
      <c r="F1688" s="1"/>
      <c r="G1688" s="1" t="s">
        <v>43</v>
      </c>
      <c r="H1688" s="2">
        <v>5776</v>
      </c>
      <c r="I1688" s="1" t="s">
        <v>13</v>
      </c>
      <c r="J1688" s="1" t="s">
        <v>13</v>
      </c>
      <c r="K1688" s="1" t="s">
        <v>1191</v>
      </c>
      <c r="L1688" s="1" t="s">
        <v>13</v>
      </c>
      <c r="M1688" s="6" t="str">
        <f>_xlfn.CONCAT(Table1[[#This Row],[Billing Street]], ", ", Table1[[#This Row],[Billing City]], ", ", Table1[[#This Row],[Billing State/Province]], ", ", Table1[[#This Row],[Billing Zip/Postal Code]])</f>
        <v xml:space="preserve">, , KY, </v>
      </c>
    </row>
    <row r="1689" spans="1:13" ht="15.6" hidden="1" x14ac:dyDescent="0.3">
      <c r="A1689" s="1" t="s">
        <v>5330</v>
      </c>
      <c r="B1689" s="1"/>
      <c r="C1689" s="1"/>
      <c r="D1689" s="1"/>
      <c r="E1689" s="1"/>
      <c r="F1689" s="1"/>
      <c r="G1689" s="1" t="s">
        <v>43</v>
      </c>
      <c r="H1689" s="2">
        <v>5776</v>
      </c>
      <c r="I1689" s="1" t="s">
        <v>13</v>
      </c>
      <c r="J1689" s="1" t="s">
        <v>13</v>
      </c>
      <c r="K1689" s="1" t="s">
        <v>1191</v>
      </c>
      <c r="L1689" s="1" t="s">
        <v>13</v>
      </c>
      <c r="M1689" s="6" t="str">
        <f>_xlfn.CONCAT(Table1[[#This Row],[Billing Street]], ", ", Table1[[#This Row],[Billing City]], ", ", Table1[[#This Row],[Billing State/Province]], ", ", Table1[[#This Row],[Billing Zip/Postal Code]])</f>
        <v xml:space="preserve">, , KY, </v>
      </c>
    </row>
    <row r="1690" spans="1:13" ht="15.6" hidden="1" x14ac:dyDescent="0.3">
      <c r="A1690" s="1" t="s">
        <v>5331</v>
      </c>
      <c r="B1690" s="1"/>
      <c r="C1690" s="1"/>
      <c r="D1690" s="1"/>
      <c r="E1690" s="1"/>
      <c r="F1690" s="1"/>
      <c r="G1690" s="1" t="s">
        <v>43</v>
      </c>
      <c r="H1690" s="2">
        <v>261</v>
      </c>
      <c r="I1690" s="1" t="s">
        <v>5332</v>
      </c>
      <c r="J1690" s="1" t="s">
        <v>1970</v>
      </c>
      <c r="K1690" s="1" t="s">
        <v>1191</v>
      </c>
      <c r="L1690" s="1" t="s">
        <v>1971</v>
      </c>
      <c r="M1690" s="6" t="str">
        <f>_xlfn.CONCAT(Table1[[#This Row],[Billing Street]], ", ", Table1[[#This Row],[Billing City]], ", ", Table1[[#This Row],[Billing State/Province]], ", ", Table1[[#This Row],[Billing Zip/Postal Code]])</f>
        <v>525 High Street Paris, Ky. 40361, Paris, KY, 40361</v>
      </c>
    </row>
    <row r="1691" spans="1:13" ht="15.6" hidden="1" x14ac:dyDescent="0.3">
      <c r="A1691" s="1" t="s">
        <v>5333</v>
      </c>
      <c r="B1691" s="1"/>
      <c r="C1691" s="1"/>
      <c r="D1691" s="1"/>
      <c r="E1691" s="1"/>
      <c r="F1691" s="1"/>
      <c r="G1691" s="1" t="s">
        <v>8</v>
      </c>
      <c r="H1691" s="2">
        <v>236</v>
      </c>
      <c r="I1691" s="1" t="s">
        <v>5334</v>
      </c>
      <c r="J1691" s="1" t="s">
        <v>5335</v>
      </c>
      <c r="K1691" s="1" t="s">
        <v>11</v>
      </c>
      <c r="L1691" s="1" t="s">
        <v>5336</v>
      </c>
      <c r="M1691" s="6" t="str">
        <f>_xlfn.CONCAT(Table1[[#This Row],[Billing Street]], ", ", Table1[[#This Row],[Billing City]], ", ", Table1[[#This Row],[Billing State/Province]], ", ", Table1[[#This Row],[Billing Zip/Postal Code]])</f>
        <v>1303 Westminster, Fulton, MO, 65251</v>
      </c>
    </row>
    <row r="1692" spans="1:13" ht="15.6" hidden="1" x14ac:dyDescent="0.3">
      <c r="A1692" s="1" t="s">
        <v>5337</v>
      </c>
      <c r="B1692" s="1"/>
      <c r="C1692" s="1"/>
      <c r="D1692" s="1"/>
      <c r="E1692" s="1"/>
      <c r="F1692" s="1"/>
      <c r="G1692" s="1" t="s">
        <v>43</v>
      </c>
      <c r="H1692" s="2">
        <v>306</v>
      </c>
      <c r="I1692" s="1" t="s">
        <v>5338</v>
      </c>
      <c r="J1692" s="1" t="s">
        <v>69</v>
      </c>
      <c r="K1692" s="1" t="s">
        <v>1191</v>
      </c>
      <c r="L1692" s="1" t="s">
        <v>5339</v>
      </c>
      <c r="M1692" s="6" t="str">
        <f>_xlfn.CONCAT(Table1[[#This Row],[Billing Street]], ", ", Table1[[#This Row],[Billing City]], ", ", Table1[[#This Row],[Billing State/Province]], ", ", Table1[[#This Row],[Billing Zip/Postal Code]])</f>
        <v>10170 Linn Station Rd, Louisville, KY, 40223</v>
      </c>
    </row>
    <row r="1693" spans="1:13" ht="15.6" hidden="1" x14ac:dyDescent="0.3">
      <c r="A1693" s="1" t="s">
        <v>5340</v>
      </c>
      <c r="B1693" s="1"/>
      <c r="C1693" s="1"/>
      <c r="D1693" s="1"/>
      <c r="E1693" s="1"/>
      <c r="F1693" s="1"/>
      <c r="G1693" s="1" t="s">
        <v>43</v>
      </c>
      <c r="H1693" s="2">
        <v>5776</v>
      </c>
      <c r="I1693" s="1" t="s">
        <v>5341</v>
      </c>
      <c r="J1693" s="1" t="s">
        <v>5342</v>
      </c>
      <c r="K1693" s="1" t="s">
        <v>1191</v>
      </c>
      <c r="L1693" s="1" t="s">
        <v>13</v>
      </c>
      <c r="M1693" s="6" t="str">
        <f>_xlfn.CONCAT(Table1[[#This Row],[Billing Street]], ", ", Table1[[#This Row],[Billing City]], ", ", Table1[[#This Row],[Billing State/Province]], ", ", Table1[[#This Row],[Billing Zip/Postal Code]])</f>
        <v xml:space="preserve">900 Peerson Dr, Elizabethtown, KY, </v>
      </c>
    </row>
    <row r="1694" spans="1:13" ht="15.6" hidden="1" x14ac:dyDescent="0.3">
      <c r="A1694" s="1" t="s">
        <v>5343</v>
      </c>
      <c r="B1694" s="1"/>
      <c r="C1694" s="1"/>
      <c r="D1694" s="1"/>
      <c r="E1694" s="1"/>
      <c r="F1694" s="1"/>
      <c r="G1694" s="1" t="s">
        <v>98</v>
      </c>
      <c r="H1694" s="2">
        <v>189</v>
      </c>
      <c r="I1694" s="1" t="s">
        <v>5344</v>
      </c>
      <c r="J1694" s="1" t="s">
        <v>5345</v>
      </c>
      <c r="K1694" s="1" t="s">
        <v>1135</v>
      </c>
      <c r="L1694" s="1" t="s">
        <v>5346</v>
      </c>
      <c r="M1694" s="6" t="str">
        <f>_xlfn.CONCAT(Table1[[#This Row],[Billing Street]], ", ", Table1[[#This Row],[Billing City]], ", ", Table1[[#This Row],[Billing State/Province]], ", ", Table1[[#This Row],[Billing Zip/Postal Code]])</f>
        <v>1200 West Main St, Rogersville, TN, 37857</v>
      </c>
    </row>
    <row r="1695" spans="1:13" ht="15.6" hidden="1" x14ac:dyDescent="0.3">
      <c r="A1695" s="1" t="s">
        <v>5347</v>
      </c>
      <c r="B1695" s="1"/>
      <c r="C1695" s="1"/>
      <c r="D1695" s="1"/>
      <c r="E1695" s="1"/>
      <c r="F1695" s="1"/>
      <c r="G1695" s="1" t="s">
        <v>43</v>
      </c>
      <c r="H1695" s="2">
        <v>5776</v>
      </c>
      <c r="I1695" s="1" t="s">
        <v>5348</v>
      </c>
      <c r="J1695" s="1" t="s">
        <v>1566</v>
      </c>
      <c r="K1695" s="1" t="s">
        <v>1191</v>
      </c>
      <c r="L1695" s="1" t="s">
        <v>13</v>
      </c>
      <c r="M1695" s="6" t="str">
        <f>_xlfn.CONCAT(Table1[[#This Row],[Billing Street]], ", ", Table1[[#This Row],[Billing City]], ", ", Table1[[#This Row],[Billing State/Province]], ", ", Table1[[#This Row],[Billing Zip/Postal Code]])</f>
        <v xml:space="preserve">650 David Ave, Danville, KY, </v>
      </c>
    </row>
    <row r="1696" spans="1:13" ht="15.6" hidden="1" x14ac:dyDescent="0.3">
      <c r="A1696" s="1" t="s">
        <v>5349</v>
      </c>
      <c r="B1696" s="1"/>
      <c r="C1696" s="1"/>
      <c r="D1696" s="1"/>
      <c r="E1696" s="1"/>
      <c r="F1696" s="1"/>
      <c r="G1696" s="1" t="s">
        <v>43</v>
      </c>
      <c r="H1696" s="2">
        <v>5776</v>
      </c>
      <c r="I1696" s="1" t="s">
        <v>13</v>
      </c>
      <c r="J1696" s="1" t="s">
        <v>13</v>
      </c>
      <c r="K1696" s="1" t="s">
        <v>1191</v>
      </c>
      <c r="L1696" s="1" t="s">
        <v>13</v>
      </c>
      <c r="M1696" s="6" t="str">
        <f>_xlfn.CONCAT(Table1[[#This Row],[Billing Street]], ", ", Table1[[#This Row],[Billing City]], ", ", Table1[[#This Row],[Billing State/Province]], ", ", Table1[[#This Row],[Billing Zip/Postal Code]])</f>
        <v xml:space="preserve">, , KY, </v>
      </c>
    </row>
    <row r="1697" spans="1:13" ht="15.6" x14ac:dyDescent="0.3">
      <c r="A1697" s="1" t="s">
        <v>5350</v>
      </c>
      <c r="B1697" s="1"/>
      <c r="C1697" s="1"/>
      <c r="D1697" s="1"/>
      <c r="E1697" s="1"/>
      <c r="F1697" s="1"/>
      <c r="G1697" s="1" t="s">
        <v>24</v>
      </c>
      <c r="H1697" s="2">
        <v>442</v>
      </c>
      <c r="I1697" s="1" t="s">
        <v>5351</v>
      </c>
      <c r="J1697" s="1" t="s">
        <v>5352</v>
      </c>
      <c r="K1697" s="1" t="s">
        <v>577</v>
      </c>
      <c r="L1697" s="1" t="s">
        <v>5353</v>
      </c>
      <c r="M1697" s="6" t="str">
        <f>_xlfn.CONCAT(Table1[[#This Row],[Billing Street]], ", ", Table1[[#This Row],[Billing City]], ", ", Table1[[#This Row],[Billing State/Province]], ", ", Table1[[#This Row],[Billing Zip/Postal Code]])</f>
        <v>1300 Davenport Drive, Minden, LA, 71055</v>
      </c>
    </row>
    <row r="1698" spans="1:13" ht="15.6" x14ac:dyDescent="0.3">
      <c r="A1698" s="1" t="s">
        <v>5354</v>
      </c>
      <c r="B1698" s="1"/>
      <c r="C1698" s="1"/>
      <c r="D1698" s="1"/>
      <c r="E1698" s="1"/>
      <c r="F1698" s="1"/>
      <c r="G1698" s="1" t="s">
        <v>24</v>
      </c>
      <c r="H1698" s="2">
        <v>284</v>
      </c>
      <c r="I1698" s="1" t="s">
        <v>5355</v>
      </c>
      <c r="J1698" s="1" t="s">
        <v>5356</v>
      </c>
      <c r="K1698" s="1" t="s">
        <v>577</v>
      </c>
      <c r="L1698" s="1" t="s">
        <v>5357</v>
      </c>
      <c r="M1698" s="6" t="str">
        <f>_xlfn.CONCAT(Table1[[#This Row],[Billing Street]], ", ", Table1[[#This Row],[Billing City]], ", ", Table1[[#This Row],[Billing State/Province]], ", ", Table1[[#This Row],[Billing Zip/Postal Code]])</f>
        <v>301 Plant Road, Houma, LA, 70361</v>
      </c>
    </row>
    <row r="1699" spans="1:13" ht="15.6" x14ac:dyDescent="0.3">
      <c r="A1699" s="1" t="s">
        <v>5358</v>
      </c>
      <c r="B1699" s="1"/>
      <c r="C1699" s="1"/>
      <c r="D1699" s="1"/>
      <c r="E1699" s="1"/>
      <c r="F1699" s="1"/>
      <c r="G1699" s="1" t="s">
        <v>24</v>
      </c>
      <c r="H1699" s="2">
        <v>402</v>
      </c>
      <c r="I1699" s="1" t="s">
        <v>5359</v>
      </c>
      <c r="J1699" s="1" t="s">
        <v>4496</v>
      </c>
      <c r="K1699" s="1" t="s">
        <v>577</v>
      </c>
      <c r="L1699" s="1" t="s">
        <v>5360</v>
      </c>
      <c r="M1699" s="6" t="str">
        <f>_xlfn.CONCAT(Table1[[#This Row],[Billing Street]], ", ", Table1[[#This Row],[Billing City]], ", ", Table1[[#This Row],[Billing State/Province]], ", ", Table1[[#This Row],[Billing Zip/Postal Code]])</f>
        <v>701 East Tennessee Avenue, Ruston, LA, 71270</v>
      </c>
    </row>
    <row r="1700" spans="1:13" ht="15.6" hidden="1" x14ac:dyDescent="0.3">
      <c r="A1700" s="1" t="s">
        <v>5361</v>
      </c>
      <c r="B1700" s="1"/>
      <c r="C1700" s="1"/>
      <c r="D1700" s="1"/>
      <c r="E1700" s="1"/>
      <c r="F1700" s="1"/>
      <c r="G1700" s="1" t="s">
        <v>43</v>
      </c>
      <c r="H1700" s="2">
        <v>161</v>
      </c>
      <c r="I1700" s="1" t="s">
        <v>5362</v>
      </c>
      <c r="J1700" s="1" t="s">
        <v>5363</v>
      </c>
      <c r="K1700" s="1" t="s">
        <v>45</v>
      </c>
      <c r="L1700" s="1" t="s">
        <v>5364</v>
      </c>
      <c r="M1700" s="6" t="str">
        <f>_xlfn.CONCAT(Table1[[#This Row],[Billing Street]], ", ", Table1[[#This Row],[Billing City]], ", ", Table1[[#This Row],[Billing State/Province]], ", ", Table1[[#This Row],[Billing Zip/Postal Code]])</f>
        <v>43111 State Route 160, Wilkesville, OH, 45695</v>
      </c>
    </row>
    <row r="1701" spans="1:13" ht="15.6" hidden="1" x14ac:dyDescent="0.3">
      <c r="A1701" s="1" t="s">
        <v>5365</v>
      </c>
      <c r="B1701" s="1"/>
      <c r="C1701" s="1"/>
      <c r="D1701" s="1"/>
      <c r="E1701" s="1"/>
      <c r="F1701" s="1"/>
      <c r="G1701" s="1" t="s">
        <v>98</v>
      </c>
      <c r="H1701" s="2">
        <v>5887</v>
      </c>
      <c r="I1701" s="1" t="s">
        <v>13</v>
      </c>
      <c r="J1701" s="1" t="s">
        <v>5366</v>
      </c>
      <c r="K1701" s="1" t="s">
        <v>101</v>
      </c>
      <c r="L1701" s="1" t="s">
        <v>13</v>
      </c>
      <c r="M1701" s="6" t="str">
        <f>_xlfn.CONCAT(Table1[[#This Row],[Billing Street]], ", ", Table1[[#This Row],[Billing City]], ", ", Table1[[#This Row],[Billing State/Province]], ", ", Table1[[#This Row],[Billing Zip/Postal Code]])</f>
        <v xml:space="preserve">, Moultrie, GA, </v>
      </c>
    </row>
    <row r="1702" spans="1:13" ht="15.6" x14ac:dyDescent="0.3">
      <c r="A1702" s="1" t="s">
        <v>5367</v>
      </c>
      <c r="B1702" s="1"/>
      <c r="C1702" s="1"/>
      <c r="D1702" s="1"/>
      <c r="E1702" s="1"/>
      <c r="F1702" s="1"/>
      <c r="G1702" s="1" t="s">
        <v>24</v>
      </c>
      <c r="H1702" s="2">
        <v>391</v>
      </c>
      <c r="I1702" s="1" t="s">
        <v>5368</v>
      </c>
      <c r="J1702" s="1" t="s">
        <v>5369</v>
      </c>
      <c r="K1702" s="1" t="s">
        <v>577</v>
      </c>
      <c r="L1702" s="1" t="s">
        <v>5370</v>
      </c>
      <c r="M1702" s="6" t="str">
        <f>_xlfn.CONCAT(Table1[[#This Row],[Billing Street]], ", ", Table1[[#This Row],[Billing City]], ", ", Table1[[#This Row],[Billing State/Province]], ", ", Table1[[#This Row],[Billing Zip/Postal Code]])</f>
        <v>906 N. Lake Arthur Avenue, Jennings, LA, 70546</v>
      </c>
    </row>
    <row r="1703" spans="1:13" ht="15.6" x14ac:dyDescent="0.3">
      <c r="A1703" s="1" t="s">
        <v>5371</v>
      </c>
      <c r="B1703" s="1"/>
      <c r="C1703" s="1"/>
      <c r="D1703" s="1"/>
      <c r="E1703" s="1"/>
      <c r="F1703" s="1"/>
      <c r="G1703" s="1" t="s">
        <v>24</v>
      </c>
      <c r="H1703" s="2">
        <v>424</v>
      </c>
      <c r="I1703" s="1" t="s">
        <v>5372</v>
      </c>
      <c r="J1703" s="1" t="s">
        <v>5373</v>
      </c>
      <c r="K1703" s="1" t="s">
        <v>577</v>
      </c>
      <c r="L1703" s="1" t="s">
        <v>5374</v>
      </c>
      <c r="M1703" s="6" t="str">
        <f>_xlfn.CONCAT(Table1[[#This Row],[Billing Street]], ", ", Table1[[#This Row],[Billing City]], ", ", Table1[[#This Row],[Billing State/Province]], ", ", Table1[[#This Row],[Billing Zip/Postal Code]])</f>
        <v>1010 East First Street, DeRidder, LA, 70364</v>
      </c>
    </row>
    <row r="1704" spans="1:13" ht="15.6" hidden="1" x14ac:dyDescent="0.3">
      <c r="A1704" s="1" t="s">
        <v>5375</v>
      </c>
      <c r="B1704" s="1"/>
      <c r="C1704" s="1"/>
      <c r="D1704" s="1"/>
      <c r="E1704" s="1"/>
      <c r="F1704" s="1"/>
      <c r="G1704" s="1" t="s">
        <v>43</v>
      </c>
      <c r="H1704" s="2">
        <v>5776</v>
      </c>
      <c r="I1704" s="1" t="s">
        <v>5376</v>
      </c>
      <c r="J1704" s="1" t="s">
        <v>2358</v>
      </c>
      <c r="K1704" s="1" t="s">
        <v>781</v>
      </c>
      <c r="L1704" s="1" t="s">
        <v>5377</v>
      </c>
      <c r="M1704" s="6" t="str">
        <f>_xlfn.CONCAT(Table1[[#This Row],[Billing Street]], ", ", Table1[[#This Row],[Billing City]], ", ", Table1[[#This Row],[Billing State/Province]], ", ", Table1[[#This Row],[Billing Zip/Postal Code]])</f>
        <v>14 Brick Kiln Rd, North Hampton, pa, 18067</v>
      </c>
    </row>
    <row r="1705" spans="1:13" ht="15.6" x14ac:dyDescent="0.3">
      <c r="A1705" s="1" t="s">
        <v>5378</v>
      </c>
      <c r="B1705" s="1"/>
      <c r="C1705" s="1"/>
      <c r="D1705" s="1"/>
      <c r="E1705" s="1"/>
      <c r="F1705" s="1"/>
      <c r="G1705" s="1" t="s">
        <v>24</v>
      </c>
      <c r="H1705" s="2">
        <v>346</v>
      </c>
      <c r="I1705" s="1" t="s">
        <v>5379</v>
      </c>
      <c r="J1705" s="1" t="s">
        <v>5380</v>
      </c>
      <c r="K1705" s="1" t="s">
        <v>577</v>
      </c>
      <c r="L1705" s="1" t="s">
        <v>5381</v>
      </c>
      <c r="M1705" s="6" t="str">
        <f>_xlfn.CONCAT(Table1[[#This Row],[Billing Street]], ", ", Table1[[#This Row],[Billing City]], ", ", Table1[[#This Row],[Billing State/Province]], ", ", Table1[[#This Row],[Billing Zip/Postal Code]])</f>
        <v>1865 Hwy 84, Jonesville, LA, 71343</v>
      </c>
    </row>
    <row r="1706" spans="1:13" ht="15.6" x14ac:dyDescent="0.3">
      <c r="A1706" s="1" t="s">
        <v>5382</v>
      </c>
      <c r="B1706" s="1"/>
      <c r="C1706" s="1"/>
      <c r="D1706" s="1"/>
      <c r="E1706" s="1"/>
      <c r="F1706" s="1"/>
      <c r="G1706" s="1" t="s">
        <v>24</v>
      </c>
      <c r="H1706" s="2">
        <v>418</v>
      </c>
      <c r="I1706" s="1" t="s">
        <v>5383</v>
      </c>
      <c r="J1706" s="1" t="s">
        <v>5384</v>
      </c>
      <c r="K1706" s="1" t="s">
        <v>577</v>
      </c>
      <c r="L1706" s="1" t="s">
        <v>5385</v>
      </c>
      <c r="M1706" s="6" t="str">
        <f>_xlfn.CONCAT(Table1[[#This Row],[Billing Street]], ", ", Table1[[#This Row],[Billing City]], ", ", Table1[[#This Row],[Billing State/Province]], ", ", Table1[[#This Row],[Billing Zip/Postal Code]])</f>
        <v>1400 Sabine Street, Natchitoches, LA, 71458</v>
      </c>
    </row>
    <row r="1707" spans="1:13" ht="15.6" x14ac:dyDescent="0.3">
      <c r="A1707" s="1" t="s">
        <v>5386</v>
      </c>
      <c r="B1707" s="1"/>
      <c r="C1707" s="1"/>
      <c r="D1707" s="1"/>
      <c r="E1707" s="1"/>
      <c r="F1707" s="1"/>
      <c r="G1707" s="1" t="s">
        <v>24</v>
      </c>
      <c r="H1707" s="2">
        <v>243</v>
      </c>
      <c r="I1707" s="1" t="s">
        <v>5387</v>
      </c>
      <c r="J1707" s="1" t="s">
        <v>5388</v>
      </c>
      <c r="K1707" s="1" t="s">
        <v>577</v>
      </c>
      <c r="L1707" s="1" t="s">
        <v>5389</v>
      </c>
      <c r="M1707" s="6" t="str">
        <f>_xlfn.CONCAT(Table1[[#This Row],[Billing Street]], ", ", Table1[[#This Row],[Billing City]], ", ", Table1[[#This Row],[Billing State/Province]], ", ", Table1[[#This Row],[Billing Zip/Postal Code]])</f>
        <v>2783 Lapalco Blvd., Harvey, LA, 70058</v>
      </c>
    </row>
    <row r="1708" spans="1:13" ht="15.6" x14ac:dyDescent="0.3">
      <c r="A1708" s="1" t="s">
        <v>5390</v>
      </c>
      <c r="B1708" s="1"/>
      <c r="C1708" s="1"/>
      <c r="D1708" s="1"/>
      <c r="E1708" s="1"/>
      <c r="F1708" s="1"/>
      <c r="G1708" s="1" t="s">
        <v>24</v>
      </c>
      <c r="H1708" s="2">
        <v>351</v>
      </c>
      <c r="I1708" s="1" t="s">
        <v>5391</v>
      </c>
      <c r="J1708" s="1" t="s">
        <v>997</v>
      </c>
      <c r="K1708" s="1" t="s">
        <v>577</v>
      </c>
      <c r="L1708" s="1" t="s">
        <v>5392</v>
      </c>
      <c r="M1708" s="6" t="str">
        <f>_xlfn.CONCAT(Table1[[#This Row],[Billing Street]], ", ", Table1[[#This Row],[Billing City]], ", ", Table1[[#This Row],[Billing State/Province]], ", ", Table1[[#This Row],[Billing Zip/Postal Code]])</f>
        <v>2727 S.E. Evangeline Thruway, Lafayette, LA, 70509</v>
      </c>
    </row>
    <row r="1709" spans="1:13" ht="15.6" hidden="1" x14ac:dyDescent="0.3">
      <c r="A1709" s="1" t="s">
        <v>5393</v>
      </c>
      <c r="B1709" s="1"/>
      <c r="C1709" s="1"/>
      <c r="D1709" s="1"/>
      <c r="E1709" s="1"/>
      <c r="F1709" s="1"/>
      <c r="G1709" s="1" t="s">
        <v>8</v>
      </c>
      <c r="H1709" s="2">
        <v>138</v>
      </c>
      <c r="I1709" s="1" t="s">
        <v>5394</v>
      </c>
      <c r="J1709" s="1" t="s">
        <v>1598</v>
      </c>
      <c r="K1709" s="1" t="s">
        <v>554</v>
      </c>
      <c r="L1709" s="1" t="s">
        <v>5395</v>
      </c>
      <c r="M1709" s="6" t="str">
        <f>_xlfn.CONCAT(Table1[[#This Row],[Billing Street]], ", ", Table1[[#This Row],[Billing City]], ", ", Table1[[#This Row],[Billing State/Province]], ", ", Table1[[#This Row],[Billing Zip/Postal Code]])</f>
        <v>7332 SW 21st Street, Topeka, KS, 66615</v>
      </c>
    </row>
    <row r="1710" spans="1:13" ht="15.6" hidden="1" x14ac:dyDescent="0.3">
      <c r="A1710" s="1" t="s">
        <v>5396</v>
      </c>
      <c r="B1710" s="1"/>
      <c r="C1710" s="1"/>
      <c r="D1710" s="1"/>
      <c r="E1710" s="1"/>
      <c r="F1710" s="1"/>
      <c r="G1710" s="1" t="s">
        <v>8</v>
      </c>
      <c r="H1710" s="2">
        <v>302</v>
      </c>
      <c r="I1710" s="1" t="s">
        <v>5397</v>
      </c>
      <c r="J1710" s="1" t="s">
        <v>5398</v>
      </c>
      <c r="K1710" s="1" t="s">
        <v>554</v>
      </c>
      <c r="L1710" s="1" t="s">
        <v>5399</v>
      </c>
      <c r="M1710" s="6" t="str">
        <f>_xlfn.CONCAT(Table1[[#This Row],[Billing Street]], ", ", Table1[[#This Row],[Billing City]], ", ", Table1[[#This Row],[Billing State/Province]], ", ", Table1[[#This Row],[Billing Zip/Postal Code]])</f>
        <v>PO Box 430, Holcomb, KS, 67851</v>
      </c>
    </row>
    <row r="1711" spans="1:13" ht="15.6" x14ac:dyDescent="0.3">
      <c r="A1711" s="1" t="s">
        <v>5400</v>
      </c>
      <c r="B1711" s="1"/>
      <c r="C1711" s="1"/>
      <c r="D1711" s="1"/>
      <c r="E1711" s="1"/>
      <c r="F1711" s="1"/>
      <c r="G1711" s="1" t="s">
        <v>24</v>
      </c>
      <c r="H1711" s="2">
        <v>291</v>
      </c>
      <c r="I1711" s="1" t="s">
        <v>5401</v>
      </c>
      <c r="J1711" s="1" t="s">
        <v>5402</v>
      </c>
      <c r="K1711" s="1" t="s">
        <v>577</v>
      </c>
      <c r="L1711" s="1" t="s">
        <v>5403</v>
      </c>
      <c r="M1711" s="6" t="str">
        <f>_xlfn.CONCAT(Table1[[#This Row],[Billing Street]], ", ", Table1[[#This Row],[Billing City]], ", ", Table1[[#This Row],[Billing State/Province]], ", ", Table1[[#This Row],[Billing Zip/Postal Code]])</f>
        <v>16262 Wax Road, Greenwell Springs, LA, 70739</v>
      </c>
    </row>
    <row r="1712" spans="1:13" ht="15.6" hidden="1" x14ac:dyDescent="0.3">
      <c r="A1712" s="1" t="s">
        <v>5404</v>
      </c>
      <c r="B1712" s="1"/>
      <c r="C1712" s="1"/>
      <c r="D1712" s="1"/>
      <c r="E1712" s="1"/>
      <c r="F1712" s="1"/>
      <c r="G1712" s="1" t="s">
        <v>43</v>
      </c>
      <c r="H1712" s="2">
        <v>416</v>
      </c>
      <c r="I1712" s="1" t="s">
        <v>5405</v>
      </c>
      <c r="J1712" s="1" t="s">
        <v>4470</v>
      </c>
      <c r="K1712" s="1" t="s">
        <v>152</v>
      </c>
      <c r="L1712" s="1" t="s">
        <v>5406</v>
      </c>
      <c r="M1712" s="6" t="str">
        <f>_xlfn.CONCAT(Table1[[#This Row],[Billing Street]], ", ", Table1[[#This Row],[Billing City]], ", ", Table1[[#This Row],[Billing State/Province]], ", ", Table1[[#This Row],[Billing Zip/Postal Code]])</f>
        <v>2 Main Street S., Princeton, IL, 61356</v>
      </c>
    </row>
    <row r="1713" spans="1:13" ht="15.6" x14ac:dyDescent="0.3">
      <c r="A1713" s="1" t="s">
        <v>5407</v>
      </c>
      <c r="B1713" s="1"/>
      <c r="C1713" s="1"/>
      <c r="D1713" s="1"/>
      <c r="E1713" s="1"/>
      <c r="F1713" s="1"/>
      <c r="G1713" s="1" t="s">
        <v>24</v>
      </c>
      <c r="H1713" s="2">
        <v>307</v>
      </c>
      <c r="I1713" s="1" t="s">
        <v>5408</v>
      </c>
      <c r="J1713" s="1" t="s">
        <v>5409</v>
      </c>
      <c r="K1713" s="1" t="s">
        <v>577</v>
      </c>
      <c r="L1713" s="1" t="s">
        <v>5410</v>
      </c>
      <c r="M1713" s="6" t="str">
        <f>_xlfn.CONCAT(Table1[[#This Row],[Billing Street]], ", ", Table1[[#This Row],[Billing City]], ", ", Table1[[#This Row],[Billing State/Province]], ", ", Table1[[#This Row],[Billing Zip/Postal Code]])</f>
        <v>58160 Harleaux, Plaquamine, LA, 70764</v>
      </c>
    </row>
    <row r="1714" spans="1:13" ht="15.6" hidden="1" x14ac:dyDescent="0.3">
      <c r="A1714" s="1" t="s">
        <v>5411</v>
      </c>
      <c r="B1714" s="1"/>
      <c r="C1714" s="1"/>
      <c r="D1714" s="1"/>
      <c r="E1714" s="1"/>
      <c r="F1714" s="1"/>
      <c r="G1714" s="1" t="s">
        <v>8</v>
      </c>
      <c r="H1714" s="2">
        <v>395</v>
      </c>
      <c r="I1714" s="1" t="s">
        <v>5412</v>
      </c>
      <c r="J1714" s="1" t="s">
        <v>1203</v>
      </c>
      <c r="K1714" s="1" t="s">
        <v>51</v>
      </c>
      <c r="L1714" s="1" t="s">
        <v>5413</v>
      </c>
      <c r="M1714" s="6" t="str">
        <f>_xlfn.CONCAT(Table1[[#This Row],[Billing Street]], ", ", Table1[[#This Row],[Billing City]], ", ", Table1[[#This Row],[Billing State/Province]], ", ", Table1[[#This Row],[Billing Zip/Postal Code]])</f>
        <v>420 N. Rice Street   PO Box 753, Hamilton, TX, 76531</v>
      </c>
    </row>
    <row r="1715" spans="1:13" ht="15.6" hidden="1" x14ac:dyDescent="0.3">
      <c r="A1715" s="1" t="s">
        <v>5414</v>
      </c>
      <c r="B1715" s="1"/>
      <c r="C1715" s="1"/>
      <c r="D1715" s="1"/>
      <c r="E1715" s="1"/>
      <c r="F1715" s="1"/>
      <c r="G1715" s="1" t="s">
        <v>98</v>
      </c>
      <c r="H1715" s="2">
        <v>168</v>
      </c>
      <c r="I1715" s="1" t="s">
        <v>5415</v>
      </c>
      <c r="J1715" s="1" t="s">
        <v>5416</v>
      </c>
      <c r="K1715" s="1" t="s">
        <v>1178</v>
      </c>
      <c r="L1715" s="1" t="s">
        <v>2266</v>
      </c>
      <c r="M1715" s="6" t="str">
        <f>_xlfn.CONCAT(Table1[[#This Row],[Billing Street]], ", ", Table1[[#This Row],[Billing City]], ", ", Table1[[#This Row],[Billing State/Province]], ", ", Table1[[#This Row],[Billing Zip/Postal Code]])</f>
        <v>128 N Powell St, FOrest City, NC, 28043</v>
      </c>
    </row>
    <row r="1716" spans="1:13" ht="15.6" hidden="1" x14ac:dyDescent="0.3">
      <c r="A1716" s="1" t="s">
        <v>5417</v>
      </c>
      <c r="B1716" s="1"/>
      <c r="C1716" s="1"/>
      <c r="D1716" s="1"/>
      <c r="E1716" s="1"/>
      <c r="F1716" s="1"/>
      <c r="G1716" s="1" t="s">
        <v>98</v>
      </c>
      <c r="H1716" s="2">
        <v>382</v>
      </c>
      <c r="I1716" s="1" t="s">
        <v>5418</v>
      </c>
      <c r="J1716" s="1" t="s">
        <v>1479</v>
      </c>
      <c r="K1716" s="1" t="s">
        <v>1178</v>
      </c>
      <c r="L1716" s="1" t="s">
        <v>1480</v>
      </c>
      <c r="M1716" s="6" t="str">
        <f>_xlfn.CONCAT(Table1[[#This Row],[Billing Street]], ", ", Table1[[#This Row],[Billing City]], ", ", Table1[[#This Row],[Billing State/Province]], ", ", Table1[[#This Row],[Billing Zip/Postal Code]])</f>
        <v>1800 Herring Ave E., Wilson, NC, 27893</v>
      </c>
    </row>
    <row r="1717" spans="1:13" ht="15.6" hidden="1" x14ac:dyDescent="0.3">
      <c r="A1717" s="1" t="s">
        <v>5419</v>
      </c>
      <c r="B1717" s="1"/>
      <c r="C1717" s="1"/>
      <c r="D1717" s="1"/>
      <c r="E1717" s="1"/>
      <c r="F1717" s="1"/>
      <c r="G1717" s="1" t="s">
        <v>98</v>
      </c>
      <c r="H1717" s="2">
        <v>300</v>
      </c>
      <c r="I1717" s="1" t="s">
        <v>5420</v>
      </c>
      <c r="J1717" s="1" t="s">
        <v>5421</v>
      </c>
      <c r="K1717" s="1" t="s">
        <v>1178</v>
      </c>
      <c r="L1717" s="1" t="s">
        <v>5422</v>
      </c>
      <c r="M1717" s="6" t="str">
        <f>_xlfn.CONCAT(Table1[[#This Row],[Billing Street]], ", ", Table1[[#This Row],[Billing City]], ", ", Table1[[#This Row],[Billing State/Province]], ", ", Table1[[#This Row],[Billing Zip/Postal Code]])</f>
        <v>420 Halsey St, Lumberton, NC, 28358</v>
      </c>
    </row>
    <row r="1718" spans="1:13" ht="15.6" hidden="1" x14ac:dyDescent="0.3">
      <c r="A1718" s="1" t="s">
        <v>5423</v>
      </c>
      <c r="B1718" s="1"/>
      <c r="C1718" s="1"/>
      <c r="D1718" s="1"/>
      <c r="E1718" s="1"/>
      <c r="F1718" s="1"/>
      <c r="G1718" s="1" t="s">
        <v>98</v>
      </c>
      <c r="H1718" s="2">
        <v>395</v>
      </c>
      <c r="I1718" s="1" t="s">
        <v>5424</v>
      </c>
      <c r="J1718" s="1" t="s">
        <v>5425</v>
      </c>
      <c r="K1718" s="1" t="s">
        <v>1178</v>
      </c>
      <c r="L1718" s="1" t="s">
        <v>5426</v>
      </c>
      <c r="M1718" s="6" t="str">
        <f>_xlfn.CONCAT(Table1[[#This Row],[Billing Street]], ", ", Table1[[#This Row],[Billing City]], ", ", Table1[[#This Row],[Billing State/Province]], ", ", Table1[[#This Row],[Billing Zip/Postal Code]])</f>
        <v>3672 NorthMain Street, Farmville, NC, 27828</v>
      </c>
    </row>
    <row r="1719" spans="1:13" ht="15.6" hidden="1" x14ac:dyDescent="0.3">
      <c r="A1719" s="1" t="s">
        <v>5427</v>
      </c>
      <c r="B1719" s="1"/>
      <c r="C1719" s="1"/>
      <c r="D1719" s="1"/>
      <c r="E1719" s="1"/>
      <c r="F1719" s="1"/>
      <c r="G1719" s="1" t="s">
        <v>98</v>
      </c>
      <c r="H1719" s="2">
        <v>482</v>
      </c>
      <c r="I1719" s="1" t="s">
        <v>5428</v>
      </c>
      <c r="J1719" s="1" t="s">
        <v>5429</v>
      </c>
      <c r="K1719" s="1" t="s">
        <v>1178</v>
      </c>
      <c r="L1719" s="1" t="s">
        <v>5430</v>
      </c>
      <c r="M1719" s="6" t="str">
        <f>_xlfn.CONCAT(Table1[[#This Row],[Billing Street]], ", ", Table1[[#This Row],[Billing City]], ", ", Table1[[#This Row],[Billing State/Province]], ", ", Table1[[#This Row],[Billing Zip/Postal Code]])</f>
        <v>306 E Colonial Ave, Elizabeth City, NC, 27909</v>
      </c>
    </row>
    <row r="1720" spans="1:13" ht="15.6" hidden="1" x14ac:dyDescent="0.3">
      <c r="A1720" s="1" t="s">
        <v>5431</v>
      </c>
      <c r="B1720" s="1"/>
      <c r="C1720" s="1"/>
      <c r="D1720" s="1"/>
      <c r="E1720" s="1"/>
      <c r="F1720" s="1"/>
      <c r="G1720" s="1" t="s">
        <v>8</v>
      </c>
      <c r="H1720" s="2">
        <v>418</v>
      </c>
      <c r="I1720" s="1" t="s">
        <v>5432</v>
      </c>
      <c r="J1720" s="1" t="s">
        <v>585</v>
      </c>
      <c r="K1720" s="1" t="s">
        <v>51</v>
      </c>
      <c r="L1720" s="1" t="s">
        <v>5433</v>
      </c>
      <c r="M1720" s="6" t="str">
        <f>_xlfn.CONCAT(Table1[[#This Row],[Billing Street]], ", ", Table1[[#This Row],[Billing City]], ", ", Table1[[#This Row],[Billing State/Province]], ", ", Table1[[#This Row],[Billing Zip/Postal Code]])</f>
        <v>P.O. Box 848, Franklin, TX, 77856</v>
      </c>
    </row>
    <row r="1721" spans="1:13" ht="15.6" hidden="1" x14ac:dyDescent="0.3">
      <c r="A1721" s="1" t="s">
        <v>5434</v>
      </c>
      <c r="B1721" s="1"/>
      <c r="C1721" s="1"/>
      <c r="D1721" s="1"/>
      <c r="E1721" s="1"/>
      <c r="F1721" s="1"/>
      <c r="G1721" s="1" t="s">
        <v>8</v>
      </c>
      <c r="H1721" s="2">
        <v>309</v>
      </c>
      <c r="I1721" s="1" t="s">
        <v>5435</v>
      </c>
      <c r="J1721" s="1" t="s">
        <v>5436</v>
      </c>
      <c r="K1721" s="1" t="s">
        <v>51</v>
      </c>
      <c r="L1721" s="1" t="s">
        <v>5437</v>
      </c>
      <c r="M1721" s="6" t="str">
        <f>_xlfn.CONCAT(Table1[[#This Row],[Billing Street]], ", ", Table1[[#This Row],[Billing City]], ", ", Table1[[#This Row],[Billing State/Province]], ", ", Table1[[#This Row],[Billing Zip/Postal Code]])</f>
        <v>1302 W Main St, Olney, TX, 76374</v>
      </c>
    </row>
    <row r="1722" spans="1:13" ht="15.6" hidden="1" x14ac:dyDescent="0.3">
      <c r="A1722" s="1" t="s">
        <v>5438</v>
      </c>
      <c r="B1722" s="1"/>
      <c r="C1722" s="1"/>
      <c r="D1722" s="1"/>
      <c r="E1722" s="1"/>
      <c r="F1722" s="1"/>
      <c r="G1722" s="1" t="s">
        <v>205</v>
      </c>
      <c r="H1722" s="2">
        <v>258</v>
      </c>
      <c r="I1722" s="1" t="s">
        <v>5439</v>
      </c>
      <c r="J1722" s="1" t="s">
        <v>5440</v>
      </c>
      <c r="K1722" s="1" t="s">
        <v>1695</v>
      </c>
      <c r="L1722" s="1" t="s">
        <v>4267</v>
      </c>
      <c r="M1722" s="6" t="str">
        <f>_xlfn.CONCAT(Table1[[#This Row],[Billing Street]], ", ", Table1[[#This Row],[Billing City]], ", ", Table1[[#This Row],[Billing State/Province]], ", ", Table1[[#This Row],[Billing Zip/Postal Code]])</f>
        <v>3828 Civic Center Drive #110, North Las Vegas, NV, 89030</v>
      </c>
    </row>
    <row r="1723" spans="1:13" ht="15.6" hidden="1" x14ac:dyDescent="0.3">
      <c r="A1723" s="1" t="s">
        <v>5441</v>
      </c>
      <c r="B1723" s="1"/>
      <c r="C1723" s="1"/>
      <c r="D1723" s="1"/>
      <c r="E1723" s="1"/>
      <c r="F1723" s="1"/>
      <c r="G1723" s="1" t="s">
        <v>8</v>
      </c>
      <c r="H1723" s="2">
        <v>390</v>
      </c>
      <c r="I1723" s="1" t="s">
        <v>5442</v>
      </c>
      <c r="J1723" s="1" t="s">
        <v>5443</v>
      </c>
      <c r="K1723" s="1" t="s">
        <v>51</v>
      </c>
      <c r="L1723" s="1" t="s">
        <v>5444</v>
      </c>
      <c r="M1723" s="6" t="str">
        <f>_xlfn.CONCAT(Table1[[#This Row],[Billing Street]], ", ", Table1[[#This Row],[Billing City]], ", ", Table1[[#This Row],[Billing State/Province]], ", ", Table1[[#This Row],[Billing Zip/Postal Code]])</f>
        <v>12198 U.S. 87, Dalhart, TX, 79022</v>
      </c>
    </row>
    <row r="1724" spans="1:13" ht="15.6" hidden="1" x14ac:dyDescent="0.3">
      <c r="A1724" s="1" t="s">
        <v>5445</v>
      </c>
      <c r="B1724" s="1"/>
      <c r="C1724" s="1"/>
      <c r="D1724" s="1"/>
      <c r="E1724" s="1"/>
      <c r="F1724" s="1"/>
      <c r="G1724" s="1" t="s">
        <v>54</v>
      </c>
      <c r="H1724" s="2">
        <v>34</v>
      </c>
      <c r="I1724" s="1" t="s">
        <v>5446</v>
      </c>
      <c r="J1724" s="1" t="s">
        <v>5447</v>
      </c>
      <c r="K1724" s="1" t="s">
        <v>57</v>
      </c>
      <c r="L1724" s="1" t="s">
        <v>5448</v>
      </c>
      <c r="M1724" s="6" t="str">
        <f>_xlfn.CONCAT(Table1[[#This Row],[Billing Street]], ", ", Table1[[#This Row],[Billing City]], ", ", Table1[[#This Row],[Billing State/Province]], ", ", Table1[[#This Row],[Billing Zip/Postal Code]])</f>
        <v>2752 Walnut Avenue, Tustin, CA, 92780</v>
      </c>
    </row>
    <row r="1725" spans="1:13" ht="15.6" hidden="1" x14ac:dyDescent="0.3">
      <c r="A1725" s="1" t="s">
        <v>5449</v>
      </c>
      <c r="B1725" s="1"/>
      <c r="C1725" s="1"/>
      <c r="D1725" s="1"/>
      <c r="E1725" s="1"/>
      <c r="F1725" s="1"/>
      <c r="G1725" s="1" t="s">
        <v>54</v>
      </c>
      <c r="H1725" s="2">
        <v>7813</v>
      </c>
      <c r="I1725" s="1" t="s">
        <v>5450</v>
      </c>
      <c r="J1725" s="1" t="s">
        <v>5451</v>
      </c>
      <c r="K1725" s="1" t="s">
        <v>57</v>
      </c>
      <c r="L1725" s="1" t="s">
        <v>13</v>
      </c>
      <c r="M1725" s="6" t="str">
        <f>_xlfn.CONCAT(Table1[[#This Row],[Billing Street]], ", ", Table1[[#This Row],[Billing City]], ", ", Table1[[#This Row],[Billing State/Province]], ", ", Table1[[#This Row],[Billing Zip/Postal Code]])</f>
        <v xml:space="preserve">33000 Avenida Pico, San Clemente, CA, </v>
      </c>
    </row>
    <row r="1726" spans="1:13" ht="15.6" hidden="1" x14ac:dyDescent="0.3">
      <c r="A1726" s="1" t="s">
        <v>5452</v>
      </c>
      <c r="B1726" s="1"/>
      <c r="C1726" s="1"/>
      <c r="D1726" s="1"/>
      <c r="E1726" s="1"/>
      <c r="F1726" s="1"/>
      <c r="G1726" s="1" t="s">
        <v>54</v>
      </c>
      <c r="H1726" s="2">
        <v>26</v>
      </c>
      <c r="I1726" s="1" t="s">
        <v>5453</v>
      </c>
      <c r="J1726" s="1" t="s">
        <v>985</v>
      </c>
      <c r="K1726" s="1" t="s">
        <v>57</v>
      </c>
      <c r="L1726" s="1" t="s">
        <v>5454</v>
      </c>
      <c r="M1726" s="6" t="str">
        <f>_xlfn.CONCAT(Table1[[#This Row],[Billing Street]], ", ", Table1[[#This Row],[Billing City]], ", ", Table1[[#This Row],[Billing State/Province]], ", ", Table1[[#This Row],[Billing Zip/Postal Code]])</f>
        <v>1140 N Kraemer Pl, Anaheim, CA, 92806</v>
      </c>
    </row>
    <row r="1727" spans="1:13" ht="15.6" hidden="1" x14ac:dyDescent="0.3">
      <c r="A1727" s="1" t="s">
        <v>5455</v>
      </c>
      <c r="B1727" s="1"/>
      <c r="C1727" s="1"/>
      <c r="D1727" s="1"/>
      <c r="E1727" s="1"/>
      <c r="F1727" s="1"/>
      <c r="G1727" s="1" t="s">
        <v>98</v>
      </c>
      <c r="H1727" s="2">
        <v>457</v>
      </c>
      <c r="I1727" s="1" t="s">
        <v>5456</v>
      </c>
      <c r="J1727" s="1" t="s">
        <v>5457</v>
      </c>
      <c r="K1727" s="1" t="s">
        <v>1178</v>
      </c>
      <c r="L1727" s="1" t="s">
        <v>5458</v>
      </c>
      <c r="M1727" s="6" t="str">
        <f>_xlfn.CONCAT(Table1[[#This Row],[Billing Street]], ", ", Table1[[#This Row],[Billing City]], ", ", Table1[[#This Row],[Billing State/Province]], ", ", Table1[[#This Row],[Billing Zip/Postal Code]])</f>
        <v>105 W Freemason St, Edenton, NC, 27932</v>
      </c>
    </row>
    <row r="1728" spans="1:13" ht="15.6" hidden="1" x14ac:dyDescent="0.3">
      <c r="A1728" s="1" t="s">
        <v>5459</v>
      </c>
      <c r="B1728" s="1"/>
      <c r="C1728" s="1"/>
      <c r="D1728" s="1"/>
      <c r="E1728" s="1"/>
      <c r="F1728" s="1"/>
      <c r="G1728" s="1" t="s">
        <v>8</v>
      </c>
      <c r="H1728" s="2">
        <v>384</v>
      </c>
      <c r="I1728" s="1" t="s">
        <v>5460</v>
      </c>
      <c r="J1728" s="1" t="s">
        <v>5461</v>
      </c>
      <c r="K1728" s="1" t="s">
        <v>51</v>
      </c>
      <c r="L1728" s="1" t="s">
        <v>5462</v>
      </c>
      <c r="M1728" s="6" t="str">
        <f>_xlfn.CONCAT(Table1[[#This Row],[Billing Street]], ", ", Table1[[#This Row],[Billing City]], ", ", Table1[[#This Row],[Billing State/Province]], ", ", Table1[[#This Row],[Billing Zip/Postal Code]])</f>
        <v>619 East Houston Street, Floydada, TX, 79235</v>
      </c>
    </row>
    <row r="1729" spans="1:13" ht="15.6" hidden="1" x14ac:dyDescent="0.3">
      <c r="A1729" s="1" t="s">
        <v>5463</v>
      </c>
      <c r="B1729" s="1"/>
      <c r="C1729" s="1"/>
      <c r="D1729" s="1"/>
      <c r="E1729" s="1"/>
      <c r="F1729" s="1"/>
      <c r="G1729" s="1" t="s">
        <v>43</v>
      </c>
      <c r="H1729" s="2">
        <v>5776</v>
      </c>
      <c r="I1729" s="1" t="s">
        <v>5464</v>
      </c>
      <c r="J1729" s="1" t="s">
        <v>5465</v>
      </c>
      <c r="K1729" s="1" t="s">
        <v>241</v>
      </c>
      <c r="L1729" s="1" t="s">
        <v>5466</v>
      </c>
      <c r="M1729" s="6" t="str">
        <f>_xlfn.CONCAT(Table1[[#This Row],[Billing Street]], ", ", Table1[[#This Row],[Billing City]], ", ", Table1[[#This Row],[Billing State/Province]], ", ", Table1[[#This Row],[Billing Zip/Postal Code]])</f>
        <v>PO Box 798, Latrobe, PA, 15650</v>
      </c>
    </row>
    <row r="1730" spans="1:13" ht="15.6" hidden="1" x14ac:dyDescent="0.3">
      <c r="A1730" s="1" t="s">
        <v>5467</v>
      </c>
      <c r="B1730" s="1"/>
      <c r="C1730" s="1"/>
      <c r="D1730" s="1"/>
      <c r="E1730" s="1"/>
      <c r="F1730" s="1"/>
      <c r="G1730" s="1" t="s">
        <v>43</v>
      </c>
      <c r="H1730" s="2">
        <v>241</v>
      </c>
      <c r="I1730" s="1" t="s">
        <v>5468</v>
      </c>
      <c r="J1730" s="1" t="s">
        <v>2023</v>
      </c>
      <c r="K1730" s="1" t="s">
        <v>82</v>
      </c>
      <c r="L1730" s="1" t="s">
        <v>5469</v>
      </c>
      <c r="M1730" s="6" t="str">
        <f>_xlfn.CONCAT(Table1[[#This Row],[Billing Street]], ", ", Table1[[#This Row],[Billing City]], ", ", Table1[[#This Row],[Billing State/Province]], ", ", Table1[[#This Row],[Billing Zip/Postal Code]])</f>
        <v>3535 Roger B. Chaffee Blvd. Suite B, Grand Rapids, MI, 49548</v>
      </c>
    </row>
    <row r="1731" spans="1:13" ht="15.6" hidden="1" x14ac:dyDescent="0.3">
      <c r="A1731" s="1" t="s">
        <v>5470</v>
      </c>
      <c r="B1731" s="1"/>
      <c r="C1731" s="1"/>
      <c r="D1731" s="1"/>
      <c r="E1731" s="1"/>
      <c r="F1731" s="1"/>
      <c r="G1731" s="1" t="s">
        <v>43</v>
      </c>
      <c r="H1731" s="2">
        <v>116</v>
      </c>
      <c r="I1731" s="1" t="s">
        <v>5471</v>
      </c>
      <c r="J1731" s="1" t="s">
        <v>4590</v>
      </c>
      <c r="K1731" s="1" t="s">
        <v>5472</v>
      </c>
      <c r="L1731" s="1" t="s">
        <v>5473</v>
      </c>
      <c r="M1731" s="6" t="str">
        <f>_xlfn.CONCAT(Table1[[#This Row],[Billing Street]], ", ", Table1[[#This Row],[Billing City]], ", ", Table1[[#This Row],[Billing State/Province]], ", ", Table1[[#This Row],[Billing Zip/Postal Code]])</f>
        <v>670 Lakeview Plaza suite M, Washington, Oh, 43085</v>
      </c>
    </row>
    <row r="1732" spans="1:13" ht="15.6" hidden="1" x14ac:dyDescent="0.3">
      <c r="A1732" s="1" t="s">
        <v>1397</v>
      </c>
      <c r="B1732" s="1"/>
      <c r="C1732" s="1"/>
      <c r="D1732" s="1"/>
      <c r="E1732" s="1"/>
      <c r="F1732" s="1"/>
      <c r="G1732" s="1" t="s">
        <v>205</v>
      </c>
      <c r="H1732" s="2">
        <v>8</v>
      </c>
      <c r="I1732" s="1" t="s">
        <v>5474</v>
      </c>
      <c r="J1732" s="1" t="s">
        <v>518</v>
      </c>
      <c r="K1732" s="1" t="s">
        <v>479</v>
      </c>
      <c r="L1732" s="1" t="s">
        <v>5475</v>
      </c>
      <c r="M1732" s="6" t="str">
        <f>_xlfn.CONCAT(Table1[[#This Row],[Billing Street]], ", ", Table1[[#This Row],[Billing City]], ", ", Table1[[#This Row],[Billing State/Province]], ", ", Table1[[#This Row],[Billing Zip/Postal Code]])</f>
        <v>7776 S. Point Parkway West Suite 185, Phoenix, AZ, 85044</v>
      </c>
    </row>
    <row r="1733" spans="1:13" ht="15.6" hidden="1" x14ac:dyDescent="0.3">
      <c r="A1733" s="1" t="s">
        <v>5476</v>
      </c>
      <c r="B1733" s="1"/>
      <c r="C1733" s="1"/>
      <c r="D1733" s="1"/>
      <c r="E1733" s="1"/>
      <c r="F1733" s="1"/>
      <c r="G1733" s="1" t="s">
        <v>8</v>
      </c>
      <c r="H1733" s="2">
        <v>232</v>
      </c>
      <c r="I1733" s="1" t="s">
        <v>5477</v>
      </c>
      <c r="J1733" s="1" t="s">
        <v>1970</v>
      </c>
      <c r="K1733" s="1" t="s">
        <v>51</v>
      </c>
      <c r="L1733" s="1" t="s">
        <v>13</v>
      </c>
      <c r="M1733" s="6" t="str">
        <f>_xlfn.CONCAT(Table1[[#This Row],[Billing Street]], ", ", Table1[[#This Row],[Billing City]], ", ", Table1[[#This Row],[Billing State/Province]], ", ", Table1[[#This Row],[Billing Zip/Postal Code]])</f>
        <v xml:space="preserve">1485 N. Main Street, Paris, TX, </v>
      </c>
    </row>
    <row r="1734" spans="1:13" ht="15.6" hidden="1" x14ac:dyDescent="0.3">
      <c r="A1734" s="1" t="s">
        <v>5478</v>
      </c>
      <c r="B1734" s="1"/>
      <c r="C1734" s="1"/>
      <c r="D1734" s="1"/>
      <c r="E1734" s="1"/>
      <c r="F1734" s="1"/>
      <c r="G1734" s="1" t="s">
        <v>43</v>
      </c>
      <c r="H1734" s="2">
        <v>5776</v>
      </c>
      <c r="I1734" s="1" t="s">
        <v>5479</v>
      </c>
      <c r="J1734" s="1" t="s">
        <v>5480</v>
      </c>
      <c r="K1734" s="1" t="s">
        <v>4012</v>
      </c>
      <c r="L1734" s="1" t="s">
        <v>5481</v>
      </c>
      <c r="M1734" s="6" t="str">
        <f>_xlfn.CONCAT(Table1[[#This Row],[Billing Street]], ", ", Table1[[#This Row],[Billing City]], ", ", Table1[[#This Row],[Billing State/Province]], ", ", Table1[[#This Row],[Billing Zip/Postal Code]])</f>
        <v>209 State St., Presque Isle, ME, 4769</v>
      </c>
    </row>
    <row r="1735" spans="1:13" ht="15.6" hidden="1" x14ac:dyDescent="0.3">
      <c r="A1735" s="1" t="s">
        <v>5482</v>
      </c>
      <c r="B1735" s="1"/>
      <c r="C1735" s="1"/>
      <c r="D1735" s="1"/>
      <c r="E1735" s="1"/>
      <c r="F1735" s="1"/>
      <c r="G1735" s="1" t="s">
        <v>8</v>
      </c>
      <c r="H1735" s="2">
        <v>384</v>
      </c>
      <c r="I1735" s="1" t="s">
        <v>5483</v>
      </c>
      <c r="J1735" s="1" t="s">
        <v>5461</v>
      </c>
      <c r="K1735" s="1" t="s">
        <v>51</v>
      </c>
      <c r="L1735" s="1" t="s">
        <v>5462</v>
      </c>
      <c r="M1735" s="6" t="str">
        <f>_xlfn.CONCAT(Table1[[#This Row],[Billing Street]], ", ", Table1[[#This Row],[Billing City]], ", ", Table1[[#This Row],[Billing State/Province]], ", ", Table1[[#This Row],[Billing Zip/Postal Code]])</f>
        <v>114 West Virginia Street, Floydada, TX, 79235</v>
      </c>
    </row>
    <row r="1736" spans="1:13" ht="15.6" x14ac:dyDescent="0.3">
      <c r="A1736" s="1" t="s">
        <v>5484</v>
      </c>
      <c r="B1736" s="1"/>
      <c r="C1736" s="1"/>
      <c r="D1736" s="1"/>
      <c r="E1736" s="1"/>
      <c r="F1736" s="1"/>
      <c r="G1736" s="1" t="s">
        <v>24</v>
      </c>
      <c r="H1736" s="2">
        <v>5988</v>
      </c>
      <c r="I1736" s="1" t="s">
        <v>5485</v>
      </c>
      <c r="J1736" s="1" t="s">
        <v>5486</v>
      </c>
      <c r="K1736" s="1" t="s">
        <v>31</v>
      </c>
      <c r="L1736" s="1" t="s">
        <v>5487</v>
      </c>
      <c r="M1736" s="6" t="str">
        <f>_xlfn.CONCAT(Table1[[#This Row],[Billing Street]], ", ", Table1[[#This Row],[Billing City]], ", ", Table1[[#This Row],[Billing State/Province]], ", ", Table1[[#This Row],[Billing Zip/Postal Code]])</f>
        <v>Marquette Road-Warren BLDG, Brandon, MS, 39042</v>
      </c>
    </row>
    <row r="1737" spans="1:13" ht="15.6" hidden="1" x14ac:dyDescent="0.3">
      <c r="A1737" s="1" t="s">
        <v>5488</v>
      </c>
      <c r="B1737" s="1"/>
      <c r="C1737" s="1"/>
      <c r="D1737" s="1"/>
      <c r="E1737" s="1"/>
      <c r="F1737" s="1"/>
      <c r="G1737" s="1" t="s">
        <v>98</v>
      </c>
      <c r="H1737" s="2">
        <v>101</v>
      </c>
      <c r="I1737" s="1" t="s">
        <v>5489</v>
      </c>
      <c r="J1737" s="1" t="s">
        <v>5490</v>
      </c>
      <c r="K1737" s="1" t="s">
        <v>1135</v>
      </c>
      <c r="L1737" s="1" t="s">
        <v>5491</v>
      </c>
      <c r="M1737" s="6" t="str">
        <f>_xlfn.CONCAT(Table1[[#This Row],[Billing Street]], ", ", Table1[[#This Row],[Billing City]], ", ", Table1[[#This Row],[Billing State/Province]], ", ", Table1[[#This Row],[Billing Zip/Postal Code]])</f>
        <v>6149 Hunter Road, Ooltewah, TN, 37363</v>
      </c>
    </row>
    <row r="1738" spans="1:13" ht="15.6" hidden="1" x14ac:dyDescent="0.3">
      <c r="A1738" s="1" t="s">
        <v>5492</v>
      </c>
      <c r="B1738" s="1"/>
      <c r="C1738" s="1"/>
      <c r="D1738" s="1"/>
      <c r="E1738" s="1"/>
      <c r="F1738" s="1"/>
      <c r="G1738" s="1" t="s">
        <v>43</v>
      </c>
      <c r="H1738" s="2">
        <v>5776</v>
      </c>
      <c r="I1738" s="1" t="s">
        <v>5493</v>
      </c>
      <c r="J1738" s="1" t="s">
        <v>5494</v>
      </c>
      <c r="K1738" s="1" t="s">
        <v>5495</v>
      </c>
      <c r="L1738" s="1" t="s">
        <v>5496</v>
      </c>
      <c r="M1738" s="6" t="str">
        <f>_xlfn.CONCAT(Table1[[#This Row],[Billing Street]], ", ", Table1[[#This Row],[Billing City]], ", ", Table1[[#This Row],[Billing State/Province]], ", ", Table1[[#This Row],[Billing Zip/Postal Code]])</f>
        <v>380 Maurer Rd, Perth Amboy, Nj, 8861</v>
      </c>
    </row>
    <row r="1739" spans="1:13" ht="15.6" hidden="1" x14ac:dyDescent="0.3">
      <c r="A1739" s="1" t="s">
        <v>5497</v>
      </c>
      <c r="B1739" s="1"/>
      <c r="C1739" s="1"/>
      <c r="D1739" s="1"/>
      <c r="E1739" s="1"/>
      <c r="F1739" s="1"/>
      <c r="G1739" s="1" t="s">
        <v>43</v>
      </c>
      <c r="H1739" s="2">
        <v>5776</v>
      </c>
      <c r="I1739" s="1" t="s">
        <v>5498</v>
      </c>
      <c r="J1739" s="1" t="s">
        <v>5499</v>
      </c>
      <c r="K1739" s="1" t="s">
        <v>3339</v>
      </c>
      <c r="L1739" s="1" t="s">
        <v>5500</v>
      </c>
      <c r="M1739" s="6" t="str">
        <f>_xlfn.CONCAT(Table1[[#This Row],[Billing Street]], ", ", Table1[[#This Row],[Billing City]], ", ", Table1[[#This Row],[Billing State/Province]], ", ", Table1[[#This Row],[Billing Zip/Postal Code]])</f>
        <v>28 Penobscot Meadow Dr, Hampden, Me, 4444</v>
      </c>
    </row>
    <row r="1740" spans="1:13" ht="15.6" hidden="1" x14ac:dyDescent="0.3">
      <c r="A1740" s="1" t="s">
        <v>5501</v>
      </c>
      <c r="B1740" s="1"/>
      <c r="C1740" s="1"/>
      <c r="D1740" s="1"/>
      <c r="E1740" s="1"/>
      <c r="F1740" s="1"/>
      <c r="G1740" s="1" t="s">
        <v>8</v>
      </c>
      <c r="H1740" s="2">
        <v>6528</v>
      </c>
      <c r="I1740" s="1" t="s">
        <v>13</v>
      </c>
      <c r="J1740" s="1" t="s">
        <v>13</v>
      </c>
      <c r="K1740" s="1" t="s">
        <v>51</v>
      </c>
      <c r="L1740" s="1" t="s">
        <v>13</v>
      </c>
      <c r="M1740" s="6" t="str">
        <f>_xlfn.CONCAT(Table1[[#This Row],[Billing Street]], ", ", Table1[[#This Row],[Billing City]], ", ", Table1[[#This Row],[Billing State/Province]], ", ", Table1[[#This Row],[Billing Zip/Postal Code]])</f>
        <v xml:space="preserve">, , TX, </v>
      </c>
    </row>
    <row r="1741" spans="1:13" ht="15.6" x14ac:dyDescent="0.3">
      <c r="A1741" s="1" t="s">
        <v>5502</v>
      </c>
      <c r="B1741" s="1"/>
      <c r="C1741" s="1"/>
      <c r="D1741" s="1"/>
      <c r="E1741" s="1"/>
      <c r="F1741" s="1"/>
      <c r="G1741" s="1" t="s">
        <v>24</v>
      </c>
      <c r="H1741" s="2">
        <v>251</v>
      </c>
      <c r="I1741" s="1" t="s">
        <v>5503</v>
      </c>
      <c r="J1741" s="1" t="s">
        <v>5504</v>
      </c>
      <c r="K1741" s="1" t="s">
        <v>26</v>
      </c>
      <c r="L1741" s="1" t="s">
        <v>5505</v>
      </c>
      <c r="M1741" s="6" t="str">
        <f>_xlfn.CONCAT(Table1[[#This Row],[Billing Street]], ", ", Table1[[#This Row],[Billing City]], ", ", Table1[[#This Row],[Billing State/Province]], ", ", Table1[[#This Row],[Billing Zip/Postal Code]])</f>
        <v>3500 Lake Guntersville Park Dr, Guntersville, AL, 35976</v>
      </c>
    </row>
    <row r="1742" spans="1:13" ht="15.6" hidden="1" x14ac:dyDescent="0.3">
      <c r="A1742" s="1" t="s">
        <v>5506</v>
      </c>
      <c r="B1742" s="1"/>
      <c r="C1742" s="1"/>
      <c r="D1742" s="1"/>
      <c r="E1742" s="1"/>
      <c r="F1742" s="1"/>
      <c r="G1742" s="1" t="s">
        <v>43</v>
      </c>
      <c r="H1742" s="2">
        <v>217</v>
      </c>
      <c r="I1742" s="1" t="s">
        <v>5507</v>
      </c>
      <c r="J1742" s="1" t="s">
        <v>5508</v>
      </c>
      <c r="K1742" s="1" t="s">
        <v>671</v>
      </c>
      <c r="L1742" s="1" t="s">
        <v>5509</v>
      </c>
      <c r="M1742" s="6" t="str">
        <f>_xlfn.CONCAT(Table1[[#This Row],[Billing Street]], ", ", Table1[[#This Row],[Billing City]], ", ", Table1[[#This Row],[Billing State/Province]], ", ", Table1[[#This Row],[Billing Zip/Postal Code]])</f>
        <v>11 Buffalo St, Bergen, NY, 14416</v>
      </c>
    </row>
    <row r="1743" spans="1:13" ht="15.6" hidden="1" x14ac:dyDescent="0.3">
      <c r="A1743" s="1" t="s">
        <v>5510</v>
      </c>
      <c r="B1743" s="1"/>
      <c r="C1743" s="1"/>
      <c r="D1743" s="1"/>
      <c r="E1743" s="1"/>
      <c r="F1743" s="1"/>
      <c r="G1743" s="1" t="s">
        <v>8</v>
      </c>
      <c r="H1743" s="2">
        <v>6528</v>
      </c>
      <c r="I1743" s="1" t="s">
        <v>13</v>
      </c>
      <c r="J1743" s="1" t="s">
        <v>13</v>
      </c>
      <c r="K1743" s="1" t="s">
        <v>51</v>
      </c>
      <c r="L1743" s="1" t="s">
        <v>13</v>
      </c>
      <c r="M1743" s="6" t="str">
        <f>_xlfn.CONCAT(Table1[[#This Row],[Billing Street]], ", ", Table1[[#This Row],[Billing City]], ", ", Table1[[#This Row],[Billing State/Province]], ", ", Table1[[#This Row],[Billing Zip/Postal Code]])</f>
        <v xml:space="preserve">, , TX, </v>
      </c>
    </row>
    <row r="1744" spans="1:13" ht="15.6" hidden="1" x14ac:dyDescent="0.3">
      <c r="A1744" s="1" t="s">
        <v>5511</v>
      </c>
      <c r="B1744" s="1"/>
      <c r="C1744" s="1"/>
      <c r="D1744" s="1"/>
      <c r="E1744" s="1"/>
      <c r="F1744" s="1"/>
      <c r="G1744" s="1" t="s">
        <v>43</v>
      </c>
      <c r="H1744" s="2">
        <v>109</v>
      </c>
      <c r="I1744" s="1" t="s">
        <v>5512</v>
      </c>
      <c r="J1744" s="1" t="s">
        <v>396</v>
      </c>
      <c r="K1744" s="1" t="s">
        <v>82</v>
      </c>
      <c r="L1744" s="1" t="s">
        <v>5513</v>
      </c>
      <c r="M1744" s="6" t="str">
        <f>_xlfn.CONCAT(Table1[[#This Row],[Billing Street]], ", ", Table1[[#This Row],[Billing City]], ", ", Table1[[#This Row],[Billing State/Province]], ", ", Table1[[#This Row],[Billing Zip/Postal Code]])</f>
        <v>10900 Harper Avenue, Detroit, MI, 48213</v>
      </c>
    </row>
    <row r="1745" spans="1:13" ht="15.6" hidden="1" x14ac:dyDescent="0.3">
      <c r="A1745" s="1" t="s">
        <v>5514</v>
      </c>
      <c r="B1745" s="1"/>
      <c r="C1745" s="1"/>
      <c r="D1745" s="1"/>
      <c r="E1745" s="1"/>
      <c r="F1745" s="1"/>
      <c r="G1745" s="1" t="s">
        <v>8</v>
      </c>
      <c r="H1745" s="2">
        <v>310</v>
      </c>
      <c r="I1745" s="1" t="s">
        <v>5515</v>
      </c>
      <c r="J1745" s="1" t="s">
        <v>5516</v>
      </c>
      <c r="K1745" s="1" t="s">
        <v>165</v>
      </c>
      <c r="L1745" s="1" t="s">
        <v>5517</v>
      </c>
      <c r="M1745" s="6" t="str">
        <f>_xlfn.CONCAT(Table1[[#This Row],[Billing Street]], ", ", Table1[[#This Row],[Billing City]], ", ", Table1[[#This Row],[Billing State/Province]], ", ", Table1[[#This Row],[Billing Zip/Postal Code]])</f>
        <v>520 E Main, ElDorado, AR, 71730</v>
      </c>
    </row>
    <row r="1746" spans="1:13" ht="15.6" hidden="1" x14ac:dyDescent="0.3">
      <c r="A1746" s="1" t="s">
        <v>5518</v>
      </c>
      <c r="B1746" s="1"/>
      <c r="C1746" s="1"/>
      <c r="D1746" s="1"/>
      <c r="E1746" s="1"/>
      <c r="F1746" s="1"/>
      <c r="G1746" s="1" t="s">
        <v>43</v>
      </c>
      <c r="H1746" s="2">
        <v>15</v>
      </c>
      <c r="I1746" s="1" t="s">
        <v>5519</v>
      </c>
      <c r="J1746" s="1" t="s">
        <v>104</v>
      </c>
      <c r="K1746" s="1" t="s">
        <v>45</v>
      </c>
      <c r="L1746" s="1" t="s">
        <v>5520</v>
      </c>
      <c r="M1746" s="6" t="str">
        <f>_xlfn.CONCAT(Table1[[#This Row],[Billing Street]], ", ", Table1[[#This Row],[Billing City]], ", ", Table1[[#This Row],[Billing State/Province]], ", ", Table1[[#This Row],[Billing Zip/Postal Code]])</f>
        <v>11100 Euclid Avenue, Cleveland, OH, 44106</v>
      </c>
    </row>
    <row r="1747" spans="1:13" ht="15.6" hidden="1" x14ac:dyDescent="0.3">
      <c r="A1747" s="1" t="s">
        <v>5521</v>
      </c>
      <c r="B1747" s="1"/>
      <c r="C1747" s="1"/>
      <c r="D1747" s="1"/>
      <c r="E1747" s="1"/>
      <c r="F1747" s="1"/>
      <c r="G1747" s="1" t="s">
        <v>8</v>
      </c>
      <c r="H1747" s="2">
        <v>454</v>
      </c>
      <c r="I1747" s="1" t="s">
        <v>5522</v>
      </c>
      <c r="J1747" s="1" t="s">
        <v>5523</v>
      </c>
      <c r="K1747" s="1" t="s">
        <v>51</v>
      </c>
      <c r="L1747" s="1" t="s">
        <v>5524</v>
      </c>
      <c r="M1747" s="6" t="str">
        <f>_xlfn.CONCAT(Table1[[#This Row],[Billing Street]], ", ", Table1[[#This Row],[Billing City]], ", ", Table1[[#This Row],[Billing State/Province]], ", ", Table1[[#This Row],[Billing Zip/Postal Code]])</f>
        <v>107 S Hill St, Caldwell, TX, 77836</v>
      </c>
    </row>
    <row r="1748" spans="1:13" ht="15.6" hidden="1" x14ac:dyDescent="0.3">
      <c r="A1748" s="1" t="s">
        <v>5525</v>
      </c>
      <c r="B1748" s="1"/>
      <c r="C1748" s="1"/>
      <c r="D1748" s="1"/>
      <c r="E1748" s="1"/>
      <c r="F1748" s="1"/>
      <c r="G1748" s="1" t="s">
        <v>43</v>
      </c>
      <c r="H1748" s="2">
        <v>299</v>
      </c>
      <c r="I1748" s="1" t="s">
        <v>5526</v>
      </c>
      <c r="J1748" s="1" t="s">
        <v>1105</v>
      </c>
      <c r="K1748" s="1" t="s">
        <v>1106</v>
      </c>
      <c r="L1748" s="1" t="s">
        <v>5527</v>
      </c>
      <c r="M1748" s="6" t="str">
        <f>_xlfn.CONCAT(Table1[[#This Row],[Billing Street]], ", ", Table1[[#This Row],[Billing City]], ", ", Table1[[#This Row],[Billing State/Province]], ", ", Table1[[#This Row],[Billing Zip/Postal Code]])</f>
        <v>2001 Wharf Rd, Baltimore, md, 21219</v>
      </c>
    </row>
    <row r="1749" spans="1:13" ht="15.6" hidden="1" x14ac:dyDescent="0.3">
      <c r="A1749" s="1" t="s">
        <v>5528</v>
      </c>
      <c r="B1749" s="1"/>
      <c r="C1749" s="1"/>
      <c r="D1749" s="1"/>
      <c r="E1749" s="1"/>
      <c r="F1749" s="1"/>
      <c r="G1749" s="1" t="s">
        <v>8</v>
      </c>
      <c r="H1749" s="2">
        <v>508</v>
      </c>
      <c r="I1749" s="1" t="s">
        <v>5529</v>
      </c>
      <c r="J1749" s="1" t="s">
        <v>557</v>
      </c>
      <c r="K1749" s="1" t="s">
        <v>51</v>
      </c>
      <c r="L1749" s="1" t="s">
        <v>5530</v>
      </c>
      <c r="M1749" s="6" t="str">
        <f>_xlfn.CONCAT(Table1[[#This Row],[Billing Street]], ", ", Table1[[#This Row],[Billing City]], ", ", Table1[[#This Row],[Billing State/Province]], ", ", Table1[[#This Row],[Billing Zip/Postal Code]])</f>
        <v>2337 Naomi Street, Houston, TX, 77054</v>
      </c>
    </row>
    <row r="1750" spans="1:13" ht="15.6" hidden="1" x14ac:dyDescent="0.3">
      <c r="A1750" s="1" t="s">
        <v>5531</v>
      </c>
      <c r="B1750" s="1"/>
      <c r="C1750" s="1"/>
      <c r="D1750" s="1"/>
      <c r="E1750" s="1"/>
      <c r="F1750" s="1"/>
      <c r="G1750" s="1" t="s">
        <v>8</v>
      </c>
      <c r="H1750" s="2">
        <v>459</v>
      </c>
      <c r="I1750" s="1" t="s">
        <v>5532</v>
      </c>
      <c r="J1750" s="1" t="s">
        <v>5533</v>
      </c>
      <c r="K1750" s="1" t="s">
        <v>51</v>
      </c>
      <c r="L1750" s="1" t="s">
        <v>13</v>
      </c>
      <c r="M1750" s="6" t="str">
        <f>_xlfn.CONCAT(Table1[[#This Row],[Billing Street]], ", ", Table1[[#This Row],[Billing City]], ", ", Table1[[#This Row],[Billing State/Province]], ", ", Table1[[#This Row],[Billing Zip/Postal Code]])</f>
        <v xml:space="preserve">1000 Buchanan Dr, Burnet, TX, </v>
      </c>
    </row>
    <row r="1751" spans="1:13" ht="15.6" hidden="1" x14ac:dyDescent="0.3">
      <c r="A1751" s="1" t="s">
        <v>5534</v>
      </c>
      <c r="B1751" s="1"/>
      <c r="C1751" s="1"/>
      <c r="D1751" s="1"/>
      <c r="E1751" s="1"/>
      <c r="F1751" s="1"/>
      <c r="G1751" s="1" t="s">
        <v>43</v>
      </c>
      <c r="H1751" s="2">
        <v>275</v>
      </c>
      <c r="I1751" s="1" t="s">
        <v>5535</v>
      </c>
      <c r="J1751" s="1" t="s">
        <v>5536</v>
      </c>
      <c r="K1751" s="1" t="s">
        <v>1115</v>
      </c>
      <c r="L1751" s="1" t="s">
        <v>5537</v>
      </c>
      <c r="M1751" s="6" t="str">
        <f>_xlfn.CONCAT(Table1[[#This Row],[Billing Street]], ", ", Table1[[#This Row],[Billing City]], ", ", Table1[[#This Row],[Billing State/Province]], ", ", Table1[[#This Row],[Billing Zip/Postal Code]])</f>
        <v>8500 Public Works Dr., Manassas, VA, 20110</v>
      </c>
    </row>
    <row r="1752" spans="1:13" ht="15.6" hidden="1" x14ac:dyDescent="0.3">
      <c r="A1752" s="1" t="s">
        <v>5538</v>
      </c>
      <c r="B1752" s="1"/>
      <c r="C1752" s="1"/>
      <c r="D1752" s="1"/>
      <c r="E1752" s="1"/>
      <c r="F1752" s="1"/>
      <c r="G1752" s="1" t="s">
        <v>8</v>
      </c>
      <c r="H1752" s="2">
        <v>290</v>
      </c>
      <c r="I1752" s="1" t="s">
        <v>5539</v>
      </c>
      <c r="J1752" s="1" t="s">
        <v>691</v>
      </c>
      <c r="K1752" s="1" t="s">
        <v>51</v>
      </c>
      <c r="L1752" s="1" t="s">
        <v>5540</v>
      </c>
      <c r="M1752" s="6" t="str">
        <f>_xlfn.CONCAT(Table1[[#This Row],[Billing Street]], ", ", Table1[[#This Row],[Billing City]], ", ", Table1[[#This Row],[Billing State/Province]], ", ", Table1[[#This Row],[Billing Zip/Postal Code]])</f>
        <v>900 Thompson St, Bridgeport, TX, 76426</v>
      </c>
    </row>
    <row r="1753" spans="1:13" ht="15.6" hidden="1" x14ac:dyDescent="0.3">
      <c r="A1753" s="1" t="s">
        <v>5541</v>
      </c>
      <c r="B1753" s="1"/>
      <c r="C1753" s="1"/>
      <c r="D1753" s="1"/>
      <c r="E1753" s="1"/>
      <c r="F1753" s="1"/>
      <c r="G1753" s="1" t="s">
        <v>8</v>
      </c>
      <c r="H1753" s="2">
        <v>569</v>
      </c>
      <c r="I1753" s="1" t="s">
        <v>5542</v>
      </c>
      <c r="J1753" s="1" t="s">
        <v>5543</v>
      </c>
      <c r="K1753" s="1" t="s">
        <v>51</v>
      </c>
      <c r="L1753" s="1" t="s">
        <v>5544</v>
      </c>
      <c r="M1753" s="6" t="str">
        <f>_xlfn.CONCAT(Table1[[#This Row],[Billing Street]], ", ", Table1[[#This Row],[Billing City]], ", ", Table1[[#This Row],[Billing State/Province]], ", ", Table1[[#This Row],[Billing Zip/Postal Code]])</f>
        <v>1600 Ave M, Hondo, TX, 78861</v>
      </c>
    </row>
    <row r="1754" spans="1:13" ht="15.6" hidden="1" x14ac:dyDescent="0.3">
      <c r="A1754" s="1" t="s">
        <v>5545</v>
      </c>
      <c r="B1754" s="1"/>
      <c r="C1754" s="1"/>
      <c r="D1754" s="1"/>
      <c r="E1754" s="1"/>
      <c r="F1754" s="1"/>
      <c r="G1754" s="1" t="s">
        <v>8</v>
      </c>
      <c r="H1754" s="2">
        <v>6528</v>
      </c>
      <c r="I1754" s="1" t="s">
        <v>13</v>
      </c>
      <c r="J1754" s="1" t="s">
        <v>13</v>
      </c>
      <c r="K1754" s="1" t="s">
        <v>51</v>
      </c>
      <c r="L1754" s="1" t="s">
        <v>13</v>
      </c>
      <c r="M1754" s="6" t="str">
        <f>_xlfn.CONCAT(Table1[[#This Row],[Billing Street]], ", ", Table1[[#This Row],[Billing City]], ", ", Table1[[#This Row],[Billing State/Province]], ", ", Table1[[#This Row],[Billing Zip/Postal Code]])</f>
        <v xml:space="preserve">, , TX, </v>
      </c>
    </row>
    <row r="1755" spans="1:13" ht="15.6" x14ac:dyDescent="0.3">
      <c r="A1755" s="1" t="s">
        <v>5546</v>
      </c>
      <c r="B1755" s="1"/>
      <c r="C1755" s="1"/>
      <c r="D1755" s="1"/>
      <c r="E1755" s="1"/>
      <c r="F1755" s="1"/>
      <c r="G1755" s="1" t="s">
        <v>24</v>
      </c>
      <c r="H1755" s="2">
        <v>5988</v>
      </c>
      <c r="I1755" s="1" t="s">
        <v>5547</v>
      </c>
      <c r="J1755" s="1" t="s">
        <v>5486</v>
      </c>
      <c r="K1755" s="1" t="s">
        <v>31</v>
      </c>
      <c r="L1755" s="1" t="s">
        <v>5487</v>
      </c>
      <c r="M1755" s="6" t="str">
        <f>_xlfn.CONCAT(Table1[[#This Row],[Billing Street]], ", ", Table1[[#This Row],[Billing City]], ", ", Table1[[#This Row],[Billing State/Province]], ", ", Table1[[#This Row],[Billing Zip/Postal Code]])</f>
        <v>167 Gulde Road, Brandon, MS, 39042</v>
      </c>
    </row>
    <row r="1756" spans="1:13" ht="15.6" hidden="1" x14ac:dyDescent="0.3">
      <c r="A1756" s="1" t="s">
        <v>5548</v>
      </c>
      <c r="B1756" s="1"/>
      <c r="C1756" s="1"/>
      <c r="D1756" s="1"/>
      <c r="E1756" s="1"/>
      <c r="F1756" s="1"/>
      <c r="G1756" s="1" t="s">
        <v>8</v>
      </c>
      <c r="H1756" s="2">
        <v>487</v>
      </c>
      <c r="I1756" s="1" t="s">
        <v>5549</v>
      </c>
      <c r="J1756" s="1" t="s">
        <v>5550</v>
      </c>
      <c r="K1756" s="1" t="s">
        <v>51</v>
      </c>
      <c r="L1756" s="1" t="s">
        <v>5551</v>
      </c>
      <c r="M1756" s="6" t="str">
        <f>_xlfn.CONCAT(Table1[[#This Row],[Billing Street]], ", ", Table1[[#This Row],[Billing City]], ", ", Table1[[#This Row],[Billing State/Province]], ", ", Table1[[#This Row],[Billing Zip/Postal Code]])</f>
        <v>1209 Linden St, Bastrop, TX, 78602</v>
      </c>
    </row>
    <row r="1757" spans="1:13" ht="15.6" hidden="1" x14ac:dyDescent="0.3">
      <c r="A1757" s="1" t="s">
        <v>5552</v>
      </c>
      <c r="B1757" s="1"/>
      <c r="C1757" s="1"/>
      <c r="D1757" s="1"/>
      <c r="E1757" s="1"/>
      <c r="F1757" s="1"/>
      <c r="G1757" s="1" t="s">
        <v>8</v>
      </c>
      <c r="H1757" s="2">
        <v>6528</v>
      </c>
      <c r="I1757" s="1" t="s">
        <v>5553</v>
      </c>
      <c r="J1757" s="1" t="s">
        <v>5554</v>
      </c>
      <c r="K1757" s="1" t="s">
        <v>51</v>
      </c>
      <c r="L1757" s="1" t="s">
        <v>5555</v>
      </c>
      <c r="M1757" s="6" t="str">
        <f>_xlfn.CONCAT(Table1[[#This Row],[Billing Street]], ", ", Table1[[#This Row],[Billing City]], ", ", Table1[[#This Row],[Billing State/Province]], ", ", Table1[[#This Row],[Billing Zip/Postal Code]])</f>
        <v>1584 TAMU, College Station, TX, 77843</v>
      </c>
    </row>
    <row r="1758" spans="1:13" ht="15.6" x14ac:dyDescent="0.3">
      <c r="A1758" s="1" t="s">
        <v>5556</v>
      </c>
      <c r="B1758" s="1"/>
      <c r="C1758" s="1"/>
      <c r="D1758" s="1"/>
      <c r="E1758" s="1"/>
      <c r="F1758" s="1"/>
      <c r="G1758" s="1" t="s">
        <v>24</v>
      </c>
      <c r="H1758" s="2">
        <v>27</v>
      </c>
      <c r="I1758" s="1" t="s">
        <v>5557</v>
      </c>
      <c r="J1758" s="1" t="s">
        <v>381</v>
      </c>
      <c r="K1758" s="1" t="s">
        <v>36</v>
      </c>
      <c r="L1758" s="1" t="s">
        <v>4049</v>
      </c>
      <c r="M1758" s="6" t="str">
        <f>_xlfn.CONCAT(Table1[[#This Row],[Billing Street]], ", ", Table1[[#This Row],[Billing City]], ", ", Table1[[#This Row],[Billing State/Province]], ", ", Table1[[#This Row],[Billing Zip/Postal Code]])</f>
        <v>1212 N Ferdon Blvd, Crestview, FL, 32536</v>
      </c>
    </row>
    <row r="1759" spans="1:13" ht="15.6" hidden="1" x14ac:dyDescent="0.3">
      <c r="A1759" s="1" t="s">
        <v>5558</v>
      </c>
      <c r="B1759" s="1"/>
      <c r="C1759" s="1"/>
      <c r="D1759" s="1"/>
      <c r="E1759" s="1"/>
      <c r="F1759" s="1"/>
      <c r="G1759" s="1" t="s">
        <v>8</v>
      </c>
      <c r="H1759" s="2">
        <v>6528</v>
      </c>
      <c r="I1759" s="1" t="s">
        <v>13</v>
      </c>
      <c r="J1759" s="1" t="s">
        <v>13</v>
      </c>
      <c r="K1759" s="1" t="s">
        <v>51</v>
      </c>
      <c r="L1759" s="1" t="s">
        <v>13</v>
      </c>
      <c r="M1759" s="6" t="str">
        <f>_xlfn.CONCAT(Table1[[#This Row],[Billing Street]], ", ", Table1[[#This Row],[Billing City]], ", ", Table1[[#This Row],[Billing State/Province]], ", ", Table1[[#This Row],[Billing Zip/Postal Code]])</f>
        <v xml:space="preserve">, , TX, </v>
      </c>
    </row>
    <row r="1760" spans="1:13" ht="15.6" hidden="1" x14ac:dyDescent="0.3">
      <c r="A1760" s="1" t="s">
        <v>5559</v>
      </c>
      <c r="B1760" s="1"/>
      <c r="C1760" s="1"/>
      <c r="D1760" s="1"/>
      <c r="E1760" s="1"/>
      <c r="F1760" s="1"/>
      <c r="G1760" s="1" t="s">
        <v>43</v>
      </c>
      <c r="H1760" s="2">
        <v>244</v>
      </c>
      <c r="I1760" s="1" t="s">
        <v>5560</v>
      </c>
      <c r="J1760" s="1" t="s">
        <v>5561</v>
      </c>
      <c r="K1760" s="1" t="s">
        <v>1115</v>
      </c>
      <c r="L1760" s="1" t="s">
        <v>5562</v>
      </c>
      <c r="M1760" s="6" t="str">
        <f>_xlfn.CONCAT(Table1[[#This Row],[Billing Street]], ", ", Table1[[#This Row],[Billing City]], ", ", Table1[[#This Row],[Billing State/Province]], ", ", Table1[[#This Row],[Billing Zip/Postal Code]])</f>
        <v>147 Dinkel Ave, Mount Crawford, VA, 22841-0236</v>
      </c>
    </row>
    <row r="1761" spans="1:13" ht="15.6" hidden="1" x14ac:dyDescent="0.3">
      <c r="A1761" s="1" t="s">
        <v>5563</v>
      </c>
      <c r="B1761" s="1"/>
      <c r="C1761" s="1"/>
      <c r="D1761" s="1"/>
      <c r="E1761" s="1"/>
      <c r="F1761" s="1"/>
      <c r="G1761" s="1" t="s">
        <v>8</v>
      </c>
      <c r="H1761" s="2">
        <v>542</v>
      </c>
      <c r="I1761" s="1" t="s">
        <v>5564</v>
      </c>
      <c r="J1761" s="1" t="s">
        <v>5565</v>
      </c>
      <c r="K1761" s="1" t="s">
        <v>51</v>
      </c>
      <c r="L1761" s="1" t="s">
        <v>5566</v>
      </c>
      <c r="M1761" s="6" t="str">
        <f>_xlfn.CONCAT(Table1[[#This Row],[Billing Street]], ", ", Table1[[#This Row],[Billing City]], ", ", Table1[[#This Row],[Billing State/Province]], ", ", Table1[[#This Row],[Billing Zip/Postal Code]])</f>
        <v>1815 E. Jackson, El Campo, TX, 77437</v>
      </c>
    </row>
    <row r="1762" spans="1:13" ht="15.6" hidden="1" x14ac:dyDescent="0.3">
      <c r="A1762" s="1" t="s">
        <v>5567</v>
      </c>
      <c r="B1762" s="1"/>
      <c r="C1762" s="1"/>
      <c r="D1762" s="1"/>
      <c r="E1762" s="1"/>
      <c r="F1762" s="1"/>
      <c r="G1762" s="1" t="s">
        <v>43</v>
      </c>
      <c r="H1762" s="2">
        <v>251</v>
      </c>
      <c r="I1762" s="1" t="s">
        <v>5568</v>
      </c>
      <c r="J1762" s="1" t="s">
        <v>5569</v>
      </c>
      <c r="K1762" s="1" t="s">
        <v>1115</v>
      </c>
      <c r="L1762" s="1" t="s">
        <v>5570</v>
      </c>
      <c r="M1762" s="6" t="str">
        <f>_xlfn.CONCAT(Table1[[#This Row],[Billing Street]], ", ", Table1[[#This Row],[Billing City]], ", ", Table1[[#This Row],[Billing State/Province]], ", ", Table1[[#This Row],[Billing Zip/Postal Code]])</f>
        <v>84 High St, Millboro, VA, 24460</v>
      </c>
    </row>
    <row r="1763" spans="1:13" ht="15.6" hidden="1" x14ac:dyDescent="0.3">
      <c r="A1763" s="1" t="s">
        <v>5571</v>
      </c>
      <c r="B1763" s="1"/>
      <c r="C1763" s="1"/>
      <c r="D1763" s="1"/>
      <c r="E1763" s="1"/>
      <c r="F1763" s="1"/>
      <c r="G1763" s="1" t="s">
        <v>54</v>
      </c>
      <c r="H1763" s="2">
        <v>7813</v>
      </c>
      <c r="I1763" s="1" t="s">
        <v>5572</v>
      </c>
      <c r="J1763" s="1" t="s">
        <v>922</v>
      </c>
      <c r="K1763" s="1" t="s">
        <v>405</v>
      </c>
      <c r="L1763" s="1" t="s">
        <v>13</v>
      </c>
      <c r="M1763" s="6" t="str">
        <f>_xlfn.CONCAT(Table1[[#This Row],[Billing Street]], ", ", Table1[[#This Row],[Billing City]], ", ", Table1[[#This Row],[Billing State/Province]], ", ", Table1[[#This Row],[Billing Zip/Postal Code]])</f>
        <v xml:space="preserve">138 Battle Ridge Dr, Centralia, WA, </v>
      </c>
    </row>
    <row r="1764" spans="1:13" ht="15.6" hidden="1" x14ac:dyDescent="0.3">
      <c r="A1764" s="1" t="s">
        <v>5573</v>
      </c>
      <c r="B1764" s="1"/>
      <c r="C1764" s="1"/>
      <c r="D1764" s="1"/>
      <c r="E1764" s="1"/>
      <c r="F1764" s="1"/>
      <c r="G1764" s="1" t="s">
        <v>13</v>
      </c>
      <c r="H1764" s="2">
        <v>0</v>
      </c>
      <c r="I1764" s="1" t="s">
        <v>13</v>
      </c>
      <c r="J1764" s="1" t="s">
        <v>13</v>
      </c>
      <c r="K1764" s="1" t="s">
        <v>13</v>
      </c>
      <c r="L1764" s="1" t="s">
        <v>13</v>
      </c>
      <c r="M1764" s="6" t="str">
        <f>_xlfn.CONCAT(Table1[[#This Row],[Billing Street]], ", ", Table1[[#This Row],[Billing City]], ", ", Table1[[#This Row],[Billing State/Province]], ", ", Table1[[#This Row],[Billing Zip/Postal Code]])</f>
        <v xml:space="preserve">, , , </v>
      </c>
    </row>
    <row r="1765" spans="1:13" ht="15.6" x14ac:dyDescent="0.3">
      <c r="A1765" s="1" t="s">
        <v>5574</v>
      </c>
      <c r="B1765" s="1"/>
      <c r="C1765" s="1"/>
      <c r="D1765" s="1"/>
      <c r="E1765" s="1"/>
      <c r="F1765" s="1"/>
      <c r="G1765" s="1" t="s">
        <v>24</v>
      </c>
      <c r="H1765" s="2">
        <v>5988</v>
      </c>
      <c r="I1765" s="1" t="s">
        <v>13</v>
      </c>
      <c r="J1765" s="1" t="s">
        <v>530</v>
      </c>
      <c r="K1765" s="1" t="s">
        <v>26</v>
      </c>
      <c r="L1765" s="1" t="s">
        <v>13</v>
      </c>
      <c r="M1765" s="6" t="str">
        <f>_xlfn.CONCAT(Table1[[#This Row],[Billing Street]], ", ", Table1[[#This Row],[Billing City]], ", ", Table1[[#This Row],[Billing State/Province]], ", ", Table1[[#This Row],[Billing Zip/Postal Code]])</f>
        <v xml:space="preserve">, McIntosh, AL, </v>
      </c>
    </row>
    <row r="1766" spans="1:13" ht="15.6" hidden="1" x14ac:dyDescent="0.3">
      <c r="A1766" s="1" t="s">
        <v>5575</v>
      </c>
      <c r="B1766" s="1"/>
      <c r="C1766" s="1"/>
      <c r="D1766" s="1"/>
      <c r="E1766" s="1"/>
      <c r="F1766" s="1"/>
      <c r="G1766" s="1" t="s">
        <v>13</v>
      </c>
      <c r="H1766" s="2">
        <v>0</v>
      </c>
      <c r="I1766" s="1" t="s">
        <v>13</v>
      </c>
      <c r="J1766" s="1" t="s">
        <v>13</v>
      </c>
      <c r="K1766" s="1" t="s">
        <v>13</v>
      </c>
      <c r="L1766" s="1" t="s">
        <v>13</v>
      </c>
      <c r="M1766" s="6" t="str">
        <f>_xlfn.CONCAT(Table1[[#This Row],[Billing Street]], ", ", Table1[[#This Row],[Billing City]], ", ", Table1[[#This Row],[Billing State/Province]], ", ", Table1[[#This Row],[Billing Zip/Postal Code]])</f>
        <v xml:space="preserve">, , , </v>
      </c>
    </row>
    <row r="1767" spans="1:13" ht="15.6" hidden="1" x14ac:dyDescent="0.3">
      <c r="A1767" s="1" t="s">
        <v>5576</v>
      </c>
      <c r="B1767" s="1"/>
      <c r="C1767" s="1"/>
      <c r="D1767" s="1"/>
      <c r="E1767" s="1"/>
      <c r="F1767" s="1"/>
      <c r="G1767" s="1" t="s">
        <v>98</v>
      </c>
      <c r="H1767" s="2">
        <v>5887</v>
      </c>
      <c r="I1767" s="1" t="s">
        <v>5577</v>
      </c>
      <c r="J1767" s="1" t="s">
        <v>5578</v>
      </c>
      <c r="K1767" s="1" t="s">
        <v>1178</v>
      </c>
      <c r="L1767" s="1" t="s">
        <v>13</v>
      </c>
      <c r="M1767" s="6" t="str">
        <f>_xlfn.CONCAT(Table1[[#This Row],[Billing Street]], ", ", Table1[[#This Row],[Billing City]], ", ", Table1[[#This Row],[Billing State/Province]], ", ", Table1[[#This Row],[Billing Zip/Postal Code]])</f>
        <v xml:space="preserve">620 Albemarle, Rocky Mount, NC, </v>
      </c>
    </row>
    <row r="1768" spans="1:13" ht="15.6" x14ac:dyDescent="0.3">
      <c r="A1768" s="1" t="s">
        <v>5579</v>
      </c>
      <c r="B1768" s="1"/>
      <c r="C1768" s="1"/>
      <c r="D1768" s="1"/>
      <c r="E1768" s="1"/>
      <c r="F1768" s="1"/>
      <c r="G1768" s="1" t="s">
        <v>24</v>
      </c>
      <c r="H1768" s="2">
        <v>5988</v>
      </c>
      <c r="I1768" s="1" t="s">
        <v>5580</v>
      </c>
      <c r="J1768" s="1" t="s">
        <v>506</v>
      </c>
      <c r="K1768" s="1" t="s">
        <v>26</v>
      </c>
      <c r="L1768" s="1" t="s">
        <v>507</v>
      </c>
      <c r="M1768" s="6" t="str">
        <f>_xlfn.CONCAT(Table1[[#This Row],[Billing Street]], ", ", Table1[[#This Row],[Billing City]], ", ", Table1[[#This Row],[Billing State/Province]], ", ", Table1[[#This Row],[Billing Zip/Postal Code]])</f>
        <v>32224 U.S. 31, Brewton, AL, 36426</v>
      </c>
    </row>
    <row r="1769" spans="1:13" ht="15.6" hidden="1" x14ac:dyDescent="0.3">
      <c r="A1769" s="1" t="s">
        <v>5581</v>
      </c>
      <c r="B1769" s="1"/>
      <c r="C1769" s="1"/>
      <c r="D1769" s="1"/>
      <c r="E1769" s="1"/>
      <c r="F1769" s="1"/>
      <c r="G1769" s="1" t="s">
        <v>8</v>
      </c>
      <c r="H1769" s="2">
        <v>469</v>
      </c>
      <c r="I1769" s="1" t="s">
        <v>5582</v>
      </c>
      <c r="J1769" s="1" t="s">
        <v>5583</v>
      </c>
      <c r="K1769" s="1" t="s">
        <v>1439</v>
      </c>
      <c r="L1769" s="1" t="s">
        <v>5584</v>
      </c>
      <c r="M1769" s="6" t="str">
        <f>_xlfn.CONCAT(Table1[[#This Row],[Billing Street]], ", ", Table1[[#This Row],[Billing City]], ", ", Table1[[#This Row],[Billing State/Province]], ", ", Table1[[#This Row],[Billing Zip/Postal Code]])</f>
        <v>4302 N US-281, Marble Falls, Tx, 78654</v>
      </c>
    </row>
    <row r="1770" spans="1:13" ht="15.6" hidden="1" x14ac:dyDescent="0.3">
      <c r="A1770" s="1" t="s">
        <v>5585</v>
      </c>
      <c r="B1770" s="1"/>
      <c r="C1770" s="1"/>
      <c r="D1770" s="1"/>
      <c r="E1770" s="1"/>
      <c r="F1770" s="1"/>
      <c r="G1770" s="1" t="s">
        <v>13</v>
      </c>
      <c r="H1770" s="2">
        <v>0</v>
      </c>
      <c r="I1770" s="1" t="s">
        <v>13</v>
      </c>
      <c r="J1770" s="1" t="s">
        <v>13</v>
      </c>
      <c r="K1770" s="1" t="s">
        <v>13</v>
      </c>
      <c r="L1770" s="1" t="s">
        <v>13</v>
      </c>
      <c r="M1770" s="6" t="str">
        <f>_xlfn.CONCAT(Table1[[#This Row],[Billing Street]], ", ", Table1[[#This Row],[Billing City]], ", ", Table1[[#This Row],[Billing State/Province]], ", ", Table1[[#This Row],[Billing Zip/Postal Code]])</f>
        <v xml:space="preserve">, , , </v>
      </c>
    </row>
    <row r="1771" spans="1:13" ht="15.6" hidden="1" x14ac:dyDescent="0.3">
      <c r="A1771" s="1" t="s">
        <v>5586</v>
      </c>
      <c r="B1771" s="1"/>
      <c r="C1771" s="1"/>
      <c r="D1771" s="1"/>
      <c r="E1771" s="1"/>
      <c r="F1771" s="1"/>
      <c r="G1771" s="1" t="s">
        <v>13</v>
      </c>
      <c r="H1771" s="2">
        <v>0</v>
      </c>
      <c r="I1771" s="1" t="s">
        <v>13</v>
      </c>
      <c r="J1771" s="1" t="s">
        <v>13</v>
      </c>
      <c r="K1771" s="1" t="s">
        <v>13</v>
      </c>
      <c r="L1771" s="1" t="s">
        <v>13</v>
      </c>
      <c r="M1771" s="6" t="str">
        <f>_xlfn.CONCAT(Table1[[#This Row],[Billing Street]], ", ", Table1[[#This Row],[Billing City]], ", ", Table1[[#This Row],[Billing State/Province]], ", ", Table1[[#This Row],[Billing Zip/Postal Code]])</f>
        <v xml:space="preserve">, , , </v>
      </c>
    </row>
    <row r="1772" spans="1:13" ht="15.6" hidden="1" x14ac:dyDescent="0.3">
      <c r="A1772" s="1" t="s">
        <v>5587</v>
      </c>
      <c r="B1772" s="1"/>
      <c r="C1772" s="1"/>
      <c r="D1772" s="1"/>
      <c r="E1772" s="1"/>
      <c r="F1772" s="1"/>
      <c r="G1772" s="1" t="s">
        <v>54</v>
      </c>
      <c r="H1772" s="2">
        <v>90</v>
      </c>
      <c r="I1772" s="1" t="s">
        <v>5588</v>
      </c>
      <c r="J1772" s="1" t="s">
        <v>5163</v>
      </c>
      <c r="K1772" s="1" t="s">
        <v>57</v>
      </c>
      <c r="L1772" s="1" t="s">
        <v>5164</v>
      </c>
      <c r="M1772" s="6" t="str">
        <f>_xlfn.CONCAT(Table1[[#This Row],[Billing Street]], ", ", Table1[[#This Row],[Billing City]], ", ", Table1[[#This Row],[Billing State/Province]], ", ", Table1[[#This Row],[Billing Zip/Postal Code]])</f>
        <v>525 Corporate Drive, Escondido, CA, 92029</v>
      </c>
    </row>
    <row r="1773" spans="1:13" ht="15.6" hidden="1" x14ac:dyDescent="0.3">
      <c r="A1773" s="1" t="s">
        <v>5589</v>
      </c>
      <c r="B1773" s="1"/>
      <c r="C1773" s="1"/>
      <c r="D1773" s="1"/>
      <c r="E1773" s="1"/>
      <c r="F1773" s="1"/>
      <c r="G1773" s="1" t="s">
        <v>13</v>
      </c>
      <c r="H1773" s="2">
        <v>0</v>
      </c>
      <c r="I1773" s="1" t="s">
        <v>13</v>
      </c>
      <c r="J1773" s="1" t="s">
        <v>13</v>
      </c>
      <c r="K1773" s="1" t="s">
        <v>13</v>
      </c>
      <c r="L1773" s="1" t="s">
        <v>13</v>
      </c>
      <c r="M1773" s="6" t="str">
        <f>_xlfn.CONCAT(Table1[[#This Row],[Billing Street]], ", ", Table1[[#This Row],[Billing City]], ", ", Table1[[#This Row],[Billing State/Province]], ", ", Table1[[#This Row],[Billing Zip/Postal Code]])</f>
        <v xml:space="preserve">, , , </v>
      </c>
    </row>
    <row r="1774" spans="1:13" ht="15.6" hidden="1" x14ac:dyDescent="0.3">
      <c r="A1774" s="1" t="s">
        <v>5590</v>
      </c>
      <c r="B1774" s="1"/>
      <c r="C1774" s="1"/>
      <c r="D1774" s="1"/>
      <c r="E1774" s="1"/>
      <c r="F1774" s="1"/>
      <c r="G1774" s="1" t="s">
        <v>43</v>
      </c>
      <c r="H1774" s="2">
        <v>391</v>
      </c>
      <c r="I1774" s="1" t="s">
        <v>5591</v>
      </c>
      <c r="J1774" s="1" t="s">
        <v>5592</v>
      </c>
      <c r="K1774" s="1" t="s">
        <v>133</v>
      </c>
      <c r="L1774" s="1" t="s">
        <v>5593</v>
      </c>
      <c r="M1774" s="6" t="str">
        <f>_xlfn.CONCAT(Table1[[#This Row],[Billing Street]], ", ", Table1[[#This Row],[Billing City]], ", ", Table1[[#This Row],[Billing State/Province]], ", ", Table1[[#This Row],[Billing Zip/Postal Code]])</f>
        <v>210 S Lake Street, Hustisford, WI, 53034</v>
      </c>
    </row>
    <row r="1775" spans="1:13" ht="15.6" x14ac:dyDescent="0.3">
      <c r="A1775" s="1" t="s">
        <v>5594</v>
      </c>
      <c r="B1775" s="1"/>
      <c r="C1775" s="1"/>
      <c r="D1775" s="1"/>
      <c r="E1775" s="1"/>
      <c r="F1775" s="1"/>
      <c r="G1775" s="1" t="s">
        <v>24</v>
      </c>
      <c r="H1775" s="2">
        <v>5988</v>
      </c>
      <c r="I1775" s="1" t="s">
        <v>5595</v>
      </c>
      <c r="J1775" s="1" t="s">
        <v>1093</v>
      </c>
      <c r="K1775" s="1" t="s">
        <v>26</v>
      </c>
      <c r="L1775" s="1" t="s">
        <v>1094</v>
      </c>
      <c r="M1775" s="6" t="str">
        <f>_xlfn.CONCAT(Table1[[#This Row],[Billing Street]], ", ", Table1[[#This Row],[Billing City]], ", ", Table1[[#This Row],[Billing State/Province]], ", ", Table1[[#This Row],[Billing Zip/Postal Code]])</f>
        <v>50 Hanil Dr, Tallassee, AL, 36078</v>
      </c>
    </row>
    <row r="1776" spans="1:13" ht="15.6" x14ac:dyDescent="0.3">
      <c r="A1776" s="1" t="s">
        <v>5596</v>
      </c>
      <c r="B1776" s="1"/>
      <c r="C1776" s="1"/>
      <c r="D1776" s="1"/>
      <c r="E1776" s="1"/>
      <c r="F1776" s="1"/>
      <c r="G1776" s="1" t="s">
        <v>24</v>
      </c>
      <c r="H1776" s="2">
        <v>5988</v>
      </c>
      <c r="I1776" s="1" t="s">
        <v>5597</v>
      </c>
      <c r="J1776" s="1" t="s">
        <v>1093</v>
      </c>
      <c r="K1776" s="1" t="s">
        <v>26</v>
      </c>
      <c r="L1776" s="1" t="s">
        <v>1094</v>
      </c>
      <c r="M1776" s="6" t="str">
        <f>_xlfn.CONCAT(Table1[[#This Row],[Billing Street]], ", ", Table1[[#This Row],[Billing City]], ", ", Table1[[#This Row],[Billing State/Province]], ", ", Table1[[#This Row],[Billing Zip/Postal Code]])</f>
        <v>3951 AL-229, Tallassee, AL 36078, Tallassee, AL, 36078</v>
      </c>
    </row>
    <row r="1777" spans="1:13" ht="15.6" x14ac:dyDescent="0.3">
      <c r="A1777" s="1" t="s">
        <v>5598</v>
      </c>
      <c r="B1777" s="1"/>
      <c r="C1777" s="1"/>
      <c r="D1777" s="1"/>
      <c r="E1777" s="1"/>
      <c r="F1777" s="1"/>
      <c r="G1777" s="1" t="s">
        <v>24</v>
      </c>
      <c r="H1777" s="2">
        <v>5988</v>
      </c>
      <c r="I1777" s="1" t="s">
        <v>5599</v>
      </c>
      <c r="J1777" s="1" t="s">
        <v>1093</v>
      </c>
      <c r="K1777" s="1" t="s">
        <v>26</v>
      </c>
      <c r="L1777" s="1" t="s">
        <v>1094</v>
      </c>
      <c r="M1777" s="6" t="str">
        <f>_xlfn.CONCAT(Table1[[#This Row],[Billing Street]], ", ", Table1[[#This Row],[Billing City]], ", ", Table1[[#This Row],[Billing State/Province]], ", ", Table1[[#This Row],[Billing Zip/Postal Code]])</f>
        <v>11 Twin Creeks Dr, Tallassee, AL, 36078</v>
      </c>
    </row>
    <row r="1778" spans="1:13" ht="15.6" hidden="1" x14ac:dyDescent="0.3">
      <c r="A1778" s="1" t="s">
        <v>5600</v>
      </c>
      <c r="B1778" s="1"/>
      <c r="C1778" s="1"/>
      <c r="D1778" s="1"/>
      <c r="E1778" s="1"/>
      <c r="F1778" s="1"/>
      <c r="G1778" s="1" t="s">
        <v>13</v>
      </c>
      <c r="H1778" s="2">
        <v>0</v>
      </c>
      <c r="I1778" s="1" t="s">
        <v>13</v>
      </c>
      <c r="J1778" s="1" t="s">
        <v>13</v>
      </c>
      <c r="K1778" s="1" t="s">
        <v>13</v>
      </c>
      <c r="L1778" s="1" t="s">
        <v>13</v>
      </c>
      <c r="M1778" s="6" t="str">
        <f>_xlfn.CONCAT(Table1[[#This Row],[Billing Street]], ", ", Table1[[#This Row],[Billing City]], ", ", Table1[[#This Row],[Billing State/Province]], ", ", Table1[[#This Row],[Billing Zip/Postal Code]])</f>
        <v xml:space="preserve">, , , </v>
      </c>
    </row>
    <row r="1779" spans="1:13" ht="15.6" hidden="1" x14ac:dyDescent="0.3">
      <c r="A1779" s="1" t="s">
        <v>5601</v>
      </c>
      <c r="B1779" s="1"/>
      <c r="C1779" s="1"/>
      <c r="D1779" s="1"/>
      <c r="E1779" s="1"/>
      <c r="F1779" s="1"/>
      <c r="G1779" s="1" t="s">
        <v>13</v>
      </c>
      <c r="H1779" s="2">
        <v>0</v>
      </c>
      <c r="I1779" s="1" t="s">
        <v>13</v>
      </c>
      <c r="J1779" s="1" t="s">
        <v>13</v>
      </c>
      <c r="K1779" s="1" t="s">
        <v>13</v>
      </c>
      <c r="L1779" s="1" t="s">
        <v>13</v>
      </c>
      <c r="M1779" s="6" t="str">
        <f>_xlfn.CONCAT(Table1[[#This Row],[Billing Street]], ", ", Table1[[#This Row],[Billing City]], ", ", Table1[[#This Row],[Billing State/Province]], ", ", Table1[[#This Row],[Billing Zip/Postal Code]])</f>
        <v xml:space="preserve">, , , </v>
      </c>
    </row>
    <row r="1780" spans="1:13" ht="15.6" hidden="1" x14ac:dyDescent="0.3">
      <c r="A1780" s="1" t="s">
        <v>5602</v>
      </c>
      <c r="B1780" s="1"/>
      <c r="C1780" s="1"/>
      <c r="D1780" s="1"/>
      <c r="E1780" s="1"/>
      <c r="F1780" s="1"/>
      <c r="G1780" s="1" t="s">
        <v>43</v>
      </c>
      <c r="H1780" s="2">
        <v>547</v>
      </c>
      <c r="I1780" s="1" t="s">
        <v>5603</v>
      </c>
      <c r="J1780" s="1" t="s">
        <v>5604</v>
      </c>
      <c r="K1780" s="1" t="s">
        <v>95</v>
      </c>
      <c r="L1780" s="1" t="s">
        <v>5605</v>
      </c>
      <c r="M1780" s="6" t="str">
        <f>_xlfn.CONCAT(Table1[[#This Row],[Billing Street]], ", ", Table1[[#This Row],[Billing City]], ", ", Table1[[#This Row],[Billing State/Province]], ", ", Table1[[#This Row],[Billing Zip/Postal Code]])</f>
        <v>1 Sylvan St., Danvers, MA, 1923</v>
      </c>
    </row>
    <row r="1781" spans="1:13" ht="15.6" hidden="1" x14ac:dyDescent="0.3">
      <c r="A1781" s="1" t="s">
        <v>5606</v>
      </c>
      <c r="B1781" s="1"/>
      <c r="C1781" s="1"/>
      <c r="D1781" s="1"/>
      <c r="E1781" s="1"/>
      <c r="F1781" s="1"/>
      <c r="G1781" s="1" t="s">
        <v>43</v>
      </c>
      <c r="H1781" s="2">
        <v>547</v>
      </c>
      <c r="I1781" s="1" t="s">
        <v>5607</v>
      </c>
      <c r="J1781" s="1" t="s">
        <v>2063</v>
      </c>
      <c r="K1781" s="1" t="s">
        <v>95</v>
      </c>
      <c r="L1781" s="1" t="s">
        <v>5608</v>
      </c>
      <c r="M1781" s="6" t="str">
        <f>_xlfn.CONCAT(Table1[[#This Row],[Billing Street]], ", ", Table1[[#This Row],[Billing City]], ", ", Table1[[#This Row],[Billing State/Province]], ", ", Table1[[#This Row],[Billing Zip/Postal Code]])</f>
        <v>94 Searle St, Georgetown, MA, 1833</v>
      </c>
    </row>
    <row r="1782" spans="1:13" ht="15.6" hidden="1" x14ac:dyDescent="0.3">
      <c r="A1782" s="1" t="s">
        <v>5609</v>
      </c>
      <c r="B1782" s="1"/>
      <c r="C1782" s="1"/>
      <c r="D1782" s="1"/>
      <c r="E1782" s="1"/>
      <c r="F1782" s="1"/>
      <c r="G1782" s="1" t="s">
        <v>8</v>
      </c>
      <c r="H1782" s="2">
        <v>169</v>
      </c>
      <c r="I1782" s="1" t="s">
        <v>5610</v>
      </c>
      <c r="J1782" s="1" t="s">
        <v>3716</v>
      </c>
      <c r="K1782" s="1" t="s">
        <v>147</v>
      </c>
      <c r="L1782" s="1" t="s">
        <v>5611</v>
      </c>
      <c r="M1782" s="6" t="str">
        <f>_xlfn.CONCAT(Table1[[#This Row],[Billing Street]], ", ", Table1[[#This Row],[Billing City]], ", ", Table1[[#This Row],[Billing State/Province]], ", ", Table1[[#This Row],[Billing Zip/Postal Code]])</f>
        <v>111 E Broadway St, Lexington, OK, 73051</v>
      </c>
    </row>
    <row r="1783" spans="1:13" ht="15.6" hidden="1" x14ac:dyDescent="0.3">
      <c r="A1783" s="1" t="s">
        <v>5612</v>
      </c>
      <c r="B1783" s="1"/>
      <c r="C1783" s="1"/>
      <c r="D1783" s="1"/>
      <c r="E1783" s="1"/>
      <c r="F1783" s="1"/>
      <c r="G1783" s="1" t="s">
        <v>8</v>
      </c>
      <c r="H1783" s="2">
        <v>6528</v>
      </c>
      <c r="I1783" s="1" t="s">
        <v>13</v>
      </c>
      <c r="J1783" s="1" t="s">
        <v>5613</v>
      </c>
      <c r="K1783" s="1" t="s">
        <v>147</v>
      </c>
      <c r="L1783" s="1" t="s">
        <v>13</v>
      </c>
      <c r="M1783" s="6" t="str">
        <f>_xlfn.CONCAT(Table1[[#This Row],[Billing Street]], ", ", Table1[[#This Row],[Billing City]], ", ", Table1[[#This Row],[Billing State/Province]], ", ", Table1[[#This Row],[Billing Zip/Postal Code]])</f>
        <v xml:space="preserve">, Laverne, OK, </v>
      </c>
    </row>
    <row r="1784" spans="1:13" ht="15.6" hidden="1" x14ac:dyDescent="0.3">
      <c r="A1784" s="1" t="s">
        <v>5614</v>
      </c>
      <c r="B1784" s="1"/>
      <c r="C1784" s="1"/>
      <c r="D1784" s="1"/>
      <c r="E1784" s="1"/>
      <c r="F1784" s="1"/>
      <c r="G1784" s="1" t="s">
        <v>43</v>
      </c>
      <c r="H1784" s="2">
        <v>5776</v>
      </c>
      <c r="I1784" s="1" t="s">
        <v>13</v>
      </c>
      <c r="J1784" s="1" t="s">
        <v>13</v>
      </c>
      <c r="K1784" s="1" t="s">
        <v>95</v>
      </c>
      <c r="L1784" s="1" t="s">
        <v>13</v>
      </c>
      <c r="M1784" s="6" t="str">
        <f>_xlfn.CONCAT(Table1[[#This Row],[Billing Street]], ", ", Table1[[#This Row],[Billing City]], ", ", Table1[[#This Row],[Billing State/Province]], ", ", Table1[[#This Row],[Billing Zip/Postal Code]])</f>
        <v xml:space="preserve">, , MA, </v>
      </c>
    </row>
    <row r="1785" spans="1:13" ht="15.6" hidden="1" x14ac:dyDescent="0.3">
      <c r="A1785" s="1" t="s">
        <v>5615</v>
      </c>
      <c r="B1785" s="1"/>
      <c r="C1785" s="1"/>
      <c r="D1785" s="1"/>
      <c r="E1785" s="1"/>
      <c r="F1785" s="1"/>
      <c r="G1785" s="1" t="s">
        <v>43</v>
      </c>
      <c r="H1785" s="2">
        <v>515</v>
      </c>
      <c r="I1785" s="1" t="s">
        <v>5616</v>
      </c>
      <c r="J1785" s="1" t="s">
        <v>5617</v>
      </c>
      <c r="K1785" s="1" t="s">
        <v>95</v>
      </c>
      <c r="L1785" s="1" t="s">
        <v>5618</v>
      </c>
      <c r="M1785" s="6" t="str">
        <f>_xlfn.CONCAT(Table1[[#This Row],[Billing Street]], ", ", Table1[[#This Row],[Billing City]], ", ", Table1[[#This Row],[Billing State/Province]], ", ", Table1[[#This Row],[Billing Zip/Postal Code]])</f>
        <v>23 Station Ave, Groton, MA, 1450</v>
      </c>
    </row>
    <row r="1786" spans="1:13" ht="15.6" hidden="1" x14ac:dyDescent="0.3">
      <c r="A1786" s="1" t="s">
        <v>5619</v>
      </c>
      <c r="B1786" s="1"/>
      <c r="C1786" s="1"/>
      <c r="D1786" s="1"/>
      <c r="E1786" s="1"/>
      <c r="F1786" s="1"/>
      <c r="G1786" s="1" t="s">
        <v>43</v>
      </c>
      <c r="H1786" s="2">
        <v>5776</v>
      </c>
      <c r="I1786" s="1" t="s">
        <v>5620</v>
      </c>
      <c r="J1786" s="1" t="s">
        <v>765</v>
      </c>
      <c r="K1786" s="1" t="s">
        <v>781</v>
      </c>
      <c r="L1786" s="1" t="s">
        <v>5621</v>
      </c>
      <c r="M1786" s="6" t="str">
        <f>_xlfn.CONCAT(Table1[[#This Row],[Billing Street]], ", ", Table1[[#This Row],[Billing City]], ", ", Table1[[#This Row],[Billing State/Province]], ", ", Table1[[#This Row],[Billing Zip/Postal Code]])</f>
        <v>2745 Black Ridge Rd, York, pa, 17406</v>
      </c>
    </row>
    <row r="1787" spans="1:13" ht="15.6" hidden="1" x14ac:dyDescent="0.3">
      <c r="A1787" s="1" t="s">
        <v>5622</v>
      </c>
      <c r="B1787" s="1"/>
      <c r="C1787" s="1"/>
      <c r="D1787" s="1"/>
      <c r="E1787" s="1"/>
      <c r="F1787" s="1"/>
      <c r="G1787" s="1" t="s">
        <v>8</v>
      </c>
      <c r="H1787" s="2">
        <v>243</v>
      </c>
      <c r="I1787" s="1" t="s">
        <v>5623</v>
      </c>
      <c r="J1787" s="1" t="s">
        <v>4744</v>
      </c>
      <c r="K1787" s="1" t="s">
        <v>165</v>
      </c>
      <c r="L1787" s="1" t="s">
        <v>5624</v>
      </c>
      <c r="M1787" s="6" t="str">
        <f>_xlfn.CONCAT(Table1[[#This Row],[Billing Street]], ", ", Table1[[#This Row],[Billing City]], ", ", Table1[[#This Row],[Billing State/Province]], ", ", Table1[[#This Row],[Billing Zip/Postal Code]])</f>
        <v>1400 W. Martland, North Little Rock, AR, 72120</v>
      </c>
    </row>
    <row r="1788" spans="1:13" ht="15.6" hidden="1" x14ac:dyDescent="0.3">
      <c r="A1788" s="1" t="s">
        <v>5625</v>
      </c>
      <c r="B1788" s="1"/>
      <c r="C1788" s="1"/>
      <c r="D1788" s="1"/>
      <c r="E1788" s="1"/>
      <c r="F1788" s="1"/>
      <c r="G1788" s="1" t="s">
        <v>54</v>
      </c>
      <c r="H1788" s="2">
        <v>1932</v>
      </c>
      <c r="I1788" s="1" t="s">
        <v>5626</v>
      </c>
      <c r="J1788" s="1" t="s">
        <v>1001</v>
      </c>
      <c r="K1788" s="1" t="s">
        <v>57</v>
      </c>
      <c r="L1788" s="1" t="s">
        <v>5627</v>
      </c>
      <c r="M1788" s="6" t="str">
        <f>_xlfn.CONCAT(Table1[[#This Row],[Billing Street]], ", ", Table1[[#This Row],[Billing City]], ", ", Table1[[#This Row],[Billing State/Province]], ", ", Table1[[#This Row],[Billing Zip/Postal Code]])</f>
        <v>8302 Dunwoody Place, Suite 250, Atlanta, CA, 30350</v>
      </c>
    </row>
    <row r="1789" spans="1:13" ht="15.6" hidden="1" x14ac:dyDescent="0.3">
      <c r="A1789" s="1" t="s">
        <v>5628</v>
      </c>
      <c r="B1789" s="1"/>
      <c r="C1789" s="1"/>
      <c r="D1789" s="1"/>
      <c r="E1789" s="1"/>
      <c r="F1789" s="1"/>
      <c r="G1789" s="1" t="s">
        <v>205</v>
      </c>
      <c r="H1789" s="2">
        <v>558</v>
      </c>
      <c r="I1789" s="1" t="s">
        <v>5629</v>
      </c>
      <c r="J1789" s="1" t="s">
        <v>5630</v>
      </c>
      <c r="K1789" s="1" t="s">
        <v>1695</v>
      </c>
      <c r="L1789" s="1" t="s">
        <v>5631</v>
      </c>
      <c r="M1789" s="6" t="str">
        <f>_xlfn.CONCAT(Table1[[#This Row],[Billing Street]], ", ", Table1[[#This Row],[Billing City]], ", ", Table1[[#This Row],[Billing State/Province]], ", ", Table1[[#This Row],[Billing Zip/Postal Code]])</f>
        <v>55 W Williams Ave, Fallon, NV, 89406</v>
      </c>
    </row>
    <row r="1790" spans="1:13" ht="15.6" hidden="1" x14ac:dyDescent="0.3">
      <c r="A1790" s="1" t="s">
        <v>5632</v>
      </c>
      <c r="B1790" s="1"/>
      <c r="C1790" s="1"/>
      <c r="D1790" s="1"/>
      <c r="E1790" s="1"/>
      <c r="F1790" s="1"/>
      <c r="G1790" s="1" t="s">
        <v>205</v>
      </c>
      <c r="H1790" s="2">
        <v>524</v>
      </c>
      <c r="I1790" s="1" t="s">
        <v>5633</v>
      </c>
      <c r="J1790" s="1" t="s">
        <v>5634</v>
      </c>
      <c r="K1790" s="1" t="s">
        <v>472</v>
      </c>
      <c r="L1790" s="1" t="s">
        <v>5635</v>
      </c>
      <c r="M1790" s="6" t="str">
        <f>_xlfn.CONCAT(Table1[[#This Row],[Billing Street]], ", ", Table1[[#This Row],[Billing City]], ", ", Table1[[#This Row],[Billing State/Province]], ", ", Table1[[#This Row],[Billing Zip/Postal Code]])</f>
        <v>721 W Old Mill Lane, Kaysville, UT, 84037</v>
      </c>
    </row>
    <row r="1791" spans="1:13" ht="15.6" hidden="1" x14ac:dyDescent="0.3">
      <c r="A1791" s="1" t="s">
        <v>5636</v>
      </c>
      <c r="B1791" s="1"/>
      <c r="C1791" s="1"/>
      <c r="D1791" s="1"/>
      <c r="E1791" s="1"/>
      <c r="F1791" s="1"/>
      <c r="G1791" s="1" t="s">
        <v>205</v>
      </c>
      <c r="H1791" s="2">
        <v>335</v>
      </c>
      <c r="I1791" s="1" t="s">
        <v>5637</v>
      </c>
      <c r="J1791" s="1" t="s">
        <v>5638</v>
      </c>
      <c r="K1791" s="1" t="s">
        <v>472</v>
      </c>
      <c r="L1791" s="1" t="s">
        <v>5639</v>
      </c>
      <c r="M1791" s="6" t="str">
        <f>_xlfn.CONCAT(Table1[[#This Row],[Billing Street]], ", ", Table1[[#This Row],[Billing City]], ", ", Table1[[#This Row],[Billing State/Province]], ", ", Table1[[#This Row],[Billing Zip/Postal Code]])</f>
        <v>30 W 300 N St, Beaver, UT, 84713</v>
      </c>
    </row>
    <row r="1792" spans="1:13" ht="15.6" hidden="1" x14ac:dyDescent="0.3">
      <c r="A1792" s="1" t="s">
        <v>5640</v>
      </c>
      <c r="B1792" s="1"/>
      <c r="C1792" s="1"/>
      <c r="D1792" s="1"/>
      <c r="E1792" s="1"/>
      <c r="F1792" s="1"/>
      <c r="G1792" s="1" t="s">
        <v>205</v>
      </c>
      <c r="H1792" s="2">
        <v>423</v>
      </c>
      <c r="I1792" s="1" t="s">
        <v>5641</v>
      </c>
      <c r="J1792" s="1" t="s">
        <v>5642</v>
      </c>
      <c r="K1792" s="1" t="s">
        <v>472</v>
      </c>
      <c r="L1792" s="1" t="s">
        <v>5643</v>
      </c>
      <c r="M1792" s="6" t="str">
        <f>_xlfn.CONCAT(Table1[[#This Row],[Billing Street]], ", ", Table1[[#This Row],[Billing City]], ", ", Table1[[#This Row],[Billing State/Province]], ", ", Table1[[#This Row],[Billing Zip/Postal Code]])</f>
        <v>83 S 900 E, Mt Pleasant, UT, 84647</v>
      </c>
    </row>
    <row r="1793" spans="1:13" ht="15.6" hidden="1" x14ac:dyDescent="0.3">
      <c r="A1793" s="1" t="s">
        <v>5644</v>
      </c>
      <c r="B1793" s="1"/>
      <c r="C1793" s="1"/>
      <c r="D1793" s="1"/>
      <c r="E1793" s="1"/>
      <c r="F1793" s="1"/>
      <c r="G1793" s="1" t="s">
        <v>205</v>
      </c>
      <c r="H1793" s="2">
        <v>110</v>
      </c>
      <c r="I1793" s="1" t="s">
        <v>5645</v>
      </c>
      <c r="J1793" s="1" t="s">
        <v>3006</v>
      </c>
      <c r="K1793" s="1" t="s">
        <v>479</v>
      </c>
      <c r="L1793" s="1" t="s">
        <v>5646</v>
      </c>
      <c r="M1793" s="6" t="str">
        <f>_xlfn.CONCAT(Table1[[#This Row],[Billing Street]], ", ", Table1[[#This Row],[Billing City]], ", ", Table1[[#This Row],[Billing State/Province]], ", ", Table1[[#This Row],[Billing Zip/Postal Code]])</f>
        <v>5285 E Williams Circle, Suite 2000, Tucson, AZ, 85711</v>
      </c>
    </row>
    <row r="1794" spans="1:13" ht="15.6" hidden="1" x14ac:dyDescent="0.3">
      <c r="A1794" s="1" t="s">
        <v>5647</v>
      </c>
      <c r="B1794" s="1"/>
      <c r="C1794" s="1"/>
      <c r="D1794" s="1"/>
      <c r="E1794" s="1"/>
      <c r="F1794" s="1"/>
      <c r="G1794" s="1" t="s">
        <v>43</v>
      </c>
      <c r="H1794" s="2">
        <v>320</v>
      </c>
      <c r="I1794" s="1" t="s">
        <v>5648</v>
      </c>
      <c r="J1794" s="1" t="s">
        <v>1203</v>
      </c>
      <c r="K1794" s="1" t="s">
        <v>671</v>
      </c>
      <c r="L1794" s="1" t="s">
        <v>5649</v>
      </c>
      <c r="M1794" s="6" t="str">
        <f>_xlfn.CONCAT(Table1[[#This Row],[Billing Street]], ", ", Table1[[#This Row],[Billing City]], ", ", Table1[[#This Row],[Billing State/Province]], ", ", Table1[[#This Row],[Billing Zip/Postal Code]])</f>
        <v>3 Broad St, Hamilton, NY, 13346</v>
      </c>
    </row>
    <row r="1795" spans="1:13" ht="15.6" x14ac:dyDescent="0.3">
      <c r="A1795" s="1" t="s">
        <v>5650</v>
      </c>
      <c r="B1795" s="1"/>
      <c r="C1795" s="1"/>
      <c r="D1795" s="1"/>
      <c r="E1795" s="1"/>
      <c r="F1795" s="1"/>
      <c r="G1795" s="1" t="s">
        <v>24</v>
      </c>
      <c r="H1795" s="2">
        <v>260</v>
      </c>
      <c r="I1795" s="1" t="s">
        <v>5651</v>
      </c>
      <c r="J1795" s="1" t="s">
        <v>5652</v>
      </c>
      <c r="K1795" s="1" t="s">
        <v>36</v>
      </c>
      <c r="L1795" s="1" t="s">
        <v>5653</v>
      </c>
      <c r="M1795" s="6" t="str">
        <f>_xlfn.CONCAT(Table1[[#This Row],[Billing Street]], ", ", Table1[[#This Row],[Billing City]], ", ", Table1[[#This Row],[Billing State/Province]], ", ", Table1[[#This Row],[Billing Zip/Postal Code]])</f>
        <v>2240 N Pine Av, Ocala, FL, 34475</v>
      </c>
    </row>
    <row r="1796" spans="1:13" ht="15.6" hidden="1" x14ac:dyDescent="0.3">
      <c r="A1796" s="1" t="s">
        <v>5654</v>
      </c>
      <c r="B1796" s="1"/>
      <c r="C1796" s="1"/>
      <c r="D1796" s="1"/>
      <c r="E1796" s="1"/>
      <c r="F1796" s="1"/>
      <c r="G1796" s="1" t="s">
        <v>43</v>
      </c>
      <c r="H1796" s="2">
        <v>460</v>
      </c>
      <c r="I1796" s="1" t="s">
        <v>5655</v>
      </c>
      <c r="J1796" s="1" t="s">
        <v>5656</v>
      </c>
      <c r="K1796" s="1" t="s">
        <v>95</v>
      </c>
      <c r="L1796" s="1" t="s">
        <v>5657</v>
      </c>
      <c r="M1796" s="6" t="str">
        <f>_xlfn.CONCAT(Table1[[#This Row],[Billing Street]], ", ", Table1[[#This Row],[Billing City]], ", ", Table1[[#This Row],[Billing State/Province]], ", ", Table1[[#This Row],[Billing Zip/Postal Code]])</f>
        <v>725 Front St., Chicopee, MA, 1021</v>
      </c>
    </row>
    <row r="1797" spans="1:13" ht="15.6" hidden="1" x14ac:dyDescent="0.3">
      <c r="A1797" s="1" t="s">
        <v>5658</v>
      </c>
      <c r="B1797" s="1"/>
      <c r="C1797" s="1"/>
      <c r="D1797" s="1"/>
      <c r="E1797" s="1"/>
      <c r="F1797" s="1"/>
      <c r="G1797" s="1" t="s">
        <v>43</v>
      </c>
      <c r="H1797" s="2">
        <v>5776</v>
      </c>
      <c r="I1797" s="1" t="s">
        <v>13</v>
      </c>
      <c r="J1797" s="1" t="s">
        <v>13</v>
      </c>
      <c r="K1797" s="1" t="s">
        <v>95</v>
      </c>
      <c r="L1797" s="1" t="s">
        <v>13</v>
      </c>
      <c r="M1797" s="6" t="str">
        <f>_xlfn.CONCAT(Table1[[#This Row],[Billing Street]], ", ", Table1[[#This Row],[Billing City]], ", ", Table1[[#This Row],[Billing State/Province]], ", ", Table1[[#This Row],[Billing Zip/Postal Code]])</f>
        <v xml:space="preserve">, , MA, </v>
      </c>
    </row>
    <row r="1798" spans="1:13" ht="15.6" hidden="1" x14ac:dyDescent="0.3">
      <c r="A1798" s="1" t="s">
        <v>5659</v>
      </c>
      <c r="B1798" s="1"/>
      <c r="C1798" s="1"/>
      <c r="D1798" s="1"/>
      <c r="E1798" s="1"/>
      <c r="F1798" s="1"/>
      <c r="G1798" s="1" t="s">
        <v>43</v>
      </c>
      <c r="H1798" s="2">
        <v>5776</v>
      </c>
      <c r="I1798" s="1" t="s">
        <v>13</v>
      </c>
      <c r="J1798" s="1" t="s">
        <v>13</v>
      </c>
      <c r="K1798" s="1" t="s">
        <v>95</v>
      </c>
      <c r="L1798" s="1" t="s">
        <v>13</v>
      </c>
      <c r="M1798" s="6" t="str">
        <f>_xlfn.CONCAT(Table1[[#This Row],[Billing Street]], ", ", Table1[[#This Row],[Billing City]], ", ", Table1[[#This Row],[Billing State/Province]], ", ", Table1[[#This Row],[Billing Zip/Postal Code]])</f>
        <v xml:space="preserve">, , MA, </v>
      </c>
    </row>
    <row r="1799" spans="1:13" ht="15.6" hidden="1" x14ac:dyDescent="0.3">
      <c r="A1799" s="1" t="s">
        <v>5660</v>
      </c>
      <c r="B1799" s="1"/>
      <c r="C1799" s="1"/>
      <c r="D1799" s="1"/>
      <c r="E1799" s="1"/>
      <c r="F1799" s="1"/>
      <c r="G1799" s="1" t="s">
        <v>43</v>
      </c>
      <c r="H1799" s="2">
        <v>5776</v>
      </c>
      <c r="I1799" s="1" t="s">
        <v>5661</v>
      </c>
      <c r="J1799" s="1" t="s">
        <v>5656</v>
      </c>
      <c r="K1799" s="1" t="s">
        <v>95</v>
      </c>
      <c r="L1799" s="1" t="s">
        <v>5662</v>
      </c>
      <c r="M1799" s="6" t="str">
        <f>_xlfn.CONCAT(Table1[[#This Row],[Billing Street]], ", ", Table1[[#This Row],[Billing City]], ", ", Table1[[#This Row],[Billing State/Province]], ", ", Table1[[#This Row],[Billing Zip/Postal Code]])</f>
        <v>38 Plainfield St., Chicopee, MA, 1013</v>
      </c>
    </row>
    <row r="1800" spans="1:13" ht="15.6" hidden="1" x14ac:dyDescent="0.3">
      <c r="A1800" s="1" t="s">
        <v>5663</v>
      </c>
      <c r="B1800" s="1"/>
      <c r="C1800" s="1"/>
      <c r="D1800" s="1"/>
      <c r="E1800" s="1"/>
      <c r="F1800" s="1"/>
      <c r="G1800" s="1" t="s">
        <v>8</v>
      </c>
      <c r="H1800" s="2">
        <v>6528</v>
      </c>
      <c r="I1800" s="1" t="s">
        <v>13</v>
      </c>
      <c r="J1800" s="1" t="s">
        <v>5664</v>
      </c>
      <c r="K1800" s="1" t="s">
        <v>147</v>
      </c>
      <c r="L1800" s="1" t="s">
        <v>13</v>
      </c>
      <c r="M1800" s="6" t="str">
        <f>_xlfn.CONCAT(Table1[[#This Row],[Billing Street]], ", ", Table1[[#This Row],[Billing City]], ", ", Table1[[#This Row],[Billing State/Province]], ", ", Table1[[#This Row],[Billing Zip/Postal Code]])</f>
        <v xml:space="preserve">, Copan, OK, </v>
      </c>
    </row>
    <row r="1801" spans="1:13" ht="15.6" hidden="1" x14ac:dyDescent="0.3">
      <c r="A1801" s="1" t="s">
        <v>5665</v>
      </c>
      <c r="B1801" s="1"/>
      <c r="C1801" s="1"/>
      <c r="D1801" s="1"/>
      <c r="E1801" s="1"/>
      <c r="F1801" s="1"/>
      <c r="G1801" s="1" t="s">
        <v>43</v>
      </c>
      <c r="H1801" s="2">
        <v>279</v>
      </c>
      <c r="I1801" s="1" t="s">
        <v>5666</v>
      </c>
      <c r="J1801" s="1" t="s">
        <v>1517</v>
      </c>
      <c r="K1801" s="1" t="s">
        <v>241</v>
      </c>
      <c r="L1801" s="1" t="s">
        <v>5667</v>
      </c>
      <c r="M1801" s="6" t="str">
        <f>_xlfn.CONCAT(Table1[[#This Row],[Billing Street]], ", ", Table1[[#This Row],[Billing City]], ", ", Table1[[#This Row],[Billing State/Province]], ", ", Table1[[#This Row],[Billing Zip/Postal Code]])</f>
        <v>2860 Yellow Goose Rd, Lancaster, PA, 17601</v>
      </c>
    </row>
    <row r="1802" spans="1:13" ht="15.6" hidden="1" x14ac:dyDescent="0.3">
      <c r="A1802" s="1" t="s">
        <v>5668</v>
      </c>
      <c r="B1802" s="1"/>
      <c r="C1802" s="1"/>
      <c r="D1802" s="1"/>
      <c r="E1802" s="1"/>
      <c r="F1802" s="1"/>
      <c r="G1802" s="1" t="s">
        <v>13</v>
      </c>
      <c r="H1802" s="2">
        <v>0</v>
      </c>
      <c r="I1802" s="1" t="s">
        <v>5669</v>
      </c>
      <c r="J1802" s="1" t="s">
        <v>5670</v>
      </c>
      <c r="K1802" s="1" t="s">
        <v>13</v>
      </c>
      <c r="L1802" s="1" t="s">
        <v>5671</v>
      </c>
      <c r="M1802" s="6" t="str">
        <f>_xlfn.CONCAT(Table1[[#This Row],[Billing Street]], ", ", Table1[[#This Row],[Billing City]], ", ", Table1[[#This Row],[Billing State/Province]], ", ", Table1[[#This Row],[Billing Zip/Postal Code]])</f>
        <v>2750, Greensboro, , 27407</v>
      </c>
    </row>
    <row r="1803" spans="1:13" ht="15.6" hidden="1" x14ac:dyDescent="0.3">
      <c r="A1803" s="1" t="s">
        <v>5672</v>
      </c>
      <c r="B1803" s="1"/>
      <c r="C1803" s="1"/>
      <c r="D1803" s="1"/>
      <c r="E1803" s="1"/>
      <c r="F1803" s="1"/>
      <c r="G1803" s="1" t="s">
        <v>8</v>
      </c>
      <c r="H1803" s="2">
        <v>6528</v>
      </c>
      <c r="I1803" s="1" t="s">
        <v>5673</v>
      </c>
      <c r="J1803" s="1" t="s">
        <v>1917</v>
      </c>
      <c r="K1803" s="1" t="s">
        <v>147</v>
      </c>
      <c r="L1803" s="1" t="s">
        <v>13</v>
      </c>
      <c r="M1803" s="6" t="str">
        <f>_xlfn.CONCAT(Table1[[#This Row],[Billing Street]], ", ", Table1[[#This Row],[Billing City]], ", ", Table1[[#This Row],[Billing State/Province]], ", ", Table1[[#This Row],[Billing Zip/Postal Code]])</f>
        <v xml:space="preserve">500 N Rodeo Dr, Comanche, OK, </v>
      </c>
    </row>
    <row r="1804" spans="1:13" ht="15.6" hidden="1" x14ac:dyDescent="0.3">
      <c r="A1804" s="1" t="s">
        <v>5674</v>
      </c>
      <c r="B1804" s="1"/>
      <c r="C1804" s="1"/>
      <c r="D1804" s="1"/>
      <c r="E1804" s="1"/>
      <c r="F1804" s="1"/>
      <c r="G1804" s="1" t="s">
        <v>43</v>
      </c>
      <c r="H1804" s="2">
        <v>185</v>
      </c>
      <c r="I1804" s="1" t="s">
        <v>5675</v>
      </c>
      <c r="J1804" s="1" t="s">
        <v>1386</v>
      </c>
      <c r="K1804" s="1" t="s">
        <v>82</v>
      </c>
      <c r="L1804" s="1" t="s">
        <v>5676</v>
      </c>
      <c r="M1804" s="6" t="str">
        <f>_xlfn.CONCAT(Table1[[#This Row],[Billing Street]], ", ", Table1[[#This Row],[Billing City]], ", ", Table1[[#This Row],[Billing State/Province]], ", ", Table1[[#This Row],[Billing Zip/Postal Code]])</f>
        <v>1232 Haco Drive, Lansing, MI, 48901</v>
      </c>
    </row>
    <row r="1805" spans="1:13" ht="15.6" hidden="1" x14ac:dyDescent="0.3">
      <c r="A1805" s="1" t="s">
        <v>5677</v>
      </c>
      <c r="B1805" s="1"/>
      <c r="C1805" s="1"/>
      <c r="D1805" s="1"/>
      <c r="E1805" s="1"/>
      <c r="F1805" s="1"/>
      <c r="G1805" s="1" t="s">
        <v>43</v>
      </c>
      <c r="H1805" s="2">
        <v>258</v>
      </c>
      <c r="I1805" s="1" t="s">
        <v>5678</v>
      </c>
      <c r="J1805" s="1" t="s">
        <v>5679</v>
      </c>
      <c r="K1805" s="1" t="s">
        <v>82</v>
      </c>
      <c r="L1805" s="1" t="s">
        <v>5680</v>
      </c>
      <c r="M1805" s="6" t="str">
        <f>_xlfn.CONCAT(Table1[[#This Row],[Billing Street]], ", ", Table1[[#This Row],[Billing City]], ", ", Table1[[#This Row],[Billing State/Province]], ", ", Table1[[#This Row],[Billing Zip/Postal Code]])</f>
        <v>625 Hastings Avenue, Holland, MI, 49423</v>
      </c>
    </row>
    <row r="1806" spans="1:13" ht="15.6" hidden="1" x14ac:dyDescent="0.3">
      <c r="A1806" s="1" t="s">
        <v>5681</v>
      </c>
      <c r="B1806" s="1"/>
      <c r="C1806" s="1"/>
      <c r="D1806" s="1"/>
      <c r="E1806" s="1"/>
      <c r="F1806" s="1"/>
      <c r="G1806" s="1" t="s">
        <v>43</v>
      </c>
      <c r="H1806" s="2">
        <v>200</v>
      </c>
      <c r="I1806" s="1" t="s">
        <v>5682</v>
      </c>
      <c r="J1806" s="1" t="s">
        <v>5683</v>
      </c>
      <c r="K1806" s="1" t="s">
        <v>82</v>
      </c>
      <c r="L1806" s="1" t="s">
        <v>5684</v>
      </c>
      <c r="M1806" s="6" t="str">
        <f>_xlfn.CONCAT(Table1[[#This Row],[Billing Street]], ", ", Table1[[#This Row],[Billing City]], ", ", Table1[[#This Row],[Billing State/Province]], ", ", Table1[[#This Row],[Billing Zip/Postal Code]])</f>
        <v>900 S. Water Street, Bay City, MI, 48708</v>
      </c>
    </row>
    <row r="1807" spans="1:13" ht="15.6" hidden="1" x14ac:dyDescent="0.3">
      <c r="A1807" s="1" t="s">
        <v>5685</v>
      </c>
      <c r="B1807" s="1"/>
      <c r="C1807" s="1"/>
      <c r="D1807" s="1"/>
      <c r="E1807" s="1"/>
      <c r="F1807" s="1"/>
      <c r="G1807" s="1" t="s">
        <v>8</v>
      </c>
      <c r="H1807" s="2">
        <v>6528</v>
      </c>
      <c r="I1807" s="1" t="s">
        <v>13</v>
      </c>
      <c r="J1807" s="1" t="s">
        <v>5686</v>
      </c>
      <c r="K1807" s="1" t="s">
        <v>147</v>
      </c>
      <c r="L1807" s="1" t="s">
        <v>13</v>
      </c>
      <c r="M1807" s="6" t="str">
        <f>_xlfn.CONCAT(Table1[[#This Row],[Billing Street]], ", ", Table1[[#This Row],[Billing City]], ", ", Table1[[#This Row],[Billing State/Province]], ", ", Table1[[#This Row],[Billing Zip/Postal Code]])</f>
        <v xml:space="preserve">, Braman, OK, </v>
      </c>
    </row>
    <row r="1808" spans="1:13" ht="15.6" hidden="1" x14ac:dyDescent="0.3">
      <c r="A1808" s="1" t="s">
        <v>5687</v>
      </c>
      <c r="B1808" s="1"/>
      <c r="C1808" s="1"/>
      <c r="D1808" s="1"/>
      <c r="E1808" s="1"/>
      <c r="F1808" s="1"/>
      <c r="G1808" s="1" t="s">
        <v>8</v>
      </c>
      <c r="H1808" s="2">
        <v>188</v>
      </c>
      <c r="I1808" s="1" t="s">
        <v>5688</v>
      </c>
      <c r="J1808" s="1" t="s">
        <v>5689</v>
      </c>
      <c r="K1808" s="1" t="s">
        <v>147</v>
      </c>
      <c r="L1808" s="1" t="s">
        <v>5690</v>
      </c>
      <c r="M1808" s="6" t="str">
        <f>_xlfn.CONCAT(Table1[[#This Row],[Billing Street]], ", ", Table1[[#This Row],[Billing City]], ", ", Table1[[#This Row],[Billing State/Province]], ", ", Table1[[#This Row],[Billing Zip/Postal Code]])</f>
        <v>312 Main St, Lindsay, OK, 73052</v>
      </c>
    </row>
    <row r="1809" spans="1:13" ht="15.6" hidden="1" x14ac:dyDescent="0.3">
      <c r="A1809" s="1" t="s">
        <v>5691</v>
      </c>
      <c r="B1809" s="1"/>
      <c r="C1809" s="1"/>
      <c r="D1809" s="1"/>
      <c r="E1809" s="1"/>
      <c r="F1809" s="1"/>
      <c r="G1809" s="1" t="s">
        <v>43</v>
      </c>
      <c r="H1809" s="2">
        <v>5776</v>
      </c>
      <c r="I1809" s="1" t="s">
        <v>13</v>
      </c>
      <c r="J1809" s="1" t="s">
        <v>13</v>
      </c>
      <c r="K1809" s="1" t="s">
        <v>82</v>
      </c>
      <c r="L1809" s="1" t="s">
        <v>13</v>
      </c>
      <c r="M1809" s="6" t="str">
        <f>_xlfn.CONCAT(Table1[[#This Row],[Billing Street]], ", ", Table1[[#This Row],[Billing City]], ", ", Table1[[#This Row],[Billing State/Province]], ", ", Table1[[#This Row],[Billing Zip/Postal Code]])</f>
        <v xml:space="preserve">, , MI, </v>
      </c>
    </row>
    <row r="1810" spans="1:13" ht="15.6" hidden="1" x14ac:dyDescent="0.3">
      <c r="A1810" s="1" t="s">
        <v>5692</v>
      </c>
      <c r="B1810" s="1"/>
      <c r="C1810" s="1"/>
      <c r="D1810" s="1"/>
      <c r="E1810" s="1"/>
      <c r="F1810" s="1"/>
      <c r="G1810" s="1" t="s">
        <v>43</v>
      </c>
      <c r="H1810" s="2">
        <v>195</v>
      </c>
      <c r="I1810" s="1" t="s">
        <v>5693</v>
      </c>
      <c r="J1810" s="1" t="s">
        <v>5694</v>
      </c>
      <c r="K1810" s="1" t="s">
        <v>82</v>
      </c>
      <c r="L1810" s="1" t="s">
        <v>5695</v>
      </c>
      <c r="M1810" s="6" t="str">
        <f>_xlfn.CONCAT(Table1[[#This Row],[Billing Street]], ", ", Table1[[#This Row],[Billing City]], ", ", Table1[[#This Row],[Billing State/Province]], ", ", Table1[[#This Row],[Billing Zip/Postal Code]])</f>
        <v>110 West Main Street, Sebewaing, MI, 48759</v>
      </c>
    </row>
    <row r="1811" spans="1:13" ht="15.6" hidden="1" x14ac:dyDescent="0.3">
      <c r="A1811" s="1" t="s">
        <v>5696</v>
      </c>
      <c r="B1811" s="1"/>
      <c r="C1811" s="1"/>
      <c r="D1811" s="1"/>
      <c r="E1811" s="1"/>
      <c r="F1811" s="1"/>
      <c r="G1811" s="1" t="s">
        <v>43</v>
      </c>
      <c r="H1811" s="2">
        <v>165</v>
      </c>
      <c r="I1811" s="1" t="s">
        <v>5697</v>
      </c>
      <c r="J1811" s="1" t="s">
        <v>637</v>
      </c>
      <c r="K1811" s="1" t="s">
        <v>82</v>
      </c>
      <c r="L1811" s="1" t="s">
        <v>5698</v>
      </c>
      <c r="M1811" s="6" t="str">
        <f>_xlfn.CONCAT(Table1[[#This Row],[Billing Street]], ", ", Table1[[#This Row],[Billing City]], ", ", Table1[[#This Row],[Billing State/Province]], ", ", Table1[[#This Row],[Billing Zip/Postal Code]])</f>
        <v>1 Energy Plaza, Jackson, MI, 49201</v>
      </c>
    </row>
    <row r="1812" spans="1:13" ht="15.6" hidden="1" x14ac:dyDescent="0.3">
      <c r="A1812" s="1" t="s">
        <v>5699</v>
      </c>
      <c r="B1812" s="1"/>
      <c r="C1812" s="1"/>
      <c r="D1812" s="1"/>
      <c r="E1812" s="1"/>
      <c r="F1812" s="1"/>
      <c r="G1812" s="1" t="s">
        <v>43</v>
      </c>
      <c r="H1812" s="2">
        <v>271</v>
      </c>
      <c r="I1812" s="1" t="s">
        <v>5700</v>
      </c>
      <c r="J1812" s="1" t="s">
        <v>5701</v>
      </c>
      <c r="K1812" s="1" t="s">
        <v>82</v>
      </c>
      <c r="L1812" s="1" t="s">
        <v>5702</v>
      </c>
      <c r="M1812" s="6" t="str">
        <f>_xlfn.CONCAT(Table1[[#This Row],[Billing Street]], ", ", Table1[[#This Row],[Billing City]], ", ", Table1[[#This Row],[Billing State/Province]], ", ", Table1[[#This Row],[Billing Zip/Postal Code]])</f>
        <v>1700 Eaton Drive, Grand Haven, MI, 49417</v>
      </c>
    </row>
    <row r="1813" spans="1:13" ht="15.6" hidden="1" x14ac:dyDescent="0.3">
      <c r="A1813" s="1" t="s">
        <v>5703</v>
      </c>
      <c r="B1813" s="1"/>
      <c r="C1813" s="1"/>
      <c r="D1813" s="1"/>
      <c r="E1813" s="1"/>
      <c r="F1813" s="1"/>
      <c r="G1813" s="1" t="s">
        <v>43</v>
      </c>
      <c r="H1813" s="2">
        <v>316</v>
      </c>
      <c r="I1813" s="1" t="s">
        <v>5704</v>
      </c>
      <c r="J1813" s="1" t="s">
        <v>5705</v>
      </c>
      <c r="K1813" s="1" t="s">
        <v>82</v>
      </c>
      <c r="L1813" s="1" t="s">
        <v>5706</v>
      </c>
      <c r="M1813" s="6" t="str">
        <f>_xlfn.CONCAT(Table1[[#This Row],[Billing Street]], ", ", Table1[[#This Row],[Billing City]], ", ", Table1[[#This Row],[Billing State/Province]], ", ", Table1[[#This Row],[Billing Zip/Postal Code]])</f>
        <v>1131 Hastings Street, Traverse City, MI, 49686</v>
      </c>
    </row>
    <row r="1814" spans="1:13" ht="15.6" hidden="1" x14ac:dyDescent="0.3">
      <c r="A1814" s="1" t="s">
        <v>5707</v>
      </c>
      <c r="B1814" s="1"/>
      <c r="C1814" s="1"/>
      <c r="D1814" s="1"/>
      <c r="E1814" s="1"/>
      <c r="F1814" s="1"/>
      <c r="G1814" s="1" t="s">
        <v>43</v>
      </c>
      <c r="H1814" s="2">
        <v>419</v>
      </c>
      <c r="I1814" s="1" t="s">
        <v>5708</v>
      </c>
      <c r="J1814" s="1" t="s">
        <v>892</v>
      </c>
      <c r="K1814" s="1" t="s">
        <v>82</v>
      </c>
      <c r="L1814" s="1" t="s">
        <v>5709</v>
      </c>
      <c r="M1814" s="6" t="str">
        <f>_xlfn.CONCAT(Table1[[#This Row],[Billing Street]], ", ", Table1[[#This Row],[Billing City]], ", ", Table1[[#This Row],[Billing State/Province]], ", ", Table1[[#This Row],[Billing Zip/Postal Code]])</f>
        <v>426 N. 9th Street, Gladstone, MI, 49837</v>
      </c>
    </row>
    <row r="1815" spans="1:13" ht="15.6" hidden="1" x14ac:dyDescent="0.3">
      <c r="A1815" s="1" t="s">
        <v>5710</v>
      </c>
      <c r="B1815" s="1"/>
      <c r="C1815" s="1"/>
      <c r="D1815" s="1"/>
      <c r="E1815" s="1"/>
      <c r="F1815" s="1"/>
      <c r="G1815" s="1" t="s">
        <v>43</v>
      </c>
      <c r="H1815" s="2">
        <v>237</v>
      </c>
      <c r="I1815" s="1" t="s">
        <v>5711</v>
      </c>
      <c r="J1815" s="1" t="s">
        <v>5712</v>
      </c>
      <c r="K1815" s="1" t="s">
        <v>82</v>
      </c>
      <c r="L1815" s="1" t="s">
        <v>5713</v>
      </c>
      <c r="M1815" s="6" t="str">
        <f>_xlfn.CONCAT(Table1[[#This Row],[Billing Street]], ", ", Table1[[#This Row],[Billing City]], ", ", Table1[[#This Row],[Billing State/Province]], ", ", Table1[[#This Row],[Billing Zip/Postal Code]])</f>
        <v>60590 Decatur Road, Cassopolis, MI, 49031</v>
      </c>
    </row>
    <row r="1816" spans="1:13" ht="15.6" hidden="1" x14ac:dyDescent="0.3">
      <c r="A1816" s="1" t="s">
        <v>5714</v>
      </c>
      <c r="B1816" s="1"/>
      <c r="C1816" s="1"/>
      <c r="D1816" s="1"/>
      <c r="E1816" s="1"/>
      <c r="F1816" s="1"/>
      <c r="G1816" s="1" t="s">
        <v>43</v>
      </c>
      <c r="H1816" s="2">
        <v>208</v>
      </c>
      <c r="I1816" s="1" t="s">
        <v>5715</v>
      </c>
      <c r="J1816" s="1" t="s">
        <v>5716</v>
      </c>
      <c r="K1816" s="1" t="s">
        <v>82</v>
      </c>
      <c r="L1816" s="1" t="s">
        <v>5717</v>
      </c>
      <c r="M1816" s="6" t="str">
        <f>_xlfn.CONCAT(Table1[[#This Row],[Billing Street]], ", ", Table1[[#This Row],[Billing City]], ", ", Table1[[#This Row],[Billing State/Province]], ", ", Table1[[#This Row],[Billing Zip/Postal Code]])</f>
        <v>805 N. Centerville Road, Sturgis, MI, 49091</v>
      </c>
    </row>
    <row r="1817" spans="1:13" ht="15.6" hidden="1" x14ac:dyDescent="0.3">
      <c r="A1817" s="1" t="s">
        <v>5718</v>
      </c>
      <c r="B1817" s="1"/>
      <c r="C1817" s="1"/>
      <c r="D1817" s="1"/>
      <c r="E1817" s="1"/>
      <c r="F1817" s="1"/>
      <c r="G1817" s="1" t="s">
        <v>43</v>
      </c>
      <c r="H1817" s="2">
        <v>181</v>
      </c>
      <c r="I1817" s="1" t="s">
        <v>5719</v>
      </c>
      <c r="J1817" s="1" t="s">
        <v>5720</v>
      </c>
      <c r="K1817" s="1" t="s">
        <v>82</v>
      </c>
      <c r="L1817" s="1" t="s">
        <v>5721</v>
      </c>
      <c r="M1817" s="6" t="str">
        <f>_xlfn.CONCAT(Table1[[#This Row],[Billing Street]], ", ", Table1[[#This Row],[Billing City]], ", ", Table1[[#This Row],[Billing State/Province]], ", ", Table1[[#This Row],[Billing Zip/Postal Code]])</f>
        <v>2231 E. Main Street, Ubly, MI, 48475</v>
      </c>
    </row>
    <row r="1818" spans="1:13" ht="15.6" hidden="1" x14ac:dyDescent="0.3">
      <c r="A1818" s="1" t="s">
        <v>5722</v>
      </c>
      <c r="B1818" s="1"/>
      <c r="C1818" s="1"/>
      <c r="D1818" s="1"/>
      <c r="E1818" s="1"/>
      <c r="F1818" s="1"/>
      <c r="G1818" s="1" t="s">
        <v>43</v>
      </c>
      <c r="H1818" s="2">
        <v>188</v>
      </c>
      <c r="I1818" s="1" t="s">
        <v>5723</v>
      </c>
      <c r="J1818" s="1" t="s">
        <v>5724</v>
      </c>
      <c r="K1818" s="1" t="s">
        <v>82</v>
      </c>
      <c r="L1818" s="1" t="s">
        <v>5725</v>
      </c>
      <c r="M1818" s="6" t="str">
        <f>_xlfn.CONCAT(Table1[[#This Row],[Billing Street]], ", ", Table1[[#This Row],[Billing City]], ", ", Table1[[#This Row],[Billing State/Province]], ", ", Table1[[#This Row],[Billing Zip/Postal Code]])</f>
        <v>One Grand Street, Coldwater, MI, 49036</v>
      </c>
    </row>
    <row r="1819" spans="1:13" ht="15.6" hidden="1" x14ac:dyDescent="0.3">
      <c r="A1819" s="1" t="s">
        <v>5726</v>
      </c>
      <c r="B1819" s="1"/>
      <c r="C1819" s="1"/>
      <c r="D1819" s="1"/>
      <c r="E1819" s="1"/>
      <c r="F1819" s="1"/>
      <c r="G1819" s="1" t="s">
        <v>43</v>
      </c>
      <c r="H1819" s="2">
        <v>469</v>
      </c>
      <c r="I1819" s="1" t="s">
        <v>5727</v>
      </c>
      <c r="J1819" s="1" t="s">
        <v>3707</v>
      </c>
      <c r="K1819" s="1" t="s">
        <v>82</v>
      </c>
      <c r="L1819" s="1" t="s">
        <v>3708</v>
      </c>
      <c r="M1819" s="6" t="str">
        <f>_xlfn.CONCAT(Table1[[#This Row],[Billing Street]], ", ", Table1[[#This Row],[Billing City]], ", ", Table1[[#This Row],[Billing State/Province]], ", ", Table1[[#This Row],[Billing Zip/Postal Code]])</f>
        <v>2200 W. Wright St., Marquette, MI, 49855</v>
      </c>
    </row>
    <row r="1820" spans="1:13" ht="15.6" hidden="1" x14ac:dyDescent="0.3">
      <c r="A1820" s="1" t="s">
        <v>5728</v>
      </c>
      <c r="B1820" s="1"/>
      <c r="C1820" s="1"/>
      <c r="D1820" s="1"/>
      <c r="E1820" s="1"/>
      <c r="F1820" s="1"/>
      <c r="G1820" s="1" t="s">
        <v>43</v>
      </c>
      <c r="H1820" s="2">
        <v>237</v>
      </c>
      <c r="I1820" s="1" t="s">
        <v>5729</v>
      </c>
      <c r="J1820" s="1" t="s">
        <v>5730</v>
      </c>
      <c r="K1820" s="1" t="s">
        <v>82</v>
      </c>
      <c r="L1820" s="1" t="s">
        <v>5731</v>
      </c>
      <c r="M1820" s="6" t="str">
        <f>_xlfn.CONCAT(Table1[[#This Row],[Billing Street]], ", ", Table1[[#This Row],[Billing City]], ", ", Table1[[#This Row],[Billing State/Province]], ", ", Table1[[#This Row],[Billing Zip/Postal Code]])</f>
        <v>110 Harry L. Bush Blvd., Paw Paw, MI, 49079</v>
      </c>
    </row>
    <row r="1821" spans="1:13" ht="15.6" hidden="1" x14ac:dyDescent="0.3">
      <c r="A1821" s="1" t="s">
        <v>5732</v>
      </c>
      <c r="B1821" s="1"/>
      <c r="C1821" s="1"/>
      <c r="D1821" s="1"/>
      <c r="E1821" s="1"/>
      <c r="F1821" s="1"/>
      <c r="G1821" s="1" t="s">
        <v>43</v>
      </c>
      <c r="H1821" s="2">
        <v>192</v>
      </c>
      <c r="I1821" s="1" t="s">
        <v>5733</v>
      </c>
      <c r="J1821" s="1" t="s">
        <v>1325</v>
      </c>
      <c r="K1821" s="1" t="s">
        <v>82</v>
      </c>
      <c r="L1821" s="1" t="s">
        <v>5734</v>
      </c>
      <c r="M1821" s="6" t="str">
        <f>_xlfn.CONCAT(Table1[[#This Row],[Billing Street]], ", ", Table1[[#This Row],[Billing City]], ", ", Table1[[#This Row],[Billing State/Province]], ", ", Table1[[#This Row],[Billing Zip/Postal Code]])</f>
        <v>323 W. Michigan Avenue, Marshall, MI, 49068</v>
      </c>
    </row>
    <row r="1822" spans="1:13" ht="15.6" hidden="1" x14ac:dyDescent="0.3">
      <c r="A1822" s="1" t="s">
        <v>5735</v>
      </c>
      <c r="B1822" s="1"/>
      <c r="C1822" s="1"/>
      <c r="D1822" s="1"/>
      <c r="E1822" s="1"/>
      <c r="F1822" s="1"/>
      <c r="G1822" s="1" t="s">
        <v>43</v>
      </c>
      <c r="H1822" s="2">
        <v>197</v>
      </c>
      <c r="I1822" s="1" t="s">
        <v>5736</v>
      </c>
      <c r="J1822" s="1" t="s">
        <v>5737</v>
      </c>
      <c r="K1822" s="1" t="s">
        <v>82</v>
      </c>
      <c r="L1822" s="1" t="s">
        <v>5738</v>
      </c>
      <c r="M1822" s="6" t="str">
        <f>_xlfn.CONCAT(Table1[[#This Row],[Billing Street]], ", ", Table1[[#This Row],[Billing City]], ", ", Table1[[#This Row],[Billing State/Province]], ", ", Table1[[#This Row],[Billing Zip/Postal Code]])</f>
        <v>208 N. Broadway, Union City, MI, 49094</v>
      </c>
    </row>
    <row r="1823" spans="1:13" ht="15.6" hidden="1" x14ac:dyDescent="0.3">
      <c r="A1823" s="1" t="s">
        <v>5739</v>
      </c>
      <c r="B1823" s="1"/>
      <c r="C1823" s="1"/>
      <c r="D1823" s="1"/>
      <c r="E1823" s="1"/>
      <c r="F1823" s="1"/>
      <c r="G1823" s="1" t="s">
        <v>43</v>
      </c>
      <c r="H1823" s="2">
        <v>170</v>
      </c>
      <c r="I1823" s="1" t="s">
        <v>5740</v>
      </c>
      <c r="J1823" s="1" t="s">
        <v>3614</v>
      </c>
      <c r="K1823" s="1" t="s">
        <v>82</v>
      </c>
      <c r="L1823" s="1" t="s">
        <v>3615</v>
      </c>
      <c r="M1823" s="6" t="str">
        <f>_xlfn.CONCAT(Table1[[#This Row],[Billing Street]], ", ", Table1[[#This Row],[Billing City]], ", ", Table1[[#This Row],[Billing State/Province]], ", ", Table1[[#This Row],[Billing Zip/Postal Code]])</f>
        <v>45 Monroe Street, Hillsdale, MI, 49242</v>
      </c>
    </row>
    <row r="1824" spans="1:13" ht="15.6" hidden="1" x14ac:dyDescent="0.3">
      <c r="A1824" s="1" t="s">
        <v>5741</v>
      </c>
      <c r="B1824" s="1"/>
      <c r="C1824" s="1"/>
      <c r="D1824" s="1"/>
      <c r="E1824" s="1"/>
      <c r="F1824" s="1"/>
      <c r="G1824" s="1" t="s">
        <v>43</v>
      </c>
      <c r="H1824" s="2">
        <v>251</v>
      </c>
      <c r="I1824" s="1" t="s">
        <v>5742</v>
      </c>
      <c r="J1824" s="1" t="s">
        <v>5743</v>
      </c>
      <c r="K1824" s="1" t="s">
        <v>82</v>
      </c>
      <c r="L1824" s="1" t="s">
        <v>5744</v>
      </c>
      <c r="M1824" s="6" t="str">
        <f>_xlfn.CONCAT(Table1[[#This Row],[Billing Street]], ", ", Table1[[#This Row],[Billing City]], ", ", Table1[[#This Row],[Billing State/Province]], ", ", Table1[[#This Row],[Billing Zip/Postal Code]])</f>
        <v>333 N. Second Street, Niles, MI, 49120</v>
      </c>
    </row>
    <row r="1825" spans="1:13" ht="15.6" hidden="1" x14ac:dyDescent="0.3">
      <c r="A1825" s="1" t="s">
        <v>5745</v>
      </c>
      <c r="B1825" s="1"/>
      <c r="C1825" s="1"/>
      <c r="D1825" s="1"/>
      <c r="E1825" s="1"/>
      <c r="F1825" s="1"/>
      <c r="G1825" s="1" t="s">
        <v>43</v>
      </c>
      <c r="H1825" s="2">
        <v>472</v>
      </c>
      <c r="I1825" s="1" t="s">
        <v>5746</v>
      </c>
      <c r="J1825" s="1" t="s">
        <v>5747</v>
      </c>
      <c r="K1825" s="1" t="s">
        <v>82</v>
      </c>
      <c r="L1825" s="1" t="s">
        <v>5748</v>
      </c>
      <c r="M1825" s="6" t="str">
        <f>_xlfn.CONCAT(Table1[[#This Row],[Billing Street]], ", ", Table1[[#This Row],[Billing City]], ", ", Table1[[#This Row],[Billing State/Province]], ", ", Table1[[#This Row],[Billing Zip/Postal Code]])</f>
        <v>500 Washington St, Ishpeming, MI, 49849</v>
      </c>
    </row>
    <row r="1826" spans="1:13" ht="15.6" hidden="1" x14ac:dyDescent="0.3">
      <c r="A1826" s="1" t="s">
        <v>5749</v>
      </c>
      <c r="B1826" s="1"/>
      <c r="C1826" s="1"/>
      <c r="D1826" s="1"/>
      <c r="E1826" s="1"/>
      <c r="F1826" s="1"/>
      <c r="G1826" s="1" t="s">
        <v>43</v>
      </c>
      <c r="H1826" s="2">
        <v>311</v>
      </c>
      <c r="I1826" s="1" t="s">
        <v>5750</v>
      </c>
      <c r="J1826" s="1" t="s">
        <v>5751</v>
      </c>
      <c r="K1826" s="1" t="s">
        <v>82</v>
      </c>
      <c r="L1826" s="1" t="s">
        <v>5752</v>
      </c>
      <c r="M1826" s="6" t="str">
        <f>_xlfn.CONCAT(Table1[[#This Row],[Billing Street]], ", ", Table1[[#This Row],[Billing City]], ", ", Table1[[#This Row],[Billing State/Province]], ", ", Table1[[#This Row],[Billing Zip/Postal Code]])</f>
        <v>19831 M-68 Highway, Onaway, MI, 49765</v>
      </c>
    </row>
    <row r="1827" spans="1:13" ht="15.6" hidden="1" x14ac:dyDescent="0.3">
      <c r="A1827" s="1" t="s">
        <v>5753</v>
      </c>
      <c r="B1827" s="1"/>
      <c r="C1827" s="1"/>
      <c r="D1827" s="1"/>
      <c r="E1827" s="1"/>
      <c r="F1827" s="1"/>
      <c r="G1827" s="1" t="s">
        <v>43</v>
      </c>
      <c r="H1827" s="2">
        <v>108</v>
      </c>
      <c r="I1827" s="1" t="s">
        <v>5754</v>
      </c>
      <c r="J1827" s="1" t="s">
        <v>396</v>
      </c>
      <c r="K1827" s="1" t="s">
        <v>82</v>
      </c>
      <c r="L1827" s="1" t="s">
        <v>5755</v>
      </c>
      <c r="M1827" s="6" t="str">
        <f>_xlfn.CONCAT(Table1[[#This Row],[Billing Street]], ", ", Table1[[#This Row],[Billing City]], ", ", Table1[[#This Row],[Billing State/Province]], ", ", Table1[[#This Row],[Billing Zip/Postal Code]])</f>
        <v>One Energy Plaza, Detroit, MI, 48226</v>
      </c>
    </row>
    <row r="1828" spans="1:13" ht="15.6" hidden="1" x14ac:dyDescent="0.3">
      <c r="A1828" s="1" t="s">
        <v>5756</v>
      </c>
      <c r="B1828" s="1"/>
      <c r="C1828" s="1"/>
      <c r="D1828" s="1"/>
      <c r="E1828" s="1"/>
      <c r="F1828" s="1"/>
      <c r="G1828" s="1" t="s">
        <v>43</v>
      </c>
      <c r="H1828" s="2">
        <v>379</v>
      </c>
      <c r="I1828" s="1" t="s">
        <v>5757</v>
      </c>
      <c r="J1828" s="1" t="s">
        <v>5758</v>
      </c>
      <c r="K1828" s="1" t="s">
        <v>82</v>
      </c>
      <c r="L1828" s="1" t="s">
        <v>5759</v>
      </c>
      <c r="M1828" s="6" t="str">
        <f>_xlfn.CONCAT(Table1[[#This Row],[Billing Street]], ", ", Table1[[#This Row],[Billing City]], ", ", Table1[[#This Row],[Billing State/Province]], ", ", Table1[[#This Row],[Billing Zip/Postal Code]])</f>
        <v>2916 W. M-28, Dafter, MI, 49724</v>
      </c>
    </row>
    <row r="1829" spans="1:13" ht="15.6" hidden="1" x14ac:dyDescent="0.3">
      <c r="A1829" s="1" t="s">
        <v>5760</v>
      </c>
      <c r="B1829" s="1"/>
      <c r="C1829" s="1"/>
      <c r="D1829" s="1"/>
      <c r="E1829" s="1"/>
      <c r="F1829" s="1"/>
      <c r="G1829" s="1" t="s">
        <v>43</v>
      </c>
      <c r="H1829" s="2">
        <v>150</v>
      </c>
      <c r="I1829" s="1" t="s">
        <v>5761</v>
      </c>
      <c r="J1829" s="1" t="s">
        <v>5762</v>
      </c>
      <c r="K1829" s="1" t="s">
        <v>82</v>
      </c>
      <c r="L1829" s="1" t="s">
        <v>5763</v>
      </c>
      <c r="M1829" s="6" t="str">
        <f>_xlfn.CONCAT(Table1[[#This Row],[Billing Street]], ", ", Table1[[#This Row],[Billing City]], ", ", Table1[[#This Row],[Billing State/Province]], ", ", Table1[[#This Row],[Billing Zip/Postal Code]])</f>
        <v>660 E. Industrial Drive, Chelsea, MI, 48118</v>
      </c>
    </row>
    <row r="1830" spans="1:13" ht="15.6" hidden="1" x14ac:dyDescent="0.3">
      <c r="A1830" s="1" t="s">
        <v>5764</v>
      </c>
      <c r="B1830" s="1"/>
      <c r="C1830" s="1"/>
      <c r="D1830" s="1"/>
      <c r="E1830" s="1"/>
      <c r="F1830" s="1"/>
      <c r="G1830" s="1" t="s">
        <v>8</v>
      </c>
      <c r="H1830" s="2">
        <v>309</v>
      </c>
      <c r="I1830" s="1" t="s">
        <v>5765</v>
      </c>
      <c r="J1830" s="1" t="s">
        <v>5232</v>
      </c>
      <c r="K1830" s="1" t="s">
        <v>21</v>
      </c>
      <c r="L1830" s="1" t="s">
        <v>5766</v>
      </c>
      <c r="M1830" s="6" t="str">
        <f>_xlfn.CONCAT(Table1[[#This Row],[Billing Street]], ", ", Table1[[#This Row],[Billing City]], ", ", Table1[[#This Row],[Billing State/Province]], ", ", Table1[[#This Row],[Billing Zip/Postal Code]])</f>
        <v>111 W. Franklin St, Bloomfield, IA, 52537</v>
      </c>
    </row>
    <row r="1831" spans="1:13" ht="15.6" hidden="1" x14ac:dyDescent="0.3">
      <c r="A1831" s="1" t="s">
        <v>5767</v>
      </c>
      <c r="B1831" s="1"/>
      <c r="C1831" s="1"/>
      <c r="D1831" s="1"/>
      <c r="E1831" s="1"/>
      <c r="F1831" s="1"/>
      <c r="G1831" s="1" t="s">
        <v>8</v>
      </c>
      <c r="H1831" s="2">
        <v>234</v>
      </c>
      <c r="I1831" s="1" t="s">
        <v>5768</v>
      </c>
      <c r="J1831" s="1" t="s">
        <v>5769</v>
      </c>
      <c r="K1831" s="1" t="s">
        <v>11</v>
      </c>
      <c r="L1831" s="1" t="s">
        <v>5770</v>
      </c>
      <c r="M1831" s="6" t="str">
        <f>_xlfn.CONCAT(Table1[[#This Row],[Billing Street]], ", ", Table1[[#This Row],[Billing City]], ", ", Table1[[#This Row],[Billing State/Province]], ", ", Table1[[#This Row],[Billing Zip/Postal Code]])</f>
        <v>18585 Industrial Road, Rock Port, MO, 64482</v>
      </c>
    </row>
    <row r="1832" spans="1:13" ht="15.6" x14ac:dyDescent="0.3">
      <c r="A1832" s="1" t="s">
        <v>5771</v>
      </c>
      <c r="B1832" s="1"/>
      <c r="C1832" s="1"/>
      <c r="D1832" s="1"/>
      <c r="E1832" s="1"/>
      <c r="F1832" s="1"/>
      <c r="G1832" s="1" t="s">
        <v>24</v>
      </c>
      <c r="H1832" s="2">
        <v>5988</v>
      </c>
      <c r="I1832" s="1" t="s">
        <v>5772</v>
      </c>
      <c r="J1832" s="1" t="s">
        <v>4950</v>
      </c>
      <c r="K1832" s="1" t="s">
        <v>26</v>
      </c>
      <c r="L1832" s="1" t="s">
        <v>4951</v>
      </c>
      <c r="M1832" s="6" t="str">
        <f>_xlfn.CONCAT(Table1[[#This Row],[Billing Street]], ", ", Table1[[#This Row],[Billing City]], ", ", Table1[[#This Row],[Billing State/Province]], ", ", Table1[[#This Row],[Billing Zip/Postal Code]])</f>
        <v>2279 Smokey Road, Alabaster, AL, 35007</v>
      </c>
    </row>
    <row r="1833" spans="1:13" ht="15.6" x14ac:dyDescent="0.3">
      <c r="A1833" s="1" t="s">
        <v>5773</v>
      </c>
      <c r="B1833" s="1"/>
      <c r="C1833" s="1"/>
      <c r="D1833" s="1"/>
      <c r="E1833" s="1"/>
      <c r="F1833" s="1"/>
      <c r="G1833" s="1" t="s">
        <v>24</v>
      </c>
      <c r="H1833" s="2">
        <v>5988</v>
      </c>
      <c r="I1833" s="1" t="s">
        <v>13</v>
      </c>
      <c r="J1833" s="1" t="s">
        <v>997</v>
      </c>
      <c r="K1833" s="1" t="s">
        <v>26</v>
      </c>
      <c r="L1833" s="1" t="s">
        <v>13</v>
      </c>
      <c r="M1833" s="6" t="str">
        <f>_xlfn.CONCAT(Table1[[#This Row],[Billing Street]], ", ", Table1[[#This Row],[Billing City]], ", ", Table1[[#This Row],[Billing State/Province]], ", ", Table1[[#This Row],[Billing Zip/Postal Code]])</f>
        <v xml:space="preserve">, Lafayette, AL, </v>
      </c>
    </row>
    <row r="1834" spans="1:13" ht="15.6" hidden="1" x14ac:dyDescent="0.3">
      <c r="A1834" s="1" t="s">
        <v>5774</v>
      </c>
      <c r="B1834" s="1"/>
      <c r="C1834" s="1"/>
      <c r="D1834" s="1"/>
      <c r="E1834" s="1"/>
      <c r="F1834" s="1"/>
      <c r="G1834" s="1" t="s">
        <v>8</v>
      </c>
      <c r="H1834" s="2">
        <v>464</v>
      </c>
      <c r="I1834" s="1" t="s">
        <v>5775</v>
      </c>
      <c r="J1834" s="1" t="s">
        <v>5776</v>
      </c>
      <c r="K1834" s="1" t="s">
        <v>21</v>
      </c>
      <c r="L1834" s="1" t="s">
        <v>5777</v>
      </c>
      <c r="M1834" s="6" t="str">
        <f>_xlfn.CONCAT(Table1[[#This Row],[Billing Street]], ", ", Table1[[#This Row],[Billing City]], ", ", Table1[[#This Row],[Billing State/Province]], ", ", Table1[[#This Row],[Billing Zip/Postal Code]])</f>
        <v>502 S 1st St, Guttenberg, IA, 52052</v>
      </c>
    </row>
    <row r="1835" spans="1:13" ht="15.6" x14ac:dyDescent="0.3">
      <c r="A1835" s="1" t="s">
        <v>5778</v>
      </c>
      <c r="B1835" s="1"/>
      <c r="C1835" s="1"/>
      <c r="D1835" s="1"/>
      <c r="E1835" s="1"/>
      <c r="F1835" s="1"/>
      <c r="G1835" s="1" t="s">
        <v>24</v>
      </c>
      <c r="H1835" s="2">
        <v>227</v>
      </c>
      <c r="I1835" s="1" t="s">
        <v>5779</v>
      </c>
      <c r="J1835" s="1" t="s">
        <v>5070</v>
      </c>
      <c r="K1835" s="1" t="s">
        <v>26</v>
      </c>
      <c r="L1835" s="1" t="s">
        <v>5780</v>
      </c>
      <c r="M1835" s="6" t="str">
        <f>_xlfn.CONCAT(Table1[[#This Row],[Billing Street]], ", ", Table1[[#This Row],[Billing City]], ", ", Table1[[#This Row],[Billing State/Province]], ", ", Table1[[#This Row],[Billing Zip/Postal Code]])</f>
        <v>2700 hwy 78 west, Jasper, AL, 35501</v>
      </c>
    </row>
    <row r="1836" spans="1:13" ht="15.6" hidden="1" x14ac:dyDescent="0.3">
      <c r="A1836" s="1" t="s">
        <v>5781</v>
      </c>
      <c r="B1836" s="1"/>
      <c r="C1836" s="1"/>
      <c r="D1836" s="1"/>
      <c r="E1836" s="1"/>
      <c r="F1836" s="1"/>
      <c r="G1836" s="1" t="s">
        <v>8</v>
      </c>
      <c r="H1836" s="2">
        <v>435</v>
      </c>
      <c r="I1836" s="1" t="s">
        <v>5782</v>
      </c>
      <c r="J1836" s="1" t="s">
        <v>5783</v>
      </c>
      <c r="K1836" s="1" t="s">
        <v>21</v>
      </c>
      <c r="L1836" s="1" t="s">
        <v>5784</v>
      </c>
      <c r="M1836" s="6" t="str">
        <f>_xlfn.CONCAT(Table1[[#This Row],[Billing Street]], ", ", Table1[[#This Row],[Billing City]], ", ", Table1[[#This Row],[Billing State/Province]], ", ", Table1[[#This Row],[Billing Zip/Postal Code]])</f>
        <v>806 N Ave #3, Milford, IA, 51351</v>
      </c>
    </row>
    <row r="1837" spans="1:13" ht="15.6" hidden="1" x14ac:dyDescent="0.3">
      <c r="A1837" s="1" t="s">
        <v>5785</v>
      </c>
      <c r="B1837" s="1"/>
      <c r="C1837" s="1"/>
      <c r="D1837" s="1"/>
      <c r="E1837" s="1"/>
      <c r="F1837" s="1"/>
      <c r="G1837" s="1" t="s">
        <v>8</v>
      </c>
      <c r="H1837" s="2">
        <v>440</v>
      </c>
      <c r="I1837" s="1" t="s">
        <v>5786</v>
      </c>
      <c r="J1837" s="1" t="s">
        <v>3932</v>
      </c>
      <c r="K1837" s="1" t="s">
        <v>21</v>
      </c>
      <c r="L1837" s="1" t="s">
        <v>5787</v>
      </c>
      <c r="M1837" s="6" t="str">
        <f>_xlfn.CONCAT(Table1[[#This Row],[Billing Street]], ", ", Table1[[#This Row],[Billing City]], ", ", Table1[[#This Row],[Billing State/Province]], ", ", Table1[[#This Row],[Billing Zip/Postal Code]])</f>
        <v>808 3rd Ave, Sibley, IA, 51249</v>
      </c>
    </row>
    <row r="1838" spans="1:13" ht="15.6" x14ac:dyDescent="0.3">
      <c r="A1838" s="1" t="s">
        <v>5788</v>
      </c>
      <c r="B1838" s="1"/>
      <c r="C1838" s="1"/>
      <c r="D1838" s="1"/>
      <c r="E1838" s="1"/>
      <c r="F1838" s="1"/>
      <c r="G1838" s="1" t="s">
        <v>24</v>
      </c>
      <c r="H1838" s="2">
        <v>5988</v>
      </c>
      <c r="I1838" s="1" t="s">
        <v>5789</v>
      </c>
      <c r="J1838" s="1" t="s">
        <v>5790</v>
      </c>
      <c r="K1838" s="1" t="s">
        <v>26</v>
      </c>
      <c r="L1838" s="1" t="s">
        <v>5791</v>
      </c>
      <c r="M1838" s="6" t="str">
        <f>_xlfn.CONCAT(Table1[[#This Row],[Billing Street]], ", ", Table1[[#This Row],[Billing City]], ", ", Table1[[#This Row],[Billing State/Province]], ", ", Table1[[#This Row],[Billing Zip/Postal Code]])</f>
        <v>701 Bill Myles Dr., Saraland, AL, 36571</v>
      </c>
    </row>
    <row r="1839" spans="1:13" ht="15.6" x14ac:dyDescent="0.3">
      <c r="A1839" s="1" t="s">
        <v>5792</v>
      </c>
      <c r="B1839" s="1"/>
      <c r="C1839" s="1"/>
      <c r="D1839" s="1"/>
      <c r="E1839" s="1"/>
      <c r="F1839" s="1"/>
      <c r="G1839" s="1" t="s">
        <v>24</v>
      </c>
      <c r="H1839" s="2">
        <v>5988</v>
      </c>
      <c r="I1839" s="1" t="s">
        <v>5793</v>
      </c>
      <c r="J1839" s="1" t="s">
        <v>5794</v>
      </c>
      <c r="K1839" s="1" t="s">
        <v>26</v>
      </c>
      <c r="L1839" s="1" t="s">
        <v>5795</v>
      </c>
      <c r="M1839" s="6" t="str">
        <f>_xlfn.CONCAT(Table1[[#This Row],[Billing Street]], ", ", Table1[[#This Row],[Billing City]], ", ", Table1[[#This Row],[Billing State/Province]], ", ", Table1[[#This Row],[Billing Zip/Postal Code]])</f>
        <v>11180 US-82, McShan, AL, 35471</v>
      </c>
    </row>
    <row r="1840" spans="1:13" ht="15.6" hidden="1" x14ac:dyDescent="0.3">
      <c r="A1840" s="1" t="s">
        <v>5796</v>
      </c>
      <c r="B1840" s="1"/>
      <c r="C1840" s="1"/>
      <c r="D1840" s="1"/>
      <c r="E1840" s="1"/>
      <c r="F1840" s="1"/>
      <c r="G1840" s="1" t="s">
        <v>8</v>
      </c>
      <c r="H1840" s="2">
        <v>443</v>
      </c>
      <c r="I1840" s="1" t="s">
        <v>5797</v>
      </c>
      <c r="J1840" s="1" t="s">
        <v>5798</v>
      </c>
      <c r="K1840" s="1" t="s">
        <v>21</v>
      </c>
      <c r="L1840" s="1" t="s">
        <v>5799</v>
      </c>
      <c r="M1840" s="6" t="str">
        <f>_xlfn.CONCAT(Table1[[#This Row],[Billing Street]], ", ", Table1[[#This Row],[Billing City]], ", ", Table1[[#This Row],[Billing State/Province]], ", ", Table1[[#This Row],[Billing Zip/Postal Code]])</f>
        <v>116 S Marshall St, Rock Rapids, IA, 51246</v>
      </c>
    </row>
    <row r="1841" spans="1:13" ht="15.6" x14ac:dyDescent="0.3">
      <c r="A1841" s="1" t="s">
        <v>5800</v>
      </c>
      <c r="B1841" s="1"/>
      <c r="C1841" s="1"/>
      <c r="D1841" s="1"/>
      <c r="E1841" s="1"/>
      <c r="F1841" s="1"/>
      <c r="G1841" s="1" t="s">
        <v>24</v>
      </c>
      <c r="H1841" s="2">
        <v>5988</v>
      </c>
      <c r="I1841" s="1" t="s">
        <v>541</v>
      </c>
      <c r="J1841" s="1" t="s">
        <v>542</v>
      </c>
      <c r="K1841" s="1" t="s">
        <v>26</v>
      </c>
      <c r="L1841" s="1" t="s">
        <v>13</v>
      </c>
      <c r="M1841" s="6" t="str">
        <f>_xlfn.CONCAT(Table1[[#This Row],[Billing Street]], ", ", Table1[[#This Row],[Billing City]], ", ", Table1[[#This Row],[Billing State/Province]], ", ", Table1[[#This Row],[Billing Zip/Postal Code]])</f>
        <v xml:space="preserve">256-500-5038, Alexander City, AL, </v>
      </c>
    </row>
    <row r="1842" spans="1:13" ht="15.6" x14ac:dyDescent="0.3">
      <c r="A1842" s="1" t="s">
        <v>5800</v>
      </c>
      <c r="B1842" s="1"/>
      <c r="C1842" s="1"/>
      <c r="D1842" s="1"/>
      <c r="E1842" s="1"/>
      <c r="F1842" s="1"/>
      <c r="G1842" s="1" t="s">
        <v>24</v>
      </c>
      <c r="H1842" s="2">
        <v>5988</v>
      </c>
      <c r="I1842" s="1" t="s">
        <v>541</v>
      </c>
      <c r="J1842" s="1" t="s">
        <v>542</v>
      </c>
      <c r="K1842" s="1" t="s">
        <v>26</v>
      </c>
      <c r="L1842" s="1" t="s">
        <v>13</v>
      </c>
      <c r="M1842" s="6" t="str">
        <f>_xlfn.CONCAT(Table1[[#This Row],[Billing Street]], ", ", Table1[[#This Row],[Billing City]], ", ", Table1[[#This Row],[Billing State/Province]], ", ", Table1[[#This Row],[Billing Zip/Postal Code]])</f>
        <v xml:space="preserve">256-500-5038, Alexander City, AL, </v>
      </c>
    </row>
    <row r="1843" spans="1:13" ht="15.6" hidden="1" x14ac:dyDescent="0.3">
      <c r="A1843" s="1" t="s">
        <v>5801</v>
      </c>
      <c r="B1843" s="1"/>
      <c r="C1843" s="1"/>
      <c r="D1843" s="1"/>
      <c r="E1843" s="1"/>
      <c r="F1843" s="1"/>
      <c r="G1843" s="1" t="s">
        <v>8</v>
      </c>
      <c r="H1843" s="2">
        <v>238</v>
      </c>
      <c r="I1843" s="1" t="s">
        <v>5802</v>
      </c>
      <c r="J1843" s="1" t="s">
        <v>1352</v>
      </c>
      <c r="K1843" s="1" t="s">
        <v>11</v>
      </c>
      <c r="L1843" s="1" t="s">
        <v>5803</v>
      </c>
      <c r="M1843" s="6" t="str">
        <f>_xlfn.CONCAT(Table1[[#This Row],[Billing Street]], ", ", Table1[[#This Row],[Billing City]], ", ", Table1[[#This Row],[Billing State/Province]], ", ", Table1[[#This Row],[Billing Zip/Postal Code]])</f>
        <v>4100 Oklahoma Avenue, Trenton, MO, 64683</v>
      </c>
    </row>
    <row r="1844" spans="1:13" ht="15.6" hidden="1" x14ac:dyDescent="0.3">
      <c r="A1844" s="1" t="s">
        <v>5804</v>
      </c>
      <c r="B1844" s="1"/>
      <c r="C1844" s="1"/>
      <c r="D1844" s="1"/>
      <c r="E1844" s="1"/>
      <c r="F1844" s="1"/>
      <c r="G1844" s="1" t="s">
        <v>8</v>
      </c>
      <c r="H1844" s="2">
        <v>413</v>
      </c>
      <c r="I1844" s="1" t="s">
        <v>5805</v>
      </c>
      <c r="J1844" s="1" t="s">
        <v>5806</v>
      </c>
      <c r="K1844" s="1" t="s">
        <v>21</v>
      </c>
      <c r="L1844" s="1" t="s">
        <v>5807</v>
      </c>
      <c r="M1844" s="6" t="str">
        <f>_xlfn.CONCAT(Table1[[#This Row],[Billing Street]], ", ", Table1[[#This Row],[Billing City]], ", ", Table1[[#This Row],[Billing State/Province]], ", ", Table1[[#This Row],[Billing Zip/Postal Code]])</f>
        <v>125 Central Ave SE, Orange City, IA, 51041</v>
      </c>
    </row>
    <row r="1845" spans="1:13" ht="15.6" x14ac:dyDescent="0.3">
      <c r="A1845" s="1" t="s">
        <v>5808</v>
      </c>
      <c r="B1845" s="1"/>
      <c r="C1845" s="1"/>
      <c r="D1845" s="1"/>
      <c r="E1845" s="1"/>
      <c r="F1845" s="1"/>
      <c r="G1845" s="1" t="s">
        <v>24</v>
      </c>
      <c r="H1845" s="2">
        <v>198</v>
      </c>
      <c r="I1845" s="1" t="s">
        <v>5809</v>
      </c>
      <c r="J1845" s="1" t="s">
        <v>372</v>
      </c>
      <c r="K1845" s="1" t="s">
        <v>26</v>
      </c>
      <c r="L1845" s="1" t="s">
        <v>5810</v>
      </c>
      <c r="M1845" s="6" t="str">
        <f>_xlfn.CONCAT(Table1[[#This Row],[Billing Street]], ", ", Table1[[#This Row],[Billing City]], ", ", Table1[[#This Row],[Billing State/Province]], ", ", Table1[[#This Row],[Billing Zip/Postal Code]])</f>
        <v>1200 10th street west, Birmingham, AL, 35204</v>
      </c>
    </row>
    <row r="1846" spans="1:13" ht="15.6" hidden="1" x14ac:dyDescent="0.3">
      <c r="A1846" s="1" t="s">
        <v>5811</v>
      </c>
      <c r="B1846" s="1"/>
      <c r="C1846" s="1"/>
      <c r="D1846" s="1"/>
      <c r="E1846" s="1"/>
      <c r="F1846" s="1"/>
      <c r="G1846" s="1" t="s">
        <v>8</v>
      </c>
      <c r="H1846" s="2">
        <v>456</v>
      </c>
      <c r="I1846" s="1" t="s">
        <v>5812</v>
      </c>
      <c r="J1846" s="1" t="s">
        <v>5813</v>
      </c>
      <c r="K1846" s="1" t="s">
        <v>21</v>
      </c>
      <c r="L1846" s="1" t="s">
        <v>5814</v>
      </c>
      <c r="M1846" s="6" t="str">
        <f>_xlfn.CONCAT(Table1[[#This Row],[Billing Street]], ", ", Table1[[#This Row],[Billing City]], ", ", Table1[[#This Row],[Billing State/Province]], ", ", Table1[[#This Row],[Billing Zip/Postal Code]])</f>
        <v>720 Chestnut St, Osage, IA, 50461</v>
      </c>
    </row>
    <row r="1847" spans="1:13" ht="15.6" x14ac:dyDescent="0.3">
      <c r="A1847" s="1" t="s">
        <v>5815</v>
      </c>
      <c r="B1847" s="1"/>
      <c r="C1847" s="1"/>
      <c r="D1847" s="1"/>
      <c r="E1847" s="1"/>
      <c r="F1847" s="1"/>
      <c r="G1847" s="1" t="s">
        <v>24</v>
      </c>
      <c r="H1847" s="2">
        <v>5988</v>
      </c>
      <c r="I1847" s="1" t="s">
        <v>5816</v>
      </c>
      <c r="J1847" s="1" t="s">
        <v>652</v>
      </c>
      <c r="K1847" s="1" t="s">
        <v>26</v>
      </c>
      <c r="L1847" s="1" t="s">
        <v>1732</v>
      </c>
      <c r="M1847" s="6" t="str">
        <f>_xlfn.CONCAT(Table1[[#This Row],[Billing Street]], ", ", Table1[[#This Row],[Billing City]], ", ", Table1[[#This Row],[Billing State/Province]], ", ", Table1[[#This Row],[Billing Zip/Postal Code]])</f>
        <v>1861 Ross Clark Circle, Dothan, AL, 36301</v>
      </c>
    </row>
    <row r="1848" spans="1:13" ht="15.6" hidden="1" x14ac:dyDescent="0.3">
      <c r="A1848" s="1" t="s">
        <v>5817</v>
      </c>
      <c r="B1848" s="1"/>
      <c r="C1848" s="1"/>
      <c r="D1848" s="1"/>
      <c r="E1848" s="1"/>
      <c r="F1848" s="1"/>
      <c r="G1848" s="1" t="s">
        <v>13</v>
      </c>
      <c r="H1848" s="2">
        <v>0</v>
      </c>
      <c r="I1848" s="1" t="s">
        <v>13</v>
      </c>
      <c r="J1848" s="1" t="s">
        <v>5818</v>
      </c>
      <c r="K1848" s="1" t="s">
        <v>13</v>
      </c>
      <c r="L1848" s="1" t="s">
        <v>13</v>
      </c>
      <c r="M1848" s="6" t="str">
        <f>_xlfn.CONCAT(Table1[[#This Row],[Billing Street]], ", ", Table1[[#This Row],[Billing City]], ", ", Table1[[#This Row],[Billing State/Province]], ", ", Table1[[#This Row],[Billing Zip/Postal Code]])</f>
        <v xml:space="preserve">, San Carlos, , </v>
      </c>
    </row>
    <row r="1849" spans="1:13" ht="15.6" hidden="1" x14ac:dyDescent="0.3">
      <c r="A1849" s="1" t="s">
        <v>5819</v>
      </c>
      <c r="B1849" s="1"/>
      <c r="C1849" s="1"/>
      <c r="D1849" s="1"/>
      <c r="E1849" s="1"/>
      <c r="F1849" s="1"/>
      <c r="G1849" s="1" t="s">
        <v>8</v>
      </c>
      <c r="H1849" s="2">
        <v>271</v>
      </c>
      <c r="I1849" s="1" t="s">
        <v>5820</v>
      </c>
      <c r="J1849" s="1" t="s">
        <v>3209</v>
      </c>
      <c r="K1849" s="1" t="s">
        <v>11</v>
      </c>
      <c r="L1849" s="1" t="s">
        <v>5821</v>
      </c>
      <c r="M1849" s="6" t="str">
        <f>_xlfn.CONCAT(Table1[[#This Row],[Billing Street]], ", ", Table1[[#This Row],[Billing City]], ", ", Table1[[#This Row],[Billing State/Province]], ", ", Table1[[#This Row],[Billing Zip/Postal Code]])</f>
        <v>127 E Main St, Perry, MO, 63462</v>
      </c>
    </row>
    <row r="1850" spans="1:13" ht="15.6" hidden="1" x14ac:dyDescent="0.3">
      <c r="A1850" s="1" t="s">
        <v>5822</v>
      </c>
      <c r="B1850" s="1"/>
      <c r="C1850" s="1"/>
      <c r="D1850" s="1"/>
      <c r="E1850" s="1"/>
      <c r="F1850" s="1"/>
      <c r="G1850" s="1" t="s">
        <v>8</v>
      </c>
      <c r="H1850" s="2">
        <v>257</v>
      </c>
      <c r="I1850" s="1" t="s">
        <v>5823</v>
      </c>
      <c r="J1850" s="1" t="s">
        <v>5824</v>
      </c>
      <c r="K1850" s="1" t="s">
        <v>11</v>
      </c>
      <c r="L1850" s="1" t="s">
        <v>5825</v>
      </c>
      <c r="M1850" s="6" t="str">
        <f>_xlfn.CONCAT(Table1[[#This Row],[Billing Street]], ", ", Table1[[#This Row],[Billing City]], ", ", Table1[[#This Row],[Billing State/Province]], ", ", Table1[[#This Row],[Billing Zip/Postal Code]])</f>
        <v>212 E 2nd Street, Milan, MO, 63556</v>
      </c>
    </row>
    <row r="1851" spans="1:13" ht="15.6" hidden="1" x14ac:dyDescent="0.3">
      <c r="A1851" s="1" t="s">
        <v>5826</v>
      </c>
      <c r="B1851" s="1"/>
      <c r="C1851" s="1"/>
      <c r="D1851" s="1"/>
      <c r="E1851" s="1"/>
      <c r="F1851" s="1"/>
      <c r="G1851" s="1" t="s">
        <v>8</v>
      </c>
      <c r="H1851" s="2">
        <v>301</v>
      </c>
      <c r="I1851" s="1" t="s">
        <v>5827</v>
      </c>
      <c r="J1851" s="1" t="s">
        <v>5019</v>
      </c>
      <c r="K1851" s="1" t="s">
        <v>11</v>
      </c>
      <c r="L1851" s="1" t="s">
        <v>5828</v>
      </c>
      <c r="M1851" s="6" t="str">
        <f>_xlfn.CONCAT(Table1[[#This Row],[Billing Street]], ", ", Table1[[#This Row],[Billing City]], ", ", Table1[[#This Row],[Billing State/Province]], ", ", Table1[[#This Row],[Billing Zip/Postal Code]])</f>
        <v>135 S. Main St., Memphis, MO, 63555</v>
      </c>
    </row>
    <row r="1852" spans="1:13" ht="15.6" hidden="1" x14ac:dyDescent="0.3">
      <c r="A1852" s="1" t="s">
        <v>5829</v>
      </c>
      <c r="B1852" s="1"/>
      <c r="C1852" s="1"/>
      <c r="D1852" s="1"/>
      <c r="E1852" s="1"/>
      <c r="F1852" s="1"/>
      <c r="G1852" s="1" t="s">
        <v>8</v>
      </c>
      <c r="H1852" s="2">
        <v>228</v>
      </c>
      <c r="I1852" s="1" t="s">
        <v>5830</v>
      </c>
      <c r="J1852" s="1" t="s">
        <v>5831</v>
      </c>
      <c r="K1852" s="1" t="s">
        <v>11</v>
      </c>
      <c r="L1852" s="1" t="s">
        <v>5832</v>
      </c>
      <c r="M1852" s="6" t="str">
        <f>_xlfn.CONCAT(Table1[[#This Row],[Billing Street]], ", ", Table1[[#This Row],[Billing City]], ", ", Table1[[#This Row],[Billing State/Province]], ", ", Table1[[#This Row],[Billing Zip/Postal Code]])</f>
        <v>310 South Macon St, Meadville, MO, 64659</v>
      </c>
    </row>
    <row r="1853" spans="1:13" ht="15.6" hidden="1" x14ac:dyDescent="0.3">
      <c r="A1853" s="1" t="s">
        <v>5833</v>
      </c>
      <c r="B1853" s="1"/>
      <c r="C1853" s="1"/>
      <c r="D1853" s="1"/>
      <c r="E1853" s="1"/>
      <c r="F1853" s="1"/>
      <c r="G1853" s="1" t="s">
        <v>8</v>
      </c>
      <c r="H1853" s="2">
        <v>235</v>
      </c>
      <c r="I1853" s="1" t="s">
        <v>5834</v>
      </c>
      <c r="J1853" s="1" t="s">
        <v>5835</v>
      </c>
      <c r="K1853" s="1" t="s">
        <v>11</v>
      </c>
      <c r="L1853" s="1" t="s">
        <v>5836</v>
      </c>
      <c r="M1853" s="6" t="str">
        <f>_xlfn.CONCAT(Table1[[#This Row],[Billing Street]], ", ", Table1[[#This Row],[Billing City]], ", ", Table1[[#This Row],[Billing State/Province]], ", ", Table1[[#This Row],[Billing Zip/Postal Code]])</f>
        <v>126 E Chicago Ave, Marceline, MO, 64658</v>
      </c>
    </row>
    <row r="1854" spans="1:13" ht="15.6" hidden="1" x14ac:dyDescent="0.3">
      <c r="A1854" s="1" t="s">
        <v>5837</v>
      </c>
      <c r="B1854" s="1"/>
      <c r="C1854" s="1"/>
      <c r="D1854" s="1"/>
      <c r="E1854" s="1"/>
      <c r="F1854" s="1"/>
      <c r="G1854" s="1" t="s">
        <v>13</v>
      </c>
      <c r="H1854" s="2">
        <v>0</v>
      </c>
      <c r="I1854" s="1" t="s">
        <v>5838</v>
      </c>
      <c r="J1854" s="1" t="s">
        <v>5839</v>
      </c>
      <c r="K1854" s="1" t="s">
        <v>5840</v>
      </c>
      <c r="L1854" s="1" t="s">
        <v>5841</v>
      </c>
      <c r="M1854" s="6" t="str">
        <f>_xlfn.CONCAT(Table1[[#This Row],[Billing Street]], ", ", Table1[[#This Row],[Billing City]], ", ", Table1[[#This Row],[Billing State/Province]], ", ", Table1[[#This Row],[Billing Zip/Postal Code]])</f>
        <v>50 Manitoba Way, Spruce Grove, Alberta, T7X 0V5</v>
      </c>
    </row>
    <row r="1855" spans="1:13" ht="15.6" hidden="1" x14ac:dyDescent="0.3">
      <c r="A1855" s="1" t="s">
        <v>5842</v>
      </c>
      <c r="B1855" s="1"/>
      <c r="C1855" s="1"/>
      <c r="D1855" s="1"/>
      <c r="E1855" s="1"/>
      <c r="F1855" s="1"/>
      <c r="G1855" s="1" t="s">
        <v>43</v>
      </c>
      <c r="H1855" s="2">
        <v>299</v>
      </c>
      <c r="I1855" s="1" t="s">
        <v>5843</v>
      </c>
      <c r="J1855" s="1" t="s">
        <v>5844</v>
      </c>
      <c r="K1855" s="1" t="s">
        <v>1736</v>
      </c>
      <c r="L1855" s="1" t="s">
        <v>5845</v>
      </c>
      <c r="M1855" s="6" t="str">
        <f>_xlfn.CONCAT(Table1[[#This Row],[Billing Street]], ", ", Table1[[#This Row],[Billing City]], ", ", Table1[[#This Row],[Billing State/Province]], ", ", Table1[[#This Row],[Billing Zip/Postal Code]])</f>
        <v>3550 Mayflower Dr, Lynchburg, Va, 24501</v>
      </c>
    </row>
    <row r="1856" spans="1:13" ht="15.6" hidden="1" x14ac:dyDescent="0.3">
      <c r="A1856" s="1" t="s">
        <v>5846</v>
      </c>
      <c r="B1856" s="1"/>
      <c r="C1856" s="1"/>
      <c r="D1856" s="1"/>
      <c r="E1856" s="1"/>
      <c r="F1856" s="1"/>
      <c r="G1856" s="1" t="s">
        <v>8</v>
      </c>
      <c r="H1856" s="2">
        <v>699</v>
      </c>
      <c r="I1856" s="1" t="s">
        <v>5847</v>
      </c>
      <c r="J1856" s="1" t="s">
        <v>127</v>
      </c>
      <c r="K1856" s="1" t="s">
        <v>128</v>
      </c>
      <c r="L1856" s="1" t="s">
        <v>5848</v>
      </c>
      <c r="M1856" s="6" t="str">
        <f>_xlfn.CONCAT(Table1[[#This Row],[Billing Street]], ", ", Table1[[#This Row],[Billing City]], ", ", Table1[[#This Row],[Billing State/Province]], ", ", Table1[[#This Row],[Billing Zip/Postal Code]])</f>
        <v>3215 West Arrowhead Road, Duluth, MN, 55811</v>
      </c>
    </row>
    <row r="1857" spans="1:13" ht="15.6" hidden="1" x14ac:dyDescent="0.3">
      <c r="A1857" s="1" t="s">
        <v>5849</v>
      </c>
      <c r="B1857" s="1"/>
      <c r="C1857" s="1"/>
      <c r="D1857" s="1"/>
      <c r="E1857" s="1"/>
      <c r="F1857" s="1"/>
      <c r="G1857" s="1" t="s">
        <v>43</v>
      </c>
      <c r="H1857" s="2">
        <v>470</v>
      </c>
      <c r="I1857" s="1" t="s">
        <v>5850</v>
      </c>
      <c r="J1857" s="1" t="s">
        <v>5851</v>
      </c>
      <c r="K1857" s="1" t="s">
        <v>152</v>
      </c>
      <c r="L1857" s="1" t="s">
        <v>5852</v>
      </c>
      <c r="M1857" s="6" t="str">
        <f>_xlfn.CONCAT(Table1[[#This Row],[Billing Street]], ", ", Table1[[#This Row],[Billing City]], ", ", Table1[[#This Row],[Billing State/Province]], ", ", Table1[[#This Row],[Billing Zip/Postal Code]])</f>
        <v>1463 26th Ave, Moline, IL, 61265</v>
      </c>
    </row>
    <row r="1858" spans="1:13" ht="15.6" hidden="1" x14ac:dyDescent="0.3">
      <c r="A1858" s="1" t="s">
        <v>5853</v>
      </c>
      <c r="B1858" s="1"/>
      <c r="C1858" s="1"/>
      <c r="D1858" s="1"/>
      <c r="E1858" s="1"/>
      <c r="F1858" s="1"/>
      <c r="G1858" s="1" t="s">
        <v>13</v>
      </c>
      <c r="H1858" s="2">
        <v>0</v>
      </c>
      <c r="I1858" s="1" t="s">
        <v>5854</v>
      </c>
      <c r="J1858" s="1" t="s">
        <v>5855</v>
      </c>
      <c r="K1858" s="1" t="s">
        <v>5840</v>
      </c>
      <c r="L1858" s="1" t="s">
        <v>5856</v>
      </c>
      <c r="M1858" s="6" t="str">
        <f>_xlfn.CONCAT(Table1[[#This Row],[Billing Street]], ", ", Table1[[#This Row],[Billing City]], ", ", Table1[[#This Row],[Billing State/Province]], ", ", Table1[[#This Row],[Billing Zip/Postal Code]])</f>
        <v>8919 - 68th street S.E., Calgary, Alberta, T2C 2X6</v>
      </c>
    </row>
    <row r="1859" spans="1:13" ht="15.6" hidden="1" x14ac:dyDescent="0.3">
      <c r="A1859" s="1" t="s">
        <v>5857</v>
      </c>
      <c r="B1859" s="1"/>
      <c r="C1859" s="1"/>
      <c r="D1859" s="1"/>
      <c r="E1859" s="1"/>
      <c r="F1859" s="1"/>
      <c r="G1859" s="1" t="s">
        <v>98</v>
      </c>
      <c r="H1859" s="2">
        <v>211</v>
      </c>
      <c r="I1859" s="1" t="s">
        <v>5858</v>
      </c>
      <c r="J1859" s="1" t="s">
        <v>4692</v>
      </c>
      <c r="K1859" s="1" t="s">
        <v>1135</v>
      </c>
      <c r="L1859" s="1" t="s">
        <v>5859</v>
      </c>
      <c r="M1859" s="6" t="str">
        <f>_xlfn.CONCAT(Table1[[#This Row],[Billing Street]], ", ", Table1[[#This Row],[Billing City]], ", ", Table1[[#This Row],[Billing State/Province]], ", ", Table1[[#This Row],[Billing Zip/Postal Code]])</f>
        <v>1101 Kermit Drive Suite 501, Nashville, TN, 37217</v>
      </c>
    </row>
    <row r="1860" spans="1:13" ht="15.6" x14ac:dyDescent="0.3">
      <c r="A1860" s="1" t="s">
        <v>5860</v>
      </c>
      <c r="B1860" s="1"/>
      <c r="C1860" s="1"/>
      <c r="D1860" s="1"/>
      <c r="E1860" s="1"/>
      <c r="F1860" s="1"/>
      <c r="G1860" s="1" t="s">
        <v>24</v>
      </c>
      <c r="H1860" s="2">
        <v>125</v>
      </c>
      <c r="I1860" s="1" t="s">
        <v>5861</v>
      </c>
      <c r="J1860" s="1" t="s">
        <v>633</v>
      </c>
      <c r="K1860" s="1" t="s">
        <v>26</v>
      </c>
      <c r="L1860" s="1" t="s">
        <v>5862</v>
      </c>
      <c r="M1860" s="6" t="str">
        <f>_xlfn.CONCAT(Table1[[#This Row],[Billing Street]], ", ", Table1[[#This Row],[Billing City]], ", ", Table1[[#This Row],[Billing State/Province]], ", ", Table1[[#This Row],[Billing Zip/Postal Code]])</f>
        <v>7420-D Hitt Rd, Mobile, AL, 36695</v>
      </c>
    </row>
    <row r="1861" spans="1:13" ht="15.6" hidden="1" x14ac:dyDescent="0.3">
      <c r="A1861" s="1" t="s">
        <v>5863</v>
      </c>
      <c r="B1861" s="1"/>
      <c r="C1861" s="1"/>
      <c r="D1861" s="1"/>
      <c r="E1861" s="1"/>
      <c r="F1861" s="1"/>
      <c r="G1861" s="1" t="s">
        <v>205</v>
      </c>
      <c r="H1861" s="2">
        <v>4</v>
      </c>
      <c r="I1861" s="1" t="s">
        <v>5864</v>
      </c>
      <c r="J1861" s="1" t="s">
        <v>518</v>
      </c>
      <c r="K1861" s="1" t="s">
        <v>479</v>
      </c>
      <c r="L1861" s="1" t="s">
        <v>4924</v>
      </c>
      <c r="M1861" s="6" t="str">
        <f>_xlfn.CONCAT(Table1[[#This Row],[Billing Street]], ", ", Table1[[#This Row],[Billing City]], ", ", Table1[[#This Row],[Billing State/Province]], ", ", Table1[[#This Row],[Billing Zip/Postal Code]])</f>
        <v>615 S. 43rd St, Phoenix, AZ, 85009</v>
      </c>
    </row>
    <row r="1862" spans="1:13" ht="15.6" hidden="1" x14ac:dyDescent="0.3">
      <c r="A1862" s="1" t="s">
        <v>5865</v>
      </c>
      <c r="B1862" s="1"/>
      <c r="C1862" s="1"/>
      <c r="D1862" s="1"/>
      <c r="E1862" s="1"/>
      <c r="F1862" s="1"/>
      <c r="G1862" s="1" t="s">
        <v>43</v>
      </c>
      <c r="H1862" s="2">
        <v>454</v>
      </c>
      <c r="I1862" s="1" t="s">
        <v>5866</v>
      </c>
      <c r="J1862" s="1" t="s">
        <v>5867</v>
      </c>
      <c r="K1862" s="1" t="s">
        <v>82</v>
      </c>
      <c r="L1862" s="1" t="s">
        <v>4618</v>
      </c>
      <c r="M1862" s="6" t="str">
        <f>_xlfn.CONCAT(Table1[[#This Row],[Billing Street]], ", ", Table1[[#This Row],[Billing City]], ", ", Table1[[#This Row],[Billing State/Province]], ", ", Table1[[#This Row],[Billing Zip/Postal Code]])</f>
        <v>PO Box 686, Iron Mountain, MI, 49801</v>
      </c>
    </row>
    <row r="1863" spans="1:13" ht="15.6" x14ac:dyDescent="0.3">
      <c r="A1863" s="1" t="s">
        <v>5868</v>
      </c>
      <c r="B1863" s="1"/>
      <c r="C1863" s="1"/>
      <c r="D1863" s="1"/>
      <c r="E1863" s="1"/>
      <c r="F1863" s="1"/>
      <c r="G1863" s="1" t="s">
        <v>24</v>
      </c>
      <c r="H1863" s="2">
        <v>148</v>
      </c>
      <c r="I1863" s="1" t="s">
        <v>5869</v>
      </c>
      <c r="J1863" s="1" t="s">
        <v>5870</v>
      </c>
      <c r="K1863" s="1" t="s">
        <v>951</v>
      </c>
      <c r="L1863" s="1" t="s">
        <v>5871</v>
      </c>
      <c r="M1863" s="6" t="str">
        <f>_xlfn.CONCAT(Table1[[#This Row],[Billing Street]], ", ", Table1[[#This Row],[Billing City]], ", ", Table1[[#This Row],[Billing State/Province]], ", ", Table1[[#This Row],[Billing Zip/Postal Code]])</f>
        <v>11187 Old 63 South, Lucedale, Ms, 39452</v>
      </c>
    </row>
    <row r="1864" spans="1:13" ht="15.6" hidden="1" x14ac:dyDescent="0.3">
      <c r="A1864" s="1" t="s">
        <v>5872</v>
      </c>
      <c r="B1864" s="1"/>
      <c r="C1864" s="1"/>
      <c r="D1864" s="1"/>
      <c r="E1864" s="1"/>
      <c r="F1864" s="1"/>
      <c r="G1864" s="1" t="s">
        <v>205</v>
      </c>
      <c r="H1864" s="2">
        <v>57</v>
      </c>
      <c r="I1864" s="1" t="s">
        <v>5873</v>
      </c>
      <c r="J1864" s="1" t="s">
        <v>5874</v>
      </c>
      <c r="K1864" s="1" t="s">
        <v>479</v>
      </c>
      <c r="L1864" s="1" t="s">
        <v>5875</v>
      </c>
      <c r="M1864" s="6" t="str">
        <f>_xlfn.CONCAT(Table1[[#This Row],[Billing Street]], ", ", Table1[[#This Row],[Billing City]], ", ", Table1[[#This Row],[Billing State/Province]], ", ", Table1[[#This Row],[Billing Zip/Postal Code]])</f>
        <v>231 S Sunshine Blvd, Eloy, AZ, 85131</v>
      </c>
    </row>
    <row r="1865" spans="1:13" ht="15.6" hidden="1" x14ac:dyDescent="0.3">
      <c r="A1865" s="1" t="s">
        <v>5876</v>
      </c>
      <c r="B1865" s="1"/>
      <c r="C1865" s="1"/>
      <c r="D1865" s="1"/>
      <c r="E1865" s="1"/>
      <c r="F1865" s="1"/>
      <c r="G1865" s="1" t="s">
        <v>205</v>
      </c>
      <c r="H1865" s="2">
        <v>106</v>
      </c>
      <c r="I1865" s="1" t="s">
        <v>5877</v>
      </c>
      <c r="J1865" s="1" t="s">
        <v>3006</v>
      </c>
      <c r="K1865" s="1" t="s">
        <v>479</v>
      </c>
      <c r="L1865" s="1" t="s">
        <v>5878</v>
      </c>
      <c r="M1865" s="6" t="str">
        <f>_xlfn.CONCAT(Table1[[#This Row],[Billing Street]], ", ", Table1[[#This Row],[Billing City]], ", ", Table1[[#This Row],[Billing State/Province]], ", ", Table1[[#This Row],[Billing Zip/Postal Code]])</f>
        <v>88 E Broadway Blvd, Tucson, AZ, 85701</v>
      </c>
    </row>
    <row r="1866" spans="1:13" ht="15.6" hidden="1" x14ac:dyDescent="0.3">
      <c r="A1866" s="1" t="s">
        <v>5879</v>
      </c>
      <c r="B1866" s="1"/>
      <c r="C1866" s="1"/>
      <c r="D1866" s="1"/>
      <c r="E1866" s="1"/>
      <c r="F1866" s="1"/>
      <c r="G1866" s="1" t="s">
        <v>8</v>
      </c>
      <c r="H1866" s="2">
        <v>544</v>
      </c>
      <c r="I1866" s="1" t="s">
        <v>5880</v>
      </c>
      <c r="J1866" s="1" t="s">
        <v>1123</v>
      </c>
      <c r="K1866" s="1" t="s">
        <v>208</v>
      </c>
      <c r="L1866" s="1" t="s">
        <v>5881</v>
      </c>
      <c r="M1866" s="6" t="str">
        <f>_xlfn.CONCAT(Table1[[#This Row],[Billing Street]], ", ", Table1[[#This Row],[Billing City]], ", ", Table1[[#This Row],[Billing State/Province]], ", ", Table1[[#This Row],[Billing Zip/Postal Code]])</f>
        <v>1100 W 116th Ave, Westminster, CO, 80234</v>
      </c>
    </row>
    <row r="1867" spans="1:13" ht="15.6" hidden="1" x14ac:dyDescent="0.3">
      <c r="A1867" s="1" t="s">
        <v>5882</v>
      </c>
      <c r="B1867" s="1"/>
      <c r="C1867" s="1"/>
      <c r="D1867" s="1"/>
      <c r="E1867" s="1"/>
      <c r="F1867" s="1"/>
      <c r="G1867" s="1" t="s">
        <v>205</v>
      </c>
      <c r="H1867" s="2">
        <v>46</v>
      </c>
      <c r="I1867" s="1" t="s">
        <v>5883</v>
      </c>
      <c r="J1867" s="1" t="s">
        <v>5884</v>
      </c>
      <c r="K1867" s="1" t="s">
        <v>479</v>
      </c>
      <c r="L1867" s="1" t="s">
        <v>5885</v>
      </c>
      <c r="M1867" s="6" t="str">
        <f>_xlfn.CONCAT(Table1[[#This Row],[Billing Street]], ", ", Table1[[#This Row],[Billing City]], ", ", Table1[[#This Row],[Billing State/Province]], ", ", Table1[[#This Row],[Billing Zip/Postal Code]])</f>
        <v>5575 N. Eleven Mile Corner Rd., Casa Grande, AZ, 85228</v>
      </c>
    </row>
    <row r="1868" spans="1:13" ht="15.6" hidden="1" x14ac:dyDescent="0.3">
      <c r="A1868" s="1" t="s">
        <v>5886</v>
      </c>
      <c r="B1868" s="1"/>
      <c r="C1868" s="1"/>
      <c r="D1868" s="1"/>
      <c r="E1868" s="1"/>
      <c r="F1868" s="1"/>
      <c r="G1868" s="1" t="s">
        <v>205</v>
      </c>
      <c r="H1868" s="2">
        <v>7481</v>
      </c>
      <c r="I1868" s="1" t="s">
        <v>13</v>
      </c>
      <c r="J1868" s="1" t="s">
        <v>687</v>
      </c>
      <c r="K1868" s="1" t="s">
        <v>51</v>
      </c>
      <c r="L1868" s="1" t="s">
        <v>13</v>
      </c>
      <c r="M1868" s="6" t="str">
        <f>_xlfn.CONCAT(Table1[[#This Row],[Billing Street]], ", ", Table1[[#This Row],[Billing City]], ", ", Table1[[#This Row],[Billing State/Province]], ", ", Table1[[#This Row],[Billing Zip/Postal Code]])</f>
        <v xml:space="preserve">, El Paso, TX, </v>
      </c>
    </row>
    <row r="1869" spans="1:13" ht="15.6" hidden="1" x14ac:dyDescent="0.3">
      <c r="A1869" s="1" t="s">
        <v>5887</v>
      </c>
      <c r="B1869" s="1"/>
      <c r="C1869" s="1"/>
      <c r="D1869" s="1"/>
      <c r="E1869" s="1"/>
      <c r="F1869" s="1"/>
      <c r="G1869" s="1" t="s">
        <v>205</v>
      </c>
      <c r="H1869" s="2">
        <v>10</v>
      </c>
      <c r="I1869" s="1" t="s">
        <v>5888</v>
      </c>
      <c r="J1869" s="1" t="s">
        <v>5889</v>
      </c>
      <c r="K1869" s="1" t="s">
        <v>479</v>
      </c>
      <c r="L1869" s="1" t="s">
        <v>5890</v>
      </c>
      <c r="M1869" s="6" t="str">
        <f>_xlfn.CONCAT(Table1[[#This Row],[Billing Street]], ", ", Table1[[#This Row],[Billing City]], ", ", Table1[[#This Row],[Billing State/Province]], ", ", Table1[[#This Row],[Billing Zip/Postal Code]])</f>
        <v>7005 S. Kyrene Rd. Bldg 53, Tempe, AZ, 85283</v>
      </c>
    </row>
    <row r="1870" spans="1:13" ht="15.6" hidden="1" x14ac:dyDescent="0.3">
      <c r="A1870" s="1" t="s">
        <v>5891</v>
      </c>
      <c r="B1870" s="1"/>
      <c r="C1870" s="1"/>
      <c r="D1870" s="1"/>
      <c r="E1870" s="1"/>
      <c r="F1870" s="1"/>
      <c r="G1870" s="1" t="s">
        <v>43</v>
      </c>
      <c r="H1870" s="2">
        <v>486</v>
      </c>
      <c r="I1870" s="1" t="s">
        <v>5892</v>
      </c>
      <c r="J1870" s="1" t="s">
        <v>5893</v>
      </c>
      <c r="K1870" s="1" t="s">
        <v>152</v>
      </c>
      <c r="L1870" s="1" t="s">
        <v>5894</v>
      </c>
      <c r="M1870" s="6" t="str">
        <f>_xlfn.CONCAT(Table1[[#This Row],[Billing Street]], ", ", Table1[[#This Row],[Billing City]], ", ", Table1[[#This Row],[Billing State/Province]], ", ", Table1[[#This Row],[Billing Zip/Postal Code]])</f>
        <v>4559 Wagon Wheel Rd, Roxana, IL, 62087</v>
      </c>
    </row>
    <row r="1871" spans="1:13" ht="15.6" hidden="1" x14ac:dyDescent="0.3">
      <c r="A1871" s="1" t="s">
        <v>5895</v>
      </c>
      <c r="B1871" s="1"/>
      <c r="C1871" s="1"/>
      <c r="D1871" s="1"/>
      <c r="E1871" s="1"/>
      <c r="F1871" s="1"/>
      <c r="G1871" s="1" t="s">
        <v>205</v>
      </c>
      <c r="H1871" s="2">
        <v>233</v>
      </c>
      <c r="I1871" s="1" t="s">
        <v>5896</v>
      </c>
      <c r="J1871" s="1" t="s">
        <v>5897</v>
      </c>
      <c r="K1871" s="1" t="s">
        <v>479</v>
      </c>
      <c r="L1871" s="1" t="s">
        <v>5898</v>
      </c>
      <c r="M1871" s="6" t="str">
        <f>_xlfn.CONCAT(Table1[[#This Row],[Billing Street]], ", ", Table1[[#This Row],[Billing City]], ", ", Table1[[#This Row],[Billing State/Province]], ", ", Table1[[#This Row],[Billing Zip/Postal Code]])</f>
        <v>Indian Rte 12, Fort Defiance, AZ, 86504</v>
      </c>
    </row>
    <row r="1872" spans="1:13" ht="15.6" hidden="1" x14ac:dyDescent="0.3">
      <c r="A1872" s="1" t="s">
        <v>5899</v>
      </c>
      <c r="B1872" s="1"/>
      <c r="C1872" s="1"/>
      <c r="D1872" s="1"/>
      <c r="E1872" s="1"/>
      <c r="F1872" s="1"/>
      <c r="G1872" s="1" t="s">
        <v>205</v>
      </c>
      <c r="H1872" s="2">
        <v>336</v>
      </c>
      <c r="I1872" s="1" t="s">
        <v>5900</v>
      </c>
      <c r="J1872" s="1" t="s">
        <v>348</v>
      </c>
      <c r="K1872" s="1" t="s">
        <v>266</v>
      </c>
      <c r="L1872" s="1" t="s">
        <v>5901</v>
      </c>
      <c r="M1872" s="6" t="str">
        <f>_xlfn.CONCAT(Table1[[#This Row],[Billing Street]], ", ", Table1[[#This Row],[Billing City]], ", ", Table1[[#This Row],[Billing State/Province]], ", ", Table1[[#This Row],[Billing Zip/Postal Code]])</f>
        <v>9550 San Mateo Blvd NE Ste G, Albuquerque, NM, 87113</v>
      </c>
    </row>
    <row r="1873" spans="1:13" ht="15.6" hidden="1" x14ac:dyDescent="0.3">
      <c r="A1873" s="1" t="s">
        <v>5902</v>
      </c>
      <c r="B1873" s="1"/>
      <c r="C1873" s="1"/>
      <c r="D1873" s="1"/>
      <c r="E1873" s="1"/>
      <c r="F1873" s="1"/>
      <c r="G1873" s="1" t="s">
        <v>205</v>
      </c>
      <c r="H1873" s="2">
        <v>144</v>
      </c>
      <c r="I1873" s="1" t="s">
        <v>5903</v>
      </c>
      <c r="J1873" s="1" t="s">
        <v>5904</v>
      </c>
      <c r="K1873" s="1" t="s">
        <v>2545</v>
      </c>
      <c r="L1873" s="1" t="s">
        <v>5905</v>
      </c>
      <c r="M1873" s="6" t="str">
        <f>_xlfn.CONCAT(Table1[[#This Row],[Billing Street]], ", ", Table1[[#This Row],[Billing City]], ", ", Table1[[#This Row],[Billing State/Province]], ", ", Table1[[#This Row],[Billing Zip/Postal Code]])</f>
        <v>405 W Discovery Park Blvd, Safford, Az, 85546</v>
      </c>
    </row>
    <row r="1874" spans="1:13" ht="15.6" hidden="1" x14ac:dyDescent="0.3">
      <c r="A1874" s="1" t="s">
        <v>5906</v>
      </c>
      <c r="B1874" s="1"/>
      <c r="C1874" s="1"/>
      <c r="D1874" s="1"/>
      <c r="E1874" s="1"/>
      <c r="F1874" s="1"/>
      <c r="G1874" s="1" t="s">
        <v>205</v>
      </c>
      <c r="H1874" s="2">
        <v>334</v>
      </c>
      <c r="I1874" s="1" t="s">
        <v>5907</v>
      </c>
      <c r="J1874" s="1" t="s">
        <v>348</v>
      </c>
      <c r="K1874" s="1" t="s">
        <v>266</v>
      </c>
      <c r="L1874" s="1" t="s">
        <v>5908</v>
      </c>
      <c r="M1874" s="6" t="str">
        <f>_xlfn.CONCAT(Table1[[#This Row],[Billing Street]], ", ", Table1[[#This Row],[Billing City]], ", ", Table1[[#This Row],[Billing State/Province]], ", ", Table1[[#This Row],[Billing Zip/Postal Code]])</f>
        <v>6821 Academy Parkway West NE, Albuquerque, NM, 87109</v>
      </c>
    </row>
    <row r="1875" spans="1:13" ht="15.6" hidden="1" x14ac:dyDescent="0.3">
      <c r="A1875" s="1" t="s">
        <v>5909</v>
      </c>
      <c r="B1875" s="1"/>
      <c r="C1875" s="1"/>
      <c r="D1875" s="1"/>
      <c r="E1875" s="1"/>
      <c r="F1875" s="1"/>
      <c r="G1875" s="1" t="s">
        <v>205</v>
      </c>
      <c r="H1875" s="2">
        <v>154</v>
      </c>
      <c r="I1875" s="1" t="s">
        <v>5910</v>
      </c>
      <c r="J1875" s="1" t="s">
        <v>5911</v>
      </c>
      <c r="K1875" s="1" t="s">
        <v>479</v>
      </c>
      <c r="L1875" s="1" t="s">
        <v>5912</v>
      </c>
      <c r="M1875" s="6" t="str">
        <f>_xlfn.CONCAT(Table1[[#This Row],[Billing Street]], ", ", Table1[[#This Row],[Billing City]], ", ", Table1[[#This Row],[Billing State/Province]], ", ", Table1[[#This Row],[Billing Zip/Postal Code]])</f>
        <v>365 North Haskell Avenue, Willcox, AZ, 85643</v>
      </c>
    </row>
    <row r="1876" spans="1:13" ht="15.6" x14ac:dyDescent="0.3">
      <c r="A1876" s="1" t="s">
        <v>5913</v>
      </c>
      <c r="B1876" s="1"/>
      <c r="C1876" s="1"/>
      <c r="D1876" s="1"/>
      <c r="E1876" s="1"/>
      <c r="F1876" s="1"/>
      <c r="G1876" s="1" t="s">
        <v>24</v>
      </c>
      <c r="H1876" s="2">
        <v>141</v>
      </c>
      <c r="I1876" s="1" t="s">
        <v>5914</v>
      </c>
      <c r="J1876" s="1" t="s">
        <v>5915</v>
      </c>
      <c r="K1876" s="1" t="s">
        <v>26</v>
      </c>
      <c r="L1876" s="1" t="s">
        <v>1026</v>
      </c>
      <c r="M1876" s="6" t="str">
        <f>_xlfn.CONCAT(Table1[[#This Row],[Billing Street]], ", ", Table1[[#This Row],[Billing City]], ", ", Table1[[#This Row],[Billing State/Province]], ", ", Table1[[#This Row],[Billing Zip/Postal Code]])</f>
        <v>600 Fox Run Pkwy, Opelika, AL, 36801</v>
      </c>
    </row>
    <row r="1877" spans="1:13" ht="15.6" x14ac:dyDescent="0.3">
      <c r="A1877" s="1" t="s">
        <v>5916</v>
      </c>
      <c r="B1877" s="1"/>
      <c r="C1877" s="1"/>
      <c r="D1877" s="1"/>
      <c r="E1877" s="1"/>
      <c r="F1877" s="1"/>
      <c r="G1877" s="1" t="s">
        <v>24</v>
      </c>
      <c r="H1877" s="2">
        <v>129</v>
      </c>
      <c r="I1877" s="1" t="s">
        <v>5917</v>
      </c>
      <c r="J1877" s="1" t="s">
        <v>5918</v>
      </c>
      <c r="K1877" s="1" t="s">
        <v>26</v>
      </c>
      <c r="L1877" s="1" t="s">
        <v>5919</v>
      </c>
      <c r="M1877" s="6" t="str">
        <f>_xlfn.CONCAT(Table1[[#This Row],[Billing Street]], ", ", Table1[[#This Row],[Billing City]], ", ", Table1[[#This Row],[Billing State/Province]], ", ", Table1[[#This Row],[Billing Zip/Postal Code]])</f>
        <v>103 Jesse Samuel Hunt Blvd, Prattville, AL, 36068</v>
      </c>
    </row>
    <row r="1878" spans="1:13" ht="15.6" hidden="1" x14ac:dyDescent="0.3">
      <c r="A1878" s="1" t="s">
        <v>5920</v>
      </c>
      <c r="B1878" s="1"/>
      <c r="C1878" s="1"/>
      <c r="D1878" s="1"/>
      <c r="E1878" s="1"/>
      <c r="F1878" s="1"/>
      <c r="G1878" s="1" t="s">
        <v>205</v>
      </c>
      <c r="H1878" s="2">
        <v>183</v>
      </c>
      <c r="I1878" s="1" t="s">
        <v>5921</v>
      </c>
      <c r="J1878" s="1" t="s">
        <v>5922</v>
      </c>
      <c r="K1878" s="1" t="s">
        <v>479</v>
      </c>
      <c r="L1878" s="1" t="s">
        <v>5923</v>
      </c>
      <c r="M1878" s="6" t="str">
        <f>_xlfn.CONCAT(Table1[[#This Row],[Billing Street]], ", ", Table1[[#This Row],[Billing City]], ", ", Table1[[#This Row],[Billing State/Province]], ", ", Table1[[#This Row],[Billing Zip/Postal Code]])</f>
        <v>1999 Arena Dr, Bullhead City, AZ, 86442</v>
      </c>
    </row>
    <row r="1879" spans="1:13" ht="15.6" x14ac:dyDescent="0.3">
      <c r="A1879" s="1" t="s">
        <v>5924</v>
      </c>
      <c r="B1879" s="1"/>
      <c r="C1879" s="1"/>
      <c r="D1879" s="1"/>
      <c r="E1879" s="1"/>
      <c r="F1879" s="1"/>
      <c r="G1879" s="1" t="s">
        <v>24</v>
      </c>
      <c r="H1879" s="2">
        <v>265</v>
      </c>
      <c r="I1879" s="1" t="s">
        <v>5925</v>
      </c>
      <c r="J1879" s="1" t="s">
        <v>5926</v>
      </c>
      <c r="K1879" s="1" t="s">
        <v>31</v>
      </c>
      <c r="L1879" s="1" t="s">
        <v>5927</v>
      </c>
      <c r="M1879" s="6" t="str">
        <f>_xlfn.CONCAT(Table1[[#This Row],[Billing Street]], ", ", Table1[[#This Row],[Billing City]], ", ", Table1[[#This Row],[Billing State/Province]], ", ", Table1[[#This Row],[Billing Zip/Postal Code]])</f>
        <v>101 Kuhlman Drive, Crystal Springs, MS, 39059</v>
      </c>
    </row>
    <row r="1880" spans="1:13" ht="15.6" x14ac:dyDescent="0.3">
      <c r="A1880" s="1" t="s">
        <v>5928</v>
      </c>
      <c r="B1880" s="1"/>
      <c r="C1880" s="1"/>
      <c r="D1880" s="1"/>
      <c r="E1880" s="1"/>
      <c r="F1880" s="1"/>
      <c r="G1880" s="1" t="s">
        <v>24</v>
      </c>
      <c r="H1880" s="2">
        <v>5988</v>
      </c>
      <c r="I1880" s="1" t="s">
        <v>5929</v>
      </c>
      <c r="J1880" s="1" t="s">
        <v>5930</v>
      </c>
      <c r="K1880" s="1" t="s">
        <v>31</v>
      </c>
      <c r="L1880" s="1" t="s">
        <v>5931</v>
      </c>
      <c r="M1880" s="6" t="str">
        <f>_xlfn.CONCAT(Table1[[#This Row],[Billing Street]], ", ", Table1[[#This Row],[Billing City]], ", ", Table1[[#This Row],[Billing State/Province]], ", ", Table1[[#This Row],[Billing Zip/Postal Code]])</f>
        <v>204 Lyle Cir, Flowood, MS, 39232</v>
      </c>
    </row>
    <row r="1881" spans="1:13" ht="15.6" hidden="1" x14ac:dyDescent="0.3">
      <c r="A1881" s="1" t="s">
        <v>5932</v>
      </c>
      <c r="B1881" s="1"/>
      <c r="C1881" s="1"/>
      <c r="D1881" s="1"/>
      <c r="E1881" s="1"/>
      <c r="F1881" s="1"/>
      <c r="G1881" s="1" t="s">
        <v>8</v>
      </c>
      <c r="H1881" s="2">
        <v>325</v>
      </c>
      <c r="I1881" s="1" t="s">
        <v>5933</v>
      </c>
      <c r="J1881" s="1" t="s">
        <v>5934</v>
      </c>
      <c r="K1881" s="1" t="s">
        <v>198</v>
      </c>
      <c r="L1881" s="1" t="s">
        <v>5935</v>
      </c>
      <c r="M1881" s="6" t="str">
        <f>_xlfn.CONCAT(Table1[[#This Row],[Billing Street]], ", ", Table1[[#This Row],[Billing City]], ", ", Table1[[#This Row],[Billing State/Province]], ", ", Table1[[#This Row],[Billing Zip/Postal Code]])</f>
        <v>530 Main Street, Scribner, NE, 68057</v>
      </c>
    </row>
    <row r="1882" spans="1:13" ht="15.6" hidden="1" x14ac:dyDescent="0.3">
      <c r="A1882" s="1" t="s">
        <v>5936</v>
      </c>
      <c r="B1882" s="1"/>
      <c r="C1882" s="1"/>
      <c r="D1882" s="1"/>
      <c r="E1882" s="1"/>
      <c r="F1882" s="1"/>
      <c r="G1882" s="1" t="s">
        <v>8</v>
      </c>
      <c r="H1882" s="2">
        <v>376</v>
      </c>
      <c r="I1882" s="1" t="s">
        <v>5937</v>
      </c>
      <c r="J1882" s="1" t="s">
        <v>5938</v>
      </c>
      <c r="K1882" s="1" t="s">
        <v>198</v>
      </c>
      <c r="L1882" s="1" t="s">
        <v>5939</v>
      </c>
      <c r="M1882" s="6" t="str">
        <f>_xlfn.CONCAT(Table1[[#This Row],[Billing Street]], ", ", Table1[[#This Row],[Billing City]], ", ", Table1[[#This Row],[Billing State/Province]], ", ", Table1[[#This Row],[Billing Zip/Postal Code]])</f>
        <v>106 N. 2nd Street, Sargent, NE, 68874</v>
      </c>
    </row>
    <row r="1883" spans="1:13" ht="15.6" hidden="1" x14ac:dyDescent="0.3">
      <c r="A1883" s="1" t="s">
        <v>5940</v>
      </c>
      <c r="B1883" s="1"/>
      <c r="C1883" s="1"/>
      <c r="D1883" s="1"/>
      <c r="E1883" s="1"/>
      <c r="F1883" s="1"/>
      <c r="G1883" s="1" t="s">
        <v>8</v>
      </c>
      <c r="H1883" s="2">
        <v>263</v>
      </c>
      <c r="I1883" s="1" t="s">
        <v>5941</v>
      </c>
      <c r="J1883" s="1" t="s">
        <v>5942</v>
      </c>
      <c r="K1883" s="1" t="s">
        <v>198</v>
      </c>
      <c r="L1883" s="1" t="s">
        <v>5943</v>
      </c>
      <c r="M1883" s="6" t="str">
        <f>_xlfn.CONCAT(Table1[[#This Row],[Billing Street]], ", ", Table1[[#This Row],[Billing City]], ", ", Table1[[#This Row],[Billing State/Province]], ", ", Table1[[#This Row],[Billing Zip/Postal Code]])</f>
        <v>540 N Webster St, Red Cloud, NE, 68970</v>
      </c>
    </row>
    <row r="1884" spans="1:13" ht="15.6" hidden="1" x14ac:dyDescent="0.3">
      <c r="A1884" s="1" t="s">
        <v>5944</v>
      </c>
      <c r="B1884" s="1"/>
      <c r="C1884" s="1"/>
      <c r="D1884" s="1"/>
      <c r="E1884" s="1"/>
      <c r="F1884" s="1"/>
      <c r="G1884" s="1" t="s">
        <v>8</v>
      </c>
      <c r="H1884" s="2">
        <v>380</v>
      </c>
      <c r="I1884" s="1" t="s">
        <v>13</v>
      </c>
      <c r="J1884" s="1" t="s">
        <v>5945</v>
      </c>
      <c r="K1884" s="1" t="s">
        <v>198</v>
      </c>
      <c r="L1884" s="1" t="s">
        <v>5946</v>
      </c>
      <c r="M1884" s="6" t="str">
        <f>_xlfn.CONCAT(Table1[[#This Row],[Billing Street]], ", ", Table1[[#This Row],[Billing City]], ", ", Table1[[#This Row],[Billing State/Province]], ", ", Table1[[#This Row],[Billing Zip/Postal Code]])</f>
        <v>, Randolph, NE, 68771</v>
      </c>
    </row>
    <row r="1885" spans="1:13" ht="15.6" hidden="1" x14ac:dyDescent="0.3">
      <c r="A1885" s="1" t="s">
        <v>5947</v>
      </c>
      <c r="B1885" s="1"/>
      <c r="C1885" s="1"/>
      <c r="D1885" s="1"/>
      <c r="E1885" s="1"/>
      <c r="F1885" s="1"/>
      <c r="G1885" s="1" t="s">
        <v>8</v>
      </c>
      <c r="H1885" s="2">
        <v>302</v>
      </c>
      <c r="I1885" s="1" t="s">
        <v>5948</v>
      </c>
      <c r="J1885" s="1" t="s">
        <v>1243</v>
      </c>
      <c r="K1885" s="1" t="s">
        <v>198</v>
      </c>
      <c r="L1885" s="1" t="s">
        <v>5949</v>
      </c>
      <c r="M1885" s="6" t="str">
        <f>_xlfn.CONCAT(Table1[[#This Row],[Billing Street]], ", ", Table1[[#This Row],[Billing City]], ", ", Table1[[#This Row],[Billing State/Province]], ", ", Table1[[#This Row],[Billing Zip/Postal Code]])</f>
        <v>W., 401 Center Ave, Prague, NE, 68050</v>
      </c>
    </row>
    <row r="1886" spans="1:13" ht="15.6" hidden="1" x14ac:dyDescent="0.3">
      <c r="A1886" s="1" t="s">
        <v>5950</v>
      </c>
      <c r="B1886" s="1"/>
      <c r="C1886" s="1"/>
      <c r="D1886" s="1"/>
      <c r="E1886" s="1"/>
      <c r="F1886" s="1"/>
      <c r="G1886" s="1" t="s">
        <v>8</v>
      </c>
      <c r="H1886" s="2">
        <v>302</v>
      </c>
      <c r="I1886" s="1" t="s">
        <v>5951</v>
      </c>
      <c r="J1886" s="1" t="s">
        <v>5952</v>
      </c>
      <c r="K1886" s="1" t="s">
        <v>198</v>
      </c>
      <c r="L1886" s="1" t="s">
        <v>5953</v>
      </c>
      <c r="M1886" s="6" t="str">
        <f>_xlfn.CONCAT(Table1[[#This Row],[Billing Street]], ", ", Table1[[#This Row],[Billing City]], ", ", Table1[[#This Row],[Billing State/Province]], ", ", Table1[[#This Row],[Billing Zip/Postal Code]])</f>
        <v>565 Leonard Ave, Polk, NE, 68654</v>
      </c>
    </row>
    <row r="1887" spans="1:13" ht="15.6" hidden="1" x14ac:dyDescent="0.3">
      <c r="A1887" s="1" t="s">
        <v>5954</v>
      </c>
      <c r="B1887" s="1"/>
      <c r="C1887" s="1"/>
      <c r="D1887" s="1"/>
      <c r="E1887" s="1"/>
      <c r="F1887" s="1"/>
      <c r="G1887" s="1" t="s">
        <v>8</v>
      </c>
      <c r="H1887" s="2">
        <v>385</v>
      </c>
      <c r="I1887" s="1" t="s">
        <v>5955</v>
      </c>
      <c r="J1887" s="1" t="s">
        <v>5956</v>
      </c>
      <c r="K1887" s="1" t="s">
        <v>198</v>
      </c>
      <c r="L1887" s="1" t="s">
        <v>5957</v>
      </c>
      <c r="M1887" s="6" t="str">
        <f>_xlfn.CONCAT(Table1[[#This Row],[Billing Street]], ", ", Table1[[#This Row],[Billing City]], ", ", Table1[[#This Row],[Billing State/Province]], ", ", Table1[[#This Row],[Billing Zip/Postal Code]])</f>
        <v>209 West Locust, Plainview, NE, 68769</v>
      </c>
    </row>
    <row r="1888" spans="1:13" ht="15.6" hidden="1" x14ac:dyDescent="0.3">
      <c r="A1888" s="1" t="s">
        <v>5958</v>
      </c>
      <c r="B1888" s="1"/>
      <c r="C1888" s="1"/>
      <c r="D1888" s="1"/>
      <c r="E1888" s="1"/>
      <c r="F1888" s="1"/>
      <c r="G1888" s="1" t="s">
        <v>8</v>
      </c>
      <c r="H1888" s="2">
        <v>371</v>
      </c>
      <c r="I1888" s="1" t="s">
        <v>5959</v>
      </c>
      <c r="J1888" s="1" t="s">
        <v>5960</v>
      </c>
      <c r="K1888" s="1" t="s">
        <v>198</v>
      </c>
      <c r="L1888" s="1" t="s">
        <v>5961</v>
      </c>
      <c r="M1888" s="6" t="str">
        <f>_xlfn.CONCAT(Table1[[#This Row],[Billing Street]], ", ", Table1[[#This Row],[Billing City]], ", ", Table1[[#This Row],[Billing State/Province]], ", ", Table1[[#This Row],[Billing Zip/Postal Code]])</f>
        <v>106 S. 1st St., Pierce, NE, 68767</v>
      </c>
    </row>
    <row r="1889" spans="1:13" ht="15.6" hidden="1" x14ac:dyDescent="0.3">
      <c r="A1889" s="1" t="s">
        <v>5962</v>
      </c>
      <c r="B1889" s="1"/>
      <c r="C1889" s="1"/>
      <c r="D1889" s="1"/>
      <c r="E1889" s="1"/>
      <c r="F1889" s="1"/>
      <c r="G1889" s="1" t="s">
        <v>8</v>
      </c>
      <c r="H1889" s="2">
        <v>356</v>
      </c>
      <c r="I1889" s="1" t="s">
        <v>5963</v>
      </c>
      <c r="J1889" s="1" t="s">
        <v>5964</v>
      </c>
      <c r="K1889" s="1" t="s">
        <v>198</v>
      </c>
      <c r="L1889" s="1" t="s">
        <v>5965</v>
      </c>
      <c r="M1889" s="6" t="str">
        <f>_xlfn.CONCAT(Table1[[#This Row],[Billing Street]], ", ", Table1[[#This Row],[Billing City]], ", ", Table1[[#This Row],[Billing State/Province]], ", ", Table1[[#This Row],[Billing Zip/Postal Code]])</f>
        <v>416 Main Street, Pender, NE, 68047</v>
      </c>
    </row>
    <row r="1890" spans="1:13" ht="15.6" hidden="1" x14ac:dyDescent="0.3">
      <c r="A1890" s="1" t="s">
        <v>5966</v>
      </c>
      <c r="B1890" s="1"/>
      <c r="C1890" s="1"/>
      <c r="D1890" s="1"/>
      <c r="E1890" s="1"/>
      <c r="F1890" s="1"/>
      <c r="G1890" s="1" t="s">
        <v>8</v>
      </c>
      <c r="H1890" s="2">
        <v>310</v>
      </c>
      <c r="I1890" s="1" t="s">
        <v>5967</v>
      </c>
      <c r="J1890" s="1" t="s">
        <v>3184</v>
      </c>
      <c r="K1890" s="1" t="s">
        <v>198</v>
      </c>
      <c r="L1890" s="1" t="s">
        <v>5968</v>
      </c>
      <c r="M1890" s="6" t="str">
        <f>_xlfn.CONCAT(Table1[[#This Row],[Billing Street]], ", ", Table1[[#This Row],[Billing City]], ", ", Table1[[#This Row],[Billing State/Province]], ", ", Table1[[#This Row],[Billing Zip/Postal Code]])</f>
        <v>326 Ogden Street, Oxford, NE, 68967</v>
      </c>
    </row>
    <row r="1891" spans="1:13" ht="15.6" hidden="1" x14ac:dyDescent="0.3">
      <c r="A1891" s="1" t="s">
        <v>5969</v>
      </c>
      <c r="B1891" s="1"/>
      <c r="C1891" s="1"/>
      <c r="D1891" s="1"/>
      <c r="E1891" s="1"/>
      <c r="F1891" s="1"/>
      <c r="G1891" s="1" t="s">
        <v>8</v>
      </c>
      <c r="H1891" s="2">
        <v>255</v>
      </c>
      <c r="I1891" s="1" t="s">
        <v>5970</v>
      </c>
      <c r="J1891" s="1" t="s">
        <v>808</v>
      </c>
      <c r="K1891" s="1" t="s">
        <v>198</v>
      </c>
      <c r="L1891" s="1" t="s">
        <v>809</v>
      </c>
      <c r="M1891" s="6" t="str">
        <f>_xlfn.CONCAT(Table1[[#This Row],[Billing Street]], ", ", Table1[[#This Row],[Billing City]], ", ", Table1[[#This Row],[Billing State/Province]], ", ", Table1[[#This Row],[Billing Zip/Postal Code]])</f>
        <v>580 South Main Street, Nelson, NE, 68961</v>
      </c>
    </row>
    <row r="1892" spans="1:13" ht="15.6" hidden="1" x14ac:dyDescent="0.3">
      <c r="A1892" s="1" t="s">
        <v>5971</v>
      </c>
      <c r="B1892" s="1"/>
      <c r="C1892" s="1"/>
      <c r="D1892" s="1"/>
      <c r="E1892" s="1"/>
      <c r="F1892" s="1"/>
      <c r="G1892" s="1" t="s">
        <v>8</v>
      </c>
      <c r="H1892" s="2">
        <v>451</v>
      </c>
      <c r="I1892" s="1" t="s">
        <v>5972</v>
      </c>
      <c r="J1892" s="1" t="s">
        <v>5973</v>
      </c>
      <c r="K1892" s="1" t="s">
        <v>198</v>
      </c>
      <c r="L1892" s="1" t="s">
        <v>5974</v>
      </c>
      <c r="M1892" s="6" t="str">
        <f>_xlfn.CONCAT(Table1[[#This Row],[Billing Street]], ", ", Table1[[#This Row],[Billing City]], ", ", Table1[[#This Row],[Billing State/Province]], ", ", Table1[[#This Row],[Billing Zip/Postal Code]])</f>
        <v>111 NW 1st St, Mullen, NE, 69152</v>
      </c>
    </row>
    <row r="1893" spans="1:13" ht="15.6" x14ac:dyDescent="0.3">
      <c r="A1893" s="1" t="s">
        <v>5975</v>
      </c>
      <c r="B1893" s="1"/>
      <c r="C1893" s="1"/>
      <c r="D1893" s="1"/>
      <c r="E1893" s="1"/>
      <c r="F1893" s="1"/>
      <c r="G1893" s="1" t="s">
        <v>24</v>
      </c>
      <c r="H1893" s="2">
        <v>266</v>
      </c>
      <c r="I1893" s="1" t="s">
        <v>5976</v>
      </c>
      <c r="J1893" s="1" t="s">
        <v>5977</v>
      </c>
      <c r="K1893" s="1" t="s">
        <v>31</v>
      </c>
      <c r="L1893" s="1" t="s">
        <v>5978</v>
      </c>
      <c r="M1893" s="6" t="str">
        <f>_xlfn.CONCAT(Table1[[#This Row],[Billing Street]], ", ", Table1[[#This Row],[Billing City]], ", ", Table1[[#This Row],[Billing State/Province]], ", ", Table1[[#This Row],[Billing Zip/Postal Code]])</f>
        <v>410 Koch Foods, Morton, MS, 39110</v>
      </c>
    </row>
    <row r="1894" spans="1:13" ht="15.6" hidden="1" x14ac:dyDescent="0.3">
      <c r="A1894" s="1" t="s">
        <v>5979</v>
      </c>
      <c r="B1894" s="1"/>
      <c r="C1894" s="1"/>
      <c r="D1894" s="1"/>
      <c r="E1894" s="1"/>
      <c r="F1894" s="1"/>
      <c r="G1894" s="1" t="s">
        <v>8</v>
      </c>
      <c r="H1894" s="2">
        <v>80</v>
      </c>
      <c r="I1894" s="1" t="s">
        <v>5980</v>
      </c>
      <c r="J1894" s="1" t="s">
        <v>5981</v>
      </c>
      <c r="K1894" s="1" t="s">
        <v>11</v>
      </c>
      <c r="L1894" s="1" t="s">
        <v>5982</v>
      </c>
      <c r="M1894" s="6" t="str">
        <f>_xlfn.CONCAT(Table1[[#This Row],[Billing Street]], ", ", Table1[[#This Row],[Billing City]], ", ", Table1[[#This Row],[Billing State/Province]], ", ", Table1[[#This Row],[Billing Zip/Postal Code]])</f>
        <v>1104 Broadway, Lamar, MO, 64759</v>
      </c>
    </row>
    <row r="1895" spans="1:13" ht="15.6" hidden="1" x14ac:dyDescent="0.3">
      <c r="A1895" s="1" t="s">
        <v>5983</v>
      </c>
      <c r="B1895" s="1"/>
      <c r="C1895" s="1"/>
      <c r="D1895" s="1"/>
      <c r="E1895" s="1"/>
      <c r="F1895" s="1"/>
      <c r="G1895" s="1" t="s">
        <v>205</v>
      </c>
      <c r="H1895" s="2">
        <v>235</v>
      </c>
      <c r="I1895" s="1" t="s">
        <v>5984</v>
      </c>
      <c r="J1895" s="1" t="s">
        <v>5985</v>
      </c>
      <c r="K1895" s="1" t="s">
        <v>1695</v>
      </c>
      <c r="L1895" s="1" t="s">
        <v>5986</v>
      </c>
      <c r="M1895" s="6" t="str">
        <f>_xlfn.CONCAT(Table1[[#This Row],[Billing Street]], ", ", Table1[[#This Row],[Billing City]], ", ", Table1[[#This Row],[Billing State/Province]], ", ", Table1[[#This Row],[Billing Zip/Postal Code]])</f>
        <v>401 California Ave, Boulder city, NV, 89005</v>
      </c>
    </row>
    <row r="1896" spans="1:13" ht="15.6" hidden="1" x14ac:dyDescent="0.3">
      <c r="A1896" s="1" t="s">
        <v>5987</v>
      </c>
      <c r="B1896" s="1"/>
      <c r="C1896" s="1"/>
      <c r="D1896" s="1"/>
      <c r="E1896" s="1"/>
      <c r="F1896" s="1"/>
      <c r="G1896" s="1" t="s">
        <v>8</v>
      </c>
      <c r="H1896" s="2">
        <v>157</v>
      </c>
      <c r="I1896" s="1" t="s">
        <v>5988</v>
      </c>
      <c r="J1896" s="1" t="s">
        <v>189</v>
      </c>
      <c r="K1896" s="1" t="s">
        <v>11</v>
      </c>
      <c r="L1896" s="1" t="s">
        <v>913</v>
      </c>
      <c r="M1896" s="6" t="str">
        <f>_xlfn.CONCAT(Table1[[#This Row],[Billing Street]], ", ", Table1[[#This Row],[Billing City]], ", ", Table1[[#This Row],[Billing State/Province]], ", ", Table1[[#This Row],[Billing Zip/Postal Code]])</f>
        <v>4400 NW. Mattox Road, Riverside, MO, 64150</v>
      </c>
    </row>
    <row r="1897" spans="1:13" ht="15.6" hidden="1" x14ac:dyDescent="0.3">
      <c r="A1897" s="1" t="s">
        <v>5989</v>
      </c>
      <c r="B1897" s="1"/>
      <c r="C1897" s="1"/>
      <c r="D1897" s="1"/>
      <c r="E1897" s="1"/>
      <c r="F1897" s="1"/>
      <c r="G1897" s="1" t="s">
        <v>54</v>
      </c>
      <c r="H1897" s="2">
        <v>709</v>
      </c>
      <c r="I1897" s="1" t="s">
        <v>5990</v>
      </c>
      <c r="J1897" s="1" t="s">
        <v>5991</v>
      </c>
      <c r="K1897" s="1" t="s">
        <v>2254</v>
      </c>
      <c r="L1897" s="1" t="s">
        <v>5992</v>
      </c>
      <c r="M1897" s="6" t="str">
        <f>_xlfn.CONCAT(Table1[[#This Row],[Billing Street]], ", ", Table1[[#This Row],[Billing City]], ", ", Table1[[#This Row],[Billing State/Province]], ", ", Table1[[#This Row],[Billing Zip/Postal Code]])</f>
        <v>555 Highway 101, Bandon, OR, 97411</v>
      </c>
    </row>
    <row r="1898" spans="1:13" ht="15.6" x14ac:dyDescent="0.3">
      <c r="A1898" s="1" t="s">
        <v>5993</v>
      </c>
      <c r="B1898" s="1"/>
      <c r="C1898" s="1"/>
      <c r="D1898" s="1"/>
      <c r="E1898" s="1"/>
      <c r="F1898" s="1"/>
      <c r="G1898" s="1" t="s">
        <v>24</v>
      </c>
      <c r="H1898" s="2">
        <v>338</v>
      </c>
      <c r="I1898" s="1" t="s">
        <v>5994</v>
      </c>
      <c r="J1898" s="1" t="s">
        <v>5995</v>
      </c>
      <c r="K1898" s="1" t="s">
        <v>577</v>
      </c>
      <c r="L1898" s="1" t="s">
        <v>5996</v>
      </c>
      <c r="M1898" s="6" t="str">
        <f>_xlfn.CONCAT(Table1[[#This Row],[Billing Street]], ", ", Table1[[#This Row],[Billing City]], ", ", Table1[[#This Row],[Billing State/Province]], ", ", Table1[[#This Row],[Billing Zip/Postal Code]])</f>
        <v>4007 Vida Shaw Road, New Iberia, LA, 70563</v>
      </c>
    </row>
    <row r="1899" spans="1:13" ht="15.6" hidden="1" x14ac:dyDescent="0.3">
      <c r="A1899" s="1" t="s">
        <v>5997</v>
      </c>
      <c r="B1899" s="1"/>
      <c r="C1899" s="1"/>
      <c r="D1899" s="1"/>
      <c r="E1899" s="1"/>
      <c r="F1899" s="1"/>
      <c r="G1899" s="1" t="s">
        <v>8</v>
      </c>
      <c r="H1899" s="2">
        <v>6528</v>
      </c>
      <c r="I1899" s="1" t="s">
        <v>13</v>
      </c>
      <c r="J1899" s="1" t="s">
        <v>5998</v>
      </c>
      <c r="K1899" s="1" t="s">
        <v>11</v>
      </c>
      <c r="L1899" s="1" t="s">
        <v>13</v>
      </c>
      <c r="M1899" s="6" t="str">
        <f>_xlfn.CONCAT(Table1[[#This Row],[Billing Street]], ", ", Table1[[#This Row],[Billing City]], ", ", Table1[[#This Row],[Billing State/Province]], ", ", Table1[[#This Row],[Billing Zip/Postal Code]])</f>
        <v xml:space="preserve">, High Ridge, MO, </v>
      </c>
    </row>
    <row r="1900" spans="1:13" ht="15.6" hidden="1" x14ac:dyDescent="0.3">
      <c r="A1900" s="1" t="s">
        <v>5999</v>
      </c>
      <c r="B1900" s="1"/>
      <c r="C1900" s="1"/>
      <c r="D1900" s="1"/>
      <c r="E1900" s="1"/>
      <c r="F1900" s="1"/>
      <c r="G1900" s="1" t="s">
        <v>8</v>
      </c>
      <c r="H1900" s="2">
        <v>169</v>
      </c>
      <c r="I1900" s="1" t="s">
        <v>6000</v>
      </c>
      <c r="J1900" s="1" t="s">
        <v>6001</v>
      </c>
      <c r="K1900" s="1" t="s">
        <v>11</v>
      </c>
      <c r="L1900" s="1" t="s">
        <v>6002</v>
      </c>
      <c r="M1900" s="6" t="str">
        <f>_xlfn.CONCAT(Table1[[#This Row],[Billing Street]], ", ", Table1[[#This Row],[Billing City]], ", ", Table1[[#This Row],[Billing State/Province]], ", ", Table1[[#This Row],[Billing Zip/Postal Code]])</f>
        <v>3251 E. Heartland Drive, Liberty, MO, 64068</v>
      </c>
    </row>
    <row r="1901" spans="1:13" ht="15.6" hidden="1" x14ac:dyDescent="0.3">
      <c r="A1901" s="1" t="s">
        <v>6003</v>
      </c>
      <c r="B1901" s="1"/>
      <c r="C1901" s="1"/>
      <c r="D1901" s="1"/>
      <c r="E1901" s="1"/>
      <c r="F1901" s="1"/>
      <c r="G1901" s="1" t="s">
        <v>8</v>
      </c>
      <c r="H1901" s="2">
        <v>242</v>
      </c>
      <c r="I1901" s="1" t="s">
        <v>6004</v>
      </c>
      <c r="J1901" s="1" t="s">
        <v>922</v>
      </c>
      <c r="K1901" s="1" t="s">
        <v>11</v>
      </c>
      <c r="L1901" s="1" t="s">
        <v>923</v>
      </c>
      <c r="M1901" s="6" t="str">
        <f>_xlfn.CONCAT(Table1[[#This Row],[Billing Street]], ", ", Table1[[#This Row],[Billing City]], ", ", Table1[[#This Row],[Billing State/Province]], ", ", Table1[[#This Row],[Billing Zip/Postal Code]])</f>
        <v>1100 E Switzler Street, Centralia, MO, 65240</v>
      </c>
    </row>
    <row r="1902" spans="1:13" ht="15.6" hidden="1" x14ac:dyDescent="0.3">
      <c r="A1902" s="1" t="s">
        <v>6005</v>
      </c>
      <c r="B1902" s="1"/>
      <c r="C1902" s="1"/>
      <c r="D1902" s="1"/>
      <c r="E1902" s="1"/>
      <c r="F1902" s="1"/>
      <c r="G1902" s="1" t="s">
        <v>8</v>
      </c>
      <c r="H1902" s="2">
        <v>6528</v>
      </c>
      <c r="I1902" s="1" t="s">
        <v>13</v>
      </c>
      <c r="J1902" s="1" t="s">
        <v>13</v>
      </c>
      <c r="K1902" s="1" t="s">
        <v>2414</v>
      </c>
      <c r="L1902" s="1" t="s">
        <v>13</v>
      </c>
      <c r="M1902" s="6" t="str">
        <f>_xlfn.CONCAT(Table1[[#This Row],[Billing Street]], ", ", Table1[[#This Row],[Billing City]], ", ", Table1[[#This Row],[Billing State/Province]], ", ", Table1[[#This Row],[Billing Zip/Postal Code]])</f>
        <v xml:space="preserve">, , MT, </v>
      </c>
    </row>
    <row r="1903" spans="1:13" ht="15.6" hidden="1" x14ac:dyDescent="0.3">
      <c r="A1903" s="1" t="s">
        <v>6006</v>
      </c>
      <c r="B1903" s="1"/>
      <c r="C1903" s="1"/>
      <c r="D1903" s="1"/>
      <c r="E1903" s="1"/>
      <c r="F1903" s="1"/>
      <c r="G1903" s="1" t="s">
        <v>13</v>
      </c>
      <c r="H1903" s="2">
        <v>0</v>
      </c>
      <c r="I1903" s="1" t="s">
        <v>6007</v>
      </c>
      <c r="J1903" s="1" t="s">
        <v>4374</v>
      </c>
      <c r="K1903" s="1" t="s">
        <v>1178</v>
      </c>
      <c r="L1903" s="1" t="s">
        <v>4375</v>
      </c>
      <c r="M1903" s="6" t="str">
        <f>_xlfn.CONCAT(Table1[[#This Row],[Billing Street]], ", ", Table1[[#This Row],[Billing City]], ", ", Table1[[#This Row],[Billing State/Province]], ", ", Table1[[#This Row],[Billing Zip/Postal Code]])</f>
        <v>100 Public Works Dr., Fayetteville, NC, 28301</v>
      </c>
    </row>
    <row r="1904" spans="1:13" ht="15.6" hidden="1" x14ac:dyDescent="0.3">
      <c r="A1904" s="1" t="s">
        <v>6008</v>
      </c>
      <c r="B1904" s="1"/>
      <c r="C1904" s="1"/>
      <c r="D1904" s="1"/>
      <c r="E1904" s="1"/>
      <c r="F1904" s="1"/>
      <c r="G1904" s="1" t="s">
        <v>8</v>
      </c>
      <c r="H1904" s="2">
        <v>464</v>
      </c>
      <c r="I1904" s="1" t="s">
        <v>6009</v>
      </c>
      <c r="J1904" s="1" t="s">
        <v>6010</v>
      </c>
      <c r="K1904" s="1" t="s">
        <v>51</v>
      </c>
      <c r="L1904" s="1" t="s">
        <v>6011</v>
      </c>
      <c r="M1904" s="6" t="str">
        <f>_xlfn.CONCAT(Table1[[#This Row],[Billing Street]], ", ", Table1[[#This Row],[Billing City]], ", ", Table1[[#This Row],[Billing State/Province]], ", ", Table1[[#This Row],[Billing Zip/Postal Code]])</f>
        <v>7625 Hwy 6, Navasota, TX, 77868</v>
      </c>
    </row>
    <row r="1905" spans="1:13" ht="15.6" hidden="1" x14ac:dyDescent="0.3">
      <c r="A1905" s="1" t="s">
        <v>6012</v>
      </c>
      <c r="B1905" s="1"/>
      <c r="C1905" s="1"/>
      <c r="D1905" s="1"/>
      <c r="E1905" s="1"/>
      <c r="F1905" s="1"/>
      <c r="G1905" s="1" t="s">
        <v>8</v>
      </c>
      <c r="H1905" s="2">
        <v>307</v>
      </c>
      <c r="I1905" s="1" t="s">
        <v>6013</v>
      </c>
      <c r="J1905" s="1" t="s">
        <v>5303</v>
      </c>
      <c r="K1905" s="1" t="s">
        <v>198</v>
      </c>
      <c r="L1905" s="1" t="s">
        <v>6014</v>
      </c>
      <c r="M1905" s="6" t="str">
        <f>_xlfn.CONCAT(Table1[[#This Row],[Billing Street]], ", ", Table1[[#This Row],[Billing City]], ", ", Table1[[#This Row],[Billing State/Province]], ", ", Table1[[#This Row],[Billing Zip/Postal Code]])</f>
        <v>3000 E. 1st St, Fremont, NE, 68025</v>
      </c>
    </row>
    <row r="1906" spans="1:13" ht="15.6" hidden="1" x14ac:dyDescent="0.3">
      <c r="A1906" s="1" t="s">
        <v>6015</v>
      </c>
      <c r="B1906" s="1"/>
      <c r="C1906" s="1"/>
      <c r="D1906" s="1"/>
      <c r="E1906" s="1"/>
      <c r="F1906" s="1"/>
      <c r="G1906" s="1" t="s">
        <v>8</v>
      </c>
      <c r="H1906" s="2">
        <v>292</v>
      </c>
      <c r="I1906" s="1" t="s">
        <v>6016</v>
      </c>
      <c r="J1906" s="1" t="s">
        <v>212</v>
      </c>
      <c r="K1906" s="1" t="s">
        <v>198</v>
      </c>
      <c r="L1906" s="1" t="s">
        <v>6017</v>
      </c>
      <c r="M1906" s="6" t="str">
        <f>_xlfn.CONCAT(Table1[[#This Row],[Billing Street]], ", ", Table1[[#This Row],[Billing City]], ", ", Table1[[#This Row],[Billing State/Province]], ", ", Table1[[#This Row],[Billing Zip/Postal Code]])</f>
        <v>444 S 16th St. Mall, Omaha, NE, 68102</v>
      </c>
    </row>
    <row r="1907" spans="1:13" ht="15.6" hidden="1" x14ac:dyDescent="0.3">
      <c r="A1907" s="1" t="s">
        <v>6018</v>
      </c>
      <c r="B1907" s="1"/>
      <c r="C1907" s="1"/>
      <c r="D1907" s="1"/>
      <c r="E1907" s="1"/>
      <c r="F1907" s="1"/>
      <c r="G1907" s="1" t="s">
        <v>8</v>
      </c>
      <c r="H1907" s="2">
        <v>317</v>
      </c>
      <c r="I1907" s="1" t="s">
        <v>6019</v>
      </c>
      <c r="J1907" s="1" t="s">
        <v>711</v>
      </c>
      <c r="K1907" s="1" t="s">
        <v>198</v>
      </c>
      <c r="L1907" s="1" t="s">
        <v>6020</v>
      </c>
      <c r="M1907" s="6" t="str">
        <f>_xlfn.CONCAT(Table1[[#This Row],[Billing Street]], ", ", Table1[[#This Row],[Billing City]], ", ", Table1[[#This Row],[Billing State/Province]], ", ", Table1[[#This Row],[Billing Zip/Postal Code]])</f>
        <v>1414 15th Street, Columbus, NE, 68602</v>
      </c>
    </row>
    <row r="1908" spans="1:13" ht="15.6" hidden="1" x14ac:dyDescent="0.3">
      <c r="A1908" s="1" t="s">
        <v>6021</v>
      </c>
      <c r="B1908" s="1"/>
      <c r="C1908" s="1"/>
      <c r="D1908" s="1"/>
      <c r="E1908" s="1"/>
      <c r="F1908" s="1"/>
      <c r="G1908" s="1" t="s">
        <v>8</v>
      </c>
      <c r="H1908" s="2">
        <v>273</v>
      </c>
      <c r="I1908" s="1" t="s">
        <v>6022</v>
      </c>
      <c r="J1908" s="1" t="s">
        <v>3909</v>
      </c>
      <c r="K1908" s="1" t="s">
        <v>198</v>
      </c>
      <c r="L1908" s="1" t="s">
        <v>6023</v>
      </c>
      <c r="M1908" s="6" t="str">
        <f>_xlfn.CONCAT(Table1[[#This Row],[Billing Street]], ", ", Table1[[#This Row],[Billing City]], ", ", Table1[[#This Row],[Billing State/Province]], ", ", Table1[[#This Row],[Billing Zip/Postal Code]])</f>
        <v>7707 Bluff Rd., Lincoln, NE, 68517</v>
      </c>
    </row>
    <row r="1909" spans="1:13" ht="15.6" hidden="1" x14ac:dyDescent="0.3">
      <c r="A1909" s="1" t="s">
        <v>6024</v>
      </c>
      <c r="B1909" s="1"/>
      <c r="C1909" s="1"/>
      <c r="D1909" s="1"/>
      <c r="E1909" s="1"/>
      <c r="F1909" s="1"/>
      <c r="G1909" s="1" t="s">
        <v>8</v>
      </c>
      <c r="H1909" s="2">
        <v>508</v>
      </c>
      <c r="I1909" s="1" t="s">
        <v>6025</v>
      </c>
      <c r="J1909" s="1" t="s">
        <v>1909</v>
      </c>
      <c r="K1909" s="1" t="s">
        <v>51</v>
      </c>
      <c r="L1909" s="1" t="s">
        <v>1910</v>
      </c>
      <c r="M1909" s="6" t="str">
        <f>_xlfn.CONCAT(Table1[[#This Row],[Billing Street]], ", ", Table1[[#This Row],[Billing City]], ", ", Table1[[#This Row],[Billing State/Province]], ", ", Table1[[#This Row],[Billing Zip/Postal Code]])</f>
        <v>10051 Porter Road, La Porte, TX, 77571</v>
      </c>
    </row>
    <row r="1910" spans="1:13" ht="15.6" hidden="1" x14ac:dyDescent="0.3">
      <c r="A1910" s="1" t="s">
        <v>6018</v>
      </c>
      <c r="B1910" s="1"/>
      <c r="C1910" s="1"/>
      <c r="D1910" s="1"/>
      <c r="E1910" s="1"/>
      <c r="F1910" s="1"/>
      <c r="G1910" s="1" t="s">
        <v>8</v>
      </c>
      <c r="H1910" s="2">
        <v>432</v>
      </c>
      <c r="I1910" s="1" t="s">
        <v>6026</v>
      </c>
      <c r="J1910" s="1" t="s">
        <v>6027</v>
      </c>
      <c r="K1910" s="1" t="s">
        <v>198</v>
      </c>
      <c r="L1910" s="1" t="s">
        <v>6028</v>
      </c>
      <c r="M1910" s="6" t="str">
        <f>_xlfn.CONCAT(Table1[[#This Row],[Billing Street]], ", ", Table1[[#This Row],[Billing City]], ", ", Table1[[#This Row],[Billing State/Province]], ", ", Table1[[#This Row],[Billing Zip/Postal Code]])</f>
        <v>300 S Clarice Rd, Ogallala, NE, 69153</v>
      </c>
    </row>
    <row r="1911" spans="1:13" ht="15.6" hidden="1" x14ac:dyDescent="0.3">
      <c r="A1911" s="1" t="s">
        <v>6029</v>
      </c>
      <c r="B1911" s="1"/>
      <c r="C1911" s="1"/>
      <c r="D1911" s="1"/>
      <c r="E1911" s="1"/>
      <c r="F1911" s="1"/>
      <c r="G1911" s="1" t="s">
        <v>205</v>
      </c>
      <c r="H1911" s="2">
        <v>130</v>
      </c>
      <c r="I1911" s="1" t="s">
        <v>6030</v>
      </c>
      <c r="J1911" s="1" t="s">
        <v>6031</v>
      </c>
      <c r="K1911" s="1" t="s">
        <v>479</v>
      </c>
      <c r="L1911" s="1" t="s">
        <v>6032</v>
      </c>
      <c r="M1911" s="6" t="str">
        <f>_xlfn.CONCAT(Table1[[#This Row],[Billing Street]], ", ", Table1[[#This Row],[Billing City]], ", ", Table1[[#This Row],[Billing State/Province]], ", ", Table1[[#This Row],[Billing Zip/Postal Code]])</f>
        <v>30570 Wellton Mohawk Drive, Wellton, AZ, 85356</v>
      </c>
    </row>
    <row r="1912" spans="1:13" ht="15.6" hidden="1" x14ac:dyDescent="0.3">
      <c r="A1912" s="1" t="s">
        <v>6033</v>
      </c>
      <c r="B1912" s="1"/>
      <c r="C1912" s="1"/>
      <c r="D1912" s="1"/>
      <c r="E1912" s="1"/>
      <c r="F1912" s="1"/>
      <c r="G1912" s="1" t="s">
        <v>8</v>
      </c>
      <c r="H1912" s="2">
        <v>442</v>
      </c>
      <c r="I1912" s="1" t="s">
        <v>6034</v>
      </c>
      <c r="J1912" s="1" t="s">
        <v>6035</v>
      </c>
      <c r="K1912" s="1" t="s">
        <v>198</v>
      </c>
      <c r="L1912" s="1" t="s">
        <v>6036</v>
      </c>
      <c r="M1912" s="6" t="str">
        <f>_xlfn.CONCAT(Table1[[#This Row],[Billing Street]], ", ", Table1[[#This Row],[Billing City]], ", ", Table1[[#This Row],[Billing State/Province]], ", ", Table1[[#This Row],[Billing Zip/Postal Code]])</f>
        <v>374 North Pine, Ainsworth,, NE, 69210</v>
      </c>
    </row>
    <row r="1913" spans="1:13" ht="15.6" hidden="1" x14ac:dyDescent="0.3">
      <c r="A1913" s="1" t="s">
        <v>6037</v>
      </c>
      <c r="B1913" s="1"/>
      <c r="C1913" s="1"/>
      <c r="D1913" s="1"/>
      <c r="E1913" s="1"/>
      <c r="F1913" s="1"/>
      <c r="G1913" s="1" t="s">
        <v>8</v>
      </c>
      <c r="H1913" s="2">
        <v>394</v>
      </c>
      <c r="I1913" s="1" t="s">
        <v>6038</v>
      </c>
      <c r="J1913" s="1" t="s">
        <v>6039</v>
      </c>
      <c r="K1913" s="1" t="s">
        <v>198</v>
      </c>
      <c r="L1913" s="1" t="s">
        <v>6040</v>
      </c>
      <c r="M1913" s="6" t="str">
        <f>_xlfn.CONCAT(Table1[[#This Row],[Billing Street]], ", ", Table1[[#This Row],[Billing City]], ", ", Table1[[#This Row],[Billing State/Province]], ", ", Table1[[#This Row],[Billing Zip/Postal Code]])</f>
        <v>1409 Main Street, Box 90, Creighton, NE, 68729</v>
      </c>
    </row>
    <row r="1914" spans="1:13" ht="15.6" hidden="1" x14ac:dyDescent="0.3">
      <c r="A1914" s="1" t="s">
        <v>6041</v>
      </c>
      <c r="B1914" s="1"/>
      <c r="C1914" s="1"/>
      <c r="D1914" s="1"/>
      <c r="E1914" s="1"/>
      <c r="F1914" s="1"/>
      <c r="G1914" s="1" t="s">
        <v>8</v>
      </c>
      <c r="H1914" s="2">
        <v>333</v>
      </c>
      <c r="I1914" s="1" t="s">
        <v>6042</v>
      </c>
      <c r="J1914" s="1" t="s">
        <v>6043</v>
      </c>
      <c r="K1914" s="1" t="s">
        <v>198</v>
      </c>
      <c r="L1914" s="1" t="s">
        <v>6044</v>
      </c>
      <c r="M1914" s="6" t="str">
        <f>_xlfn.CONCAT(Table1[[#This Row],[Billing Street]], ", ", Table1[[#This Row],[Billing City]], ", ", Table1[[#This Row],[Billing State/Province]], ", ", Table1[[#This Row],[Billing Zip/Postal Code]])</f>
        <v>1125 Nasby Street, Box 160, Cambridge, NE, 69022</v>
      </c>
    </row>
    <row r="1915" spans="1:13" ht="15.6" hidden="1" x14ac:dyDescent="0.3">
      <c r="A1915" s="1" t="s">
        <v>6045</v>
      </c>
      <c r="B1915" s="1"/>
      <c r="C1915" s="1"/>
      <c r="D1915" s="1"/>
      <c r="E1915" s="1"/>
      <c r="F1915" s="1"/>
      <c r="G1915" s="1" t="s">
        <v>205</v>
      </c>
      <c r="H1915" s="2">
        <v>585</v>
      </c>
      <c r="I1915" s="1" t="s">
        <v>6046</v>
      </c>
      <c r="J1915" s="1" t="s">
        <v>6047</v>
      </c>
      <c r="K1915" s="1" t="s">
        <v>51</v>
      </c>
      <c r="L1915" s="1" t="s">
        <v>6048</v>
      </c>
      <c r="M1915" s="6" t="str">
        <f>_xlfn.CONCAT(Table1[[#This Row],[Billing Street]], ", ", Table1[[#This Row],[Billing City]], ", ", Table1[[#This Row],[Billing State/Province]], ", ", Table1[[#This Row],[Billing Zip/Postal Code]])</f>
        <v>4727 South Loop 289 Ste 200, Lubbock, TX, 79408</v>
      </c>
    </row>
    <row r="1916" spans="1:13" ht="15.6" hidden="1" x14ac:dyDescent="0.3">
      <c r="A1916" s="1" t="s">
        <v>6049</v>
      </c>
      <c r="B1916" s="1"/>
      <c r="C1916" s="1"/>
      <c r="D1916" s="1"/>
      <c r="E1916" s="1"/>
      <c r="F1916" s="1"/>
      <c r="G1916" s="1" t="s">
        <v>8</v>
      </c>
      <c r="H1916" s="2">
        <v>488</v>
      </c>
      <c r="I1916" s="1" t="s">
        <v>6050</v>
      </c>
      <c r="J1916" s="1" t="s">
        <v>728</v>
      </c>
      <c r="K1916" s="1" t="s">
        <v>198</v>
      </c>
      <c r="L1916" s="1" t="s">
        <v>729</v>
      </c>
      <c r="M1916" s="6" t="str">
        <f>_xlfn.CONCAT(Table1[[#This Row],[Billing Street]], ", ", Table1[[#This Row],[Billing City]], ", ", Table1[[#This Row],[Billing State/Province]], ", ", Table1[[#This Row],[Billing Zip/Postal Code]])</f>
        <v>11306 Road 32, Sidney, NE, 69162</v>
      </c>
    </row>
    <row r="1917" spans="1:13" ht="15.6" hidden="1" x14ac:dyDescent="0.3">
      <c r="A1917" s="1" t="s">
        <v>6051</v>
      </c>
      <c r="B1917" s="1"/>
      <c r="C1917" s="1"/>
      <c r="D1917" s="1"/>
      <c r="E1917" s="1"/>
      <c r="F1917" s="1"/>
      <c r="G1917" s="1" t="s">
        <v>8</v>
      </c>
      <c r="H1917" s="2">
        <v>408</v>
      </c>
      <c r="I1917" s="1" t="s">
        <v>6052</v>
      </c>
      <c r="J1917" s="1" t="s">
        <v>6053</v>
      </c>
      <c r="K1917" s="1" t="s">
        <v>198</v>
      </c>
      <c r="L1917" s="1" t="s">
        <v>6054</v>
      </c>
      <c r="M1917" s="6" t="str">
        <f>_xlfn.CONCAT(Table1[[#This Row],[Billing Street]], ", ", Table1[[#This Row],[Billing City]], ", ", Table1[[#This Row],[Billing State/Province]], ", ", Table1[[#This Row],[Billing Zip/Postal Code]])</f>
        <v>427 North 4th, Box 60, O'Neill, NE, 68763</v>
      </c>
    </row>
    <row r="1918" spans="1:13" ht="15.6" hidden="1" x14ac:dyDescent="0.3">
      <c r="A1918" s="1" t="s">
        <v>6055</v>
      </c>
      <c r="B1918" s="1"/>
      <c r="C1918" s="1"/>
      <c r="D1918" s="1"/>
      <c r="E1918" s="1"/>
      <c r="F1918" s="1"/>
      <c r="G1918" s="1" t="s">
        <v>8</v>
      </c>
      <c r="H1918" s="2">
        <v>439</v>
      </c>
      <c r="I1918" s="1" t="s">
        <v>6056</v>
      </c>
      <c r="J1918" s="1" t="s">
        <v>1843</v>
      </c>
      <c r="K1918" s="1" t="s">
        <v>51</v>
      </c>
      <c r="L1918" s="1" t="s">
        <v>1844</v>
      </c>
      <c r="M1918" s="6" t="str">
        <f>_xlfn.CONCAT(Table1[[#This Row],[Billing Street]], ", ", Table1[[#This Row],[Billing City]], ", ", Table1[[#This Row],[Billing State/Province]], ", ", Table1[[#This Row],[Billing Zip/Postal Code]])</f>
        <v>1157 E Church St, Livingston, TX, 77351</v>
      </c>
    </row>
    <row r="1919" spans="1:13" ht="15.6" hidden="1" x14ac:dyDescent="0.3">
      <c r="A1919" s="1" t="s">
        <v>6057</v>
      </c>
      <c r="B1919" s="1"/>
      <c r="C1919" s="1"/>
      <c r="D1919" s="1"/>
      <c r="E1919" s="1"/>
      <c r="F1919" s="1"/>
      <c r="G1919" s="1" t="s">
        <v>8</v>
      </c>
      <c r="H1919" s="2">
        <v>569</v>
      </c>
      <c r="I1919" s="1" t="s">
        <v>6058</v>
      </c>
      <c r="J1919" s="1" t="s">
        <v>6059</v>
      </c>
      <c r="K1919" s="1" t="s">
        <v>128</v>
      </c>
      <c r="L1919" s="1" t="s">
        <v>6060</v>
      </c>
      <c r="M1919" s="6" t="str">
        <f>_xlfn.CONCAT(Table1[[#This Row],[Billing Street]], ", ", Table1[[#This Row],[Billing City]], ", ", Table1[[#This Row],[Billing State/Province]], ", ", Table1[[#This Row],[Billing Zip/Postal Code]])</f>
        <v>573 Shoreview Park Blvd., Shoreview, MN, 55126</v>
      </c>
    </row>
    <row r="1920" spans="1:13" ht="15.6" hidden="1" x14ac:dyDescent="0.3">
      <c r="A1920" s="1" t="s">
        <v>6061</v>
      </c>
      <c r="B1920" s="1"/>
      <c r="C1920" s="1"/>
      <c r="D1920" s="1"/>
      <c r="E1920" s="1"/>
      <c r="F1920" s="1"/>
      <c r="G1920" s="1" t="s">
        <v>205</v>
      </c>
      <c r="H1920" s="2">
        <v>3</v>
      </c>
      <c r="I1920" s="1" t="s">
        <v>6062</v>
      </c>
      <c r="J1920" s="1" t="s">
        <v>518</v>
      </c>
      <c r="K1920" s="1" t="s">
        <v>479</v>
      </c>
      <c r="L1920" s="1" t="s">
        <v>1063</v>
      </c>
      <c r="M1920" s="6" t="str">
        <f>_xlfn.CONCAT(Table1[[#This Row],[Billing Street]], ", ", Table1[[#This Row],[Billing City]], ", ", Table1[[#This Row],[Billing State/Province]], ", ", Table1[[#This Row],[Billing Zip/Postal Code]])</f>
        <v>1545 East Victory Street, Phoenix, AZ, 85040</v>
      </c>
    </row>
    <row r="1921" spans="1:13" ht="15.6" hidden="1" x14ac:dyDescent="0.3">
      <c r="A1921" s="1" t="s">
        <v>6063</v>
      </c>
      <c r="B1921" s="1"/>
      <c r="C1921" s="1"/>
      <c r="D1921" s="1"/>
      <c r="E1921" s="1"/>
      <c r="F1921" s="1"/>
      <c r="G1921" s="1" t="s">
        <v>8</v>
      </c>
      <c r="H1921" s="2">
        <v>279</v>
      </c>
      <c r="I1921" s="1" t="s">
        <v>6064</v>
      </c>
      <c r="J1921" s="1" t="s">
        <v>6065</v>
      </c>
      <c r="K1921" s="1" t="s">
        <v>198</v>
      </c>
      <c r="L1921" s="1" t="s">
        <v>13</v>
      </c>
      <c r="M1921" s="6" t="str">
        <f>_xlfn.CONCAT(Table1[[#This Row],[Billing Street]], ", ", Table1[[#This Row],[Billing City]], ", ", Table1[[#This Row],[Billing State/Province]], ", ", Table1[[#This Row],[Billing Zip/Postal Code]])</f>
        <v xml:space="preserve">1345 River Street, Seward, NE, </v>
      </c>
    </row>
    <row r="1922" spans="1:13" ht="15.6" hidden="1" x14ac:dyDescent="0.3">
      <c r="A1922" s="1" t="s">
        <v>6066</v>
      </c>
      <c r="B1922" s="1"/>
      <c r="C1922" s="1"/>
      <c r="D1922" s="1"/>
      <c r="E1922" s="1"/>
      <c r="F1922" s="1"/>
      <c r="G1922" s="1" t="s">
        <v>8</v>
      </c>
      <c r="H1922" s="2">
        <v>401</v>
      </c>
      <c r="I1922" s="1" t="s">
        <v>6067</v>
      </c>
      <c r="J1922" s="1" t="s">
        <v>6068</v>
      </c>
      <c r="K1922" s="1" t="s">
        <v>51</v>
      </c>
      <c r="L1922" s="1" t="s">
        <v>6069</v>
      </c>
      <c r="M1922" s="6" t="str">
        <f>_xlfn.CONCAT(Table1[[#This Row],[Billing Street]], ", ", Table1[[#This Row],[Billing City]], ", ", Table1[[#This Row],[Billing State/Province]], ", ", Table1[[#This Row],[Billing Zip/Postal Code]])</f>
        <v>1010 W. south First Street, Roby, TX, 79543</v>
      </c>
    </row>
    <row r="1923" spans="1:13" ht="15.6" hidden="1" x14ac:dyDescent="0.3">
      <c r="A1923" s="1" t="s">
        <v>6070</v>
      </c>
      <c r="B1923" s="1"/>
      <c r="C1923" s="1"/>
      <c r="D1923" s="1"/>
      <c r="E1923" s="1"/>
      <c r="F1923" s="1"/>
      <c r="G1923" s="1" t="s">
        <v>8</v>
      </c>
      <c r="H1923" s="2">
        <v>371</v>
      </c>
      <c r="I1923" s="1" t="s">
        <v>6071</v>
      </c>
      <c r="J1923" s="1" t="s">
        <v>6072</v>
      </c>
      <c r="K1923" s="1" t="s">
        <v>198</v>
      </c>
      <c r="L1923" s="1" t="s">
        <v>6073</v>
      </c>
      <c r="M1923" s="6" t="str">
        <f>_xlfn.CONCAT(Table1[[#This Row],[Billing Street]], ", ", Table1[[#This Row],[Billing City]], ", ", Table1[[#This Row],[Billing State/Province]], ", ", Table1[[#This Row],[Billing Zip/Postal Code]])</f>
        <v>314 S 10th Ave, Broken Bow, NE, 68822</v>
      </c>
    </row>
    <row r="1924" spans="1:13" ht="15.6" hidden="1" x14ac:dyDescent="0.3">
      <c r="A1924" s="1" t="s">
        <v>6074</v>
      </c>
      <c r="B1924" s="1"/>
      <c r="C1924" s="1"/>
      <c r="D1924" s="1"/>
      <c r="E1924" s="1"/>
      <c r="F1924" s="1"/>
      <c r="G1924" s="1" t="s">
        <v>8</v>
      </c>
      <c r="H1924" s="2">
        <v>337</v>
      </c>
      <c r="I1924" s="1" t="s">
        <v>6075</v>
      </c>
      <c r="J1924" s="1" t="s">
        <v>6076</v>
      </c>
      <c r="K1924" s="1" t="s">
        <v>51</v>
      </c>
      <c r="L1924" s="1" t="s">
        <v>6077</v>
      </c>
      <c r="M1924" s="6" t="str">
        <f>_xlfn.CONCAT(Table1[[#This Row],[Billing Street]], ", ", Table1[[#This Row],[Billing City]], ", ", Table1[[#This Row],[Billing State/Province]], ", ", Table1[[#This Row],[Billing Zip/Postal Code]])</f>
        <v>320 Fall Creek Hwy, Granbury, TX, 76049</v>
      </c>
    </row>
    <row r="1925" spans="1:13" ht="15.6" hidden="1" x14ac:dyDescent="0.3">
      <c r="A1925" s="1" t="s">
        <v>6078</v>
      </c>
      <c r="B1925" s="1"/>
      <c r="C1925" s="1"/>
      <c r="D1925" s="1"/>
      <c r="E1925" s="1"/>
      <c r="F1925" s="1"/>
      <c r="G1925" s="1" t="s">
        <v>8</v>
      </c>
      <c r="H1925" s="2">
        <v>306</v>
      </c>
      <c r="I1925" s="1" t="s">
        <v>6079</v>
      </c>
      <c r="J1925" s="1" t="s">
        <v>6080</v>
      </c>
      <c r="K1925" s="1" t="s">
        <v>198</v>
      </c>
      <c r="L1925" s="1" t="s">
        <v>6081</v>
      </c>
      <c r="M1925" s="6" t="str">
        <f>_xlfn.CONCAT(Table1[[#This Row],[Billing Street]], ", ", Table1[[#This Row],[Billing City]], ", ", Table1[[#This Row],[Billing State/Province]], ", ", Table1[[#This Row],[Billing Zip/Postal Code]])</f>
        <v>1306 W 3rd Street, Grand Island, NE, 68801</v>
      </c>
    </row>
    <row r="1926" spans="1:13" ht="15.6" hidden="1" x14ac:dyDescent="0.3">
      <c r="A1926" s="1" t="s">
        <v>6082</v>
      </c>
      <c r="B1926" s="1"/>
      <c r="C1926" s="1"/>
      <c r="D1926" s="1"/>
      <c r="E1926" s="1"/>
      <c r="F1926" s="1"/>
      <c r="G1926" s="1" t="s">
        <v>8</v>
      </c>
      <c r="H1926" s="2">
        <v>288</v>
      </c>
      <c r="I1926" s="1" t="s">
        <v>6083</v>
      </c>
      <c r="J1926" s="1" t="s">
        <v>6084</v>
      </c>
      <c r="K1926" s="1" t="s">
        <v>198</v>
      </c>
      <c r="L1926" s="1" t="s">
        <v>6085</v>
      </c>
      <c r="M1926" s="6" t="str">
        <f>_xlfn.CONCAT(Table1[[#This Row],[Billing Street]], ", ", Table1[[#This Row],[Billing City]], ", ", Table1[[#This Row],[Billing State/Province]], ", ", Table1[[#This Row],[Billing Zip/Postal Code]])</f>
        <v>1228 N. Denver Ave., Hastings, NE, 68901</v>
      </c>
    </row>
    <row r="1927" spans="1:13" ht="15.6" hidden="1" x14ac:dyDescent="0.3">
      <c r="A1927" s="1" t="s">
        <v>6086</v>
      </c>
      <c r="B1927" s="1"/>
      <c r="C1927" s="1"/>
      <c r="D1927" s="1"/>
      <c r="E1927" s="1"/>
      <c r="F1927" s="1"/>
      <c r="G1927" s="1" t="s">
        <v>8</v>
      </c>
      <c r="H1927" s="2">
        <v>345</v>
      </c>
      <c r="I1927" s="1" t="s">
        <v>6087</v>
      </c>
      <c r="J1927" s="1" t="s">
        <v>6088</v>
      </c>
      <c r="K1927" s="1" t="s">
        <v>198</v>
      </c>
      <c r="L1927" s="1" t="s">
        <v>6089</v>
      </c>
      <c r="M1927" s="6" t="str">
        <f>_xlfn.CONCAT(Table1[[#This Row],[Billing Street]], ", ", Table1[[#This Row],[Billing City]], ", ", Table1[[#This Row],[Billing State/Province]], ", ", Table1[[#This Row],[Billing Zip/Postal Code]])</f>
        <v>211 S Lincoln St, Madison, NE, 68748</v>
      </c>
    </row>
    <row r="1928" spans="1:13" ht="15.6" hidden="1" x14ac:dyDescent="0.3">
      <c r="A1928" s="1" t="s">
        <v>6090</v>
      </c>
      <c r="B1928" s="1"/>
      <c r="C1928" s="1"/>
      <c r="D1928" s="1"/>
      <c r="E1928" s="1"/>
      <c r="F1928" s="1"/>
      <c r="G1928" s="1" t="s">
        <v>205</v>
      </c>
      <c r="H1928" s="2">
        <v>91</v>
      </c>
      <c r="I1928" s="1" t="s">
        <v>6091</v>
      </c>
      <c r="J1928" s="1" t="s">
        <v>6092</v>
      </c>
      <c r="K1928" s="1" t="s">
        <v>479</v>
      </c>
      <c r="L1928" s="1" t="s">
        <v>6093</v>
      </c>
      <c r="M1928" s="6" t="str">
        <f>_xlfn.CONCAT(Table1[[#This Row],[Billing Street]], ", ", Table1[[#This Row],[Billing City]], ", ", Table1[[#This Row],[Billing State/Province]], ", ", Table1[[#This Row],[Billing Zip/Postal Code]])</f>
        <v>39 N. 9th street, Clarkdale, AZ, 86324</v>
      </c>
    </row>
    <row r="1929" spans="1:13" ht="15.6" hidden="1" x14ac:dyDescent="0.3">
      <c r="A1929" s="1" t="s">
        <v>6094</v>
      </c>
      <c r="B1929" s="1"/>
      <c r="C1929" s="1"/>
      <c r="D1929" s="1"/>
      <c r="E1929" s="1"/>
      <c r="F1929" s="1"/>
      <c r="G1929" s="1" t="s">
        <v>54</v>
      </c>
      <c r="H1929" s="2">
        <v>358</v>
      </c>
      <c r="I1929" s="1" t="s">
        <v>6095</v>
      </c>
      <c r="J1929" s="1" t="s">
        <v>6096</v>
      </c>
      <c r="K1929" s="1" t="s">
        <v>57</v>
      </c>
      <c r="L1929" s="1" t="s">
        <v>6097</v>
      </c>
      <c r="M1929" s="6" t="str">
        <f>_xlfn.CONCAT(Table1[[#This Row],[Billing Street]], ", ", Table1[[#This Row],[Billing City]], ", ", Table1[[#This Row],[Billing State/Province]], ", ", Table1[[#This Row],[Billing Zip/Postal Code]])</f>
        <v>114 Parkshore Drive, Folsom, CA, 956300</v>
      </c>
    </row>
    <row r="1930" spans="1:13" ht="15.6" hidden="1" x14ac:dyDescent="0.3">
      <c r="A1930" s="1" t="s">
        <v>6098</v>
      </c>
      <c r="B1930" s="1"/>
      <c r="C1930" s="1"/>
      <c r="D1930" s="1"/>
      <c r="E1930" s="1"/>
      <c r="F1930" s="1"/>
      <c r="G1930" s="1" t="s">
        <v>8</v>
      </c>
      <c r="H1930" s="2">
        <v>557</v>
      </c>
      <c r="I1930" s="1" t="s">
        <v>6099</v>
      </c>
      <c r="J1930" s="1" t="s">
        <v>6100</v>
      </c>
      <c r="K1930" s="1" t="s">
        <v>51</v>
      </c>
      <c r="L1930" s="1" t="s">
        <v>6101</v>
      </c>
      <c r="M1930" s="6" t="str">
        <f>_xlfn.CONCAT(Table1[[#This Row],[Billing Street]], ", ", Table1[[#This Row],[Billing City]], ", ", Table1[[#This Row],[Billing State/Province]], ", ", Table1[[#This Row],[Billing Zip/Postal Code]])</f>
        <v>527 Logwood Avenue, San Antonio, TX, 78221</v>
      </c>
    </row>
    <row r="1931" spans="1:13" ht="15.6" hidden="1" x14ac:dyDescent="0.3">
      <c r="A1931" s="1" t="s">
        <v>6102</v>
      </c>
      <c r="B1931" s="1"/>
      <c r="C1931" s="1"/>
      <c r="D1931" s="1"/>
      <c r="E1931" s="1"/>
      <c r="F1931" s="1"/>
      <c r="G1931" s="1" t="s">
        <v>8</v>
      </c>
      <c r="H1931" s="2">
        <v>503</v>
      </c>
      <c r="I1931" s="1" t="s">
        <v>6103</v>
      </c>
      <c r="J1931" s="1" t="s">
        <v>557</v>
      </c>
      <c r="K1931" s="1" t="s">
        <v>51</v>
      </c>
      <c r="L1931" s="1" t="s">
        <v>5061</v>
      </c>
      <c r="M1931" s="6" t="str">
        <f>_xlfn.CONCAT(Table1[[#This Row],[Billing Street]], ", ", Table1[[#This Row],[Billing City]], ", ", Table1[[#This Row],[Billing State/Province]], ", ", Table1[[#This Row],[Billing Zip/Postal Code]])</f>
        <v>Two Allen Center 1200 Smith Street Suite 1600, Houston, TX, 77002</v>
      </c>
    </row>
    <row r="1932" spans="1:13" ht="15.6" hidden="1" x14ac:dyDescent="0.3">
      <c r="A1932" s="1" t="s">
        <v>6104</v>
      </c>
      <c r="B1932" s="1"/>
      <c r="C1932" s="1"/>
      <c r="D1932" s="1"/>
      <c r="E1932" s="1"/>
      <c r="F1932" s="1"/>
      <c r="G1932" s="1" t="s">
        <v>8</v>
      </c>
      <c r="H1932" s="2">
        <v>342</v>
      </c>
      <c r="I1932" s="1" t="s">
        <v>6105</v>
      </c>
      <c r="J1932" s="1" t="s">
        <v>6106</v>
      </c>
      <c r="K1932" s="1" t="s">
        <v>51</v>
      </c>
      <c r="L1932" s="1" t="s">
        <v>6107</v>
      </c>
      <c r="M1932" s="6" t="str">
        <f>_xlfn.CONCAT(Table1[[#This Row],[Billing Street]], ", ", Table1[[#This Row],[Billing City]], ", ", Table1[[#This Row],[Billing State/Province]], ", ", Table1[[#This Row],[Billing Zip/Postal Code]])</f>
        <v>2601 Burleson Blvd, Cleburne, TX, 76033</v>
      </c>
    </row>
    <row r="1933" spans="1:13" ht="15.6" hidden="1" x14ac:dyDescent="0.3">
      <c r="A1933" s="1" t="s">
        <v>6108</v>
      </c>
      <c r="B1933" s="1"/>
      <c r="C1933" s="1"/>
      <c r="D1933" s="1"/>
      <c r="E1933" s="1"/>
      <c r="F1933" s="1"/>
      <c r="G1933" s="1" t="s">
        <v>205</v>
      </c>
      <c r="H1933" s="2">
        <v>9</v>
      </c>
      <c r="I1933" s="1" t="s">
        <v>6109</v>
      </c>
      <c r="J1933" s="1" t="s">
        <v>5889</v>
      </c>
      <c r="K1933" s="1" t="s">
        <v>479</v>
      </c>
      <c r="L1933" s="1" t="s">
        <v>5890</v>
      </c>
      <c r="M1933" s="6" t="str">
        <f>_xlfn.CONCAT(Table1[[#This Row],[Billing Street]], ", ", Table1[[#This Row],[Billing City]], ", ", Table1[[#This Row],[Billing State/Province]], ", ", Table1[[#This Row],[Billing Zip/Postal Code]])</f>
        <v>425 W Gemini Drive, Tempe, AZ, 85283</v>
      </c>
    </row>
    <row r="1934" spans="1:13" ht="15.6" hidden="1" x14ac:dyDescent="0.3">
      <c r="A1934" s="1" t="s">
        <v>4392</v>
      </c>
      <c r="B1934" s="1"/>
      <c r="C1934" s="1"/>
      <c r="D1934" s="1"/>
      <c r="E1934" s="1"/>
      <c r="F1934" s="1"/>
      <c r="G1934" s="1" t="s">
        <v>205</v>
      </c>
      <c r="H1934" s="2">
        <v>13</v>
      </c>
      <c r="I1934" s="1" t="s">
        <v>6110</v>
      </c>
      <c r="J1934" s="1" t="s">
        <v>4271</v>
      </c>
      <c r="K1934" s="1" t="s">
        <v>479</v>
      </c>
      <c r="L1934" s="1" t="s">
        <v>4394</v>
      </c>
      <c r="M1934" s="6" t="str">
        <f>_xlfn.CONCAT(Table1[[#This Row],[Billing Street]], ", ", Table1[[#This Row],[Billing City]], ", ", Table1[[#This Row],[Billing State/Province]], ", ", Table1[[#This Row],[Billing Zip/Postal Code]])</f>
        <v>6640 W Sundust Rd # 5091, Chandler, AZ, 85226</v>
      </c>
    </row>
    <row r="1935" spans="1:13" ht="15.6" hidden="1" x14ac:dyDescent="0.3">
      <c r="A1935" s="1" t="s">
        <v>6111</v>
      </c>
      <c r="B1935" s="1"/>
      <c r="C1935" s="1"/>
      <c r="D1935" s="1"/>
      <c r="E1935" s="1"/>
      <c r="F1935" s="1"/>
      <c r="G1935" s="1" t="s">
        <v>54</v>
      </c>
      <c r="H1935" s="2">
        <v>341</v>
      </c>
      <c r="I1935" s="1" t="s">
        <v>6112</v>
      </c>
      <c r="J1935" s="1" t="s">
        <v>5277</v>
      </c>
      <c r="K1935" s="1" t="s">
        <v>57</v>
      </c>
      <c r="L1935" s="1" t="s">
        <v>6113</v>
      </c>
      <c r="M1935" s="6" t="str">
        <f>_xlfn.CONCAT(Table1[[#This Row],[Billing Street]], ", ", Table1[[#This Row],[Billing City]], ", ", Table1[[#This Row],[Billing State/Province]], ", ", Table1[[#This Row],[Billing Zip/Postal Code]])</f>
        <v>2228 Livingston Street, Oakland, CA, 94606</v>
      </c>
    </row>
    <row r="1936" spans="1:13" ht="15.6" hidden="1" x14ac:dyDescent="0.3">
      <c r="A1936" s="1" t="s">
        <v>6114</v>
      </c>
      <c r="B1936" s="1"/>
      <c r="C1936" s="1"/>
      <c r="D1936" s="1"/>
      <c r="E1936" s="1"/>
      <c r="F1936" s="1"/>
      <c r="G1936" s="1" t="s">
        <v>205</v>
      </c>
      <c r="H1936" s="2">
        <v>7481</v>
      </c>
      <c r="I1936" s="1" t="s">
        <v>13</v>
      </c>
      <c r="J1936" s="1" t="s">
        <v>6115</v>
      </c>
      <c r="K1936" s="1" t="s">
        <v>2309</v>
      </c>
      <c r="L1936" s="1" t="s">
        <v>13</v>
      </c>
      <c r="M1936" s="6" t="str">
        <f>_xlfn.CONCAT(Table1[[#This Row],[Billing Street]], ", ", Table1[[#This Row],[Billing City]], ", ", Table1[[#This Row],[Billing State/Province]], ", ", Table1[[#This Row],[Billing Zip/Postal Code]])</f>
        <v xml:space="preserve">, Coeur d' Alene, ID, </v>
      </c>
    </row>
    <row r="1937" spans="1:13" ht="15.6" hidden="1" x14ac:dyDescent="0.3">
      <c r="A1937" s="1" t="s">
        <v>6116</v>
      </c>
      <c r="B1937" s="1"/>
      <c r="C1937" s="1"/>
      <c r="D1937" s="1"/>
      <c r="E1937" s="1"/>
      <c r="F1937" s="1"/>
      <c r="G1937" s="1" t="s">
        <v>205</v>
      </c>
      <c r="H1937" s="2">
        <v>6</v>
      </c>
      <c r="I1937" s="1" t="s">
        <v>6117</v>
      </c>
      <c r="J1937" s="1" t="s">
        <v>518</v>
      </c>
      <c r="K1937" s="1" t="s">
        <v>479</v>
      </c>
      <c r="L1937" s="1" t="s">
        <v>6118</v>
      </c>
      <c r="M1937" s="6" t="str">
        <f>_xlfn.CONCAT(Table1[[#This Row],[Billing Street]], ", ", Table1[[#This Row],[Billing City]], ", ", Table1[[#This Row],[Billing State/Province]], ", ", Table1[[#This Row],[Billing Zip/Postal Code]])</f>
        <v>6225 N 24th Street, Phoenix, AZ, 85016</v>
      </c>
    </row>
    <row r="1938" spans="1:13" ht="15.6" hidden="1" x14ac:dyDescent="0.3">
      <c r="A1938" s="1" t="s">
        <v>6119</v>
      </c>
      <c r="B1938" s="1"/>
      <c r="C1938" s="1"/>
      <c r="D1938" s="1"/>
      <c r="E1938" s="1"/>
      <c r="F1938" s="1"/>
      <c r="G1938" s="1" t="s">
        <v>13</v>
      </c>
      <c r="H1938" s="2">
        <v>0</v>
      </c>
      <c r="I1938" s="1" t="s">
        <v>13</v>
      </c>
      <c r="J1938" s="1" t="s">
        <v>13</v>
      </c>
      <c r="K1938" s="1" t="s">
        <v>13</v>
      </c>
      <c r="L1938" s="1" t="s">
        <v>13</v>
      </c>
      <c r="M1938" s="6" t="str">
        <f>_xlfn.CONCAT(Table1[[#This Row],[Billing Street]], ", ", Table1[[#This Row],[Billing City]], ", ", Table1[[#This Row],[Billing State/Province]], ", ", Table1[[#This Row],[Billing Zip/Postal Code]])</f>
        <v xml:space="preserve">, , , </v>
      </c>
    </row>
    <row r="1939" spans="1:13" ht="15.6" hidden="1" x14ac:dyDescent="0.3">
      <c r="A1939" s="1" t="s">
        <v>6120</v>
      </c>
      <c r="B1939" s="1"/>
      <c r="C1939" s="1"/>
      <c r="D1939" s="1"/>
      <c r="E1939" s="1"/>
      <c r="F1939" s="1"/>
      <c r="G1939" s="1" t="s">
        <v>13</v>
      </c>
      <c r="H1939" s="2">
        <v>0</v>
      </c>
      <c r="I1939" s="1" t="s">
        <v>13</v>
      </c>
      <c r="J1939" s="1" t="s">
        <v>13</v>
      </c>
      <c r="K1939" s="1" t="s">
        <v>13</v>
      </c>
      <c r="L1939" s="1" t="s">
        <v>13</v>
      </c>
      <c r="M1939" s="6" t="str">
        <f>_xlfn.CONCAT(Table1[[#This Row],[Billing Street]], ", ", Table1[[#This Row],[Billing City]], ", ", Table1[[#This Row],[Billing State/Province]], ", ", Table1[[#This Row],[Billing Zip/Postal Code]])</f>
        <v xml:space="preserve">, , , </v>
      </c>
    </row>
    <row r="1940" spans="1:13" ht="15.6" hidden="1" x14ac:dyDescent="0.3">
      <c r="A1940" s="1" t="s">
        <v>6121</v>
      </c>
      <c r="B1940" s="1"/>
      <c r="C1940" s="1"/>
      <c r="D1940" s="1"/>
      <c r="E1940" s="1"/>
      <c r="F1940" s="1"/>
      <c r="G1940" s="1" t="s">
        <v>43</v>
      </c>
      <c r="H1940" s="2">
        <v>222</v>
      </c>
      <c r="I1940" s="1" t="s">
        <v>6122</v>
      </c>
      <c r="J1940" s="1" t="s">
        <v>6123</v>
      </c>
      <c r="K1940" s="1" t="s">
        <v>275</v>
      </c>
      <c r="L1940" s="1" t="s">
        <v>6124</v>
      </c>
      <c r="M1940" s="6" t="str">
        <f>_xlfn.CONCAT(Table1[[#This Row],[Billing Street]], ", ", Table1[[#This Row],[Billing City]], ", ", Table1[[#This Row],[Billing State/Province]], ", ", Table1[[#This Row],[Billing Zip/Postal Code]])</f>
        <v>88 W. River Rd, Scottsville, ny, 14546</v>
      </c>
    </row>
    <row r="1941" spans="1:13" ht="15.6" hidden="1" x14ac:dyDescent="0.3">
      <c r="A1941" s="1" t="s">
        <v>6125</v>
      </c>
      <c r="B1941" s="1"/>
      <c r="C1941" s="1"/>
      <c r="D1941" s="1"/>
      <c r="E1941" s="1"/>
      <c r="F1941" s="1"/>
      <c r="G1941" s="1" t="s">
        <v>13</v>
      </c>
      <c r="H1941" s="2">
        <v>0</v>
      </c>
      <c r="I1941" s="1" t="s">
        <v>13</v>
      </c>
      <c r="J1941" s="1" t="s">
        <v>13</v>
      </c>
      <c r="K1941" s="1" t="s">
        <v>13</v>
      </c>
      <c r="L1941" s="1" t="s">
        <v>13</v>
      </c>
      <c r="M1941" s="6" t="str">
        <f>_xlfn.CONCAT(Table1[[#This Row],[Billing Street]], ", ", Table1[[#This Row],[Billing City]], ", ", Table1[[#This Row],[Billing State/Province]], ", ", Table1[[#This Row],[Billing Zip/Postal Code]])</f>
        <v xml:space="preserve">, , , </v>
      </c>
    </row>
    <row r="1942" spans="1:13" ht="15.6" hidden="1" x14ac:dyDescent="0.3">
      <c r="A1942" s="1" t="s">
        <v>6126</v>
      </c>
      <c r="B1942" s="1"/>
      <c r="C1942" s="1"/>
      <c r="D1942" s="1"/>
      <c r="E1942" s="1"/>
      <c r="F1942" s="1"/>
      <c r="G1942" s="1" t="s">
        <v>8</v>
      </c>
      <c r="H1942" s="2">
        <v>492</v>
      </c>
      <c r="I1942" s="1" t="s">
        <v>6127</v>
      </c>
      <c r="J1942" s="1" t="s">
        <v>557</v>
      </c>
      <c r="K1942" s="1" t="s">
        <v>1439</v>
      </c>
      <c r="L1942" s="1" t="s">
        <v>6128</v>
      </c>
      <c r="M1942" s="6" t="str">
        <f>_xlfn.CONCAT(Table1[[#This Row],[Billing Street]], ", ", Table1[[#This Row],[Billing City]], ", ", Table1[[#This Row],[Billing State/Province]], ", ", Table1[[#This Row],[Billing Zip/Postal Code]])</f>
        <v>9977 W. Sam Houston Parkway N Suite 100, Houston, Tx, 77064</v>
      </c>
    </row>
    <row r="1943" spans="1:13" ht="15.6" hidden="1" x14ac:dyDescent="0.3">
      <c r="A1943" s="1" t="s">
        <v>6129</v>
      </c>
      <c r="B1943" s="1"/>
      <c r="C1943" s="1"/>
      <c r="D1943" s="1"/>
      <c r="E1943" s="1"/>
      <c r="F1943" s="1"/>
      <c r="G1943" s="1" t="s">
        <v>98</v>
      </c>
      <c r="H1943" s="2">
        <v>355</v>
      </c>
      <c r="I1943" s="1" t="s">
        <v>6130</v>
      </c>
      <c r="J1943" s="1" t="s">
        <v>6131</v>
      </c>
      <c r="K1943" s="1" t="s">
        <v>1178</v>
      </c>
      <c r="L1943" s="1" t="s">
        <v>6132</v>
      </c>
      <c r="M1943" s="6" t="str">
        <f>_xlfn.CONCAT(Table1[[#This Row],[Billing Street]], ", ", Table1[[#This Row],[Billing City]], ", ", Table1[[#This Row],[Billing State/Province]], ", ", Table1[[#This Row],[Billing Zip/Postal Code]])</f>
        <v>100 South Franklin St, Wake Forest, NC, 27587</v>
      </c>
    </row>
    <row r="1944" spans="1:13" ht="15.6" hidden="1" x14ac:dyDescent="0.3">
      <c r="A1944" s="1" t="s">
        <v>6133</v>
      </c>
      <c r="B1944" s="1"/>
      <c r="C1944" s="1"/>
      <c r="D1944" s="1"/>
      <c r="E1944" s="1"/>
      <c r="F1944" s="1"/>
      <c r="G1944" s="1" t="s">
        <v>8</v>
      </c>
      <c r="H1944" s="2">
        <v>651</v>
      </c>
      <c r="I1944" s="1" t="s">
        <v>6134</v>
      </c>
      <c r="J1944" s="1" t="s">
        <v>6135</v>
      </c>
      <c r="K1944" s="1" t="s">
        <v>208</v>
      </c>
      <c r="L1944" s="1" t="s">
        <v>6136</v>
      </c>
      <c r="M1944" s="6" t="str">
        <f>_xlfn.CONCAT(Table1[[#This Row],[Billing Street]], ", ", Table1[[#This Row],[Billing City]], ", ", Table1[[#This Row],[Billing State/Province]], ", ", Table1[[#This Row],[Billing Zip/Postal Code]])</f>
        <v>129 Nancy Crawford Blvd, Oak Creek, CO, 80467</v>
      </c>
    </row>
    <row r="1945" spans="1:13" ht="15.6" hidden="1" x14ac:dyDescent="0.3">
      <c r="A1945" s="1" t="s">
        <v>6137</v>
      </c>
      <c r="B1945" s="1"/>
      <c r="C1945" s="1"/>
      <c r="D1945" s="1"/>
      <c r="E1945" s="1"/>
      <c r="F1945" s="1"/>
      <c r="G1945" s="1" t="s">
        <v>43</v>
      </c>
      <c r="H1945" s="2">
        <v>171</v>
      </c>
      <c r="I1945" s="1" t="s">
        <v>6138</v>
      </c>
      <c r="J1945" s="1" t="s">
        <v>3372</v>
      </c>
      <c r="K1945" s="1" t="s">
        <v>275</v>
      </c>
      <c r="L1945" s="1" t="s">
        <v>6139</v>
      </c>
      <c r="M1945" s="6" t="str">
        <f>_xlfn.CONCAT(Table1[[#This Row],[Billing Street]], ", ", Table1[[#This Row],[Billing City]], ", ", Table1[[#This Row],[Billing State/Province]], ", ", Table1[[#This Row],[Billing Zip/Postal Code]])</f>
        <v>1 Babcock St, Buffalo, ny, 14201</v>
      </c>
    </row>
    <row r="1946" spans="1:13" ht="15.6" hidden="1" x14ac:dyDescent="0.3">
      <c r="A1946" s="1" t="s">
        <v>6140</v>
      </c>
      <c r="B1946" s="1"/>
      <c r="C1946" s="1"/>
      <c r="D1946" s="1"/>
      <c r="E1946" s="1"/>
      <c r="F1946" s="1"/>
      <c r="G1946" s="1" t="s">
        <v>54</v>
      </c>
      <c r="H1946" s="2">
        <v>7813</v>
      </c>
      <c r="I1946" s="1" t="s">
        <v>6141</v>
      </c>
      <c r="J1946" s="1" t="s">
        <v>6142</v>
      </c>
      <c r="K1946" s="1" t="s">
        <v>57</v>
      </c>
      <c r="L1946" s="1" t="s">
        <v>13</v>
      </c>
      <c r="M1946" s="6" t="str">
        <f>_xlfn.CONCAT(Table1[[#This Row],[Billing Street]], ", ", Table1[[#This Row],[Billing City]], ", ", Table1[[#This Row],[Billing State/Province]], ", ", Table1[[#This Row],[Billing Zip/Postal Code]])</f>
        <v xml:space="preserve">744 W. 20th St.,, Merce, CA, </v>
      </c>
    </row>
    <row r="1947" spans="1:13" ht="15.6" hidden="1" x14ac:dyDescent="0.3">
      <c r="A1947" s="1" t="s">
        <v>6143</v>
      </c>
      <c r="B1947" s="1"/>
      <c r="C1947" s="1"/>
      <c r="D1947" s="1"/>
      <c r="E1947" s="1"/>
      <c r="F1947" s="1"/>
      <c r="G1947" s="1" t="s">
        <v>8</v>
      </c>
      <c r="H1947" s="2">
        <v>393</v>
      </c>
      <c r="I1947" s="1" t="s">
        <v>6144</v>
      </c>
      <c r="J1947" s="1" t="s">
        <v>4486</v>
      </c>
      <c r="K1947" s="1" t="s">
        <v>6145</v>
      </c>
      <c r="L1947" s="1" t="s">
        <v>4487</v>
      </c>
      <c r="M1947" s="6" t="str">
        <f>_xlfn.CONCAT(Table1[[#This Row],[Billing Street]], ", ", Table1[[#This Row],[Billing City]], ", ", Table1[[#This Row],[Billing State/Province]], ", ", Table1[[#This Row],[Billing Zip/Postal Code]])</f>
        <v>7711 Imperial Dr, Waco, tx, 76712</v>
      </c>
    </row>
    <row r="1948" spans="1:13" ht="15.6" hidden="1" x14ac:dyDescent="0.3">
      <c r="A1948" s="1" t="s">
        <v>6146</v>
      </c>
      <c r="B1948" s="1"/>
      <c r="C1948" s="1"/>
      <c r="D1948" s="1"/>
      <c r="E1948" s="1"/>
      <c r="F1948" s="1"/>
      <c r="G1948" s="1" t="s">
        <v>43</v>
      </c>
      <c r="H1948" s="2">
        <v>5776</v>
      </c>
      <c r="I1948" s="1" t="s">
        <v>6147</v>
      </c>
      <c r="J1948" s="1" t="s">
        <v>6148</v>
      </c>
      <c r="K1948" s="1" t="s">
        <v>3104</v>
      </c>
      <c r="L1948" s="1" t="s">
        <v>6149</v>
      </c>
      <c r="M1948" s="6" t="str">
        <f>_xlfn.CONCAT(Table1[[#This Row],[Billing Street]], ", ", Table1[[#This Row],[Billing City]], ", ", Table1[[#This Row],[Billing State/Province]], ", ", Table1[[#This Row],[Billing Zip/Postal Code]])</f>
        <v>1 Dudley Avenue, wallingford, ct, 6492</v>
      </c>
    </row>
    <row r="1949" spans="1:13" ht="15.6" hidden="1" x14ac:dyDescent="0.3">
      <c r="A1949" s="1" t="s">
        <v>6150</v>
      </c>
      <c r="B1949" s="1"/>
      <c r="C1949" s="1"/>
      <c r="D1949" s="1"/>
      <c r="E1949" s="1"/>
      <c r="F1949" s="1"/>
      <c r="G1949" s="1" t="s">
        <v>54</v>
      </c>
      <c r="H1949" s="2">
        <v>7</v>
      </c>
      <c r="I1949" s="1" t="s">
        <v>6151</v>
      </c>
      <c r="J1949" s="1" t="s">
        <v>314</v>
      </c>
      <c r="K1949" s="1" t="s">
        <v>57</v>
      </c>
      <c r="L1949" s="1" t="s">
        <v>315</v>
      </c>
      <c r="M1949" s="6" t="str">
        <f>_xlfn.CONCAT(Table1[[#This Row],[Billing Street]], ", ", Table1[[#This Row],[Billing City]], ", ", Table1[[#This Row],[Billing State/Province]], ", ", Table1[[#This Row],[Billing Zip/Postal Code]])</f>
        <v>6400 Bandini Blvd, Commerce, CA, 90040</v>
      </c>
    </row>
    <row r="1950" spans="1:13" ht="15.6" hidden="1" x14ac:dyDescent="0.3">
      <c r="A1950" s="1" t="s">
        <v>6152</v>
      </c>
      <c r="B1950" s="1"/>
      <c r="C1950" s="1"/>
      <c r="D1950" s="1"/>
      <c r="E1950" s="1"/>
      <c r="F1950" s="1"/>
      <c r="G1950" s="1" t="s">
        <v>43</v>
      </c>
      <c r="H1950" s="2">
        <v>5776</v>
      </c>
      <c r="I1950" s="1" t="s">
        <v>6153</v>
      </c>
      <c r="J1950" s="1" t="s">
        <v>6154</v>
      </c>
      <c r="K1950" s="1" t="s">
        <v>781</v>
      </c>
      <c r="L1950" s="1" t="s">
        <v>6155</v>
      </c>
      <c r="M1950" s="6" t="str">
        <f>_xlfn.CONCAT(Table1[[#This Row],[Billing Street]], ", ", Table1[[#This Row],[Billing City]], ", ", Table1[[#This Row],[Billing State/Province]], ", ", Table1[[#This Row],[Billing Zip/Postal Code]])</f>
        <v>112 Shetland Way, Collegeville, pa, 19426</v>
      </c>
    </row>
    <row r="1951" spans="1:13" ht="15.6" hidden="1" x14ac:dyDescent="0.3">
      <c r="A1951" s="1" t="s">
        <v>6156</v>
      </c>
      <c r="B1951" s="1"/>
      <c r="C1951" s="1"/>
      <c r="D1951" s="1"/>
      <c r="E1951" s="1"/>
      <c r="F1951" s="1"/>
      <c r="G1951" s="1" t="s">
        <v>98</v>
      </c>
      <c r="H1951" s="2">
        <v>201</v>
      </c>
      <c r="I1951" s="1" t="s">
        <v>6157</v>
      </c>
      <c r="J1951" s="1" t="s">
        <v>625</v>
      </c>
      <c r="K1951" s="1" t="s">
        <v>1178</v>
      </c>
      <c r="L1951" s="1" t="s">
        <v>6158</v>
      </c>
      <c r="M1951" s="6" t="str">
        <f>_xlfn.CONCAT(Table1[[#This Row],[Billing Street]], ", ", Table1[[#This Row],[Billing City]], ", ", Table1[[#This Row],[Billing State/Province]], ", ", Table1[[#This Row],[Billing Zip/Postal Code]])</f>
        <v>700 E Holly St, Dallas, NC, 28034</v>
      </c>
    </row>
    <row r="1952" spans="1:13" ht="15.6" hidden="1" x14ac:dyDescent="0.3">
      <c r="A1952" s="1" t="s">
        <v>6159</v>
      </c>
      <c r="B1952" s="1"/>
      <c r="C1952" s="1"/>
      <c r="D1952" s="1"/>
      <c r="E1952" s="1"/>
      <c r="F1952" s="1"/>
      <c r="G1952" s="1" t="s">
        <v>54</v>
      </c>
      <c r="H1952" s="2">
        <v>58</v>
      </c>
      <c r="I1952" s="1" t="s">
        <v>6160</v>
      </c>
      <c r="J1952" s="1" t="s">
        <v>6161</v>
      </c>
      <c r="K1952" s="1" t="s">
        <v>57</v>
      </c>
      <c r="L1952" s="1" t="s">
        <v>6162</v>
      </c>
      <c r="M1952" s="6" t="str">
        <f>_xlfn.CONCAT(Table1[[#This Row],[Billing Street]], ", ", Table1[[#This Row],[Billing City]], ", ", Table1[[#This Row],[Billing State/Province]], ", ", Table1[[#This Row],[Billing Zip/Postal Code]])</f>
        <v>2011 W Park Ave, Redlands, CA, 92373</v>
      </c>
    </row>
    <row r="1953" spans="1:13" ht="15.6" hidden="1" x14ac:dyDescent="0.3">
      <c r="A1953" s="1" t="s">
        <v>6163</v>
      </c>
      <c r="B1953" s="1"/>
      <c r="C1953" s="1"/>
      <c r="D1953" s="1"/>
      <c r="E1953" s="1"/>
      <c r="F1953" s="1"/>
      <c r="G1953" s="1" t="s">
        <v>54</v>
      </c>
      <c r="H1953" s="2">
        <v>17</v>
      </c>
      <c r="I1953" s="1" t="s">
        <v>6164</v>
      </c>
      <c r="J1953" s="1" t="s">
        <v>6165</v>
      </c>
      <c r="K1953" s="1" t="s">
        <v>57</v>
      </c>
      <c r="L1953" s="1" t="s">
        <v>6166</v>
      </c>
      <c r="M1953" s="6" t="str">
        <f>_xlfn.CONCAT(Table1[[#This Row],[Billing Street]], ", ", Table1[[#This Row],[Billing City]], ", ", Table1[[#This Row],[Billing State/Province]], ", ", Table1[[#This Row],[Billing Zip/Postal Code]])</f>
        <v>2683 Lime Ave., Signal Hill, CA, 90755</v>
      </c>
    </row>
    <row r="1954" spans="1:13" ht="15.6" hidden="1" x14ac:dyDescent="0.3">
      <c r="A1954" s="1" t="s">
        <v>6167</v>
      </c>
      <c r="B1954" s="1"/>
      <c r="C1954" s="1"/>
      <c r="D1954" s="1"/>
      <c r="E1954" s="1"/>
      <c r="F1954" s="1"/>
      <c r="G1954" s="1" t="s">
        <v>13</v>
      </c>
      <c r="H1954" s="2">
        <v>0</v>
      </c>
      <c r="I1954" s="1" t="s">
        <v>13</v>
      </c>
      <c r="J1954" s="1" t="s">
        <v>13</v>
      </c>
      <c r="K1954" s="1" t="s">
        <v>13</v>
      </c>
      <c r="L1954" s="1" t="s">
        <v>13</v>
      </c>
      <c r="M1954" s="6" t="str">
        <f>_xlfn.CONCAT(Table1[[#This Row],[Billing Street]], ", ", Table1[[#This Row],[Billing City]], ", ", Table1[[#This Row],[Billing State/Province]], ", ", Table1[[#This Row],[Billing Zip/Postal Code]])</f>
        <v xml:space="preserve">, , , </v>
      </c>
    </row>
    <row r="1955" spans="1:13" ht="15.6" hidden="1" x14ac:dyDescent="0.3">
      <c r="A1955" s="1" t="s">
        <v>6168</v>
      </c>
      <c r="B1955" s="1"/>
      <c r="C1955" s="1"/>
      <c r="D1955" s="1"/>
      <c r="E1955" s="1"/>
      <c r="F1955" s="1"/>
      <c r="G1955" s="1" t="s">
        <v>98</v>
      </c>
      <c r="H1955" s="2">
        <v>5887</v>
      </c>
      <c r="I1955" s="1" t="s">
        <v>6169</v>
      </c>
      <c r="J1955" s="1" t="s">
        <v>3159</v>
      </c>
      <c r="K1955" s="1" t="s">
        <v>234</v>
      </c>
      <c r="L1955" s="1" t="s">
        <v>6170</v>
      </c>
      <c r="M1955" s="6" t="str">
        <f>_xlfn.CONCAT(Table1[[#This Row],[Billing Street]], ", ", Table1[[#This Row],[Billing City]], ", ", Table1[[#This Row],[Billing State/Province]], ", ", Table1[[#This Row],[Billing Zip/Postal Code]])</f>
        <v>882 Wilson Rd, Newberry, SC, 29108</v>
      </c>
    </row>
    <row r="1956" spans="1:13" ht="15.6" hidden="1" x14ac:dyDescent="0.3">
      <c r="A1956" s="1" t="s">
        <v>6171</v>
      </c>
      <c r="B1956" s="1"/>
      <c r="C1956" s="1"/>
      <c r="D1956" s="1"/>
      <c r="E1956" s="1"/>
      <c r="F1956" s="1"/>
      <c r="G1956" s="1" t="s">
        <v>8</v>
      </c>
      <c r="H1956" s="2">
        <v>129</v>
      </c>
      <c r="I1956" s="1" t="s">
        <v>6172</v>
      </c>
      <c r="J1956" s="1" t="s">
        <v>6171</v>
      </c>
      <c r="K1956" s="1" t="s">
        <v>554</v>
      </c>
      <c r="L1956" s="1" t="s">
        <v>6173</v>
      </c>
      <c r="M1956" s="6" t="str">
        <f>_xlfn.CONCAT(Table1[[#This Row],[Billing Street]], ", ", Table1[[#This Row],[Billing City]], ", ", Table1[[#This Row],[Billing State/Province]], ", ", Table1[[#This Row],[Billing Zip/Postal Code]])</f>
        <v>110 S Main, Eskridge, KS, 66423</v>
      </c>
    </row>
    <row r="1957" spans="1:13" ht="15.6" hidden="1" x14ac:dyDescent="0.3">
      <c r="A1957" s="1" t="s">
        <v>6174</v>
      </c>
      <c r="B1957" s="1"/>
      <c r="C1957" s="1"/>
      <c r="D1957" s="1"/>
      <c r="E1957" s="1"/>
      <c r="F1957" s="1"/>
      <c r="G1957" s="1" t="s">
        <v>8</v>
      </c>
      <c r="H1957" s="2">
        <v>496</v>
      </c>
      <c r="I1957" s="1" t="s">
        <v>6175</v>
      </c>
      <c r="J1957" s="1" t="s">
        <v>4475</v>
      </c>
      <c r="K1957" s="1" t="s">
        <v>1439</v>
      </c>
      <c r="L1957" s="1" t="s">
        <v>4476</v>
      </c>
      <c r="M1957" s="6" t="str">
        <f>_xlfn.CONCAT(Table1[[#This Row],[Billing Street]], ", ", Table1[[#This Row],[Billing City]], ", ", Table1[[#This Row],[Billing State/Province]], ", ", Table1[[#This Row],[Billing Zip/Postal Code]])</f>
        <v>2115 Stillwater Drive, Beaumont, Tx, 77705</v>
      </c>
    </row>
    <row r="1958" spans="1:13" ht="15.6" hidden="1" x14ac:dyDescent="0.3">
      <c r="A1958" s="1" t="s">
        <v>6176</v>
      </c>
      <c r="B1958" s="1"/>
      <c r="C1958" s="1"/>
      <c r="D1958" s="1"/>
      <c r="E1958" s="1"/>
      <c r="F1958" s="1"/>
      <c r="G1958" s="1" t="s">
        <v>8</v>
      </c>
      <c r="H1958" s="2">
        <v>475</v>
      </c>
      <c r="I1958" s="1" t="s">
        <v>6177</v>
      </c>
      <c r="J1958" s="1" t="s">
        <v>4397</v>
      </c>
      <c r="K1958" s="1" t="s">
        <v>1439</v>
      </c>
      <c r="L1958" s="1" t="s">
        <v>2097</v>
      </c>
      <c r="M1958" s="6" t="str">
        <f>_xlfn.CONCAT(Table1[[#This Row],[Billing Street]], ", ", Table1[[#This Row],[Billing City]], ", ", Table1[[#This Row],[Billing State/Province]], ", ", Table1[[#This Row],[Billing Zip/Postal Code]])</f>
        <v>9595 Six Pines Drive Suite 8210, The Woodlands, Tx, 77380</v>
      </c>
    </row>
    <row r="1959" spans="1:13" ht="15.6" hidden="1" x14ac:dyDescent="0.3">
      <c r="A1959" s="1" t="s">
        <v>6178</v>
      </c>
      <c r="B1959" s="1"/>
      <c r="C1959" s="1"/>
      <c r="D1959" s="1"/>
      <c r="E1959" s="1"/>
      <c r="F1959" s="1"/>
      <c r="G1959" s="1" t="s">
        <v>8</v>
      </c>
      <c r="H1959" s="2">
        <v>501</v>
      </c>
      <c r="I1959" s="1" t="s">
        <v>6179</v>
      </c>
      <c r="J1959" s="1" t="s">
        <v>557</v>
      </c>
      <c r="K1959" s="1" t="s">
        <v>1439</v>
      </c>
      <c r="L1959" s="1" t="s">
        <v>6180</v>
      </c>
      <c r="M1959" s="6" t="str">
        <f>_xlfn.CONCAT(Table1[[#This Row],[Billing Street]], ", ", Table1[[#This Row],[Billing City]], ", ", Table1[[#This Row],[Billing State/Province]], ", ", Table1[[#This Row],[Billing Zip/Postal Code]])</f>
        <v>10497 Town &amp; Country Way Suite 700, Houston, Tx, 77024</v>
      </c>
    </row>
    <row r="1960" spans="1:13" ht="15.6" hidden="1" x14ac:dyDescent="0.3">
      <c r="A1960" s="1" t="s">
        <v>6181</v>
      </c>
      <c r="B1960" s="1"/>
      <c r="C1960" s="1"/>
      <c r="D1960" s="1"/>
      <c r="E1960" s="1"/>
      <c r="F1960" s="1"/>
      <c r="G1960" s="1" t="s">
        <v>13</v>
      </c>
      <c r="H1960" s="2">
        <v>0</v>
      </c>
      <c r="I1960" s="1" t="s">
        <v>13</v>
      </c>
      <c r="J1960" s="1" t="s">
        <v>13</v>
      </c>
      <c r="K1960" s="1" t="s">
        <v>13</v>
      </c>
      <c r="L1960" s="1" t="s">
        <v>13</v>
      </c>
      <c r="M1960" s="6" t="str">
        <f>_xlfn.CONCAT(Table1[[#This Row],[Billing Street]], ", ", Table1[[#This Row],[Billing City]], ", ", Table1[[#This Row],[Billing State/Province]], ", ", Table1[[#This Row],[Billing Zip/Postal Code]])</f>
        <v xml:space="preserve">, , , </v>
      </c>
    </row>
    <row r="1961" spans="1:13" ht="15.6" hidden="1" x14ac:dyDescent="0.3">
      <c r="A1961" s="1" t="s">
        <v>6182</v>
      </c>
      <c r="B1961" s="1"/>
      <c r="C1961" s="1"/>
      <c r="D1961" s="1"/>
      <c r="E1961" s="1"/>
      <c r="F1961" s="1"/>
      <c r="G1961" s="1" t="s">
        <v>13</v>
      </c>
      <c r="H1961" s="2">
        <v>0</v>
      </c>
      <c r="I1961" s="1" t="s">
        <v>13</v>
      </c>
      <c r="J1961" s="1" t="s">
        <v>13</v>
      </c>
      <c r="K1961" s="1" t="s">
        <v>13</v>
      </c>
      <c r="L1961" s="1" t="s">
        <v>13</v>
      </c>
      <c r="M1961" s="6" t="str">
        <f>_xlfn.CONCAT(Table1[[#This Row],[Billing Street]], ", ", Table1[[#This Row],[Billing City]], ", ", Table1[[#This Row],[Billing State/Province]], ", ", Table1[[#This Row],[Billing Zip/Postal Code]])</f>
        <v xml:space="preserve">, , , </v>
      </c>
    </row>
    <row r="1962" spans="1:13" ht="15.6" x14ac:dyDescent="0.3">
      <c r="A1962" s="1" t="s">
        <v>6183</v>
      </c>
      <c r="B1962" s="1"/>
      <c r="C1962" s="1"/>
      <c r="D1962" s="1"/>
      <c r="E1962" s="1"/>
      <c r="F1962" s="1"/>
      <c r="G1962" s="1" t="s">
        <v>24</v>
      </c>
      <c r="H1962" s="2">
        <v>5988</v>
      </c>
      <c r="I1962" s="1" t="s">
        <v>6184</v>
      </c>
      <c r="J1962" s="1" t="s">
        <v>6185</v>
      </c>
      <c r="K1962" s="1" t="s">
        <v>31</v>
      </c>
      <c r="L1962" s="1" t="s">
        <v>6186</v>
      </c>
      <c r="M1962" s="6" t="str">
        <f>_xlfn.CONCAT(Table1[[#This Row],[Billing Street]], ", ", Table1[[#This Row],[Billing City]], ", ", Table1[[#This Row],[Billing State/Province]], ", ", Table1[[#This Row],[Billing Zip/Postal Code]])</f>
        <v>70 Industrial Park Acess Road, Columnus, MS, 39701</v>
      </c>
    </row>
    <row r="1963" spans="1:13" ht="15.6" hidden="1" x14ac:dyDescent="0.3">
      <c r="A1963" s="1" t="s">
        <v>6187</v>
      </c>
      <c r="B1963" s="1"/>
      <c r="C1963" s="1"/>
      <c r="D1963" s="1"/>
      <c r="E1963" s="1"/>
      <c r="F1963" s="1"/>
      <c r="G1963" s="1" t="s">
        <v>13</v>
      </c>
      <c r="H1963" s="2">
        <v>0</v>
      </c>
      <c r="I1963" s="1" t="s">
        <v>13</v>
      </c>
      <c r="J1963" s="1" t="s">
        <v>13</v>
      </c>
      <c r="K1963" s="1" t="s">
        <v>13</v>
      </c>
      <c r="L1963" s="1" t="s">
        <v>13</v>
      </c>
      <c r="M1963" s="6" t="str">
        <f>_xlfn.CONCAT(Table1[[#This Row],[Billing Street]], ", ", Table1[[#This Row],[Billing City]], ", ", Table1[[#This Row],[Billing State/Province]], ", ", Table1[[#This Row],[Billing Zip/Postal Code]])</f>
        <v xml:space="preserve">, , , </v>
      </c>
    </row>
    <row r="1964" spans="1:13" ht="15.6" hidden="1" x14ac:dyDescent="0.3">
      <c r="A1964" s="1" t="s">
        <v>6188</v>
      </c>
      <c r="B1964" s="1"/>
      <c r="C1964" s="1"/>
      <c r="D1964" s="1"/>
      <c r="E1964" s="1"/>
      <c r="F1964" s="1"/>
      <c r="G1964" s="1" t="s">
        <v>13</v>
      </c>
      <c r="H1964" s="2">
        <v>0</v>
      </c>
      <c r="I1964" s="1" t="s">
        <v>13</v>
      </c>
      <c r="J1964" s="1" t="s">
        <v>13</v>
      </c>
      <c r="K1964" s="1" t="s">
        <v>13</v>
      </c>
      <c r="L1964" s="1" t="s">
        <v>13</v>
      </c>
      <c r="M1964" s="6" t="str">
        <f>_xlfn.CONCAT(Table1[[#This Row],[Billing Street]], ", ", Table1[[#This Row],[Billing City]], ", ", Table1[[#This Row],[Billing State/Province]], ", ", Table1[[#This Row],[Billing Zip/Postal Code]])</f>
        <v xml:space="preserve">, , , </v>
      </c>
    </row>
    <row r="1965" spans="1:13" ht="15.6" x14ac:dyDescent="0.3">
      <c r="A1965" s="1" t="s">
        <v>6189</v>
      </c>
      <c r="B1965" s="1"/>
      <c r="C1965" s="1"/>
      <c r="D1965" s="1"/>
      <c r="E1965" s="1"/>
      <c r="F1965" s="1"/>
      <c r="G1965" s="1" t="s">
        <v>24</v>
      </c>
      <c r="H1965" s="2">
        <v>74</v>
      </c>
      <c r="I1965" s="1" t="s">
        <v>6190</v>
      </c>
      <c r="J1965" s="1" t="s">
        <v>2642</v>
      </c>
      <c r="K1965" s="1" t="s">
        <v>26</v>
      </c>
      <c r="L1965" s="1" t="s">
        <v>4624</v>
      </c>
      <c r="M1965" s="6" t="str">
        <f>_xlfn.CONCAT(Table1[[#This Row],[Billing Street]], ", ", Table1[[#This Row],[Billing City]], ", ", Table1[[#This Row],[Billing State/Province]], ", ", Table1[[#This Row],[Billing Zip/Postal Code]])</f>
        <v>100 Sanders Rd, Troy, AL, 36081</v>
      </c>
    </row>
    <row r="1966" spans="1:13" ht="15.6" hidden="1" x14ac:dyDescent="0.3">
      <c r="A1966" s="1" t="s">
        <v>6191</v>
      </c>
      <c r="B1966" s="1"/>
      <c r="C1966" s="1"/>
      <c r="D1966" s="1"/>
      <c r="E1966" s="1"/>
      <c r="F1966" s="1"/>
      <c r="G1966" s="1" t="s">
        <v>13</v>
      </c>
      <c r="H1966" s="2">
        <v>0</v>
      </c>
      <c r="I1966" s="1" t="s">
        <v>13</v>
      </c>
      <c r="J1966" s="1" t="s">
        <v>13</v>
      </c>
      <c r="K1966" s="1" t="s">
        <v>13</v>
      </c>
      <c r="L1966" s="1" t="s">
        <v>13</v>
      </c>
      <c r="M1966" s="6" t="str">
        <f>_xlfn.CONCAT(Table1[[#This Row],[Billing Street]], ", ", Table1[[#This Row],[Billing City]], ", ", Table1[[#This Row],[Billing State/Province]], ", ", Table1[[#This Row],[Billing Zip/Postal Code]])</f>
        <v xml:space="preserve">, , , </v>
      </c>
    </row>
    <row r="1967" spans="1:13" ht="15.6" x14ac:dyDescent="0.3">
      <c r="A1967" s="1" t="s">
        <v>6192</v>
      </c>
      <c r="B1967" s="1"/>
      <c r="C1967" s="1"/>
      <c r="D1967" s="1"/>
      <c r="E1967" s="1"/>
      <c r="F1967" s="1"/>
      <c r="G1967" s="1" t="s">
        <v>24</v>
      </c>
      <c r="H1967" s="2">
        <v>5988</v>
      </c>
      <c r="I1967" s="1" t="s">
        <v>6193</v>
      </c>
      <c r="J1967" s="1" t="s">
        <v>6194</v>
      </c>
      <c r="K1967" s="1" t="s">
        <v>26</v>
      </c>
      <c r="L1967" s="1" t="s">
        <v>6195</v>
      </c>
      <c r="M1967" s="6" t="str">
        <f>_xlfn.CONCAT(Table1[[#This Row],[Billing Street]], ", ", Table1[[#This Row],[Billing City]], ", ", Table1[[#This Row],[Billing State/Province]], ", ", Table1[[#This Row],[Billing Zip/Postal Code]])</f>
        <v>P.O. Box 2926, Daphne, AL, 36526</v>
      </c>
    </row>
    <row r="1968" spans="1:13" ht="15.6" x14ac:dyDescent="0.3">
      <c r="A1968" s="1" t="s">
        <v>6196</v>
      </c>
      <c r="B1968" s="1"/>
      <c r="C1968" s="1"/>
      <c r="D1968" s="1"/>
      <c r="E1968" s="1"/>
      <c r="F1968" s="1"/>
      <c r="G1968" s="1" t="s">
        <v>24</v>
      </c>
      <c r="H1968" s="2">
        <v>227</v>
      </c>
      <c r="I1968" s="1" t="s">
        <v>6197</v>
      </c>
      <c r="J1968" s="1" t="s">
        <v>5070</v>
      </c>
      <c r="K1968" s="1" t="s">
        <v>26</v>
      </c>
      <c r="L1968" s="1" t="s">
        <v>5780</v>
      </c>
      <c r="M1968" s="6" t="str">
        <f>_xlfn.CONCAT(Table1[[#This Row],[Billing Street]], ", ", Table1[[#This Row],[Billing City]], ", ", Table1[[#This Row],[Billing State/Province]], ", ", Table1[[#This Row],[Billing Zip/Postal Code]])</f>
        <v>200 18th Ave SW, Jasper, AL, 35501</v>
      </c>
    </row>
    <row r="1969" spans="1:13" ht="15.6" hidden="1" x14ac:dyDescent="0.3">
      <c r="A1969" s="1" t="s">
        <v>6198</v>
      </c>
      <c r="B1969" s="1"/>
      <c r="C1969" s="1"/>
      <c r="D1969" s="1"/>
      <c r="E1969" s="1"/>
      <c r="F1969" s="1"/>
      <c r="G1969" s="1" t="s">
        <v>13</v>
      </c>
      <c r="H1969" s="2">
        <v>0</v>
      </c>
      <c r="I1969" s="1" t="s">
        <v>13</v>
      </c>
      <c r="J1969" s="1" t="s">
        <v>13</v>
      </c>
      <c r="K1969" s="1" t="s">
        <v>13</v>
      </c>
      <c r="L1969" s="1" t="s">
        <v>13</v>
      </c>
      <c r="M1969" s="6" t="str">
        <f>_xlfn.CONCAT(Table1[[#This Row],[Billing Street]], ", ", Table1[[#This Row],[Billing City]], ", ", Table1[[#This Row],[Billing State/Province]], ", ", Table1[[#This Row],[Billing Zip/Postal Code]])</f>
        <v xml:space="preserve">, , , </v>
      </c>
    </row>
    <row r="1970" spans="1:13" ht="15.6" x14ac:dyDescent="0.3">
      <c r="A1970" s="1" t="s">
        <v>6199</v>
      </c>
      <c r="B1970" s="1"/>
      <c r="C1970" s="1"/>
      <c r="D1970" s="1"/>
      <c r="E1970" s="1"/>
      <c r="F1970" s="1"/>
      <c r="G1970" s="1" t="s">
        <v>24</v>
      </c>
      <c r="H1970" s="2">
        <v>5988</v>
      </c>
      <c r="I1970" s="1" t="s">
        <v>6200</v>
      </c>
      <c r="J1970" s="1" t="s">
        <v>3209</v>
      </c>
      <c r="K1970" s="1" t="s">
        <v>36</v>
      </c>
      <c r="L1970" s="1" t="s">
        <v>13</v>
      </c>
      <c r="M1970" s="6" t="str">
        <f>_xlfn.CONCAT(Table1[[#This Row],[Billing Street]], ", ", Table1[[#This Row],[Billing City]], ", ", Table1[[#This Row],[Billing State/Province]], ", ", Table1[[#This Row],[Billing Zip/Postal Code]])</f>
        <v xml:space="preserve">2065 Pisgah Rd, Perry, FL, </v>
      </c>
    </row>
    <row r="1971" spans="1:13" ht="15.6" hidden="1" x14ac:dyDescent="0.3">
      <c r="A1971" s="1" t="s">
        <v>6201</v>
      </c>
      <c r="B1971" s="1"/>
      <c r="C1971" s="1"/>
      <c r="D1971" s="1"/>
      <c r="E1971" s="1"/>
      <c r="F1971" s="1"/>
      <c r="G1971" s="1" t="s">
        <v>13</v>
      </c>
      <c r="H1971" s="2">
        <v>0</v>
      </c>
      <c r="I1971" s="1" t="s">
        <v>13</v>
      </c>
      <c r="J1971" s="1" t="s">
        <v>13</v>
      </c>
      <c r="K1971" s="1" t="s">
        <v>13</v>
      </c>
      <c r="L1971" s="1" t="s">
        <v>13</v>
      </c>
      <c r="M1971" s="6" t="str">
        <f>_xlfn.CONCAT(Table1[[#This Row],[Billing Street]], ", ", Table1[[#This Row],[Billing City]], ", ", Table1[[#This Row],[Billing State/Province]], ", ", Table1[[#This Row],[Billing Zip/Postal Code]])</f>
        <v xml:space="preserve">, , , </v>
      </c>
    </row>
    <row r="1972" spans="1:13" ht="15.6" x14ac:dyDescent="0.3">
      <c r="A1972" s="1" t="s">
        <v>6202</v>
      </c>
      <c r="B1972" s="1"/>
      <c r="C1972" s="1"/>
      <c r="D1972" s="1"/>
      <c r="E1972" s="1"/>
      <c r="F1972" s="1"/>
      <c r="G1972" s="1" t="s">
        <v>24</v>
      </c>
      <c r="H1972" s="2">
        <v>5988</v>
      </c>
      <c r="I1972" s="1" t="s">
        <v>6203</v>
      </c>
      <c r="J1972" s="1" t="s">
        <v>534</v>
      </c>
      <c r="K1972" s="1" t="s">
        <v>26</v>
      </c>
      <c r="L1972" s="1" t="s">
        <v>6204</v>
      </c>
      <c r="M1972" s="6" t="str">
        <f>_xlfn.CONCAT(Table1[[#This Row],[Billing Street]], ", ", Table1[[#This Row],[Billing City]], ", ", Table1[[#This Row],[Billing State/Province]], ", ", Table1[[#This Row],[Billing Zip/Postal Code]])</f>
        <v>1127 19th St N, Bessemer, AL, 35020</v>
      </c>
    </row>
    <row r="1973" spans="1:13" ht="15.6" hidden="1" x14ac:dyDescent="0.3">
      <c r="A1973" s="1" t="s">
        <v>6205</v>
      </c>
      <c r="B1973" s="1"/>
      <c r="C1973" s="1"/>
      <c r="D1973" s="1"/>
      <c r="E1973" s="1"/>
      <c r="F1973" s="1"/>
      <c r="G1973" s="1" t="s">
        <v>8</v>
      </c>
      <c r="H1973" s="2">
        <v>316</v>
      </c>
      <c r="I1973" s="1" t="s">
        <v>6206</v>
      </c>
      <c r="J1973" s="1" t="s">
        <v>6207</v>
      </c>
      <c r="K1973" s="1" t="s">
        <v>51</v>
      </c>
      <c r="L1973" s="1" t="s">
        <v>6208</v>
      </c>
      <c r="M1973" s="6" t="str">
        <f>_xlfn.CONCAT(Table1[[#This Row],[Billing Street]], ", ", Table1[[#This Row],[Billing City]], ", ", Table1[[#This Row],[Billing State/Province]], ", ", Table1[[#This Row],[Billing Zip/Postal Code]])</f>
        <v>2221 HG Mosley Parkway, Longview, TX, 75604</v>
      </c>
    </row>
    <row r="1974" spans="1:13" ht="15.6" hidden="1" x14ac:dyDescent="0.3">
      <c r="A1974" s="1" t="s">
        <v>6209</v>
      </c>
      <c r="B1974" s="1"/>
      <c r="C1974" s="1"/>
      <c r="D1974" s="1"/>
      <c r="E1974" s="1"/>
      <c r="F1974" s="1"/>
      <c r="G1974" s="1" t="s">
        <v>13</v>
      </c>
      <c r="H1974" s="2">
        <v>0</v>
      </c>
      <c r="I1974" s="1" t="s">
        <v>13</v>
      </c>
      <c r="J1974" s="1" t="s">
        <v>13</v>
      </c>
      <c r="K1974" s="1" t="s">
        <v>13</v>
      </c>
      <c r="L1974" s="1" t="s">
        <v>13</v>
      </c>
      <c r="M1974" s="6" t="str">
        <f>_xlfn.CONCAT(Table1[[#This Row],[Billing Street]], ", ", Table1[[#This Row],[Billing City]], ", ", Table1[[#This Row],[Billing State/Province]], ", ", Table1[[#This Row],[Billing Zip/Postal Code]])</f>
        <v xml:space="preserve">, , , </v>
      </c>
    </row>
    <row r="1975" spans="1:13" ht="15.6" hidden="1" x14ac:dyDescent="0.3">
      <c r="A1975" s="1" t="s">
        <v>6210</v>
      </c>
      <c r="B1975" s="1"/>
      <c r="C1975" s="1"/>
      <c r="D1975" s="1"/>
      <c r="E1975" s="1"/>
      <c r="F1975" s="1"/>
      <c r="G1975" s="1" t="s">
        <v>13</v>
      </c>
      <c r="H1975" s="2">
        <v>0</v>
      </c>
      <c r="I1975" s="1" t="s">
        <v>13</v>
      </c>
      <c r="J1975" s="1" t="s">
        <v>13</v>
      </c>
      <c r="K1975" s="1" t="s">
        <v>13</v>
      </c>
      <c r="L1975" s="1" t="s">
        <v>13</v>
      </c>
      <c r="M1975" s="6" t="str">
        <f>_xlfn.CONCAT(Table1[[#This Row],[Billing Street]], ", ", Table1[[#This Row],[Billing City]], ", ", Table1[[#This Row],[Billing State/Province]], ", ", Table1[[#This Row],[Billing Zip/Postal Code]])</f>
        <v xml:space="preserve">, , , </v>
      </c>
    </row>
    <row r="1976" spans="1:13" ht="15.6" hidden="1" x14ac:dyDescent="0.3">
      <c r="A1976" s="1" t="s">
        <v>6211</v>
      </c>
      <c r="B1976" s="1"/>
      <c r="C1976" s="1"/>
      <c r="D1976" s="1"/>
      <c r="E1976" s="1"/>
      <c r="F1976" s="1"/>
      <c r="G1976" s="1" t="s">
        <v>13</v>
      </c>
      <c r="H1976" s="2">
        <v>0</v>
      </c>
      <c r="I1976" s="1" t="s">
        <v>6212</v>
      </c>
      <c r="J1976" s="1" t="s">
        <v>2764</v>
      </c>
      <c r="K1976" s="1" t="s">
        <v>13</v>
      </c>
      <c r="L1976" s="1" t="s">
        <v>6213</v>
      </c>
      <c r="M1976" s="6" t="str">
        <f>_xlfn.CONCAT(Table1[[#This Row],[Billing Street]], ", ", Table1[[#This Row],[Billing City]], ", ", Table1[[#This Row],[Billing State/Province]], ", ", Table1[[#This Row],[Billing Zip/Postal Code]])</f>
        <v>1018 e salt lake st, Long Beach, , 90806</v>
      </c>
    </row>
    <row r="1977" spans="1:13" ht="15.6" hidden="1" x14ac:dyDescent="0.3">
      <c r="A1977" s="1" t="s">
        <v>6214</v>
      </c>
      <c r="B1977" s="1"/>
      <c r="C1977" s="1"/>
      <c r="D1977" s="1"/>
      <c r="E1977" s="1"/>
      <c r="F1977" s="1"/>
      <c r="G1977" s="1" t="s">
        <v>13</v>
      </c>
      <c r="H1977" s="2">
        <v>0</v>
      </c>
      <c r="I1977" s="1" t="s">
        <v>13</v>
      </c>
      <c r="J1977" s="1" t="s">
        <v>13</v>
      </c>
      <c r="K1977" s="1" t="s">
        <v>13</v>
      </c>
      <c r="L1977" s="1" t="s">
        <v>13</v>
      </c>
      <c r="M1977" s="6" t="str">
        <f>_xlfn.CONCAT(Table1[[#This Row],[Billing Street]], ", ", Table1[[#This Row],[Billing City]], ", ", Table1[[#This Row],[Billing State/Province]], ", ", Table1[[#This Row],[Billing Zip/Postal Code]])</f>
        <v xml:space="preserve">, , , </v>
      </c>
    </row>
    <row r="1978" spans="1:13" ht="15.6" hidden="1" x14ac:dyDescent="0.3">
      <c r="A1978" s="1" t="s">
        <v>6215</v>
      </c>
      <c r="B1978" s="1"/>
      <c r="C1978" s="1"/>
      <c r="D1978" s="1"/>
      <c r="E1978" s="1"/>
      <c r="F1978" s="1"/>
      <c r="G1978" s="1" t="s">
        <v>43</v>
      </c>
      <c r="H1978" s="2">
        <v>33</v>
      </c>
      <c r="I1978" s="1" t="s">
        <v>6216</v>
      </c>
      <c r="J1978" s="1" t="s">
        <v>703</v>
      </c>
      <c r="K1978" s="1" t="s">
        <v>45</v>
      </c>
      <c r="L1978" s="1" t="s">
        <v>1757</v>
      </c>
      <c r="M1978" s="6" t="str">
        <f>_xlfn.CONCAT(Table1[[#This Row],[Billing Street]], ", ", Table1[[#This Row],[Billing City]], ", ", Table1[[#This Row],[Billing State/Province]], ", ", Table1[[#This Row],[Billing Zip/Postal Code]])</f>
        <v>703 S. Union Street, Alliance, OH, 44601</v>
      </c>
    </row>
    <row r="1979" spans="1:13" ht="15.6" hidden="1" x14ac:dyDescent="0.3">
      <c r="A1979" s="1" t="s">
        <v>6217</v>
      </c>
      <c r="B1979" s="1"/>
      <c r="C1979" s="1"/>
      <c r="D1979" s="1"/>
      <c r="E1979" s="1"/>
      <c r="F1979" s="1"/>
      <c r="G1979" s="1" t="s">
        <v>54</v>
      </c>
      <c r="H1979" s="2">
        <v>32</v>
      </c>
      <c r="I1979" s="1" t="s">
        <v>6218</v>
      </c>
      <c r="J1979" s="1" t="s">
        <v>344</v>
      </c>
      <c r="K1979" s="1" t="s">
        <v>57</v>
      </c>
      <c r="L1979" s="1" t="s">
        <v>345</v>
      </c>
      <c r="M1979" s="6" t="str">
        <f>_xlfn.CONCAT(Table1[[#This Row],[Billing Street]], ", ", Table1[[#This Row],[Billing City]], ", ", Table1[[#This Row],[Billing State/Province]], ", ", Table1[[#This Row],[Billing Zip/Postal Code]])</f>
        <v>1520 S. Lyon Street, Santa Ana, CA, 92705</v>
      </c>
    </row>
    <row r="1980" spans="1:13" ht="15.6" x14ac:dyDescent="0.3">
      <c r="A1980" s="1" t="s">
        <v>6219</v>
      </c>
      <c r="B1980" s="1"/>
      <c r="C1980" s="1"/>
      <c r="D1980" s="1"/>
      <c r="E1980" s="1"/>
      <c r="F1980" s="1"/>
      <c r="G1980" s="1" t="s">
        <v>24</v>
      </c>
      <c r="H1980" s="2">
        <v>62</v>
      </c>
      <c r="I1980" s="1" t="s">
        <v>6220</v>
      </c>
      <c r="J1980" s="1" t="s">
        <v>6221</v>
      </c>
      <c r="K1980" s="1" t="s">
        <v>36</v>
      </c>
      <c r="L1980" s="1" t="s">
        <v>6222</v>
      </c>
      <c r="M1980" s="6" t="str">
        <f>_xlfn.CONCAT(Table1[[#This Row],[Billing Street]], ", ", Table1[[#This Row],[Billing City]], ", ", Table1[[#This Row],[Billing State/Province]], ", ", Table1[[#This Row],[Billing Zip/Postal Code]])</f>
        <v>1596 Church St, Cypress, FL, 32432</v>
      </c>
    </row>
    <row r="1981" spans="1:13" ht="15.6" hidden="1" x14ac:dyDescent="0.3">
      <c r="A1981" s="1" t="s">
        <v>6223</v>
      </c>
      <c r="B1981" s="1"/>
      <c r="C1981" s="1"/>
      <c r="D1981" s="1"/>
      <c r="E1981" s="1"/>
      <c r="F1981" s="1"/>
      <c r="G1981" s="1" t="s">
        <v>13</v>
      </c>
      <c r="H1981" s="2">
        <v>0</v>
      </c>
      <c r="I1981" s="1" t="s">
        <v>13</v>
      </c>
      <c r="J1981" s="1" t="s">
        <v>13</v>
      </c>
      <c r="K1981" s="1" t="s">
        <v>13</v>
      </c>
      <c r="L1981" s="1" t="s">
        <v>13</v>
      </c>
      <c r="M1981" s="6" t="str">
        <f>_xlfn.CONCAT(Table1[[#This Row],[Billing Street]], ", ", Table1[[#This Row],[Billing City]], ", ", Table1[[#This Row],[Billing State/Province]], ", ", Table1[[#This Row],[Billing Zip/Postal Code]])</f>
        <v xml:space="preserve">, , , </v>
      </c>
    </row>
    <row r="1982" spans="1:13" ht="15.6" hidden="1" x14ac:dyDescent="0.3">
      <c r="A1982" s="1" t="s">
        <v>6224</v>
      </c>
      <c r="B1982" s="1"/>
      <c r="C1982" s="1"/>
      <c r="D1982" s="1"/>
      <c r="E1982" s="1"/>
      <c r="F1982" s="1"/>
      <c r="G1982" s="1" t="s">
        <v>43</v>
      </c>
      <c r="H1982" s="2">
        <v>23</v>
      </c>
      <c r="I1982" s="1" t="s">
        <v>6225</v>
      </c>
      <c r="J1982" s="1" t="s">
        <v>6226</v>
      </c>
      <c r="K1982" s="1" t="s">
        <v>45</v>
      </c>
      <c r="L1982" s="1" t="s">
        <v>6227</v>
      </c>
      <c r="M1982" s="6" t="str">
        <f>_xlfn.CONCAT(Table1[[#This Row],[Billing Street]], ", ", Table1[[#This Row],[Billing City]], ", ", Table1[[#This Row],[Billing State/Province]], ", ", Table1[[#This Row],[Billing Zip/Postal Code]])</f>
        <v>12577 Gar Highway, Chardon, OH, 44024</v>
      </c>
    </row>
    <row r="1983" spans="1:13" ht="15.6" hidden="1" x14ac:dyDescent="0.3">
      <c r="A1983" s="1" t="s">
        <v>6228</v>
      </c>
      <c r="B1983" s="1"/>
      <c r="C1983" s="1"/>
      <c r="D1983" s="1"/>
      <c r="E1983" s="1"/>
      <c r="F1983" s="1"/>
      <c r="G1983" s="1" t="s">
        <v>43</v>
      </c>
      <c r="H1983" s="2">
        <v>41</v>
      </c>
      <c r="I1983" s="1" t="s">
        <v>6229</v>
      </c>
      <c r="J1983" s="1" t="s">
        <v>6230</v>
      </c>
      <c r="K1983" s="1" t="s">
        <v>45</v>
      </c>
      <c r="L1983" s="1" t="s">
        <v>6231</v>
      </c>
      <c r="M1983" s="6" t="str">
        <f>_xlfn.CONCAT(Table1[[#This Row],[Billing Street]], ", ", Table1[[#This Row],[Billing City]], ", ", Table1[[#This Row],[Billing State/Province]], ", ", Table1[[#This Row],[Billing Zip/Postal Code]])</f>
        <v>801 N. Meridian Road, Youngstown, OH, 44509</v>
      </c>
    </row>
    <row r="1984" spans="1:13" ht="15.6" hidden="1" x14ac:dyDescent="0.3">
      <c r="A1984" s="1" t="s">
        <v>6232</v>
      </c>
      <c r="B1984" s="1"/>
      <c r="C1984" s="1"/>
      <c r="D1984" s="1"/>
      <c r="E1984" s="1"/>
      <c r="F1984" s="1"/>
      <c r="G1984" s="1" t="s">
        <v>13</v>
      </c>
      <c r="H1984" s="2">
        <v>0</v>
      </c>
      <c r="I1984" s="1" t="s">
        <v>13</v>
      </c>
      <c r="J1984" s="1" t="s">
        <v>13</v>
      </c>
      <c r="K1984" s="1" t="s">
        <v>13</v>
      </c>
      <c r="L1984" s="1" t="s">
        <v>13</v>
      </c>
      <c r="M1984" s="6" t="str">
        <f>_xlfn.CONCAT(Table1[[#This Row],[Billing Street]], ", ", Table1[[#This Row],[Billing City]], ", ", Table1[[#This Row],[Billing State/Province]], ", ", Table1[[#This Row],[Billing Zip/Postal Code]])</f>
        <v xml:space="preserve">, , , </v>
      </c>
    </row>
    <row r="1985" spans="1:13" ht="15.6" hidden="1" x14ac:dyDescent="0.3">
      <c r="A1985" s="1" t="s">
        <v>6233</v>
      </c>
      <c r="B1985" s="1"/>
      <c r="C1985" s="1"/>
      <c r="D1985" s="1"/>
      <c r="E1985" s="1"/>
      <c r="F1985" s="1"/>
      <c r="G1985" s="1" t="s">
        <v>13</v>
      </c>
      <c r="H1985" s="2">
        <v>0</v>
      </c>
      <c r="I1985" s="1" t="s">
        <v>13</v>
      </c>
      <c r="J1985" s="1" t="s">
        <v>2701</v>
      </c>
      <c r="K1985" s="1" t="s">
        <v>13</v>
      </c>
      <c r="L1985" s="1" t="s">
        <v>13</v>
      </c>
      <c r="M1985" s="6" t="str">
        <f>_xlfn.CONCAT(Table1[[#This Row],[Billing Street]], ", ", Table1[[#This Row],[Billing City]], ", ", Table1[[#This Row],[Billing State/Province]], ", ", Table1[[#This Row],[Billing Zip/Postal Code]])</f>
        <v xml:space="preserve">, Davenport, , </v>
      </c>
    </row>
    <row r="1986" spans="1:13" ht="15.6" hidden="1" x14ac:dyDescent="0.3">
      <c r="A1986" s="1" t="s">
        <v>6234</v>
      </c>
      <c r="B1986" s="1"/>
      <c r="C1986" s="1"/>
      <c r="D1986" s="1"/>
      <c r="E1986" s="1"/>
      <c r="F1986" s="1"/>
      <c r="G1986" s="1" t="s">
        <v>13</v>
      </c>
      <c r="H1986" s="2">
        <v>0</v>
      </c>
      <c r="I1986" s="1" t="s">
        <v>13</v>
      </c>
      <c r="J1986" s="1" t="s">
        <v>13</v>
      </c>
      <c r="K1986" s="1" t="s">
        <v>13</v>
      </c>
      <c r="L1986" s="1" t="s">
        <v>13</v>
      </c>
      <c r="M1986" s="6" t="str">
        <f>_xlfn.CONCAT(Table1[[#This Row],[Billing Street]], ", ", Table1[[#This Row],[Billing City]], ", ", Table1[[#This Row],[Billing State/Province]], ", ", Table1[[#This Row],[Billing Zip/Postal Code]])</f>
        <v xml:space="preserve">, , , </v>
      </c>
    </row>
    <row r="1987" spans="1:13" ht="15.6" hidden="1" x14ac:dyDescent="0.3">
      <c r="A1987" s="1" t="s">
        <v>6235</v>
      </c>
      <c r="B1987" s="1"/>
      <c r="C1987" s="1"/>
      <c r="D1987" s="1"/>
      <c r="E1987" s="1"/>
      <c r="F1987" s="1"/>
      <c r="G1987" s="1" t="s">
        <v>8</v>
      </c>
      <c r="H1987" s="2">
        <v>66</v>
      </c>
      <c r="I1987" s="1" t="s">
        <v>6236</v>
      </c>
      <c r="J1987" s="1" t="s">
        <v>6237</v>
      </c>
      <c r="K1987" s="1" t="s">
        <v>147</v>
      </c>
      <c r="L1987" s="1" t="s">
        <v>6238</v>
      </c>
      <c r="M1987" s="6" t="str">
        <f>_xlfn.CONCAT(Table1[[#This Row],[Billing Street]], ", ", Table1[[#This Row],[Billing City]], ", ", Table1[[#This Row],[Billing State/Province]], ", ", Table1[[#This Row],[Billing Zip/Postal Code]])</f>
        <v>4510 S. 86th E. AVE, Tulsa, OK, 74145</v>
      </c>
    </row>
    <row r="1988" spans="1:13" ht="15.6" hidden="1" x14ac:dyDescent="0.3">
      <c r="A1988" s="1" t="s">
        <v>6239</v>
      </c>
      <c r="B1988" s="1"/>
      <c r="C1988" s="1"/>
      <c r="D1988" s="1"/>
      <c r="E1988" s="1"/>
      <c r="F1988" s="1"/>
      <c r="G1988" s="1" t="s">
        <v>43</v>
      </c>
      <c r="H1988" s="2">
        <v>459</v>
      </c>
      <c r="I1988" s="1" t="s">
        <v>6240</v>
      </c>
      <c r="J1988" s="1" t="s">
        <v>5291</v>
      </c>
      <c r="K1988" s="1" t="s">
        <v>6241</v>
      </c>
      <c r="L1988" s="1" t="s">
        <v>5292</v>
      </c>
      <c r="M1988" s="6" t="str">
        <f>_xlfn.CONCAT(Table1[[#This Row],[Billing Street]], ", ", Table1[[#This Row],[Billing City]], ", ", Table1[[#This Row],[Billing State/Province]], ", ", Table1[[#This Row],[Billing Zip/Postal Code]])</f>
        <v>175 Clay St, Cadiz, ky, 42211</v>
      </c>
    </row>
    <row r="1989" spans="1:13" ht="15.6" hidden="1" x14ac:dyDescent="0.3">
      <c r="A1989" s="1" t="s">
        <v>6242</v>
      </c>
      <c r="B1989" s="1"/>
      <c r="C1989" s="1"/>
      <c r="D1989" s="1"/>
      <c r="E1989" s="1"/>
      <c r="F1989" s="1"/>
      <c r="G1989" s="1" t="s">
        <v>13</v>
      </c>
      <c r="H1989" s="2">
        <v>0</v>
      </c>
      <c r="I1989" s="1" t="s">
        <v>13</v>
      </c>
      <c r="J1989" s="1" t="s">
        <v>13</v>
      </c>
      <c r="K1989" s="1" t="s">
        <v>13</v>
      </c>
      <c r="L1989" s="1" t="s">
        <v>13</v>
      </c>
      <c r="M1989" s="6" t="str">
        <f>_xlfn.CONCAT(Table1[[#This Row],[Billing Street]], ", ", Table1[[#This Row],[Billing City]], ", ", Table1[[#This Row],[Billing State/Province]], ", ", Table1[[#This Row],[Billing Zip/Postal Code]])</f>
        <v xml:space="preserve">, , , </v>
      </c>
    </row>
    <row r="1990" spans="1:13" ht="15.6" hidden="1" x14ac:dyDescent="0.3">
      <c r="A1990" s="1" t="s">
        <v>6243</v>
      </c>
      <c r="B1990" s="1"/>
      <c r="C1990" s="1"/>
      <c r="D1990" s="1"/>
      <c r="E1990" s="1"/>
      <c r="F1990" s="1"/>
      <c r="G1990" s="1" t="s">
        <v>8</v>
      </c>
      <c r="H1990" s="2">
        <v>249</v>
      </c>
      <c r="I1990" s="1" t="s">
        <v>6244</v>
      </c>
      <c r="J1990" s="1" t="s">
        <v>1305</v>
      </c>
      <c r="K1990" s="1" t="s">
        <v>165</v>
      </c>
      <c r="L1990" s="1" t="s">
        <v>6245</v>
      </c>
      <c r="M1990" s="6" t="str">
        <f>_xlfn.CONCAT(Table1[[#This Row],[Billing Street]], ", ", Table1[[#This Row],[Billing City]], ", ", Table1[[#This Row],[Billing State/Province]], ", ", Table1[[#This Row],[Billing Zip/Postal Code]])</f>
        <v>777 Slaone Drive, Little Rock, AR, 72206</v>
      </c>
    </row>
    <row r="1991" spans="1:13" ht="15.6" hidden="1" x14ac:dyDescent="0.3">
      <c r="A1991" s="1" t="s">
        <v>6246</v>
      </c>
      <c r="B1991" s="1"/>
      <c r="C1991" s="1"/>
      <c r="D1991" s="1"/>
      <c r="E1991" s="1"/>
      <c r="F1991" s="1"/>
      <c r="G1991" s="1" t="s">
        <v>98</v>
      </c>
      <c r="H1991" s="2">
        <v>12</v>
      </c>
      <c r="I1991" s="1" t="s">
        <v>6247</v>
      </c>
      <c r="J1991" s="1" t="s">
        <v>127</v>
      </c>
      <c r="K1991" s="1" t="s">
        <v>6248</v>
      </c>
      <c r="L1991" s="1" t="s">
        <v>6249</v>
      </c>
      <c r="M1991" s="6" t="str">
        <f>_xlfn.CONCAT(Table1[[#This Row],[Billing Street]], ", ", Table1[[#This Row],[Billing City]], ", ", Table1[[#This Row],[Billing State/Province]], ", ", Table1[[#This Row],[Billing Zip/Postal Code]])</f>
        <v>2055 Sugarloaf Circle Suite 175, Duluth, ga, 30097</v>
      </c>
    </row>
    <row r="1992" spans="1:13" ht="15.6" hidden="1" x14ac:dyDescent="0.3">
      <c r="A1992" s="1" t="s">
        <v>6250</v>
      </c>
      <c r="B1992" s="1"/>
      <c r="C1992" s="1"/>
      <c r="D1992" s="1"/>
      <c r="E1992" s="1"/>
      <c r="F1992" s="1"/>
      <c r="G1992" s="1" t="s">
        <v>13</v>
      </c>
      <c r="H1992" s="2">
        <v>0</v>
      </c>
      <c r="I1992" s="1" t="s">
        <v>13</v>
      </c>
      <c r="J1992" s="1" t="s">
        <v>13</v>
      </c>
      <c r="K1992" s="1" t="s">
        <v>13</v>
      </c>
      <c r="L1992" s="1" t="s">
        <v>13</v>
      </c>
      <c r="M1992" s="6" t="str">
        <f>_xlfn.CONCAT(Table1[[#This Row],[Billing Street]], ", ", Table1[[#This Row],[Billing City]], ", ", Table1[[#This Row],[Billing State/Province]], ", ", Table1[[#This Row],[Billing Zip/Postal Code]])</f>
        <v xml:space="preserve">, , , </v>
      </c>
    </row>
    <row r="1993" spans="1:13" ht="15.6" hidden="1" x14ac:dyDescent="0.3">
      <c r="A1993" s="1" t="s">
        <v>542</v>
      </c>
      <c r="B1993" s="1"/>
      <c r="C1993" s="1"/>
      <c r="D1993" s="1"/>
      <c r="E1993" s="1"/>
      <c r="F1993" s="1"/>
      <c r="G1993" s="1" t="s">
        <v>13</v>
      </c>
      <c r="H1993" s="2">
        <v>0</v>
      </c>
      <c r="I1993" s="1" t="s">
        <v>13</v>
      </c>
      <c r="J1993" s="1" t="s">
        <v>13</v>
      </c>
      <c r="K1993" s="1" t="s">
        <v>13</v>
      </c>
      <c r="L1993" s="1" t="s">
        <v>13</v>
      </c>
      <c r="M1993" s="6" t="str">
        <f>_xlfn.CONCAT(Table1[[#This Row],[Billing Street]], ", ", Table1[[#This Row],[Billing City]], ", ", Table1[[#This Row],[Billing State/Province]], ", ", Table1[[#This Row],[Billing Zip/Postal Code]])</f>
        <v xml:space="preserve">, , , </v>
      </c>
    </row>
    <row r="1994" spans="1:13" ht="15.6" hidden="1" x14ac:dyDescent="0.3">
      <c r="A1994" s="1" t="s">
        <v>6251</v>
      </c>
      <c r="B1994" s="1"/>
      <c r="C1994" s="1"/>
      <c r="D1994" s="1"/>
      <c r="E1994" s="1"/>
      <c r="F1994" s="1"/>
      <c r="G1994" s="1" t="s">
        <v>43</v>
      </c>
      <c r="H1994" s="2">
        <v>120</v>
      </c>
      <c r="I1994" s="1" t="s">
        <v>6252</v>
      </c>
      <c r="J1994" s="1" t="s">
        <v>711</v>
      </c>
      <c r="K1994" s="1" t="s">
        <v>45</v>
      </c>
      <c r="L1994" s="1" t="s">
        <v>6253</v>
      </c>
      <c r="M1994" s="6" t="str">
        <f>_xlfn.CONCAT(Table1[[#This Row],[Billing Street]], ", ", Table1[[#This Row],[Billing City]], ", ", Table1[[#This Row],[Billing State/Province]], ", ", Table1[[#This Row],[Billing Zip/Postal Code]])</f>
        <v>3500 Indianola Avenue, Columbus, OH, 43214</v>
      </c>
    </row>
    <row r="1995" spans="1:13" ht="15.6" hidden="1" x14ac:dyDescent="0.3">
      <c r="A1995" s="1" t="s">
        <v>6254</v>
      </c>
      <c r="B1995" s="1"/>
      <c r="C1995" s="1"/>
      <c r="D1995" s="1"/>
      <c r="E1995" s="1"/>
      <c r="F1995" s="1"/>
      <c r="G1995" s="1" t="s">
        <v>43</v>
      </c>
      <c r="H1995" s="2">
        <v>212</v>
      </c>
      <c r="I1995" s="1" t="s">
        <v>6255</v>
      </c>
      <c r="J1995" s="1" t="s">
        <v>6256</v>
      </c>
      <c r="K1995" s="1" t="s">
        <v>82</v>
      </c>
      <c r="L1995" s="1" t="s">
        <v>13</v>
      </c>
      <c r="M1995" s="6" t="str">
        <f>_xlfn.CONCAT(Table1[[#This Row],[Billing Street]], ", ", Table1[[#This Row],[Billing City]], ", ", Table1[[#This Row],[Billing State/Province]], ", ", Table1[[#This Row],[Billing Zip/Postal Code]])</f>
        <v xml:space="preserve">1790 Washington Street, Midland, MI, </v>
      </c>
    </row>
    <row r="1996" spans="1:13" ht="15.6" hidden="1" x14ac:dyDescent="0.3">
      <c r="A1996" s="1" t="s">
        <v>6257</v>
      </c>
      <c r="B1996" s="1"/>
      <c r="C1996" s="1"/>
      <c r="D1996" s="1"/>
      <c r="E1996" s="1"/>
      <c r="F1996" s="1"/>
      <c r="G1996" s="1" t="s">
        <v>13</v>
      </c>
      <c r="H1996" s="2">
        <v>0</v>
      </c>
      <c r="I1996" s="1" t="s">
        <v>13</v>
      </c>
      <c r="J1996" s="1" t="s">
        <v>13</v>
      </c>
      <c r="K1996" s="1" t="s">
        <v>13</v>
      </c>
      <c r="L1996" s="1" t="s">
        <v>13</v>
      </c>
      <c r="M1996" s="6" t="str">
        <f>_xlfn.CONCAT(Table1[[#This Row],[Billing Street]], ", ", Table1[[#This Row],[Billing City]], ", ", Table1[[#This Row],[Billing State/Province]], ", ", Table1[[#This Row],[Billing Zip/Postal Code]])</f>
        <v xml:space="preserve">, , , </v>
      </c>
    </row>
    <row r="1997" spans="1:13" ht="15.6" hidden="1" x14ac:dyDescent="0.3">
      <c r="A1997" s="1" t="s">
        <v>6258</v>
      </c>
      <c r="B1997" s="1"/>
      <c r="C1997" s="1"/>
      <c r="D1997" s="1"/>
      <c r="E1997" s="1"/>
      <c r="F1997" s="1"/>
      <c r="G1997" s="1" t="s">
        <v>43</v>
      </c>
      <c r="H1997" s="2">
        <v>225</v>
      </c>
      <c r="I1997" s="1" t="s">
        <v>6259</v>
      </c>
      <c r="J1997" s="1" t="s">
        <v>6260</v>
      </c>
      <c r="K1997" s="1" t="s">
        <v>45</v>
      </c>
      <c r="L1997" s="1" t="s">
        <v>6261</v>
      </c>
      <c r="M1997" s="6" t="str">
        <f>_xlfn.CONCAT(Table1[[#This Row],[Billing Street]], ", ", Table1[[#This Row],[Billing City]], ", ", Table1[[#This Row],[Billing State/Province]], ", ", Table1[[#This Row],[Billing Zip/Postal Code]])</f>
        <v>6086 State Route 128, Miamitown, OH, 45041</v>
      </c>
    </row>
    <row r="1998" spans="1:13" ht="15.6" hidden="1" x14ac:dyDescent="0.3">
      <c r="A1998" s="1" t="s">
        <v>6262</v>
      </c>
      <c r="B1998" s="1"/>
      <c r="C1998" s="1"/>
      <c r="D1998" s="1"/>
      <c r="E1998" s="1"/>
      <c r="F1998" s="1"/>
      <c r="G1998" s="1" t="s">
        <v>13</v>
      </c>
      <c r="H1998" s="2">
        <v>0</v>
      </c>
      <c r="I1998" s="1" t="s">
        <v>13</v>
      </c>
      <c r="J1998" s="1" t="s">
        <v>13</v>
      </c>
      <c r="K1998" s="1" t="s">
        <v>13</v>
      </c>
      <c r="L1998" s="1" t="s">
        <v>13</v>
      </c>
      <c r="M1998" s="6" t="str">
        <f>_xlfn.CONCAT(Table1[[#This Row],[Billing Street]], ", ", Table1[[#This Row],[Billing City]], ", ", Table1[[#This Row],[Billing State/Province]], ", ", Table1[[#This Row],[Billing Zip/Postal Code]])</f>
        <v xml:space="preserve">, , , </v>
      </c>
    </row>
    <row r="1999" spans="1:13" ht="15.6" hidden="1" x14ac:dyDescent="0.3">
      <c r="A1999" s="1" t="s">
        <v>6263</v>
      </c>
      <c r="B1999" s="1"/>
      <c r="C1999" s="1"/>
      <c r="D1999" s="1"/>
      <c r="E1999" s="1"/>
      <c r="F1999" s="1"/>
      <c r="G1999" s="1" t="s">
        <v>43</v>
      </c>
      <c r="H1999" s="2">
        <v>5776</v>
      </c>
      <c r="I1999" s="1" t="s">
        <v>6264</v>
      </c>
      <c r="J1999" s="1" t="s">
        <v>6265</v>
      </c>
      <c r="K1999" s="1" t="s">
        <v>1475</v>
      </c>
      <c r="L1999" s="1" t="s">
        <v>6266</v>
      </c>
      <c r="M1999" s="6" t="str">
        <f>_xlfn.CONCAT(Table1[[#This Row],[Billing Street]], ", ", Table1[[#This Row],[Billing City]], ", ", Table1[[#This Row],[Billing State/Province]], ", ", Table1[[#This Row],[Billing Zip/Postal Code]])</f>
        <v>127 Parrott Ave. Suite 2, Portsmouth, nh, 3801</v>
      </c>
    </row>
    <row r="2000" spans="1:13" ht="15.6" hidden="1" x14ac:dyDescent="0.3">
      <c r="A2000" s="1" t="s">
        <v>6267</v>
      </c>
      <c r="B2000" s="1"/>
      <c r="C2000" s="1"/>
      <c r="D2000" s="1"/>
      <c r="E2000" s="1"/>
      <c r="F2000" s="1"/>
      <c r="G2000" s="1" t="s">
        <v>98</v>
      </c>
      <c r="H2000" s="2">
        <v>5887</v>
      </c>
      <c r="I2000" s="1" t="s">
        <v>6268</v>
      </c>
      <c r="J2000" s="1" t="s">
        <v>6269</v>
      </c>
      <c r="K2000" s="1" t="s">
        <v>234</v>
      </c>
      <c r="L2000" s="1" t="s">
        <v>6270</v>
      </c>
      <c r="M2000" s="6" t="str">
        <f>_xlfn.CONCAT(Table1[[#This Row],[Billing Street]], ", ", Table1[[#This Row],[Billing City]], ", ", Table1[[#This Row],[Billing State/Province]], ", ", Table1[[#This Row],[Billing Zip/Postal Code]])</f>
        <v>5300 Cureton Ferry Rd, Catawaba, SC, 29704</v>
      </c>
    </row>
    <row r="2001" spans="1:13" ht="15.6" hidden="1" x14ac:dyDescent="0.3">
      <c r="A2001" s="1" t="s">
        <v>6271</v>
      </c>
      <c r="B2001" s="1"/>
      <c r="C2001" s="1"/>
      <c r="D2001" s="1"/>
      <c r="E2001" s="1"/>
      <c r="F2001" s="1"/>
      <c r="G2001" s="1" t="s">
        <v>13</v>
      </c>
      <c r="H2001" s="2">
        <v>0</v>
      </c>
      <c r="I2001" s="1" t="s">
        <v>13</v>
      </c>
      <c r="J2001" s="1" t="s">
        <v>13</v>
      </c>
      <c r="K2001" s="1" t="s">
        <v>13</v>
      </c>
      <c r="L2001" s="1" t="s">
        <v>13</v>
      </c>
      <c r="M2001" s="6" t="str">
        <f>_xlfn.CONCAT(Table1[[#This Row],[Billing Street]], ", ", Table1[[#This Row],[Billing City]], ", ", Table1[[#This Row],[Billing State/Province]], ", ", Table1[[#This Row],[Billing Zip/Postal Code]])</f>
        <v xml:space="preserve">, , , </v>
      </c>
    </row>
    <row r="2002" spans="1:13" ht="15.6" x14ac:dyDescent="0.3">
      <c r="A2002" s="1" t="s">
        <v>6272</v>
      </c>
      <c r="B2002" s="1"/>
      <c r="C2002" s="1"/>
      <c r="D2002" s="1"/>
      <c r="E2002" s="1"/>
      <c r="F2002" s="1"/>
      <c r="G2002" s="1" t="s">
        <v>24</v>
      </c>
      <c r="H2002" s="2">
        <v>5988</v>
      </c>
      <c r="I2002" s="1" t="s">
        <v>6273</v>
      </c>
      <c r="J2002" s="1" t="s">
        <v>6274</v>
      </c>
      <c r="K2002" s="1" t="s">
        <v>26</v>
      </c>
      <c r="L2002" s="1" t="s">
        <v>6275</v>
      </c>
      <c r="M2002" s="6" t="str">
        <f>_xlfn.CONCAT(Table1[[#This Row],[Billing Street]], ", ", Table1[[#This Row],[Billing City]], ", ", Table1[[#This Row],[Billing State/Province]], ", ", Table1[[#This Row],[Billing Zip/Postal Code]])</f>
        <v>12852 Mobile Rd, Georgiana, AL, 36003</v>
      </c>
    </row>
    <row r="2003" spans="1:13" ht="15.6" hidden="1" x14ac:dyDescent="0.3">
      <c r="A2003" s="1" t="s">
        <v>6276</v>
      </c>
      <c r="B2003" s="1"/>
      <c r="C2003" s="1"/>
      <c r="D2003" s="1"/>
      <c r="E2003" s="1"/>
      <c r="F2003" s="1"/>
      <c r="G2003" s="1" t="s">
        <v>8</v>
      </c>
      <c r="H2003" s="2">
        <v>638</v>
      </c>
      <c r="I2003" s="1" t="s">
        <v>6277</v>
      </c>
      <c r="J2003" s="1" t="s">
        <v>6278</v>
      </c>
      <c r="K2003" s="1" t="s">
        <v>229</v>
      </c>
      <c r="L2003" s="1" t="s">
        <v>6279</v>
      </c>
      <c r="M2003" s="6" t="str">
        <f>_xlfn.CONCAT(Table1[[#This Row],[Billing Street]], ", ", Table1[[#This Row],[Billing City]], ", ", Table1[[#This Row],[Billing State/Province]], ", ", Table1[[#This Row],[Billing Zip/Postal Code]])</f>
        <v>14667 139th Place, Piedmont, SD, 57769</v>
      </c>
    </row>
    <row r="2004" spans="1:13" ht="15.6" hidden="1" x14ac:dyDescent="0.3">
      <c r="A2004" s="1" t="s">
        <v>6280</v>
      </c>
      <c r="B2004" s="1"/>
      <c r="C2004" s="1"/>
      <c r="D2004" s="1"/>
      <c r="E2004" s="1"/>
      <c r="F2004" s="1"/>
      <c r="G2004" s="1" t="s">
        <v>13</v>
      </c>
      <c r="H2004" s="2">
        <v>0</v>
      </c>
      <c r="I2004" s="1" t="s">
        <v>13</v>
      </c>
      <c r="J2004" s="1" t="s">
        <v>13</v>
      </c>
      <c r="K2004" s="1" t="s">
        <v>13</v>
      </c>
      <c r="L2004" s="1" t="s">
        <v>13</v>
      </c>
      <c r="M2004" s="6" t="str">
        <f>_xlfn.CONCAT(Table1[[#This Row],[Billing Street]], ", ", Table1[[#This Row],[Billing City]], ", ", Table1[[#This Row],[Billing State/Province]], ", ", Table1[[#This Row],[Billing Zip/Postal Code]])</f>
        <v xml:space="preserve">, , , </v>
      </c>
    </row>
    <row r="2005" spans="1:13" ht="15.6" hidden="1" x14ac:dyDescent="0.3">
      <c r="A2005" s="1" t="s">
        <v>6281</v>
      </c>
      <c r="B2005" s="1"/>
      <c r="C2005" s="1"/>
      <c r="D2005" s="1"/>
      <c r="E2005" s="1"/>
      <c r="F2005" s="1"/>
      <c r="G2005" s="1" t="s">
        <v>13</v>
      </c>
      <c r="H2005" s="2">
        <v>0</v>
      </c>
      <c r="I2005" s="1" t="s">
        <v>13</v>
      </c>
      <c r="J2005" s="1" t="s">
        <v>13</v>
      </c>
      <c r="K2005" s="1" t="s">
        <v>13</v>
      </c>
      <c r="L2005" s="1" t="s">
        <v>13</v>
      </c>
      <c r="M2005" s="6" t="str">
        <f>_xlfn.CONCAT(Table1[[#This Row],[Billing Street]], ", ", Table1[[#This Row],[Billing City]], ", ", Table1[[#This Row],[Billing State/Province]], ", ", Table1[[#This Row],[Billing Zip/Postal Code]])</f>
        <v xml:space="preserve">, , , </v>
      </c>
    </row>
    <row r="2006" spans="1:13" ht="15.6" hidden="1" x14ac:dyDescent="0.3">
      <c r="A2006" s="1" t="s">
        <v>6282</v>
      </c>
      <c r="B2006" s="1"/>
      <c r="C2006" s="1"/>
      <c r="D2006" s="1"/>
      <c r="E2006" s="1"/>
      <c r="F2006" s="1"/>
      <c r="G2006" s="1" t="s">
        <v>13</v>
      </c>
      <c r="H2006" s="2">
        <v>0</v>
      </c>
      <c r="I2006" s="1" t="s">
        <v>13</v>
      </c>
      <c r="J2006" s="1" t="s">
        <v>637</v>
      </c>
      <c r="K2006" s="1" t="s">
        <v>13</v>
      </c>
      <c r="L2006" s="1" t="s">
        <v>13</v>
      </c>
      <c r="M2006" s="6" t="str">
        <f>_xlfn.CONCAT(Table1[[#This Row],[Billing Street]], ", ", Table1[[#This Row],[Billing City]], ", ", Table1[[#This Row],[Billing State/Province]], ", ", Table1[[#This Row],[Billing Zip/Postal Code]])</f>
        <v xml:space="preserve">, Jackson, , </v>
      </c>
    </row>
    <row r="2007" spans="1:13" ht="15.6" hidden="1" x14ac:dyDescent="0.3">
      <c r="A2007" s="1" t="s">
        <v>6283</v>
      </c>
      <c r="B2007" s="1"/>
      <c r="C2007" s="1"/>
      <c r="D2007" s="1"/>
      <c r="E2007" s="1"/>
      <c r="F2007" s="1"/>
      <c r="G2007" s="1" t="s">
        <v>98</v>
      </c>
      <c r="H2007" s="2">
        <v>295</v>
      </c>
      <c r="I2007" s="1" t="s">
        <v>6284</v>
      </c>
      <c r="J2007" s="1" t="s">
        <v>6285</v>
      </c>
      <c r="K2007" s="1" t="s">
        <v>1178</v>
      </c>
      <c r="L2007" s="1" t="s">
        <v>6286</v>
      </c>
      <c r="M2007" s="6" t="str">
        <f>_xlfn.CONCAT(Table1[[#This Row],[Billing Street]], ", ", Table1[[#This Row],[Billing City]], ", ", Table1[[#This Row],[Billing State/Province]], ", ", Table1[[#This Row],[Billing Zip/Postal Code]])</f>
        <v>605 E 4th Ave, Red Springs, NC, 28377</v>
      </c>
    </row>
    <row r="2008" spans="1:13" ht="15.6" hidden="1" x14ac:dyDescent="0.3">
      <c r="A2008" s="1" t="s">
        <v>6287</v>
      </c>
      <c r="B2008" s="1"/>
      <c r="C2008" s="1"/>
      <c r="D2008" s="1"/>
      <c r="E2008" s="1"/>
      <c r="F2008" s="1"/>
      <c r="G2008" s="1" t="s">
        <v>98</v>
      </c>
      <c r="H2008" s="2">
        <v>5887</v>
      </c>
      <c r="I2008" s="1" t="s">
        <v>6288</v>
      </c>
      <c r="J2008" s="1" t="s">
        <v>5064</v>
      </c>
      <c r="K2008" s="1" t="s">
        <v>234</v>
      </c>
      <c r="L2008" s="1" t="s">
        <v>5065</v>
      </c>
      <c r="M2008" s="6" t="str">
        <f>_xlfn.CONCAT(Table1[[#This Row],[Billing Street]], ", ", Table1[[#This Row],[Billing City]], ", ", Table1[[#This Row],[Billing State/Province]], ", ", Table1[[#This Row],[Billing Zip/Postal Code]])</f>
        <v>676 Hwy 9 East, Bennettsville, SC, 29512</v>
      </c>
    </row>
    <row r="2009" spans="1:13" ht="15.6" hidden="1" x14ac:dyDescent="0.3">
      <c r="A2009" s="1" t="s">
        <v>6289</v>
      </c>
      <c r="B2009" s="1"/>
      <c r="C2009" s="1"/>
      <c r="D2009" s="1"/>
      <c r="E2009" s="1"/>
      <c r="F2009" s="1"/>
      <c r="G2009" s="1" t="s">
        <v>43</v>
      </c>
      <c r="H2009" s="2">
        <v>55</v>
      </c>
      <c r="I2009" s="1" t="s">
        <v>6290</v>
      </c>
      <c r="J2009" s="1" t="s">
        <v>6291</v>
      </c>
      <c r="K2009" s="1" t="s">
        <v>45</v>
      </c>
      <c r="L2009" s="1" t="s">
        <v>6292</v>
      </c>
      <c r="M2009" s="6" t="str">
        <f>_xlfn.CONCAT(Table1[[#This Row],[Billing Street]], ", ", Table1[[#This Row],[Billing City]], ", ", Table1[[#This Row],[Billing State/Province]], ", ", Table1[[#This Row],[Billing Zip/Postal Code]])</f>
        <v>4684 Bentwood Road, New Waterford, OH, 44445</v>
      </c>
    </row>
    <row r="2010" spans="1:13" ht="15.6" hidden="1" x14ac:dyDescent="0.3">
      <c r="A2010" s="1" t="s">
        <v>6293</v>
      </c>
      <c r="B2010" s="1"/>
      <c r="C2010" s="1"/>
      <c r="D2010" s="1"/>
      <c r="E2010" s="1"/>
      <c r="F2010" s="1"/>
      <c r="G2010" s="1" t="s">
        <v>43</v>
      </c>
      <c r="H2010" s="2">
        <v>337</v>
      </c>
      <c r="I2010" s="1" t="s">
        <v>6294</v>
      </c>
      <c r="J2010" s="1" t="s">
        <v>6295</v>
      </c>
      <c r="K2010" s="1" t="s">
        <v>275</v>
      </c>
      <c r="L2010" s="1" t="s">
        <v>6296</v>
      </c>
      <c r="M2010" s="6" t="str">
        <f>_xlfn.CONCAT(Table1[[#This Row],[Billing Street]], ", ", Table1[[#This Row],[Billing City]], ", ", Table1[[#This Row],[Billing State/Province]], ", ", Table1[[#This Row],[Billing Zip/Postal Code]])</f>
        <v>1 Hartwick Drive, Oneonta, ny, 13820</v>
      </c>
    </row>
    <row r="2011" spans="1:13" ht="15.6" hidden="1" x14ac:dyDescent="0.3">
      <c r="A2011" s="1" t="s">
        <v>6297</v>
      </c>
      <c r="B2011" s="1"/>
      <c r="C2011" s="1"/>
      <c r="D2011" s="1"/>
      <c r="E2011" s="1"/>
      <c r="F2011" s="1"/>
      <c r="G2011" s="1" t="s">
        <v>13</v>
      </c>
      <c r="H2011" s="2">
        <v>0</v>
      </c>
      <c r="I2011" s="1" t="s">
        <v>13</v>
      </c>
      <c r="J2011" s="1" t="s">
        <v>13</v>
      </c>
      <c r="K2011" s="1" t="s">
        <v>13</v>
      </c>
      <c r="L2011" s="1" t="s">
        <v>13</v>
      </c>
      <c r="M2011" s="6" t="str">
        <f>_xlfn.CONCAT(Table1[[#This Row],[Billing Street]], ", ", Table1[[#This Row],[Billing City]], ", ", Table1[[#This Row],[Billing State/Province]], ", ", Table1[[#This Row],[Billing Zip/Postal Code]])</f>
        <v xml:space="preserve">, , , </v>
      </c>
    </row>
    <row r="2012" spans="1:13" ht="15.6" hidden="1" x14ac:dyDescent="0.3">
      <c r="A2012" s="1" t="s">
        <v>6298</v>
      </c>
      <c r="B2012" s="1"/>
      <c r="C2012" s="1"/>
      <c r="D2012" s="1"/>
      <c r="E2012" s="1"/>
      <c r="F2012" s="1"/>
      <c r="G2012" s="1" t="s">
        <v>43</v>
      </c>
      <c r="H2012" s="2">
        <v>296</v>
      </c>
      <c r="I2012" s="1" t="s">
        <v>6299</v>
      </c>
      <c r="J2012" s="1" t="s">
        <v>6300</v>
      </c>
      <c r="K2012" s="1" t="s">
        <v>671</v>
      </c>
      <c r="L2012" s="1" t="s">
        <v>6301</v>
      </c>
      <c r="M2012" s="6" t="str">
        <f>_xlfn.CONCAT(Table1[[#This Row],[Billing Street]], ", ", Table1[[#This Row],[Billing City]], ", ", Table1[[#This Row],[Billing State/Province]], ", ", Table1[[#This Row],[Billing Zip/Postal Code]])</f>
        <v>4655 Croassroads Park Drive, Liverpool, NY, 13088</v>
      </c>
    </row>
    <row r="2013" spans="1:13" ht="15.6" hidden="1" x14ac:dyDescent="0.3">
      <c r="A2013" s="1" t="s">
        <v>6302</v>
      </c>
      <c r="B2013" s="1"/>
      <c r="C2013" s="1"/>
      <c r="D2013" s="1"/>
      <c r="E2013" s="1"/>
      <c r="F2013" s="1"/>
      <c r="G2013" s="1" t="s">
        <v>43</v>
      </c>
      <c r="H2013" s="2">
        <v>5776</v>
      </c>
      <c r="I2013" s="1" t="s">
        <v>6303</v>
      </c>
      <c r="J2013" s="1" t="s">
        <v>6304</v>
      </c>
      <c r="K2013" s="1" t="s">
        <v>781</v>
      </c>
      <c r="L2013" s="1" t="s">
        <v>6305</v>
      </c>
      <c r="M2013" s="6" t="str">
        <f>_xlfn.CONCAT(Table1[[#This Row],[Billing Street]], ", ", Table1[[#This Row],[Billing City]], ", ", Table1[[#This Row],[Billing State/Province]], ", ", Table1[[#This Row],[Billing Zip/Postal Code]])</f>
        <v>172 Armistice Blvd, Pawtucket, pa, 2860</v>
      </c>
    </row>
    <row r="2014" spans="1:13" ht="15.6" hidden="1" x14ac:dyDescent="0.3">
      <c r="A2014" s="1" t="s">
        <v>6306</v>
      </c>
      <c r="B2014" s="1"/>
      <c r="C2014" s="1"/>
      <c r="D2014" s="1"/>
      <c r="E2014" s="1"/>
      <c r="F2014" s="1"/>
      <c r="G2014" s="1" t="s">
        <v>13</v>
      </c>
      <c r="H2014" s="2">
        <v>0</v>
      </c>
      <c r="I2014" s="1" t="s">
        <v>13</v>
      </c>
      <c r="J2014" s="1" t="s">
        <v>13</v>
      </c>
      <c r="K2014" s="1" t="s">
        <v>13</v>
      </c>
      <c r="L2014" s="1" t="s">
        <v>13</v>
      </c>
      <c r="M2014" s="6" t="str">
        <f>_xlfn.CONCAT(Table1[[#This Row],[Billing Street]], ", ", Table1[[#This Row],[Billing City]], ", ", Table1[[#This Row],[Billing State/Province]], ", ", Table1[[#This Row],[Billing Zip/Postal Code]])</f>
        <v xml:space="preserve">, , , </v>
      </c>
    </row>
    <row r="2015" spans="1:13" ht="15.6" x14ac:dyDescent="0.3">
      <c r="A2015" s="1" t="s">
        <v>6307</v>
      </c>
      <c r="B2015" s="1"/>
      <c r="C2015" s="1"/>
      <c r="D2015" s="1"/>
      <c r="E2015" s="1"/>
      <c r="F2015" s="1"/>
      <c r="G2015" s="1" t="s">
        <v>24</v>
      </c>
      <c r="H2015" s="2">
        <v>56</v>
      </c>
      <c r="I2015" s="1" t="s">
        <v>6308</v>
      </c>
      <c r="J2015" s="1" t="s">
        <v>652</v>
      </c>
      <c r="K2015" s="1" t="s">
        <v>26</v>
      </c>
      <c r="L2015" s="1" t="s">
        <v>653</v>
      </c>
      <c r="M2015" s="6" t="str">
        <f>_xlfn.CONCAT(Table1[[#This Row],[Billing Street]], ", ", Table1[[#This Row],[Billing City]], ", ", Table1[[#This Row],[Billing State/Province]], ", ", Table1[[#This Row],[Billing Zip/Postal Code]])</f>
        <v>1141 Wallace Dr, Dothan, AL, 36303</v>
      </c>
    </row>
    <row r="2016" spans="1:13" ht="15.6" hidden="1" x14ac:dyDescent="0.3">
      <c r="A2016" s="1" t="s">
        <v>6309</v>
      </c>
      <c r="B2016" s="1"/>
      <c r="C2016" s="1"/>
      <c r="D2016" s="1"/>
      <c r="E2016" s="1"/>
      <c r="F2016" s="1"/>
      <c r="G2016" s="1" t="s">
        <v>13</v>
      </c>
      <c r="H2016" s="2">
        <v>0</v>
      </c>
      <c r="I2016" s="1" t="s">
        <v>13</v>
      </c>
      <c r="J2016" s="1" t="s">
        <v>13</v>
      </c>
      <c r="K2016" s="1" t="s">
        <v>13</v>
      </c>
      <c r="L2016" s="1" t="s">
        <v>13</v>
      </c>
      <c r="M2016" s="6" t="str">
        <f>_xlfn.CONCAT(Table1[[#This Row],[Billing Street]], ", ", Table1[[#This Row],[Billing City]], ", ", Table1[[#This Row],[Billing State/Province]], ", ", Table1[[#This Row],[Billing Zip/Postal Code]])</f>
        <v xml:space="preserve">, , , </v>
      </c>
    </row>
    <row r="2017" spans="1:13" ht="15.6" hidden="1" x14ac:dyDescent="0.3">
      <c r="A2017" s="1" t="s">
        <v>2938</v>
      </c>
      <c r="B2017" s="1"/>
      <c r="C2017" s="1"/>
      <c r="D2017" s="1"/>
      <c r="E2017" s="1"/>
      <c r="F2017" s="1"/>
      <c r="G2017" s="1" t="s">
        <v>13</v>
      </c>
      <c r="H2017" s="2">
        <v>0</v>
      </c>
      <c r="I2017" s="1" t="s">
        <v>13</v>
      </c>
      <c r="J2017" s="1" t="s">
        <v>13</v>
      </c>
      <c r="K2017" s="1" t="s">
        <v>13</v>
      </c>
      <c r="L2017" s="1" t="s">
        <v>13</v>
      </c>
      <c r="M2017" s="6" t="str">
        <f>_xlfn.CONCAT(Table1[[#This Row],[Billing Street]], ", ", Table1[[#This Row],[Billing City]], ", ", Table1[[#This Row],[Billing State/Province]], ", ", Table1[[#This Row],[Billing Zip/Postal Code]])</f>
        <v xml:space="preserve">, , , </v>
      </c>
    </row>
    <row r="2018" spans="1:13" ht="15.6" x14ac:dyDescent="0.3">
      <c r="A2018" s="1" t="s">
        <v>6310</v>
      </c>
      <c r="B2018" s="1"/>
      <c r="C2018" s="1"/>
      <c r="D2018" s="1"/>
      <c r="E2018" s="1"/>
      <c r="F2018" s="1"/>
      <c r="G2018" s="1" t="s">
        <v>24</v>
      </c>
      <c r="H2018" s="2">
        <v>5988</v>
      </c>
      <c r="I2018" s="1" t="s">
        <v>6311</v>
      </c>
      <c r="J2018" s="1" t="s">
        <v>3184</v>
      </c>
      <c r="K2018" s="1" t="s">
        <v>31</v>
      </c>
      <c r="L2018" s="1" t="s">
        <v>6312</v>
      </c>
      <c r="M2018" s="6" t="str">
        <f>_xlfn.CONCAT(Table1[[#This Row],[Billing Street]], ", ", Table1[[#This Row],[Billing City]], ", ", Table1[[#This Row],[Billing State/Province]], ", ", Table1[[#This Row],[Billing Zip/Postal Code]])</f>
        <v>1001 College hill Road, Oxford, MS, 38655</v>
      </c>
    </row>
    <row r="2019" spans="1:13" ht="15.6" hidden="1" x14ac:dyDescent="0.3">
      <c r="A2019" s="1" t="s">
        <v>6313</v>
      </c>
      <c r="B2019" s="1"/>
      <c r="C2019" s="1"/>
      <c r="D2019" s="1"/>
      <c r="E2019" s="1"/>
      <c r="F2019" s="1"/>
      <c r="G2019" s="1" t="s">
        <v>13</v>
      </c>
      <c r="H2019" s="2">
        <v>0</v>
      </c>
      <c r="I2019" s="1" t="s">
        <v>13</v>
      </c>
      <c r="J2019" s="1" t="s">
        <v>13</v>
      </c>
      <c r="K2019" s="1" t="s">
        <v>13</v>
      </c>
      <c r="L2019" s="1" t="s">
        <v>13</v>
      </c>
      <c r="M2019" s="6" t="str">
        <f>_xlfn.CONCAT(Table1[[#This Row],[Billing Street]], ", ", Table1[[#This Row],[Billing City]], ", ", Table1[[#This Row],[Billing State/Province]], ", ", Table1[[#This Row],[Billing Zip/Postal Code]])</f>
        <v xml:space="preserve">, , , </v>
      </c>
    </row>
    <row r="2020" spans="1:13" ht="15.6" hidden="1" x14ac:dyDescent="0.3">
      <c r="A2020" s="1" t="s">
        <v>6314</v>
      </c>
      <c r="B2020" s="1"/>
      <c r="C2020" s="1"/>
      <c r="D2020" s="1"/>
      <c r="E2020" s="1"/>
      <c r="F2020" s="1"/>
      <c r="G2020" s="1" t="s">
        <v>43</v>
      </c>
      <c r="H2020" s="2">
        <v>268</v>
      </c>
      <c r="I2020" s="1" t="s">
        <v>6315</v>
      </c>
      <c r="J2020" s="1" t="s">
        <v>261</v>
      </c>
      <c r="K2020" s="1" t="s">
        <v>237</v>
      </c>
      <c r="L2020" s="1" t="s">
        <v>1337</v>
      </c>
      <c r="M2020" s="6" t="str">
        <f>_xlfn.CONCAT(Table1[[#This Row],[Billing Street]], ", ", Table1[[#This Row],[Billing City]], ", ", Table1[[#This Row],[Billing State/Province]], ", ", Table1[[#This Row],[Billing Zip/Postal Code]])</f>
        <v>3719 West 96th Street, Indianapolis, IN, 46268</v>
      </c>
    </row>
    <row r="2021" spans="1:13" ht="15.6" hidden="1" x14ac:dyDescent="0.3">
      <c r="A2021" s="1" t="s">
        <v>6316</v>
      </c>
      <c r="B2021" s="1"/>
      <c r="C2021" s="1"/>
      <c r="D2021" s="1"/>
      <c r="E2021" s="1"/>
      <c r="F2021" s="1"/>
      <c r="G2021" s="1" t="s">
        <v>43</v>
      </c>
      <c r="H2021" s="2">
        <v>339</v>
      </c>
      <c r="I2021" s="1" t="s">
        <v>6317</v>
      </c>
      <c r="J2021" s="1" t="s">
        <v>780</v>
      </c>
      <c r="K2021" s="1" t="s">
        <v>241</v>
      </c>
      <c r="L2021" s="1" t="s">
        <v>6318</v>
      </c>
      <c r="M2021" s="6" t="str">
        <f>_xlfn.CONCAT(Table1[[#This Row],[Billing Street]], ", ", Table1[[#This Row],[Billing City]], ", ", Table1[[#This Row],[Billing State/Province]], ", ", Table1[[#This Row],[Billing Zip/Postal Code]])</f>
        <v>811 Ivy Hill Road, Philadelphia, PA, 19150</v>
      </c>
    </row>
    <row r="2022" spans="1:13" ht="15.6" hidden="1" x14ac:dyDescent="0.3">
      <c r="A2022" s="1" t="s">
        <v>6319</v>
      </c>
      <c r="B2022" s="1"/>
      <c r="C2022" s="1"/>
      <c r="D2022" s="1"/>
      <c r="E2022" s="1"/>
      <c r="F2022" s="1"/>
      <c r="G2022" s="1" t="s">
        <v>205</v>
      </c>
      <c r="H2022" s="2">
        <v>7481</v>
      </c>
      <c r="I2022" s="1" t="s">
        <v>6320</v>
      </c>
      <c r="J2022" s="1" t="s">
        <v>6321</v>
      </c>
      <c r="K2022" s="1" t="s">
        <v>479</v>
      </c>
      <c r="L2022" s="1" t="s">
        <v>13</v>
      </c>
      <c r="M2022" s="6" t="str">
        <f>_xlfn.CONCAT(Table1[[#This Row],[Billing Street]], ", ", Table1[[#This Row],[Billing City]], ", ", Table1[[#This Row],[Billing State/Province]], ", ", Table1[[#This Row],[Billing Zip/Postal Code]])</f>
        <v xml:space="preserve">3206 Spot Road, DAteland, AZ, </v>
      </c>
    </row>
    <row r="2023" spans="1:13" ht="15.6" hidden="1" x14ac:dyDescent="0.3">
      <c r="A2023" s="1" t="s">
        <v>6322</v>
      </c>
      <c r="B2023" s="1"/>
      <c r="C2023" s="1"/>
      <c r="D2023" s="1"/>
      <c r="E2023" s="1"/>
      <c r="F2023" s="1"/>
      <c r="G2023" s="1" t="s">
        <v>8</v>
      </c>
      <c r="H2023" s="2">
        <v>538</v>
      </c>
      <c r="I2023" s="1" t="s">
        <v>6323</v>
      </c>
      <c r="J2023" s="1" t="s">
        <v>6100</v>
      </c>
      <c r="K2023" s="1" t="s">
        <v>51</v>
      </c>
      <c r="L2023" s="1" t="s">
        <v>6324</v>
      </c>
      <c r="M2023" s="6" t="str">
        <f>_xlfn.CONCAT(Table1[[#This Row],[Billing Street]], ", ", Table1[[#This Row],[Billing City]], ", ", Table1[[#This Row],[Billing State/Province]], ", ", Table1[[#This Row],[Billing Zip/Postal Code]])</f>
        <v>1718 Dry Creek Way Suite 101, San Antonio, TX, 78259</v>
      </c>
    </row>
    <row r="2024" spans="1:13" ht="15.6" hidden="1" x14ac:dyDescent="0.3">
      <c r="A2024" s="1" t="s">
        <v>6325</v>
      </c>
      <c r="B2024" s="1"/>
      <c r="C2024" s="1"/>
      <c r="D2024" s="1"/>
      <c r="E2024" s="1"/>
      <c r="F2024" s="1"/>
      <c r="G2024" s="1" t="s">
        <v>205</v>
      </c>
      <c r="H2024" s="2">
        <v>18</v>
      </c>
      <c r="I2024" s="1" t="s">
        <v>6326</v>
      </c>
      <c r="J2024" s="1" t="s">
        <v>6327</v>
      </c>
      <c r="K2024" s="1" t="s">
        <v>479</v>
      </c>
      <c r="L2024" s="1" t="s">
        <v>6328</v>
      </c>
      <c r="M2024" s="6" t="str">
        <f>_xlfn.CONCAT(Table1[[#This Row],[Billing Street]], ", ", Table1[[#This Row],[Billing City]], ", ", Table1[[#This Row],[Billing State/Province]], ", ", Table1[[#This Row],[Billing Zip/Postal Code]])</f>
        <v>14185 Falcon Street, Luke AFB, AZ, 85309</v>
      </c>
    </row>
    <row r="2025" spans="1:13" ht="15.6" hidden="1" x14ac:dyDescent="0.3">
      <c r="A2025" s="1" t="s">
        <v>6329</v>
      </c>
      <c r="B2025" s="1"/>
      <c r="C2025" s="1"/>
      <c r="D2025" s="1"/>
      <c r="E2025" s="1"/>
      <c r="F2025" s="1"/>
      <c r="G2025" s="1" t="s">
        <v>8</v>
      </c>
      <c r="H2025" s="2">
        <v>407</v>
      </c>
      <c r="I2025" s="1" t="s">
        <v>6330</v>
      </c>
      <c r="J2025" s="1" t="s">
        <v>6331</v>
      </c>
      <c r="K2025" s="1" t="s">
        <v>51</v>
      </c>
      <c r="L2025" s="1" t="s">
        <v>6332</v>
      </c>
      <c r="M2025" s="6" t="str">
        <f>_xlfn.CONCAT(Table1[[#This Row],[Billing Street]], ", ", Table1[[#This Row],[Billing City]], ", ", Table1[[#This Row],[Billing State/Province]], ", ", Table1[[#This Row],[Billing Zip/Postal Code]])</f>
        <v>100 Martin Luther King JR Street, Diboll, TX, 75941</v>
      </c>
    </row>
    <row r="2026" spans="1:13" ht="15.6" hidden="1" x14ac:dyDescent="0.3">
      <c r="A2026" s="1" t="s">
        <v>6333</v>
      </c>
      <c r="B2026" s="1"/>
      <c r="C2026" s="1"/>
      <c r="D2026" s="1"/>
      <c r="E2026" s="1"/>
      <c r="F2026" s="1"/>
      <c r="G2026" s="1" t="s">
        <v>8</v>
      </c>
      <c r="H2026" s="2">
        <v>65</v>
      </c>
      <c r="I2026" s="1" t="s">
        <v>6334</v>
      </c>
      <c r="J2026" s="1" t="s">
        <v>6237</v>
      </c>
      <c r="K2026" s="1" t="s">
        <v>147</v>
      </c>
      <c r="L2026" s="1" t="s">
        <v>6335</v>
      </c>
      <c r="M2026" s="6" t="str">
        <f>_xlfn.CONCAT(Table1[[#This Row],[Billing Street]], ", ", Table1[[#This Row],[Billing City]], ", ", Table1[[#This Row],[Billing State/Province]], ", ", Table1[[#This Row],[Billing Zip/Postal Code]])</f>
        <v>1709 Utica Square Suite 240, Tulsa, OK, 74114</v>
      </c>
    </row>
    <row r="2027" spans="1:13" ht="15.6" hidden="1" x14ac:dyDescent="0.3">
      <c r="A2027" s="1" t="s">
        <v>6336</v>
      </c>
      <c r="B2027" s="1"/>
      <c r="C2027" s="1"/>
      <c r="D2027" s="1"/>
      <c r="E2027" s="1"/>
      <c r="F2027" s="1"/>
      <c r="G2027" s="1" t="s">
        <v>8</v>
      </c>
      <c r="H2027" s="2">
        <v>522</v>
      </c>
      <c r="I2027" s="1" t="s">
        <v>6337</v>
      </c>
      <c r="J2027" s="1" t="s">
        <v>6338</v>
      </c>
      <c r="K2027" s="1" t="s">
        <v>51</v>
      </c>
      <c r="L2027" s="1" t="s">
        <v>6339</v>
      </c>
      <c r="M2027" s="6" t="str">
        <f>_xlfn.CONCAT(Table1[[#This Row],[Billing Street]], ", ", Table1[[#This Row],[Billing City]], ", ", Table1[[#This Row],[Billing State/Province]], ", ", Table1[[#This Row],[Billing Zip/Postal Code]])</f>
        <v>4211 Chance Lane, Rosharon, TX, 77583</v>
      </c>
    </row>
    <row r="2028" spans="1:13" ht="15.6" hidden="1" x14ac:dyDescent="0.3">
      <c r="A2028" s="1" t="s">
        <v>6340</v>
      </c>
      <c r="B2028" s="1"/>
      <c r="C2028" s="1"/>
      <c r="D2028" s="1"/>
      <c r="E2028" s="1"/>
      <c r="F2028" s="1"/>
      <c r="G2028" s="1" t="s">
        <v>8</v>
      </c>
      <c r="H2028" s="2">
        <v>6528</v>
      </c>
      <c r="I2028" s="1" t="s">
        <v>13</v>
      </c>
      <c r="J2028" s="1" t="s">
        <v>13</v>
      </c>
      <c r="K2028" s="1" t="s">
        <v>51</v>
      </c>
      <c r="L2028" s="1" t="s">
        <v>13</v>
      </c>
      <c r="M2028" s="6" t="str">
        <f>_xlfn.CONCAT(Table1[[#This Row],[Billing Street]], ", ", Table1[[#This Row],[Billing City]], ", ", Table1[[#This Row],[Billing State/Province]], ", ", Table1[[#This Row],[Billing Zip/Postal Code]])</f>
        <v xml:space="preserve">, , TX, </v>
      </c>
    </row>
    <row r="2029" spans="1:13" ht="15.6" hidden="1" x14ac:dyDescent="0.3">
      <c r="A2029" s="1" t="s">
        <v>6341</v>
      </c>
      <c r="B2029" s="1"/>
      <c r="C2029" s="1"/>
      <c r="D2029" s="1"/>
      <c r="E2029" s="1"/>
      <c r="F2029" s="1"/>
      <c r="G2029" s="1" t="s">
        <v>205</v>
      </c>
      <c r="H2029" s="2">
        <v>7</v>
      </c>
      <c r="I2029" s="1" t="s">
        <v>6342</v>
      </c>
      <c r="J2029" s="1" t="s">
        <v>6343</v>
      </c>
      <c r="K2029" s="1" t="s">
        <v>479</v>
      </c>
      <c r="L2029" s="1" t="s">
        <v>6344</v>
      </c>
      <c r="M2029" s="6" t="str">
        <f>_xlfn.CONCAT(Table1[[#This Row],[Billing Street]], ", ", Table1[[#This Row],[Billing City]], ", ", Table1[[#This Row],[Billing State/Province]], ", ", Table1[[#This Row],[Billing Zip/Postal Code]])</f>
        <v>5005 W Melody Ln, Laveen, AZ, 85339</v>
      </c>
    </row>
    <row r="2030" spans="1:13" ht="15.6" hidden="1" x14ac:dyDescent="0.3">
      <c r="A2030" s="1" t="s">
        <v>6345</v>
      </c>
      <c r="B2030" s="1"/>
      <c r="C2030" s="1"/>
      <c r="D2030" s="1"/>
      <c r="E2030" s="1"/>
      <c r="F2030" s="1"/>
      <c r="G2030" s="1" t="s">
        <v>54</v>
      </c>
      <c r="H2030" s="2">
        <v>17</v>
      </c>
      <c r="I2030" s="1" t="s">
        <v>6346</v>
      </c>
      <c r="J2030" s="1" t="s">
        <v>6165</v>
      </c>
      <c r="K2030" s="1" t="s">
        <v>57</v>
      </c>
      <c r="L2030" s="1" t="s">
        <v>6166</v>
      </c>
      <c r="M2030" s="6" t="str">
        <f>_xlfn.CONCAT(Table1[[#This Row],[Billing Street]], ", ", Table1[[#This Row],[Billing City]], ", ", Table1[[#This Row],[Billing State/Province]], ", ", Table1[[#This Row],[Billing Zip/Postal Code]])</f>
        <v>2683 lime avenue, Signal Hill, CA, 90755</v>
      </c>
    </row>
    <row r="2031" spans="1:13" ht="15.6" hidden="1" x14ac:dyDescent="0.3">
      <c r="A2031" s="1" t="s">
        <v>6347</v>
      </c>
      <c r="B2031" s="1"/>
      <c r="C2031" s="1"/>
      <c r="D2031" s="1"/>
      <c r="E2031" s="1"/>
      <c r="F2031" s="1"/>
      <c r="G2031" s="1" t="s">
        <v>8</v>
      </c>
      <c r="H2031" s="2">
        <v>543</v>
      </c>
      <c r="I2031" s="1" t="s">
        <v>6348</v>
      </c>
      <c r="J2031" s="1" t="s">
        <v>6349</v>
      </c>
      <c r="K2031" s="1" t="s">
        <v>208</v>
      </c>
      <c r="L2031" s="1" t="s">
        <v>6350</v>
      </c>
      <c r="M2031" s="6" t="str">
        <f>_xlfn.CONCAT(Table1[[#This Row],[Billing Street]], ", ", Table1[[#This Row],[Billing City]], ", ", Table1[[#This Row],[Billing State/Province]], ", ", Table1[[#This Row],[Billing Zip/Postal Code]])</f>
        <v>PO Box 15, Eastlake, CO, 80614</v>
      </c>
    </row>
    <row r="2032" spans="1:13" ht="15.6" hidden="1" x14ac:dyDescent="0.3">
      <c r="A2032" s="1" t="s">
        <v>6351</v>
      </c>
      <c r="B2032" s="1"/>
      <c r="C2032" s="1"/>
      <c r="D2032" s="1"/>
      <c r="E2032" s="1"/>
      <c r="F2032" s="1"/>
      <c r="G2032" s="1" t="s">
        <v>8</v>
      </c>
      <c r="H2032" s="2">
        <v>476</v>
      </c>
      <c r="I2032" s="1" t="s">
        <v>6352</v>
      </c>
      <c r="J2032" s="1" t="s">
        <v>6353</v>
      </c>
      <c r="K2032" s="1" t="s">
        <v>51</v>
      </c>
      <c r="L2032" s="1" t="s">
        <v>6354</v>
      </c>
      <c r="M2032" s="6" t="str">
        <f>_xlfn.CONCAT(Table1[[#This Row],[Billing Street]], ", ", Table1[[#This Row],[Billing City]], ", ", Table1[[#This Row],[Billing State/Province]], ", ", Table1[[#This Row],[Billing Zip/Postal Code]])</f>
        <v>6 Cohasset Place, Tomball, TX, 77375</v>
      </c>
    </row>
    <row r="2033" spans="1:13" ht="15.6" hidden="1" x14ac:dyDescent="0.3">
      <c r="A2033" s="1" t="s">
        <v>6355</v>
      </c>
      <c r="B2033" s="1"/>
      <c r="C2033" s="1"/>
      <c r="D2033" s="1"/>
      <c r="E2033" s="1"/>
      <c r="F2033" s="1"/>
      <c r="G2033" s="1" t="s">
        <v>8</v>
      </c>
      <c r="H2033" s="2">
        <v>305</v>
      </c>
      <c r="I2033" s="1" t="s">
        <v>6356</v>
      </c>
      <c r="J2033" s="1" t="s">
        <v>6357</v>
      </c>
      <c r="K2033" s="1" t="s">
        <v>51</v>
      </c>
      <c r="L2033" s="1" t="s">
        <v>6358</v>
      </c>
      <c r="M2033" s="6" t="str">
        <f>_xlfn.CONCAT(Table1[[#This Row],[Billing Street]], ", ", Table1[[#This Row],[Billing City]], ", ", Table1[[#This Row],[Billing State/Province]], ", ", Table1[[#This Row],[Billing Zip/Postal Code]])</f>
        <v>3131 E Hwy 199, springtown, TX, 76082</v>
      </c>
    </row>
    <row r="2034" spans="1:13" ht="15.6" hidden="1" x14ac:dyDescent="0.3">
      <c r="A2034" s="1" t="s">
        <v>6359</v>
      </c>
      <c r="B2034" s="1"/>
      <c r="C2034" s="1"/>
      <c r="D2034" s="1"/>
      <c r="E2034" s="1"/>
      <c r="F2034" s="1"/>
      <c r="G2034" s="1" t="s">
        <v>205</v>
      </c>
      <c r="H2034" s="2">
        <v>68</v>
      </c>
      <c r="I2034" s="1" t="s">
        <v>6360</v>
      </c>
      <c r="J2034" s="1" t="s">
        <v>1463</v>
      </c>
      <c r="K2034" s="1" t="s">
        <v>479</v>
      </c>
      <c r="L2034" s="1" t="s">
        <v>6361</v>
      </c>
      <c r="M2034" s="6" t="str">
        <f>_xlfn.CONCAT(Table1[[#This Row],[Billing Street]], ", ", Table1[[#This Row],[Billing City]], ", ", Table1[[#This Row],[Billing State/Province]], ", ", Table1[[#This Row],[Billing Zip/Postal Code]])</f>
        <v>2200 West Doll Baby Ranch Road, Payson, AZ, 85541</v>
      </c>
    </row>
    <row r="2035" spans="1:13" ht="15.6" hidden="1" x14ac:dyDescent="0.3">
      <c r="A2035" s="1" t="s">
        <v>6362</v>
      </c>
      <c r="B2035" s="1"/>
      <c r="C2035" s="1"/>
      <c r="D2035" s="1"/>
      <c r="E2035" s="1"/>
      <c r="F2035" s="1"/>
      <c r="G2035" s="1" t="s">
        <v>54</v>
      </c>
      <c r="H2035" s="2">
        <v>24</v>
      </c>
      <c r="I2035" s="1" t="s">
        <v>6363</v>
      </c>
      <c r="J2035" s="1" t="s">
        <v>6364</v>
      </c>
      <c r="K2035" s="1" t="s">
        <v>57</v>
      </c>
      <c r="L2035" s="1" t="s">
        <v>6365</v>
      </c>
      <c r="M2035" s="6" t="str">
        <f>_xlfn.CONCAT(Table1[[#This Row],[Billing Street]], ", ", Table1[[#This Row],[Billing City]], ", ", Table1[[#This Row],[Billing State/Province]], ", ", Table1[[#This Row],[Billing Zip/Postal Code]])</f>
        <v>9314 Eton Avenue, Chatsworth, CA, 91311</v>
      </c>
    </row>
    <row r="2036" spans="1:13" ht="15.6" hidden="1" x14ac:dyDescent="0.3">
      <c r="A2036" s="1" t="s">
        <v>6366</v>
      </c>
      <c r="B2036" s="1"/>
      <c r="C2036" s="1"/>
      <c r="D2036" s="1"/>
      <c r="E2036" s="1"/>
      <c r="F2036" s="1"/>
      <c r="G2036" s="1" t="s">
        <v>8</v>
      </c>
      <c r="H2036" s="2">
        <v>162</v>
      </c>
      <c r="I2036" s="1" t="s">
        <v>6367</v>
      </c>
      <c r="J2036" s="1" t="s">
        <v>1496</v>
      </c>
      <c r="K2036" s="1" t="s">
        <v>147</v>
      </c>
      <c r="L2036" s="1" t="s">
        <v>6368</v>
      </c>
      <c r="M2036" s="6" t="str">
        <f>_xlfn.CONCAT(Table1[[#This Row],[Billing Street]], ", ", Table1[[#This Row],[Billing City]], ", ", Table1[[#This Row],[Billing State/Province]], ", ", Table1[[#This Row],[Billing Zip/Postal Code]])</f>
        <v>330 W Gray Street Suite 135, Norman, OK, 73069</v>
      </c>
    </row>
    <row r="2037" spans="1:13" ht="15.6" hidden="1" x14ac:dyDescent="0.3">
      <c r="A2037" s="1" t="s">
        <v>6369</v>
      </c>
      <c r="B2037" s="1"/>
      <c r="C2037" s="1"/>
      <c r="D2037" s="1"/>
      <c r="E2037" s="1"/>
      <c r="F2037" s="1"/>
      <c r="G2037" s="1" t="s">
        <v>54</v>
      </c>
      <c r="H2037" s="2">
        <v>348</v>
      </c>
      <c r="I2037" s="1" t="s">
        <v>6370</v>
      </c>
      <c r="J2037" s="1" t="s">
        <v>6371</v>
      </c>
      <c r="K2037" s="1" t="s">
        <v>57</v>
      </c>
      <c r="L2037" s="1" t="s">
        <v>6372</v>
      </c>
      <c r="M2037" s="6" t="str">
        <f>_xlfn.CONCAT(Table1[[#This Row],[Billing Street]], ", ", Table1[[#This Row],[Billing City]], ", ", Table1[[#This Row],[Billing State/Province]], ", ", Table1[[#This Row],[Billing Zip/Postal Code]])</f>
        <v>1333 Second Street, Berkeley, CA, 94117</v>
      </c>
    </row>
    <row r="2038" spans="1:13" ht="15.6" hidden="1" x14ac:dyDescent="0.3">
      <c r="A2038" s="1" t="s">
        <v>6373</v>
      </c>
      <c r="B2038" s="1"/>
      <c r="C2038" s="1"/>
      <c r="D2038" s="1"/>
      <c r="E2038" s="1"/>
      <c r="F2038" s="1"/>
      <c r="G2038" s="1" t="s">
        <v>205</v>
      </c>
      <c r="H2038" s="2">
        <v>487</v>
      </c>
      <c r="I2038" s="1" t="s">
        <v>6374</v>
      </c>
      <c r="J2038" s="1" t="s">
        <v>6375</v>
      </c>
      <c r="K2038" s="1" t="s">
        <v>472</v>
      </c>
      <c r="L2038" s="1" t="s">
        <v>6376</v>
      </c>
      <c r="M2038" s="6" t="str">
        <f>_xlfn.CONCAT(Table1[[#This Row],[Billing Street]], ", ", Table1[[#This Row],[Billing City]], ", ", Table1[[#This Row],[Billing State/Province]], ", ", Table1[[#This Row],[Billing Zip/Postal Code]])</f>
        <v>441 W Powerline Road, Heber City, UT, 84032</v>
      </c>
    </row>
    <row r="2039" spans="1:13" ht="15.6" hidden="1" x14ac:dyDescent="0.3">
      <c r="A2039" s="1" t="s">
        <v>6377</v>
      </c>
      <c r="B2039" s="1"/>
      <c r="C2039" s="1"/>
      <c r="D2039" s="1"/>
      <c r="E2039" s="1"/>
      <c r="F2039" s="1"/>
      <c r="G2039" s="1" t="s">
        <v>8</v>
      </c>
      <c r="H2039" s="2">
        <v>91</v>
      </c>
      <c r="I2039" s="1" t="s">
        <v>6378</v>
      </c>
      <c r="J2039" s="1" t="s">
        <v>6379</v>
      </c>
      <c r="K2039" s="1" t="s">
        <v>165</v>
      </c>
      <c r="L2039" s="1" t="s">
        <v>6380</v>
      </c>
      <c r="M2039" s="6" t="str">
        <f>_xlfn.CONCAT(Table1[[#This Row],[Billing Street]], ", ", Table1[[#This Row],[Billing City]], ", ", Table1[[#This Row],[Billing State/Province]], ", ", Table1[[#This Row],[Billing Zip/Postal Code]])</f>
        <v>303 SW 18th street suite #7, Bentonville, AR, 72172</v>
      </c>
    </row>
    <row r="2040" spans="1:13" ht="15.6" hidden="1" x14ac:dyDescent="0.3">
      <c r="A2040" s="1" t="s">
        <v>6381</v>
      </c>
      <c r="B2040" s="1"/>
      <c r="C2040" s="1"/>
      <c r="D2040" s="1"/>
      <c r="E2040" s="1"/>
      <c r="F2040" s="1"/>
      <c r="G2040" s="1" t="s">
        <v>54</v>
      </c>
      <c r="H2040" s="2">
        <v>4</v>
      </c>
      <c r="I2040" s="1" t="s">
        <v>6382</v>
      </c>
      <c r="J2040" s="1" t="s">
        <v>6383</v>
      </c>
      <c r="K2040" s="1" t="s">
        <v>57</v>
      </c>
      <c r="L2040" s="1" t="s">
        <v>1448</v>
      </c>
      <c r="M2040" s="6" t="str">
        <f>_xlfn.CONCAT(Table1[[#This Row],[Billing Street]], ", ", Table1[[#This Row],[Billing City]], ", ", Table1[[#This Row],[Billing State/Province]], ", ", Table1[[#This Row],[Billing Zip/Postal Code]])</f>
        <v>19392 Rupert Street, Palm Springs, CA, 90058</v>
      </c>
    </row>
    <row r="2041" spans="1:13" ht="15.6" hidden="1" x14ac:dyDescent="0.3">
      <c r="A2041" s="1" t="s">
        <v>6384</v>
      </c>
      <c r="B2041" s="1"/>
      <c r="C2041" s="1"/>
      <c r="D2041" s="1"/>
      <c r="E2041" s="1"/>
      <c r="F2041" s="1"/>
      <c r="G2041" s="1" t="s">
        <v>54</v>
      </c>
      <c r="H2041" s="2">
        <v>10</v>
      </c>
      <c r="I2041" s="1" t="s">
        <v>6385</v>
      </c>
      <c r="J2041" s="1" t="s">
        <v>5199</v>
      </c>
      <c r="K2041" s="1" t="s">
        <v>57</v>
      </c>
      <c r="L2041" s="1" t="s">
        <v>6386</v>
      </c>
      <c r="M2041" s="6" t="str">
        <f>_xlfn.CONCAT(Table1[[#This Row],[Billing Street]], ", ", Table1[[#This Row],[Billing City]], ", ", Table1[[#This Row],[Billing State/Province]], ", ", Table1[[#This Row],[Billing Zip/Postal Code]])</f>
        <v>801 N Lake St, Burbank, CA, 91502</v>
      </c>
    </row>
    <row r="2042" spans="1:13" ht="15.6" hidden="1" x14ac:dyDescent="0.3">
      <c r="A2042" s="1" t="s">
        <v>6387</v>
      </c>
      <c r="B2042" s="1"/>
      <c r="C2042" s="1"/>
      <c r="D2042" s="1"/>
      <c r="E2042" s="1"/>
      <c r="F2042" s="1"/>
      <c r="G2042" s="1" t="s">
        <v>205</v>
      </c>
      <c r="H2042" s="2">
        <v>110</v>
      </c>
      <c r="I2042" s="1" t="s">
        <v>6388</v>
      </c>
      <c r="J2042" s="1" t="s">
        <v>3006</v>
      </c>
      <c r="K2042" s="1" t="s">
        <v>479</v>
      </c>
      <c r="L2042" s="1" t="s">
        <v>6389</v>
      </c>
      <c r="M2042" s="6" t="str">
        <f>_xlfn.CONCAT(Table1[[#This Row],[Billing Street]], ", ", Table1[[#This Row],[Billing City]], ", ", Table1[[#This Row],[Billing State/Province]], ", ", Table1[[#This Row],[Billing Zip/Postal Code]])</f>
        <v>1300 East Apache Park Place, Tucson, AZ, 85714</v>
      </c>
    </row>
    <row r="2043" spans="1:13" ht="15.6" hidden="1" x14ac:dyDescent="0.3">
      <c r="A2043" s="1" t="s">
        <v>6390</v>
      </c>
      <c r="B2043" s="1"/>
      <c r="C2043" s="1"/>
      <c r="D2043" s="1"/>
      <c r="E2043" s="1"/>
      <c r="F2043" s="1"/>
      <c r="G2043" s="1" t="s">
        <v>54</v>
      </c>
      <c r="H2043" s="2">
        <v>289</v>
      </c>
      <c r="I2043" s="1" t="s">
        <v>6391</v>
      </c>
      <c r="J2043" s="1" t="s">
        <v>6392</v>
      </c>
      <c r="K2043" s="1" t="s">
        <v>57</v>
      </c>
      <c r="L2043" s="1" t="s">
        <v>6393</v>
      </c>
      <c r="M2043" s="6" t="str">
        <f>_xlfn.CONCAT(Table1[[#This Row],[Billing Street]], ", ", Table1[[#This Row],[Billing City]], ", ", Table1[[#This Row],[Billing State/Province]], ", ", Table1[[#This Row],[Billing Zip/Postal Code]])</f>
        <v>24 A Frazine Road, Modesto, CA, 95357</v>
      </c>
    </row>
    <row r="2044" spans="1:13" ht="15.6" hidden="1" x14ac:dyDescent="0.3">
      <c r="A2044" s="1" t="s">
        <v>6394</v>
      </c>
      <c r="B2044" s="1"/>
      <c r="C2044" s="1"/>
      <c r="D2044" s="1"/>
      <c r="E2044" s="1"/>
      <c r="F2044" s="1"/>
      <c r="G2044" s="1" t="s">
        <v>205</v>
      </c>
      <c r="H2044" s="2">
        <v>7481</v>
      </c>
      <c r="I2044" s="1" t="s">
        <v>13</v>
      </c>
      <c r="J2044" s="1" t="s">
        <v>6395</v>
      </c>
      <c r="K2044" s="1" t="s">
        <v>479</v>
      </c>
      <c r="L2044" s="1" t="s">
        <v>13</v>
      </c>
      <c r="M2044" s="6" t="str">
        <f>_xlfn.CONCAT(Table1[[#This Row],[Billing Street]], ", ", Table1[[#This Row],[Billing City]], ", ", Table1[[#This Row],[Billing State/Province]], ", ", Table1[[#This Row],[Billing Zip/Postal Code]])</f>
        <v xml:space="preserve">, Sells, AZ, </v>
      </c>
    </row>
    <row r="2045" spans="1:13" ht="15.6" hidden="1" x14ac:dyDescent="0.3">
      <c r="A2045" s="1" t="s">
        <v>6396</v>
      </c>
      <c r="B2045" s="1"/>
      <c r="C2045" s="1"/>
      <c r="D2045" s="1"/>
      <c r="E2045" s="1"/>
      <c r="F2045" s="1"/>
      <c r="G2045" s="1" t="s">
        <v>54</v>
      </c>
      <c r="H2045" s="2">
        <v>26</v>
      </c>
      <c r="I2045" s="1" t="s">
        <v>6397</v>
      </c>
      <c r="J2045" s="1" t="s">
        <v>985</v>
      </c>
      <c r="K2045" s="1" t="s">
        <v>57</v>
      </c>
      <c r="L2045" s="1" t="s">
        <v>5454</v>
      </c>
      <c r="M2045" s="6" t="str">
        <f>_xlfn.CONCAT(Table1[[#This Row],[Billing Street]], ", ", Table1[[#This Row],[Billing City]], ", ", Table1[[#This Row],[Billing State/Province]], ", ", Table1[[#This Row],[Billing Zip/Postal Code]])</f>
        <v>3601 East LaPalma Ave., Anaheim, CA, 92806</v>
      </c>
    </row>
    <row r="2046" spans="1:13" ht="15.6" hidden="1" x14ac:dyDescent="0.3">
      <c r="A2046" s="1" t="s">
        <v>6398</v>
      </c>
      <c r="B2046" s="1"/>
      <c r="C2046" s="1"/>
      <c r="D2046" s="1"/>
      <c r="E2046" s="1"/>
      <c r="F2046" s="1"/>
      <c r="G2046" s="1" t="s">
        <v>54</v>
      </c>
      <c r="H2046" s="2">
        <v>924</v>
      </c>
      <c r="I2046" s="1" t="s">
        <v>6399</v>
      </c>
      <c r="J2046" s="1" t="s">
        <v>6400</v>
      </c>
      <c r="K2046" s="1" t="s">
        <v>405</v>
      </c>
      <c r="L2046" s="1" t="s">
        <v>6401</v>
      </c>
      <c r="M2046" s="6" t="str">
        <f>_xlfn.CONCAT(Table1[[#This Row],[Billing Street]], ", ", Table1[[#This Row],[Billing City]], ", ", Table1[[#This Row],[Billing State/Province]], ", ", Table1[[#This Row],[Billing Zip/Postal Code]])</f>
        <v>9433 Dowcor LN SW, Tumwater, WA, 98511</v>
      </c>
    </row>
    <row r="2047" spans="1:13" ht="15.6" hidden="1" x14ac:dyDescent="0.3">
      <c r="A2047" s="1" t="s">
        <v>6402</v>
      </c>
      <c r="B2047" s="1"/>
      <c r="C2047" s="1"/>
      <c r="D2047" s="1"/>
      <c r="E2047" s="1"/>
      <c r="F2047" s="1"/>
      <c r="G2047" s="1" t="s">
        <v>8</v>
      </c>
      <c r="H2047" s="2">
        <v>518</v>
      </c>
      <c r="I2047" s="1" t="s">
        <v>6403</v>
      </c>
      <c r="J2047" s="1" t="s">
        <v>6404</v>
      </c>
      <c r="K2047" s="1" t="s">
        <v>51</v>
      </c>
      <c r="L2047" s="1" t="s">
        <v>6405</v>
      </c>
      <c r="M2047" s="6" t="str">
        <f>_xlfn.CONCAT(Table1[[#This Row],[Billing Street]], ", ", Table1[[#This Row],[Billing City]], ", ", Table1[[#This Row],[Billing State/Province]], ", ", Table1[[#This Row],[Billing Zip/Postal Code]])</f>
        <v>10822 Lake Front Drive, Missouri City, TX, 77459</v>
      </c>
    </row>
    <row r="2048" spans="1:13" ht="15.6" hidden="1" x14ac:dyDescent="0.3">
      <c r="A2048" s="1" t="s">
        <v>6406</v>
      </c>
      <c r="B2048" s="1"/>
      <c r="C2048" s="1"/>
      <c r="D2048" s="1"/>
      <c r="E2048" s="1"/>
      <c r="F2048" s="1"/>
      <c r="G2048" s="1" t="s">
        <v>54</v>
      </c>
      <c r="H2048" s="2">
        <v>12</v>
      </c>
      <c r="I2048" s="1" t="s">
        <v>6407</v>
      </c>
      <c r="J2048" s="1" t="s">
        <v>2048</v>
      </c>
      <c r="K2048" s="1" t="s">
        <v>57</v>
      </c>
      <c r="L2048" s="1" t="s">
        <v>6408</v>
      </c>
      <c r="M2048" s="6" t="str">
        <f>_xlfn.CONCAT(Table1[[#This Row],[Billing Street]], ", ", Table1[[#This Row],[Billing City]], ", ", Table1[[#This Row],[Billing State/Province]], ", ", Table1[[#This Row],[Billing Zip/Postal Code]])</f>
        <v>501 Westwood Plaza 4th Floor, Los Angeles, CA, 90095</v>
      </c>
    </row>
    <row r="2049" spans="1:13" ht="15.6" hidden="1" x14ac:dyDescent="0.3">
      <c r="A2049" s="1" t="s">
        <v>6409</v>
      </c>
      <c r="B2049" s="1"/>
      <c r="C2049" s="1"/>
      <c r="D2049" s="1"/>
      <c r="E2049" s="1"/>
      <c r="F2049" s="1"/>
      <c r="G2049" s="1" t="s">
        <v>54</v>
      </c>
      <c r="H2049" s="2">
        <v>7813</v>
      </c>
      <c r="I2049" s="1" t="s">
        <v>13</v>
      </c>
      <c r="J2049" s="1" t="s">
        <v>2048</v>
      </c>
      <c r="K2049" s="1" t="s">
        <v>57</v>
      </c>
      <c r="L2049" s="1" t="s">
        <v>13</v>
      </c>
      <c r="M2049" s="6" t="str">
        <f>_xlfn.CONCAT(Table1[[#This Row],[Billing Street]], ", ", Table1[[#This Row],[Billing City]], ", ", Table1[[#This Row],[Billing State/Province]], ", ", Table1[[#This Row],[Billing Zip/Postal Code]])</f>
        <v xml:space="preserve">, Los Angeles, CA, </v>
      </c>
    </row>
    <row r="2050" spans="1:13" ht="15.6" hidden="1" x14ac:dyDescent="0.3">
      <c r="A2050" s="1" t="s">
        <v>6410</v>
      </c>
      <c r="B2050" s="1"/>
      <c r="C2050" s="1"/>
      <c r="D2050" s="1"/>
      <c r="E2050" s="1"/>
      <c r="F2050" s="1"/>
      <c r="G2050" s="1" t="s">
        <v>98</v>
      </c>
      <c r="H2050" s="2">
        <v>5887</v>
      </c>
      <c r="I2050" s="1" t="s">
        <v>13</v>
      </c>
      <c r="J2050" s="1" t="s">
        <v>6411</v>
      </c>
      <c r="K2050" s="1" t="s">
        <v>101</v>
      </c>
      <c r="L2050" s="1" t="s">
        <v>13</v>
      </c>
      <c r="M2050" s="6" t="str">
        <f>_xlfn.CONCAT(Table1[[#This Row],[Billing Street]], ", ", Table1[[#This Row],[Billing City]], ", ", Table1[[#This Row],[Billing State/Province]], ", ", Table1[[#This Row],[Billing Zip/Postal Code]])</f>
        <v xml:space="preserve">, Rome, GA, </v>
      </c>
    </row>
    <row r="2051" spans="1:13" ht="15.6" hidden="1" x14ac:dyDescent="0.3">
      <c r="A2051" s="1" t="s">
        <v>6412</v>
      </c>
      <c r="B2051" s="1"/>
      <c r="C2051" s="1"/>
      <c r="D2051" s="1"/>
      <c r="E2051" s="1"/>
      <c r="F2051" s="1"/>
      <c r="G2051" s="1" t="s">
        <v>54</v>
      </c>
      <c r="H2051" s="2">
        <v>55</v>
      </c>
      <c r="I2051" s="1" t="s">
        <v>6413</v>
      </c>
      <c r="J2051" s="1" t="s">
        <v>5451</v>
      </c>
      <c r="K2051" s="1" t="s">
        <v>57</v>
      </c>
      <c r="L2051" s="1" t="s">
        <v>6414</v>
      </c>
      <c r="M2051" s="6" t="str">
        <f>_xlfn.CONCAT(Table1[[#This Row],[Billing Street]], ", ", Table1[[#This Row],[Billing City]], ", ", Table1[[#This Row],[Billing State/Province]], ", ", Table1[[#This Row],[Billing Zip/Postal Code]])</f>
        <v>950 Calle Amanecer Suite 101, San Clemente, CA, 92673</v>
      </c>
    </row>
    <row r="2052" spans="1:13" ht="15.6" hidden="1" x14ac:dyDescent="0.3">
      <c r="A2052" s="1" t="s">
        <v>6415</v>
      </c>
      <c r="B2052" s="1"/>
      <c r="C2052" s="1"/>
      <c r="D2052" s="1"/>
      <c r="E2052" s="1"/>
      <c r="F2052" s="1"/>
      <c r="G2052" s="1" t="s">
        <v>43</v>
      </c>
      <c r="H2052" s="2">
        <v>117</v>
      </c>
      <c r="I2052" s="1" t="s">
        <v>6416</v>
      </c>
      <c r="J2052" s="1" t="s">
        <v>711</v>
      </c>
      <c r="K2052" s="1" t="s">
        <v>45</v>
      </c>
      <c r="L2052" s="1" t="s">
        <v>6417</v>
      </c>
      <c r="M2052" s="6" t="str">
        <f>_xlfn.CONCAT(Table1[[#This Row],[Billing Street]], ", ", Table1[[#This Row],[Billing City]], ", ", Table1[[#This Row],[Billing State/Province]], ", ", Table1[[#This Row],[Billing Zip/Postal Code]])</f>
        <v>7700 Rivers Edge Drive Ste 102, Columbus, OH, 43235</v>
      </c>
    </row>
    <row r="2053" spans="1:13" ht="15.6" hidden="1" x14ac:dyDescent="0.3">
      <c r="A2053" s="1" t="s">
        <v>6418</v>
      </c>
      <c r="B2053" s="1"/>
      <c r="C2053" s="1"/>
      <c r="D2053" s="1"/>
      <c r="E2053" s="1"/>
      <c r="F2053" s="1"/>
      <c r="G2053" s="1" t="s">
        <v>43</v>
      </c>
      <c r="H2053" s="2">
        <v>23</v>
      </c>
      <c r="I2053" s="1" t="s">
        <v>6419</v>
      </c>
      <c r="J2053" s="1" t="s">
        <v>6420</v>
      </c>
      <c r="K2053" s="1" t="s">
        <v>45</v>
      </c>
      <c r="L2053" s="1" t="s">
        <v>6421</v>
      </c>
      <c r="M2053" s="6" t="str">
        <f>_xlfn.CONCAT(Table1[[#This Row],[Billing Street]], ", ", Table1[[#This Row],[Billing City]], ", ", Table1[[#This Row],[Billing State/Province]], ", ", Table1[[#This Row],[Billing Zip/Postal Code]])</f>
        <v>18500 Lake Road, Rocky River, OH, 44116</v>
      </c>
    </row>
    <row r="2054" spans="1:13" ht="15.6" hidden="1" x14ac:dyDescent="0.3">
      <c r="A2054" s="1" t="s">
        <v>6422</v>
      </c>
      <c r="B2054" s="1"/>
      <c r="C2054" s="1"/>
      <c r="D2054" s="1"/>
      <c r="E2054" s="1"/>
      <c r="F2054" s="1"/>
      <c r="G2054" s="1" t="s">
        <v>205</v>
      </c>
      <c r="H2054" s="2">
        <v>189</v>
      </c>
      <c r="I2054" s="1" t="s">
        <v>6423</v>
      </c>
      <c r="J2054" s="1" t="s">
        <v>6424</v>
      </c>
      <c r="K2054" s="1" t="s">
        <v>479</v>
      </c>
      <c r="L2054" s="1" t="s">
        <v>6425</v>
      </c>
      <c r="M2054" s="6" t="str">
        <f>_xlfn.CONCAT(Table1[[#This Row],[Billing Street]], ", ", Table1[[#This Row],[Billing City]], ", ", Table1[[#This Row],[Billing State/Province]], ", ", Table1[[#This Row],[Billing Zip/Postal Code]])</f>
        <v>36 West Highway 92, Bisbee, AZ, 85603</v>
      </c>
    </row>
    <row r="2055" spans="1:13" ht="15.6" hidden="1" x14ac:dyDescent="0.3">
      <c r="A2055" s="1" t="s">
        <v>6426</v>
      </c>
      <c r="B2055" s="1"/>
      <c r="C2055" s="1"/>
      <c r="D2055" s="1"/>
      <c r="E2055" s="1"/>
      <c r="F2055" s="1"/>
      <c r="G2055" s="1" t="s">
        <v>205</v>
      </c>
      <c r="H2055" s="2">
        <v>7481</v>
      </c>
      <c r="I2055" s="1" t="s">
        <v>13</v>
      </c>
      <c r="J2055" s="1" t="s">
        <v>6427</v>
      </c>
      <c r="K2055" s="1" t="s">
        <v>266</v>
      </c>
      <c r="L2055" s="1" t="s">
        <v>13</v>
      </c>
      <c r="M2055" s="6" t="str">
        <f>_xlfn.CONCAT(Table1[[#This Row],[Billing Street]], ", ", Table1[[#This Row],[Billing City]], ", ", Table1[[#This Row],[Billing State/Province]], ", ", Table1[[#This Row],[Billing Zip/Postal Code]])</f>
        <v xml:space="preserve">, Tyrone, NM, </v>
      </c>
    </row>
    <row r="2056" spans="1:13" ht="15.6" hidden="1" x14ac:dyDescent="0.3">
      <c r="A2056" s="1" t="s">
        <v>6428</v>
      </c>
      <c r="B2056" s="1"/>
      <c r="C2056" s="1"/>
      <c r="D2056" s="1"/>
      <c r="E2056" s="1"/>
      <c r="F2056" s="1"/>
      <c r="G2056" s="1" t="s">
        <v>205</v>
      </c>
      <c r="H2056" s="2">
        <v>315</v>
      </c>
      <c r="I2056" s="1" t="s">
        <v>6429</v>
      </c>
      <c r="J2056" s="1" t="s">
        <v>2337</v>
      </c>
      <c r="K2056" s="1" t="s">
        <v>266</v>
      </c>
      <c r="L2056" s="1" t="s">
        <v>2338</v>
      </c>
      <c r="M2056" s="6" t="str">
        <f>_xlfn.CONCAT(Table1[[#This Row],[Billing Street]], ", ", Table1[[#This Row],[Billing City]], ", ", Table1[[#This Row],[Billing State/Province]], ", ", Table1[[#This Row],[Billing Zip/Postal Code]])</f>
        <v>333 E Main, Farmington, NM, 87401</v>
      </c>
    </row>
    <row r="2057" spans="1:13" ht="15.6" hidden="1" x14ac:dyDescent="0.3">
      <c r="A2057" s="1" t="s">
        <v>6430</v>
      </c>
      <c r="B2057" s="1"/>
      <c r="C2057" s="1"/>
      <c r="D2057" s="1"/>
      <c r="E2057" s="1"/>
      <c r="F2057" s="1"/>
      <c r="G2057" s="1" t="s">
        <v>54</v>
      </c>
      <c r="H2057" s="2">
        <v>324</v>
      </c>
      <c r="I2057" s="1" t="s">
        <v>6431</v>
      </c>
      <c r="J2057" s="1" t="s">
        <v>6432</v>
      </c>
      <c r="K2057" s="1" t="s">
        <v>57</v>
      </c>
      <c r="L2057" s="1" t="s">
        <v>6433</v>
      </c>
      <c r="M2057" s="6" t="str">
        <f>_xlfn.CONCAT(Table1[[#This Row],[Billing Street]], ", ", Table1[[#This Row],[Billing City]], ", ", Table1[[#This Row],[Billing State/Province]], ", ", Table1[[#This Row],[Billing Zip/Postal Code]])</f>
        <v>500 Hopyard Rd Suite 480, Pleasanton, CA, 94588</v>
      </c>
    </row>
    <row r="2058" spans="1:13" ht="15.6" hidden="1" x14ac:dyDescent="0.3">
      <c r="A2058" s="1" t="s">
        <v>6434</v>
      </c>
      <c r="B2058" s="1"/>
      <c r="C2058" s="1"/>
      <c r="D2058" s="1"/>
      <c r="E2058" s="1"/>
      <c r="F2058" s="1"/>
      <c r="G2058" s="1" t="s">
        <v>43</v>
      </c>
      <c r="H2058" s="2">
        <v>343</v>
      </c>
      <c r="I2058" s="1" t="s">
        <v>6435</v>
      </c>
      <c r="J2058" s="1" t="s">
        <v>6436</v>
      </c>
      <c r="K2058" s="1" t="s">
        <v>241</v>
      </c>
      <c r="L2058" s="1" t="s">
        <v>6437</v>
      </c>
      <c r="M2058" s="6" t="str">
        <f>_xlfn.CONCAT(Table1[[#This Row],[Billing Street]], ", ", Table1[[#This Row],[Billing City]], ", ", Table1[[#This Row],[Billing State/Province]], ", ", Table1[[#This Row],[Billing Zip/Postal Code]])</f>
        <v>237 S 18th street #3c, Philidelphia, PA, 19103</v>
      </c>
    </row>
    <row r="2059" spans="1:13" ht="15.6" hidden="1" x14ac:dyDescent="0.3">
      <c r="A2059" s="1" t="s">
        <v>6438</v>
      </c>
      <c r="B2059" s="1"/>
      <c r="C2059" s="1"/>
      <c r="D2059" s="1"/>
      <c r="E2059" s="1"/>
      <c r="F2059" s="1"/>
      <c r="G2059" s="1" t="s">
        <v>205</v>
      </c>
      <c r="H2059" s="2">
        <v>25</v>
      </c>
      <c r="I2059" s="1" t="s">
        <v>6439</v>
      </c>
      <c r="J2059" s="1" t="s">
        <v>478</v>
      </c>
      <c r="K2059" s="1" t="s">
        <v>479</v>
      </c>
      <c r="L2059" s="1" t="s">
        <v>6440</v>
      </c>
      <c r="M2059" s="6" t="str">
        <f>_xlfn.CONCAT(Table1[[#This Row],[Billing Street]], ", ", Table1[[#This Row],[Billing City]], ", ", Table1[[#This Row],[Billing State/Province]], ", ", Table1[[#This Row],[Billing Zip/Postal Code]])</f>
        <v>5835 S. Sossaman road, Mesa, AZ, 85212</v>
      </c>
    </row>
    <row r="2060" spans="1:13" ht="15.6" hidden="1" x14ac:dyDescent="0.3">
      <c r="A2060" s="1" t="s">
        <v>6441</v>
      </c>
      <c r="B2060" s="1"/>
      <c r="C2060" s="1"/>
      <c r="D2060" s="1"/>
      <c r="E2060" s="1"/>
      <c r="F2060" s="1"/>
      <c r="G2060" s="1" t="s">
        <v>205</v>
      </c>
      <c r="H2060" s="2">
        <v>7</v>
      </c>
      <c r="I2060" s="1" t="s">
        <v>6442</v>
      </c>
      <c r="J2060" s="1" t="s">
        <v>5889</v>
      </c>
      <c r="K2060" s="1" t="s">
        <v>479</v>
      </c>
      <c r="L2060" s="1" t="s">
        <v>6443</v>
      </c>
      <c r="M2060" s="6" t="str">
        <f>_xlfn.CONCAT(Table1[[#This Row],[Billing Street]], ", ", Table1[[#This Row],[Billing City]], ", ", Table1[[#This Row],[Billing State/Province]], ", ", Table1[[#This Row],[Billing Zip/Postal Code]])</f>
        <v>2620 South 55th Street, Tempe, AZ, 85282</v>
      </c>
    </row>
    <row r="2061" spans="1:13" ht="15.6" hidden="1" x14ac:dyDescent="0.3">
      <c r="A2061" s="1" t="s">
        <v>6444</v>
      </c>
      <c r="B2061" s="1"/>
      <c r="C2061" s="1"/>
      <c r="D2061" s="1"/>
      <c r="E2061" s="1"/>
      <c r="F2061" s="1"/>
      <c r="G2061" s="1" t="s">
        <v>13</v>
      </c>
      <c r="H2061" s="2">
        <v>0</v>
      </c>
      <c r="I2061" s="1" t="s">
        <v>13</v>
      </c>
      <c r="J2061" s="1" t="s">
        <v>13</v>
      </c>
      <c r="K2061" s="1" t="s">
        <v>13</v>
      </c>
      <c r="L2061" s="1" t="s">
        <v>13</v>
      </c>
      <c r="M2061" s="6" t="str">
        <f>_xlfn.CONCAT(Table1[[#This Row],[Billing Street]], ", ", Table1[[#This Row],[Billing City]], ", ", Table1[[#This Row],[Billing State/Province]], ", ", Table1[[#This Row],[Billing Zip/Postal Code]])</f>
        <v xml:space="preserve">, , , </v>
      </c>
    </row>
    <row r="2062" spans="1:13" ht="15.6" hidden="1" x14ac:dyDescent="0.3">
      <c r="A2062" s="1" t="s">
        <v>6445</v>
      </c>
      <c r="B2062" s="1"/>
      <c r="C2062" s="1"/>
      <c r="D2062" s="1"/>
      <c r="E2062" s="1"/>
      <c r="F2062" s="1"/>
      <c r="G2062" s="1" t="s">
        <v>13</v>
      </c>
      <c r="H2062" s="2">
        <v>0</v>
      </c>
      <c r="I2062" s="1" t="s">
        <v>13</v>
      </c>
      <c r="J2062" s="1" t="s">
        <v>13</v>
      </c>
      <c r="K2062" s="1" t="s">
        <v>13</v>
      </c>
      <c r="L2062" s="1" t="s">
        <v>13</v>
      </c>
      <c r="M2062" s="6" t="str">
        <f>_xlfn.CONCAT(Table1[[#This Row],[Billing Street]], ", ", Table1[[#This Row],[Billing City]], ", ", Table1[[#This Row],[Billing State/Province]], ", ", Table1[[#This Row],[Billing Zip/Postal Code]])</f>
        <v xml:space="preserve">, , , </v>
      </c>
    </row>
    <row r="2063" spans="1:13" ht="15.6" hidden="1" x14ac:dyDescent="0.3">
      <c r="A2063" s="1" t="s">
        <v>6446</v>
      </c>
      <c r="B2063" s="1"/>
      <c r="C2063" s="1"/>
      <c r="D2063" s="1"/>
      <c r="E2063" s="1"/>
      <c r="F2063" s="1"/>
      <c r="G2063" s="1" t="s">
        <v>13</v>
      </c>
      <c r="H2063" s="2">
        <v>0</v>
      </c>
      <c r="I2063" s="1" t="s">
        <v>13</v>
      </c>
      <c r="J2063" s="1" t="s">
        <v>13</v>
      </c>
      <c r="K2063" s="1" t="s">
        <v>13</v>
      </c>
      <c r="L2063" s="1" t="s">
        <v>13</v>
      </c>
      <c r="M2063" s="6" t="str">
        <f>_xlfn.CONCAT(Table1[[#This Row],[Billing Street]], ", ", Table1[[#This Row],[Billing City]], ", ", Table1[[#This Row],[Billing State/Province]], ", ", Table1[[#This Row],[Billing Zip/Postal Code]])</f>
        <v xml:space="preserve">, , , </v>
      </c>
    </row>
    <row r="2064" spans="1:13" ht="15.6" hidden="1" x14ac:dyDescent="0.3">
      <c r="A2064" s="1" t="s">
        <v>6447</v>
      </c>
      <c r="B2064" s="1"/>
      <c r="C2064" s="1"/>
      <c r="D2064" s="1"/>
      <c r="E2064" s="1"/>
      <c r="F2064" s="1"/>
      <c r="G2064" s="1" t="s">
        <v>13</v>
      </c>
      <c r="H2064" s="2">
        <v>0</v>
      </c>
      <c r="I2064" s="1" t="s">
        <v>13</v>
      </c>
      <c r="J2064" s="1" t="s">
        <v>13</v>
      </c>
      <c r="K2064" s="1" t="s">
        <v>13</v>
      </c>
      <c r="L2064" s="1" t="s">
        <v>13</v>
      </c>
      <c r="M2064" s="6" t="str">
        <f>_xlfn.CONCAT(Table1[[#This Row],[Billing Street]], ", ", Table1[[#This Row],[Billing City]], ", ", Table1[[#This Row],[Billing State/Province]], ", ", Table1[[#This Row],[Billing Zip/Postal Code]])</f>
        <v xml:space="preserve">, , , </v>
      </c>
    </row>
    <row r="2065" spans="1:13" ht="15.6" hidden="1" x14ac:dyDescent="0.3">
      <c r="A2065" s="1" t="s">
        <v>6448</v>
      </c>
      <c r="B2065" s="1"/>
      <c r="C2065" s="1"/>
      <c r="D2065" s="1"/>
      <c r="E2065" s="1"/>
      <c r="F2065" s="1"/>
      <c r="G2065" s="1" t="s">
        <v>13</v>
      </c>
      <c r="H2065" s="2">
        <v>0</v>
      </c>
      <c r="I2065" s="1" t="s">
        <v>6449</v>
      </c>
      <c r="J2065" s="1" t="s">
        <v>1447</v>
      </c>
      <c r="K2065" s="1" t="s">
        <v>13</v>
      </c>
      <c r="L2065" s="1" t="s">
        <v>1448</v>
      </c>
      <c r="M2065" s="6" t="str">
        <f>_xlfn.CONCAT(Table1[[#This Row],[Billing Street]], ", ", Table1[[#This Row],[Billing City]], ", ", Table1[[#This Row],[Billing State/Province]], ", ", Table1[[#This Row],[Billing Zip/Postal Code]])</f>
        <v>4575 Pacific Blvd, Vernon, , 90058</v>
      </c>
    </row>
    <row r="2066" spans="1:13" ht="15.6" hidden="1" x14ac:dyDescent="0.3">
      <c r="A2066" s="1" t="s">
        <v>6450</v>
      </c>
      <c r="B2066" s="1"/>
      <c r="C2066" s="1"/>
      <c r="D2066" s="1"/>
      <c r="E2066" s="1"/>
      <c r="F2066" s="1"/>
      <c r="G2066" s="1" t="s">
        <v>13</v>
      </c>
      <c r="H2066" s="2">
        <v>0</v>
      </c>
      <c r="I2066" s="1" t="s">
        <v>6451</v>
      </c>
      <c r="J2066" s="1" t="s">
        <v>6452</v>
      </c>
      <c r="K2066" s="1" t="s">
        <v>13</v>
      </c>
      <c r="L2066" s="1" t="s">
        <v>6453</v>
      </c>
      <c r="M2066" s="6" t="str">
        <f>_xlfn.CONCAT(Table1[[#This Row],[Billing Street]], ", ", Table1[[#This Row],[Billing City]], ", ", Table1[[#This Row],[Billing State/Province]], ", ", Table1[[#This Row],[Billing Zip/Postal Code]])</f>
        <v>9144 Rose Street, Bellflower, , 90706</v>
      </c>
    </row>
    <row r="2067" spans="1:13" ht="15.6" hidden="1" x14ac:dyDescent="0.3">
      <c r="A2067" s="1" t="s">
        <v>6454</v>
      </c>
      <c r="B2067" s="1"/>
      <c r="C2067" s="1"/>
      <c r="D2067" s="1"/>
      <c r="E2067" s="1"/>
      <c r="F2067" s="1"/>
      <c r="G2067" s="1" t="s">
        <v>13</v>
      </c>
      <c r="H2067" s="2">
        <v>0</v>
      </c>
      <c r="I2067" s="1" t="s">
        <v>13</v>
      </c>
      <c r="J2067" s="1" t="s">
        <v>13</v>
      </c>
      <c r="K2067" s="1" t="s">
        <v>13</v>
      </c>
      <c r="L2067" s="1" t="s">
        <v>13</v>
      </c>
      <c r="M2067" s="6" t="str">
        <f>_xlfn.CONCAT(Table1[[#This Row],[Billing Street]], ", ", Table1[[#This Row],[Billing City]], ", ", Table1[[#This Row],[Billing State/Province]], ", ", Table1[[#This Row],[Billing Zip/Postal Code]])</f>
        <v xml:space="preserve">, , , </v>
      </c>
    </row>
    <row r="2068" spans="1:13" ht="15.6" hidden="1" x14ac:dyDescent="0.3">
      <c r="A2068" s="1" t="s">
        <v>6455</v>
      </c>
      <c r="B2068" s="1"/>
      <c r="C2068" s="1"/>
      <c r="D2068" s="1"/>
      <c r="E2068" s="1"/>
      <c r="F2068" s="1"/>
      <c r="G2068" s="1" t="s">
        <v>13</v>
      </c>
      <c r="H2068" s="2">
        <v>0</v>
      </c>
      <c r="I2068" s="1" t="s">
        <v>13</v>
      </c>
      <c r="J2068" s="1" t="s">
        <v>6456</v>
      </c>
      <c r="K2068" s="1" t="s">
        <v>13</v>
      </c>
      <c r="L2068" s="1" t="s">
        <v>13</v>
      </c>
      <c r="M2068" s="6" t="str">
        <f>_xlfn.CONCAT(Table1[[#This Row],[Billing Street]], ", ", Table1[[#This Row],[Billing City]], ", ", Table1[[#This Row],[Billing State/Province]], ", ", Table1[[#This Row],[Billing Zip/Postal Code]])</f>
        <v xml:space="preserve">, Shelby, NC, , </v>
      </c>
    </row>
    <row r="2069" spans="1:13" ht="15.6" hidden="1" x14ac:dyDescent="0.3">
      <c r="A2069" s="1" t="s">
        <v>6457</v>
      </c>
      <c r="B2069" s="1"/>
      <c r="C2069" s="1"/>
      <c r="D2069" s="1"/>
      <c r="E2069" s="1"/>
      <c r="F2069" s="1"/>
      <c r="G2069" s="1" t="s">
        <v>13</v>
      </c>
      <c r="H2069" s="2">
        <v>0</v>
      </c>
      <c r="I2069" s="1" t="s">
        <v>13</v>
      </c>
      <c r="J2069" s="1" t="s">
        <v>6458</v>
      </c>
      <c r="K2069" s="1" t="s">
        <v>13</v>
      </c>
      <c r="L2069" s="1" t="s">
        <v>13</v>
      </c>
      <c r="M2069" s="6" t="str">
        <f>_xlfn.CONCAT(Table1[[#This Row],[Billing Street]], ", ", Table1[[#This Row],[Billing City]], ", ", Table1[[#This Row],[Billing State/Province]], ", ", Table1[[#This Row],[Billing Zip/Postal Code]])</f>
        <v xml:space="preserve">, Sparta, NC, , </v>
      </c>
    </row>
    <row r="2070" spans="1:13" ht="15.6" hidden="1" x14ac:dyDescent="0.3">
      <c r="A2070" s="1" t="s">
        <v>6459</v>
      </c>
      <c r="B2070" s="1"/>
      <c r="C2070" s="1"/>
      <c r="D2070" s="1"/>
      <c r="E2070" s="1"/>
      <c r="F2070" s="1"/>
      <c r="G2070" s="1" t="s">
        <v>13</v>
      </c>
      <c r="H2070" s="2">
        <v>0</v>
      </c>
      <c r="I2070" s="1" t="s">
        <v>13</v>
      </c>
      <c r="J2070" s="1" t="s">
        <v>13</v>
      </c>
      <c r="K2070" s="1" t="s">
        <v>13</v>
      </c>
      <c r="L2070" s="1" t="s">
        <v>13</v>
      </c>
      <c r="M2070" s="6" t="str">
        <f>_xlfn.CONCAT(Table1[[#This Row],[Billing Street]], ", ", Table1[[#This Row],[Billing City]], ", ", Table1[[#This Row],[Billing State/Province]], ", ", Table1[[#This Row],[Billing Zip/Postal Code]])</f>
        <v xml:space="preserve">, , , </v>
      </c>
    </row>
    <row r="2071" spans="1:13" ht="15.6" hidden="1" x14ac:dyDescent="0.3">
      <c r="A2071" s="1" t="s">
        <v>6460</v>
      </c>
      <c r="B2071" s="1"/>
      <c r="C2071" s="1"/>
      <c r="D2071" s="1"/>
      <c r="E2071" s="1"/>
      <c r="F2071" s="1"/>
      <c r="G2071" s="1" t="s">
        <v>13</v>
      </c>
      <c r="H2071" s="2">
        <v>0</v>
      </c>
      <c r="I2071" s="1" t="s">
        <v>13</v>
      </c>
      <c r="J2071" s="1" t="s">
        <v>13</v>
      </c>
      <c r="K2071" s="1" t="s">
        <v>13</v>
      </c>
      <c r="L2071" s="1" t="s">
        <v>13</v>
      </c>
      <c r="M2071" s="6" t="str">
        <f>_xlfn.CONCAT(Table1[[#This Row],[Billing Street]], ", ", Table1[[#This Row],[Billing City]], ", ", Table1[[#This Row],[Billing State/Province]], ", ", Table1[[#This Row],[Billing Zip/Postal Code]])</f>
        <v xml:space="preserve">, , , </v>
      </c>
    </row>
    <row r="2072" spans="1:13" ht="15.6" hidden="1" x14ac:dyDescent="0.3">
      <c r="A2072" s="1" t="s">
        <v>6461</v>
      </c>
      <c r="B2072" s="1"/>
      <c r="C2072" s="1"/>
      <c r="D2072" s="1"/>
      <c r="E2072" s="1"/>
      <c r="F2072" s="1"/>
      <c r="G2072" s="1" t="s">
        <v>13</v>
      </c>
      <c r="H2072" s="2">
        <v>0</v>
      </c>
      <c r="I2072" s="1" t="s">
        <v>6462</v>
      </c>
      <c r="J2072" s="1" t="s">
        <v>1232</v>
      </c>
      <c r="K2072" s="1" t="s">
        <v>13</v>
      </c>
      <c r="L2072" s="1" t="s">
        <v>6463</v>
      </c>
      <c r="M2072" s="6" t="str">
        <f>_xlfn.CONCAT(Table1[[#This Row],[Billing Street]], ", ", Table1[[#This Row],[Billing City]], ", ", Table1[[#This Row],[Billing State/Province]], ", ", Table1[[#This Row],[Billing Zip/Postal Code]])</f>
        <v>500 S Main Street, West Point, , 68788</v>
      </c>
    </row>
    <row r="2073" spans="1:13" ht="15.6" hidden="1" x14ac:dyDescent="0.3">
      <c r="A2073" s="1" t="s">
        <v>6464</v>
      </c>
      <c r="B2073" s="1"/>
      <c r="C2073" s="1"/>
      <c r="D2073" s="1"/>
      <c r="E2073" s="1"/>
      <c r="F2073" s="1"/>
      <c r="G2073" s="1" t="s">
        <v>13</v>
      </c>
      <c r="H2073" s="2">
        <v>0</v>
      </c>
      <c r="I2073" s="1" t="s">
        <v>13</v>
      </c>
      <c r="J2073" s="1" t="s">
        <v>13</v>
      </c>
      <c r="K2073" s="1" t="s">
        <v>13</v>
      </c>
      <c r="L2073" s="1" t="s">
        <v>13</v>
      </c>
      <c r="M2073" s="6" t="str">
        <f>_xlfn.CONCAT(Table1[[#This Row],[Billing Street]], ", ", Table1[[#This Row],[Billing City]], ", ", Table1[[#This Row],[Billing State/Province]], ", ", Table1[[#This Row],[Billing Zip/Postal Code]])</f>
        <v xml:space="preserve">, , , </v>
      </c>
    </row>
    <row r="2074" spans="1:13" ht="15.6" hidden="1" x14ac:dyDescent="0.3">
      <c r="A2074" s="1" t="s">
        <v>6465</v>
      </c>
      <c r="B2074" s="1"/>
      <c r="C2074" s="1"/>
      <c r="D2074" s="1"/>
      <c r="E2074" s="1"/>
      <c r="F2074" s="1"/>
      <c r="G2074" s="1" t="s">
        <v>8</v>
      </c>
      <c r="H2074" s="2">
        <v>6528</v>
      </c>
      <c r="I2074" s="1" t="s">
        <v>13</v>
      </c>
      <c r="J2074" s="1" t="s">
        <v>6466</v>
      </c>
      <c r="K2074" s="1" t="s">
        <v>165</v>
      </c>
      <c r="L2074" s="1" t="s">
        <v>13</v>
      </c>
      <c r="M2074" s="6" t="str">
        <f>_xlfn.CONCAT(Table1[[#This Row],[Billing Street]], ", ", Table1[[#This Row],[Billing City]], ", ", Table1[[#This Row],[Billing State/Province]], ", ", Table1[[#This Row],[Billing Zip/Postal Code]])</f>
        <v xml:space="preserve">, Fayettville, AR, </v>
      </c>
    </row>
    <row r="2075" spans="1:13" ht="15.6" hidden="1" x14ac:dyDescent="0.3">
      <c r="A2075" s="1" t="s">
        <v>6467</v>
      </c>
      <c r="B2075" s="1"/>
      <c r="C2075" s="1"/>
      <c r="D2075" s="1"/>
      <c r="E2075" s="1"/>
      <c r="F2075" s="1"/>
      <c r="G2075" s="1" t="s">
        <v>13</v>
      </c>
      <c r="H2075" s="2">
        <v>0</v>
      </c>
      <c r="I2075" s="1" t="s">
        <v>13</v>
      </c>
      <c r="J2075" s="1" t="s">
        <v>13</v>
      </c>
      <c r="K2075" s="1" t="s">
        <v>13</v>
      </c>
      <c r="L2075" s="1" t="s">
        <v>13</v>
      </c>
      <c r="M2075" s="6" t="str">
        <f>_xlfn.CONCAT(Table1[[#This Row],[Billing Street]], ", ", Table1[[#This Row],[Billing City]], ", ", Table1[[#This Row],[Billing State/Province]], ", ", Table1[[#This Row],[Billing Zip/Postal Code]])</f>
        <v xml:space="preserve">, , , </v>
      </c>
    </row>
    <row r="2076" spans="1:13" ht="15.6" hidden="1" x14ac:dyDescent="0.3">
      <c r="A2076" s="1" t="s">
        <v>6468</v>
      </c>
      <c r="B2076" s="1"/>
      <c r="C2076" s="1"/>
      <c r="D2076" s="1"/>
      <c r="E2076" s="1"/>
      <c r="F2076" s="1"/>
      <c r="G2076" s="1" t="s">
        <v>13</v>
      </c>
      <c r="H2076" s="2">
        <v>0</v>
      </c>
      <c r="I2076" s="1" t="s">
        <v>13</v>
      </c>
      <c r="J2076" s="1" t="s">
        <v>13</v>
      </c>
      <c r="K2076" s="1" t="s">
        <v>13</v>
      </c>
      <c r="L2076" s="1" t="s">
        <v>13</v>
      </c>
      <c r="M2076" s="6" t="str">
        <f>_xlfn.CONCAT(Table1[[#This Row],[Billing Street]], ", ", Table1[[#This Row],[Billing City]], ", ", Table1[[#This Row],[Billing State/Province]], ", ", Table1[[#This Row],[Billing Zip/Postal Code]])</f>
        <v xml:space="preserve">, , , </v>
      </c>
    </row>
    <row r="2077" spans="1:13" ht="15.6" hidden="1" x14ac:dyDescent="0.3">
      <c r="A2077" s="1" t="s">
        <v>6469</v>
      </c>
      <c r="B2077" s="1"/>
      <c r="C2077" s="1"/>
      <c r="D2077" s="1"/>
      <c r="E2077" s="1"/>
      <c r="F2077" s="1"/>
      <c r="G2077" s="1" t="s">
        <v>13</v>
      </c>
      <c r="H2077" s="2">
        <v>0</v>
      </c>
      <c r="I2077" s="1" t="s">
        <v>13</v>
      </c>
      <c r="J2077" s="1" t="s">
        <v>13</v>
      </c>
      <c r="K2077" s="1" t="s">
        <v>13</v>
      </c>
      <c r="L2077" s="1" t="s">
        <v>13</v>
      </c>
      <c r="M2077" s="6" t="str">
        <f>_xlfn.CONCAT(Table1[[#This Row],[Billing Street]], ", ", Table1[[#This Row],[Billing City]], ", ", Table1[[#This Row],[Billing State/Province]], ", ", Table1[[#This Row],[Billing Zip/Postal Code]])</f>
        <v xml:space="preserve">, , , </v>
      </c>
    </row>
    <row r="2078" spans="1:13" ht="15.6" hidden="1" x14ac:dyDescent="0.3">
      <c r="A2078" s="1" t="s">
        <v>6470</v>
      </c>
      <c r="B2078" s="1"/>
      <c r="C2078" s="1"/>
      <c r="D2078" s="1"/>
      <c r="E2078" s="1"/>
      <c r="F2078" s="1"/>
      <c r="G2078" s="1" t="s">
        <v>43</v>
      </c>
      <c r="H2078" s="2">
        <v>273</v>
      </c>
      <c r="I2078" s="1" t="s">
        <v>6471</v>
      </c>
      <c r="J2078" s="1" t="s">
        <v>585</v>
      </c>
      <c r="K2078" s="1" t="s">
        <v>237</v>
      </c>
      <c r="L2078" s="1" t="s">
        <v>2422</v>
      </c>
      <c r="M2078" s="6" t="str">
        <f>_xlfn.CONCAT(Table1[[#This Row],[Billing Street]], ", ", Table1[[#This Row],[Billing City]], ", ", Table1[[#This Row],[Billing State/Province]], ", ", Table1[[#This Row],[Billing Zip/Postal Code]])</f>
        <v>750 International Drive
P.O. Box 309, Franklin, IN, 46131</v>
      </c>
    </row>
    <row r="2079" spans="1:13" ht="15.6" hidden="1" x14ac:dyDescent="0.3">
      <c r="A2079" s="1" t="s">
        <v>6472</v>
      </c>
      <c r="B2079" s="1"/>
      <c r="C2079" s="1"/>
      <c r="D2079" s="1"/>
      <c r="E2079" s="1"/>
      <c r="F2079" s="1"/>
      <c r="G2079" s="1" t="s">
        <v>43</v>
      </c>
      <c r="H2079" s="2">
        <v>312</v>
      </c>
      <c r="I2079" s="1" t="s">
        <v>6473</v>
      </c>
      <c r="J2079" s="1" t="s">
        <v>69</v>
      </c>
      <c r="K2079" s="1" t="s">
        <v>1191</v>
      </c>
      <c r="L2079" s="1" t="s">
        <v>6474</v>
      </c>
      <c r="M2079" s="6" t="str">
        <f>_xlfn.CONCAT(Table1[[#This Row],[Billing Street]], ", ", Table1[[#This Row],[Billing City]], ", ", Table1[[#This Row],[Billing State/Province]], ", ", Table1[[#This Row],[Billing Zip/Postal Code]])</f>
        <v>4515 Bishop Lane, Louisville, KY, 40232</v>
      </c>
    </row>
    <row r="2080" spans="1:13" ht="15.6" hidden="1" x14ac:dyDescent="0.3">
      <c r="A2080" s="1" t="s">
        <v>6475</v>
      </c>
      <c r="B2080" s="1"/>
      <c r="C2080" s="1"/>
      <c r="D2080" s="1"/>
      <c r="E2080" s="1"/>
      <c r="F2080" s="1"/>
      <c r="G2080" s="1" t="s">
        <v>13</v>
      </c>
      <c r="H2080" s="2">
        <v>0</v>
      </c>
      <c r="I2080" s="1" t="s">
        <v>13</v>
      </c>
      <c r="J2080" s="1" t="s">
        <v>13</v>
      </c>
      <c r="K2080" s="1" t="s">
        <v>13</v>
      </c>
      <c r="L2080" s="1" t="s">
        <v>13</v>
      </c>
      <c r="M2080" s="6" t="str">
        <f>_xlfn.CONCAT(Table1[[#This Row],[Billing Street]], ", ", Table1[[#This Row],[Billing City]], ", ", Table1[[#This Row],[Billing State/Province]], ", ", Table1[[#This Row],[Billing Zip/Postal Code]])</f>
        <v xml:space="preserve">, , , </v>
      </c>
    </row>
    <row r="2081" spans="1:13" ht="15.6" x14ac:dyDescent="0.3">
      <c r="A2081" s="1" t="s">
        <v>6476</v>
      </c>
      <c r="B2081" s="1"/>
      <c r="C2081" s="1"/>
      <c r="D2081" s="1"/>
      <c r="E2081" s="1"/>
      <c r="F2081" s="1"/>
      <c r="G2081" s="1" t="s">
        <v>24</v>
      </c>
      <c r="H2081" s="2">
        <v>316</v>
      </c>
      <c r="I2081" s="1" t="s">
        <v>6477</v>
      </c>
      <c r="J2081" s="1" t="s">
        <v>3800</v>
      </c>
      <c r="K2081" s="1" t="s">
        <v>31</v>
      </c>
      <c r="L2081" s="1" t="s">
        <v>6478</v>
      </c>
      <c r="M2081" s="6" t="str">
        <f>_xlfn.CONCAT(Table1[[#This Row],[Billing Street]], ", ", Table1[[#This Row],[Billing City]], ", ", Table1[[#This Row],[Billing State/Province]], ", ", Table1[[#This Row],[Billing Zip/Postal Code]])</f>
        <v>190 Devereux Dr, Natchez, MS, 39120</v>
      </c>
    </row>
    <row r="2082" spans="1:13" ht="15.6" hidden="1" x14ac:dyDescent="0.3">
      <c r="A2082" s="1" t="s">
        <v>6479</v>
      </c>
      <c r="B2082" s="1"/>
      <c r="C2082" s="1"/>
      <c r="D2082" s="1"/>
      <c r="E2082" s="1"/>
      <c r="F2082" s="1"/>
      <c r="G2082" s="1" t="s">
        <v>43</v>
      </c>
      <c r="H2082" s="2">
        <v>312</v>
      </c>
      <c r="I2082" s="1" t="s">
        <v>6473</v>
      </c>
      <c r="J2082" s="1" t="s">
        <v>69</v>
      </c>
      <c r="K2082" s="1" t="s">
        <v>1191</v>
      </c>
      <c r="L2082" s="1" t="s">
        <v>6474</v>
      </c>
      <c r="M2082" s="6" t="str">
        <f>_xlfn.CONCAT(Table1[[#This Row],[Billing Street]], ", ", Table1[[#This Row],[Billing City]], ", ", Table1[[#This Row],[Billing State/Province]], ", ", Table1[[#This Row],[Billing Zip/Postal Code]])</f>
        <v>4515 Bishop Lane, Louisville, KY, 40232</v>
      </c>
    </row>
    <row r="2083" spans="1:13" ht="15.6" hidden="1" x14ac:dyDescent="0.3">
      <c r="A2083" s="1" t="s">
        <v>6480</v>
      </c>
      <c r="B2083" s="1"/>
      <c r="C2083" s="1"/>
      <c r="D2083" s="1"/>
      <c r="E2083" s="1"/>
      <c r="F2083" s="1"/>
      <c r="G2083" s="1" t="s">
        <v>13</v>
      </c>
      <c r="H2083" s="2">
        <v>0</v>
      </c>
      <c r="I2083" s="1" t="s">
        <v>13</v>
      </c>
      <c r="J2083" s="1" t="s">
        <v>13</v>
      </c>
      <c r="K2083" s="1" t="s">
        <v>13</v>
      </c>
      <c r="L2083" s="1" t="s">
        <v>13</v>
      </c>
      <c r="M2083" s="6" t="str">
        <f>_xlfn.CONCAT(Table1[[#This Row],[Billing Street]], ", ", Table1[[#This Row],[Billing City]], ", ", Table1[[#This Row],[Billing State/Province]], ", ", Table1[[#This Row],[Billing Zip/Postal Code]])</f>
        <v xml:space="preserve">, , , </v>
      </c>
    </row>
    <row r="2084" spans="1:13" ht="15.6" hidden="1" x14ac:dyDescent="0.3">
      <c r="A2084" s="1" t="s">
        <v>6481</v>
      </c>
      <c r="B2084" s="1"/>
      <c r="C2084" s="1"/>
      <c r="D2084" s="1"/>
      <c r="E2084" s="1"/>
      <c r="F2084" s="1"/>
      <c r="G2084" s="1" t="s">
        <v>8</v>
      </c>
      <c r="H2084" s="2">
        <v>301</v>
      </c>
      <c r="I2084" s="1" t="s">
        <v>13</v>
      </c>
      <c r="J2084" s="1" t="s">
        <v>6482</v>
      </c>
      <c r="K2084" s="1" t="s">
        <v>165</v>
      </c>
      <c r="L2084" s="1" t="s">
        <v>6483</v>
      </c>
      <c r="M2084" s="6" t="str">
        <f>_xlfn.CONCAT(Table1[[#This Row],[Billing Street]], ", ", Table1[[#This Row],[Billing City]], ", ", Table1[[#This Row],[Billing State/Province]], ", ", Table1[[#This Row],[Billing Zip/Postal Code]])</f>
        <v>, Star City, AR, 71667</v>
      </c>
    </row>
    <row r="2085" spans="1:13" ht="15.6" hidden="1" x14ac:dyDescent="0.3">
      <c r="A2085" s="1" t="s">
        <v>6484</v>
      </c>
      <c r="B2085" s="1"/>
      <c r="C2085" s="1"/>
      <c r="D2085" s="1"/>
      <c r="E2085" s="1"/>
      <c r="F2085" s="1"/>
      <c r="G2085" s="1" t="s">
        <v>13</v>
      </c>
      <c r="H2085" s="2">
        <v>0</v>
      </c>
      <c r="I2085" s="1" t="s">
        <v>13</v>
      </c>
      <c r="J2085" s="1" t="s">
        <v>13</v>
      </c>
      <c r="K2085" s="1" t="s">
        <v>13</v>
      </c>
      <c r="L2085" s="1" t="s">
        <v>13</v>
      </c>
      <c r="M2085" s="6" t="str">
        <f>_xlfn.CONCAT(Table1[[#This Row],[Billing Street]], ", ", Table1[[#This Row],[Billing City]], ", ", Table1[[#This Row],[Billing State/Province]], ", ", Table1[[#This Row],[Billing Zip/Postal Code]])</f>
        <v xml:space="preserve">, , , </v>
      </c>
    </row>
    <row r="2086" spans="1:13" ht="15.6" hidden="1" x14ac:dyDescent="0.3">
      <c r="A2086" s="1" t="s">
        <v>6485</v>
      </c>
      <c r="B2086" s="1"/>
      <c r="C2086" s="1"/>
      <c r="D2086" s="1"/>
      <c r="E2086" s="1"/>
      <c r="F2086" s="1"/>
      <c r="G2086" s="1" t="s">
        <v>13</v>
      </c>
      <c r="H2086" s="2">
        <v>0</v>
      </c>
      <c r="I2086" s="1" t="s">
        <v>13</v>
      </c>
      <c r="J2086" s="1" t="s">
        <v>13</v>
      </c>
      <c r="K2086" s="1" t="s">
        <v>13</v>
      </c>
      <c r="L2086" s="1" t="s">
        <v>13</v>
      </c>
      <c r="M2086" s="6" t="str">
        <f>_xlfn.CONCAT(Table1[[#This Row],[Billing Street]], ", ", Table1[[#This Row],[Billing City]], ", ", Table1[[#This Row],[Billing State/Province]], ", ", Table1[[#This Row],[Billing Zip/Postal Code]])</f>
        <v xml:space="preserve">, , , </v>
      </c>
    </row>
    <row r="2087" spans="1:13" ht="15.6" hidden="1" x14ac:dyDescent="0.3">
      <c r="A2087" s="1" t="s">
        <v>6486</v>
      </c>
      <c r="B2087" s="1"/>
      <c r="C2087" s="1"/>
      <c r="D2087" s="1"/>
      <c r="E2087" s="1"/>
      <c r="F2087" s="1"/>
      <c r="G2087" s="1" t="s">
        <v>13</v>
      </c>
      <c r="H2087" s="2">
        <v>0</v>
      </c>
      <c r="I2087" s="1" t="s">
        <v>13</v>
      </c>
      <c r="J2087" s="1" t="s">
        <v>13</v>
      </c>
      <c r="K2087" s="1" t="s">
        <v>13</v>
      </c>
      <c r="L2087" s="1" t="s">
        <v>13</v>
      </c>
      <c r="M2087" s="6" t="str">
        <f>_xlfn.CONCAT(Table1[[#This Row],[Billing Street]], ", ", Table1[[#This Row],[Billing City]], ", ", Table1[[#This Row],[Billing State/Province]], ", ", Table1[[#This Row],[Billing Zip/Postal Code]])</f>
        <v xml:space="preserve">, , , </v>
      </c>
    </row>
    <row r="2088" spans="1:13" ht="15.6" hidden="1" x14ac:dyDescent="0.3">
      <c r="A2088" s="1" t="s">
        <v>6487</v>
      </c>
      <c r="B2088" s="1"/>
      <c r="C2088" s="1"/>
      <c r="D2088" s="1"/>
      <c r="E2088" s="1"/>
      <c r="F2088" s="1"/>
      <c r="G2088" s="1" t="s">
        <v>13</v>
      </c>
      <c r="H2088" s="2">
        <v>0</v>
      </c>
      <c r="I2088" s="1" t="s">
        <v>13</v>
      </c>
      <c r="J2088" s="1" t="s">
        <v>13</v>
      </c>
      <c r="K2088" s="1" t="s">
        <v>13</v>
      </c>
      <c r="L2088" s="1" t="s">
        <v>13</v>
      </c>
      <c r="M2088" s="6" t="str">
        <f>_xlfn.CONCAT(Table1[[#This Row],[Billing Street]], ", ", Table1[[#This Row],[Billing City]], ", ", Table1[[#This Row],[Billing State/Province]], ", ", Table1[[#This Row],[Billing Zip/Postal Code]])</f>
        <v xml:space="preserve">, , , </v>
      </c>
    </row>
    <row r="2089" spans="1:13" ht="15.6" hidden="1" x14ac:dyDescent="0.3">
      <c r="A2089" s="1" t="s">
        <v>6488</v>
      </c>
      <c r="B2089" s="1"/>
      <c r="C2089" s="1"/>
      <c r="D2089" s="1"/>
      <c r="E2089" s="1"/>
      <c r="F2089" s="1"/>
      <c r="G2089" s="1" t="s">
        <v>13</v>
      </c>
      <c r="H2089" s="2">
        <v>0</v>
      </c>
      <c r="I2089" s="1" t="s">
        <v>13</v>
      </c>
      <c r="J2089" s="1" t="s">
        <v>13</v>
      </c>
      <c r="K2089" s="1" t="s">
        <v>13</v>
      </c>
      <c r="L2089" s="1" t="s">
        <v>13</v>
      </c>
      <c r="M2089" s="6" t="str">
        <f>_xlfn.CONCAT(Table1[[#This Row],[Billing Street]], ", ", Table1[[#This Row],[Billing City]], ", ", Table1[[#This Row],[Billing State/Province]], ", ", Table1[[#This Row],[Billing Zip/Postal Code]])</f>
        <v xml:space="preserve">, , , </v>
      </c>
    </row>
    <row r="2090" spans="1:13" ht="15.6" hidden="1" x14ac:dyDescent="0.3">
      <c r="A2090" s="1" t="s">
        <v>6489</v>
      </c>
      <c r="B2090" s="1"/>
      <c r="C2090" s="1"/>
      <c r="D2090" s="1"/>
      <c r="E2090" s="1"/>
      <c r="F2090" s="1"/>
      <c r="G2090" s="1" t="s">
        <v>13</v>
      </c>
      <c r="H2090" s="2">
        <v>0</v>
      </c>
      <c r="I2090" s="1" t="s">
        <v>13</v>
      </c>
      <c r="J2090" s="1" t="s">
        <v>13</v>
      </c>
      <c r="K2090" s="1" t="s">
        <v>13</v>
      </c>
      <c r="L2090" s="1" t="s">
        <v>13</v>
      </c>
      <c r="M2090" s="6" t="str">
        <f>_xlfn.CONCAT(Table1[[#This Row],[Billing Street]], ", ", Table1[[#This Row],[Billing City]], ", ", Table1[[#This Row],[Billing State/Province]], ", ", Table1[[#This Row],[Billing Zip/Postal Code]])</f>
        <v xml:space="preserve">, , , </v>
      </c>
    </row>
    <row r="2091" spans="1:13" ht="15.6" hidden="1" x14ac:dyDescent="0.3">
      <c r="A2091" s="1" t="s">
        <v>6490</v>
      </c>
      <c r="B2091" s="1"/>
      <c r="C2091" s="1"/>
      <c r="D2091" s="1"/>
      <c r="E2091" s="1"/>
      <c r="F2091" s="1"/>
      <c r="G2091" s="1" t="s">
        <v>13</v>
      </c>
      <c r="H2091" s="2">
        <v>0</v>
      </c>
      <c r="I2091" s="1" t="s">
        <v>13</v>
      </c>
      <c r="J2091" s="1" t="s">
        <v>13</v>
      </c>
      <c r="K2091" s="1" t="s">
        <v>13</v>
      </c>
      <c r="L2091" s="1" t="s">
        <v>13</v>
      </c>
      <c r="M2091" s="6" t="str">
        <f>_xlfn.CONCAT(Table1[[#This Row],[Billing Street]], ", ", Table1[[#This Row],[Billing City]], ", ", Table1[[#This Row],[Billing State/Province]], ", ", Table1[[#This Row],[Billing Zip/Postal Code]])</f>
        <v xml:space="preserve">, , , </v>
      </c>
    </row>
    <row r="2092" spans="1:13" ht="15.6" hidden="1" x14ac:dyDescent="0.3">
      <c r="A2092" s="1" t="s">
        <v>6491</v>
      </c>
      <c r="B2092" s="1"/>
      <c r="C2092" s="1"/>
      <c r="D2092" s="1"/>
      <c r="E2092" s="1"/>
      <c r="F2092" s="1"/>
      <c r="G2092" s="1" t="s">
        <v>13</v>
      </c>
      <c r="H2092" s="2">
        <v>0</v>
      </c>
      <c r="I2092" s="1" t="s">
        <v>13</v>
      </c>
      <c r="J2092" s="1" t="s">
        <v>13</v>
      </c>
      <c r="K2092" s="1" t="s">
        <v>13</v>
      </c>
      <c r="L2092" s="1" t="s">
        <v>13</v>
      </c>
      <c r="M2092" s="6" t="str">
        <f>_xlfn.CONCAT(Table1[[#This Row],[Billing Street]], ", ", Table1[[#This Row],[Billing City]], ", ", Table1[[#This Row],[Billing State/Province]], ", ", Table1[[#This Row],[Billing Zip/Postal Code]])</f>
        <v xml:space="preserve">, , , </v>
      </c>
    </row>
    <row r="2093" spans="1:13" ht="15.6" hidden="1" x14ac:dyDescent="0.3">
      <c r="A2093" s="1" t="s">
        <v>6492</v>
      </c>
      <c r="B2093" s="1"/>
      <c r="C2093" s="1"/>
      <c r="D2093" s="1"/>
      <c r="E2093" s="1"/>
      <c r="F2093" s="1"/>
      <c r="G2093" s="1" t="s">
        <v>13</v>
      </c>
      <c r="H2093" s="2">
        <v>0</v>
      </c>
      <c r="I2093" s="1" t="s">
        <v>13</v>
      </c>
      <c r="J2093" s="1" t="s">
        <v>13</v>
      </c>
      <c r="K2093" s="1" t="s">
        <v>13</v>
      </c>
      <c r="L2093" s="1" t="s">
        <v>13</v>
      </c>
      <c r="M2093" s="6" t="str">
        <f>_xlfn.CONCAT(Table1[[#This Row],[Billing Street]], ", ", Table1[[#This Row],[Billing City]], ", ", Table1[[#This Row],[Billing State/Province]], ", ", Table1[[#This Row],[Billing Zip/Postal Code]])</f>
        <v xml:space="preserve">, , , </v>
      </c>
    </row>
    <row r="2094" spans="1:13" ht="15.6" hidden="1" x14ac:dyDescent="0.3">
      <c r="A2094" s="1" t="s">
        <v>6493</v>
      </c>
      <c r="B2094" s="1"/>
      <c r="C2094" s="1"/>
      <c r="D2094" s="1"/>
      <c r="E2094" s="1"/>
      <c r="F2094" s="1"/>
      <c r="G2094" s="1" t="s">
        <v>13</v>
      </c>
      <c r="H2094" s="2">
        <v>0</v>
      </c>
      <c r="I2094" s="1" t="s">
        <v>13</v>
      </c>
      <c r="J2094" s="1" t="s">
        <v>13</v>
      </c>
      <c r="K2094" s="1" t="s">
        <v>13</v>
      </c>
      <c r="L2094" s="1" t="s">
        <v>13</v>
      </c>
      <c r="M2094" s="6" t="str">
        <f>_xlfn.CONCAT(Table1[[#This Row],[Billing Street]], ", ", Table1[[#This Row],[Billing City]], ", ", Table1[[#This Row],[Billing State/Province]], ", ", Table1[[#This Row],[Billing Zip/Postal Code]])</f>
        <v xml:space="preserve">, , , </v>
      </c>
    </row>
    <row r="2095" spans="1:13" ht="15.6" hidden="1" x14ac:dyDescent="0.3">
      <c r="A2095" s="1" t="s">
        <v>6494</v>
      </c>
      <c r="B2095" s="1"/>
      <c r="C2095" s="1"/>
      <c r="D2095" s="1"/>
      <c r="E2095" s="1"/>
      <c r="F2095" s="1"/>
      <c r="G2095" s="1" t="s">
        <v>13</v>
      </c>
      <c r="H2095" s="2">
        <v>0</v>
      </c>
      <c r="I2095" s="1" t="s">
        <v>13</v>
      </c>
      <c r="J2095" s="1" t="s">
        <v>13</v>
      </c>
      <c r="K2095" s="1" t="s">
        <v>13</v>
      </c>
      <c r="L2095" s="1" t="s">
        <v>13</v>
      </c>
      <c r="M2095" s="6" t="str">
        <f>_xlfn.CONCAT(Table1[[#This Row],[Billing Street]], ", ", Table1[[#This Row],[Billing City]], ", ", Table1[[#This Row],[Billing State/Province]], ", ", Table1[[#This Row],[Billing Zip/Postal Code]])</f>
        <v xml:space="preserve">, , , </v>
      </c>
    </row>
    <row r="2096" spans="1:13" ht="15.6" hidden="1" x14ac:dyDescent="0.3">
      <c r="A2096" s="1" t="s">
        <v>6495</v>
      </c>
      <c r="B2096" s="1"/>
      <c r="C2096" s="1"/>
      <c r="D2096" s="1"/>
      <c r="E2096" s="1"/>
      <c r="F2096" s="1"/>
      <c r="G2096" s="1" t="s">
        <v>13</v>
      </c>
      <c r="H2096" s="2">
        <v>0</v>
      </c>
      <c r="I2096" s="1" t="s">
        <v>13</v>
      </c>
      <c r="J2096" s="1" t="s">
        <v>13</v>
      </c>
      <c r="K2096" s="1" t="s">
        <v>13</v>
      </c>
      <c r="L2096" s="1" t="s">
        <v>13</v>
      </c>
      <c r="M2096" s="6" t="str">
        <f>_xlfn.CONCAT(Table1[[#This Row],[Billing Street]], ", ", Table1[[#This Row],[Billing City]], ", ", Table1[[#This Row],[Billing State/Province]], ", ", Table1[[#This Row],[Billing Zip/Postal Code]])</f>
        <v xml:space="preserve">, , , </v>
      </c>
    </row>
    <row r="2097" spans="1:13" ht="15.6" hidden="1" x14ac:dyDescent="0.3">
      <c r="A2097" s="1" t="s">
        <v>6496</v>
      </c>
      <c r="B2097" s="1"/>
      <c r="C2097" s="1"/>
      <c r="D2097" s="1"/>
      <c r="E2097" s="1"/>
      <c r="F2097" s="1"/>
      <c r="G2097" s="1" t="s">
        <v>13</v>
      </c>
      <c r="H2097" s="2">
        <v>0</v>
      </c>
      <c r="I2097" s="1" t="s">
        <v>13</v>
      </c>
      <c r="J2097" s="1" t="s">
        <v>13</v>
      </c>
      <c r="K2097" s="1" t="s">
        <v>13</v>
      </c>
      <c r="L2097" s="1" t="s">
        <v>13</v>
      </c>
      <c r="M2097" s="6" t="str">
        <f>_xlfn.CONCAT(Table1[[#This Row],[Billing Street]], ", ", Table1[[#This Row],[Billing City]], ", ", Table1[[#This Row],[Billing State/Province]], ", ", Table1[[#This Row],[Billing Zip/Postal Code]])</f>
        <v xml:space="preserve">, , , </v>
      </c>
    </row>
    <row r="2098" spans="1:13" ht="15.6" hidden="1" x14ac:dyDescent="0.3">
      <c r="A2098" s="1" t="s">
        <v>6497</v>
      </c>
      <c r="B2098" s="1"/>
      <c r="C2098" s="1"/>
      <c r="D2098" s="1"/>
      <c r="E2098" s="1"/>
      <c r="F2098" s="1"/>
      <c r="G2098" s="1" t="s">
        <v>13</v>
      </c>
      <c r="H2098" s="2">
        <v>0</v>
      </c>
      <c r="I2098" s="1" t="s">
        <v>13</v>
      </c>
      <c r="J2098" s="1" t="s">
        <v>13</v>
      </c>
      <c r="K2098" s="1" t="s">
        <v>13</v>
      </c>
      <c r="L2098" s="1" t="s">
        <v>13</v>
      </c>
      <c r="M2098" s="6" t="str">
        <f>_xlfn.CONCAT(Table1[[#This Row],[Billing Street]], ", ", Table1[[#This Row],[Billing City]], ", ", Table1[[#This Row],[Billing State/Province]], ", ", Table1[[#This Row],[Billing Zip/Postal Code]])</f>
        <v xml:space="preserve">, , , </v>
      </c>
    </row>
    <row r="2099" spans="1:13" ht="15.6" hidden="1" x14ac:dyDescent="0.3">
      <c r="A2099" s="1" t="s">
        <v>6498</v>
      </c>
      <c r="B2099" s="1"/>
      <c r="C2099" s="1"/>
      <c r="D2099" s="1"/>
      <c r="E2099" s="1"/>
      <c r="F2099" s="1"/>
      <c r="G2099" s="1" t="s">
        <v>43</v>
      </c>
      <c r="H2099" s="2">
        <v>16</v>
      </c>
      <c r="I2099" s="1" t="s">
        <v>6499</v>
      </c>
      <c r="J2099" s="1" t="s">
        <v>6500</v>
      </c>
      <c r="K2099" s="1" t="s">
        <v>6501</v>
      </c>
      <c r="L2099" s="1" t="s">
        <v>6502</v>
      </c>
      <c r="M2099" s="6" t="str">
        <f>_xlfn.CONCAT(Table1[[#This Row],[Billing Street]], ", ", Table1[[#This Row],[Billing City]], ", ", Table1[[#This Row],[Billing State/Province]], ", ", Table1[[#This Row],[Billing Zip/Postal Code]])</f>
        <v>180 south Ave, tallmadge, oh, 44278</v>
      </c>
    </row>
    <row r="2100" spans="1:13" ht="15.6" hidden="1" x14ac:dyDescent="0.3">
      <c r="A2100" s="1" t="s">
        <v>6503</v>
      </c>
      <c r="B2100" s="1"/>
      <c r="C2100" s="1"/>
      <c r="D2100" s="1"/>
      <c r="E2100" s="1"/>
      <c r="F2100" s="1"/>
      <c r="G2100" s="1" t="s">
        <v>8</v>
      </c>
      <c r="H2100" s="2">
        <v>512</v>
      </c>
      <c r="I2100" s="1" t="s">
        <v>6504</v>
      </c>
      <c r="J2100" s="1" t="s">
        <v>557</v>
      </c>
      <c r="K2100" s="1" t="s">
        <v>51</v>
      </c>
      <c r="L2100" s="1" t="s">
        <v>2495</v>
      </c>
      <c r="M2100" s="6" t="str">
        <f>_xlfn.CONCAT(Table1[[#This Row],[Billing Street]], ", ", Table1[[#This Row],[Billing City]], ", ", Table1[[#This Row],[Billing State/Province]], ", ", Table1[[#This Row],[Billing Zip/Postal Code]])</f>
        <v>10220 Mykawa Rd, Houston, TX, 77048</v>
      </c>
    </row>
    <row r="2101" spans="1:13" ht="15.6" hidden="1" x14ac:dyDescent="0.3">
      <c r="A2101" s="1" t="s">
        <v>6505</v>
      </c>
      <c r="B2101" s="1"/>
      <c r="C2101" s="1"/>
      <c r="D2101" s="1"/>
      <c r="E2101" s="1"/>
      <c r="F2101" s="1"/>
      <c r="G2101" s="1" t="s">
        <v>98</v>
      </c>
      <c r="H2101" s="2">
        <v>266</v>
      </c>
      <c r="I2101" s="1" t="s">
        <v>6506</v>
      </c>
      <c r="J2101" s="1" t="s">
        <v>270</v>
      </c>
      <c r="K2101" s="1" t="s">
        <v>1135</v>
      </c>
      <c r="L2101" s="1" t="s">
        <v>6507</v>
      </c>
      <c r="M2101" s="6" t="str">
        <f>_xlfn.CONCAT(Table1[[#This Row],[Billing Street]], ", ", Table1[[#This Row],[Billing City]], ", ", Table1[[#This Row],[Billing State/Province]], ", ", Table1[[#This Row],[Billing Zip/Postal Code]])</f>
        <v>975 Highway 70 E, Camden, TN, 38320</v>
      </c>
    </row>
    <row r="2102" spans="1:13" ht="15.6" hidden="1" x14ac:dyDescent="0.3">
      <c r="A2102" s="1" t="s">
        <v>6508</v>
      </c>
      <c r="B2102" s="1"/>
      <c r="C2102" s="1"/>
      <c r="D2102" s="1"/>
      <c r="E2102" s="1"/>
      <c r="F2102" s="1"/>
      <c r="G2102" s="1" t="s">
        <v>8</v>
      </c>
      <c r="H2102" s="2">
        <v>595</v>
      </c>
      <c r="I2102" s="1" t="s">
        <v>6509</v>
      </c>
      <c r="J2102" s="1" t="s">
        <v>388</v>
      </c>
      <c r="K2102" s="1" t="s">
        <v>128</v>
      </c>
      <c r="L2102" s="1" t="s">
        <v>5041</v>
      </c>
      <c r="M2102" s="6" t="str">
        <f>_xlfn.CONCAT(Table1[[#This Row],[Billing Street]], ", ", Table1[[#This Row],[Billing City]], ", ", Table1[[#This Row],[Billing State/Province]], ", ", Table1[[#This Row],[Billing Zip/Postal Code]])</f>
        <v>392 Country road 50, Avon, MN, 56310</v>
      </c>
    </row>
    <row r="2103" spans="1:13" ht="15.6" hidden="1" x14ac:dyDescent="0.3">
      <c r="A2103" s="1" t="s">
        <v>6510</v>
      </c>
      <c r="B2103" s="1"/>
      <c r="C2103" s="1"/>
      <c r="D2103" s="1"/>
      <c r="E2103" s="1"/>
      <c r="F2103" s="1"/>
      <c r="G2103" s="1" t="s">
        <v>13</v>
      </c>
      <c r="H2103" s="2">
        <v>0</v>
      </c>
      <c r="I2103" s="1" t="s">
        <v>13</v>
      </c>
      <c r="J2103" s="1" t="s">
        <v>13</v>
      </c>
      <c r="K2103" s="1" t="s">
        <v>13</v>
      </c>
      <c r="L2103" s="1" t="s">
        <v>13</v>
      </c>
      <c r="M2103" s="6" t="str">
        <f>_xlfn.CONCAT(Table1[[#This Row],[Billing Street]], ", ", Table1[[#This Row],[Billing City]], ", ", Table1[[#This Row],[Billing State/Province]], ", ", Table1[[#This Row],[Billing Zip/Postal Code]])</f>
        <v xml:space="preserve">, , , </v>
      </c>
    </row>
    <row r="2104" spans="1:13" ht="15.6" hidden="1" x14ac:dyDescent="0.3">
      <c r="A2104" s="1" t="s">
        <v>6511</v>
      </c>
      <c r="B2104" s="1"/>
      <c r="C2104" s="1"/>
      <c r="D2104" s="1"/>
      <c r="E2104" s="1"/>
      <c r="F2104" s="1"/>
      <c r="G2104" s="1" t="s">
        <v>13</v>
      </c>
      <c r="H2104" s="2">
        <v>0</v>
      </c>
      <c r="I2104" s="1" t="s">
        <v>13</v>
      </c>
      <c r="J2104" s="1" t="s">
        <v>13</v>
      </c>
      <c r="K2104" s="1" t="s">
        <v>13</v>
      </c>
      <c r="L2104" s="1" t="s">
        <v>13</v>
      </c>
      <c r="M2104" s="6" t="str">
        <f>_xlfn.CONCAT(Table1[[#This Row],[Billing Street]], ", ", Table1[[#This Row],[Billing City]], ", ", Table1[[#This Row],[Billing State/Province]], ", ", Table1[[#This Row],[Billing Zip/Postal Code]])</f>
        <v xml:space="preserve">, , , </v>
      </c>
    </row>
    <row r="2105" spans="1:13" ht="15.6" hidden="1" x14ac:dyDescent="0.3">
      <c r="A2105" s="1" t="s">
        <v>6512</v>
      </c>
      <c r="B2105" s="1"/>
      <c r="C2105" s="1"/>
      <c r="D2105" s="1"/>
      <c r="E2105" s="1"/>
      <c r="F2105" s="1"/>
      <c r="G2105" s="1" t="s">
        <v>43</v>
      </c>
      <c r="H2105" s="2">
        <v>5776</v>
      </c>
      <c r="I2105" s="1" t="s">
        <v>13</v>
      </c>
      <c r="J2105" s="1" t="s">
        <v>1959</v>
      </c>
      <c r="K2105" s="1" t="s">
        <v>45</v>
      </c>
      <c r="L2105" s="1" t="s">
        <v>6513</v>
      </c>
      <c r="M2105" s="6" t="str">
        <f>_xlfn.CONCAT(Table1[[#This Row],[Billing Street]], ", ", Table1[[#This Row],[Billing City]], ", ", Table1[[#This Row],[Billing State/Province]], ", ", Table1[[#This Row],[Billing Zip/Postal Code]])</f>
        <v>, Bowling Green, OH, 43403</v>
      </c>
    </row>
    <row r="2106" spans="1:13" ht="15.6" hidden="1" x14ac:dyDescent="0.3">
      <c r="A2106" s="1" t="s">
        <v>6514</v>
      </c>
      <c r="B2106" s="1"/>
      <c r="C2106" s="1"/>
      <c r="D2106" s="1"/>
      <c r="E2106" s="1"/>
      <c r="F2106" s="1"/>
      <c r="G2106" s="1" t="s">
        <v>8</v>
      </c>
      <c r="H2106" s="2">
        <v>182</v>
      </c>
      <c r="I2106" s="1" t="s">
        <v>6515</v>
      </c>
      <c r="J2106" s="1" t="s">
        <v>2185</v>
      </c>
      <c r="K2106" s="1" t="s">
        <v>554</v>
      </c>
      <c r="L2106" s="1" t="s">
        <v>2186</v>
      </c>
      <c r="M2106" s="6" t="str">
        <f>_xlfn.CONCAT(Table1[[#This Row],[Billing Street]], ", ", Table1[[#This Row],[Billing City]], ", ", Table1[[#This Row],[Billing State/Province]], ", ", Table1[[#This Row],[Billing Zip/Postal Code]])</f>
        <v>1712 Central Avenue, Horton, KS, 66439</v>
      </c>
    </row>
    <row r="2107" spans="1:13" ht="15.6" hidden="1" x14ac:dyDescent="0.3">
      <c r="A2107" s="1" t="s">
        <v>6516</v>
      </c>
      <c r="B2107" s="1"/>
      <c r="C2107" s="1"/>
      <c r="D2107" s="1"/>
      <c r="E2107" s="1"/>
      <c r="F2107" s="1"/>
      <c r="G2107" s="1" t="s">
        <v>43</v>
      </c>
      <c r="H2107" s="2">
        <v>5776</v>
      </c>
      <c r="I2107" s="1" t="s">
        <v>6517</v>
      </c>
      <c r="J2107" s="1" t="s">
        <v>2120</v>
      </c>
      <c r="K2107" s="1" t="s">
        <v>1505</v>
      </c>
      <c r="L2107" s="1" t="s">
        <v>6518</v>
      </c>
      <c r="M2107" s="6" t="str">
        <f>_xlfn.CONCAT(Table1[[#This Row],[Billing Street]], ", ", Table1[[#This Row],[Billing City]], ", ", Table1[[#This Row],[Billing State/Province]], ", ", Table1[[#This Row],[Billing Zip/Postal Code]])</f>
        <v>585 Pine St., Burlington, VT, 5401</v>
      </c>
    </row>
    <row r="2108" spans="1:13" ht="15.6" hidden="1" x14ac:dyDescent="0.3">
      <c r="A2108" s="1" t="s">
        <v>6519</v>
      </c>
      <c r="B2108" s="1"/>
      <c r="C2108" s="1"/>
      <c r="D2108" s="1"/>
      <c r="E2108" s="1"/>
      <c r="F2108" s="1"/>
      <c r="G2108" s="1" t="s">
        <v>8</v>
      </c>
      <c r="H2108" s="2">
        <v>45</v>
      </c>
      <c r="I2108" s="1" t="s">
        <v>6520</v>
      </c>
      <c r="J2108" s="1" t="s">
        <v>6521</v>
      </c>
      <c r="K2108" s="1" t="s">
        <v>554</v>
      </c>
      <c r="L2108" s="1" t="s">
        <v>6522</v>
      </c>
      <c r="M2108" s="6" t="str">
        <f>_xlfn.CONCAT(Table1[[#This Row],[Billing Street]], ", ", Table1[[#This Row],[Billing City]], ", ", Table1[[#This Row],[Billing State/Province]], ", ", Table1[[#This Row],[Billing Zip/Postal Code]])</f>
        <v>1002 E. 14th St, Chanute, KS, 66720</v>
      </c>
    </row>
    <row r="2109" spans="1:13" ht="15.6" x14ac:dyDescent="0.3">
      <c r="A2109" s="1" t="s">
        <v>6523</v>
      </c>
      <c r="B2109" s="1"/>
      <c r="C2109" s="1"/>
      <c r="D2109" s="1"/>
      <c r="E2109" s="1"/>
      <c r="F2109" s="1"/>
      <c r="G2109" s="1" t="s">
        <v>24</v>
      </c>
      <c r="H2109" s="2">
        <v>70</v>
      </c>
      <c r="I2109" s="1" t="s">
        <v>6524</v>
      </c>
      <c r="J2109" s="1" t="s">
        <v>715</v>
      </c>
      <c r="K2109" s="1" t="s">
        <v>36</v>
      </c>
      <c r="L2109" s="1" t="s">
        <v>716</v>
      </c>
      <c r="M2109" s="6" t="str">
        <f>_xlfn.CONCAT(Table1[[#This Row],[Billing Street]], ", ", Table1[[#This Row],[Billing City]], ", ", Table1[[#This Row],[Billing State/Province]], ", ", Table1[[#This Row],[Billing Zip/Postal Code]])</f>
        <v>113 Industrial Blvd, Pensacola, FL, 32505</v>
      </c>
    </row>
    <row r="2110" spans="1:13" ht="15.6" x14ac:dyDescent="0.3">
      <c r="A2110" s="1" t="s">
        <v>6525</v>
      </c>
      <c r="B2110" s="1"/>
      <c r="C2110" s="1"/>
      <c r="D2110" s="1"/>
      <c r="E2110" s="1"/>
      <c r="F2110" s="1"/>
      <c r="G2110" s="1" t="s">
        <v>24</v>
      </c>
      <c r="H2110" s="2">
        <v>378</v>
      </c>
      <c r="I2110" s="1" t="s">
        <v>6526</v>
      </c>
      <c r="J2110" s="1" t="s">
        <v>6527</v>
      </c>
      <c r="K2110" s="1" t="s">
        <v>577</v>
      </c>
      <c r="L2110" s="1" t="s">
        <v>6528</v>
      </c>
      <c r="M2110" s="6" t="str">
        <f>_xlfn.CONCAT(Table1[[#This Row],[Billing Street]], ", ", Table1[[#This Row],[Billing City]], ", ", Table1[[#This Row],[Billing State/Province]], ", ", Table1[[#This Row],[Billing Zip/Postal Code]])</f>
        <v>2021 Industrial Park Road, Alexandria, LA, 71303</v>
      </c>
    </row>
    <row r="2111" spans="1:13" ht="15.6" hidden="1" x14ac:dyDescent="0.3">
      <c r="A2111" s="1" t="s">
        <v>2008</v>
      </c>
      <c r="B2111" s="1"/>
      <c r="C2111" s="1"/>
      <c r="D2111" s="1"/>
      <c r="E2111" s="1"/>
      <c r="F2111" s="1"/>
      <c r="G2111" s="1" t="s">
        <v>98</v>
      </c>
      <c r="H2111" s="2">
        <v>5887</v>
      </c>
      <c r="I2111" s="1" t="s">
        <v>13</v>
      </c>
      <c r="J2111" s="1" t="s">
        <v>2010</v>
      </c>
      <c r="K2111" s="1" t="s">
        <v>101</v>
      </c>
      <c r="L2111" s="1" t="s">
        <v>13</v>
      </c>
      <c r="M2111" s="6" t="str">
        <f>_xlfn.CONCAT(Table1[[#This Row],[Billing Street]], ", ", Table1[[#This Row],[Billing City]], ", ", Table1[[#This Row],[Billing State/Province]], ", ", Table1[[#This Row],[Billing Zip/Postal Code]])</f>
        <v xml:space="preserve">, Sandersville, GA, </v>
      </c>
    </row>
    <row r="2112" spans="1:13" ht="15.6" hidden="1" x14ac:dyDescent="0.3">
      <c r="A2112" s="1" t="s">
        <v>6529</v>
      </c>
      <c r="B2112" s="1"/>
      <c r="C2112" s="1"/>
      <c r="D2112" s="1"/>
      <c r="E2112" s="1"/>
      <c r="F2112" s="1"/>
      <c r="G2112" s="1" t="s">
        <v>98</v>
      </c>
      <c r="H2112" s="2">
        <v>5887</v>
      </c>
      <c r="I2112" s="1" t="s">
        <v>6530</v>
      </c>
      <c r="J2112" s="1" t="s">
        <v>5185</v>
      </c>
      <c r="K2112" s="1" t="s">
        <v>101</v>
      </c>
      <c r="L2112" s="1" t="s">
        <v>13</v>
      </c>
      <c r="M2112" s="6" t="str">
        <f>_xlfn.CONCAT(Table1[[#This Row],[Billing Street]], ", ", Table1[[#This Row],[Billing City]], ", ", Table1[[#This Row],[Billing State/Province]], ", ", Table1[[#This Row],[Billing Zip/Postal Code]])</f>
        <v xml:space="preserve">303 Veterans Drive, Thomaston, GA, </v>
      </c>
    </row>
    <row r="2113" spans="1:13" ht="15.6" hidden="1" x14ac:dyDescent="0.3">
      <c r="A2113" s="1" t="s">
        <v>6531</v>
      </c>
      <c r="B2113" s="1"/>
      <c r="C2113" s="1"/>
      <c r="D2113" s="1"/>
      <c r="E2113" s="1"/>
      <c r="F2113" s="1"/>
      <c r="G2113" s="1" t="s">
        <v>43</v>
      </c>
      <c r="H2113" s="2">
        <v>248</v>
      </c>
      <c r="I2113" s="1" t="s">
        <v>6532</v>
      </c>
      <c r="J2113" s="1" t="s">
        <v>5266</v>
      </c>
      <c r="K2113" s="1" t="s">
        <v>1191</v>
      </c>
      <c r="L2113" s="1" t="s">
        <v>5267</v>
      </c>
      <c r="M2113" s="6" t="str">
        <f>_xlfn.CONCAT(Table1[[#This Row],[Billing Street]], ", ", Table1[[#This Row],[Billing City]], ", ", Table1[[#This Row],[Billing State/Province]], ", ", Table1[[#This Row],[Billing Zip/Postal Code]])</f>
        <v>400 North Main St., Williamstown, KY, 41097</v>
      </c>
    </row>
    <row r="2114" spans="1:13" ht="15.6" x14ac:dyDescent="0.3">
      <c r="A2114" s="1" t="s">
        <v>6533</v>
      </c>
      <c r="B2114" s="1"/>
      <c r="C2114" s="1"/>
      <c r="D2114" s="1"/>
      <c r="E2114" s="1"/>
      <c r="F2114" s="1"/>
      <c r="G2114" s="1" t="s">
        <v>24</v>
      </c>
      <c r="H2114" s="2">
        <v>5988</v>
      </c>
      <c r="I2114" s="1" t="s">
        <v>6534</v>
      </c>
      <c r="J2114" s="1" t="s">
        <v>637</v>
      </c>
      <c r="K2114" s="1" t="s">
        <v>26</v>
      </c>
      <c r="L2114" s="1" t="s">
        <v>638</v>
      </c>
      <c r="M2114" s="6" t="str">
        <f>_xlfn.CONCAT(Table1[[#This Row],[Billing Street]], ", ", Table1[[#This Row],[Billing City]], ", ", Table1[[#This Row],[Billing State/Province]], ", ", Table1[[#This Row],[Billing Zip/Postal Code]])</f>
        <v>1307 College Avenue, Jackson, AL, 36545</v>
      </c>
    </row>
    <row r="2115" spans="1:13" ht="15.6" x14ac:dyDescent="0.3">
      <c r="A2115" s="1" t="s">
        <v>6535</v>
      </c>
      <c r="B2115" s="1"/>
      <c r="C2115" s="1"/>
      <c r="D2115" s="1"/>
      <c r="E2115" s="1"/>
      <c r="F2115" s="1"/>
      <c r="G2115" s="1" t="s">
        <v>24</v>
      </c>
      <c r="H2115" s="2">
        <v>5988</v>
      </c>
      <c r="I2115" s="1" t="s">
        <v>6536</v>
      </c>
      <c r="J2115" s="1" t="s">
        <v>637</v>
      </c>
      <c r="K2115" s="1" t="s">
        <v>26</v>
      </c>
      <c r="L2115" s="1" t="s">
        <v>638</v>
      </c>
      <c r="M2115" s="6" t="str">
        <f>_xlfn.CONCAT(Table1[[#This Row],[Billing Street]], ", ", Table1[[#This Row],[Billing City]], ", ", Table1[[#This Row],[Billing State/Province]], ", ", Table1[[#This Row],[Billing Zip/Postal Code]])</f>
        <v>1307 College Ave, Jackson, AL, 36545</v>
      </c>
    </row>
    <row r="2116" spans="1:13" ht="15.6" hidden="1" x14ac:dyDescent="0.3">
      <c r="A2116" s="1" t="s">
        <v>6537</v>
      </c>
      <c r="B2116" s="1"/>
      <c r="C2116" s="1"/>
      <c r="D2116" s="1"/>
      <c r="E2116" s="1"/>
      <c r="F2116" s="1"/>
      <c r="G2116" s="1" t="s">
        <v>43</v>
      </c>
      <c r="H2116" s="2">
        <v>5776</v>
      </c>
      <c r="I2116" s="1" t="s">
        <v>6538</v>
      </c>
      <c r="J2116" s="1" t="s">
        <v>160</v>
      </c>
      <c r="K2116" s="1" t="s">
        <v>6539</v>
      </c>
      <c r="L2116" s="1" t="s">
        <v>6540</v>
      </c>
      <c r="M2116" s="6" t="str">
        <f>_xlfn.CONCAT(Table1[[#This Row],[Billing Street]], ", ", Table1[[#This Row],[Billing City]], ", ", Table1[[#This Row],[Billing State/Province]], ", ", Table1[[#This Row],[Billing Zip/Postal Code]])</f>
        <v>1175 Elm street, Concord, Ma, 1742</v>
      </c>
    </row>
    <row r="2117" spans="1:13" ht="15.6" hidden="1" x14ac:dyDescent="0.3">
      <c r="A2117" s="1" t="s">
        <v>6541</v>
      </c>
      <c r="B2117" s="1"/>
      <c r="C2117" s="1"/>
      <c r="D2117" s="1"/>
      <c r="E2117" s="1"/>
      <c r="F2117" s="1"/>
      <c r="G2117" s="1" t="s">
        <v>43</v>
      </c>
      <c r="H2117" s="2">
        <v>322</v>
      </c>
      <c r="I2117" s="1" t="s">
        <v>6542</v>
      </c>
      <c r="J2117" s="1" t="s">
        <v>4351</v>
      </c>
      <c r="K2117" s="1" t="s">
        <v>237</v>
      </c>
      <c r="L2117" s="1" t="s">
        <v>6543</v>
      </c>
      <c r="M2117" s="6" t="str">
        <f>_xlfn.CONCAT(Table1[[#This Row],[Billing Street]], ", ", Table1[[#This Row],[Billing City]], ", ", Table1[[#This Row],[Billing State/Province]], ", ", Table1[[#This Row],[Billing Zip/Postal Code]])</f>
        <v>1329 2nd Street, Covington, IN, 47932</v>
      </c>
    </row>
    <row r="2118" spans="1:13" ht="15.6" x14ac:dyDescent="0.3">
      <c r="A2118" s="1" t="s">
        <v>6544</v>
      </c>
      <c r="B2118" s="1"/>
      <c r="C2118" s="1"/>
      <c r="D2118" s="1"/>
      <c r="E2118" s="1"/>
      <c r="F2118" s="1"/>
      <c r="G2118" s="1" t="s">
        <v>24</v>
      </c>
      <c r="H2118" s="2">
        <v>255</v>
      </c>
      <c r="I2118" s="1" t="s">
        <v>6545</v>
      </c>
      <c r="J2118" s="1" t="s">
        <v>6546</v>
      </c>
      <c r="K2118" s="1" t="s">
        <v>36</v>
      </c>
      <c r="L2118" s="1" t="s">
        <v>6547</v>
      </c>
      <c r="M2118" s="6" t="str">
        <f>_xlfn.CONCAT(Table1[[#This Row],[Billing Street]], ", ", Table1[[#This Row],[Billing City]], ", ", Table1[[#This Row],[Billing State/Province]], ", ", Table1[[#This Row],[Billing Zip/Postal Code]])</f>
        <v>2961 S. Lecanto Hwy, Lecanto, FL, 34461</v>
      </c>
    </row>
    <row r="2119" spans="1:13" ht="15.6" hidden="1" x14ac:dyDescent="0.3">
      <c r="A2119" s="1" t="s">
        <v>6548</v>
      </c>
      <c r="B2119" s="1"/>
      <c r="C2119" s="1"/>
      <c r="D2119" s="1"/>
      <c r="E2119" s="1"/>
      <c r="F2119" s="1"/>
      <c r="G2119" s="1" t="s">
        <v>98</v>
      </c>
      <c r="H2119" s="2">
        <v>253</v>
      </c>
      <c r="I2119" s="1" t="s">
        <v>6549</v>
      </c>
      <c r="J2119" s="1" t="s">
        <v>4740</v>
      </c>
      <c r="K2119" s="1" t="s">
        <v>1135</v>
      </c>
      <c r="L2119" s="1" t="s">
        <v>6550</v>
      </c>
      <c r="M2119" s="6" t="str">
        <f>_xlfn.CONCAT(Table1[[#This Row],[Billing Street]], ", ", Table1[[#This Row],[Billing City]], ", ", Table1[[#This Row],[Billing State/Province]], ", ", Table1[[#This Row],[Billing Zip/Postal Code]])</f>
        <v>1940 Madison St., Clarksville, TN, 37043</v>
      </c>
    </row>
    <row r="2120" spans="1:13" ht="15.6" hidden="1" x14ac:dyDescent="0.3">
      <c r="A2120" s="1" t="s">
        <v>6551</v>
      </c>
      <c r="B2120" s="1"/>
      <c r="C2120" s="1"/>
      <c r="D2120" s="1"/>
      <c r="E2120" s="1"/>
      <c r="F2120" s="1"/>
      <c r="G2120" s="1" t="s">
        <v>43</v>
      </c>
      <c r="H2120" s="2">
        <v>343</v>
      </c>
      <c r="I2120" s="1" t="s">
        <v>6552</v>
      </c>
      <c r="J2120" s="1" t="s">
        <v>6553</v>
      </c>
      <c r="K2120" s="1" t="s">
        <v>237</v>
      </c>
      <c r="L2120" s="1" t="s">
        <v>6554</v>
      </c>
      <c r="M2120" s="6" t="str">
        <f>_xlfn.CONCAT(Table1[[#This Row],[Billing Street]], ", ", Table1[[#This Row],[Billing City]], ", ", Table1[[#This Row],[Billing State/Province]], ", ", Table1[[#This Row],[Billing Zip/Postal Code]])</f>
        <v>12628 E 75 N, Loogootee, IN, 47553</v>
      </c>
    </row>
    <row r="2121" spans="1:13" ht="15.6" hidden="1" x14ac:dyDescent="0.3">
      <c r="A2121" s="1" t="s">
        <v>6555</v>
      </c>
      <c r="B2121" s="1"/>
      <c r="C2121" s="1"/>
      <c r="D2121" s="1"/>
      <c r="E2121" s="1"/>
      <c r="F2121" s="1"/>
      <c r="G2121" s="1" t="s">
        <v>8</v>
      </c>
      <c r="H2121" s="2">
        <v>679</v>
      </c>
      <c r="I2121" s="1" t="s">
        <v>2629</v>
      </c>
      <c r="J2121" s="1" t="s">
        <v>2630</v>
      </c>
      <c r="K2121" s="1" t="s">
        <v>208</v>
      </c>
      <c r="L2121" s="1" t="s">
        <v>2631</v>
      </c>
      <c r="M2121" s="6" t="str">
        <f>_xlfn.CONCAT(Table1[[#This Row],[Billing Street]], ", ", Table1[[#This Row],[Billing City]], ", ", Table1[[#This Row],[Billing State/Province]], ", ", Table1[[#This Row],[Billing Zip/Postal Code]])</f>
        <v>11925 6300 Rd, Montrose, CO, 81401</v>
      </c>
    </row>
    <row r="2122" spans="1:13" ht="15.6" hidden="1" x14ac:dyDescent="0.3">
      <c r="A2122" s="1" t="s">
        <v>6556</v>
      </c>
      <c r="B2122" s="1"/>
      <c r="C2122" s="1"/>
      <c r="D2122" s="1"/>
      <c r="E2122" s="1"/>
      <c r="F2122" s="1"/>
      <c r="G2122" s="1" t="s">
        <v>205</v>
      </c>
      <c r="H2122" s="2">
        <v>346</v>
      </c>
      <c r="I2122" s="1" t="s">
        <v>6557</v>
      </c>
      <c r="J2122" s="1" t="s">
        <v>687</v>
      </c>
      <c r="K2122" s="1" t="s">
        <v>51</v>
      </c>
      <c r="L2122" s="1" t="s">
        <v>688</v>
      </c>
      <c r="M2122" s="6" t="str">
        <f>_xlfn.CONCAT(Table1[[#This Row],[Billing Street]], ", ", Table1[[#This Row],[Billing City]], ", ", Table1[[#This Row],[Billing State/Province]], ", ", Table1[[#This Row],[Billing Zip/Postal Code]])</f>
        <v>100 N Stanton St, El Paso, TX, 79960</v>
      </c>
    </row>
    <row r="2123" spans="1:13" ht="15.6" x14ac:dyDescent="0.3">
      <c r="A2123" s="1" t="s">
        <v>6558</v>
      </c>
      <c r="B2123" s="1"/>
      <c r="C2123" s="1"/>
      <c r="D2123" s="1"/>
      <c r="E2123" s="1"/>
      <c r="F2123" s="1"/>
      <c r="G2123" s="1" t="s">
        <v>24</v>
      </c>
      <c r="H2123" s="2">
        <v>264</v>
      </c>
      <c r="I2123" s="1" t="s">
        <v>6559</v>
      </c>
      <c r="J2123" s="1" t="s">
        <v>6560</v>
      </c>
      <c r="K2123" s="1" t="s">
        <v>31</v>
      </c>
      <c r="L2123" s="1" t="s">
        <v>6561</v>
      </c>
      <c r="M2123" s="6" t="str">
        <f>_xlfn.CONCAT(Table1[[#This Row],[Billing Street]], ", ", Table1[[#This Row],[Billing City]], ", ", Table1[[#This Row],[Billing State/Province]], ", ", Table1[[#This Row],[Billing Zip/Postal Code]])</f>
        <v>Highland Colony Parkway, Ridgeland, MS, 39157</v>
      </c>
    </row>
    <row r="2124" spans="1:13" ht="15.6" hidden="1" x14ac:dyDescent="0.3">
      <c r="A2124" s="1" t="s">
        <v>6562</v>
      </c>
      <c r="B2124" s="1"/>
      <c r="C2124" s="1"/>
      <c r="D2124" s="1"/>
      <c r="E2124" s="1"/>
      <c r="F2124" s="1"/>
      <c r="G2124" s="1" t="s">
        <v>8</v>
      </c>
      <c r="H2124" s="2">
        <v>307</v>
      </c>
      <c r="I2124" s="1" t="s">
        <v>2691</v>
      </c>
      <c r="J2124" s="1" t="s">
        <v>6563</v>
      </c>
      <c r="K2124" s="1" t="s">
        <v>11</v>
      </c>
      <c r="L2124" s="1" t="s">
        <v>2692</v>
      </c>
      <c r="M2124" s="6" t="str">
        <f>_xlfn.CONCAT(Table1[[#This Row],[Billing Street]], ", ", Table1[[#This Row],[Billing City]], ", ", Table1[[#This Row],[Billing State/Province]], ", ", Table1[[#This Row],[Billing Zip/Postal Code]])</f>
        <v>10330 Page Industrial Blvd, Ste A, St Louis,, MO, 63132</v>
      </c>
    </row>
    <row r="2125" spans="1:13" ht="15.6" hidden="1" x14ac:dyDescent="0.3">
      <c r="A2125" s="1" t="s">
        <v>6564</v>
      </c>
      <c r="B2125" s="1"/>
      <c r="C2125" s="1"/>
      <c r="D2125" s="1"/>
      <c r="E2125" s="1"/>
      <c r="F2125" s="1"/>
      <c r="G2125" s="1" t="s">
        <v>43</v>
      </c>
      <c r="H2125" s="2">
        <v>5776</v>
      </c>
      <c r="I2125" s="1" t="s">
        <v>13</v>
      </c>
      <c r="J2125" s="1" t="s">
        <v>6565</v>
      </c>
      <c r="K2125" s="1" t="s">
        <v>1115</v>
      </c>
      <c r="L2125" s="1" t="s">
        <v>13</v>
      </c>
      <c r="M2125" s="6" t="str">
        <f>_xlfn.CONCAT(Table1[[#This Row],[Billing Street]], ", ", Table1[[#This Row],[Billing City]], ", ", Table1[[#This Row],[Billing State/Province]], ", ", Table1[[#This Row],[Billing Zip/Postal Code]])</f>
        <v xml:space="preserve">, Chester, VA, </v>
      </c>
    </row>
    <row r="2126" spans="1:13" ht="15.6" x14ac:dyDescent="0.3">
      <c r="A2126" s="1" t="s">
        <v>6566</v>
      </c>
      <c r="B2126" s="1"/>
      <c r="C2126" s="1"/>
      <c r="D2126" s="1"/>
      <c r="E2126" s="1"/>
      <c r="F2126" s="1"/>
      <c r="G2126" s="1" t="s">
        <v>24</v>
      </c>
      <c r="H2126" s="2">
        <v>288</v>
      </c>
      <c r="I2126" s="1" t="s">
        <v>1881</v>
      </c>
      <c r="J2126" s="1" t="s">
        <v>1882</v>
      </c>
      <c r="K2126" s="1" t="s">
        <v>36</v>
      </c>
      <c r="L2126" s="1" t="s">
        <v>1883</v>
      </c>
      <c r="M2126" s="6" t="str">
        <f>_xlfn.CONCAT(Table1[[#This Row],[Billing Street]], ", ", Table1[[#This Row],[Billing City]], ", ", Table1[[#This Row],[Billing State/Province]], ", ", Table1[[#This Row],[Billing Zip/Postal Code]])</f>
        <v>1746 US Hwy 441, Leesburg, FL, 34748</v>
      </c>
    </row>
    <row r="2127" spans="1:13" ht="15.6" x14ac:dyDescent="0.3">
      <c r="A2127" s="1" t="s">
        <v>6567</v>
      </c>
      <c r="B2127" s="1"/>
      <c r="C2127" s="1"/>
      <c r="D2127" s="1"/>
      <c r="E2127" s="1"/>
      <c r="F2127" s="1"/>
      <c r="G2127" s="1" t="s">
        <v>24</v>
      </c>
      <c r="H2127" s="2">
        <v>97</v>
      </c>
      <c r="I2127" s="1" t="s">
        <v>1028</v>
      </c>
      <c r="J2127" s="1" t="s">
        <v>1029</v>
      </c>
      <c r="K2127" s="1" t="s">
        <v>26</v>
      </c>
      <c r="L2127" s="1" t="s">
        <v>1030</v>
      </c>
      <c r="M2127" s="6" t="str">
        <f>_xlfn.CONCAT(Table1[[#This Row],[Billing Street]], ", ", Table1[[#This Row],[Billing City]], ", ", Table1[[#This Row],[Billing State/Province]], ", ", Table1[[#This Row],[Billing Zip/Postal Code]])</f>
        <v>17175 John Glenn Ave, Robertsdale, AL, 36567</v>
      </c>
    </row>
    <row r="2128" spans="1:13" ht="15.6" hidden="1" x14ac:dyDescent="0.3">
      <c r="A2128" s="1" t="s">
        <v>6568</v>
      </c>
      <c r="B2128" s="1"/>
      <c r="C2128" s="1"/>
      <c r="D2128" s="1"/>
      <c r="E2128" s="1"/>
      <c r="F2128" s="1"/>
      <c r="G2128" s="1" t="s">
        <v>43</v>
      </c>
      <c r="H2128" s="2">
        <v>5776</v>
      </c>
      <c r="I2128" s="1" t="s">
        <v>6569</v>
      </c>
      <c r="J2128" s="1" t="s">
        <v>3419</v>
      </c>
      <c r="K2128" s="1" t="s">
        <v>2359</v>
      </c>
      <c r="L2128" s="1" t="s">
        <v>13</v>
      </c>
      <c r="M2128" s="6" t="str">
        <f>_xlfn.CONCAT(Table1[[#This Row],[Billing Street]], ", ", Table1[[#This Row],[Billing City]], ", ", Table1[[#This Row],[Billing State/Province]], ", ", Table1[[#This Row],[Billing Zip/Postal Code]])</f>
        <v xml:space="preserve">264 South River Road, Suite 486, Bedford, NH, </v>
      </c>
    </row>
    <row r="2129" spans="1:13" ht="15.6" hidden="1" x14ac:dyDescent="0.3">
      <c r="A2129" s="1" t="s">
        <v>6570</v>
      </c>
      <c r="B2129" s="1"/>
      <c r="C2129" s="1"/>
      <c r="D2129" s="1"/>
      <c r="E2129" s="1"/>
      <c r="F2129" s="1"/>
      <c r="G2129" s="1" t="s">
        <v>8</v>
      </c>
      <c r="H2129" s="2">
        <v>315</v>
      </c>
      <c r="I2129" s="1" t="s">
        <v>6571</v>
      </c>
      <c r="J2129" s="1" t="s">
        <v>6572</v>
      </c>
      <c r="K2129" s="1" t="s">
        <v>11</v>
      </c>
      <c r="L2129" s="1" t="s">
        <v>6573</v>
      </c>
      <c r="M2129" s="6" t="str">
        <f>_xlfn.CONCAT(Table1[[#This Row],[Billing Street]], ", ", Table1[[#This Row],[Billing City]], ", ", Table1[[#This Row],[Billing State/Province]], ", ", Table1[[#This Row],[Billing Zip/Postal Code]])</f>
        <v>PO Box 78099, St.Louis, MO, 63178</v>
      </c>
    </row>
    <row r="2130" spans="1:13" ht="15.6" x14ac:dyDescent="0.3">
      <c r="A2130" s="1" t="s">
        <v>6574</v>
      </c>
      <c r="B2130" s="1"/>
      <c r="C2130" s="1"/>
      <c r="D2130" s="1"/>
      <c r="E2130" s="1"/>
      <c r="F2130" s="1"/>
      <c r="G2130" s="1" t="s">
        <v>24</v>
      </c>
      <c r="H2130" s="2">
        <v>268</v>
      </c>
      <c r="I2130" s="1" t="s">
        <v>6575</v>
      </c>
      <c r="J2130" s="1" t="s">
        <v>6576</v>
      </c>
      <c r="K2130" s="1" t="s">
        <v>36</v>
      </c>
      <c r="L2130" s="1" t="s">
        <v>6577</v>
      </c>
      <c r="M2130" s="6" t="str">
        <f>_xlfn.CONCAT(Table1[[#This Row],[Billing Street]], ", ", Table1[[#This Row],[Billing City]], ", ", Table1[[#This Row],[Billing State/Province]], ", ", Table1[[#This Row],[Billing Zip/Postal Code]])</f>
        <v>1289 Harbor Rd, Green Cove Springs, FL, 32043</v>
      </c>
    </row>
    <row r="2131" spans="1:13" ht="15.6" hidden="1" x14ac:dyDescent="0.3">
      <c r="A2131" s="1" t="s">
        <v>6578</v>
      </c>
      <c r="B2131" s="1"/>
      <c r="C2131" s="1"/>
      <c r="D2131" s="1"/>
      <c r="E2131" s="1"/>
      <c r="F2131" s="1"/>
      <c r="G2131" s="1" t="s">
        <v>8</v>
      </c>
      <c r="H2131" s="2">
        <v>574</v>
      </c>
      <c r="I2131" s="1" t="s">
        <v>6579</v>
      </c>
      <c r="J2131" s="1" t="s">
        <v>3557</v>
      </c>
      <c r="K2131" s="1" t="s">
        <v>21</v>
      </c>
      <c r="L2131" s="1" t="s">
        <v>6580</v>
      </c>
      <c r="M2131" s="6" t="str">
        <f>_xlfn.CONCAT(Table1[[#This Row],[Billing Street]], ", ", Table1[[#This Row],[Billing City]], ", ", Table1[[#This Row],[Billing State/Province]], ", ", Table1[[#This Row],[Billing Zip/Postal Code]])</f>
        <v>10040 Davenport Street NE, Blaine, IA, 55449</v>
      </c>
    </row>
    <row r="2132" spans="1:13" ht="15.6" hidden="1" x14ac:dyDescent="0.3">
      <c r="A2132" s="1" t="s">
        <v>6581</v>
      </c>
      <c r="B2132" s="1"/>
      <c r="C2132" s="1"/>
      <c r="D2132" s="1"/>
      <c r="E2132" s="1"/>
      <c r="F2132" s="1"/>
      <c r="G2132" s="1" t="s">
        <v>205</v>
      </c>
      <c r="H2132" s="2">
        <v>696</v>
      </c>
      <c r="I2132" s="1" t="s">
        <v>6582</v>
      </c>
      <c r="J2132" s="1" t="s">
        <v>6583</v>
      </c>
      <c r="K2132" s="1" t="s">
        <v>2309</v>
      </c>
      <c r="L2132" s="1" t="s">
        <v>6584</v>
      </c>
      <c r="M2132" s="6" t="str">
        <f>_xlfn.CONCAT(Table1[[#This Row],[Billing Street]], ", ", Table1[[#This Row],[Billing City]], ", ", Table1[[#This Row],[Billing State/Province]], ", ", Table1[[#This Row],[Billing Zip/Postal Code]])</f>
        <v>2525 Fremont Ave, Idaho Falls, ID, 83415</v>
      </c>
    </row>
    <row r="2133" spans="1:13" ht="15.6" hidden="1" x14ac:dyDescent="0.3">
      <c r="A2133" s="1" t="s">
        <v>6585</v>
      </c>
      <c r="B2133" s="1"/>
      <c r="C2133" s="1"/>
      <c r="D2133" s="1"/>
      <c r="E2133" s="1"/>
      <c r="F2133" s="1"/>
      <c r="G2133" s="1" t="s">
        <v>54</v>
      </c>
      <c r="H2133" s="2">
        <v>939</v>
      </c>
      <c r="I2133" s="1" t="s">
        <v>6586</v>
      </c>
      <c r="J2133" s="1" t="s">
        <v>1818</v>
      </c>
      <c r="K2133" s="1" t="s">
        <v>2304</v>
      </c>
      <c r="L2133" s="1" t="s">
        <v>6587</v>
      </c>
      <c r="M2133" s="6" t="str">
        <f>_xlfn.CONCAT(Table1[[#This Row],[Billing Street]], ", ", Table1[[#This Row],[Billing City]], ", ", Table1[[#This Row],[Billing State/Province]], ", ", Table1[[#This Row],[Billing Zip/Postal Code]])</f>
        <v>10110 west Halley, Spokane, Wa, 99224</v>
      </c>
    </row>
    <row r="2134" spans="1:13" ht="15.6" hidden="1" x14ac:dyDescent="0.3">
      <c r="A2134" s="1" t="s">
        <v>6588</v>
      </c>
      <c r="B2134" s="1"/>
      <c r="C2134" s="1"/>
      <c r="D2134" s="1"/>
      <c r="E2134" s="1"/>
      <c r="F2134" s="1"/>
      <c r="G2134" s="1" t="s">
        <v>98</v>
      </c>
      <c r="H2134" s="2">
        <v>25</v>
      </c>
      <c r="I2134" s="1" t="s">
        <v>6589</v>
      </c>
      <c r="J2134" s="1" t="s">
        <v>4020</v>
      </c>
      <c r="K2134" s="1" t="s">
        <v>101</v>
      </c>
      <c r="L2134" s="1" t="s">
        <v>4021</v>
      </c>
      <c r="M2134" s="6" t="str">
        <f>_xlfn.CONCAT(Table1[[#This Row],[Billing Street]], ", ", Table1[[#This Row],[Billing City]], ", ", Table1[[#This Row],[Billing State/Province]], ", ", Table1[[#This Row],[Billing Zip/Postal Code]])</f>
        <v>1025-A Cobb international Place, Kennesaw, GA, 30152</v>
      </c>
    </row>
    <row r="2135" spans="1:13" ht="15.6" hidden="1" x14ac:dyDescent="0.3">
      <c r="A2135" s="1" t="s">
        <v>6590</v>
      </c>
      <c r="B2135" s="1"/>
      <c r="C2135" s="1"/>
      <c r="D2135" s="1"/>
      <c r="E2135" s="1"/>
      <c r="F2135" s="1"/>
      <c r="G2135" s="1" t="s">
        <v>43</v>
      </c>
      <c r="H2135" s="2">
        <v>303</v>
      </c>
      <c r="I2135" s="1" t="s">
        <v>3177</v>
      </c>
      <c r="J2135" s="1" t="s">
        <v>3178</v>
      </c>
      <c r="K2135" s="1" t="s">
        <v>1191</v>
      </c>
      <c r="L2135" s="1" t="s">
        <v>3179</v>
      </c>
      <c r="M2135" s="6" t="str">
        <f>_xlfn.CONCAT(Table1[[#This Row],[Billing Street]], ", ", Table1[[#This Row],[Billing City]], ", ", Table1[[#This Row],[Billing State/Province]], ", ", Table1[[#This Row],[Billing Zip/Postal Code]])</f>
        <v>115 Jackson Energy Lane, McKee, KY, 40447</v>
      </c>
    </row>
    <row r="2136" spans="1:13" ht="15.6" hidden="1" x14ac:dyDescent="0.3">
      <c r="A2136" s="1" t="s">
        <v>6591</v>
      </c>
      <c r="B2136" s="1"/>
      <c r="C2136" s="1"/>
      <c r="D2136" s="1"/>
      <c r="E2136" s="1"/>
      <c r="F2136" s="1"/>
      <c r="G2136" s="1" t="s">
        <v>8</v>
      </c>
      <c r="H2136" s="2">
        <v>328</v>
      </c>
      <c r="I2136" s="1" t="s">
        <v>6592</v>
      </c>
      <c r="J2136" s="1" t="s">
        <v>637</v>
      </c>
      <c r="K2136" s="1" t="s">
        <v>11</v>
      </c>
      <c r="L2136" s="1" t="s">
        <v>641</v>
      </c>
      <c r="M2136" s="6" t="str">
        <f>_xlfn.CONCAT(Table1[[#This Row],[Billing Street]], ", ", Table1[[#This Row],[Billing City]], ", ", Table1[[#This Row],[Billing State/Province]], ", ", Table1[[#This Row],[Billing Zip/Postal Code]])</f>
        <v>101 Court St., Jackson, MO, 63755</v>
      </c>
    </row>
    <row r="2137" spans="1:13" ht="15.6" hidden="1" x14ac:dyDescent="0.3">
      <c r="A2137" s="1" t="s">
        <v>6593</v>
      </c>
      <c r="B2137" s="1"/>
      <c r="C2137" s="1"/>
      <c r="D2137" s="1"/>
      <c r="E2137" s="1"/>
      <c r="F2137" s="1"/>
      <c r="G2137" s="1" t="s">
        <v>8</v>
      </c>
      <c r="H2137" s="2">
        <v>487</v>
      </c>
      <c r="I2137" s="1" t="s">
        <v>6594</v>
      </c>
      <c r="J2137" s="1" t="s">
        <v>6595</v>
      </c>
      <c r="K2137" s="1" t="s">
        <v>229</v>
      </c>
      <c r="L2137" s="1" t="s">
        <v>6596</v>
      </c>
      <c r="M2137" s="6" t="str">
        <f>_xlfn.CONCAT(Table1[[#This Row],[Billing Street]], ", ", Table1[[#This Row],[Billing City]], ", ", Table1[[#This Row],[Billing State/Province]], ", ", Table1[[#This Row],[Billing Zip/Postal Code]])</f>
        <v>23170 471st Avenue, Colman, SD, 57017</v>
      </c>
    </row>
    <row r="2138" spans="1:13" ht="15.6" hidden="1" x14ac:dyDescent="0.3">
      <c r="A2138" s="1" t="s">
        <v>6597</v>
      </c>
      <c r="B2138" s="1"/>
      <c r="C2138" s="1"/>
      <c r="D2138" s="1"/>
      <c r="E2138" s="1"/>
      <c r="F2138" s="1"/>
      <c r="G2138" s="1" t="s">
        <v>13</v>
      </c>
      <c r="H2138" s="2">
        <v>0</v>
      </c>
      <c r="I2138" s="1" t="s">
        <v>13</v>
      </c>
      <c r="J2138" s="1" t="s">
        <v>6598</v>
      </c>
      <c r="K2138" s="1" t="s">
        <v>13</v>
      </c>
      <c r="L2138" s="1" t="s">
        <v>13</v>
      </c>
      <c r="M2138" s="6" t="str">
        <f>_xlfn.CONCAT(Table1[[#This Row],[Billing Street]], ", ", Table1[[#This Row],[Billing City]], ", ", Table1[[#This Row],[Billing State/Province]], ", ", Table1[[#This Row],[Billing Zip/Postal Code]])</f>
        <v xml:space="preserve">, Jacksonville, NC, , </v>
      </c>
    </row>
    <row r="2139" spans="1:13" ht="15.6" x14ac:dyDescent="0.3">
      <c r="A2139" s="1" t="s">
        <v>6599</v>
      </c>
      <c r="B2139" s="1"/>
      <c r="C2139" s="1"/>
      <c r="D2139" s="1"/>
      <c r="E2139" s="1"/>
      <c r="F2139" s="1"/>
      <c r="G2139" s="1" t="s">
        <v>24</v>
      </c>
      <c r="H2139" s="2">
        <v>5988</v>
      </c>
      <c r="I2139" s="1" t="s">
        <v>6600</v>
      </c>
      <c r="J2139" s="1" t="s">
        <v>4259</v>
      </c>
      <c r="K2139" s="1" t="s">
        <v>951</v>
      </c>
      <c r="L2139" s="1" t="s">
        <v>6601</v>
      </c>
      <c r="M2139" s="6" t="str">
        <f>_xlfn.CONCAT(Table1[[#This Row],[Billing Street]], ", ", Table1[[#This Row],[Billing City]], ", ", Table1[[#This Row],[Billing State/Province]], ", ", Table1[[#This Row],[Billing Zip/Postal Code]])</f>
        <v>10930 Bearacott Rd, Aberdeen, Ms, 39730</v>
      </c>
    </row>
    <row r="2140" spans="1:13" ht="15.6" hidden="1" x14ac:dyDescent="0.3">
      <c r="A2140" s="1" t="s">
        <v>6602</v>
      </c>
      <c r="B2140" s="1"/>
      <c r="C2140" s="1"/>
      <c r="D2140" s="1"/>
      <c r="E2140" s="1"/>
      <c r="F2140" s="1"/>
      <c r="G2140" s="1" t="s">
        <v>43</v>
      </c>
      <c r="H2140" s="2">
        <v>331</v>
      </c>
      <c r="I2140" s="1" t="s">
        <v>1569</v>
      </c>
      <c r="J2140" s="1" t="s">
        <v>1570</v>
      </c>
      <c r="K2140" s="1" t="s">
        <v>1115</v>
      </c>
      <c r="L2140" s="1" t="s">
        <v>6603</v>
      </c>
      <c r="M2140" s="6" t="str">
        <f>_xlfn.CONCAT(Table1[[#This Row],[Billing Street]], ", ", Table1[[#This Row],[Billing City]], ", ", Table1[[#This Row],[Billing State/Province]], ", ", Table1[[#This Row],[Billing Zip/Postal Code]])</f>
        <v>55 W Church St, Martinsville, VA, 24114</v>
      </c>
    </row>
    <row r="2141" spans="1:13" ht="15.6" hidden="1" x14ac:dyDescent="0.3">
      <c r="A2141" s="1" t="s">
        <v>6604</v>
      </c>
      <c r="B2141" s="1"/>
      <c r="C2141" s="1"/>
      <c r="D2141" s="1"/>
      <c r="E2141" s="1"/>
      <c r="F2141" s="1"/>
      <c r="G2141" s="1" t="s">
        <v>54</v>
      </c>
      <c r="H2141" s="2">
        <v>955</v>
      </c>
      <c r="I2141" s="1" t="s">
        <v>6605</v>
      </c>
      <c r="J2141" s="1" t="s">
        <v>6606</v>
      </c>
      <c r="K2141" s="1" t="s">
        <v>405</v>
      </c>
      <c r="L2141" s="1" t="s">
        <v>6607</v>
      </c>
      <c r="M2141" s="6" t="str">
        <f>_xlfn.CONCAT(Table1[[#This Row],[Billing Street]], ", ", Table1[[#This Row],[Billing City]], ", ", Table1[[#This Row],[Billing State/Province]], ", ", Table1[[#This Row],[Billing Zip/Postal Code]])</f>
        <v>N. 21971 Highway 101, Shelton, WA, 98584</v>
      </c>
    </row>
    <row r="2142" spans="1:13" ht="15.6" hidden="1" x14ac:dyDescent="0.3">
      <c r="A2142" s="1" t="s">
        <v>6608</v>
      </c>
      <c r="B2142" s="1"/>
      <c r="C2142" s="1"/>
      <c r="D2142" s="1"/>
      <c r="E2142" s="1"/>
      <c r="F2142" s="1"/>
      <c r="G2142" s="1" t="s">
        <v>13</v>
      </c>
      <c r="H2142" s="2">
        <v>0</v>
      </c>
      <c r="I2142" s="1" t="s">
        <v>13</v>
      </c>
      <c r="J2142" s="1" t="s">
        <v>824</v>
      </c>
      <c r="K2142" s="1" t="s">
        <v>13</v>
      </c>
      <c r="L2142" s="1" t="s">
        <v>13</v>
      </c>
      <c r="M2142" s="6" t="str">
        <f>_xlfn.CONCAT(Table1[[#This Row],[Billing Street]], ", ", Table1[[#This Row],[Billing City]], ", ", Table1[[#This Row],[Billing State/Province]], ", ", Table1[[#This Row],[Billing Zip/Postal Code]])</f>
        <v xml:space="preserve">, Sylacauga, , </v>
      </c>
    </row>
    <row r="2143" spans="1:13" ht="15.6" hidden="1" x14ac:dyDescent="0.3">
      <c r="A2143" s="1" t="s">
        <v>6609</v>
      </c>
      <c r="B2143" s="1"/>
      <c r="C2143" s="1"/>
      <c r="D2143" s="1"/>
      <c r="E2143" s="1"/>
      <c r="F2143" s="1"/>
      <c r="G2143" s="1" t="s">
        <v>8</v>
      </c>
      <c r="H2143" s="2">
        <v>523</v>
      </c>
      <c r="I2143" s="1" t="s">
        <v>6610</v>
      </c>
      <c r="J2143" s="1" t="s">
        <v>6611</v>
      </c>
      <c r="K2143" s="1" t="s">
        <v>51</v>
      </c>
      <c r="L2143" s="1" t="s">
        <v>6612</v>
      </c>
      <c r="M2143" s="6" t="str">
        <f>_xlfn.CONCAT(Table1[[#This Row],[Billing Street]], ", ", Table1[[#This Row],[Billing City]], ", ", Table1[[#This Row],[Billing State/Province]], ", ", Table1[[#This Row],[Billing Zip/Postal Code]])</f>
        <v>102 S Main St, Moulton, TX, 77975</v>
      </c>
    </row>
    <row r="2144" spans="1:13" ht="15.6" hidden="1" x14ac:dyDescent="0.3">
      <c r="A2144" s="1" t="s">
        <v>6613</v>
      </c>
      <c r="B2144" s="1"/>
      <c r="C2144" s="1"/>
      <c r="D2144" s="1"/>
      <c r="E2144" s="1"/>
      <c r="F2144" s="1"/>
      <c r="G2144" s="1" t="s">
        <v>43</v>
      </c>
      <c r="H2144" s="2">
        <v>228</v>
      </c>
      <c r="I2144" s="1" t="s">
        <v>1977</v>
      </c>
      <c r="J2144" s="1" t="s">
        <v>1978</v>
      </c>
      <c r="K2144" s="1" t="s">
        <v>1191</v>
      </c>
      <c r="L2144" s="1" t="s">
        <v>1979</v>
      </c>
      <c r="M2144" s="6" t="str">
        <f>_xlfn.CONCAT(Table1[[#This Row],[Billing Street]], ", ", Table1[[#This Row],[Billing City]], ", ", Table1[[#This Row],[Billing State/Province]], ", ", Table1[[#This Row],[Billing Zip/Postal Code]])</f>
        <v>225 Roger Patton, Olive Hill, KY, 41164</v>
      </c>
    </row>
    <row r="2145" spans="1:13" ht="15.6" x14ac:dyDescent="0.3">
      <c r="A2145" s="1" t="s">
        <v>6614</v>
      </c>
      <c r="B2145" s="1"/>
      <c r="C2145" s="1"/>
      <c r="D2145" s="1"/>
      <c r="E2145" s="1"/>
      <c r="F2145" s="1"/>
      <c r="G2145" s="1" t="s">
        <v>24</v>
      </c>
      <c r="H2145" s="2">
        <v>322</v>
      </c>
      <c r="I2145" s="1" t="s">
        <v>6615</v>
      </c>
      <c r="J2145" s="1" t="s">
        <v>3037</v>
      </c>
      <c r="K2145" s="1" t="s">
        <v>36</v>
      </c>
      <c r="L2145" s="1" t="s">
        <v>3843</v>
      </c>
      <c r="M2145" s="6" t="str">
        <f>_xlfn.CONCAT(Table1[[#This Row],[Billing Street]], ", ", Table1[[#This Row],[Billing City]], ", ", Table1[[#This Row],[Billing State/Province]], ", ", Table1[[#This Row],[Billing Zip/Postal Code]])</f>
        <v>500 S Orange Ave, Orlando, FL, 32802</v>
      </c>
    </row>
    <row r="2146" spans="1:13" ht="15.6" hidden="1" x14ac:dyDescent="0.3">
      <c r="A2146" s="1" t="s">
        <v>588</v>
      </c>
      <c r="B2146" s="1"/>
      <c r="C2146" s="1"/>
      <c r="D2146" s="1"/>
      <c r="E2146" s="1"/>
      <c r="F2146" s="1"/>
      <c r="G2146" s="1" t="s">
        <v>98</v>
      </c>
      <c r="H2146" s="2">
        <v>28</v>
      </c>
      <c r="I2146" s="1" t="s">
        <v>589</v>
      </c>
      <c r="J2146" s="1" t="s">
        <v>6616</v>
      </c>
      <c r="K2146" s="1" t="s">
        <v>101</v>
      </c>
      <c r="L2146" s="1" t="s">
        <v>591</v>
      </c>
      <c r="M2146" s="6" t="str">
        <f>_xlfn.CONCAT(Table1[[#This Row],[Billing Street]], ", ", Table1[[#This Row],[Billing City]], ", ", Table1[[#This Row],[Billing State/Province]], ", ", Table1[[#This Row],[Billing Zip/Postal Code]])</f>
        <v>535 Marksmen Ct, Fayetvill, GA, 30214</v>
      </c>
    </row>
    <row r="2147" spans="1:13" ht="15.6" hidden="1" x14ac:dyDescent="0.3">
      <c r="A2147" s="1" t="s">
        <v>6617</v>
      </c>
      <c r="B2147" s="1"/>
      <c r="C2147" s="1"/>
      <c r="D2147" s="1"/>
      <c r="E2147" s="1"/>
      <c r="F2147" s="1"/>
      <c r="G2147" s="1" t="s">
        <v>43</v>
      </c>
      <c r="H2147" s="2">
        <v>154</v>
      </c>
      <c r="I2147" s="1" t="s">
        <v>6618</v>
      </c>
      <c r="J2147" s="1" t="s">
        <v>4465</v>
      </c>
      <c r="K2147" s="1" t="s">
        <v>82</v>
      </c>
      <c r="L2147" s="1" t="s">
        <v>6619</v>
      </c>
      <c r="M2147" s="6" t="str">
        <f>_xlfn.CONCAT(Table1[[#This Row],[Billing Street]], ", ", Table1[[#This Row],[Billing City]], ", ", Table1[[#This Row],[Billing State/Province]], ", ", Table1[[#This Row],[Billing Zip/Postal Code]])</f>
        <v>532 East Main Street, Hudson, MI, 49247</v>
      </c>
    </row>
    <row r="2148" spans="1:13" ht="15.6" hidden="1" x14ac:dyDescent="0.3">
      <c r="A2148" s="1" t="s">
        <v>6620</v>
      </c>
      <c r="B2148" s="1"/>
      <c r="C2148" s="1"/>
      <c r="D2148" s="1"/>
      <c r="E2148" s="1"/>
      <c r="F2148" s="1"/>
      <c r="G2148" s="1" t="s">
        <v>98</v>
      </c>
      <c r="H2148" s="2">
        <v>162</v>
      </c>
      <c r="I2148" s="1" t="s">
        <v>6621</v>
      </c>
      <c r="J2148" s="1" t="s">
        <v>1325</v>
      </c>
      <c r="K2148" s="1" t="s">
        <v>1178</v>
      </c>
      <c r="L2148" s="1" t="s">
        <v>6622</v>
      </c>
      <c r="M2148" s="6" t="str">
        <f>_xlfn.CONCAT(Table1[[#This Row],[Billing Street]], ", ", Table1[[#This Row],[Billing City]], ", ", Table1[[#This Row],[Billing State/Province]], ", ", Table1[[#This Row],[Billing Zip/Postal Code]])</f>
        <v>3043 North Carolina 213, Marshall, NC, 28753</v>
      </c>
    </row>
    <row r="2149" spans="1:13" ht="15.6" x14ac:dyDescent="0.3">
      <c r="A2149" s="1" t="s">
        <v>6623</v>
      </c>
      <c r="B2149" s="1"/>
      <c r="C2149" s="1"/>
      <c r="D2149" s="1"/>
      <c r="E2149" s="1"/>
      <c r="F2149" s="1"/>
      <c r="G2149" s="1" t="s">
        <v>24</v>
      </c>
      <c r="H2149" s="2">
        <v>121</v>
      </c>
      <c r="I2149" s="1" t="s">
        <v>6624</v>
      </c>
      <c r="J2149" s="1" t="s">
        <v>270</v>
      </c>
      <c r="K2149" s="1" t="s">
        <v>26</v>
      </c>
      <c r="L2149" s="1" t="s">
        <v>6625</v>
      </c>
      <c r="M2149" s="6" t="str">
        <f>_xlfn.CONCAT(Table1[[#This Row],[Billing Street]], ", ", Table1[[#This Row],[Billing City]], ", ", Table1[[#This Row],[Billing State/Province]], ", ", Table1[[#This Row],[Billing Zip/Postal Code]])</f>
        <v>1606 Powerhouse Rd, Camden, AL, 36726</v>
      </c>
    </row>
    <row r="2150" spans="1:13" ht="15.6" x14ac:dyDescent="0.3">
      <c r="A2150" s="1" t="s">
        <v>6626</v>
      </c>
      <c r="B2150" s="1"/>
      <c r="C2150" s="1"/>
      <c r="D2150" s="1"/>
      <c r="E2150" s="1"/>
      <c r="F2150" s="1"/>
      <c r="G2150" s="1" t="s">
        <v>24</v>
      </c>
      <c r="H2150" s="2">
        <v>5988</v>
      </c>
      <c r="I2150" s="1" t="s">
        <v>13</v>
      </c>
      <c r="J2150" s="1" t="s">
        <v>6627</v>
      </c>
      <c r="K2150" s="1" t="s">
        <v>577</v>
      </c>
      <c r="L2150" s="1" t="s">
        <v>13</v>
      </c>
      <c r="M2150" s="6" t="str">
        <f>_xlfn.CONCAT(Table1[[#This Row],[Billing Street]], ", ", Table1[[#This Row],[Billing City]], ", ", Table1[[#This Row],[Billing State/Province]], ", ", Table1[[#This Row],[Billing Zip/Postal Code]])</f>
        <v xml:space="preserve">, Crowley, LA, </v>
      </c>
    </row>
    <row r="2151" spans="1:13" ht="15.6" x14ac:dyDescent="0.3">
      <c r="A2151" s="1" t="s">
        <v>6628</v>
      </c>
      <c r="B2151" s="1"/>
      <c r="C2151" s="1"/>
      <c r="D2151" s="1"/>
      <c r="E2151" s="1"/>
      <c r="F2151" s="1"/>
      <c r="G2151" s="1" t="s">
        <v>24</v>
      </c>
      <c r="H2151" s="2">
        <v>5988</v>
      </c>
      <c r="I2151" s="1" t="s">
        <v>13</v>
      </c>
      <c r="J2151" s="1" t="s">
        <v>6629</v>
      </c>
      <c r="K2151" s="1" t="s">
        <v>577</v>
      </c>
      <c r="L2151" s="1" t="s">
        <v>13</v>
      </c>
      <c r="M2151" s="6" t="str">
        <f>_xlfn.CONCAT(Table1[[#This Row],[Billing Street]], ", ", Table1[[#This Row],[Billing City]], ", ", Table1[[#This Row],[Billing State/Province]], ", ", Table1[[#This Row],[Billing Zip/Postal Code]])</f>
        <v xml:space="preserve">, Eunice, LA, </v>
      </c>
    </row>
    <row r="2152" spans="1:13" ht="15.6" hidden="1" x14ac:dyDescent="0.3">
      <c r="A2152" s="1" t="s">
        <v>6630</v>
      </c>
      <c r="B2152" s="1"/>
      <c r="C2152" s="1"/>
      <c r="D2152" s="1"/>
      <c r="E2152" s="1"/>
      <c r="F2152" s="1"/>
      <c r="G2152" s="1" t="s">
        <v>43</v>
      </c>
      <c r="H2152" s="2">
        <v>288</v>
      </c>
      <c r="I2152" s="1" t="s">
        <v>6631</v>
      </c>
      <c r="J2152" s="1" t="s">
        <v>6632</v>
      </c>
      <c r="K2152" s="1" t="s">
        <v>237</v>
      </c>
      <c r="L2152" s="1" t="s">
        <v>6633</v>
      </c>
      <c r="M2152" s="6" t="str">
        <f>_xlfn.CONCAT(Table1[[#This Row],[Billing Street]], ", ", Table1[[#This Row],[Billing City]], ", ", Table1[[#This Row],[Billing State/Province]], ", ", Table1[[#This Row],[Billing Zip/Postal Code]])</f>
        <v>250 W. US Highway 12, Burns Harbor, IN, 46304</v>
      </c>
    </row>
    <row r="2153" spans="1:13" ht="15.6" hidden="1" x14ac:dyDescent="0.3">
      <c r="A2153" s="1" t="s">
        <v>6634</v>
      </c>
      <c r="B2153" s="1"/>
      <c r="C2153" s="1"/>
      <c r="D2153" s="1"/>
      <c r="E2153" s="1"/>
      <c r="F2153" s="1"/>
      <c r="G2153" s="1" t="s">
        <v>43</v>
      </c>
      <c r="H2153" s="2">
        <v>5776</v>
      </c>
      <c r="I2153" s="1" t="s">
        <v>6635</v>
      </c>
      <c r="J2153" s="1" t="s">
        <v>6636</v>
      </c>
      <c r="K2153" s="1" t="s">
        <v>3104</v>
      </c>
      <c r="L2153" s="1" t="s">
        <v>6637</v>
      </c>
      <c r="M2153" s="6" t="str">
        <f>_xlfn.CONCAT(Table1[[#This Row],[Billing Street]], ", ", Table1[[#This Row],[Billing City]], ", ", Table1[[#This Row],[Billing State/Province]], ", ", Table1[[#This Row],[Billing Zip/Postal Code]])</f>
        <v>56 Alexander Parkway, Dayville, ct, 6241</v>
      </c>
    </row>
    <row r="2154" spans="1:13" ht="15.6" hidden="1" x14ac:dyDescent="0.3">
      <c r="A2154" s="1" t="s">
        <v>6638</v>
      </c>
      <c r="B2154" s="1"/>
      <c r="C2154" s="1"/>
      <c r="D2154" s="1"/>
      <c r="E2154" s="1"/>
      <c r="F2154" s="1"/>
      <c r="G2154" s="1" t="s">
        <v>13</v>
      </c>
      <c r="H2154" s="2">
        <v>0</v>
      </c>
      <c r="I2154" s="1" t="s">
        <v>13</v>
      </c>
      <c r="J2154" s="1" t="s">
        <v>13</v>
      </c>
      <c r="K2154" s="1" t="s">
        <v>13</v>
      </c>
      <c r="L2154" s="1" t="s">
        <v>13</v>
      </c>
      <c r="M2154" s="6" t="str">
        <f>_xlfn.CONCAT(Table1[[#This Row],[Billing Street]], ", ", Table1[[#This Row],[Billing City]], ", ", Table1[[#This Row],[Billing State/Province]], ", ", Table1[[#This Row],[Billing Zip/Postal Code]])</f>
        <v xml:space="preserve">, , , </v>
      </c>
    </row>
    <row r="2155" spans="1:13" ht="15.6" hidden="1" x14ac:dyDescent="0.3">
      <c r="A2155" s="1" t="s">
        <v>6639</v>
      </c>
      <c r="B2155" s="1"/>
      <c r="C2155" s="1"/>
      <c r="D2155" s="1"/>
      <c r="E2155" s="1"/>
      <c r="F2155" s="1"/>
      <c r="G2155" s="1" t="s">
        <v>13</v>
      </c>
      <c r="H2155" s="2">
        <v>0</v>
      </c>
      <c r="I2155" s="1" t="s">
        <v>13</v>
      </c>
      <c r="J2155" s="1" t="s">
        <v>6640</v>
      </c>
      <c r="K2155" s="1" t="s">
        <v>13</v>
      </c>
      <c r="L2155" s="1" t="s">
        <v>13</v>
      </c>
      <c r="M2155" s="6" t="str">
        <f>_xlfn.CONCAT(Table1[[#This Row],[Billing Street]], ", ", Table1[[#This Row],[Billing City]], ", ", Table1[[#This Row],[Billing State/Province]], ", ", Table1[[#This Row],[Billing Zip/Postal Code]])</f>
        <v xml:space="preserve">, Awendaw, SC, , </v>
      </c>
    </row>
    <row r="2156" spans="1:13" ht="15.6" hidden="1" x14ac:dyDescent="0.3">
      <c r="A2156" s="1" t="s">
        <v>6641</v>
      </c>
      <c r="B2156" s="1"/>
      <c r="C2156" s="1"/>
      <c r="D2156" s="1"/>
      <c r="E2156" s="1"/>
      <c r="F2156" s="1"/>
      <c r="G2156" s="1" t="s">
        <v>13</v>
      </c>
      <c r="H2156" s="2">
        <v>0</v>
      </c>
      <c r="I2156" s="1" t="s">
        <v>13</v>
      </c>
      <c r="J2156" s="1" t="s">
        <v>6642</v>
      </c>
      <c r="K2156" s="1" t="s">
        <v>13</v>
      </c>
      <c r="L2156" s="1" t="s">
        <v>13</v>
      </c>
      <c r="M2156" s="6" t="str">
        <f>_xlfn.CONCAT(Table1[[#This Row],[Billing Street]], ", ", Table1[[#This Row],[Billing City]], ", ", Table1[[#This Row],[Billing State/Province]], ", ", Table1[[#This Row],[Billing Zip/Postal Code]])</f>
        <v xml:space="preserve">, Groose Creek, SC, , </v>
      </c>
    </row>
    <row r="2157" spans="1:13" ht="15.6" x14ac:dyDescent="0.3">
      <c r="A2157" s="1" t="s">
        <v>6643</v>
      </c>
      <c r="B2157" s="1"/>
      <c r="C2157" s="1"/>
      <c r="D2157" s="1"/>
      <c r="E2157" s="1"/>
      <c r="F2157" s="1"/>
      <c r="G2157" s="1" t="s">
        <v>24</v>
      </c>
      <c r="H2157" s="2">
        <v>70</v>
      </c>
      <c r="I2157" s="1" t="s">
        <v>6644</v>
      </c>
      <c r="J2157" s="1" t="s">
        <v>715</v>
      </c>
      <c r="K2157" s="1" t="s">
        <v>36</v>
      </c>
      <c r="L2157" s="1" t="s">
        <v>6645</v>
      </c>
      <c r="M2157" s="6" t="str">
        <f>_xlfn.CONCAT(Table1[[#This Row],[Billing Street]], ", ", Table1[[#This Row],[Billing City]], ", ", Table1[[#This Row],[Billing State/Province]], ", ", Table1[[#This Row],[Billing Zip/Postal Code]])</f>
        <v>270 S. Pace Blvd., Pensacola, FL, 32501</v>
      </c>
    </row>
    <row r="2158" spans="1:13" ht="15.6" hidden="1" x14ac:dyDescent="0.3">
      <c r="A2158" s="1" t="s">
        <v>6646</v>
      </c>
      <c r="B2158" s="1"/>
      <c r="C2158" s="1"/>
      <c r="D2158" s="1"/>
      <c r="E2158" s="1"/>
      <c r="F2158" s="1"/>
      <c r="G2158" s="1" t="s">
        <v>13</v>
      </c>
      <c r="H2158" s="2">
        <v>0</v>
      </c>
      <c r="I2158" s="1" t="s">
        <v>13</v>
      </c>
      <c r="J2158" s="1" t="s">
        <v>13</v>
      </c>
      <c r="K2158" s="1" t="s">
        <v>13</v>
      </c>
      <c r="L2158" s="1" t="s">
        <v>13</v>
      </c>
      <c r="M2158" s="6" t="str">
        <f>_xlfn.CONCAT(Table1[[#This Row],[Billing Street]], ", ", Table1[[#This Row],[Billing City]], ", ", Table1[[#This Row],[Billing State/Province]], ", ", Table1[[#This Row],[Billing Zip/Postal Code]])</f>
        <v xml:space="preserve">, , , </v>
      </c>
    </row>
    <row r="2159" spans="1:13" ht="15.6" x14ac:dyDescent="0.3">
      <c r="A2159" s="1" t="s">
        <v>6647</v>
      </c>
      <c r="B2159" s="1"/>
      <c r="C2159" s="1"/>
      <c r="D2159" s="1"/>
      <c r="E2159" s="1"/>
      <c r="F2159" s="1"/>
      <c r="G2159" s="1" t="s">
        <v>24</v>
      </c>
      <c r="H2159" s="2">
        <v>237</v>
      </c>
      <c r="I2159" s="1" t="s">
        <v>6648</v>
      </c>
      <c r="J2159" s="1" t="s">
        <v>6649</v>
      </c>
      <c r="K2159" s="1" t="s">
        <v>6650</v>
      </c>
      <c r="L2159" s="1" t="s">
        <v>6651</v>
      </c>
      <c r="M2159" s="6" t="str">
        <f>_xlfn.CONCAT(Table1[[#This Row],[Billing Street]], ", ", Table1[[#This Row],[Billing City]], ", ", Table1[[#This Row],[Billing State/Province]], ", ", Table1[[#This Row],[Billing Zip/Postal Code]])</f>
        <v>121 Jarrell Dr, Belle Chasse, la, 70037</v>
      </c>
    </row>
    <row r="2160" spans="1:13" ht="15.6" hidden="1" x14ac:dyDescent="0.3">
      <c r="A2160" s="1" t="s">
        <v>6652</v>
      </c>
      <c r="B2160" s="1"/>
      <c r="C2160" s="1"/>
      <c r="D2160" s="1"/>
      <c r="E2160" s="1"/>
      <c r="F2160" s="1"/>
      <c r="G2160" s="1" t="s">
        <v>98</v>
      </c>
      <c r="H2160" s="2">
        <v>12</v>
      </c>
      <c r="I2160" s="1" t="s">
        <v>6653</v>
      </c>
      <c r="J2160" s="1" t="s">
        <v>1001</v>
      </c>
      <c r="K2160" s="1" t="s">
        <v>101</v>
      </c>
      <c r="L2160" s="1" t="s">
        <v>6654</v>
      </c>
      <c r="M2160" s="6" t="str">
        <f>_xlfn.CONCAT(Table1[[#This Row],[Billing Street]], ", ", Table1[[#This Row],[Billing City]], ", ", Table1[[#This Row],[Billing State/Province]], ", ", Table1[[#This Row],[Billing Zip/Postal Code]])</f>
        <v>30 Ivan Allen Jr Blvd NW,, Atlanta, GA, 30308</v>
      </c>
    </row>
    <row r="2161" spans="1:13" ht="15.6" hidden="1" x14ac:dyDescent="0.3">
      <c r="A2161" s="1" t="s">
        <v>6655</v>
      </c>
      <c r="B2161" s="1"/>
      <c r="C2161" s="1"/>
      <c r="D2161" s="1"/>
      <c r="E2161" s="1"/>
      <c r="F2161" s="1"/>
      <c r="G2161" s="1" t="s">
        <v>48</v>
      </c>
      <c r="H2161" s="2">
        <v>0</v>
      </c>
      <c r="I2161" s="1" t="s">
        <v>6656</v>
      </c>
      <c r="J2161" s="1" t="s">
        <v>6657</v>
      </c>
      <c r="K2161" s="1" t="s">
        <v>1178</v>
      </c>
      <c r="L2161" s="1" t="s">
        <v>6658</v>
      </c>
      <c r="M2161" s="6" t="str">
        <f>_xlfn.CONCAT(Table1[[#This Row],[Billing Street]], ", ", Table1[[#This Row],[Billing City]], ", ", Table1[[#This Row],[Billing State/Province]], ", ", Table1[[#This Row],[Billing Zip/Postal Code]])</f>
        <v>3104 Glen Royal Road, Raleigh, NC, 27617</v>
      </c>
    </row>
    <row r="2162" spans="1:13" ht="15.6" hidden="1" x14ac:dyDescent="0.3">
      <c r="A2162" s="1" t="s">
        <v>6659</v>
      </c>
      <c r="B2162" s="1"/>
      <c r="C2162" s="1"/>
      <c r="D2162" s="1"/>
      <c r="E2162" s="1"/>
      <c r="F2162" s="1"/>
      <c r="G2162" s="1" t="s">
        <v>8</v>
      </c>
      <c r="H2162" s="2">
        <v>6528</v>
      </c>
      <c r="I2162" s="1" t="s">
        <v>6660</v>
      </c>
      <c r="J2162" s="1" t="s">
        <v>2160</v>
      </c>
      <c r="K2162" s="1" t="s">
        <v>165</v>
      </c>
      <c r="L2162" s="1" t="s">
        <v>6661</v>
      </c>
      <c r="M2162" s="6" t="str">
        <f>_xlfn.CONCAT(Table1[[#This Row],[Billing Street]], ", ", Table1[[#This Row],[Billing City]], ", ", Table1[[#This Row],[Billing State/Province]], ", ", Table1[[#This Row],[Billing Zip/Postal Code]])</f>
        <v>346 Industrial Rd, El Dorado, AR, 1730</v>
      </c>
    </row>
    <row r="2163" spans="1:13" ht="15.6" hidden="1" x14ac:dyDescent="0.3">
      <c r="A2163" s="1" t="s">
        <v>6662</v>
      </c>
      <c r="B2163" s="1"/>
      <c r="C2163" s="1"/>
      <c r="D2163" s="1"/>
      <c r="E2163" s="1"/>
      <c r="F2163" s="1"/>
      <c r="G2163" s="1" t="s">
        <v>43</v>
      </c>
      <c r="H2163" s="2">
        <v>250</v>
      </c>
      <c r="I2163" s="1" t="s">
        <v>6663</v>
      </c>
      <c r="J2163" s="1" t="s">
        <v>6664</v>
      </c>
      <c r="K2163" s="1" t="s">
        <v>1191</v>
      </c>
      <c r="L2163" s="1" t="s">
        <v>6665</v>
      </c>
      <c r="M2163" s="6" t="str">
        <f>_xlfn.CONCAT(Table1[[#This Row],[Billing Street]], ", ", Table1[[#This Row],[Billing City]], ", ", Table1[[#This Row],[Billing State/Province]], ", ", Table1[[#This Row],[Billing Zip/Postal Code]])</f>
        <v>213 Industrial Road, Debord, KY, 41214</v>
      </c>
    </row>
    <row r="2164" spans="1:13" ht="15.6" hidden="1" x14ac:dyDescent="0.3">
      <c r="A2164" s="1" t="s">
        <v>6666</v>
      </c>
      <c r="B2164" s="1"/>
      <c r="C2164" s="1"/>
      <c r="D2164" s="1"/>
      <c r="E2164" s="1"/>
      <c r="F2164" s="1"/>
      <c r="G2164" s="1" t="s">
        <v>13</v>
      </c>
      <c r="H2164" s="2">
        <v>0</v>
      </c>
      <c r="I2164" s="1" t="s">
        <v>13</v>
      </c>
      <c r="J2164" s="1" t="s">
        <v>13</v>
      </c>
      <c r="K2164" s="1" t="s">
        <v>13</v>
      </c>
      <c r="L2164" s="1" t="s">
        <v>13</v>
      </c>
      <c r="M2164" s="6" t="str">
        <f>_xlfn.CONCAT(Table1[[#This Row],[Billing Street]], ", ", Table1[[#This Row],[Billing City]], ", ", Table1[[#This Row],[Billing State/Province]], ", ", Table1[[#This Row],[Billing Zip/Postal Code]])</f>
        <v xml:space="preserve">, , , </v>
      </c>
    </row>
    <row r="2165" spans="1:13" ht="15.6" hidden="1" x14ac:dyDescent="0.3">
      <c r="A2165" s="1" t="s">
        <v>6667</v>
      </c>
      <c r="B2165" s="1"/>
      <c r="C2165" s="1"/>
      <c r="D2165" s="1"/>
      <c r="E2165" s="1"/>
      <c r="F2165" s="1"/>
      <c r="G2165" s="1" t="s">
        <v>13</v>
      </c>
      <c r="H2165" s="2">
        <v>0</v>
      </c>
      <c r="I2165" s="1" t="s">
        <v>13</v>
      </c>
      <c r="J2165" s="1" t="s">
        <v>6668</v>
      </c>
      <c r="K2165" s="1" t="s">
        <v>13</v>
      </c>
      <c r="L2165" s="1" t="s">
        <v>13</v>
      </c>
      <c r="M2165" s="6" t="str">
        <f>_xlfn.CONCAT(Table1[[#This Row],[Billing Street]], ", ", Table1[[#This Row],[Billing City]], ", ", Table1[[#This Row],[Billing State/Province]], ", ", Table1[[#This Row],[Billing Zip/Postal Code]])</f>
        <v xml:space="preserve">, Kingtree, SC, , </v>
      </c>
    </row>
    <row r="2166" spans="1:13" ht="15.6" hidden="1" x14ac:dyDescent="0.3">
      <c r="A2166" s="1" t="s">
        <v>6667</v>
      </c>
      <c r="B2166" s="1"/>
      <c r="C2166" s="1"/>
      <c r="D2166" s="1"/>
      <c r="E2166" s="1"/>
      <c r="F2166" s="1"/>
      <c r="G2166" s="1" t="s">
        <v>13</v>
      </c>
      <c r="H2166" s="2">
        <v>0</v>
      </c>
      <c r="I2166" s="1" t="s">
        <v>13</v>
      </c>
      <c r="J2166" s="1" t="s">
        <v>6669</v>
      </c>
      <c r="K2166" s="1" t="s">
        <v>13</v>
      </c>
      <c r="L2166" s="1" t="s">
        <v>13</v>
      </c>
      <c r="M2166" s="6" t="str">
        <f>_xlfn.CONCAT(Table1[[#This Row],[Billing Street]], ", ", Table1[[#This Row],[Billing City]], ", ", Table1[[#This Row],[Billing State/Province]], ", ", Table1[[#This Row],[Billing Zip/Postal Code]])</f>
        <v xml:space="preserve">, Georgetown, SC, , </v>
      </c>
    </row>
    <row r="2167" spans="1:13" ht="15.6" hidden="1" x14ac:dyDescent="0.3">
      <c r="A2167" s="1" t="s">
        <v>6670</v>
      </c>
      <c r="B2167" s="1"/>
      <c r="C2167" s="1"/>
      <c r="D2167" s="1"/>
      <c r="E2167" s="1"/>
      <c r="F2167" s="1"/>
      <c r="G2167" s="1" t="s">
        <v>8</v>
      </c>
      <c r="H2167" s="2">
        <v>698</v>
      </c>
      <c r="I2167" s="1" t="s">
        <v>6671</v>
      </c>
      <c r="J2167" s="1" t="s">
        <v>127</v>
      </c>
      <c r="K2167" s="1" t="s">
        <v>128</v>
      </c>
      <c r="L2167" s="1" t="s">
        <v>5848</v>
      </c>
      <c r="M2167" s="6" t="str">
        <f>_xlfn.CONCAT(Table1[[#This Row],[Billing Street]], ", ", Table1[[#This Row],[Billing City]], ", ", Table1[[#This Row],[Billing State/Province]], ", ", Table1[[#This Row],[Billing Zip/Postal Code]])</f>
        <v>4929 Matterhorn Drive  Suite 5, Duluth, MN, 55811</v>
      </c>
    </row>
    <row r="2168" spans="1:13" ht="15.6" x14ac:dyDescent="0.3">
      <c r="A2168" s="1" t="s">
        <v>6672</v>
      </c>
      <c r="B2168" s="1"/>
      <c r="C2168" s="1"/>
      <c r="D2168" s="1"/>
      <c r="E2168" s="1"/>
      <c r="F2168" s="1"/>
      <c r="G2168" s="1" t="s">
        <v>24</v>
      </c>
      <c r="H2168" s="2">
        <v>306</v>
      </c>
      <c r="I2168" s="1" t="s">
        <v>6673</v>
      </c>
      <c r="J2168" s="1" t="s">
        <v>6674</v>
      </c>
      <c r="K2168" s="1" t="s">
        <v>577</v>
      </c>
      <c r="L2168" s="1" t="s">
        <v>5410</v>
      </c>
      <c r="M2168" s="6" t="str">
        <f>_xlfn.CONCAT(Table1[[#This Row],[Billing Street]], ", ", Table1[[#This Row],[Billing City]], ", ", Table1[[#This Row],[Billing State/Province]], ", ", Table1[[#This Row],[Billing Zip/Postal Code]])</f>
        <v>24310 Railroad Avenue, Plaquemine, LA, 70764</v>
      </c>
    </row>
    <row r="2169" spans="1:13" ht="15.6" hidden="1" x14ac:dyDescent="0.3">
      <c r="A2169" s="1" t="s">
        <v>6675</v>
      </c>
      <c r="B2169" s="1"/>
      <c r="C2169" s="1"/>
      <c r="D2169" s="1"/>
      <c r="E2169" s="1"/>
      <c r="F2169" s="1"/>
      <c r="G2169" s="1" t="s">
        <v>43</v>
      </c>
      <c r="H2169" s="2">
        <v>284</v>
      </c>
      <c r="I2169" s="1" t="s">
        <v>6676</v>
      </c>
      <c r="J2169" s="1" t="s">
        <v>6677</v>
      </c>
      <c r="K2169" s="1" t="s">
        <v>1736</v>
      </c>
      <c r="L2169" s="1" t="s">
        <v>6678</v>
      </c>
      <c r="M2169" s="6" t="str">
        <f>_xlfn.CONCAT(Table1[[#This Row],[Billing Street]], ", ", Table1[[#This Row],[Billing City]], ", ", Table1[[#This Row],[Billing State/Province]], ", ", Table1[[#This Row],[Billing Zip/Postal Code]])</f>
        <v>15 cloverdale placr, Cloverdale, Va, 24077</v>
      </c>
    </row>
    <row r="2170" spans="1:13" ht="15.6" hidden="1" x14ac:dyDescent="0.3">
      <c r="A2170" s="1" t="s">
        <v>6679</v>
      </c>
      <c r="B2170" s="1"/>
      <c r="C2170" s="1"/>
      <c r="D2170" s="1"/>
      <c r="E2170" s="1"/>
      <c r="F2170" s="1"/>
      <c r="G2170" s="1" t="s">
        <v>13</v>
      </c>
      <c r="H2170" s="2">
        <v>0</v>
      </c>
      <c r="I2170" s="1" t="s">
        <v>13</v>
      </c>
      <c r="J2170" s="1" t="s">
        <v>13</v>
      </c>
      <c r="K2170" s="1" t="s">
        <v>13</v>
      </c>
      <c r="L2170" s="1" t="s">
        <v>13</v>
      </c>
      <c r="M2170" s="6" t="str">
        <f>_xlfn.CONCAT(Table1[[#This Row],[Billing Street]], ", ", Table1[[#This Row],[Billing City]], ", ", Table1[[#This Row],[Billing State/Province]], ", ", Table1[[#This Row],[Billing Zip/Postal Code]])</f>
        <v xml:space="preserve">, , , </v>
      </c>
    </row>
    <row r="2171" spans="1:13" ht="15.6" hidden="1" x14ac:dyDescent="0.3">
      <c r="A2171" s="1" t="s">
        <v>6680</v>
      </c>
      <c r="B2171" s="1"/>
      <c r="C2171" s="1"/>
      <c r="D2171" s="1"/>
      <c r="E2171" s="1"/>
      <c r="F2171" s="1"/>
      <c r="G2171" s="1" t="s">
        <v>13</v>
      </c>
      <c r="H2171" s="2">
        <v>0</v>
      </c>
      <c r="I2171" s="1" t="s">
        <v>13</v>
      </c>
      <c r="J2171" s="1" t="s">
        <v>6681</v>
      </c>
      <c r="K2171" s="1" t="s">
        <v>13</v>
      </c>
      <c r="L2171" s="1" t="s">
        <v>13</v>
      </c>
      <c r="M2171" s="6" t="str">
        <f>_xlfn.CONCAT(Table1[[#This Row],[Billing Street]], ", ", Table1[[#This Row],[Billing City]], ", ", Table1[[#This Row],[Billing State/Province]], ", ", Table1[[#This Row],[Billing Zip/Postal Code]])</f>
        <v xml:space="preserve">, Glenview, IL, , </v>
      </c>
    </row>
    <row r="2172" spans="1:13" ht="15.6" hidden="1" x14ac:dyDescent="0.3">
      <c r="A2172" s="1" t="s">
        <v>6682</v>
      </c>
      <c r="B2172" s="1"/>
      <c r="C2172" s="1"/>
      <c r="D2172" s="1"/>
      <c r="E2172" s="1"/>
      <c r="F2172" s="1"/>
      <c r="G2172" s="1" t="s">
        <v>43</v>
      </c>
      <c r="H2172" s="2">
        <v>39</v>
      </c>
      <c r="I2172" s="1" t="s">
        <v>6683</v>
      </c>
      <c r="J2172" s="1" t="s">
        <v>3253</v>
      </c>
      <c r="K2172" s="1" t="s">
        <v>45</v>
      </c>
      <c r="L2172" s="1" t="s">
        <v>6684</v>
      </c>
      <c r="M2172" s="6" t="str">
        <f>_xlfn.CONCAT(Table1[[#This Row],[Billing Street]], ", ", Table1[[#This Row],[Billing City]], ", ", Table1[[#This Row],[Billing State/Province]], ", ", Table1[[#This Row],[Billing Zip/Postal Code]])</f>
        <v>One American Way, Warren, OH, 44484</v>
      </c>
    </row>
    <row r="2173" spans="1:13" ht="15.6" x14ac:dyDescent="0.3">
      <c r="A2173" s="1" t="s">
        <v>6685</v>
      </c>
      <c r="B2173" s="1"/>
      <c r="C2173" s="1"/>
      <c r="D2173" s="1"/>
      <c r="E2173" s="1"/>
      <c r="F2173" s="1"/>
      <c r="G2173" s="1" t="s">
        <v>24</v>
      </c>
      <c r="H2173" s="2">
        <v>294</v>
      </c>
      <c r="I2173" s="1" t="s">
        <v>6686</v>
      </c>
      <c r="J2173" s="1" t="s">
        <v>6687</v>
      </c>
      <c r="K2173" s="1" t="s">
        <v>26</v>
      </c>
      <c r="L2173" s="1" t="s">
        <v>6688</v>
      </c>
      <c r="M2173" s="6" t="str">
        <f>_xlfn.CONCAT(Table1[[#This Row],[Billing Street]], ", ", Table1[[#This Row],[Billing City]], ", ", Table1[[#This Row],[Billing State/Province]], ", ", Table1[[#This Row],[Billing Zip/Postal Code]])</f>
        <v>1615 East State St., Sheffield, AL, 35660</v>
      </c>
    </row>
    <row r="2174" spans="1:13" ht="15.6" hidden="1" x14ac:dyDescent="0.3">
      <c r="A2174" s="1" t="s">
        <v>6689</v>
      </c>
      <c r="B2174" s="1"/>
      <c r="C2174" s="1"/>
      <c r="D2174" s="1"/>
      <c r="E2174" s="1"/>
      <c r="F2174" s="1"/>
      <c r="G2174" s="1" t="s">
        <v>13</v>
      </c>
      <c r="H2174" s="2">
        <v>0</v>
      </c>
      <c r="I2174" s="1" t="s">
        <v>860</v>
      </c>
      <c r="J2174" s="1" t="s">
        <v>31</v>
      </c>
      <c r="K2174" s="1" t="s">
        <v>13</v>
      </c>
      <c r="L2174" s="1" t="s">
        <v>6690</v>
      </c>
      <c r="M2174" s="6" t="str">
        <f>_xlfn.CONCAT(Table1[[#This Row],[Billing Street]], ", ", Table1[[#This Row],[Billing City]], ", ", Table1[[#This Row],[Billing State/Province]], ", ", Table1[[#This Row],[Billing Zip/Postal Code]])</f>
        <v>Greenwood, MS, , 38930</v>
      </c>
    </row>
    <row r="2175" spans="1:13" ht="15.6" hidden="1" x14ac:dyDescent="0.3">
      <c r="A2175" s="1" t="s">
        <v>6691</v>
      </c>
      <c r="B2175" s="1"/>
      <c r="C2175" s="1"/>
      <c r="D2175" s="1"/>
      <c r="E2175" s="1"/>
      <c r="F2175" s="1"/>
      <c r="G2175" s="1" t="s">
        <v>13</v>
      </c>
      <c r="H2175" s="2">
        <v>0</v>
      </c>
      <c r="I2175" s="1" t="s">
        <v>13</v>
      </c>
      <c r="J2175" s="1" t="s">
        <v>13</v>
      </c>
      <c r="K2175" s="1" t="s">
        <v>13</v>
      </c>
      <c r="L2175" s="1" t="s">
        <v>13</v>
      </c>
      <c r="M2175" s="6" t="str">
        <f>_xlfn.CONCAT(Table1[[#This Row],[Billing Street]], ", ", Table1[[#This Row],[Billing City]], ", ", Table1[[#This Row],[Billing State/Province]], ", ", Table1[[#This Row],[Billing Zip/Postal Code]])</f>
        <v xml:space="preserve">, , , </v>
      </c>
    </row>
    <row r="2176" spans="1:13" ht="15.6" hidden="1" x14ac:dyDescent="0.3">
      <c r="A2176" s="1" t="s">
        <v>6692</v>
      </c>
      <c r="B2176" s="1"/>
      <c r="C2176" s="1"/>
      <c r="D2176" s="1"/>
      <c r="E2176" s="1"/>
      <c r="F2176" s="1"/>
      <c r="G2176" s="1" t="s">
        <v>13</v>
      </c>
      <c r="H2176" s="2">
        <v>0</v>
      </c>
      <c r="I2176" s="1" t="s">
        <v>6693</v>
      </c>
      <c r="J2176" s="1" t="s">
        <v>6694</v>
      </c>
      <c r="K2176" s="1" t="s">
        <v>13</v>
      </c>
      <c r="L2176" s="1" t="s">
        <v>6695</v>
      </c>
      <c r="M2176" s="6" t="str">
        <f>_xlfn.CONCAT(Table1[[#This Row],[Billing Street]], ", ", Table1[[#This Row],[Billing City]], ", ", Table1[[#This Row],[Billing State/Province]], ", ", Table1[[#This Row],[Billing Zip/Postal Code]])</f>
        <v>2091 Lincoln Hwy, Boswell, PA, , 15531</v>
      </c>
    </row>
    <row r="2177" spans="1:13" ht="15.6" hidden="1" x14ac:dyDescent="0.3">
      <c r="A2177" s="1" t="s">
        <v>6696</v>
      </c>
      <c r="B2177" s="1"/>
      <c r="C2177" s="1"/>
      <c r="D2177" s="1"/>
      <c r="E2177" s="1"/>
      <c r="F2177" s="1"/>
      <c r="G2177" s="1" t="s">
        <v>43</v>
      </c>
      <c r="H2177" s="2">
        <v>5776</v>
      </c>
      <c r="I2177" s="1" t="s">
        <v>6697</v>
      </c>
      <c r="J2177" s="1" t="s">
        <v>6698</v>
      </c>
      <c r="K2177" s="1" t="s">
        <v>586</v>
      </c>
      <c r="L2177" s="1" t="s">
        <v>6699</v>
      </c>
      <c r="M2177" s="6" t="str">
        <f>_xlfn.CONCAT(Table1[[#This Row],[Billing Street]], ", ", Table1[[#This Row],[Billing City]], ", ", Table1[[#This Row],[Billing State/Province]], ", ", Table1[[#This Row],[Billing Zip/Postal Code]])</f>
        <v>29 Kathleen Lane, Norwood, ma, 2062</v>
      </c>
    </row>
    <row r="2178" spans="1:13" ht="15.6" hidden="1" x14ac:dyDescent="0.3">
      <c r="A2178" s="1" t="s">
        <v>6700</v>
      </c>
      <c r="B2178" s="1"/>
      <c r="C2178" s="1"/>
      <c r="D2178" s="1"/>
      <c r="E2178" s="1"/>
      <c r="F2178" s="1"/>
      <c r="G2178" s="1" t="s">
        <v>48</v>
      </c>
      <c r="H2178" s="2">
        <v>0</v>
      </c>
      <c r="I2178" s="1" t="s">
        <v>6701</v>
      </c>
      <c r="J2178" s="1" t="s">
        <v>6702</v>
      </c>
      <c r="K2178" s="1" t="s">
        <v>26</v>
      </c>
      <c r="L2178" s="1" t="s">
        <v>6703</v>
      </c>
      <c r="M2178" s="6" t="str">
        <f>_xlfn.CONCAT(Table1[[#This Row],[Billing Street]], ", ", Table1[[#This Row],[Billing City]], ", ", Table1[[#This Row],[Billing State/Province]], ", ", Table1[[#This Row],[Billing Zip/Postal Code]])</f>
        <v>2025 Moody Drive Parkway #202, Moody, AL, 35004</v>
      </c>
    </row>
    <row r="2179" spans="1:13" ht="15.6" hidden="1" x14ac:dyDescent="0.3">
      <c r="A2179" s="1" t="s">
        <v>6704</v>
      </c>
      <c r="B2179" s="1"/>
      <c r="C2179" s="1"/>
      <c r="D2179" s="1"/>
      <c r="E2179" s="1"/>
      <c r="F2179" s="1"/>
      <c r="G2179" s="1" t="s">
        <v>8</v>
      </c>
      <c r="H2179" s="2">
        <v>780</v>
      </c>
      <c r="I2179" s="1" t="s">
        <v>6705</v>
      </c>
      <c r="J2179" s="1" t="s">
        <v>6706</v>
      </c>
      <c r="K2179" s="1" t="s">
        <v>3735</v>
      </c>
      <c r="L2179" s="1" t="s">
        <v>6707</v>
      </c>
      <c r="M2179" s="6" t="str">
        <f>_xlfn.CONCAT(Table1[[#This Row],[Billing Street]], ", ", Table1[[#This Row],[Billing City]], ", ", Table1[[#This Row],[Billing State/Province]], ", ", Table1[[#This Row],[Billing Zip/Postal Code]])</f>
        <v>201 1sr Street, Riverdale, ND, 58565</v>
      </c>
    </row>
    <row r="2180" spans="1:13" ht="15.6" hidden="1" x14ac:dyDescent="0.3">
      <c r="A2180" s="1" t="s">
        <v>6708</v>
      </c>
      <c r="B2180" s="1"/>
      <c r="C2180" s="1"/>
      <c r="D2180" s="1"/>
      <c r="E2180" s="1"/>
      <c r="F2180" s="1"/>
      <c r="G2180" s="1" t="s">
        <v>205</v>
      </c>
      <c r="H2180" s="2">
        <v>6</v>
      </c>
      <c r="I2180" s="1" t="s">
        <v>6709</v>
      </c>
      <c r="J2180" s="1" t="s">
        <v>518</v>
      </c>
      <c r="K2180" s="1" t="s">
        <v>479</v>
      </c>
      <c r="L2180" s="1" t="s">
        <v>1886</v>
      </c>
      <c r="M2180" s="6" t="str">
        <f>_xlfn.CONCAT(Table1[[#This Row],[Billing Street]], ", ", Table1[[#This Row],[Billing City]], ", ", Table1[[#This Row],[Billing State/Province]], ", ", Table1[[#This Row],[Billing Zip/Postal Code]])</f>
        <v>605 S 48th street, Phoenix, AZ, 85034</v>
      </c>
    </row>
    <row r="2181" spans="1:13" ht="15.6" hidden="1" x14ac:dyDescent="0.3">
      <c r="A2181" s="1" t="s">
        <v>6710</v>
      </c>
      <c r="B2181" s="1"/>
      <c r="C2181" s="1"/>
      <c r="D2181" s="1"/>
      <c r="E2181" s="1"/>
      <c r="F2181" s="1"/>
      <c r="G2181" s="1" t="s">
        <v>13</v>
      </c>
      <c r="H2181" s="2">
        <v>0</v>
      </c>
      <c r="I2181" s="1" t="s">
        <v>13</v>
      </c>
      <c r="J2181" s="1" t="s">
        <v>13</v>
      </c>
      <c r="K2181" s="1" t="s">
        <v>13</v>
      </c>
      <c r="L2181" s="1" t="s">
        <v>13</v>
      </c>
      <c r="M2181" s="6" t="str">
        <f>_xlfn.CONCAT(Table1[[#This Row],[Billing Street]], ", ", Table1[[#This Row],[Billing City]], ", ", Table1[[#This Row],[Billing State/Province]], ", ", Table1[[#This Row],[Billing Zip/Postal Code]])</f>
        <v xml:space="preserve">, , , </v>
      </c>
    </row>
    <row r="2182" spans="1:13" ht="15.6" hidden="1" x14ac:dyDescent="0.3">
      <c r="A2182" s="1" t="s">
        <v>6711</v>
      </c>
      <c r="B2182" s="1"/>
      <c r="C2182" s="1"/>
      <c r="D2182" s="1"/>
      <c r="E2182" s="1"/>
      <c r="F2182" s="1"/>
      <c r="G2182" s="1" t="s">
        <v>13</v>
      </c>
      <c r="H2182" s="2">
        <v>0</v>
      </c>
      <c r="I2182" s="1" t="s">
        <v>13</v>
      </c>
      <c r="J2182" s="1" t="s">
        <v>13</v>
      </c>
      <c r="K2182" s="1" t="s">
        <v>13</v>
      </c>
      <c r="L2182" s="1" t="s">
        <v>13</v>
      </c>
      <c r="M2182" s="6" t="str">
        <f>_xlfn.CONCAT(Table1[[#This Row],[Billing Street]], ", ", Table1[[#This Row],[Billing City]], ", ", Table1[[#This Row],[Billing State/Province]], ", ", Table1[[#This Row],[Billing Zip/Postal Code]])</f>
        <v xml:space="preserve">, , , </v>
      </c>
    </row>
    <row r="2183" spans="1:13" ht="15.6" hidden="1" x14ac:dyDescent="0.3">
      <c r="A2183" s="1" t="s">
        <v>6712</v>
      </c>
      <c r="B2183" s="1"/>
      <c r="C2183" s="1"/>
      <c r="D2183" s="1"/>
      <c r="E2183" s="1"/>
      <c r="F2183" s="1"/>
      <c r="G2183" s="1" t="s">
        <v>43</v>
      </c>
      <c r="H2183" s="2">
        <v>419</v>
      </c>
      <c r="I2183" s="1" t="s">
        <v>6713</v>
      </c>
      <c r="J2183" s="1" t="s">
        <v>892</v>
      </c>
      <c r="K2183" s="1" t="s">
        <v>82</v>
      </c>
      <c r="L2183" s="1" t="s">
        <v>5709</v>
      </c>
      <c r="M2183" s="6" t="str">
        <f>_xlfn.CONCAT(Table1[[#This Row],[Billing Street]], ", ", Table1[[#This Row],[Billing City]], ", ", Table1[[#This Row],[Billing State/Province]], ", ", Table1[[#This Row],[Billing Zip/Postal Code]])</f>
        <v>10 N. 11th Street, Gladstone, MI, 49837</v>
      </c>
    </row>
    <row r="2184" spans="1:13" ht="15.6" x14ac:dyDescent="0.3">
      <c r="A2184" s="1" t="s">
        <v>6714</v>
      </c>
      <c r="B2184" s="1"/>
      <c r="C2184" s="1"/>
      <c r="D2184" s="1"/>
      <c r="E2184" s="1"/>
      <c r="F2184" s="1"/>
      <c r="G2184" s="1" t="s">
        <v>24</v>
      </c>
      <c r="H2184" s="2">
        <v>5988</v>
      </c>
      <c r="I2184" s="1" t="s">
        <v>548</v>
      </c>
      <c r="J2184" s="1" t="s">
        <v>549</v>
      </c>
      <c r="K2184" s="1" t="s">
        <v>26</v>
      </c>
      <c r="L2184" s="1" t="s">
        <v>550</v>
      </c>
      <c r="M2184" s="6" t="str">
        <f>_xlfn.CONCAT(Table1[[#This Row],[Billing Street]], ", ", Table1[[#This Row],[Billing City]], ", ", Table1[[#This Row],[Billing State/Province]], ", ", Table1[[#This Row],[Billing Zip/Postal Code]])</f>
        <v>1 Steel Dr, Calvert, AL, 36513</v>
      </c>
    </row>
    <row r="2185" spans="1:13" ht="15.6" x14ac:dyDescent="0.3">
      <c r="A2185" s="1" t="s">
        <v>6715</v>
      </c>
      <c r="B2185" s="1"/>
      <c r="C2185" s="1"/>
      <c r="D2185" s="1"/>
      <c r="E2185" s="1"/>
      <c r="F2185" s="1"/>
      <c r="G2185" s="1" t="s">
        <v>24</v>
      </c>
      <c r="H2185" s="2">
        <v>5988</v>
      </c>
      <c r="I2185" s="1" t="s">
        <v>6716</v>
      </c>
      <c r="J2185" s="1" t="s">
        <v>6717</v>
      </c>
      <c r="K2185" s="1" t="s">
        <v>31</v>
      </c>
      <c r="L2185" s="1" t="s">
        <v>6718</v>
      </c>
      <c r="M2185" s="6" t="str">
        <f>_xlfn.CONCAT(Table1[[#This Row],[Billing Street]], ", ", Table1[[#This Row],[Billing City]], ", ", Table1[[#This Row],[Billing State/Province]], ", ", Table1[[#This Row],[Billing Zip/Postal Code]])</f>
        <v>13118 Webre Road, Bay St. Louis, MS, 39520</v>
      </c>
    </row>
    <row r="2186" spans="1:13" ht="15.6" hidden="1" x14ac:dyDescent="0.3">
      <c r="A2186" s="1" t="s">
        <v>6719</v>
      </c>
      <c r="B2186" s="1"/>
      <c r="C2186" s="1"/>
      <c r="D2186" s="1"/>
      <c r="E2186" s="1"/>
      <c r="F2186" s="1"/>
      <c r="G2186" s="1" t="s">
        <v>13</v>
      </c>
      <c r="H2186" s="2">
        <v>0</v>
      </c>
      <c r="I2186" s="1" t="s">
        <v>13</v>
      </c>
      <c r="J2186" s="1" t="s">
        <v>13</v>
      </c>
      <c r="K2186" s="1" t="s">
        <v>13</v>
      </c>
      <c r="L2186" s="1" t="s">
        <v>13</v>
      </c>
      <c r="M2186" s="6" t="str">
        <f>_xlfn.CONCAT(Table1[[#This Row],[Billing Street]], ", ", Table1[[#This Row],[Billing City]], ", ", Table1[[#This Row],[Billing State/Province]], ", ", Table1[[#This Row],[Billing Zip/Postal Code]])</f>
        <v xml:space="preserve">, , , </v>
      </c>
    </row>
    <row r="2187" spans="1:13" ht="15.6" hidden="1" x14ac:dyDescent="0.3">
      <c r="A2187" s="1" t="s">
        <v>6720</v>
      </c>
      <c r="B2187" s="1"/>
      <c r="C2187" s="1"/>
      <c r="D2187" s="1"/>
      <c r="E2187" s="1"/>
      <c r="F2187" s="1"/>
      <c r="G2187" s="1" t="s">
        <v>43</v>
      </c>
      <c r="H2187" s="2">
        <v>471</v>
      </c>
      <c r="I2187" s="1" t="s">
        <v>6721</v>
      </c>
      <c r="J2187" s="1" t="s">
        <v>6722</v>
      </c>
      <c r="K2187" s="1" t="s">
        <v>82</v>
      </c>
      <c r="L2187" s="1" t="s">
        <v>6723</v>
      </c>
      <c r="M2187" s="6" t="str">
        <f>_xlfn.CONCAT(Table1[[#This Row],[Billing Street]], ", ", Table1[[#This Row],[Billing City]], ", ", Table1[[#This Row],[Billing State/Province]], ", ", Table1[[#This Row],[Billing Zip/Postal Code]])</f>
        <v>600 Cherry Street, Negaunee, MI, 49866</v>
      </c>
    </row>
    <row r="2188" spans="1:13" ht="15.6" x14ac:dyDescent="0.3">
      <c r="A2188" s="1" t="s">
        <v>6724</v>
      </c>
      <c r="B2188" s="1"/>
      <c r="C2188" s="1"/>
      <c r="D2188" s="1"/>
      <c r="E2188" s="1"/>
      <c r="F2188" s="1"/>
      <c r="G2188" s="1" t="s">
        <v>24</v>
      </c>
      <c r="H2188" s="2">
        <v>5988</v>
      </c>
      <c r="I2188" s="1" t="s">
        <v>6725</v>
      </c>
      <c r="J2188" s="1" t="s">
        <v>1165</v>
      </c>
      <c r="K2188" s="1" t="s">
        <v>31</v>
      </c>
      <c r="L2188" s="1" t="s">
        <v>6726</v>
      </c>
      <c r="M2188" s="6" t="str">
        <f>_xlfn.CONCAT(Table1[[#This Row],[Billing Street]], ", ", Table1[[#This Row],[Billing City]], ", ", Table1[[#This Row],[Billing State/Province]], ", ", Table1[[#This Row],[Billing Zip/Postal Code]])</f>
        <v>318 Old Hwy 49, Richland, MS, 39218</v>
      </c>
    </row>
    <row r="2189" spans="1:13" ht="15.6" x14ac:dyDescent="0.3">
      <c r="A2189" s="1" t="s">
        <v>6727</v>
      </c>
      <c r="B2189" s="1"/>
      <c r="C2189" s="1"/>
      <c r="D2189" s="1"/>
      <c r="E2189" s="1"/>
      <c r="F2189" s="1"/>
      <c r="G2189" s="1" t="s">
        <v>24</v>
      </c>
      <c r="H2189" s="2">
        <v>392</v>
      </c>
      <c r="I2189" s="1" t="s">
        <v>6728</v>
      </c>
      <c r="J2189" s="1" t="s">
        <v>5369</v>
      </c>
      <c r="K2189" s="1" t="s">
        <v>577</v>
      </c>
      <c r="L2189" s="1" t="s">
        <v>5370</v>
      </c>
      <c r="M2189" s="6" t="str">
        <f>_xlfn.CONCAT(Table1[[#This Row],[Billing Street]], ", ", Table1[[#This Row],[Billing City]], ", ", Table1[[#This Row],[Billing State/Province]], ", ", Table1[[#This Row],[Billing Zip/Postal Code]])</f>
        <v>1701Thibodeaux Road, Jennings, LA, 70546</v>
      </c>
    </row>
    <row r="2190" spans="1:13" ht="15.6" hidden="1" x14ac:dyDescent="0.3">
      <c r="A2190" s="1" t="s">
        <v>6729</v>
      </c>
      <c r="B2190" s="1"/>
      <c r="C2190" s="1"/>
      <c r="D2190" s="1"/>
      <c r="E2190" s="1"/>
      <c r="F2190" s="1"/>
      <c r="G2190" s="1" t="s">
        <v>43</v>
      </c>
      <c r="H2190" s="2">
        <v>83</v>
      </c>
      <c r="I2190" s="1" t="s">
        <v>6730</v>
      </c>
      <c r="J2190" s="1" t="s">
        <v>6731</v>
      </c>
      <c r="K2190" s="1" t="s">
        <v>241</v>
      </c>
      <c r="L2190" s="1" t="s">
        <v>6732</v>
      </c>
      <c r="M2190" s="6" t="str">
        <f>_xlfn.CONCAT(Table1[[#This Row],[Billing Street]], ", ", Table1[[#This Row],[Billing City]], ", ", Table1[[#This Row],[Billing State/Province]], ", ", Table1[[#This Row],[Billing Zip/Postal Code]])</f>
        <v>100 Leetsdale Industrial Drive, Leetsdale, PA, 18405</v>
      </c>
    </row>
    <row r="2191" spans="1:13" ht="15.6" hidden="1" x14ac:dyDescent="0.3">
      <c r="A2191" s="1" t="s">
        <v>6733</v>
      </c>
      <c r="B2191" s="1"/>
      <c r="C2191" s="1"/>
      <c r="D2191" s="1"/>
      <c r="E2191" s="1"/>
      <c r="F2191" s="1"/>
      <c r="G2191" s="1" t="s">
        <v>8</v>
      </c>
      <c r="H2191" s="2">
        <v>6528</v>
      </c>
      <c r="I2191" s="1" t="s">
        <v>13</v>
      </c>
      <c r="J2191" s="1" t="s">
        <v>1305</v>
      </c>
      <c r="K2191" s="1" t="s">
        <v>165</v>
      </c>
      <c r="L2191" s="1" t="s">
        <v>13</v>
      </c>
      <c r="M2191" s="6" t="str">
        <f>_xlfn.CONCAT(Table1[[#This Row],[Billing Street]], ", ", Table1[[#This Row],[Billing City]], ", ", Table1[[#This Row],[Billing State/Province]], ", ", Table1[[#This Row],[Billing Zip/Postal Code]])</f>
        <v xml:space="preserve">, Little Rock, AR, </v>
      </c>
    </row>
    <row r="2192" spans="1:13" ht="15.6" hidden="1" x14ac:dyDescent="0.3">
      <c r="A2192" s="1" t="s">
        <v>6734</v>
      </c>
      <c r="B2192" s="1"/>
      <c r="C2192" s="1"/>
      <c r="D2192" s="1"/>
      <c r="E2192" s="1"/>
      <c r="F2192" s="1"/>
      <c r="G2192" s="1" t="s">
        <v>43</v>
      </c>
      <c r="H2192" s="2">
        <v>5776</v>
      </c>
      <c r="I2192" s="1" t="s">
        <v>6735</v>
      </c>
      <c r="J2192" s="1" t="s">
        <v>5210</v>
      </c>
      <c r="K2192" s="1" t="s">
        <v>1154</v>
      </c>
      <c r="L2192" s="1" t="s">
        <v>5211</v>
      </c>
      <c r="M2192" s="6" t="str">
        <f>_xlfn.CONCAT(Table1[[#This Row],[Billing Street]], ", ", Table1[[#This Row],[Billing City]], ", ", Table1[[#This Row],[Billing State/Province]], ", ", Table1[[#This Row],[Billing Zip/Postal Code]])</f>
        <v>301 Alan wood rd, Conshohocken, Pa, 19428</v>
      </c>
    </row>
    <row r="2193" spans="1:13" ht="15.6" hidden="1" x14ac:dyDescent="0.3">
      <c r="A2193" s="1" t="s">
        <v>6736</v>
      </c>
      <c r="B2193" s="1"/>
      <c r="C2193" s="1"/>
      <c r="D2193" s="1"/>
      <c r="E2193" s="1"/>
      <c r="F2193" s="1"/>
      <c r="G2193" s="1" t="s">
        <v>48</v>
      </c>
      <c r="H2193" s="2">
        <v>0</v>
      </c>
      <c r="I2193" s="1" t="s">
        <v>13</v>
      </c>
      <c r="J2193" s="1" t="s">
        <v>13</v>
      </c>
      <c r="K2193" s="1" t="s">
        <v>13</v>
      </c>
      <c r="L2193" s="1" t="s">
        <v>13</v>
      </c>
      <c r="M2193" s="6" t="str">
        <f>_xlfn.CONCAT(Table1[[#This Row],[Billing Street]], ", ", Table1[[#This Row],[Billing City]], ", ", Table1[[#This Row],[Billing State/Province]], ", ", Table1[[#This Row],[Billing Zip/Postal Code]])</f>
        <v xml:space="preserve">, , , </v>
      </c>
    </row>
    <row r="2194" spans="1:13" ht="15.6" x14ac:dyDescent="0.3">
      <c r="A2194" s="1" t="s">
        <v>6737</v>
      </c>
      <c r="B2194" s="1"/>
      <c r="C2194" s="1"/>
      <c r="D2194" s="1"/>
      <c r="E2194" s="1"/>
      <c r="F2194" s="1"/>
      <c r="G2194" s="1" t="s">
        <v>24</v>
      </c>
      <c r="H2194" s="2">
        <v>186</v>
      </c>
      <c r="I2194" s="1" t="s">
        <v>16144</v>
      </c>
      <c r="J2194" s="1" t="s">
        <v>6738</v>
      </c>
      <c r="K2194" s="1" t="s">
        <v>26</v>
      </c>
      <c r="L2194" s="1" t="s">
        <v>6739</v>
      </c>
      <c r="M2194" s="6" t="str">
        <f>_xlfn.CONCAT(Table1[[#This Row],[Billing Street]], ", ", Table1[[#This Row],[Billing City]], ", ", Table1[[#This Row],[Billing State/Province]], ", ", Table1[[#This Row],[Billing Zip/Postal Code]])</f>
        <v>25 Florey Street, Vincent, AL, 35178</v>
      </c>
    </row>
    <row r="2195" spans="1:13" ht="15.6" hidden="1" x14ac:dyDescent="0.3">
      <c r="A2195" s="1" t="s">
        <v>6740</v>
      </c>
      <c r="B2195" s="1"/>
      <c r="C2195" s="1"/>
      <c r="D2195" s="1"/>
      <c r="E2195" s="1"/>
      <c r="F2195" s="1"/>
      <c r="G2195" s="1" t="s">
        <v>43</v>
      </c>
      <c r="H2195" s="2">
        <v>291</v>
      </c>
      <c r="I2195" s="1" t="s">
        <v>6741</v>
      </c>
      <c r="J2195" s="1" t="s">
        <v>6742</v>
      </c>
      <c r="K2195" s="1" t="s">
        <v>1832</v>
      </c>
      <c r="L2195" s="1" t="s">
        <v>6743</v>
      </c>
      <c r="M2195" s="6" t="str">
        <f>_xlfn.CONCAT(Table1[[#This Row],[Billing Street]], ", ", Table1[[#This Row],[Billing City]], ", ", Table1[[#This Row],[Billing State/Province]], ", ", Table1[[#This Row],[Billing Zip/Postal Code]])</f>
        <v>832 Oregon Ave suite A, Linthicum, Md, 21090</v>
      </c>
    </row>
    <row r="2196" spans="1:13" ht="15.6" hidden="1" x14ac:dyDescent="0.3">
      <c r="A2196" s="1" t="s">
        <v>6744</v>
      </c>
      <c r="B2196" s="1"/>
      <c r="C2196" s="1"/>
      <c r="D2196" s="1"/>
      <c r="E2196" s="1"/>
      <c r="F2196" s="1"/>
      <c r="G2196" s="1" t="s">
        <v>13</v>
      </c>
      <c r="H2196" s="2">
        <v>0</v>
      </c>
      <c r="I2196" s="1" t="s">
        <v>13</v>
      </c>
      <c r="J2196" s="1" t="s">
        <v>13</v>
      </c>
      <c r="K2196" s="1" t="s">
        <v>13</v>
      </c>
      <c r="L2196" s="1" t="s">
        <v>13</v>
      </c>
      <c r="M2196" s="6" t="str">
        <f>_xlfn.CONCAT(Table1[[#This Row],[Billing Street]], ", ", Table1[[#This Row],[Billing City]], ", ", Table1[[#This Row],[Billing State/Province]], ", ", Table1[[#This Row],[Billing Zip/Postal Code]])</f>
        <v xml:space="preserve">, , , </v>
      </c>
    </row>
    <row r="2197" spans="1:13" ht="15.6" hidden="1" x14ac:dyDescent="0.3">
      <c r="A2197" s="1" t="s">
        <v>6745</v>
      </c>
      <c r="B2197" s="1"/>
      <c r="C2197" s="1"/>
      <c r="D2197" s="1"/>
      <c r="E2197" s="1"/>
      <c r="F2197" s="1"/>
      <c r="G2197" s="1" t="s">
        <v>13</v>
      </c>
      <c r="H2197" s="2">
        <v>0</v>
      </c>
      <c r="I2197" s="1" t="s">
        <v>13</v>
      </c>
      <c r="J2197" s="1" t="s">
        <v>13</v>
      </c>
      <c r="K2197" s="1" t="s">
        <v>13</v>
      </c>
      <c r="L2197" s="1" t="s">
        <v>13</v>
      </c>
      <c r="M2197" s="6" t="str">
        <f>_xlfn.CONCAT(Table1[[#This Row],[Billing Street]], ", ", Table1[[#This Row],[Billing City]], ", ", Table1[[#This Row],[Billing State/Province]], ", ", Table1[[#This Row],[Billing Zip/Postal Code]])</f>
        <v xml:space="preserve">, , , </v>
      </c>
    </row>
    <row r="2198" spans="1:13" ht="15.6" hidden="1" x14ac:dyDescent="0.3">
      <c r="A2198" s="1" t="s">
        <v>6746</v>
      </c>
      <c r="B2198" s="1"/>
      <c r="C2198" s="1"/>
      <c r="D2198" s="1"/>
      <c r="E2198" s="1"/>
      <c r="F2198" s="1"/>
      <c r="G2198" s="1" t="s">
        <v>48</v>
      </c>
      <c r="H2198" s="2">
        <v>0</v>
      </c>
      <c r="I2198" s="1" t="s">
        <v>6747</v>
      </c>
      <c r="J2198" s="1" t="s">
        <v>6748</v>
      </c>
      <c r="K2198" s="1" t="s">
        <v>6749</v>
      </c>
      <c r="L2198" s="1" t="s">
        <v>6750</v>
      </c>
      <c r="M2198" s="6" t="str">
        <f>_xlfn.CONCAT(Table1[[#This Row],[Billing Street]], ", ", Table1[[#This Row],[Billing City]], ", ", Table1[[#This Row],[Billing State/Province]], ", ", Table1[[#This Row],[Billing Zip/Postal Code]])</f>
        <v>1309 Topsail Road, Paradise, NL, A1L 1N8</v>
      </c>
    </row>
    <row r="2199" spans="1:13" ht="15.6" hidden="1" x14ac:dyDescent="0.3">
      <c r="A2199" s="1" t="s">
        <v>6751</v>
      </c>
      <c r="B2199" s="1"/>
      <c r="C2199" s="1"/>
      <c r="D2199" s="1"/>
      <c r="E2199" s="1"/>
      <c r="F2199" s="1"/>
      <c r="G2199" s="1" t="s">
        <v>43</v>
      </c>
      <c r="H2199" s="2">
        <v>535</v>
      </c>
      <c r="I2199" s="1" t="s">
        <v>6752</v>
      </c>
      <c r="J2199" s="1" t="s">
        <v>1082</v>
      </c>
      <c r="K2199" s="1" t="s">
        <v>95</v>
      </c>
      <c r="L2199" s="1" t="s">
        <v>6753</v>
      </c>
      <c r="M2199" s="6" t="str">
        <f>_xlfn.CONCAT(Table1[[#This Row],[Billing Street]], ", ", Table1[[#This Row],[Billing City]], ", ", Table1[[#This Row],[Billing State/Province]], ", ", Table1[[#This Row],[Billing Zip/Postal Code]])</f>
        <v>1 Westinghouse Plaza, Boston, MA, 02136</v>
      </c>
    </row>
    <row r="2200" spans="1:13" ht="15.6" hidden="1" x14ac:dyDescent="0.3">
      <c r="A2200" s="1" t="s">
        <v>6754</v>
      </c>
      <c r="B2200" s="1"/>
      <c r="C2200" s="1"/>
      <c r="D2200" s="1"/>
      <c r="E2200" s="1"/>
      <c r="F2200" s="1"/>
      <c r="G2200" s="1" t="s">
        <v>43</v>
      </c>
      <c r="H2200" s="2">
        <v>270</v>
      </c>
      <c r="I2200" s="1" t="s">
        <v>6755</v>
      </c>
      <c r="J2200" s="1" t="s">
        <v>629</v>
      </c>
      <c r="K2200" s="1" t="s">
        <v>237</v>
      </c>
      <c r="L2200" s="1" t="s">
        <v>6756</v>
      </c>
      <c r="M2200" s="6" t="str">
        <f>_xlfn.CONCAT(Table1[[#This Row],[Billing Street]], ", ", Table1[[#This Row],[Billing City]], ", ", Table1[[#This Row],[Billing State/Province]], ", ", Table1[[#This Row],[Billing Zip/Postal Code]])</f>
        <v>4 E Main St, Flora, IN, 46929</v>
      </c>
    </row>
    <row r="2201" spans="1:13" ht="15.6" hidden="1" x14ac:dyDescent="0.3">
      <c r="A2201" s="1" t="s">
        <v>6757</v>
      </c>
      <c r="B2201" s="1"/>
      <c r="C2201" s="1"/>
      <c r="D2201" s="1"/>
      <c r="E2201" s="1"/>
      <c r="F2201" s="1"/>
      <c r="G2201" s="1" t="s">
        <v>8</v>
      </c>
      <c r="H2201" s="2">
        <v>6528</v>
      </c>
      <c r="I2201" s="1" t="s">
        <v>13</v>
      </c>
      <c r="J2201" s="1" t="s">
        <v>816</v>
      </c>
      <c r="K2201" s="1" t="s">
        <v>147</v>
      </c>
      <c r="L2201" s="1" t="s">
        <v>13</v>
      </c>
      <c r="M2201" s="6" t="str">
        <f>_xlfn.CONCAT(Table1[[#This Row],[Billing Street]], ", ", Table1[[#This Row],[Billing City]], ", ", Table1[[#This Row],[Billing State/Province]], ", ", Table1[[#This Row],[Billing Zip/Postal Code]])</f>
        <v xml:space="preserve">, Eldorado, OK, </v>
      </c>
    </row>
    <row r="2202" spans="1:13" ht="15.6" hidden="1" x14ac:dyDescent="0.3">
      <c r="A2202" s="1" t="s">
        <v>6758</v>
      </c>
      <c r="B2202" s="1"/>
      <c r="C2202" s="1"/>
      <c r="D2202" s="1"/>
      <c r="E2202" s="1"/>
      <c r="F2202" s="1"/>
      <c r="G2202" s="1" t="s">
        <v>98</v>
      </c>
      <c r="H2202" s="2">
        <v>344</v>
      </c>
      <c r="I2202" s="1" t="s">
        <v>6759</v>
      </c>
      <c r="J2202" s="1" t="s">
        <v>5019</v>
      </c>
      <c r="K2202" s="1" t="s">
        <v>1135</v>
      </c>
      <c r="L2202" s="1" t="s">
        <v>5020</v>
      </c>
      <c r="M2202" s="6" t="str">
        <f>_xlfn.CONCAT(Table1[[#This Row],[Billing Street]], ", ", Table1[[#This Row],[Billing City]], ", ", Table1[[#This Row],[Billing State/Province]], ", ", Table1[[#This Row],[Billing Zip/Postal Code]])</f>
        <v>220 S. Main St., Memphis, TN, 38103</v>
      </c>
    </row>
    <row r="2203" spans="1:13" ht="15.6" hidden="1" x14ac:dyDescent="0.3">
      <c r="A2203" s="1" t="s">
        <v>6760</v>
      </c>
      <c r="B2203" s="1"/>
      <c r="C2203" s="1"/>
      <c r="D2203" s="1"/>
      <c r="E2203" s="1"/>
      <c r="F2203" s="1"/>
      <c r="G2203" s="1" t="s">
        <v>43</v>
      </c>
      <c r="H2203" s="2">
        <v>213</v>
      </c>
      <c r="I2203" s="1" t="s">
        <v>6761</v>
      </c>
      <c r="J2203" s="1" t="s">
        <v>6762</v>
      </c>
      <c r="K2203" s="1" t="s">
        <v>237</v>
      </c>
      <c r="L2203" s="1" t="s">
        <v>6763</v>
      </c>
      <c r="M2203" s="6" t="str">
        <f>_xlfn.CONCAT(Table1[[#This Row],[Billing Street]], ", ", Table1[[#This Row],[Billing City]], ", ", Table1[[#This Row],[Billing State/Province]], ", ", Table1[[#This Row],[Billing Zip/Postal Code]])</f>
        <v>204 E. Main Street, Centerville, IN, 47330</v>
      </c>
    </row>
    <row r="2204" spans="1:13" ht="15.6" x14ac:dyDescent="0.3">
      <c r="A2204" s="1" t="s">
        <v>6764</v>
      </c>
      <c r="B2204" s="1"/>
      <c r="C2204" s="1"/>
      <c r="D2204" s="1"/>
      <c r="E2204" s="1"/>
      <c r="F2204" s="1"/>
      <c r="G2204" s="1" t="s">
        <v>24</v>
      </c>
      <c r="H2204" s="2">
        <v>72</v>
      </c>
      <c r="I2204" s="1" t="s">
        <v>6765</v>
      </c>
      <c r="J2204" s="1" t="s">
        <v>6766</v>
      </c>
      <c r="K2204" s="1" t="s">
        <v>26</v>
      </c>
      <c r="L2204" s="1" t="s">
        <v>6767</v>
      </c>
      <c r="M2204" s="6" t="str">
        <f>_xlfn.CONCAT(Table1[[#This Row],[Billing Street]], ", ", Table1[[#This Row],[Billing City]], ", ", Table1[[#This Row],[Billing State/Province]], ", ", Table1[[#This Row],[Billing Zip/Postal Code]])</f>
        <v>514 Lawson St., Brundidge, AL, 36010</v>
      </c>
    </row>
    <row r="2205" spans="1:13" ht="15.6" hidden="1" x14ac:dyDescent="0.3">
      <c r="A2205" s="1" t="s">
        <v>6768</v>
      </c>
      <c r="B2205" s="1"/>
      <c r="C2205" s="1"/>
      <c r="D2205" s="1"/>
      <c r="E2205" s="1"/>
      <c r="F2205" s="1"/>
      <c r="G2205" s="1" t="s">
        <v>43</v>
      </c>
      <c r="H2205" s="2">
        <v>218</v>
      </c>
      <c r="I2205" s="1" t="s">
        <v>6769</v>
      </c>
      <c r="J2205" s="1" t="s">
        <v>6770</v>
      </c>
      <c r="K2205" s="1" t="s">
        <v>237</v>
      </c>
      <c r="L2205" s="1" t="s">
        <v>6771</v>
      </c>
      <c r="M2205" s="6" t="str">
        <f>_xlfn.CONCAT(Table1[[#This Row],[Billing Street]], ", ", Table1[[#This Row],[Billing City]], ", ", Table1[[#This Row],[Billing State/Province]], ", ", Table1[[#This Row],[Billing Zip/Postal Code]])</f>
        <v>49 East College Street, Hagerstown, IN, 47346</v>
      </c>
    </row>
    <row r="2206" spans="1:13" ht="15.6" hidden="1" x14ac:dyDescent="0.3">
      <c r="A2206" s="1" t="s">
        <v>6772</v>
      </c>
      <c r="B2206" s="1"/>
      <c r="C2206" s="1"/>
      <c r="D2206" s="1"/>
      <c r="E2206" s="1"/>
      <c r="F2206" s="1"/>
      <c r="G2206" s="1" t="s">
        <v>43</v>
      </c>
      <c r="H2206" s="2">
        <v>231</v>
      </c>
      <c r="I2206" s="1" t="s">
        <v>6773</v>
      </c>
      <c r="J2206" s="1" t="s">
        <v>1399</v>
      </c>
      <c r="K2206" s="1" t="s">
        <v>237</v>
      </c>
      <c r="L2206" s="1" t="s">
        <v>6774</v>
      </c>
      <c r="M2206" s="6" t="str">
        <f>_xlfn.CONCAT(Table1[[#This Row],[Billing Street]], ", ", Table1[[#This Row],[Billing City]], ", ", Table1[[#This Row],[Billing State/Province]], ", ", Table1[[#This Row],[Billing Zip/Postal Code]])</f>
        <v>653 Locust Street, Middletown, IN, 47356</v>
      </c>
    </row>
    <row r="2207" spans="1:13" ht="15.6" hidden="1" x14ac:dyDescent="0.3">
      <c r="A2207" s="1" t="s">
        <v>6775</v>
      </c>
      <c r="B2207" s="1"/>
      <c r="C2207" s="1"/>
      <c r="D2207" s="1"/>
      <c r="E2207" s="1"/>
      <c r="F2207" s="1"/>
      <c r="G2207" s="1" t="s">
        <v>205</v>
      </c>
      <c r="H2207" s="2">
        <v>87</v>
      </c>
      <c r="I2207" s="1" t="s">
        <v>6776</v>
      </c>
      <c r="J2207" s="1" t="s">
        <v>6777</v>
      </c>
      <c r="K2207" s="1" t="s">
        <v>479</v>
      </c>
      <c r="L2207" s="1" t="s">
        <v>3827</v>
      </c>
      <c r="M2207" s="6" t="str">
        <f>_xlfn.CONCAT(Table1[[#This Row],[Billing Street]], ", ", Table1[[#This Row],[Billing City]], ", ", Table1[[#This Row],[Billing State/Province]], ", ", Table1[[#This Row],[Billing Zip/Postal Code]])</f>
        <v>250 W Elota Ave, AJO, AZ, 85321</v>
      </c>
    </row>
    <row r="2208" spans="1:13" ht="15.6" hidden="1" x14ac:dyDescent="0.3">
      <c r="A2208" s="1" t="s">
        <v>6778</v>
      </c>
      <c r="B2208" s="1"/>
      <c r="C2208" s="1"/>
      <c r="D2208" s="1"/>
      <c r="E2208" s="1"/>
      <c r="F2208" s="1"/>
      <c r="G2208" s="1" t="s">
        <v>43</v>
      </c>
      <c r="H2208" s="2">
        <v>322</v>
      </c>
      <c r="I2208" s="1" t="s">
        <v>6542</v>
      </c>
      <c r="J2208" s="1" t="s">
        <v>4351</v>
      </c>
      <c r="K2208" s="1" t="s">
        <v>237</v>
      </c>
      <c r="L2208" s="1" t="s">
        <v>6543</v>
      </c>
      <c r="M2208" s="6" t="str">
        <f>_xlfn.CONCAT(Table1[[#This Row],[Billing Street]], ", ", Table1[[#This Row],[Billing City]], ", ", Table1[[#This Row],[Billing State/Province]], ", ", Table1[[#This Row],[Billing Zip/Postal Code]])</f>
        <v>1329 2nd Street, Covington, IN, 47932</v>
      </c>
    </row>
    <row r="2209" spans="1:13" ht="15.6" hidden="1" x14ac:dyDescent="0.3">
      <c r="A2209" s="1" t="s">
        <v>6779</v>
      </c>
      <c r="B2209" s="1"/>
      <c r="C2209" s="1"/>
      <c r="D2209" s="1"/>
      <c r="E2209" s="1"/>
      <c r="F2209" s="1"/>
      <c r="G2209" s="1" t="s">
        <v>43</v>
      </c>
      <c r="H2209" s="2">
        <v>322</v>
      </c>
      <c r="I2209" s="1" t="s">
        <v>6780</v>
      </c>
      <c r="J2209" s="1" t="s">
        <v>6781</v>
      </c>
      <c r="K2209" s="1" t="s">
        <v>237</v>
      </c>
      <c r="L2209" s="1" t="s">
        <v>6782</v>
      </c>
      <c r="M2209" s="6" t="str">
        <f>_xlfn.CONCAT(Table1[[#This Row],[Billing Street]], ", ", Table1[[#This Row],[Billing City]], ", ", Table1[[#This Row],[Billing State/Province]], ", ", Table1[[#This Row],[Billing Zip/Postal Code]])</f>
        <v>103 W. High St, Rockville, IN, 47872</v>
      </c>
    </row>
    <row r="2210" spans="1:13" ht="15.6" hidden="1" x14ac:dyDescent="0.3">
      <c r="A2210" s="1" t="s">
        <v>6783</v>
      </c>
      <c r="B2210" s="1"/>
      <c r="C2210" s="1"/>
      <c r="D2210" s="1"/>
      <c r="E2210" s="1"/>
      <c r="F2210" s="1"/>
      <c r="G2210" s="1" t="s">
        <v>98</v>
      </c>
      <c r="H2210" s="2">
        <v>49</v>
      </c>
      <c r="I2210" s="1" t="s">
        <v>6784</v>
      </c>
      <c r="J2210" s="1" t="s">
        <v>2473</v>
      </c>
      <c r="K2210" s="1" t="s">
        <v>101</v>
      </c>
      <c r="L2210" s="1" t="s">
        <v>6785</v>
      </c>
      <c r="M2210" s="6" t="str">
        <f>_xlfn.CONCAT(Table1[[#This Row],[Billing Street]], ", ", Table1[[#This Row],[Billing City]], ", ", Table1[[#This Row],[Billing State/Province]], ", ", Table1[[#This Row],[Billing Zip/Postal Code]])</f>
        <v>123 W Washington ST, Monticello, GA, 31064</v>
      </c>
    </row>
    <row r="2211" spans="1:13" ht="15.6" hidden="1" x14ac:dyDescent="0.3">
      <c r="A2211" s="1" t="s">
        <v>6786</v>
      </c>
      <c r="B2211" s="1"/>
      <c r="C2211" s="1"/>
      <c r="D2211" s="1"/>
      <c r="E2211" s="1"/>
      <c r="F2211" s="1"/>
      <c r="G2211" s="1" t="s">
        <v>43</v>
      </c>
      <c r="H2211" s="2">
        <v>328</v>
      </c>
      <c r="I2211" s="1" t="s">
        <v>6787</v>
      </c>
      <c r="J2211" s="1" t="s">
        <v>6788</v>
      </c>
      <c r="K2211" s="1" t="s">
        <v>237</v>
      </c>
      <c r="L2211" s="1" t="s">
        <v>6789</v>
      </c>
      <c r="M2211" s="6" t="str">
        <f>_xlfn.CONCAT(Table1[[#This Row],[Billing Street]], ", ", Table1[[#This Row],[Billing City]], ", ", Table1[[#This Row],[Billing State/Province]], ", ", Table1[[#This Row],[Billing Zip/Postal Code]])</f>
        <v>1433 W. Main, Paoli, IN, 47454</v>
      </c>
    </row>
    <row r="2212" spans="1:13" ht="15.6" hidden="1" x14ac:dyDescent="0.3">
      <c r="A2212" s="1" t="s">
        <v>6790</v>
      </c>
      <c r="B2212" s="1"/>
      <c r="C2212" s="1"/>
      <c r="D2212" s="1"/>
      <c r="E2212" s="1"/>
      <c r="F2212" s="1"/>
      <c r="G2212" s="1" t="s">
        <v>43</v>
      </c>
      <c r="H2212" s="2">
        <v>269</v>
      </c>
      <c r="I2212" s="1" t="s">
        <v>6791</v>
      </c>
      <c r="J2212" s="1" t="s">
        <v>6792</v>
      </c>
      <c r="K2212" s="1" t="s">
        <v>237</v>
      </c>
      <c r="L2212" s="1" t="s">
        <v>6793</v>
      </c>
      <c r="M2212" s="6" t="str">
        <f>_xlfn.CONCAT(Table1[[#This Row],[Billing Street]], ", ", Table1[[#This Row],[Billing City]], ", ", Table1[[#This Row],[Billing State/Province]], ", ", Table1[[#This Row],[Billing Zip/Postal Code]])</f>
        <v>120 W. Main St., Winamac, IN, 46996</v>
      </c>
    </row>
    <row r="2213" spans="1:13" ht="15.6" hidden="1" x14ac:dyDescent="0.3">
      <c r="A2213" s="1" t="s">
        <v>6794</v>
      </c>
      <c r="B2213" s="1"/>
      <c r="C2213" s="1"/>
      <c r="D2213" s="1"/>
      <c r="E2213" s="1"/>
      <c r="F2213" s="1"/>
      <c r="G2213" s="1" t="s">
        <v>43</v>
      </c>
      <c r="H2213" s="2">
        <v>236</v>
      </c>
      <c r="I2213" s="1" t="s">
        <v>6795</v>
      </c>
      <c r="J2213" s="1" t="s">
        <v>6796</v>
      </c>
      <c r="K2213" s="1" t="s">
        <v>237</v>
      </c>
      <c r="L2213" s="1" t="s">
        <v>2452</v>
      </c>
      <c r="M2213" s="6" t="str">
        <f>_xlfn.CONCAT(Table1[[#This Row],[Billing Street]], ", ", Table1[[#This Row],[Billing City]], ", ", Table1[[#This Row],[Billing State/Province]], ", ", Table1[[#This Row],[Billing Zip/Postal Code]])</f>
        <v>500 Ridge Ave, Greendale, IN, 47025</v>
      </c>
    </row>
    <row r="2214" spans="1:13" ht="15.6" hidden="1" x14ac:dyDescent="0.3">
      <c r="A2214" s="1" t="s">
        <v>6797</v>
      </c>
      <c r="B2214" s="1"/>
      <c r="C2214" s="1"/>
      <c r="D2214" s="1"/>
      <c r="E2214" s="1"/>
      <c r="F2214" s="1"/>
      <c r="G2214" s="1" t="s">
        <v>43</v>
      </c>
      <c r="H2214" s="2">
        <v>244</v>
      </c>
      <c r="I2214" s="1" t="s">
        <v>6798</v>
      </c>
      <c r="J2214" s="1" t="s">
        <v>6799</v>
      </c>
      <c r="K2214" s="1" t="s">
        <v>237</v>
      </c>
      <c r="L2214" s="1" t="s">
        <v>6800</v>
      </c>
      <c r="M2214" s="6" t="str">
        <f>_xlfn.CONCAT(Table1[[#This Row],[Billing Street]], ", ", Table1[[#This Row],[Billing City]], ", ", Table1[[#This Row],[Billing State/Province]], ", ", Table1[[#This Row],[Billing Zip/Postal Code]])</f>
        <v>111 S. Center St, Bremen, IN, 46506</v>
      </c>
    </row>
    <row r="2215" spans="1:13" ht="15.6" hidden="1" x14ac:dyDescent="0.3">
      <c r="A2215" s="1" t="s">
        <v>6801</v>
      </c>
      <c r="B2215" s="1"/>
      <c r="C2215" s="1"/>
      <c r="D2215" s="1"/>
      <c r="E2215" s="1"/>
      <c r="F2215" s="1"/>
      <c r="G2215" s="1" t="s">
        <v>8</v>
      </c>
      <c r="H2215" s="2">
        <v>22</v>
      </c>
      <c r="I2215" s="1" t="s">
        <v>6802</v>
      </c>
      <c r="J2215" s="1" t="s">
        <v>3162</v>
      </c>
      <c r="K2215" s="1" t="s">
        <v>554</v>
      </c>
      <c r="L2215" s="1" t="s">
        <v>6803</v>
      </c>
      <c r="M2215" s="6" t="str">
        <f>_xlfn.CONCAT(Table1[[#This Row],[Billing Street]], ", ", Table1[[#This Row],[Billing City]], ", ", Table1[[#This Row],[Billing State/Province]], ", ", Table1[[#This Row],[Billing Zip/Postal Code]])</f>
        <v>1511 14000 Rd, Altamont, KS, 67330</v>
      </c>
    </row>
    <row r="2216" spans="1:13" ht="15.6" hidden="1" x14ac:dyDescent="0.3">
      <c r="A2216" s="1" t="s">
        <v>6804</v>
      </c>
      <c r="B2216" s="1"/>
      <c r="C2216" s="1"/>
      <c r="D2216" s="1"/>
      <c r="E2216" s="1"/>
      <c r="F2216" s="1"/>
      <c r="G2216" s="1" t="s">
        <v>43</v>
      </c>
      <c r="H2216" s="2">
        <v>127</v>
      </c>
      <c r="I2216" s="1" t="s">
        <v>6805</v>
      </c>
      <c r="J2216" s="1" t="s">
        <v>6806</v>
      </c>
      <c r="K2216" s="1" t="s">
        <v>82</v>
      </c>
      <c r="L2216" s="1" t="s">
        <v>6807</v>
      </c>
      <c r="M2216" s="6" t="str">
        <f>_xlfn.CONCAT(Table1[[#This Row],[Billing Street]], ", ", Table1[[#This Row],[Billing City]], ", ", Table1[[#This Row],[Billing State/Province]], ", ", Table1[[#This Row],[Billing Zip/Postal Code]])</f>
        <v>17440 College Parkway  Suite 300, Livonia, MI, 48152</v>
      </c>
    </row>
    <row r="2217" spans="1:13" ht="15.6" hidden="1" x14ac:dyDescent="0.3">
      <c r="A2217" s="1" t="s">
        <v>6808</v>
      </c>
      <c r="B2217" s="1"/>
      <c r="C2217" s="1"/>
      <c r="D2217" s="1"/>
      <c r="E2217" s="1"/>
      <c r="F2217" s="1"/>
      <c r="G2217" s="1" t="s">
        <v>43</v>
      </c>
      <c r="H2217" s="2">
        <v>274</v>
      </c>
      <c r="I2217" s="1" t="s">
        <v>6809</v>
      </c>
      <c r="J2217" s="1" t="s">
        <v>6810</v>
      </c>
      <c r="K2217" s="1" t="s">
        <v>237</v>
      </c>
      <c r="L2217" s="1" t="s">
        <v>6811</v>
      </c>
      <c r="M2217" s="6" t="str">
        <f>_xlfn.CONCAT(Table1[[#This Row],[Billing Street]], ", ", Table1[[#This Row],[Billing City]], ", ", Table1[[#This Row],[Billing State/Province]], ", ", Table1[[#This Row],[Billing Zip/Postal Code]])</f>
        <v>107 S. Holland St, Edinburgh, IN, 46124</v>
      </c>
    </row>
    <row r="2218" spans="1:13" ht="15.6" hidden="1" x14ac:dyDescent="0.3">
      <c r="A2218" s="1" t="s">
        <v>6812</v>
      </c>
      <c r="B2218" s="1"/>
      <c r="C2218" s="1"/>
      <c r="D2218" s="1"/>
      <c r="E2218" s="1"/>
      <c r="F2218" s="1"/>
      <c r="G2218" s="1" t="s">
        <v>8</v>
      </c>
      <c r="H2218" s="2">
        <v>199</v>
      </c>
      <c r="I2218" s="1" t="s">
        <v>6813</v>
      </c>
      <c r="J2218" s="1" t="s">
        <v>6814</v>
      </c>
      <c r="K2218" s="1" t="s">
        <v>554</v>
      </c>
      <c r="L2218" s="1" t="s">
        <v>6815</v>
      </c>
      <c r="M2218" s="6" t="str">
        <f>_xlfn.CONCAT(Table1[[#This Row],[Billing Street]], ", ", Table1[[#This Row],[Billing City]], ", ", Table1[[#This Row],[Billing State/Province]], ", ", Table1[[#This Row],[Billing Zip/Postal Code]])</f>
        <v>402 Prairie St, Axtell, KS, 66403</v>
      </c>
    </row>
    <row r="2219" spans="1:13" ht="15.6" hidden="1" x14ac:dyDescent="0.3">
      <c r="A2219" s="1" t="s">
        <v>6816</v>
      </c>
      <c r="B2219" s="1"/>
      <c r="C2219" s="1"/>
      <c r="D2219" s="1"/>
      <c r="E2219" s="1"/>
      <c r="F2219" s="1"/>
      <c r="G2219" s="1" t="s">
        <v>43</v>
      </c>
      <c r="H2219" s="2">
        <v>225</v>
      </c>
      <c r="I2219" s="1" t="s">
        <v>6817</v>
      </c>
      <c r="J2219" s="1" t="s">
        <v>6818</v>
      </c>
      <c r="K2219" s="1" t="s">
        <v>237</v>
      </c>
      <c r="L2219" s="1" t="s">
        <v>6819</v>
      </c>
      <c r="M2219" s="6" t="str">
        <f>_xlfn.CONCAT(Table1[[#This Row],[Billing Street]], ", ", Table1[[#This Row],[Billing City]], ", ", Table1[[#This Row],[Billing State/Province]], ", ", Table1[[#This Row],[Billing Zip/Postal Code]])</f>
        <v>200 E North A Street, Gas City, IN, 46933</v>
      </c>
    </row>
    <row r="2220" spans="1:13" ht="15.6" hidden="1" x14ac:dyDescent="0.3">
      <c r="A2220" s="1" t="s">
        <v>6820</v>
      </c>
      <c r="B2220" s="1"/>
      <c r="C2220" s="1"/>
      <c r="D2220" s="1"/>
      <c r="E2220" s="1"/>
      <c r="F2220" s="1"/>
      <c r="G2220" s="1" t="s">
        <v>43</v>
      </c>
      <c r="H2220" s="2">
        <v>277</v>
      </c>
      <c r="I2220" s="1" t="s">
        <v>6821</v>
      </c>
      <c r="J2220" s="1" t="s">
        <v>6822</v>
      </c>
      <c r="K2220" s="1" t="s">
        <v>237</v>
      </c>
      <c r="L2220" s="1" t="s">
        <v>6823</v>
      </c>
      <c r="M2220" s="6" t="str">
        <f>_xlfn.CONCAT(Table1[[#This Row],[Billing Street]], ", ", Table1[[#This Row],[Billing City]], ", ", Table1[[#This Row],[Billing State/Province]], ", ", Table1[[#This Row],[Billing Zip/Postal Code]])</f>
        <v>24 North Main Street, Bargersville, IN, 46106</v>
      </c>
    </row>
    <row r="2221" spans="1:13" ht="15.6" hidden="1" x14ac:dyDescent="0.3">
      <c r="A2221" s="1" t="s">
        <v>6824</v>
      </c>
      <c r="B2221" s="1"/>
      <c r="C2221" s="1"/>
      <c r="D2221" s="1"/>
      <c r="E2221" s="1"/>
      <c r="F2221" s="1"/>
      <c r="G2221" s="1" t="s">
        <v>8</v>
      </c>
      <c r="H2221" s="2">
        <v>144</v>
      </c>
      <c r="I2221" s="1" t="s">
        <v>6825</v>
      </c>
      <c r="J2221" s="1" t="s">
        <v>6826</v>
      </c>
      <c r="K2221" s="1" t="s">
        <v>554</v>
      </c>
      <c r="L2221" s="1" t="s">
        <v>6827</v>
      </c>
      <c r="M2221" s="6" t="str">
        <f>_xlfn.CONCAT(Table1[[#This Row],[Billing Street]], ", ", Table1[[#This Row],[Billing City]], ", ", Table1[[#This Row],[Billing State/Province]], ", ", Table1[[#This Row],[Billing Zip/Postal Code]])</f>
        <v>10 E Ave, Hutchinson, KS, 67505</v>
      </c>
    </row>
    <row r="2222" spans="1:13" ht="15.6" hidden="1" x14ac:dyDescent="0.3">
      <c r="A2222" s="1" t="s">
        <v>6828</v>
      </c>
      <c r="B2222" s="1"/>
      <c r="C2222" s="1"/>
      <c r="D2222" s="1"/>
      <c r="E2222" s="1"/>
      <c r="F2222" s="1"/>
      <c r="G2222" s="1" t="s">
        <v>43</v>
      </c>
      <c r="H2222" s="2">
        <v>191</v>
      </c>
      <c r="I2222" s="1" t="s">
        <v>6829</v>
      </c>
      <c r="J2222" s="1" t="s">
        <v>6830</v>
      </c>
      <c r="K2222" s="1" t="s">
        <v>237</v>
      </c>
      <c r="L2222" s="1" t="s">
        <v>6831</v>
      </c>
      <c r="M2222" s="6" t="str">
        <f>_xlfn.CONCAT(Table1[[#This Row],[Billing Street]], ", ", Table1[[#This Row],[Billing City]], ", ", Table1[[#This Row],[Billing State/Province]], ", ", Table1[[#This Row],[Billing Zip/Postal Code]])</f>
        <v>130 S. Randolph Street, Garrett, IN, 46738</v>
      </c>
    </row>
    <row r="2223" spans="1:13" ht="15.6" hidden="1" x14ac:dyDescent="0.3">
      <c r="A2223" s="1" t="s">
        <v>6832</v>
      </c>
      <c r="B2223" s="1"/>
      <c r="C2223" s="1"/>
      <c r="D2223" s="1"/>
      <c r="E2223" s="1"/>
      <c r="F2223" s="1"/>
      <c r="G2223" s="1" t="s">
        <v>8</v>
      </c>
      <c r="H2223" s="2">
        <v>34</v>
      </c>
      <c r="I2223" s="1" t="s">
        <v>6833</v>
      </c>
      <c r="J2223" s="1" t="s">
        <v>2760</v>
      </c>
      <c r="K2223" s="1" t="s">
        <v>554</v>
      </c>
      <c r="L2223" s="1" t="s">
        <v>2761</v>
      </c>
      <c r="M2223" s="6" t="str">
        <f>_xlfn.CONCAT(Table1[[#This Row],[Billing Street]], ", ", Table1[[#This Row],[Billing City]], ", ", Table1[[#This Row],[Billing State/Province]], ", ", Table1[[#This Row],[Billing Zip/Postal Code]])</f>
        <v>9346 Jewell Road, Fredonia, KS, 66736</v>
      </c>
    </row>
    <row r="2224" spans="1:13" ht="15.6" hidden="1" x14ac:dyDescent="0.3">
      <c r="A2224" s="1" t="s">
        <v>6834</v>
      </c>
      <c r="B2224" s="1"/>
      <c r="C2224" s="1"/>
      <c r="D2224" s="1"/>
      <c r="E2224" s="1"/>
      <c r="F2224" s="1"/>
      <c r="G2224" s="1" t="s">
        <v>8</v>
      </c>
      <c r="H2224" s="2">
        <v>280</v>
      </c>
      <c r="I2224" s="1" t="s">
        <v>6835</v>
      </c>
      <c r="J2224" s="1" t="s">
        <v>6836</v>
      </c>
      <c r="K2224" s="1" t="s">
        <v>554</v>
      </c>
      <c r="L2224" s="1" t="s">
        <v>6837</v>
      </c>
      <c r="M2224" s="6" t="str">
        <f>_xlfn.CONCAT(Table1[[#This Row],[Billing Street]], ", ", Table1[[#This Row],[Billing City]], ", ", Table1[[#This Row],[Billing State/Province]], ", ", Table1[[#This Row],[Billing Zip/Postal Code]])</f>
        <v>410 S High Dighton, KS 67839, Dighton, KS, 67839</v>
      </c>
    </row>
    <row r="2225" spans="1:13" ht="15.6" hidden="1" x14ac:dyDescent="0.3">
      <c r="A2225" s="1" t="s">
        <v>6838</v>
      </c>
      <c r="B2225" s="1"/>
      <c r="C2225" s="1"/>
      <c r="D2225" s="1"/>
      <c r="E2225" s="1"/>
      <c r="F2225" s="1"/>
      <c r="G2225" s="1" t="s">
        <v>8</v>
      </c>
      <c r="H2225" s="2">
        <v>126</v>
      </c>
      <c r="I2225" s="1" t="s">
        <v>6839</v>
      </c>
      <c r="J2225" s="1" t="s">
        <v>2303</v>
      </c>
      <c r="K2225" s="1" t="s">
        <v>554</v>
      </c>
      <c r="L2225" s="1" t="s">
        <v>6840</v>
      </c>
      <c r="M2225" s="6" t="str">
        <f>_xlfn.CONCAT(Table1[[#This Row],[Billing Street]], ", ", Table1[[#This Row],[Billing City]], ", ", Table1[[#This Row],[Billing State/Province]], ", ", Table1[[#This Row],[Billing Zip/Postal Code]])</f>
        <v>1335 S 383rd St W, Cheney, KS, 67025</v>
      </c>
    </row>
    <row r="2226" spans="1:13" ht="15.6" hidden="1" x14ac:dyDescent="0.3">
      <c r="A2226" s="1" t="s">
        <v>6841</v>
      </c>
      <c r="B2226" s="1"/>
      <c r="C2226" s="1"/>
      <c r="D2226" s="1"/>
      <c r="E2226" s="1"/>
      <c r="F2226" s="1"/>
      <c r="G2226" s="1" t="s">
        <v>43</v>
      </c>
      <c r="H2226" s="2">
        <v>359</v>
      </c>
      <c r="I2226" s="1" t="s">
        <v>6842</v>
      </c>
      <c r="J2226" s="1" t="s">
        <v>6843</v>
      </c>
      <c r="K2226" s="1" t="s">
        <v>237</v>
      </c>
      <c r="L2226" s="1" t="s">
        <v>6844</v>
      </c>
      <c r="M2226" s="6" t="str">
        <f>_xlfn.CONCAT(Table1[[#This Row],[Billing Street]], ", ", Table1[[#This Row],[Billing City]], ", ", Table1[[#This Row],[Billing State/Province]], ", ", Table1[[#This Row],[Billing Zip/Postal Code]])</f>
        <v>508 E. 4th Street, Huntingburg, IN, 47542</v>
      </c>
    </row>
    <row r="2227" spans="1:13" ht="15.6" hidden="1" x14ac:dyDescent="0.3">
      <c r="A2227" s="1" t="s">
        <v>6845</v>
      </c>
      <c r="B2227" s="1"/>
      <c r="C2227" s="1"/>
      <c r="D2227" s="1"/>
      <c r="E2227" s="1"/>
      <c r="F2227" s="1"/>
      <c r="G2227" s="1" t="s">
        <v>43</v>
      </c>
      <c r="H2227" s="2">
        <v>292</v>
      </c>
      <c r="I2227" s="1" t="s">
        <v>6846</v>
      </c>
      <c r="J2227" s="1" t="s">
        <v>6847</v>
      </c>
      <c r="K2227" s="1" t="s">
        <v>237</v>
      </c>
      <c r="L2227" s="1" t="s">
        <v>6848</v>
      </c>
      <c r="M2227" s="6" t="str">
        <f>_xlfn.CONCAT(Table1[[#This Row],[Billing Street]], ", ", Table1[[#This Row],[Billing City]], ", ", Table1[[#This Row],[Billing State/Province]], ", ", Table1[[#This Row],[Billing Zip/Postal Code]])</f>
        <v>2 E. McClain Ave, Scottsburg, IN, 47170</v>
      </c>
    </row>
    <row r="2228" spans="1:13" ht="15.6" hidden="1" x14ac:dyDescent="0.3">
      <c r="A2228" s="1" t="s">
        <v>6849</v>
      </c>
      <c r="B2228" s="1"/>
      <c r="C2228" s="1"/>
      <c r="D2228" s="1"/>
      <c r="E2228" s="1"/>
      <c r="F2228" s="1"/>
      <c r="G2228" s="1" t="s">
        <v>43</v>
      </c>
      <c r="H2228" s="2">
        <v>366</v>
      </c>
      <c r="I2228" s="1" t="s">
        <v>6850</v>
      </c>
      <c r="J2228" s="1" t="s">
        <v>6851</v>
      </c>
      <c r="K2228" s="1" t="s">
        <v>237</v>
      </c>
      <c r="L2228" s="1" t="s">
        <v>6852</v>
      </c>
      <c r="M2228" s="6" t="str">
        <f>_xlfn.CONCAT(Table1[[#This Row],[Billing Street]], ", ", Table1[[#This Row],[Billing City]], ", ", Table1[[#This Row],[Billing State/Province]], ", ", Table1[[#This Row],[Billing Zip/Postal Code]])</f>
        <v>601 Main St., Tell City, IN, 47586</v>
      </c>
    </row>
    <row r="2229" spans="1:13" ht="15.6" hidden="1" x14ac:dyDescent="0.3">
      <c r="A2229" s="1" t="s">
        <v>6853</v>
      </c>
      <c r="B2229" s="1"/>
      <c r="C2229" s="1"/>
      <c r="D2229" s="1"/>
      <c r="E2229" s="1"/>
      <c r="F2229" s="1"/>
      <c r="G2229" s="1" t="s">
        <v>8</v>
      </c>
      <c r="H2229" s="2">
        <v>248</v>
      </c>
      <c r="I2229" s="1" t="s">
        <v>6854</v>
      </c>
      <c r="J2229" s="1" t="s">
        <v>6855</v>
      </c>
      <c r="K2229" s="1" t="s">
        <v>554</v>
      </c>
      <c r="L2229" s="1" t="s">
        <v>6856</v>
      </c>
      <c r="M2229" s="6" t="str">
        <f>_xlfn.CONCAT(Table1[[#This Row],[Billing Street]], ", ", Table1[[#This Row],[Billing City]], ", ", Table1[[#This Row],[Billing State/Province]], ", ", Table1[[#This Row],[Billing Zip/Postal Code]])</f>
        <v>3230 N 14th Ave, Dodge City, KS, 67801</v>
      </c>
    </row>
    <row r="2230" spans="1:13" ht="15.6" hidden="1" x14ac:dyDescent="0.3">
      <c r="A2230" s="1" t="s">
        <v>6857</v>
      </c>
      <c r="B2230" s="1"/>
      <c r="C2230" s="1"/>
      <c r="D2230" s="1"/>
      <c r="E2230" s="1"/>
      <c r="F2230" s="1"/>
      <c r="G2230" s="1" t="s">
        <v>43</v>
      </c>
      <c r="H2230" s="2">
        <v>251</v>
      </c>
      <c r="I2230" s="1" t="s">
        <v>6858</v>
      </c>
      <c r="J2230" s="1" t="s">
        <v>2527</v>
      </c>
      <c r="K2230" s="1" t="s">
        <v>237</v>
      </c>
      <c r="L2230" s="1" t="s">
        <v>6859</v>
      </c>
      <c r="M2230" s="6" t="str">
        <f>_xlfn.CONCAT(Table1[[#This Row],[Billing Street]], ", ", Table1[[#This Row],[Billing City]], ", ", Table1[[#This Row],[Billing State/Province]], ", ", Table1[[#This Row],[Billing Zip/Postal Code]])</f>
        <v>210 S. Main St., Tipton, IN, 46072</v>
      </c>
    </row>
    <row r="2231" spans="1:13" ht="15.6" hidden="1" x14ac:dyDescent="0.3">
      <c r="A2231" s="1" t="s">
        <v>6860</v>
      </c>
      <c r="B2231" s="1"/>
      <c r="C2231" s="1"/>
      <c r="D2231" s="1"/>
      <c r="E2231" s="1"/>
      <c r="F2231" s="1"/>
      <c r="G2231" s="1" t="s">
        <v>43</v>
      </c>
      <c r="H2231" s="2">
        <v>210</v>
      </c>
      <c r="I2231" s="1" t="s">
        <v>6861</v>
      </c>
      <c r="J2231" s="1" t="s">
        <v>2425</v>
      </c>
      <c r="K2231" s="1" t="s">
        <v>237</v>
      </c>
      <c r="L2231" s="1" t="s">
        <v>2426</v>
      </c>
      <c r="M2231" s="6" t="str">
        <f>_xlfn.CONCAT(Table1[[#This Row],[Billing Street]], ", ", Table1[[#This Row],[Billing City]], ", ", Table1[[#This Row],[Billing State/Province]], ", ", Table1[[#This Row],[Billing Zip/Postal Code]])</f>
        <v>112 South Chauncey St., Columbia City, IN, 46725</v>
      </c>
    </row>
    <row r="2232" spans="1:13" ht="15.6" hidden="1" x14ac:dyDescent="0.3">
      <c r="A2232" s="1" t="s">
        <v>6862</v>
      </c>
      <c r="B2232" s="1"/>
      <c r="C2232" s="1"/>
      <c r="D2232" s="1"/>
      <c r="E2232" s="1"/>
      <c r="F2232" s="1"/>
      <c r="G2232" s="1" t="s">
        <v>43</v>
      </c>
      <c r="H2232" s="2">
        <v>198</v>
      </c>
      <c r="I2232" s="1" t="s">
        <v>6863</v>
      </c>
      <c r="J2232" s="1" t="s">
        <v>6864</v>
      </c>
      <c r="K2232" s="1" t="s">
        <v>237</v>
      </c>
      <c r="L2232" s="1" t="s">
        <v>6865</v>
      </c>
      <c r="M2232" s="6" t="str">
        <f>_xlfn.CONCAT(Table1[[#This Row],[Billing Street]], ", ", Table1[[#This Row],[Billing City]], ", ", Table1[[#This Row],[Billing State/Province]], ", ", Table1[[#This Row],[Billing Zip/Postal Code]])</f>
        <v>128 East Market St, Bluffton, IN, 46714</v>
      </c>
    </row>
    <row r="2233" spans="1:13" ht="15.6" hidden="1" x14ac:dyDescent="0.3">
      <c r="A2233" s="1" t="s">
        <v>6866</v>
      </c>
      <c r="B2233" s="1"/>
      <c r="C2233" s="1"/>
      <c r="D2233" s="1"/>
      <c r="E2233" s="1"/>
      <c r="F2233" s="1"/>
      <c r="G2233" s="1" t="s">
        <v>43</v>
      </c>
      <c r="H2233" s="2">
        <v>251</v>
      </c>
      <c r="I2233" s="1" t="s">
        <v>6867</v>
      </c>
      <c r="J2233" s="1" t="s">
        <v>3455</v>
      </c>
      <c r="K2233" s="1" t="s">
        <v>237</v>
      </c>
      <c r="L2233" s="1" t="s">
        <v>6868</v>
      </c>
      <c r="M2233" s="6" t="str">
        <f>_xlfn.CONCAT(Table1[[#This Row],[Billing Street]], ", ", Table1[[#This Row],[Billing City]], ", ", Table1[[#This Row],[Billing State/Province]], ", ", Table1[[#This Row],[Billing Zip/Postal Code]])</f>
        <v>1448 W. S. R. 14, Rochester, IN, 46975</v>
      </c>
    </row>
    <row r="2234" spans="1:13" ht="15.6" hidden="1" x14ac:dyDescent="0.3">
      <c r="A2234" s="1" t="s">
        <v>6869</v>
      </c>
      <c r="B2234" s="1"/>
      <c r="C2234" s="1"/>
      <c r="D2234" s="1"/>
      <c r="E2234" s="1"/>
      <c r="F2234" s="1"/>
      <c r="G2234" s="1" t="s">
        <v>205</v>
      </c>
      <c r="H2234" s="2">
        <v>124</v>
      </c>
      <c r="I2234" s="1" t="s">
        <v>6870</v>
      </c>
      <c r="J2234" s="1" t="s">
        <v>6871</v>
      </c>
      <c r="K2234" s="1" t="s">
        <v>479</v>
      </c>
      <c r="L2234" s="1" t="s">
        <v>6872</v>
      </c>
      <c r="M2234" s="6" t="str">
        <f>_xlfn.CONCAT(Table1[[#This Row],[Billing Street]], ", ", Table1[[#This Row],[Billing City]], ", ", Table1[[#This Row],[Billing State/Province]], ", ", Table1[[#This Row],[Billing Zip/Postal Code]])</f>
        <v>216 W Cherry Ave, Flagstaff, AZ, 86001</v>
      </c>
    </row>
    <row r="2235" spans="1:13" ht="15.6" x14ac:dyDescent="0.3">
      <c r="A2235" s="1" t="s">
        <v>6873</v>
      </c>
      <c r="B2235" s="1"/>
      <c r="C2235" s="1"/>
      <c r="D2235" s="1"/>
      <c r="E2235" s="1"/>
      <c r="F2235" s="1"/>
      <c r="G2235" s="1" t="s">
        <v>24</v>
      </c>
      <c r="H2235" s="2">
        <v>5988</v>
      </c>
      <c r="I2235" s="1" t="s">
        <v>6874</v>
      </c>
      <c r="J2235" s="1" t="s">
        <v>6875</v>
      </c>
      <c r="K2235" s="1" t="s">
        <v>31</v>
      </c>
      <c r="L2235" s="1" t="s">
        <v>6876</v>
      </c>
      <c r="M2235" s="6" t="str">
        <f>_xlfn.CONCAT(Table1[[#This Row],[Billing Street]], ", ", Table1[[#This Row],[Billing City]], ", ", Table1[[#This Row],[Billing State/Province]], ", ", Table1[[#This Row],[Billing Zip/Postal Code]])</f>
        <v>201 Fitzhigh, Itta Bena, MS, 38941</v>
      </c>
    </row>
    <row r="2236" spans="1:13" ht="15.6" hidden="1" x14ac:dyDescent="0.3">
      <c r="A2236" s="1" t="s">
        <v>6877</v>
      </c>
      <c r="B2236" s="1"/>
      <c r="C2236" s="1"/>
      <c r="D2236" s="1"/>
      <c r="E2236" s="1"/>
      <c r="F2236" s="1"/>
      <c r="G2236" s="1" t="s">
        <v>43</v>
      </c>
      <c r="H2236" s="2">
        <v>247</v>
      </c>
      <c r="I2236" s="1" t="s">
        <v>6878</v>
      </c>
      <c r="J2236" s="1" t="s">
        <v>1936</v>
      </c>
      <c r="K2236" s="1" t="s">
        <v>237</v>
      </c>
      <c r="L2236" s="1" t="s">
        <v>6879</v>
      </c>
      <c r="M2236" s="6" t="str">
        <f>_xlfn.CONCAT(Table1[[#This Row],[Billing Street]], ", ", Table1[[#This Row],[Billing City]], ", ", Table1[[#This Row],[Billing State/Province]], ", ", Table1[[#This Row],[Billing Zip/Postal Code]])</f>
        <v>3086 W. 100 North, Peru, IN, 46970</v>
      </c>
    </row>
    <row r="2237" spans="1:13" ht="15.6" hidden="1" x14ac:dyDescent="0.3">
      <c r="A2237" s="1" t="s">
        <v>6880</v>
      </c>
      <c r="B2237" s="1"/>
      <c r="C2237" s="1"/>
      <c r="D2237" s="1"/>
      <c r="E2237" s="1"/>
      <c r="F2237" s="1"/>
      <c r="G2237" s="1" t="s">
        <v>43</v>
      </c>
      <c r="H2237" s="2">
        <v>354</v>
      </c>
      <c r="I2237" s="1" t="s">
        <v>6881</v>
      </c>
      <c r="J2237" s="1" t="s">
        <v>5070</v>
      </c>
      <c r="K2237" s="1" t="s">
        <v>237</v>
      </c>
      <c r="L2237" s="1" t="s">
        <v>6882</v>
      </c>
      <c r="M2237" s="6" t="str">
        <f>_xlfn.CONCAT(Table1[[#This Row],[Billing Street]], ", ", Table1[[#This Row],[Billing City]], ", ", Table1[[#This Row],[Billing State/Province]], ", ", Table1[[#This Row],[Billing Zip/Postal Code]])</f>
        <v>610 Main St, Jasper, IN, 47547</v>
      </c>
    </row>
    <row r="2238" spans="1:13" ht="15.6" hidden="1" x14ac:dyDescent="0.3">
      <c r="A2238" s="1" t="s">
        <v>6883</v>
      </c>
      <c r="B2238" s="1"/>
      <c r="C2238" s="1"/>
      <c r="D2238" s="1"/>
      <c r="E2238" s="1"/>
      <c r="F2238" s="1"/>
      <c r="G2238" s="1" t="s">
        <v>43</v>
      </c>
      <c r="H2238" s="2">
        <v>308</v>
      </c>
      <c r="I2238" s="1" t="s">
        <v>6884</v>
      </c>
      <c r="J2238" s="1" t="s">
        <v>2995</v>
      </c>
      <c r="K2238" s="1" t="s">
        <v>237</v>
      </c>
      <c r="L2238" s="1" t="s">
        <v>6885</v>
      </c>
      <c r="M2238" s="6" t="str">
        <f>_xlfn.CONCAT(Table1[[#This Row],[Billing Street]], ", ", Table1[[#This Row],[Billing City]], ", ", Table1[[#This Row],[Billing State/Province]], ", ", Table1[[#This Row],[Billing Zip/Postal Code]])</f>
        <v>4151 East US 24, Goodland, IN, 47948</v>
      </c>
    </row>
    <row r="2239" spans="1:13" ht="15.6" hidden="1" x14ac:dyDescent="0.3">
      <c r="A2239" s="1" t="s">
        <v>6886</v>
      </c>
      <c r="B2239" s="1"/>
      <c r="C2239" s="1"/>
      <c r="D2239" s="1"/>
      <c r="E2239" s="1"/>
      <c r="F2239" s="1"/>
      <c r="G2239" s="1" t="s">
        <v>8</v>
      </c>
      <c r="H2239" s="2">
        <v>6528</v>
      </c>
      <c r="I2239" s="1" t="s">
        <v>13</v>
      </c>
      <c r="J2239" s="1" t="s">
        <v>502</v>
      </c>
      <c r="K2239" s="1" t="s">
        <v>11</v>
      </c>
      <c r="L2239" s="1" t="s">
        <v>13</v>
      </c>
      <c r="M2239" s="6" t="str">
        <f>_xlfn.CONCAT(Table1[[#This Row],[Billing Street]], ", ", Table1[[#This Row],[Billing City]], ", ", Table1[[#This Row],[Billing State/Province]], ", ", Table1[[#This Row],[Billing Zip/Postal Code]])</f>
        <v xml:space="preserve">, Columbia, MO, </v>
      </c>
    </row>
    <row r="2240" spans="1:13" ht="15.6" hidden="1" x14ac:dyDescent="0.3">
      <c r="A2240" s="1" t="s">
        <v>6887</v>
      </c>
      <c r="B2240" s="1"/>
      <c r="C2240" s="1"/>
      <c r="D2240" s="1"/>
      <c r="E2240" s="1"/>
      <c r="F2240" s="1"/>
      <c r="G2240" s="1" t="s">
        <v>98</v>
      </c>
      <c r="H2240" s="2">
        <v>5887</v>
      </c>
      <c r="I2240" s="1" t="s">
        <v>13</v>
      </c>
      <c r="J2240" s="1" t="s">
        <v>997</v>
      </c>
      <c r="K2240" s="1" t="s">
        <v>101</v>
      </c>
      <c r="L2240" s="1" t="s">
        <v>13</v>
      </c>
      <c r="M2240" s="6" t="str">
        <f>_xlfn.CONCAT(Table1[[#This Row],[Billing Street]], ", ", Table1[[#This Row],[Billing City]], ", ", Table1[[#This Row],[Billing State/Province]], ", ", Table1[[#This Row],[Billing Zip/Postal Code]])</f>
        <v xml:space="preserve">, Lafayette, GA, </v>
      </c>
    </row>
    <row r="2241" spans="1:13" ht="15.6" hidden="1" x14ac:dyDescent="0.3">
      <c r="A2241" s="1" t="s">
        <v>6888</v>
      </c>
      <c r="B2241" s="1"/>
      <c r="C2241" s="1"/>
      <c r="D2241" s="1"/>
      <c r="E2241" s="1"/>
      <c r="F2241" s="1"/>
      <c r="G2241" s="1" t="s">
        <v>43</v>
      </c>
      <c r="H2241" s="2">
        <v>250</v>
      </c>
      <c r="I2241" s="1" t="s">
        <v>6889</v>
      </c>
      <c r="J2241" s="1" t="s">
        <v>6890</v>
      </c>
      <c r="K2241" s="1" t="s">
        <v>237</v>
      </c>
      <c r="L2241" s="1" t="s">
        <v>6891</v>
      </c>
      <c r="M2241" s="6" t="str">
        <f>_xlfn.CONCAT(Table1[[#This Row],[Billing Street]], ", ", Table1[[#This Row],[Billing City]], ", ", Table1[[#This Row],[Billing State/Province]], ", ", Table1[[#This Row],[Billing Zip/Postal Code]])</f>
        <v>11299 12th Rd, Plymouth, IN, 46563</v>
      </c>
    </row>
    <row r="2242" spans="1:13" ht="15.6" hidden="1" x14ac:dyDescent="0.3">
      <c r="A2242" s="1" t="s">
        <v>6892</v>
      </c>
      <c r="B2242" s="1"/>
      <c r="C2242" s="1"/>
      <c r="D2242" s="1"/>
      <c r="E2242" s="1"/>
      <c r="F2242" s="1"/>
      <c r="G2242" s="1" t="s">
        <v>43</v>
      </c>
      <c r="H2242" s="2">
        <v>205</v>
      </c>
      <c r="I2242" s="1" t="s">
        <v>6893</v>
      </c>
      <c r="J2242" s="1" t="s">
        <v>1847</v>
      </c>
      <c r="K2242" s="1" t="s">
        <v>237</v>
      </c>
      <c r="L2242" s="1" t="s">
        <v>6894</v>
      </c>
      <c r="M2242" s="6" t="str">
        <f>_xlfn.CONCAT(Table1[[#This Row],[Billing Street]], ", ", Table1[[#This Row],[Billing City]], ", ", Table1[[#This Row],[Billing State/Province]], ", ", Table1[[#This Row],[Billing Zip/Postal Code]])</f>
        <v>1995 East Hwy 20, LaGrange, IN, 46761</v>
      </c>
    </row>
    <row r="2243" spans="1:13" ht="15.6" hidden="1" x14ac:dyDescent="0.3">
      <c r="A2243" s="1" t="s">
        <v>6895</v>
      </c>
      <c r="B2243" s="1"/>
      <c r="C2243" s="1"/>
      <c r="D2243" s="1"/>
      <c r="E2243" s="1"/>
      <c r="F2243" s="1"/>
      <c r="G2243" s="1" t="s">
        <v>43</v>
      </c>
      <c r="H2243" s="2">
        <v>5776</v>
      </c>
      <c r="I2243" s="1" t="s">
        <v>13</v>
      </c>
      <c r="J2243" s="1" t="s">
        <v>2041</v>
      </c>
      <c r="K2243" s="1" t="s">
        <v>152</v>
      </c>
      <c r="L2243" s="1" t="s">
        <v>13</v>
      </c>
      <c r="M2243" s="6" t="str">
        <f>_xlfn.CONCAT(Table1[[#This Row],[Billing Street]], ", ", Table1[[#This Row],[Billing City]], ", ", Table1[[#This Row],[Billing State/Province]], ", ", Table1[[#This Row],[Billing Zip/Postal Code]])</f>
        <v xml:space="preserve">, Chicago, IL, </v>
      </c>
    </row>
    <row r="2244" spans="1:13" ht="15.6" hidden="1" x14ac:dyDescent="0.3">
      <c r="A2244" s="1" t="s">
        <v>6896</v>
      </c>
      <c r="B2244" s="1"/>
      <c r="C2244" s="1"/>
      <c r="D2244" s="1"/>
      <c r="E2244" s="1"/>
      <c r="F2244" s="1"/>
      <c r="G2244" s="1" t="s">
        <v>43</v>
      </c>
      <c r="H2244" s="2">
        <v>354</v>
      </c>
      <c r="I2244" s="1" t="s">
        <v>6897</v>
      </c>
      <c r="J2244" s="1" t="s">
        <v>4590</v>
      </c>
      <c r="K2244" s="1" t="s">
        <v>237</v>
      </c>
      <c r="L2244" s="1" t="s">
        <v>6898</v>
      </c>
      <c r="M2244" s="6" t="str">
        <f>_xlfn.CONCAT(Table1[[#This Row],[Billing Street]], ", ", Table1[[#This Row],[Billing City]], ", ", Table1[[#This Row],[Billing State/Province]], ", ", Table1[[#This Row],[Billing Zip/Postal Code]])</f>
        <v>101 NE Third St., Washington, IN, 47501</v>
      </c>
    </row>
    <row r="2245" spans="1:13" ht="15.6" hidden="1" x14ac:dyDescent="0.3">
      <c r="A2245" s="1" t="s">
        <v>6899</v>
      </c>
      <c r="B2245" s="1"/>
      <c r="C2245" s="1"/>
      <c r="D2245" s="1"/>
      <c r="E2245" s="1"/>
      <c r="F2245" s="1"/>
      <c r="G2245" s="1" t="s">
        <v>43</v>
      </c>
      <c r="H2245" s="2">
        <v>254</v>
      </c>
      <c r="I2245" s="1" t="s">
        <v>6900</v>
      </c>
      <c r="J2245" s="1" t="s">
        <v>3970</v>
      </c>
      <c r="K2245" s="1" t="s">
        <v>237</v>
      </c>
      <c r="L2245" s="1" t="s">
        <v>6901</v>
      </c>
      <c r="M2245" s="6" t="str">
        <f>_xlfn.CONCAT(Table1[[#This Row],[Billing Street]], ", ", Table1[[#This Row],[Billing City]], ", ", Table1[[#This Row],[Billing State/Province]], ", ", Table1[[#This Row],[Billing Zip/Postal Code]])</f>
        <v>1430 W. Main Street, Greensburg, IN, 27240</v>
      </c>
    </row>
    <row r="2246" spans="1:13" ht="15.6" hidden="1" x14ac:dyDescent="0.3">
      <c r="A2246" s="1" t="s">
        <v>6902</v>
      </c>
      <c r="B2246" s="1"/>
      <c r="C2246" s="1"/>
      <c r="D2246" s="1"/>
      <c r="E2246" s="1"/>
      <c r="F2246" s="1"/>
      <c r="G2246" s="1" t="s">
        <v>43</v>
      </c>
      <c r="H2246" s="2">
        <v>322</v>
      </c>
      <c r="I2246" s="1" t="s">
        <v>6903</v>
      </c>
      <c r="J2246" s="1" t="s">
        <v>6904</v>
      </c>
      <c r="K2246" s="1" t="s">
        <v>237</v>
      </c>
      <c r="L2246" s="1" t="s">
        <v>6905</v>
      </c>
      <c r="M2246" s="6" t="str">
        <f>_xlfn.CONCAT(Table1[[#This Row],[Billing Street]], ", ", Table1[[#This Row],[Billing City]], ", ", Table1[[#This Row],[Billing State/Province]], ", ", Table1[[#This Row],[Billing Zip/Postal Code]])</f>
        <v>7133 N. State Road 337, Orleans, IN, 47452</v>
      </c>
    </row>
    <row r="2247" spans="1:13" ht="15.6" x14ac:dyDescent="0.3">
      <c r="A2247" s="1" t="s">
        <v>6906</v>
      </c>
      <c r="B2247" s="1"/>
      <c r="C2247" s="1"/>
      <c r="D2247" s="1"/>
      <c r="E2247" s="1"/>
      <c r="F2247" s="1"/>
      <c r="G2247" s="1" t="s">
        <v>24</v>
      </c>
      <c r="H2247" s="2">
        <v>277</v>
      </c>
      <c r="I2247" s="1" t="s">
        <v>6907</v>
      </c>
      <c r="J2247" s="1" t="s">
        <v>6908</v>
      </c>
      <c r="K2247" s="1" t="s">
        <v>26</v>
      </c>
      <c r="L2247" s="1" t="s">
        <v>2405</v>
      </c>
      <c r="M2247" s="6" t="str">
        <f>_xlfn.CONCAT(Table1[[#This Row],[Billing Street]], ", ", Table1[[#This Row],[Billing City]], ", ", Table1[[#This Row],[Billing State/Province]], ", ", Table1[[#This Row],[Billing Zip/Postal Code]])</f>
        <v>1012 South Jackson Ave, Russelliville, AL, 35653</v>
      </c>
    </row>
    <row r="2248" spans="1:13" ht="15.6" x14ac:dyDescent="0.3">
      <c r="A2248" s="1" t="s">
        <v>6909</v>
      </c>
      <c r="B2248" s="1"/>
      <c r="C2248" s="1"/>
      <c r="D2248" s="1"/>
      <c r="E2248" s="1"/>
      <c r="F2248" s="1"/>
      <c r="G2248" s="1" t="s">
        <v>24</v>
      </c>
      <c r="H2248" s="2">
        <v>5988</v>
      </c>
      <c r="I2248" s="1" t="s">
        <v>6910</v>
      </c>
      <c r="J2248" s="1" t="s">
        <v>3265</v>
      </c>
      <c r="K2248" s="1" t="s">
        <v>26</v>
      </c>
      <c r="L2248" s="1" t="s">
        <v>6911</v>
      </c>
      <c r="M2248" s="6" t="str">
        <f>_xlfn.CONCAT(Table1[[#This Row],[Billing Street]], ", ", Table1[[#This Row],[Billing City]], ", ", Table1[[#This Row],[Billing State/Province]], ", ", Table1[[#This Row],[Billing Zip/Postal Code]])</f>
        <v>1806 Wilkinson St., Athens, AL, 35611</v>
      </c>
    </row>
    <row r="2249" spans="1:13" ht="15.6" x14ac:dyDescent="0.3">
      <c r="A2249" s="1" t="s">
        <v>6912</v>
      </c>
      <c r="B2249" s="1"/>
      <c r="C2249" s="1"/>
      <c r="D2249" s="1"/>
      <c r="E2249" s="1"/>
      <c r="F2249" s="1"/>
      <c r="G2249" s="1" t="s">
        <v>24</v>
      </c>
      <c r="H2249" s="2">
        <v>283</v>
      </c>
      <c r="I2249" s="1" t="s">
        <v>6913</v>
      </c>
      <c r="J2249" s="1" t="s">
        <v>6914</v>
      </c>
      <c r="K2249" s="1" t="s">
        <v>36</v>
      </c>
      <c r="L2249" s="1" t="s">
        <v>6915</v>
      </c>
      <c r="M2249" s="6" t="str">
        <f>_xlfn.CONCAT(Table1[[#This Row],[Billing Street]], ", ", Table1[[#This Row],[Billing City]], ", ", Table1[[#This Row],[Billing State/Province]], ", ", Table1[[#This Row],[Billing Zip/Postal Code]])</f>
        <v>158 Roscoe Rd, Ponte Vedra Beach, FL, 32081</v>
      </c>
    </row>
    <row r="2250" spans="1:13" ht="15.6" hidden="1" x14ac:dyDescent="0.3">
      <c r="A2250" s="1" t="s">
        <v>6916</v>
      </c>
      <c r="B2250" s="1"/>
      <c r="C2250" s="1"/>
      <c r="D2250" s="1"/>
      <c r="E2250" s="1"/>
      <c r="F2250" s="1"/>
      <c r="G2250" s="1" t="s">
        <v>98</v>
      </c>
      <c r="H2250" s="2">
        <v>408</v>
      </c>
      <c r="I2250" s="1" t="s">
        <v>6917</v>
      </c>
      <c r="J2250" s="1" t="s">
        <v>1858</v>
      </c>
      <c r="K2250" s="1" t="s">
        <v>1178</v>
      </c>
      <c r="L2250" s="1" t="s">
        <v>6918</v>
      </c>
      <c r="M2250" s="6" t="str">
        <f>_xlfn.CONCAT(Table1[[#This Row],[Billing Street]], ", ", Table1[[#This Row],[Billing City]], ", ", Table1[[#This Row],[Billing State/Province]], ", ", Table1[[#This Row],[Billing Zip/Postal Code]])</f>
        <v>801 Mumford Rd., Greenville, NC, 27835</v>
      </c>
    </row>
    <row r="2251" spans="1:13" ht="15.6" hidden="1" x14ac:dyDescent="0.3">
      <c r="A2251" s="1" t="s">
        <v>6919</v>
      </c>
      <c r="B2251" s="1"/>
      <c r="C2251" s="1"/>
      <c r="D2251" s="1"/>
      <c r="E2251" s="1"/>
      <c r="F2251" s="1"/>
      <c r="G2251" s="1" t="s">
        <v>54</v>
      </c>
      <c r="H2251" s="2">
        <v>15</v>
      </c>
      <c r="I2251" s="1" t="s">
        <v>6920</v>
      </c>
      <c r="J2251" s="1" t="s">
        <v>6921</v>
      </c>
      <c r="K2251" s="1" t="s">
        <v>57</v>
      </c>
      <c r="L2251" s="1" t="s">
        <v>6922</v>
      </c>
      <c r="M2251" s="6" t="str">
        <f>_xlfn.CONCAT(Table1[[#This Row],[Billing Street]], ", ", Table1[[#This Row],[Billing City]], ", ", Table1[[#This Row],[Billing State/Province]], ", ", Table1[[#This Row],[Billing Zip/Postal Code]])</f>
        <v>21818 S Wilmington Ave # 409, Carson, CA, 90810</v>
      </c>
    </row>
    <row r="2252" spans="1:13" ht="15.6" hidden="1" x14ac:dyDescent="0.3">
      <c r="A2252" s="1" t="s">
        <v>6923</v>
      </c>
      <c r="B2252" s="1"/>
      <c r="C2252" s="1"/>
      <c r="D2252" s="1"/>
      <c r="E2252" s="1"/>
      <c r="F2252" s="1"/>
      <c r="G2252" s="1" t="s">
        <v>43</v>
      </c>
      <c r="H2252" s="2">
        <v>298</v>
      </c>
      <c r="I2252" s="1" t="s">
        <v>6924</v>
      </c>
      <c r="J2252" s="1" t="s">
        <v>285</v>
      </c>
      <c r="K2252" s="1" t="s">
        <v>237</v>
      </c>
      <c r="L2252" s="1" t="s">
        <v>286</v>
      </c>
      <c r="M2252" s="6" t="str">
        <f>_xlfn.CONCAT(Table1[[#This Row],[Billing Street]], ", ", Table1[[#This Row],[Billing City]], ", ", Table1[[#This Row],[Billing State/Province]], ", ", Table1[[#This Row],[Billing Zip/Postal Code]])</f>
        <v>280 East Wood Rd, Rensselaer, IN, 47978</v>
      </c>
    </row>
    <row r="2253" spans="1:13" ht="15.6" hidden="1" x14ac:dyDescent="0.3">
      <c r="A2253" s="1" t="s">
        <v>6925</v>
      </c>
      <c r="B2253" s="1"/>
      <c r="C2253" s="1"/>
      <c r="D2253" s="1"/>
      <c r="E2253" s="1"/>
      <c r="F2253" s="1"/>
      <c r="G2253" s="1" t="s">
        <v>43</v>
      </c>
      <c r="H2253" s="2">
        <v>277</v>
      </c>
      <c r="I2253" s="1" t="s">
        <v>6926</v>
      </c>
      <c r="J2253" s="1" t="s">
        <v>297</v>
      </c>
      <c r="K2253" s="1" t="s">
        <v>237</v>
      </c>
      <c r="L2253" s="1" t="s">
        <v>6927</v>
      </c>
      <c r="M2253" s="6" t="str">
        <f>_xlfn.CONCAT(Table1[[#This Row],[Billing Street]], ", ", Table1[[#This Row],[Billing City]], ", ", Table1[[#This Row],[Billing State/Province]], ", ", Table1[[#This Row],[Billing Zip/Postal Code]])</f>
        <v>401 S. Meridian St., Lebanon, IN, 46052</v>
      </c>
    </row>
    <row r="2254" spans="1:13" ht="15.6" hidden="1" x14ac:dyDescent="0.3">
      <c r="A2254" s="1" t="s">
        <v>6928</v>
      </c>
      <c r="B2254" s="1"/>
      <c r="C2254" s="1"/>
      <c r="D2254" s="1"/>
      <c r="E2254" s="1"/>
      <c r="F2254" s="1"/>
      <c r="G2254" s="1" t="s">
        <v>43</v>
      </c>
      <c r="H2254" s="2">
        <v>467</v>
      </c>
      <c r="I2254" s="1" t="s">
        <v>6929</v>
      </c>
      <c r="J2254" s="1" t="s">
        <v>6930</v>
      </c>
      <c r="K2254" s="1" t="s">
        <v>152</v>
      </c>
      <c r="L2254" s="1" t="s">
        <v>6931</v>
      </c>
      <c r="M2254" s="6" t="str">
        <f>_xlfn.CONCAT(Table1[[#This Row],[Billing Street]], ", ", Table1[[#This Row],[Billing City]], ", ", Table1[[#This Row],[Billing State/Province]], ", ", Table1[[#This Row],[Billing Zip/Postal Code]])</f>
        <v>475 N Main St., Breese, IL, 62230</v>
      </c>
    </row>
    <row r="2255" spans="1:13" ht="15.6" hidden="1" x14ac:dyDescent="0.3">
      <c r="A2255" s="1" t="s">
        <v>6932</v>
      </c>
      <c r="B2255" s="1"/>
      <c r="C2255" s="1"/>
      <c r="D2255" s="1"/>
      <c r="E2255" s="1"/>
      <c r="F2255" s="1"/>
      <c r="G2255" s="1" t="s">
        <v>43</v>
      </c>
      <c r="H2255" s="2">
        <v>251</v>
      </c>
      <c r="I2255" s="1" t="s">
        <v>6933</v>
      </c>
      <c r="J2255" s="1" t="s">
        <v>6934</v>
      </c>
      <c r="K2255" s="1" t="s">
        <v>237</v>
      </c>
      <c r="L2255" s="1" t="s">
        <v>6935</v>
      </c>
      <c r="M2255" s="6" t="str">
        <f>_xlfn.CONCAT(Table1[[#This Row],[Billing Street]], ", ", Table1[[#This Row],[Billing City]], ", ", Table1[[#This Row],[Billing State/Province]], ", ", Table1[[#This Row],[Billing Zip/Postal Code]])</f>
        <v>333 S. Franklin St., Greenfield, IN, 46140</v>
      </c>
    </row>
    <row r="2256" spans="1:13" ht="15.6" hidden="1" x14ac:dyDescent="0.3">
      <c r="A2256" s="1" t="s">
        <v>6936</v>
      </c>
      <c r="B2256" s="1"/>
      <c r="C2256" s="1"/>
      <c r="D2256" s="1"/>
      <c r="E2256" s="1"/>
      <c r="F2256" s="1"/>
      <c r="G2256" s="1" t="s">
        <v>43</v>
      </c>
      <c r="H2256" s="2">
        <v>341</v>
      </c>
      <c r="I2256" s="1" t="s">
        <v>6937</v>
      </c>
      <c r="J2256" s="1" t="s">
        <v>6938</v>
      </c>
      <c r="K2256" s="1" t="s">
        <v>152</v>
      </c>
      <c r="L2256" s="1" t="s">
        <v>6939</v>
      </c>
      <c r="M2256" s="6" t="str">
        <f>_xlfn.CONCAT(Table1[[#This Row],[Billing Street]], ", ", Table1[[#This Row],[Billing City]], ", ", Table1[[#This Row],[Billing State/Province]], ", ", Table1[[#This Row],[Billing Zip/Postal Code]])</f>
        <v>844 e. Rockland Road, Libertyville, IL, 60048</v>
      </c>
    </row>
    <row r="2257" spans="1:13" ht="15.6" hidden="1" x14ac:dyDescent="0.3">
      <c r="A2257" s="1" t="s">
        <v>6940</v>
      </c>
      <c r="B2257" s="1"/>
      <c r="C2257" s="1"/>
      <c r="D2257" s="1"/>
      <c r="E2257" s="1"/>
      <c r="F2257" s="1"/>
      <c r="G2257" s="1" t="s">
        <v>8</v>
      </c>
      <c r="H2257" s="2">
        <v>310</v>
      </c>
      <c r="I2257" s="1" t="s">
        <v>6941</v>
      </c>
      <c r="J2257" s="1" t="s">
        <v>422</v>
      </c>
      <c r="K2257" s="1" t="s">
        <v>21</v>
      </c>
      <c r="L2257" s="1" t="s">
        <v>6942</v>
      </c>
      <c r="M2257" s="6" t="str">
        <f>_xlfn.CONCAT(Table1[[#This Row],[Billing Street]], ", ", Table1[[#This Row],[Billing City]], ", ", Table1[[#This Row],[Billing State/Province]], ", ", Table1[[#This Row],[Billing Zip/Postal Code]])</f>
        <v>417 East St, Shelby, IA, 51570</v>
      </c>
    </row>
    <row r="2258" spans="1:13" ht="15.6" hidden="1" x14ac:dyDescent="0.3">
      <c r="A2258" s="1" t="s">
        <v>6943</v>
      </c>
      <c r="B2258" s="1"/>
      <c r="C2258" s="1"/>
      <c r="D2258" s="1"/>
      <c r="E2258" s="1"/>
      <c r="F2258" s="1"/>
      <c r="G2258" s="1" t="s">
        <v>8</v>
      </c>
      <c r="H2258" s="2">
        <v>561</v>
      </c>
      <c r="I2258" s="1" t="s">
        <v>6944</v>
      </c>
      <c r="J2258" s="1" t="s">
        <v>6945</v>
      </c>
      <c r="K2258" s="1" t="s">
        <v>198</v>
      </c>
      <c r="L2258" s="1" t="s">
        <v>6946</v>
      </c>
      <c r="M2258" s="6" t="str">
        <f>_xlfn.CONCAT(Table1[[#This Row],[Billing Street]], ", ", Table1[[#This Row],[Billing City]], ", ", Table1[[#This Row],[Billing State/Province]], ", ", Table1[[#This Row],[Billing Zip/Postal Code]])</f>
        <v>414 Jeffers Ave, Lyman, NE, 69352</v>
      </c>
    </row>
    <row r="2259" spans="1:13" ht="15.6" hidden="1" x14ac:dyDescent="0.3">
      <c r="A2259" s="1" t="s">
        <v>6947</v>
      </c>
      <c r="B2259" s="1"/>
      <c r="C2259" s="1"/>
      <c r="D2259" s="1"/>
      <c r="E2259" s="1"/>
      <c r="F2259" s="1"/>
      <c r="G2259" s="1" t="s">
        <v>8</v>
      </c>
      <c r="H2259" s="2">
        <v>286</v>
      </c>
      <c r="I2259" s="1" t="s">
        <v>6948</v>
      </c>
      <c r="J2259" s="1" t="s">
        <v>6949</v>
      </c>
      <c r="K2259" s="1" t="s">
        <v>21</v>
      </c>
      <c r="L2259" s="1" t="s">
        <v>6950</v>
      </c>
      <c r="M2259" s="6" t="str">
        <f>_xlfn.CONCAT(Table1[[#This Row],[Billing Street]], ", ", Table1[[#This Row],[Billing City]], ", ", Table1[[#This Row],[Billing State/Province]], ", ", Table1[[#This Row],[Billing Zip/Postal Code]])</f>
        <v>115 East Kansas, Afton, IA, 50830</v>
      </c>
    </row>
    <row r="2260" spans="1:13" ht="15.6" hidden="1" x14ac:dyDescent="0.3">
      <c r="A2260" s="1" t="s">
        <v>6951</v>
      </c>
      <c r="B2260" s="1"/>
      <c r="C2260" s="1"/>
      <c r="D2260" s="1"/>
      <c r="E2260" s="1"/>
      <c r="F2260" s="1"/>
      <c r="G2260" s="1" t="s">
        <v>8</v>
      </c>
      <c r="H2260" s="2">
        <v>271</v>
      </c>
      <c r="I2260" s="1" t="s">
        <v>6952</v>
      </c>
      <c r="J2260" s="1" t="s">
        <v>6953</v>
      </c>
      <c r="K2260" s="1" t="s">
        <v>21</v>
      </c>
      <c r="L2260" s="1" t="s">
        <v>6954</v>
      </c>
      <c r="M2260" s="6" t="str">
        <f>_xlfn.CONCAT(Table1[[#This Row],[Billing Street]], ", ", Table1[[#This Row],[Billing City]], ", ", Table1[[#This Row],[Billing State/Province]], ", ", Table1[[#This Row],[Billing Zip/Postal Code]])</f>
        <v>101 S U Ave, Villisca, IA, 50864</v>
      </c>
    </row>
    <row r="2261" spans="1:13" ht="15.6" hidden="1" x14ac:dyDescent="0.3">
      <c r="A2261" s="1" t="s">
        <v>6955</v>
      </c>
      <c r="B2261" s="1"/>
      <c r="C2261" s="1"/>
      <c r="D2261" s="1"/>
      <c r="E2261" s="1"/>
      <c r="F2261" s="1"/>
      <c r="G2261" s="1" t="s">
        <v>43</v>
      </c>
      <c r="H2261" s="2">
        <v>365</v>
      </c>
      <c r="I2261" s="1" t="s">
        <v>6956</v>
      </c>
      <c r="J2261" s="1" t="s">
        <v>6851</v>
      </c>
      <c r="K2261" s="1" t="s">
        <v>237</v>
      </c>
      <c r="L2261" s="1" t="s">
        <v>6852</v>
      </c>
      <c r="M2261" s="6" t="str">
        <f>_xlfn.CONCAT(Table1[[#This Row],[Billing Street]], ", ", Table1[[#This Row],[Billing City]], ", ", Table1[[#This Row],[Billing State/Province]], ", ", Table1[[#This Row],[Billing Zip/Postal Code]])</f>
        <v>1776 10th Street, Tell City, IN, 47586</v>
      </c>
    </row>
    <row r="2262" spans="1:13" ht="15.6" hidden="1" x14ac:dyDescent="0.3">
      <c r="A2262" s="1" t="s">
        <v>6957</v>
      </c>
      <c r="B2262" s="1"/>
      <c r="C2262" s="1"/>
      <c r="D2262" s="1"/>
      <c r="E2262" s="1"/>
      <c r="F2262" s="1"/>
      <c r="G2262" s="1" t="s">
        <v>8</v>
      </c>
      <c r="H2262" s="2">
        <v>355</v>
      </c>
      <c r="I2262" s="1" t="s">
        <v>6958</v>
      </c>
      <c r="J2262" s="1" t="s">
        <v>6959</v>
      </c>
      <c r="K2262" s="1" t="s">
        <v>21</v>
      </c>
      <c r="L2262" s="1" t="s">
        <v>6960</v>
      </c>
      <c r="M2262" s="6" t="str">
        <f>_xlfn.CONCAT(Table1[[#This Row],[Billing Street]], ", ", Table1[[#This Row],[Billing City]], ", ", Table1[[#This Row],[Billing State/Province]], ", ", Table1[[#This Row],[Billing Zip/Postal Code]])</f>
        <v>513 Main Street, Mapleton, IA, 51034</v>
      </c>
    </row>
    <row r="2263" spans="1:13" ht="15.6" hidden="1" x14ac:dyDescent="0.3">
      <c r="A2263" s="1" t="s">
        <v>6961</v>
      </c>
      <c r="B2263" s="1"/>
      <c r="C2263" s="1"/>
      <c r="D2263" s="1"/>
      <c r="E2263" s="1"/>
      <c r="F2263" s="1"/>
      <c r="G2263" s="1" t="s">
        <v>43</v>
      </c>
      <c r="H2263" s="2">
        <v>273</v>
      </c>
      <c r="I2263" s="1" t="s">
        <v>6962</v>
      </c>
      <c r="J2263" s="1" t="s">
        <v>6963</v>
      </c>
      <c r="K2263" s="1" t="s">
        <v>237</v>
      </c>
      <c r="L2263" s="1" t="s">
        <v>6964</v>
      </c>
      <c r="M2263" s="6" t="str">
        <f>_xlfn.CONCAT(Table1[[#This Row],[Billing Street]], ", ", Table1[[#This Row],[Billing City]], ", ", Table1[[#This Row],[Billing State/Province]], ", ", Table1[[#This Row],[Billing Zip/Postal Code]])</f>
        <v>1000 Washington Ave, Frankfort, IN, 46041</v>
      </c>
    </row>
    <row r="2264" spans="1:13" ht="15.6" hidden="1" x14ac:dyDescent="0.3">
      <c r="A2264" s="1" t="s">
        <v>6965</v>
      </c>
      <c r="B2264" s="1"/>
      <c r="C2264" s="1"/>
      <c r="D2264" s="1"/>
      <c r="E2264" s="1"/>
      <c r="F2264" s="1"/>
      <c r="G2264" s="1" t="s">
        <v>8</v>
      </c>
      <c r="H2264" s="2">
        <v>320</v>
      </c>
      <c r="I2264" s="1" t="s">
        <v>6966</v>
      </c>
      <c r="J2264" s="1" t="s">
        <v>6967</v>
      </c>
      <c r="K2264" s="1" t="s">
        <v>21</v>
      </c>
      <c r="L2264" s="1" t="s">
        <v>6968</v>
      </c>
      <c r="M2264" s="6" t="str">
        <f>_xlfn.CONCAT(Table1[[#This Row],[Billing Street]], ", ", Table1[[#This Row],[Billing City]], ", ", Table1[[#This Row],[Billing State/Province]], ", ", Table1[[#This Row],[Billing Zip/Postal Code]])</f>
        <v>P.O. Box 714, Harlan, IA, 51537</v>
      </c>
    </row>
    <row r="2265" spans="1:13" ht="15.6" hidden="1" x14ac:dyDescent="0.3">
      <c r="A2265" s="1" t="s">
        <v>6969</v>
      </c>
      <c r="B2265" s="1"/>
      <c r="C2265" s="1"/>
      <c r="D2265" s="1"/>
      <c r="E2265" s="1"/>
      <c r="F2265" s="1"/>
      <c r="G2265" s="1" t="s">
        <v>8</v>
      </c>
      <c r="H2265" s="2">
        <v>319</v>
      </c>
      <c r="I2265" s="1" t="s">
        <v>6970</v>
      </c>
      <c r="J2265" s="1" t="s">
        <v>6971</v>
      </c>
      <c r="K2265" s="1" t="s">
        <v>21</v>
      </c>
      <c r="L2265" s="1" t="s">
        <v>6972</v>
      </c>
      <c r="M2265" s="6" t="str">
        <f>_xlfn.CONCAT(Table1[[#This Row],[Billing Street]], ", ", Table1[[#This Row],[Billing City]], ", ", Table1[[#This Row],[Billing State/Province]], ", ", Table1[[#This Row],[Billing Zip/Postal Code]])</f>
        <v>116 N Main St, Kimballton, IA, 51543</v>
      </c>
    </row>
    <row r="2266" spans="1:13" ht="15.6" hidden="1" x14ac:dyDescent="0.3">
      <c r="A2266" s="1" t="s">
        <v>6973</v>
      </c>
      <c r="B2266" s="1"/>
      <c r="C2266" s="1"/>
      <c r="D2266" s="1"/>
      <c r="E2266" s="1"/>
      <c r="F2266" s="1"/>
      <c r="G2266" s="1" t="s">
        <v>43</v>
      </c>
      <c r="H2266" s="2">
        <v>299</v>
      </c>
      <c r="I2266" s="1" t="s">
        <v>6974</v>
      </c>
      <c r="J2266" s="1" t="s">
        <v>6975</v>
      </c>
      <c r="K2266" s="1" t="s">
        <v>237</v>
      </c>
      <c r="L2266" s="1" t="s">
        <v>6976</v>
      </c>
      <c r="M2266" s="6" t="str">
        <f>_xlfn.CONCAT(Table1[[#This Row],[Billing Street]], ", ", Table1[[#This Row],[Billing City]], ", ", Table1[[#This Row],[Billing State/Province]], ", ", Table1[[#This Row],[Billing Zip/Postal Code]])</f>
        <v>808 Lafayette Rd, Crawfordsville, IN, 47933</v>
      </c>
    </row>
    <row r="2267" spans="1:13" ht="15.6" hidden="1" x14ac:dyDescent="0.3">
      <c r="A2267" s="1" t="s">
        <v>6977</v>
      </c>
      <c r="B2267" s="1"/>
      <c r="C2267" s="1"/>
      <c r="D2267" s="1"/>
      <c r="E2267" s="1"/>
      <c r="F2267" s="1"/>
      <c r="G2267" s="1" t="s">
        <v>43</v>
      </c>
      <c r="H2267" s="2">
        <v>229</v>
      </c>
      <c r="I2267" s="1" t="s">
        <v>6978</v>
      </c>
      <c r="J2267" s="1" t="s">
        <v>6979</v>
      </c>
      <c r="K2267" s="1" t="s">
        <v>237</v>
      </c>
      <c r="L2267" s="1" t="s">
        <v>6980</v>
      </c>
      <c r="M2267" s="6" t="str">
        <f>_xlfn.CONCAT(Table1[[#This Row],[Billing Street]], ", ", Table1[[#This Row],[Billing City]], ", ", Table1[[#This Row],[Billing State/Province]], ", ", Table1[[#This Row],[Billing Zip/Postal Code]])</f>
        <v>3400 S. State Rd. 3, New Castle, IN, 47362</v>
      </c>
    </row>
    <row r="2268" spans="1:13" ht="15.6" hidden="1" x14ac:dyDescent="0.3">
      <c r="A2268" s="1" t="s">
        <v>6981</v>
      </c>
      <c r="B2268" s="1"/>
      <c r="C2268" s="1"/>
      <c r="D2268" s="1"/>
      <c r="E2268" s="1"/>
      <c r="F2268" s="1"/>
      <c r="G2268" s="1" t="s">
        <v>8</v>
      </c>
      <c r="H2268" s="2">
        <v>305</v>
      </c>
      <c r="I2268" s="1" t="s">
        <v>6982</v>
      </c>
      <c r="J2268" s="1" t="s">
        <v>6983</v>
      </c>
      <c r="K2268" s="1" t="s">
        <v>21</v>
      </c>
      <c r="L2268" s="1" t="s">
        <v>6984</v>
      </c>
      <c r="M2268" s="6" t="str">
        <f>_xlfn.CONCAT(Table1[[#This Row],[Billing Street]], ", ", Table1[[#This Row],[Billing City]], ", ", Table1[[#This Row],[Billing State/Province]], ", ", Table1[[#This Row],[Billing Zip/Postal Code]])</f>
        <v>401 Front St, Neola, IA, 51559</v>
      </c>
    </row>
    <row r="2269" spans="1:13" ht="15.6" hidden="1" x14ac:dyDescent="0.3">
      <c r="A2269" s="1" t="s">
        <v>6985</v>
      </c>
      <c r="B2269" s="1"/>
      <c r="C2269" s="1"/>
      <c r="D2269" s="1"/>
      <c r="E2269" s="1"/>
      <c r="F2269" s="1"/>
      <c r="G2269" s="1" t="s">
        <v>8</v>
      </c>
      <c r="H2269" s="2">
        <v>304</v>
      </c>
      <c r="I2269" s="1" t="s">
        <v>6986</v>
      </c>
      <c r="J2269" s="1" t="s">
        <v>6987</v>
      </c>
      <c r="K2269" s="1" t="s">
        <v>21</v>
      </c>
      <c r="L2269" s="1" t="s">
        <v>6988</v>
      </c>
      <c r="M2269" s="6" t="str">
        <f>_xlfn.CONCAT(Table1[[#This Row],[Billing Street]], ", ", Table1[[#This Row],[Billing City]], ", ", Table1[[#This Row],[Billing State/Province]], ", ", Table1[[#This Row],[Billing Zip/Postal Code]])</f>
        <v>15 W 3rd St, Atlantic, IA, 50022</v>
      </c>
    </row>
    <row r="2270" spans="1:13" ht="15.6" hidden="1" x14ac:dyDescent="0.3">
      <c r="A2270" s="1" t="s">
        <v>6989</v>
      </c>
      <c r="B2270" s="1"/>
      <c r="C2270" s="1"/>
      <c r="D2270" s="1"/>
      <c r="E2270" s="1"/>
      <c r="F2270" s="1"/>
      <c r="G2270" s="1" t="s">
        <v>43</v>
      </c>
      <c r="H2270" s="2">
        <v>280</v>
      </c>
      <c r="I2270" s="1" t="s">
        <v>6990</v>
      </c>
      <c r="J2270" s="1" t="s">
        <v>711</v>
      </c>
      <c r="K2270" s="1" t="s">
        <v>237</v>
      </c>
      <c r="L2270" s="1" t="s">
        <v>6991</v>
      </c>
      <c r="M2270" s="6" t="str">
        <f>_xlfn.CONCAT(Table1[[#This Row],[Billing Street]], ", ", Table1[[#This Row],[Billing City]], ", ", Table1[[#This Row],[Billing State/Province]], ", ", Table1[[#This Row],[Billing Zip/Postal Code]])</f>
        <v>1697 W. Deaver Rd, Columbus, IN, 47201</v>
      </c>
    </row>
    <row r="2271" spans="1:13" ht="15.6" hidden="1" x14ac:dyDescent="0.3">
      <c r="A2271" s="1" t="s">
        <v>6992</v>
      </c>
      <c r="B2271" s="1"/>
      <c r="C2271" s="1"/>
      <c r="D2271" s="1"/>
      <c r="E2271" s="1"/>
      <c r="F2271" s="1"/>
      <c r="G2271" s="1" t="s">
        <v>43</v>
      </c>
      <c r="H2271" s="2">
        <v>243</v>
      </c>
      <c r="I2271" s="1" t="s">
        <v>6993</v>
      </c>
      <c r="J2271" s="1" t="s">
        <v>1936</v>
      </c>
      <c r="K2271" s="1" t="s">
        <v>237</v>
      </c>
      <c r="L2271" s="1" t="s">
        <v>6879</v>
      </c>
      <c r="M2271" s="6" t="str">
        <f>_xlfn.CONCAT(Table1[[#This Row],[Billing Street]], ", ", Table1[[#This Row],[Billing City]], ", ", Table1[[#This Row],[Billing State/Province]], ", ", Table1[[#This Row],[Billing Zip/Postal Code]])</f>
        <v>335 East Canal St., Peru, IN, 46970</v>
      </c>
    </row>
    <row r="2272" spans="1:13" ht="15.6" hidden="1" x14ac:dyDescent="0.3">
      <c r="A2272" s="1" t="s">
        <v>6994</v>
      </c>
      <c r="B2272" s="1"/>
      <c r="C2272" s="1"/>
      <c r="D2272" s="1"/>
      <c r="E2272" s="1"/>
      <c r="F2272" s="1"/>
      <c r="G2272" s="1" t="s">
        <v>8</v>
      </c>
      <c r="H2272" s="2">
        <v>299</v>
      </c>
      <c r="I2272" s="1" t="s">
        <v>6995</v>
      </c>
      <c r="J2272" s="1" t="s">
        <v>6996</v>
      </c>
      <c r="K2272" s="1" t="s">
        <v>21</v>
      </c>
      <c r="L2272" s="1" t="s">
        <v>6997</v>
      </c>
      <c r="M2272" s="6" t="str">
        <f>_xlfn.CONCAT(Table1[[#This Row],[Billing Street]], ", ", Table1[[#This Row],[Billing City]], ", ", Table1[[#This Row],[Billing State/Province]], ", ", Table1[[#This Row],[Billing Zip/Postal Code]])</f>
        <v>313 Washington St, Fontanelle, IA, 50846</v>
      </c>
    </row>
    <row r="2273" spans="1:13" ht="15.6" hidden="1" x14ac:dyDescent="0.3">
      <c r="A2273" s="1" t="s">
        <v>6998</v>
      </c>
      <c r="B2273" s="1"/>
      <c r="C2273" s="1"/>
      <c r="D2273" s="1"/>
      <c r="E2273" s="1"/>
      <c r="F2273" s="1"/>
      <c r="G2273" s="1" t="s">
        <v>8</v>
      </c>
      <c r="H2273" s="2">
        <v>302</v>
      </c>
      <c r="I2273" s="1" t="s">
        <v>6999</v>
      </c>
      <c r="J2273" s="1" t="s">
        <v>6934</v>
      </c>
      <c r="K2273" s="1" t="s">
        <v>21</v>
      </c>
      <c r="L2273" s="1" t="s">
        <v>7000</v>
      </c>
      <c r="M2273" s="6" t="str">
        <f>_xlfn.CONCAT(Table1[[#This Row],[Billing Street]], ", ", Table1[[#This Row],[Billing City]], ", ", Table1[[#This Row],[Billing State/Province]], ", ", Table1[[#This Row],[Billing Zip/Postal Code]])</f>
        <v>202 S 1st St 50849, Greenfield, IA, 50849</v>
      </c>
    </row>
    <row r="2274" spans="1:13" ht="15.6" hidden="1" x14ac:dyDescent="0.3">
      <c r="A2274" s="1" t="s">
        <v>7001</v>
      </c>
      <c r="B2274" s="1"/>
      <c r="C2274" s="1"/>
      <c r="D2274" s="1"/>
      <c r="E2274" s="1"/>
      <c r="F2274" s="1"/>
      <c r="G2274" s="1" t="s">
        <v>8</v>
      </c>
      <c r="H2274" s="2">
        <v>295</v>
      </c>
      <c r="I2274" s="1" t="s">
        <v>7002</v>
      </c>
      <c r="J2274" s="1" t="s">
        <v>7003</v>
      </c>
      <c r="K2274" s="1" t="s">
        <v>21</v>
      </c>
      <c r="L2274" s="1" t="s">
        <v>7004</v>
      </c>
      <c r="M2274" s="6" t="str">
        <f>_xlfn.CONCAT(Table1[[#This Row],[Billing Street]], ", ", Table1[[#This Row],[Billing City]], ", ", Table1[[#This Row],[Billing State/Province]], ", ", Table1[[#This Row],[Billing Zip/Postal Code]])</f>
        <v>114 S Broad St, Orient, IA, 50858</v>
      </c>
    </row>
    <row r="2275" spans="1:13" ht="15.6" hidden="1" x14ac:dyDescent="0.3">
      <c r="A2275" s="1" t="s">
        <v>7005</v>
      </c>
      <c r="B2275" s="1"/>
      <c r="C2275" s="1"/>
      <c r="D2275" s="1"/>
      <c r="E2275" s="1"/>
      <c r="F2275" s="1"/>
      <c r="G2275" s="1" t="s">
        <v>43</v>
      </c>
      <c r="H2275" s="2">
        <v>322</v>
      </c>
      <c r="I2275" s="1" t="s">
        <v>7006</v>
      </c>
      <c r="J2275" s="1" t="s">
        <v>6781</v>
      </c>
      <c r="K2275" s="1" t="s">
        <v>237</v>
      </c>
      <c r="L2275" s="1" t="s">
        <v>6782</v>
      </c>
      <c r="M2275" s="6" t="str">
        <f>_xlfn.CONCAT(Table1[[#This Row],[Billing Street]], ", ", Table1[[#This Row],[Billing City]], ", ", Table1[[#This Row],[Billing State/Province]], ", ", Table1[[#This Row],[Billing Zip/Postal Code]])</f>
        <v>119 W. High Street, Rockville, IN, 47872</v>
      </c>
    </row>
    <row r="2276" spans="1:13" ht="15.6" hidden="1" x14ac:dyDescent="0.3">
      <c r="A2276" s="1" t="s">
        <v>7007</v>
      </c>
      <c r="B2276" s="1"/>
      <c r="C2276" s="1"/>
      <c r="D2276" s="1"/>
      <c r="E2276" s="1"/>
      <c r="F2276" s="1"/>
      <c r="G2276" s="1" t="s">
        <v>43</v>
      </c>
      <c r="H2276" s="2">
        <v>354</v>
      </c>
      <c r="I2276" s="1" t="s">
        <v>7008</v>
      </c>
      <c r="J2276" s="1" t="s">
        <v>5070</v>
      </c>
      <c r="K2276" s="1" t="s">
        <v>237</v>
      </c>
      <c r="L2276" s="1" t="s">
        <v>7009</v>
      </c>
      <c r="M2276" s="6" t="str">
        <f>_xlfn.CONCAT(Table1[[#This Row],[Billing Street]], ", ", Table1[[#This Row],[Billing City]], ", ", Table1[[#This Row],[Billing State/Province]], ", ", Table1[[#This Row],[Billing Zip/Postal Code]])</f>
        <v>1400 Energy Drive, Jasper, IN, 47546</v>
      </c>
    </row>
    <row r="2277" spans="1:13" ht="15.6" hidden="1" x14ac:dyDescent="0.3">
      <c r="A2277" s="1" t="s">
        <v>7010</v>
      </c>
      <c r="B2277" s="1"/>
      <c r="C2277" s="1"/>
      <c r="D2277" s="1"/>
      <c r="E2277" s="1"/>
      <c r="F2277" s="1"/>
      <c r="G2277" s="1" t="s">
        <v>43</v>
      </c>
      <c r="H2277" s="2">
        <v>250</v>
      </c>
      <c r="I2277" s="1" t="s">
        <v>7011</v>
      </c>
      <c r="J2277" s="1" t="s">
        <v>7012</v>
      </c>
      <c r="K2277" s="1" t="s">
        <v>237</v>
      </c>
      <c r="L2277" s="1" t="s">
        <v>7013</v>
      </c>
      <c r="M2277" s="6" t="str">
        <f>_xlfn.CONCAT(Table1[[#This Row],[Billing Street]], ", ", Table1[[#This Row],[Billing City]], ", ", Table1[[#This Row],[Billing State/Province]], ", ", Table1[[#This Row],[Billing Zip/Postal Code]])</f>
        <v>2777 S. 840 W., Manilla, IN, 46150</v>
      </c>
    </row>
    <row r="2278" spans="1:13" ht="15.6" hidden="1" x14ac:dyDescent="0.3">
      <c r="A2278" s="1" t="s">
        <v>7014</v>
      </c>
      <c r="B2278" s="1"/>
      <c r="C2278" s="1"/>
      <c r="D2278" s="1"/>
      <c r="E2278" s="1"/>
      <c r="F2278" s="1"/>
      <c r="G2278" s="1" t="s">
        <v>8</v>
      </c>
      <c r="H2278" s="2">
        <v>294</v>
      </c>
      <c r="I2278" s="1" t="s">
        <v>7015</v>
      </c>
      <c r="J2278" s="1" t="s">
        <v>989</v>
      </c>
      <c r="K2278" s="1" t="s">
        <v>21</v>
      </c>
      <c r="L2278" s="1" t="s">
        <v>7016</v>
      </c>
      <c r="M2278" s="6" t="str">
        <f>_xlfn.CONCAT(Table1[[#This Row],[Billing Street]], ", ", Table1[[#This Row],[Billing City]], ", ", Table1[[#This Row],[Billing State/Province]], ", ", Table1[[#This Row],[Billing Zip/Postal Code]])</f>
        <v>1103 N Main St, Osceola, IA, 50213</v>
      </c>
    </row>
    <row r="2279" spans="1:13" ht="15.6" hidden="1" x14ac:dyDescent="0.3">
      <c r="A2279" s="1" t="s">
        <v>7017</v>
      </c>
      <c r="B2279" s="1"/>
      <c r="C2279" s="1"/>
      <c r="D2279" s="1"/>
      <c r="E2279" s="1"/>
      <c r="F2279" s="1"/>
      <c r="G2279" s="1" t="s">
        <v>43</v>
      </c>
      <c r="H2279" s="2">
        <v>372</v>
      </c>
      <c r="I2279" s="1" t="s">
        <v>7018</v>
      </c>
      <c r="J2279" s="1" t="s">
        <v>7019</v>
      </c>
      <c r="K2279" s="1" t="s">
        <v>237</v>
      </c>
      <c r="L2279" s="1" t="s">
        <v>7020</v>
      </c>
      <c r="M2279" s="6" t="str">
        <f>_xlfn.CONCAT(Table1[[#This Row],[Billing Street]], ", ", Table1[[#This Row],[Billing City]], ", ", Table1[[#This Row],[Billing State/Province]], ", ", Table1[[#This Row],[Billing Zip/Postal Code]])</f>
        <v>3981 S US Highway 41, Vincennes, IN, 47591</v>
      </c>
    </row>
    <row r="2280" spans="1:13" ht="15.6" x14ac:dyDescent="0.3">
      <c r="A2280" s="1" t="s">
        <v>7021</v>
      </c>
      <c r="B2280" s="1"/>
      <c r="C2280" s="1"/>
      <c r="D2280" s="1"/>
      <c r="E2280" s="1"/>
      <c r="F2280" s="1"/>
      <c r="G2280" s="1" t="s">
        <v>24</v>
      </c>
      <c r="H2280" s="2">
        <v>502</v>
      </c>
      <c r="I2280" s="1" t="s">
        <v>7022</v>
      </c>
      <c r="J2280" s="1" t="s">
        <v>7023</v>
      </c>
      <c r="K2280" s="1" t="s">
        <v>36</v>
      </c>
      <c r="L2280" s="1" t="s">
        <v>7024</v>
      </c>
      <c r="M2280" s="6" t="str">
        <f>_xlfn.CONCAT(Table1[[#This Row],[Billing Street]], ", ", Table1[[#This Row],[Billing City]], ", ", Table1[[#This Row],[Billing State/Province]], ", ", Table1[[#This Row],[Billing Zip/Postal Code]])</f>
        <v>5730 2nd Ave, Key West, FL 33040, Key West, FL, 33040</v>
      </c>
    </row>
    <row r="2281" spans="1:13" ht="15.6" hidden="1" x14ac:dyDescent="0.3">
      <c r="A2281" s="1" t="s">
        <v>7025</v>
      </c>
      <c r="B2281" s="1"/>
      <c r="C2281" s="1"/>
      <c r="D2281" s="1"/>
      <c r="E2281" s="1"/>
      <c r="F2281" s="1"/>
      <c r="G2281" s="1" t="s">
        <v>8</v>
      </c>
      <c r="H2281" s="2">
        <v>322</v>
      </c>
      <c r="I2281" s="1" t="s">
        <v>7026</v>
      </c>
      <c r="J2281" s="1" t="s">
        <v>7027</v>
      </c>
      <c r="K2281" s="1" t="s">
        <v>51</v>
      </c>
      <c r="L2281" s="1" t="s">
        <v>7028</v>
      </c>
      <c r="M2281" s="6" t="str">
        <f>_xlfn.CONCAT(Table1[[#This Row],[Billing Street]], ", ", Table1[[#This Row],[Billing City]], ", ", Table1[[#This Row],[Billing State/Province]], ", ", Table1[[#This Row],[Billing Zip/Postal Code]])</f>
        <v>1420 S Main Street, Mansfield, TX, 76063</v>
      </c>
    </row>
    <row r="2282" spans="1:13" ht="15.6" hidden="1" x14ac:dyDescent="0.3">
      <c r="A2282" s="1" t="s">
        <v>7029</v>
      </c>
      <c r="B2282" s="1"/>
      <c r="C2282" s="1"/>
      <c r="D2282" s="1"/>
      <c r="E2282" s="1"/>
      <c r="F2282" s="1"/>
      <c r="G2282" s="1" t="s">
        <v>205</v>
      </c>
      <c r="H2282" s="2">
        <v>694</v>
      </c>
      <c r="I2282" s="1" t="s">
        <v>7030</v>
      </c>
      <c r="J2282" s="1" t="s">
        <v>6583</v>
      </c>
      <c r="K2282" s="1" t="s">
        <v>2309</v>
      </c>
      <c r="L2282" s="1" t="s">
        <v>7031</v>
      </c>
      <c r="M2282" s="6" t="str">
        <f>_xlfn.CONCAT(Table1[[#This Row],[Billing Street]], ", ", Table1[[#This Row],[Billing City]], ", ", Table1[[#This Row],[Billing State/Province]], ", ", Table1[[#This Row],[Billing Zip/Postal Code]])</f>
        <v>140 S Capital Ave, Idaho Falls, ID, 83401</v>
      </c>
    </row>
    <row r="2283" spans="1:13" ht="15.6" x14ac:dyDescent="0.3">
      <c r="A2283" s="1" t="s">
        <v>7032</v>
      </c>
      <c r="B2283" s="1"/>
      <c r="C2283" s="1"/>
      <c r="D2283" s="1"/>
      <c r="E2283" s="1"/>
      <c r="F2283" s="1"/>
      <c r="G2283" s="1" t="s">
        <v>24</v>
      </c>
      <c r="H2283" s="2">
        <v>115</v>
      </c>
      <c r="I2283" s="1" t="s">
        <v>7033</v>
      </c>
      <c r="J2283" s="1" t="s">
        <v>25</v>
      </c>
      <c r="K2283" s="1" t="s">
        <v>26</v>
      </c>
      <c r="L2283" s="1" t="s">
        <v>27</v>
      </c>
      <c r="M2283" s="6" t="str">
        <f>_xlfn.CONCAT(Table1[[#This Row],[Billing Street]], ", ", Table1[[#This Row],[Billing City]], ", ", Table1[[#This Row],[Billing State/Province]], ", ", Table1[[#This Row],[Billing Zip/Postal Code]])</f>
        <v>770 Washington Ave Suite 164, Montgomery, AL, 36104</v>
      </c>
    </row>
    <row r="2284" spans="1:13" ht="15.6" hidden="1" x14ac:dyDescent="0.3">
      <c r="A2284" s="1" t="s">
        <v>7034</v>
      </c>
      <c r="B2284" s="1"/>
      <c r="C2284" s="1"/>
      <c r="D2284" s="1"/>
      <c r="E2284" s="1"/>
      <c r="F2284" s="1"/>
      <c r="G2284" s="1" t="s">
        <v>43</v>
      </c>
      <c r="H2284" s="2">
        <v>5776</v>
      </c>
      <c r="I2284" s="1" t="s">
        <v>7035</v>
      </c>
      <c r="J2284" s="1" t="s">
        <v>7036</v>
      </c>
      <c r="K2284" s="1" t="s">
        <v>3104</v>
      </c>
      <c r="L2284" s="1" t="s">
        <v>6149</v>
      </c>
      <c r="M2284" s="6" t="str">
        <f>_xlfn.CONCAT(Table1[[#This Row],[Billing Street]], ", ", Table1[[#This Row],[Billing City]], ", ", Table1[[#This Row],[Billing State/Province]], ", ", Table1[[#This Row],[Billing Zip/Postal Code]])</f>
        <v>53 N Plains Industrial Rd, Wallingford, ct, 6492</v>
      </c>
    </row>
    <row r="2285" spans="1:13" ht="15.6" hidden="1" x14ac:dyDescent="0.3">
      <c r="A2285" s="1" t="s">
        <v>7037</v>
      </c>
      <c r="B2285" s="1"/>
      <c r="C2285" s="1"/>
      <c r="D2285" s="1"/>
      <c r="E2285" s="1"/>
      <c r="F2285" s="1"/>
      <c r="G2285" s="1" t="s">
        <v>98</v>
      </c>
      <c r="H2285" s="2">
        <v>5887</v>
      </c>
      <c r="I2285" s="1" t="s">
        <v>13</v>
      </c>
      <c r="J2285" s="1" t="s">
        <v>5243</v>
      </c>
      <c r="K2285" s="1" t="s">
        <v>101</v>
      </c>
      <c r="L2285" s="1" t="s">
        <v>13</v>
      </c>
      <c r="M2285" s="6" t="str">
        <f>_xlfn.CONCAT(Table1[[#This Row],[Billing Street]], ", ", Table1[[#This Row],[Billing City]], ", ", Table1[[#This Row],[Billing State/Province]], ", ", Table1[[#This Row],[Billing Zip/Postal Code]])</f>
        <v xml:space="preserve">, Griffin, GA, </v>
      </c>
    </row>
    <row r="2286" spans="1:13" ht="15.6" hidden="1" x14ac:dyDescent="0.3">
      <c r="A2286" s="1" t="s">
        <v>7038</v>
      </c>
      <c r="B2286" s="1"/>
      <c r="C2286" s="1"/>
      <c r="D2286" s="1"/>
      <c r="E2286" s="1"/>
      <c r="F2286" s="1"/>
      <c r="G2286" s="1" t="s">
        <v>98</v>
      </c>
      <c r="H2286" s="2">
        <v>144</v>
      </c>
      <c r="I2286" s="1" t="s">
        <v>7039</v>
      </c>
      <c r="J2286" s="1" t="s">
        <v>7040</v>
      </c>
      <c r="K2286" s="1" t="s">
        <v>101</v>
      </c>
      <c r="L2286" s="1" t="s">
        <v>7041</v>
      </c>
      <c r="M2286" s="6" t="str">
        <f>_xlfn.CONCAT(Table1[[#This Row],[Billing Street]], ", ", Table1[[#This Row],[Billing City]], ", ", Table1[[#This Row],[Billing State/Province]], ", ", Table1[[#This Row],[Billing Zip/Postal Code]])</f>
        <v>26 W. Railroad Street, Alamo, GA, 30411</v>
      </c>
    </row>
    <row r="2287" spans="1:13" ht="15.6" hidden="1" x14ac:dyDescent="0.3">
      <c r="A2287" s="1" t="s">
        <v>7042</v>
      </c>
      <c r="B2287" s="1"/>
      <c r="C2287" s="1"/>
      <c r="D2287" s="1"/>
      <c r="E2287" s="1"/>
      <c r="F2287" s="1"/>
      <c r="G2287" s="1" t="s">
        <v>43</v>
      </c>
      <c r="H2287" s="2">
        <v>205</v>
      </c>
      <c r="I2287" s="1" t="s">
        <v>7043</v>
      </c>
      <c r="J2287" s="1" t="s">
        <v>7044</v>
      </c>
      <c r="K2287" s="1" t="s">
        <v>237</v>
      </c>
      <c r="L2287" s="1" t="s">
        <v>7045</v>
      </c>
      <c r="M2287" s="6" t="str">
        <f>_xlfn.CONCAT(Table1[[#This Row],[Billing Street]], ", ", Table1[[#This Row],[Billing City]], ", ", Table1[[#This Row],[Billing State/Province]], ", ", Table1[[#This Row],[Billing Zip/Postal Code]])</f>
        <v>PO box 605, Markle, IN, 46770</v>
      </c>
    </row>
    <row r="2288" spans="1:13" ht="15.6" hidden="1" x14ac:dyDescent="0.3">
      <c r="A2288" s="1" t="s">
        <v>7046</v>
      </c>
      <c r="B2288" s="1"/>
      <c r="C2288" s="1"/>
      <c r="D2288" s="1"/>
      <c r="E2288" s="1"/>
      <c r="F2288" s="1"/>
      <c r="G2288" s="1" t="s">
        <v>98</v>
      </c>
      <c r="H2288" s="2">
        <v>18</v>
      </c>
      <c r="I2288" s="1" t="s">
        <v>7047</v>
      </c>
      <c r="J2288" s="1" t="s">
        <v>1222</v>
      </c>
      <c r="K2288" s="1" t="s">
        <v>101</v>
      </c>
      <c r="L2288" s="1" t="s">
        <v>7048</v>
      </c>
      <c r="M2288" s="6" t="str">
        <f>_xlfn.CONCAT(Table1[[#This Row],[Billing Street]], ", ", Table1[[#This Row],[Billing City]], ", ", Table1[[#This Row],[Billing State/Province]], ", ", Table1[[#This Row],[Billing Zip/Postal Code]])</f>
        <v>200 Powers Ferry Rd, Marietta, GA, 30067</v>
      </c>
    </row>
    <row r="2289" spans="1:13" ht="15.6" x14ac:dyDescent="0.3">
      <c r="A2289" s="1" t="s">
        <v>7049</v>
      </c>
      <c r="B2289" s="1"/>
      <c r="C2289" s="1"/>
      <c r="D2289" s="1"/>
      <c r="E2289" s="1"/>
      <c r="F2289" s="1"/>
      <c r="G2289" s="1" t="s">
        <v>24</v>
      </c>
      <c r="H2289" s="2">
        <v>432</v>
      </c>
      <c r="I2289" s="1" t="s">
        <v>7050</v>
      </c>
      <c r="J2289" s="1" t="s">
        <v>7051</v>
      </c>
      <c r="K2289" s="1" t="s">
        <v>36</v>
      </c>
      <c r="L2289" s="1" t="s">
        <v>7052</v>
      </c>
      <c r="M2289" s="6" t="str">
        <f>_xlfn.CONCAT(Table1[[#This Row],[Billing Street]], ", ", Table1[[#This Row],[Billing City]], ", ", Table1[[#This Row],[Billing State/Province]], ", ", Table1[[#This Row],[Billing Zip/Postal Code]])</f>
        <v>1500 West Sugarhouse Rd., Belle Glade, FL, 33430</v>
      </c>
    </row>
    <row r="2290" spans="1:13" ht="15.6" hidden="1" x14ac:dyDescent="0.3">
      <c r="A2290" s="1" t="s">
        <v>7053</v>
      </c>
      <c r="B2290" s="1"/>
      <c r="C2290" s="1"/>
      <c r="D2290" s="1"/>
      <c r="E2290" s="1"/>
      <c r="F2290" s="1"/>
      <c r="G2290" s="1" t="s">
        <v>8</v>
      </c>
      <c r="H2290" s="2">
        <v>645</v>
      </c>
      <c r="I2290" s="1" t="s">
        <v>7054</v>
      </c>
      <c r="J2290" s="1" t="s">
        <v>7055</v>
      </c>
      <c r="K2290" s="1" t="s">
        <v>51</v>
      </c>
      <c r="L2290" s="1" t="s">
        <v>7056</v>
      </c>
      <c r="M2290" s="6" t="str">
        <f>_xlfn.CONCAT(Table1[[#This Row],[Billing Street]], ", ", Table1[[#This Row],[Billing City]], ", ", Table1[[#This Row],[Billing State/Province]], ", ", Table1[[#This Row],[Billing Zip/Postal Code]])</f>
        <v>3645 Callicoatte Rd, Corpus Christi, TX, 78410</v>
      </c>
    </row>
    <row r="2291" spans="1:13" ht="15.6" hidden="1" x14ac:dyDescent="0.3">
      <c r="A2291" s="1" t="s">
        <v>7057</v>
      </c>
      <c r="B2291" s="1"/>
      <c r="C2291" s="1"/>
      <c r="D2291" s="1"/>
      <c r="E2291" s="1"/>
      <c r="F2291" s="1"/>
      <c r="G2291" s="1" t="s">
        <v>98</v>
      </c>
      <c r="H2291" s="2">
        <v>167</v>
      </c>
      <c r="I2291" s="1" t="s">
        <v>7058</v>
      </c>
      <c r="J2291" s="1" t="s">
        <v>7059</v>
      </c>
      <c r="K2291" s="1" t="s">
        <v>101</v>
      </c>
      <c r="L2291" s="1" t="s">
        <v>7060</v>
      </c>
      <c r="M2291" s="6" t="str">
        <f>_xlfn.CONCAT(Table1[[#This Row],[Billing Street]], ", ", Table1[[#This Row],[Billing City]], ", ", Table1[[#This Row],[Billing State/Province]], ", ", Table1[[#This Row],[Billing Zip/Postal Code]])</f>
        <v>104 South Main, Sylvania, GA, 30467</v>
      </c>
    </row>
    <row r="2292" spans="1:13" ht="15.6" hidden="1" x14ac:dyDescent="0.3">
      <c r="A2292" s="1" t="s">
        <v>7061</v>
      </c>
      <c r="B2292" s="1"/>
      <c r="C2292" s="1"/>
      <c r="D2292" s="1"/>
      <c r="E2292" s="1"/>
      <c r="F2292" s="1"/>
      <c r="G2292" s="1" t="s">
        <v>43</v>
      </c>
      <c r="H2292" s="2">
        <v>343</v>
      </c>
      <c r="I2292" s="1" t="s">
        <v>6552</v>
      </c>
      <c r="J2292" s="1" t="s">
        <v>6553</v>
      </c>
      <c r="K2292" s="1" t="s">
        <v>237</v>
      </c>
      <c r="L2292" s="1" t="s">
        <v>6554</v>
      </c>
      <c r="M2292" s="6" t="str">
        <f>_xlfn.CONCAT(Table1[[#This Row],[Billing Street]], ", ", Table1[[#This Row],[Billing City]], ", ", Table1[[#This Row],[Billing State/Province]], ", ", Table1[[#This Row],[Billing Zip/Postal Code]])</f>
        <v>12628 E 75 N, Loogootee, IN, 47553</v>
      </c>
    </row>
    <row r="2293" spans="1:13" ht="15.6" hidden="1" x14ac:dyDescent="0.3">
      <c r="A2293" s="1" t="s">
        <v>7062</v>
      </c>
      <c r="B2293" s="1"/>
      <c r="C2293" s="1"/>
      <c r="D2293" s="1"/>
      <c r="E2293" s="1"/>
      <c r="F2293" s="1"/>
      <c r="G2293" s="1" t="s">
        <v>43</v>
      </c>
      <c r="H2293" s="2">
        <v>332</v>
      </c>
      <c r="I2293" s="1" t="s">
        <v>7063</v>
      </c>
      <c r="J2293" s="1" t="s">
        <v>5232</v>
      </c>
      <c r="K2293" s="1" t="s">
        <v>237</v>
      </c>
      <c r="L2293" s="1" t="s">
        <v>7064</v>
      </c>
      <c r="M2293" s="6" t="str">
        <f>_xlfn.CONCAT(Table1[[#This Row],[Billing Street]], ", ", Table1[[#This Row],[Billing City]], ", ", Table1[[#This Row],[Billing State/Province]], ", ", Table1[[#This Row],[Billing Zip/Postal Code]])</f>
        <v>1666 W State Road 54, Bloomfield, IN, 472424</v>
      </c>
    </row>
    <row r="2294" spans="1:13" ht="15.6" hidden="1" x14ac:dyDescent="0.3">
      <c r="A2294" s="1" t="s">
        <v>7065</v>
      </c>
      <c r="B2294" s="1"/>
      <c r="C2294" s="1"/>
      <c r="D2294" s="1"/>
      <c r="E2294" s="1"/>
      <c r="F2294" s="1"/>
      <c r="G2294" s="1" t="s">
        <v>8</v>
      </c>
      <c r="H2294" s="2">
        <v>262</v>
      </c>
      <c r="I2294" s="1" t="s">
        <v>7066</v>
      </c>
      <c r="J2294" s="1" t="s">
        <v>4240</v>
      </c>
      <c r="K2294" s="1" t="s">
        <v>165</v>
      </c>
      <c r="L2294" s="1" t="s">
        <v>7067</v>
      </c>
      <c r="M2294" s="6" t="str">
        <f>_xlfn.CONCAT(Table1[[#This Row],[Billing Street]], ", ", Table1[[#This Row],[Billing City]], ", ", Table1[[#This Row],[Billing State/Province]], ", ", Table1[[#This Row],[Billing Zip/Postal Code]])</f>
        <v>300 Highway 367 North, Newport, AR, 72112</v>
      </c>
    </row>
    <row r="2295" spans="1:13" ht="15.6" hidden="1" x14ac:dyDescent="0.3">
      <c r="A2295" s="1" t="s">
        <v>7068</v>
      </c>
      <c r="B2295" s="1"/>
      <c r="C2295" s="1"/>
      <c r="D2295" s="1"/>
      <c r="E2295" s="1"/>
      <c r="F2295" s="1"/>
      <c r="G2295" s="1" t="s">
        <v>43</v>
      </c>
      <c r="H2295" s="2">
        <v>80</v>
      </c>
      <c r="I2295" s="1" t="s">
        <v>7069</v>
      </c>
      <c r="J2295" s="1" t="s">
        <v>7070</v>
      </c>
      <c r="K2295" s="1" t="s">
        <v>45</v>
      </c>
      <c r="L2295" s="1" t="s">
        <v>7071</v>
      </c>
      <c r="M2295" s="6" t="str">
        <f>_xlfn.CONCAT(Table1[[#This Row],[Billing Street]], ", ", Table1[[#This Row],[Billing City]], ", ", Table1[[#This Row],[Billing State/Province]], ", ", Table1[[#This Row],[Billing Zip/Postal Code]])</f>
        <v>700 Primrose Street, Galion, OH, 44833</v>
      </c>
    </row>
    <row r="2296" spans="1:13" ht="15.6" x14ac:dyDescent="0.3">
      <c r="A2296" s="1" t="s">
        <v>7072</v>
      </c>
      <c r="B2296" s="1"/>
      <c r="C2296" s="1"/>
      <c r="D2296" s="1"/>
      <c r="E2296" s="1"/>
      <c r="F2296" s="1"/>
      <c r="G2296" s="1" t="s">
        <v>24</v>
      </c>
      <c r="H2296" s="2">
        <v>418</v>
      </c>
      <c r="I2296" s="1" t="s">
        <v>7073</v>
      </c>
      <c r="J2296" s="1" t="s">
        <v>7074</v>
      </c>
      <c r="K2296" s="1" t="s">
        <v>7075</v>
      </c>
      <c r="L2296" s="1" t="s">
        <v>7076</v>
      </c>
      <c r="M2296" s="6" t="str">
        <f>_xlfn.CONCAT(Table1[[#This Row],[Billing Street]], ", ", Table1[[#This Row],[Billing City]], ", ", Table1[[#This Row],[Billing State/Province]], ", ", Table1[[#This Row],[Billing Zip/Postal Code]])</f>
        <v>1731 S W C Owen Ave, Clewiston, Fl, 33440</v>
      </c>
    </row>
    <row r="2297" spans="1:13" ht="15.6" hidden="1" x14ac:dyDescent="0.3">
      <c r="A2297" s="1" t="s">
        <v>7077</v>
      </c>
      <c r="B2297" s="1"/>
      <c r="C2297" s="1"/>
      <c r="D2297" s="1"/>
      <c r="E2297" s="1"/>
      <c r="F2297" s="1"/>
      <c r="G2297" s="1" t="s">
        <v>8</v>
      </c>
      <c r="H2297" s="2">
        <v>6528</v>
      </c>
      <c r="I2297" s="1" t="s">
        <v>13</v>
      </c>
      <c r="J2297" s="1" t="s">
        <v>7078</v>
      </c>
      <c r="K2297" s="1" t="s">
        <v>165</v>
      </c>
      <c r="L2297" s="1" t="s">
        <v>13</v>
      </c>
      <c r="M2297" s="6" t="str">
        <f>_xlfn.CONCAT(Table1[[#This Row],[Billing Street]], ", ", Table1[[#This Row],[Billing City]], ", ", Table1[[#This Row],[Billing State/Province]], ", ", Table1[[#This Row],[Billing Zip/Postal Code]])</f>
        <v xml:space="preserve">, Benton, AR, </v>
      </c>
    </row>
    <row r="2298" spans="1:13" ht="15.6" hidden="1" x14ac:dyDescent="0.3">
      <c r="A2298" s="1" t="s">
        <v>7079</v>
      </c>
      <c r="B2298" s="1"/>
      <c r="C2298" s="1"/>
      <c r="D2298" s="1"/>
      <c r="E2298" s="1"/>
      <c r="F2298" s="1"/>
      <c r="G2298" s="1" t="s">
        <v>8</v>
      </c>
      <c r="H2298" s="2">
        <v>245</v>
      </c>
      <c r="I2298" s="1" t="s">
        <v>7080</v>
      </c>
      <c r="J2298" s="1" t="s">
        <v>7081</v>
      </c>
      <c r="K2298" s="1" t="s">
        <v>165</v>
      </c>
      <c r="L2298" s="1" t="s">
        <v>7082</v>
      </c>
      <c r="M2298" s="6" t="str">
        <f>_xlfn.CONCAT(Table1[[#This Row],[Billing Street]], ", ", Table1[[#This Row],[Billing City]], ", ", Table1[[#This Row],[Billing State/Province]], ", ", Table1[[#This Row],[Billing Zip/Postal Code]])</f>
        <v>4818 Hwy 8 West, Arkadelphia, AR, 71923</v>
      </c>
    </row>
    <row r="2299" spans="1:13" ht="15.6" hidden="1" x14ac:dyDescent="0.3">
      <c r="A2299" s="1" t="s">
        <v>7083</v>
      </c>
      <c r="B2299" s="1"/>
      <c r="C2299" s="1"/>
      <c r="D2299" s="1"/>
      <c r="E2299" s="1"/>
      <c r="F2299" s="1"/>
      <c r="G2299" s="1" t="s">
        <v>98</v>
      </c>
      <c r="H2299" s="2">
        <v>129</v>
      </c>
      <c r="I2299" s="1" t="s">
        <v>13</v>
      </c>
      <c r="J2299" s="1" t="s">
        <v>7084</v>
      </c>
      <c r="K2299" s="1" t="s">
        <v>101</v>
      </c>
      <c r="L2299" s="1" t="s">
        <v>7085</v>
      </c>
      <c r="M2299" s="6" t="str">
        <f>_xlfn.CONCAT(Table1[[#This Row],[Billing Street]], ", ", Table1[[#This Row],[Billing City]], ", ", Table1[[#This Row],[Billing State/Province]], ", ", Table1[[#This Row],[Billing Zip/Postal Code]])</f>
        <v>, Eastman, GA, 31023</v>
      </c>
    </row>
    <row r="2300" spans="1:13" ht="15.6" x14ac:dyDescent="0.3">
      <c r="A2300" s="1" t="s">
        <v>7086</v>
      </c>
      <c r="B2300" s="1"/>
      <c r="C2300" s="1"/>
      <c r="D2300" s="1"/>
      <c r="E2300" s="1"/>
      <c r="F2300" s="1"/>
      <c r="G2300" s="1" t="s">
        <v>24</v>
      </c>
      <c r="H2300" s="2">
        <v>78</v>
      </c>
      <c r="I2300" s="1" t="s">
        <v>7087</v>
      </c>
      <c r="J2300" s="1" t="s">
        <v>2642</v>
      </c>
      <c r="K2300" s="1" t="s">
        <v>26</v>
      </c>
      <c r="L2300" s="1" t="s">
        <v>4624</v>
      </c>
      <c r="M2300" s="6" t="str">
        <f>_xlfn.CONCAT(Table1[[#This Row],[Billing Street]], ", ", Table1[[#This Row],[Billing City]], ", ", Table1[[#This Row],[Billing State/Province]], ", ", Table1[[#This Row],[Billing Zip/Postal Code]])</f>
        <v>100 Sanders Rd, Troy, AL 36081, Troy, AL, 36081</v>
      </c>
    </row>
    <row r="2301" spans="1:13" ht="15.6" hidden="1" x14ac:dyDescent="0.3">
      <c r="A2301" s="1" t="s">
        <v>7088</v>
      </c>
      <c r="B2301" s="1"/>
      <c r="C2301" s="1"/>
      <c r="D2301" s="1"/>
      <c r="E2301" s="1"/>
      <c r="F2301" s="1"/>
      <c r="G2301" s="1" t="s">
        <v>43</v>
      </c>
      <c r="H2301" s="2">
        <v>405</v>
      </c>
      <c r="I2301" s="1" t="s">
        <v>7089</v>
      </c>
      <c r="J2301" s="1" t="s">
        <v>5273</v>
      </c>
      <c r="K2301" s="1" t="s">
        <v>1191</v>
      </c>
      <c r="L2301" s="1" t="s">
        <v>5274</v>
      </c>
      <c r="M2301" s="6" t="str">
        <f>_xlfn.CONCAT(Table1[[#This Row],[Billing Street]], ", ", Table1[[#This Row],[Billing City]], ", ", Table1[[#This Row],[Billing State/Province]], ", ", Table1[[#This Row],[Billing Zip/Postal Code]])</f>
        <v>100 5th Street, Henderson, KY, 42419</v>
      </c>
    </row>
    <row r="2302" spans="1:13" ht="15.6" hidden="1" x14ac:dyDescent="0.3">
      <c r="A2302" s="1" t="s">
        <v>7090</v>
      </c>
      <c r="B2302" s="1"/>
      <c r="C2302" s="1"/>
      <c r="D2302" s="1"/>
      <c r="E2302" s="1"/>
      <c r="F2302" s="1"/>
      <c r="G2302" s="1" t="s">
        <v>43</v>
      </c>
      <c r="H2302" s="2">
        <v>401</v>
      </c>
      <c r="I2302" s="1" t="s">
        <v>7091</v>
      </c>
      <c r="J2302" s="1" t="s">
        <v>1959</v>
      </c>
      <c r="K2302" s="1" t="s">
        <v>1191</v>
      </c>
      <c r="L2302" s="1" t="s">
        <v>7092</v>
      </c>
      <c r="M2302" s="6" t="str">
        <f>_xlfn.CONCAT(Table1[[#This Row],[Billing Street]], ", ", Table1[[#This Row],[Billing City]], ", ", Table1[[#This Row],[Billing State/Province]], ", ", Table1[[#This Row],[Billing Zip/Postal Code]])</f>
        <v>951 Fairview Ave, Bowling Green, KY, 42101</v>
      </c>
    </row>
    <row r="2303" spans="1:13" ht="15.6" hidden="1" x14ac:dyDescent="0.3">
      <c r="A2303" s="1" t="s">
        <v>7093</v>
      </c>
      <c r="B2303" s="1"/>
      <c r="C2303" s="1"/>
      <c r="D2303" s="1"/>
      <c r="E2303" s="1"/>
      <c r="F2303" s="1"/>
      <c r="G2303" s="1" t="s">
        <v>8</v>
      </c>
      <c r="H2303" s="2">
        <v>143</v>
      </c>
      <c r="I2303" s="1" t="s">
        <v>7094</v>
      </c>
      <c r="J2303" s="1" t="s">
        <v>434</v>
      </c>
      <c r="K2303" s="1" t="s">
        <v>147</v>
      </c>
      <c r="L2303" s="1" t="s">
        <v>7095</v>
      </c>
      <c r="M2303" s="6" t="str">
        <f>_xlfn.CONCAT(Table1[[#This Row],[Billing Street]], ", ", Table1[[#This Row],[Billing City]], ", ", Table1[[#This Row],[Billing State/Province]], ", ", Table1[[#This Row],[Billing Zip/Postal Code]])</f>
        <v>11301 Partnership Drive, Oklahoma City, OK, 73131</v>
      </c>
    </row>
    <row r="2304" spans="1:13" ht="15.6" hidden="1" x14ac:dyDescent="0.3">
      <c r="A2304" s="1" t="s">
        <v>7096</v>
      </c>
      <c r="B2304" s="1"/>
      <c r="C2304" s="1"/>
      <c r="D2304" s="1"/>
      <c r="E2304" s="1"/>
      <c r="F2304" s="1"/>
      <c r="G2304" s="1" t="s">
        <v>43</v>
      </c>
      <c r="H2304" s="2">
        <v>425</v>
      </c>
      <c r="I2304" s="1" t="s">
        <v>7097</v>
      </c>
      <c r="J2304" s="1" t="s">
        <v>7098</v>
      </c>
      <c r="K2304" s="1" t="s">
        <v>1191</v>
      </c>
      <c r="L2304" s="1" t="s">
        <v>7099</v>
      </c>
      <c r="M2304" s="6" t="str">
        <f>_xlfn.CONCAT(Table1[[#This Row],[Billing Street]], ", ", Table1[[#This Row],[Billing City]], ", ", Table1[[#This Row],[Billing State/Province]], ", ", Table1[[#This Row],[Billing Zip/Postal Code]])</f>
        <v>67 N. Main St, Madisonville, KY, 42431</v>
      </c>
    </row>
    <row r="2305" spans="1:13" ht="15.6" hidden="1" x14ac:dyDescent="0.3">
      <c r="A2305" s="1" t="s">
        <v>7100</v>
      </c>
      <c r="B2305" s="1"/>
      <c r="C2305" s="1"/>
      <c r="D2305" s="1"/>
      <c r="E2305" s="1"/>
      <c r="F2305" s="1"/>
      <c r="G2305" s="1" t="s">
        <v>43</v>
      </c>
      <c r="H2305" s="2">
        <v>446</v>
      </c>
      <c r="I2305" s="1" t="s">
        <v>7101</v>
      </c>
      <c r="J2305" s="1" t="s">
        <v>7102</v>
      </c>
      <c r="K2305" s="1" t="s">
        <v>1191</v>
      </c>
      <c r="L2305" s="1" t="s">
        <v>7103</v>
      </c>
      <c r="M2305" s="6" t="str">
        <f>_xlfn.CONCAT(Table1[[#This Row],[Billing Street]], ", ", Table1[[#This Row],[Billing City]], ", ", Table1[[#This Row],[Billing State/Province]], ", ", Table1[[#This Row],[Billing Zip/Postal Code]])</f>
        <v>1820 East 9th Street, Hopkinsville, KY, 42241</v>
      </c>
    </row>
    <row r="2306" spans="1:13" ht="15.6" hidden="1" x14ac:dyDescent="0.3">
      <c r="A2306" s="1" t="s">
        <v>7104</v>
      </c>
      <c r="B2306" s="1"/>
      <c r="C2306" s="1"/>
      <c r="D2306" s="1"/>
      <c r="E2306" s="1"/>
      <c r="F2306" s="1"/>
      <c r="G2306" s="1" t="s">
        <v>98</v>
      </c>
      <c r="H2306" s="2">
        <v>159</v>
      </c>
      <c r="I2306" s="1" t="s">
        <v>7105</v>
      </c>
      <c r="J2306" s="1" t="s">
        <v>100</v>
      </c>
      <c r="K2306" s="1" t="s">
        <v>101</v>
      </c>
      <c r="L2306" s="1" t="s">
        <v>7106</v>
      </c>
      <c r="M2306" s="6" t="str">
        <f>_xlfn.CONCAT(Table1[[#This Row],[Billing Street]], ", ", Table1[[#This Row],[Billing City]], ", ", Table1[[#This Row],[Billing State/Province]], ", ", Table1[[#This Row],[Billing Zip/Postal Code]])</f>
        <v>1806 Oakridge Dr, Albany, GA, 31707</v>
      </c>
    </row>
    <row r="2307" spans="1:13" ht="15.6" hidden="1" x14ac:dyDescent="0.3">
      <c r="A2307" s="1" t="s">
        <v>7107</v>
      </c>
      <c r="B2307" s="1"/>
      <c r="C2307" s="1"/>
      <c r="D2307" s="1"/>
      <c r="E2307" s="1"/>
      <c r="F2307" s="1"/>
      <c r="G2307" s="1" t="s">
        <v>43</v>
      </c>
      <c r="H2307" s="2">
        <v>212</v>
      </c>
      <c r="I2307" s="1" t="s">
        <v>7108</v>
      </c>
      <c r="J2307" s="1" t="s">
        <v>7109</v>
      </c>
      <c r="K2307" s="1" t="s">
        <v>1191</v>
      </c>
      <c r="L2307" s="1" t="s">
        <v>7110</v>
      </c>
      <c r="M2307" s="6" t="str">
        <f>_xlfn.CONCAT(Table1[[#This Row],[Billing Street]], ", ", Table1[[#This Row],[Billing City]], ", ", Table1[[#This Row],[Billing State/Province]], ", ", Table1[[#This Row],[Billing Zip/Postal Code]])</f>
        <v>191 Front St, Vanceburg, KY, 41179</v>
      </c>
    </row>
    <row r="2308" spans="1:13" ht="15.6" hidden="1" x14ac:dyDescent="0.3">
      <c r="A2308" s="1" t="s">
        <v>7111</v>
      </c>
      <c r="B2308" s="1"/>
      <c r="C2308" s="1"/>
      <c r="D2308" s="1"/>
      <c r="E2308" s="1"/>
      <c r="F2308" s="1"/>
      <c r="G2308" s="1" t="s">
        <v>8</v>
      </c>
      <c r="H2308" s="2">
        <v>356</v>
      </c>
      <c r="I2308" s="1" t="s">
        <v>7112</v>
      </c>
      <c r="J2308" s="1" t="s">
        <v>7113</v>
      </c>
      <c r="K2308" s="1" t="s">
        <v>21</v>
      </c>
      <c r="L2308" s="1" t="s">
        <v>7114</v>
      </c>
      <c r="M2308" s="6" t="str">
        <f>_xlfn.CONCAT(Table1[[#This Row],[Billing Street]], ", ", Table1[[#This Row],[Billing City]], ", ", Table1[[#This Row],[Billing State/Province]], ", ", Table1[[#This Row],[Billing Zip/Postal Code]])</f>
        <v>201 NW 3rd St, Ogden, IA, 50212</v>
      </c>
    </row>
    <row r="2309" spans="1:13" ht="15.6" hidden="1" x14ac:dyDescent="0.3">
      <c r="A2309" s="1" t="s">
        <v>7115</v>
      </c>
      <c r="B2309" s="1"/>
      <c r="C2309" s="1"/>
      <c r="D2309" s="1"/>
      <c r="E2309" s="1"/>
      <c r="F2309" s="1"/>
      <c r="G2309" s="1" t="s">
        <v>8</v>
      </c>
      <c r="H2309" s="2">
        <v>203</v>
      </c>
      <c r="I2309" s="1" t="s">
        <v>7116</v>
      </c>
      <c r="J2309" s="1" t="s">
        <v>557</v>
      </c>
      <c r="K2309" s="1" t="s">
        <v>11</v>
      </c>
      <c r="L2309" s="1" t="s">
        <v>7117</v>
      </c>
      <c r="M2309" s="6" t="str">
        <f>_xlfn.CONCAT(Table1[[#This Row],[Billing Street]], ", ", Table1[[#This Row],[Billing City]], ", ", Table1[[#This Row],[Billing State/Province]], ", ", Table1[[#This Row],[Billing Zip/Postal Code]])</f>
        <v>601 S. Grand Ave, Houston, MO, 65483</v>
      </c>
    </row>
    <row r="2310" spans="1:13" ht="15.6" hidden="1" x14ac:dyDescent="0.3">
      <c r="A2310" s="1" t="s">
        <v>7118</v>
      </c>
      <c r="B2310" s="1"/>
      <c r="C2310" s="1"/>
      <c r="D2310" s="1"/>
      <c r="E2310" s="1"/>
      <c r="F2310" s="1"/>
      <c r="G2310" s="1" t="s">
        <v>43</v>
      </c>
      <c r="H2310" s="2">
        <v>341</v>
      </c>
      <c r="I2310" s="1" t="s">
        <v>7119</v>
      </c>
      <c r="J2310" s="1" t="s">
        <v>7120</v>
      </c>
      <c r="K2310" s="1" t="s">
        <v>1191</v>
      </c>
      <c r="L2310" s="1" t="s">
        <v>7121</v>
      </c>
      <c r="M2310" s="6" t="str">
        <f>_xlfn.CONCAT(Table1[[#This Row],[Billing Street]], ", ", Table1[[#This Row],[Billing City]], ", ", Table1[[#This Row],[Billing State/Province]], ", ", Table1[[#This Row],[Billing Zip/Postal Code]])</f>
        <v>200 Electric Ave, Somerset, KY, 42501</v>
      </c>
    </row>
    <row r="2311" spans="1:13" ht="15.6" hidden="1" x14ac:dyDescent="0.3">
      <c r="A2311" s="1" t="s">
        <v>7122</v>
      </c>
      <c r="B2311" s="1"/>
      <c r="C2311" s="1"/>
      <c r="D2311" s="1"/>
      <c r="E2311" s="1"/>
      <c r="F2311" s="1"/>
      <c r="G2311" s="1" t="s">
        <v>98</v>
      </c>
      <c r="H2311" s="2">
        <v>201</v>
      </c>
      <c r="I2311" s="1" t="s">
        <v>7123</v>
      </c>
      <c r="J2311" s="1" t="s">
        <v>7124</v>
      </c>
      <c r="K2311" s="1" t="s">
        <v>101</v>
      </c>
      <c r="L2311" s="1" t="s">
        <v>7125</v>
      </c>
      <c r="M2311" s="6" t="str">
        <f>_xlfn.CONCAT(Table1[[#This Row],[Billing Street]], ", ", Table1[[#This Row],[Billing City]], ", ", Table1[[#This Row],[Billing State/Province]], ", ", Table1[[#This Row],[Billing Zip/Postal Code]])</f>
        <v>179 Clifton Street, Brinson, GA, 39825</v>
      </c>
    </row>
    <row r="2312" spans="1:13" ht="15.6" hidden="1" x14ac:dyDescent="0.3">
      <c r="A2312" s="1" t="s">
        <v>7126</v>
      </c>
      <c r="B2312" s="1"/>
      <c r="C2312" s="1"/>
      <c r="D2312" s="1"/>
      <c r="E2312" s="1"/>
      <c r="F2312" s="1"/>
      <c r="G2312" s="1" t="s">
        <v>43</v>
      </c>
      <c r="H2312" s="2">
        <v>5776</v>
      </c>
      <c r="I2312" s="1" t="s">
        <v>7127</v>
      </c>
      <c r="J2312" s="1" t="s">
        <v>7128</v>
      </c>
      <c r="K2312" s="1" t="s">
        <v>1154</v>
      </c>
      <c r="L2312" s="1" t="s">
        <v>7129</v>
      </c>
      <c r="M2312" s="6" t="str">
        <f>_xlfn.CONCAT(Table1[[#This Row],[Billing Street]], ", ", Table1[[#This Row],[Billing City]], ", ", Table1[[#This Row],[Billing State/Province]], ", ", Table1[[#This Row],[Billing Zip/Postal Code]])</f>
        <v>425 Commerce drive, Yeadon, Pa, 19050</v>
      </c>
    </row>
    <row r="2313" spans="1:13" ht="15.6" hidden="1" x14ac:dyDescent="0.3">
      <c r="A2313" s="1" t="s">
        <v>7130</v>
      </c>
      <c r="B2313" s="1"/>
      <c r="C2313" s="1"/>
      <c r="D2313" s="1"/>
      <c r="E2313" s="1"/>
      <c r="F2313" s="1"/>
      <c r="G2313" s="1" t="s">
        <v>205</v>
      </c>
      <c r="H2313" s="2">
        <v>14</v>
      </c>
      <c r="I2313" s="1" t="s">
        <v>7131</v>
      </c>
      <c r="J2313" s="1" t="s">
        <v>4271</v>
      </c>
      <c r="K2313" s="1" t="s">
        <v>479</v>
      </c>
      <c r="L2313" s="1" t="s">
        <v>4394</v>
      </c>
      <c r="M2313" s="6" t="str">
        <f>_xlfn.CONCAT(Table1[[#This Row],[Billing Street]], ", ", Table1[[#This Row],[Billing City]], ", ", Table1[[#This Row],[Billing State/Province]], ", ", Table1[[#This Row],[Billing Zip/Postal Code]])</f>
        <v>4004 W. Earhardt Way, Chandler, AZ, 85226</v>
      </c>
    </row>
    <row r="2314" spans="1:13" ht="15.6" x14ac:dyDescent="0.3">
      <c r="A2314" s="1" t="s">
        <v>7132</v>
      </c>
      <c r="B2314" s="1"/>
      <c r="C2314" s="1"/>
      <c r="D2314" s="1"/>
      <c r="E2314" s="1"/>
      <c r="F2314" s="1"/>
      <c r="G2314" s="1" t="s">
        <v>24</v>
      </c>
      <c r="H2314" s="2">
        <v>5988</v>
      </c>
      <c r="I2314" s="1" t="s">
        <v>7133</v>
      </c>
      <c r="J2314" s="1" t="s">
        <v>633</v>
      </c>
      <c r="K2314" s="1" t="s">
        <v>26</v>
      </c>
      <c r="L2314" s="1" t="s">
        <v>4079</v>
      </c>
      <c r="M2314" s="6" t="str">
        <f>_xlfn.CONCAT(Table1[[#This Row],[Billing Street]], ", ", Table1[[#This Row],[Billing City]], ", ", Table1[[#This Row],[Billing State/Province]], ", ", Table1[[#This Row],[Billing Zip/Postal Code]])</f>
        <v>4725 Moffett Rd, Mobile, AL, 36618</v>
      </c>
    </row>
    <row r="2315" spans="1:13" ht="15.6" x14ac:dyDescent="0.3">
      <c r="A2315" s="1" t="s">
        <v>7134</v>
      </c>
      <c r="B2315" s="1"/>
      <c r="C2315" s="1"/>
      <c r="D2315" s="1"/>
      <c r="E2315" s="1"/>
      <c r="F2315" s="1"/>
      <c r="G2315" s="1" t="s">
        <v>24</v>
      </c>
      <c r="H2315" s="2">
        <v>5988</v>
      </c>
      <c r="I2315" s="1" t="s">
        <v>7135</v>
      </c>
      <c r="J2315" s="1" t="s">
        <v>7136</v>
      </c>
      <c r="K2315" s="1" t="s">
        <v>31</v>
      </c>
      <c r="L2315" s="1" t="s">
        <v>7137</v>
      </c>
      <c r="M2315" s="6" t="str">
        <f>_xlfn.CONCAT(Table1[[#This Row],[Billing Street]], ", ", Table1[[#This Row],[Billing City]], ", ", Table1[[#This Row],[Billing State/Province]], ", ", Table1[[#This Row],[Billing Zip/Postal Code]])</f>
        <v>2255 Gordon Ave, Yazoo City, MS, 39194</v>
      </c>
    </row>
    <row r="2316" spans="1:13" ht="15.6" hidden="1" x14ac:dyDescent="0.3">
      <c r="A2316" s="1" t="s">
        <v>7138</v>
      </c>
      <c r="B2316" s="1"/>
      <c r="C2316" s="1"/>
      <c r="D2316" s="1"/>
      <c r="E2316" s="1"/>
      <c r="F2316" s="1"/>
      <c r="G2316" s="1" t="s">
        <v>8</v>
      </c>
      <c r="H2316" s="2">
        <v>101</v>
      </c>
      <c r="I2316" s="1" t="s">
        <v>7139</v>
      </c>
      <c r="J2316" s="1" t="s">
        <v>7140</v>
      </c>
      <c r="K2316" s="1" t="s">
        <v>11</v>
      </c>
      <c r="L2316" s="1" t="s">
        <v>7141</v>
      </c>
      <c r="M2316" s="6" t="str">
        <f>_xlfn.CONCAT(Table1[[#This Row],[Billing Street]], ", ", Table1[[#This Row],[Billing City]], ", ", Table1[[#This Row],[Billing State/Province]], ", ", Table1[[#This Row],[Billing Zip/Postal Code]])</f>
        <v>320 N 14th St, Rich Hill, MO, 64779</v>
      </c>
    </row>
    <row r="2317" spans="1:13" ht="15.6" hidden="1" x14ac:dyDescent="0.3">
      <c r="A2317" s="1" t="s">
        <v>7142</v>
      </c>
      <c r="B2317" s="1"/>
      <c r="C2317" s="1"/>
      <c r="D2317" s="1"/>
      <c r="E2317" s="1"/>
      <c r="F2317" s="1"/>
      <c r="G2317" s="1" t="s">
        <v>43</v>
      </c>
      <c r="H2317" s="2">
        <v>295</v>
      </c>
      <c r="I2317" s="1" t="s">
        <v>7143</v>
      </c>
      <c r="J2317" s="1" t="s">
        <v>3890</v>
      </c>
      <c r="K2317" s="1" t="s">
        <v>1191</v>
      </c>
      <c r="L2317" s="1" t="s">
        <v>7144</v>
      </c>
      <c r="M2317" s="6" t="str">
        <f>_xlfn.CONCAT(Table1[[#This Row],[Billing Street]], ", ", Table1[[#This Row],[Billing City]], ", ", Table1[[#This Row],[Billing State/Province]], ", ", Table1[[#This Row],[Billing Zip/Postal Code]])</f>
        <v>620 Old Finchville Rd, Shelbyville, KY, 40065</v>
      </c>
    </row>
    <row r="2318" spans="1:13" ht="15.6" hidden="1" x14ac:dyDescent="0.3">
      <c r="A2318" s="1" t="s">
        <v>7145</v>
      </c>
      <c r="B2318" s="1"/>
      <c r="C2318" s="1"/>
      <c r="D2318" s="1"/>
      <c r="E2318" s="1"/>
      <c r="F2318" s="1"/>
      <c r="G2318" s="1" t="s">
        <v>98</v>
      </c>
      <c r="H2318" s="2">
        <v>5887</v>
      </c>
      <c r="I2318" s="1" t="s">
        <v>13</v>
      </c>
      <c r="J2318" s="1" t="s">
        <v>7146</v>
      </c>
      <c r="K2318" s="1" t="s">
        <v>101</v>
      </c>
      <c r="L2318" s="1" t="s">
        <v>13</v>
      </c>
      <c r="M2318" s="6" t="str">
        <f>_xlfn.CONCAT(Table1[[#This Row],[Billing Street]], ", ", Table1[[#This Row],[Billing City]], ", ", Table1[[#This Row],[Billing State/Province]], ", ", Table1[[#This Row],[Billing Zip/Postal Code]])</f>
        <v xml:space="preserve">, Homerville, GA, </v>
      </c>
    </row>
    <row r="2319" spans="1:13" ht="15.6" hidden="1" x14ac:dyDescent="0.3">
      <c r="A2319" s="1" t="s">
        <v>7147</v>
      </c>
      <c r="B2319" s="1"/>
      <c r="C2319" s="1"/>
      <c r="D2319" s="1"/>
      <c r="E2319" s="1"/>
      <c r="F2319" s="1"/>
      <c r="G2319" s="1" t="s">
        <v>43</v>
      </c>
      <c r="H2319" s="2">
        <v>265</v>
      </c>
      <c r="I2319" s="1" t="s">
        <v>7148</v>
      </c>
      <c r="J2319" s="1" t="s">
        <v>7149</v>
      </c>
      <c r="K2319" s="1" t="s">
        <v>1191</v>
      </c>
      <c r="L2319" s="1" t="s">
        <v>7150</v>
      </c>
      <c r="M2319" s="6" t="str">
        <f>_xlfn.CONCAT(Table1[[#This Row],[Billing Street]], ", ", Table1[[#This Row],[Billing City]], ", ", Table1[[#This Row],[Billing State/Province]], ", ", Table1[[#This Row],[Billing Zip/Postal Code]])</f>
        <v>8205 Hwy 127 North, Owenton, KY, 40359</v>
      </c>
    </row>
    <row r="2320" spans="1:13" ht="15.6" hidden="1" x14ac:dyDescent="0.3">
      <c r="A2320" s="1" t="s">
        <v>7151</v>
      </c>
      <c r="B2320" s="1"/>
      <c r="C2320" s="1"/>
      <c r="D2320" s="1"/>
      <c r="E2320" s="1"/>
      <c r="F2320" s="1"/>
      <c r="G2320" s="1" t="s">
        <v>43</v>
      </c>
      <c r="H2320" s="2">
        <v>451</v>
      </c>
      <c r="I2320" s="1" t="s">
        <v>7152</v>
      </c>
      <c r="J2320" s="1" t="s">
        <v>4470</v>
      </c>
      <c r="K2320" s="1" t="s">
        <v>1191</v>
      </c>
      <c r="L2320" s="1" t="s">
        <v>7153</v>
      </c>
      <c r="M2320" s="6" t="str">
        <f>_xlfn.CONCAT(Table1[[#This Row],[Billing Street]], ", ", Table1[[#This Row],[Billing City]], ", ", Table1[[#This Row],[Billing State/Province]], ", ", Table1[[#This Row],[Billing Zip/Postal Code]])</f>
        <v>304 East Legion Dr., Princeton, KY, 42445</v>
      </c>
    </row>
    <row r="2321" spans="1:13" ht="15.6" hidden="1" x14ac:dyDescent="0.3">
      <c r="A2321" s="1" t="s">
        <v>7154</v>
      </c>
      <c r="B2321" s="1"/>
      <c r="C2321" s="1"/>
      <c r="D2321" s="1"/>
      <c r="E2321" s="1"/>
      <c r="F2321" s="1"/>
      <c r="G2321" s="1" t="s">
        <v>98</v>
      </c>
      <c r="H2321" s="2">
        <v>5887</v>
      </c>
      <c r="I2321" s="1" t="s">
        <v>13</v>
      </c>
      <c r="J2321" s="1" t="s">
        <v>7155</v>
      </c>
      <c r="K2321" s="1" t="s">
        <v>101</v>
      </c>
      <c r="L2321" s="1" t="s">
        <v>13</v>
      </c>
      <c r="M2321" s="6" t="str">
        <f>_xlfn.CONCAT(Table1[[#This Row],[Billing Street]], ", ", Table1[[#This Row],[Billing City]], ", ", Table1[[#This Row],[Billing State/Province]], ", ", Table1[[#This Row],[Billing Zip/Postal Code]])</f>
        <v xml:space="preserve">, Donalsonville, GA, </v>
      </c>
    </row>
    <row r="2322" spans="1:13" ht="15.6" hidden="1" x14ac:dyDescent="0.3">
      <c r="A2322" s="1" t="s">
        <v>7156</v>
      </c>
      <c r="B2322" s="1"/>
      <c r="C2322" s="1"/>
      <c r="D2322" s="1"/>
      <c r="E2322" s="1"/>
      <c r="F2322" s="1"/>
      <c r="G2322" s="1" t="s">
        <v>43</v>
      </c>
      <c r="H2322" s="2">
        <v>491</v>
      </c>
      <c r="I2322" s="1" t="s">
        <v>7157</v>
      </c>
      <c r="J2322" s="1" t="s">
        <v>7158</v>
      </c>
      <c r="K2322" s="1" t="s">
        <v>1191</v>
      </c>
      <c r="L2322" s="1" t="s">
        <v>7159</v>
      </c>
      <c r="M2322" s="6" t="str">
        <f>_xlfn.CONCAT(Table1[[#This Row],[Billing Street]], ", ", Table1[[#This Row],[Billing City]], ", ", Table1[[#This Row],[Billing State/Province]], ", ", Table1[[#This Row],[Billing Zip/Postal Code]])</f>
        <v>204 N 4th Street, Murray, KY, 42071</v>
      </c>
    </row>
    <row r="2323" spans="1:13" ht="15.6" hidden="1" x14ac:dyDescent="0.3">
      <c r="A2323" s="1" t="s">
        <v>7160</v>
      </c>
      <c r="B2323" s="1"/>
      <c r="C2323" s="1"/>
      <c r="D2323" s="1"/>
      <c r="E2323" s="1"/>
      <c r="F2323" s="1"/>
      <c r="G2323" s="1" t="s">
        <v>54</v>
      </c>
      <c r="H2323" s="2">
        <v>79</v>
      </c>
      <c r="I2323" s="1" t="s">
        <v>7161</v>
      </c>
      <c r="J2323" s="1" t="s">
        <v>7162</v>
      </c>
      <c r="K2323" s="1" t="s">
        <v>57</v>
      </c>
      <c r="L2323" s="1" t="s">
        <v>7163</v>
      </c>
      <c r="M2323" s="6" t="str">
        <f>_xlfn.CONCAT(Table1[[#This Row],[Billing Street]], ", ", Table1[[#This Row],[Billing City]], ", ", Table1[[#This Row],[Billing State/Province]], ", ", Table1[[#This Row],[Billing Zip/Postal Code]])</f>
        <v>42020 Garstin Drive, Big Bear Lake, CA, 92315</v>
      </c>
    </row>
    <row r="2324" spans="1:13" ht="15.6" x14ac:dyDescent="0.3">
      <c r="A2324" s="1" t="s">
        <v>7164</v>
      </c>
      <c r="B2324" s="1"/>
      <c r="C2324" s="1"/>
      <c r="D2324" s="1"/>
      <c r="E2324" s="1"/>
      <c r="F2324" s="1"/>
      <c r="G2324" s="1" t="s">
        <v>24</v>
      </c>
      <c r="H2324" s="2">
        <v>5988</v>
      </c>
      <c r="I2324" s="1" t="s">
        <v>7165</v>
      </c>
      <c r="J2324" s="1" t="s">
        <v>652</v>
      </c>
      <c r="K2324" s="1" t="s">
        <v>26</v>
      </c>
      <c r="L2324" s="1" t="s">
        <v>1732</v>
      </c>
      <c r="M2324" s="6" t="str">
        <f>_xlfn.CONCAT(Table1[[#This Row],[Billing Street]], ", ", Table1[[#This Row],[Billing City]], ", ", Table1[[#This Row],[Billing State/Province]], ", ", Table1[[#This Row],[Billing Zip/Postal Code]])</f>
        <v>983 Tate Dr,, Dothan, AL, 36301</v>
      </c>
    </row>
    <row r="2325" spans="1:13" ht="15.6" hidden="1" x14ac:dyDescent="0.3">
      <c r="A2325" s="1" t="s">
        <v>7166</v>
      </c>
      <c r="B2325" s="1"/>
      <c r="C2325" s="1"/>
      <c r="D2325" s="1"/>
      <c r="E2325" s="1"/>
      <c r="F2325" s="1"/>
      <c r="G2325" s="1" t="s">
        <v>43</v>
      </c>
      <c r="H2325" s="2">
        <v>482</v>
      </c>
      <c r="I2325" s="1" t="s">
        <v>7167</v>
      </c>
      <c r="J2325" s="1" t="s">
        <v>7078</v>
      </c>
      <c r="K2325" s="1" t="s">
        <v>1191</v>
      </c>
      <c r="L2325" s="1" t="s">
        <v>7168</v>
      </c>
      <c r="M2325" s="6" t="str">
        <f>_xlfn.CONCAT(Table1[[#This Row],[Billing Street]], ", ", Table1[[#This Row],[Billing City]], ", ", Table1[[#This Row],[Billing State/Province]], ", ", Table1[[#This Row],[Billing Zip/Postal Code]])</f>
        <v>436 Mayfield Hwy, Benton, KY, 42025</v>
      </c>
    </row>
    <row r="2326" spans="1:13" ht="15.6" x14ac:dyDescent="0.3">
      <c r="A2326" s="1" t="s">
        <v>7169</v>
      </c>
      <c r="B2326" s="1"/>
      <c r="C2326" s="1"/>
      <c r="D2326" s="1"/>
      <c r="E2326" s="1"/>
      <c r="F2326" s="1"/>
      <c r="G2326" s="1" t="s">
        <v>24</v>
      </c>
      <c r="H2326" s="2">
        <v>69</v>
      </c>
      <c r="I2326" s="1" t="s">
        <v>7170</v>
      </c>
      <c r="J2326" s="1" t="s">
        <v>715</v>
      </c>
      <c r="K2326" s="1" t="s">
        <v>36</v>
      </c>
      <c r="L2326" s="1" t="s">
        <v>1985</v>
      </c>
      <c r="M2326" s="6" t="str">
        <f>_xlfn.CONCAT(Table1[[#This Row],[Billing Street]], ", ", Table1[[#This Row],[Billing City]], ", ", Table1[[#This Row],[Billing State/Province]], ", ", Table1[[#This Row],[Billing Zip/Postal Code]])</f>
        <v>6 41st Ln, Pensacola, FL, 32526</v>
      </c>
    </row>
    <row r="2327" spans="1:13" ht="15.6" hidden="1" x14ac:dyDescent="0.3">
      <c r="A2327" s="1" t="s">
        <v>7171</v>
      </c>
      <c r="B2327" s="1"/>
      <c r="C2327" s="1"/>
      <c r="D2327" s="1"/>
      <c r="E2327" s="1"/>
      <c r="F2327" s="1"/>
      <c r="G2327" s="1" t="s">
        <v>43</v>
      </c>
      <c r="H2327" s="2">
        <v>482</v>
      </c>
      <c r="I2327" s="1" t="s">
        <v>7172</v>
      </c>
      <c r="J2327" s="1" t="s">
        <v>7173</v>
      </c>
      <c r="K2327" s="1" t="s">
        <v>1191</v>
      </c>
      <c r="L2327" s="1" t="s">
        <v>7174</v>
      </c>
      <c r="M2327" s="6" t="str">
        <f>_xlfn.CONCAT(Table1[[#This Row],[Billing Street]], ", ", Table1[[#This Row],[Billing City]], ", ", Table1[[#This Row],[Billing State/Province]], ", ", Table1[[#This Row],[Billing Zip/Postal Code]])</f>
        <v>1500 Broadway St., Paducah, KY, 42001</v>
      </c>
    </row>
    <row r="2328" spans="1:13" ht="15.6" hidden="1" x14ac:dyDescent="0.3">
      <c r="A2328" s="1" t="s">
        <v>7175</v>
      </c>
      <c r="B2328" s="1"/>
      <c r="C2328" s="1"/>
      <c r="D2328" s="1"/>
      <c r="E2328" s="1"/>
      <c r="F2328" s="1"/>
      <c r="G2328" s="1" t="s">
        <v>8</v>
      </c>
      <c r="H2328" s="2">
        <v>306</v>
      </c>
      <c r="I2328" s="1" t="s">
        <v>7176</v>
      </c>
      <c r="J2328" s="1" t="s">
        <v>7177</v>
      </c>
      <c r="K2328" s="1" t="s">
        <v>11</v>
      </c>
      <c r="L2328" s="1" t="s">
        <v>7178</v>
      </c>
      <c r="M2328" s="6" t="str">
        <f>_xlfn.CONCAT(Table1[[#This Row],[Billing Street]], ", ", Table1[[#This Row],[Billing City]], ", ", Table1[[#This Row],[Billing State/Province]], ", ", Table1[[#This Row],[Billing Zip/Postal Code]])</f>
        <v>12900 Boenker Lane, Bridgeton, MO, 63044</v>
      </c>
    </row>
    <row r="2329" spans="1:13" ht="15.6" hidden="1" x14ac:dyDescent="0.3">
      <c r="A2329" s="1" t="s">
        <v>7179</v>
      </c>
      <c r="B2329" s="1"/>
      <c r="C2329" s="1"/>
      <c r="D2329" s="1"/>
      <c r="E2329" s="1"/>
      <c r="F2329" s="1"/>
      <c r="G2329" s="1" t="s">
        <v>8</v>
      </c>
      <c r="H2329" s="2">
        <v>335</v>
      </c>
      <c r="I2329" s="1" t="s">
        <v>7180</v>
      </c>
      <c r="J2329" s="1" t="s">
        <v>1785</v>
      </c>
      <c r="K2329" s="1" t="s">
        <v>21</v>
      </c>
      <c r="L2329" s="1" t="s">
        <v>7181</v>
      </c>
      <c r="M2329" s="6" t="str">
        <f>_xlfn.CONCAT(Table1[[#This Row],[Billing Street]], ", ", Table1[[#This Row],[Billing City]], ", ", Table1[[#This Row],[Billing State/Province]], ", ", Table1[[#This Row],[Billing Zip/Postal Code]])</f>
        <v>1817 Hull Ave, Des Moines, IA, 50313</v>
      </c>
    </row>
    <row r="2330" spans="1:13" ht="15.6" hidden="1" x14ac:dyDescent="0.3">
      <c r="A2330" s="1" t="s">
        <v>7182</v>
      </c>
      <c r="B2330" s="1"/>
      <c r="C2330" s="1"/>
      <c r="D2330" s="1"/>
      <c r="E2330" s="1"/>
      <c r="F2330" s="1"/>
      <c r="G2330" s="1" t="s">
        <v>43</v>
      </c>
      <c r="H2330" s="2">
        <v>333</v>
      </c>
      <c r="I2330" s="1" t="s">
        <v>7183</v>
      </c>
      <c r="J2330" s="1" t="s">
        <v>7184</v>
      </c>
      <c r="K2330" s="1" t="s">
        <v>152</v>
      </c>
      <c r="L2330" s="1" t="s">
        <v>7185</v>
      </c>
      <c r="M2330" s="6" t="str">
        <f>_xlfn.CONCAT(Table1[[#This Row],[Billing Street]], ", ", Table1[[#This Row],[Billing City]], ", ", Table1[[#This Row],[Billing State/Province]], ", ", Table1[[#This Row],[Billing Zip/Postal Code]])</f>
        <v>9101 Fullerton Ave, Franklin Park, IL, 60131</v>
      </c>
    </row>
    <row r="2331" spans="1:13" ht="15.6" hidden="1" x14ac:dyDescent="0.3">
      <c r="A2331" s="1" t="s">
        <v>7182</v>
      </c>
      <c r="B2331" s="1"/>
      <c r="C2331" s="1"/>
      <c r="D2331" s="1"/>
      <c r="E2331" s="1"/>
      <c r="F2331" s="1"/>
      <c r="G2331" s="1" t="s">
        <v>43</v>
      </c>
      <c r="H2331" s="2">
        <v>333</v>
      </c>
      <c r="I2331" s="1" t="s">
        <v>7183</v>
      </c>
      <c r="J2331" s="1" t="s">
        <v>7184</v>
      </c>
      <c r="K2331" s="1" t="s">
        <v>152</v>
      </c>
      <c r="L2331" s="1" t="s">
        <v>7185</v>
      </c>
      <c r="M2331" s="6" t="str">
        <f>_xlfn.CONCAT(Table1[[#This Row],[Billing Street]], ", ", Table1[[#This Row],[Billing City]], ", ", Table1[[#This Row],[Billing State/Province]], ", ", Table1[[#This Row],[Billing Zip/Postal Code]])</f>
        <v>9101 Fullerton Ave, Franklin Park, IL, 60131</v>
      </c>
    </row>
    <row r="2332" spans="1:13" ht="15.6" hidden="1" x14ac:dyDescent="0.3">
      <c r="A2332" s="1" t="s">
        <v>7186</v>
      </c>
      <c r="B2332" s="1"/>
      <c r="C2332" s="1"/>
      <c r="D2332" s="1"/>
      <c r="E2332" s="1"/>
      <c r="F2332" s="1"/>
      <c r="G2332" s="1" t="s">
        <v>43</v>
      </c>
      <c r="H2332" s="2">
        <v>341</v>
      </c>
      <c r="I2332" s="1" t="s">
        <v>7187</v>
      </c>
      <c r="J2332" s="1" t="s">
        <v>6895</v>
      </c>
      <c r="K2332" s="1" t="s">
        <v>1191</v>
      </c>
      <c r="L2332" s="1" t="s">
        <v>7188</v>
      </c>
      <c r="M2332" s="6" t="str">
        <f>_xlfn.CONCAT(Table1[[#This Row],[Billing Street]], ", ", Table1[[#This Row],[Billing City]], ", ", Table1[[#This Row],[Billing State/Province]], ", ", Table1[[#This Row],[Billing Zip/Postal Code]])</f>
        <v>1351 Hwy 79, Brandenburg, KY, 40108</v>
      </c>
    </row>
    <row r="2333" spans="1:13" ht="15.6" hidden="1" x14ac:dyDescent="0.3">
      <c r="A2333" s="1" t="s">
        <v>7189</v>
      </c>
      <c r="B2333" s="1"/>
      <c r="C2333" s="1"/>
      <c r="D2333" s="1"/>
      <c r="E2333" s="1"/>
      <c r="F2333" s="1"/>
      <c r="G2333" s="1" t="s">
        <v>98</v>
      </c>
      <c r="H2333" s="2">
        <v>264</v>
      </c>
      <c r="I2333" s="1" t="s">
        <v>7190</v>
      </c>
      <c r="J2333" s="1" t="s">
        <v>7191</v>
      </c>
      <c r="K2333" s="1" t="s">
        <v>1135</v>
      </c>
      <c r="L2333" s="1" t="s">
        <v>7192</v>
      </c>
      <c r="M2333" s="6" t="str">
        <f>_xlfn.CONCAT(Table1[[#This Row],[Billing Street]], ", ", Table1[[#This Row],[Billing City]], ", ", Table1[[#This Row],[Billing State/Province]], ", ", Table1[[#This Row],[Billing Zip/Postal Code]])</f>
        <v>440 - 660 Highway 142, Selmer, TN, 38375</v>
      </c>
    </row>
    <row r="2334" spans="1:13" ht="15.6" hidden="1" x14ac:dyDescent="0.3">
      <c r="A2334" s="1" t="s">
        <v>7193</v>
      </c>
      <c r="B2334" s="1"/>
      <c r="C2334" s="1"/>
      <c r="D2334" s="1"/>
      <c r="E2334" s="1"/>
      <c r="F2334" s="1"/>
      <c r="G2334" s="1" t="s">
        <v>43</v>
      </c>
      <c r="H2334" s="2">
        <v>519</v>
      </c>
      <c r="I2334" s="1" t="s">
        <v>7194</v>
      </c>
      <c r="J2334" s="1" t="s">
        <v>5335</v>
      </c>
      <c r="K2334" s="1" t="s">
        <v>1191</v>
      </c>
      <c r="L2334" s="1" t="s">
        <v>7195</v>
      </c>
      <c r="M2334" s="6" t="str">
        <f>_xlfn.CONCAT(Table1[[#This Row],[Billing Street]], ", ", Table1[[#This Row],[Billing City]], ", ", Table1[[#This Row],[Billing State/Province]], ", ", Table1[[#This Row],[Billing Zip/Postal Code]])</f>
        <v>501 Walnut St., Fulton, KY, 42041</v>
      </c>
    </row>
    <row r="2335" spans="1:13" ht="15.6" hidden="1" x14ac:dyDescent="0.3">
      <c r="A2335" s="1" t="s">
        <v>7196</v>
      </c>
      <c r="B2335" s="1"/>
      <c r="C2335" s="1"/>
      <c r="D2335" s="1"/>
      <c r="E2335" s="1"/>
      <c r="F2335" s="1"/>
      <c r="G2335" s="1" t="s">
        <v>43</v>
      </c>
      <c r="H2335" s="2">
        <v>354</v>
      </c>
      <c r="I2335" s="1" t="s">
        <v>7197</v>
      </c>
      <c r="J2335" s="1" t="s">
        <v>7198</v>
      </c>
      <c r="K2335" s="1" t="s">
        <v>237</v>
      </c>
      <c r="L2335" s="1" t="s">
        <v>7199</v>
      </c>
      <c r="M2335" s="6" t="str">
        <f>_xlfn.CONCAT(Table1[[#This Row],[Billing Street]], ", ", Table1[[#This Row],[Billing City]], ", ", Table1[[#This Row],[Billing State/Province]], ", ", Table1[[#This Row],[Billing Zip/Postal Code]])</f>
        <v>505 E 8th St, JASPER, IN, 47547-0750</v>
      </c>
    </row>
    <row r="2336" spans="1:13" ht="15.6" hidden="1" x14ac:dyDescent="0.3">
      <c r="A2336" s="1" t="s">
        <v>7200</v>
      </c>
      <c r="B2336" s="1"/>
      <c r="C2336" s="1"/>
      <c r="D2336" s="1"/>
      <c r="E2336" s="1"/>
      <c r="F2336" s="1"/>
      <c r="G2336" s="1" t="s">
        <v>205</v>
      </c>
      <c r="H2336" s="2">
        <v>21</v>
      </c>
      <c r="I2336" s="1" t="s">
        <v>5866</v>
      </c>
      <c r="J2336" s="1" t="s">
        <v>2920</v>
      </c>
      <c r="K2336" s="1" t="s">
        <v>479</v>
      </c>
      <c r="L2336" s="1" t="s">
        <v>7201</v>
      </c>
      <c r="M2336" s="6" t="str">
        <f>_xlfn.CONCAT(Table1[[#This Row],[Billing Street]], ", ", Table1[[#This Row],[Billing City]], ", ", Table1[[#This Row],[Billing State/Province]], ", ", Table1[[#This Row],[Billing Zip/Postal Code]])</f>
        <v>PO Box 686, Gilbert, AZ, 85299</v>
      </c>
    </row>
    <row r="2337" spans="1:13" ht="15.6" x14ac:dyDescent="0.3">
      <c r="A2337" s="1" t="s">
        <v>7202</v>
      </c>
      <c r="B2337" s="1"/>
      <c r="C2337" s="1"/>
      <c r="D2337" s="1"/>
      <c r="E2337" s="1"/>
      <c r="F2337" s="1"/>
      <c r="G2337" s="1" t="s">
        <v>24</v>
      </c>
      <c r="H2337" s="2">
        <v>61</v>
      </c>
      <c r="I2337" s="1" t="s">
        <v>7203</v>
      </c>
      <c r="J2337" s="1" t="s">
        <v>7204</v>
      </c>
      <c r="K2337" s="1" t="s">
        <v>36</v>
      </c>
      <c r="L2337" s="1" t="s">
        <v>7205</v>
      </c>
      <c r="M2337" s="6" t="str">
        <f>_xlfn.CONCAT(Table1[[#This Row],[Billing Street]], ", ", Table1[[#This Row],[Billing City]], ", ", Table1[[#This Row],[Billing State/Province]], ", ", Table1[[#This Row],[Billing Zip/Postal Code]])</f>
        <v>4575 US 90, Pace, FL, 32571</v>
      </c>
    </row>
    <row r="2338" spans="1:13" ht="15.6" hidden="1" x14ac:dyDescent="0.3">
      <c r="A2338" s="1" t="s">
        <v>7206</v>
      </c>
      <c r="B2338" s="1"/>
      <c r="C2338" s="1"/>
      <c r="D2338" s="1"/>
      <c r="E2338" s="1"/>
      <c r="F2338" s="1"/>
      <c r="G2338" s="1" t="s">
        <v>43</v>
      </c>
      <c r="H2338" s="2">
        <v>183</v>
      </c>
      <c r="I2338" s="1" t="s">
        <v>7207</v>
      </c>
      <c r="J2338" s="1" t="s">
        <v>621</v>
      </c>
      <c r="K2338" s="1" t="s">
        <v>82</v>
      </c>
      <c r="L2338" s="1" t="s">
        <v>7208</v>
      </c>
      <c r="M2338" s="6" t="str">
        <f>_xlfn.CONCAT(Table1[[#This Row],[Billing Street]], ", ", Table1[[#This Row],[Billing City]], ", ", Table1[[#This Row],[Billing State/Province]], ", ", Table1[[#This Row],[Billing Zip/Postal Code]])</f>
        <v>64 Cole Street, Quincy, MI, 49082</v>
      </c>
    </row>
    <row r="2339" spans="1:13" ht="15.6" hidden="1" x14ac:dyDescent="0.3">
      <c r="A2339" s="1" t="s">
        <v>7209</v>
      </c>
      <c r="B2339" s="1"/>
      <c r="C2339" s="1"/>
      <c r="D2339" s="1"/>
      <c r="E2339" s="1"/>
      <c r="F2339" s="1"/>
      <c r="G2339" s="1" t="s">
        <v>54</v>
      </c>
      <c r="H2339" s="2">
        <v>346</v>
      </c>
      <c r="I2339" s="1" t="s">
        <v>7210</v>
      </c>
      <c r="J2339" s="1" t="s">
        <v>7211</v>
      </c>
      <c r="K2339" s="1" t="s">
        <v>57</v>
      </c>
      <c r="L2339" s="1" t="s">
        <v>7212</v>
      </c>
      <c r="M2339" s="6" t="str">
        <f>_xlfn.CONCAT(Table1[[#This Row],[Billing Street]], ", ", Table1[[#This Row],[Billing City]], ", ", Table1[[#This Row],[Billing State/Province]], ", ", Table1[[#This Row],[Billing Zip/Postal Code]])</f>
        <v>153 Lake Merced Blvd., Daly City, CA, 94015</v>
      </c>
    </row>
    <row r="2340" spans="1:13" ht="15.6" hidden="1" x14ac:dyDescent="0.3">
      <c r="A2340" s="1" t="s">
        <v>7213</v>
      </c>
      <c r="B2340" s="1"/>
      <c r="C2340" s="1"/>
      <c r="D2340" s="1"/>
      <c r="E2340" s="1"/>
      <c r="F2340" s="1"/>
      <c r="G2340" s="1" t="s">
        <v>54</v>
      </c>
      <c r="H2340" s="2">
        <v>331</v>
      </c>
      <c r="I2340" s="1" t="s">
        <v>7214</v>
      </c>
      <c r="J2340" s="1" t="s">
        <v>7215</v>
      </c>
      <c r="K2340" s="1" t="s">
        <v>57</v>
      </c>
      <c r="L2340" s="1" t="s">
        <v>7216</v>
      </c>
      <c r="M2340" s="6" t="str">
        <f>_xlfn.CONCAT(Table1[[#This Row],[Billing Street]], ", ", Table1[[#This Row],[Billing City]], ", ", Table1[[#This Row],[Billing State/Province]], ", ", Table1[[#This Row],[Billing Zip/Postal Code]])</f>
        <v>19743 Cabot Blvd, Hayward, CA, 94545</v>
      </c>
    </row>
    <row r="2341" spans="1:13" ht="15.6" hidden="1" x14ac:dyDescent="0.3">
      <c r="A2341" s="1" t="s">
        <v>7217</v>
      </c>
      <c r="B2341" s="1"/>
      <c r="C2341" s="1"/>
      <c r="D2341" s="1"/>
      <c r="E2341" s="1"/>
      <c r="F2341" s="1"/>
      <c r="G2341" s="1" t="s">
        <v>54</v>
      </c>
      <c r="H2341" s="2">
        <v>57</v>
      </c>
      <c r="I2341" s="1" t="s">
        <v>7218</v>
      </c>
      <c r="J2341" s="1" t="s">
        <v>7219</v>
      </c>
      <c r="K2341" s="1" t="s">
        <v>57</v>
      </c>
      <c r="L2341" s="1" t="s">
        <v>7220</v>
      </c>
      <c r="M2341" s="6" t="str">
        <f>_xlfn.CONCAT(Table1[[#This Row],[Billing Street]], ", ", Table1[[#This Row],[Billing City]], ", ", Table1[[#This Row],[Billing State/Province]], ", ", Table1[[#This Row],[Billing Zip/Postal Code]])</f>
        <v>14331 Frederick Street, Moreno Valley, CA, 92553</v>
      </c>
    </row>
    <row r="2342" spans="1:13" ht="15.6" hidden="1" x14ac:dyDescent="0.3">
      <c r="A2342" s="1" t="s">
        <v>7221</v>
      </c>
      <c r="B2342" s="1"/>
      <c r="C2342" s="1"/>
      <c r="D2342" s="1"/>
      <c r="E2342" s="1"/>
      <c r="F2342" s="1"/>
      <c r="G2342" s="1" t="s">
        <v>43</v>
      </c>
      <c r="H2342" s="2">
        <v>254</v>
      </c>
      <c r="I2342" s="1" t="s">
        <v>7222</v>
      </c>
      <c r="J2342" s="1" t="s">
        <v>3948</v>
      </c>
      <c r="K2342" s="1" t="s">
        <v>1191</v>
      </c>
      <c r="L2342" s="1" t="s">
        <v>7223</v>
      </c>
      <c r="M2342" s="6" t="str">
        <f>_xlfn.CONCAT(Table1[[#This Row],[Billing Street]], ", ", Table1[[#This Row],[Billing City]], ", ", Table1[[#This Row],[Billing State/Province]], ", ", Table1[[#This Row],[Billing Zip/Postal Code]])</f>
        <v>271 Main St., West Liberty, KY, 41472</v>
      </c>
    </row>
    <row r="2343" spans="1:13" ht="15.6" x14ac:dyDescent="0.3">
      <c r="A2343" s="1" t="s">
        <v>7224</v>
      </c>
      <c r="B2343" s="1"/>
      <c r="C2343" s="1"/>
      <c r="D2343" s="1"/>
      <c r="E2343" s="1"/>
      <c r="F2343" s="1"/>
      <c r="G2343" s="1" t="s">
        <v>24</v>
      </c>
      <c r="H2343" s="2">
        <v>375</v>
      </c>
      <c r="I2343" s="1" t="s">
        <v>7225</v>
      </c>
      <c r="J2343" s="1" t="s">
        <v>576</v>
      </c>
      <c r="K2343" s="1" t="s">
        <v>577</v>
      </c>
      <c r="L2343" s="1" t="s">
        <v>578</v>
      </c>
      <c r="M2343" s="6" t="str">
        <f>_xlfn.CONCAT(Table1[[#This Row],[Billing Street]], ", ", Table1[[#This Row],[Billing City]], ", ", Table1[[#This Row],[Billing State/Province]], ", ", Table1[[#This Row],[Billing Zip/Postal Code]])</f>
        <v>2030 Donahue Ferry Road, Pineville, LA, 71360</v>
      </c>
    </row>
    <row r="2344" spans="1:13" ht="15.6" x14ac:dyDescent="0.3">
      <c r="A2344" s="1" t="s">
        <v>7226</v>
      </c>
      <c r="B2344" s="1"/>
      <c r="C2344" s="1"/>
      <c r="D2344" s="1"/>
      <c r="E2344" s="1"/>
      <c r="F2344" s="1"/>
      <c r="G2344" s="1" t="s">
        <v>24</v>
      </c>
      <c r="H2344" s="2">
        <v>5988</v>
      </c>
      <c r="I2344" s="1" t="s">
        <v>7227</v>
      </c>
      <c r="J2344" s="1" t="s">
        <v>25</v>
      </c>
      <c r="K2344" s="1" t="s">
        <v>26</v>
      </c>
      <c r="L2344" s="1" t="s">
        <v>7228</v>
      </c>
      <c r="M2344" s="6" t="str">
        <f>_xlfn.CONCAT(Table1[[#This Row],[Billing Street]], ", ", Table1[[#This Row],[Billing City]], ", ", Table1[[#This Row],[Billing State/Province]], ", ", Table1[[#This Row],[Billing Zip/Postal Code]])</f>
        <v>4596 Washington Ferry Road, Montgomery, AL, 36102</v>
      </c>
    </row>
    <row r="2345" spans="1:13" ht="15.6" hidden="1" x14ac:dyDescent="0.3">
      <c r="A2345" s="1" t="s">
        <v>7229</v>
      </c>
      <c r="B2345" s="1"/>
      <c r="C2345" s="1"/>
      <c r="D2345" s="1"/>
      <c r="E2345" s="1"/>
      <c r="F2345" s="1"/>
      <c r="G2345" s="1" t="s">
        <v>43</v>
      </c>
      <c r="H2345" s="2">
        <v>5776</v>
      </c>
      <c r="I2345" s="1" t="s">
        <v>7230</v>
      </c>
      <c r="J2345" s="1" t="s">
        <v>7231</v>
      </c>
      <c r="K2345" s="1" t="s">
        <v>95</v>
      </c>
      <c r="L2345" s="1" t="s">
        <v>7232</v>
      </c>
      <c r="M2345" s="6" t="str">
        <f>_xlfn.CONCAT(Table1[[#This Row],[Billing Street]], ", ", Table1[[#This Row],[Billing City]], ", ", Table1[[#This Row],[Billing State/Province]], ", ", Table1[[#This Row],[Billing Zip/Postal Code]])</f>
        <v>85 Walnut Street, Watertown, MA, 2472</v>
      </c>
    </row>
    <row r="2346" spans="1:13" ht="15.6" hidden="1" x14ac:dyDescent="0.3">
      <c r="A2346" s="1" t="s">
        <v>7233</v>
      </c>
      <c r="B2346" s="1"/>
      <c r="C2346" s="1"/>
      <c r="D2346" s="1"/>
      <c r="E2346" s="1"/>
      <c r="F2346" s="1"/>
      <c r="G2346" s="1" t="s">
        <v>43</v>
      </c>
      <c r="H2346" s="2">
        <v>311</v>
      </c>
      <c r="I2346" s="1" t="s">
        <v>7234</v>
      </c>
      <c r="J2346" s="1" t="s">
        <v>1566</v>
      </c>
      <c r="K2346" s="1" t="s">
        <v>1191</v>
      </c>
      <c r="L2346" s="1" t="s">
        <v>7235</v>
      </c>
      <c r="M2346" s="6" t="str">
        <f>_xlfn.CONCAT(Table1[[#This Row],[Billing Street]], ", ", Table1[[#This Row],[Billing City]], ", ", Table1[[#This Row],[Billing State/Province]], ", ", Table1[[#This Row],[Billing Zip/Postal Code]])</f>
        <v>1009 Hustonville Rd., Danville, KY, 40423</v>
      </c>
    </row>
    <row r="2347" spans="1:13" ht="15.6" hidden="1" x14ac:dyDescent="0.3">
      <c r="A2347" s="1" t="s">
        <v>7236</v>
      </c>
      <c r="B2347" s="1"/>
      <c r="C2347" s="1"/>
      <c r="D2347" s="1"/>
      <c r="E2347" s="1"/>
      <c r="F2347" s="1"/>
      <c r="G2347" s="1" t="s">
        <v>54</v>
      </c>
      <c r="H2347" s="2">
        <v>612</v>
      </c>
      <c r="I2347" s="1" t="s">
        <v>7237</v>
      </c>
      <c r="J2347" s="1" t="s">
        <v>7238</v>
      </c>
      <c r="K2347" s="1" t="s">
        <v>2254</v>
      </c>
      <c r="L2347" s="1" t="s">
        <v>7239</v>
      </c>
      <c r="M2347" s="6" t="str">
        <f>_xlfn.CONCAT(Table1[[#This Row],[Billing Street]], ", ", Table1[[#This Row],[Billing City]], ", ", Table1[[#This Row],[Billing State/Province]], ", ", Table1[[#This Row],[Billing Zip/Postal Code]])</f>
        <v>90 N Mountain Ave, Ashland, OR, 97520</v>
      </c>
    </row>
    <row r="2348" spans="1:13" ht="15.6" hidden="1" x14ac:dyDescent="0.3">
      <c r="A2348" s="1" t="s">
        <v>7240</v>
      </c>
      <c r="B2348" s="1"/>
      <c r="C2348" s="1"/>
      <c r="D2348" s="1"/>
      <c r="E2348" s="1"/>
      <c r="F2348" s="1"/>
      <c r="G2348" s="1" t="s">
        <v>54</v>
      </c>
      <c r="H2348" s="2">
        <v>687</v>
      </c>
      <c r="I2348" s="1" t="s">
        <v>7241</v>
      </c>
      <c r="J2348" s="1" t="s">
        <v>7242</v>
      </c>
      <c r="K2348" s="1" t="s">
        <v>2254</v>
      </c>
      <c r="L2348" s="1" t="s">
        <v>7243</v>
      </c>
      <c r="M2348" s="6" t="str">
        <f>_xlfn.CONCAT(Table1[[#This Row],[Billing Street]], ", ", Table1[[#This Row],[Billing City]], ", ", Table1[[#This Row],[Billing State/Province]], ", ", Table1[[#This Row],[Billing Zip/Postal Code]])</f>
        <v>16755 Finley Butte Rd, La Pine, OR, 97739</v>
      </c>
    </row>
    <row r="2349" spans="1:13" ht="15.6" hidden="1" x14ac:dyDescent="0.3">
      <c r="A2349" s="1" t="s">
        <v>7244</v>
      </c>
      <c r="B2349" s="1"/>
      <c r="C2349" s="1"/>
      <c r="D2349" s="1"/>
      <c r="E2349" s="1"/>
      <c r="F2349" s="1"/>
      <c r="G2349" s="1" t="s">
        <v>54</v>
      </c>
      <c r="H2349" s="2">
        <v>7813</v>
      </c>
      <c r="I2349" s="1" t="s">
        <v>13</v>
      </c>
      <c r="J2349" s="1" t="s">
        <v>13</v>
      </c>
      <c r="K2349" s="1" t="s">
        <v>2254</v>
      </c>
      <c r="L2349" s="1" t="s">
        <v>13</v>
      </c>
      <c r="M2349" s="6" t="str">
        <f>_xlfn.CONCAT(Table1[[#This Row],[Billing Street]], ", ", Table1[[#This Row],[Billing City]], ", ", Table1[[#This Row],[Billing State/Province]], ", ", Table1[[#This Row],[Billing Zip/Postal Code]])</f>
        <v xml:space="preserve">, , OR, </v>
      </c>
    </row>
    <row r="2350" spans="1:13" ht="15.6" hidden="1" x14ac:dyDescent="0.3">
      <c r="A2350" s="1" t="s">
        <v>7245</v>
      </c>
      <c r="B2350" s="1"/>
      <c r="C2350" s="1"/>
      <c r="D2350" s="1"/>
      <c r="E2350" s="1"/>
      <c r="F2350" s="1"/>
      <c r="G2350" s="1" t="s">
        <v>54</v>
      </c>
      <c r="H2350" s="2">
        <v>826</v>
      </c>
      <c r="I2350" s="1" t="s">
        <v>7246</v>
      </c>
      <c r="J2350" s="1" t="s">
        <v>2322</v>
      </c>
      <c r="K2350" s="1" t="s">
        <v>2254</v>
      </c>
      <c r="L2350" s="1" t="s">
        <v>2323</v>
      </c>
      <c r="M2350" s="6" t="str">
        <f>_xlfn.CONCAT(Table1[[#This Row],[Billing Street]], ", ", Table1[[#This Row],[Billing City]], ", ", Table1[[#This Row],[Billing State/Province]], ", ", Table1[[#This Row],[Billing Zip/Postal Code]])</f>
        <v>121 SW Salmon, Portland, OR, 97204</v>
      </c>
    </row>
    <row r="2351" spans="1:13" ht="15.6" hidden="1" x14ac:dyDescent="0.3">
      <c r="A2351" s="1" t="s">
        <v>7247</v>
      </c>
      <c r="B2351" s="1"/>
      <c r="C2351" s="1"/>
      <c r="D2351" s="1"/>
      <c r="E2351" s="1"/>
      <c r="F2351" s="1"/>
      <c r="G2351" s="1" t="s">
        <v>54</v>
      </c>
      <c r="H2351" s="2">
        <v>7813</v>
      </c>
      <c r="I2351" s="1" t="s">
        <v>13</v>
      </c>
      <c r="J2351" s="1" t="s">
        <v>13</v>
      </c>
      <c r="K2351" s="1" t="s">
        <v>2254</v>
      </c>
      <c r="L2351" s="1" t="s">
        <v>13</v>
      </c>
      <c r="M2351" s="6" t="str">
        <f>_xlfn.CONCAT(Table1[[#This Row],[Billing Street]], ", ", Table1[[#This Row],[Billing City]], ", ", Table1[[#This Row],[Billing State/Province]], ", ", Table1[[#This Row],[Billing Zip/Postal Code]])</f>
        <v xml:space="preserve">, , OR, </v>
      </c>
    </row>
    <row r="2352" spans="1:13" ht="15.6" x14ac:dyDescent="0.3">
      <c r="A2352" s="1" t="s">
        <v>7248</v>
      </c>
      <c r="B2352" s="1"/>
      <c r="C2352" s="1"/>
      <c r="D2352" s="1"/>
      <c r="E2352" s="1"/>
      <c r="F2352" s="1"/>
      <c r="G2352" s="1" t="s">
        <v>24</v>
      </c>
      <c r="H2352" s="2">
        <v>5988</v>
      </c>
      <c r="I2352" s="1" t="s">
        <v>13</v>
      </c>
      <c r="J2352" s="1" t="s">
        <v>13</v>
      </c>
      <c r="K2352" s="1" t="s">
        <v>36</v>
      </c>
      <c r="L2352" s="1" t="s">
        <v>147</v>
      </c>
      <c r="M2352" s="6" t="str">
        <f>_xlfn.CONCAT(Table1[[#This Row],[Billing Street]], ", ", Table1[[#This Row],[Billing City]], ", ", Table1[[#This Row],[Billing State/Province]], ", ", Table1[[#This Row],[Billing Zip/Postal Code]])</f>
        <v>, , FL, OK</v>
      </c>
    </row>
    <row r="2353" spans="1:13" ht="15.6" hidden="1" x14ac:dyDescent="0.3">
      <c r="A2353" s="1" t="s">
        <v>7249</v>
      </c>
      <c r="B2353" s="1"/>
      <c r="C2353" s="1"/>
      <c r="D2353" s="1"/>
      <c r="E2353" s="1"/>
      <c r="F2353" s="1"/>
      <c r="G2353" s="1" t="s">
        <v>43</v>
      </c>
      <c r="H2353" s="2">
        <v>95</v>
      </c>
      <c r="I2353" s="1" t="s">
        <v>7250</v>
      </c>
      <c r="J2353" s="1" t="s">
        <v>2221</v>
      </c>
      <c r="K2353" s="1" t="s">
        <v>241</v>
      </c>
      <c r="L2353" s="1" t="s">
        <v>7251</v>
      </c>
      <c r="M2353" s="6" t="str">
        <f>_xlfn.CONCAT(Table1[[#This Row],[Billing Street]], ", ", Table1[[#This Row],[Billing City]], ", ", Table1[[#This Row],[Billing State/Province]], ", ", Table1[[#This Row],[Billing Zip/Postal Code]])</f>
        <v>2515 Preble Avenue, Pittsburgh, PA, 15233</v>
      </c>
    </row>
    <row r="2354" spans="1:13" ht="15.6" hidden="1" x14ac:dyDescent="0.3">
      <c r="A2354" s="1" t="s">
        <v>7252</v>
      </c>
      <c r="B2354" s="1"/>
      <c r="C2354" s="1"/>
      <c r="D2354" s="1"/>
      <c r="E2354" s="1"/>
      <c r="F2354" s="1"/>
      <c r="G2354" s="1" t="s">
        <v>43</v>
      </c>
      <c r="H2354" s="2">
        <v>315</v>
      </c>
      <c r="I2354" s="1" t="s">
        <v>7253</v>
      </c>
      <c r="J2354" s="1" t="s">
        <v>7254</v>
      </c>
      <c r="K2354" s="1" t="s">
        <v>241</v>
      </c>
      <c r="L2354" s="1" t="s">
        <v>7255</v>
      </c>
      <c r="M2354" s="6" t="str">
        <f>_xlfn.CONCAT(Table1[[#This Row],[Billing Street]], ", ", Table1[[#This Row],[Billing City]], ", ", Table1[[#This Row],[Billing State/Province]], ", ", Table1[[#This Row],[Billing Zip/Postal Code]])</f>
        <v>409 Boot Road, Downingtown, PA, 19335</v>
      </c>
    </row>
    <row r="2355" spans="1:13" ht="15.6" hidden="1" x14ac:dyDescent="0.3">
      <c r="A2355" s="1" t="s">
        <v>7256</v>
      </c>
      <c r="B2355" s="1"/>
      <c r="C2355" s="1"/>
      <c r="D2355" s="1"/>
      <c r="E2355" s="1"/>
      <c r="F2355" s="1"/>
      <c r="G2355" s="1" t="s">
        <v>43</v>
      </c>
      <c r="H2355" s="2">
        <v>343</v>
      </c>
      <c r="I2355" s="1" t="s">
        <v>7257</v>
      </c>
      <c r="J2355" s="1" t="s">
        <v>780</v>
      </c>
      <c r="K2355" s="1" t="s">
        <v>241</v>
      </c>
      <c r="L2355" s="1" t="s">
        <v>7258</v>
      </c>
      <c r="M2355" s="6" t="str">
        <f>_xlfn.CONCAT(Table1[[#This Row],[Billing Street]], ", ", Table1[[#This Row],[Billing City]], ", ", Table1[[#This Row],[Billing State/Province]], ", ", Table1[[#This Row],[Billing Zip/Postal Code]])</f>
        <v>1234 Broad st 11th floor, Philadelphia, PA, 19107</v>
      </c>
    </row>
    <row r="2356" spans="1:13" ht="15.6" hidden="1" x14ac:dyDescent="0.3">
      <c r="A2356" s="1" t="s">
        <v>7259</v>
      </c>
      <c r="B2356" s="1"/>
      <c r="C2356" s="1"/>
      <c r="D2356" s="1"/>
      <c r="E2356" s="1"/>
      <c r="F2356" s="1"/>
      <c r="G2356" s="1" t="s">
        <v>43</v>
      </c>
      <c r="H2356" s="2">
        <v>265</v>
      </c>
      <c r="I2356" s="1" t="s">
        <v>7260</v>
      </c>
      <c r="J2356" s="1" t="s">
        <v>7261</v>
      </c>
      <c r="K2356" s="1" t="s">
        <v>241</v>
      </c>
      <c r="L2356" s="1" t="s">
        <v>7262</v>
      </c>
      <c r="M2356" s="6" t="str">
        <f>_xlfn.CONCAT(Table1[[#This Row],[Billing Street]], ", ", Table1[[#This Row],[Billing City]], ", ", Table1[[#This Row],[Billing State/Province]], ", ", Table1[[#This Row],[Billing Zip/Postal Code]])</f>
        <v>32750 Route 6, Wysox, PA, 18854</v>
      </c>
    </row>
    <row r="2357" spans="1:13" ht="15.6" hidden="1" x14ac:dyDescent="0.3">
      <c r="A2357" s="1" t="s">
        <v>7263</v>
      </c>
      <c r="B2357" s="1"/>
      <c r="C2357" s="1"/>
      <c r="D2357" s="1"/>
      <c r="E2357" s="1"/>
      <c r="F2357" s="1"/>
      <c r="G2357" s="1" t="s">
        <v>43</v>
      </c>
      <c r="H2357" s="2">
        <v>72</v>
      </c>
      <c r="I2357" s="1" t="s">
        <v>7264</v>
      </c>
      <c r="J2357" s="1" t="s">
        <v>7265</v>
      </c>
      <c r="K2357" s="1" t="s">
        <v>241</v>
      </c>
      <c r="L2357" s="1" t="s">
        <v>7266</v>
      </c>
      <c r="M2357" s="6" t="str">
        <f>_xlfn.CONCAT(Table1[[#This Row],[Billing Street]], ", ", Table1[[#This Row],[Billing City]], ", ", Table1[[#This Row],[Billing State/Province]], ", ", Table1[[#This Row],[Billing Zip/Postal Code]])</f>
        <v>123 West Main Street, Grove City, PA, 16127</v>
      </c>
    </row>
    <row r="2358" spans="1:13" ht="15.6" hidden="1" x14ac:dyDescent="0.3">
      <c r="A2358" s="1" t="s">
        <v>7267</v>
      </c>
      <c r="B2358" s="1"/>
      <c r="C2358" s="1"/>
      <c r="D2358" s="1"/>
      <c r="E2358" s="1"/>
      <c r="F2358" s="1"/>
      <c r="G2358" s="1" t="s">
        <v>43</v>
      </c>
      <c r="H2358" s="2">
        <v>238</v>
      </c>
      <c r="I2358" s="1" t="s">
        <v>7268</v>
      </c>
      <c r="J2358" s="1" t="s">
        <v>3302</v>
      </c>
      <c r="K2358" s="1" t="s">
        <v>241</v>
      </c>
      <c r="L2358" s="1" t="s">
        <v>7269</v>
      </c>
      <c r="M2358" s="6" t="str">
        <f>_xlfn.CONCAT(Table1[[#This Row],[Billing Street]], ", ", Table1[[#This Row],[Billing City]], ", ", Table1[[#This Row],[Billing State/Province]], ", ", Table1[[#This Row],[Billing Zip/Postal Code]])</f>
        <v>1775 Industrial Blvd., Lewisburg, PA, 17537</v>
      </c>
    </row>
    <row r="2359" spans="1:13" ht="15.6" hidden="1" x14ac:dyDescent="0.3">
      <c r="A2359" s="1" t="s">
        <v>7270</v>
      </c>
      <c r="B2359" s="1"/>
      <c r="C2359" s="1"/>
      <c r="D2359" s="1"/>
      <c r="E2359" s="1"/>
      <c r="F2359" s="1"/>
      <c r="G2359" s="1" t="s">
        <v>43</v>
      </c>
      <c r="H2359" s="2">
        <v>243</v>
      </c>
      <c r="I2359" s="1" t="s">
        <v>7271</v>
      </c>
      <c r="J2359" s="1" t="s">
        <v>7272</v>
      </c>
      <c r="K2359" s="1" t="s">
        <v>241</v>
      </c>
      <c r="L2359" s="1" t="s">
        <v>7273</v>
      </c>
      <c r="M2359" s="6" t="str">
        <f>_xlfn.CONCAT(Table1[[#This Row],[Billing Street]], ", ", Table1[[#This Row],[Billing City]], ", ", Table1[[#This Row],[Billing State/Province]], ", ", Table1[[#This Row],[Billing Zip/Postal Code]])</f>
        <v>1338 Biglerville Rd, Gettysburg, PA, 17325-1055</v>
      </c>
    </row>
    <row r="2360" spans="1:13" ht="15.6" hidden="1" x14ac:dyDescent="0.3">
      <c r="A2360" s="1" t="s">
        <v>7274</v>
      </c>
      <c r="B2360" s="1"/>
      <c r="C2360" s="1"/>
      <c r="D2360" s="1"/>
      <c r="E2360" s="1"/>
      <c r="F2360" s="1"/>
      <c r="G2360" s="1" t="s">
        <v>43</v>
      </c>
      <c r="H2360" s="2">
        <v>385</v>
      </c>
      <c r="I2360" s="1" t="s">
        <v>7275</v>
      </c>
      <c r="J2360" s="1" t="s">
        <v>7276</v>
      </c>
      <c r="K2360" s="1" t="s">
        <v>133</v>
      </c>
      <c r="L2360" s="1" t="s">
        <v>7277</v>
      </c>
      <c r="M2360" s="6" t="str">
        <f>_xlfn.CONCAT(Table1[[#This Row],[Billing Street]], ", ", Table1[[#This Row],[Billing City]], ", ", Table1[[#This Row],[Billing State/Province]], ", ", Table1[[#This Row],[Billing Zip/Postal Code]])</f>
        <v>W8861 Creek Road, P.O.Box 717, Darien, WI, 53114</v>
      </c>
    </row>
    <row r="2361" spans="1:13" ht="15.6" hidden="1" x14ac:dyDescent="0.3">
      <c r="A2361" s="1" t="s">
        <v>7278</v>
      </c>
      <c r="B2361" s="1"/>
      <c r="C2361" s="1"/>
      <c r="D2361" s="1"/>
      <c r="E2361" s="1"/>
      <c r="F2361" s="1"/>
      <c r="G2361" s="1" t="s">
        <v>43</v>
      </c>
      <c r="H2361" s="2">
        <v>5776</v>
      </c>
      <c r="I2361" s="1" t="s">
        <v>13</v>
      </c>
      <c r="J2361" s="1" t="s">
        <v>13</v>
      </c>
      <c r="K2361" s="1" t="s">
        <v>241</v>
      </c>
      <c r="L2361" s="1" t="s">
        <v>13</v>
      </c>
      <c r="M2361" s="6" t="str">
        <f>_xlfn.CONCAT(Table1[[#This Row],[Billing Street]], ", ", Table1[[#This Row],[Billing City]], ", ", Table1[[#This Row],[Billing State/Province]], ", ", Table1[[#This Row],[Billing Zip/Postal Code]])</f>
        <v xml:space="preserve">, , PA, </v>
      </c>
    </row>
    <row r="2362" spans="1:13" ht="15.6" hidden="1" x14ac:dyDescent="0.3">
      <c r="A2362" s="1" t="s">
        <v>7279</v>
      </c>
      <c r="B2362" s="1"/>
      <c r="C2362" s="1"/>
      <c r="D2362" s="1"/>
      <c r="E2362" s="1"/>
      <c r="F2362" s="1"/>
      <c r="G2362" s="1" t="s">
        <v>43</v>
      </c>
      <c r="H2362" s="2">
        <v>188</v>
      </c>
      <c r="I2362" s="1" t="s">
        <v>7280</v>
      </c>
      <c r="J2362" s="1" t="s">
        <v>7281</v>
      </c>
      <c r="K2362" s="1" t="s">
        <v>241</v>
      </c>
      <c r="L2362" s="1" t="s">
        <v>7282</v>
      </c>
      <c r="M2362" s="6" t="str">
        <f>_xlfn.CONCAT(Table1[[#This Row],[Billing Street]], ", ", Table1[[#This Row],[Billing City]], ", ", Table1[[#This Row],[Billing State/Province]], ", ", Table1[[#This Row],[Billing Zip/Postal Code]])</f>
        <v>10700 Fairgrounds Road, Huntingdon, PA, 16657</v>
      </c>
    </row>
    <row r="2363" spans="1:13" ht="15.6" hidden="1" x14ac:dyDescent="0.3">
      <c r="A2363" s="1" t="s">
        <v>7283</v>
      </c>
      <c r="B2363" s="1"/>
      <c r="C2363" s="1"/>
      <c r="D2363" s="1"/>
      <c r="E2363" s="1"/>
      <c r="F2363" s="1"/>
      <c r="G2363" s="1" t="s">
        <v>43</v>
      </c>
      <c r="H2363" s="2">
        <v>176</v>
      </c>
      <c r="I2363" s="1" t="s">
        <v>7284</v>
      </c>
      <c r="J2363" s="1" t="s">
        <v>3372</v>
      </c>
      <c r="K2363" s="1" t="s">
        <v>671</v>
      </c>
      <c r="L2363" s="1" t="s">
        <v>7285</v>
      </c>
      <c r="M2363" s="6" t="str">
        <f>_xlfn.CONCAT(Table1[[#This Row],[Billing Street]], ", ", Table1[[#This Row],[Billing City]], ", ", Table1[[#This Row],[Billing State/Province]], ", ", Table1[[#This Row],[Billing Zip/Postal Code]])</f>
        <v>1747 Dale Road, Buffalo, NY, 14225</v>
      </c>
    </row>
    <row r="2364" spans="1:13" ht="15.6" hidden="1" x14ac:dyDescent="0.3">
      <c r="A2364" s="1" t="s">
        <v>7286</v>
      </c>
      <c r="B2364" s="1"/>
      <c r="C2364" s="1"/>
      <c r="D2364" s="1"/>
      <c r="E2364" s="1"/>
      <c r="F2364" s="1"/>
      <c r="G2364" s="1" t="s">
        <v>43</v>
      </c>
      <c r="H2364" s="2">
        <v>5776</v>
      </c>
      <c r="I2364" s="1" t="s">
        <v>13</v>
      </c>
      <c r="J2364" s="1" t="s">
        <v>13</v>
      </c>
      <c r="K2364" s="1" t="s">
        <v>241</v>
      </c>
      <c r="L2364" s="1" t="s">
        <v>13</v>
      </c>
      <c r="M2364" s="6" t="str">
        <f>_xlfn.CONCAT(Table1[[#This Row],[Billing Street]], ", ", Table1[[#This Row],[Billing City]], ", ", Table1[[#This Row],[Billing State/Province]], ", ", Table1[[#This Row],[Billing Zip/Postal Code]])</f>
        <v xml:space="preserve">, , PA, </v>
      </c>
    </row>
    <row r="2365" spans="1:13" ht="15.6" hidden="1" x14ac:dyDescent="0.3">
      <c r="A2365" s="1" t="s">
        <v>7287</v>
      </c>
      <c r="B2365" s="1"/>
      <c r="C2365" s="1"/>
      <c r="D2365" s="1"/>
      <c r="E2365" s="1"/>
      <c r="F2365" s="1"/>
      <c r="G2365" s="1" t="s">
        <v>205</v>
      </c>
      <c r="H2365" s="2">
        <v>10</v>
      </c>
      <c r="I2365" s="1" t="s">
        <v>7288</v>
      </c>
      <c r="J2365" s="1" t="s">
        <v>5889</v>
      </c>
      <c r="K2365" s="1" t="s">
        <v>479</v>
      </c>
      <c r="L2365" s="1" t="s">
        <v>5890</v>
      </c>
      <c r="M2365" s="6" t="str">
        <f>_xlfn.CONCAT(Table1[[#This Row],[Billing Street]], ", ", Table1[[#This Row],[Billing City]], ", ", Table1[[#This Row],[Billing State/Province]], ", ", Table1[[#This Row],[Billing Zip/Postal Code]])</f>
        <v>7005 S Kyrene Rd, Tempe, AZ, 85283</v>
      </c>
    </row>
    <row r="2366" spans="1:13" ht="15.6" hidden="1" x14ac:dyDescent="0.3">
      <c r="A2366" s="1" t="s">
        <v>7289</v>
      </c>
      <c r="B2366" s="1"/>
      <c r="C2366" s="1"/>
      <c r="D2366" s="1"/>
      <c r="E2366" s="1"/>
      <c r="F2366" s="1"/>
      <c r="G2366" s="1" t="s">
        <v>8</v>
      </c>
      <c r="H2366" s="2">
        <v>315</v>
      </c>
      <c r="I2366" s="1" t="s">
        <v>7290</v>
      </c>
      <c r="J2366" s="1" t="s">
        <v>1309</v>
      </c>
      <c r="K2366" s="1" t="s">
        <v>11</v>
      </c>
      <c r="L2366" s="1" t="s">
        <v>936</v>
      </c>
      <c r="M2366" s="6" t="str">
        <f>_xlfn.CONCAT(Table1[[#This Row],[Billing Street]], ", ", Table1[[#This Row],[Billing City]], ", ", Table1[[#This Row],[Billing State/Province]], ", ", Table1[[#This Row],[Billing Zip/Postal Code]])</f>
        <v>1530 South Second St., St. Louis, MO, 63104</v>
      </c>
    </row>
    <row r="2367" spans="1:13" ht="15.6" hidden="1" x14ac:dyDescent="0.3">
      <c r="A2367" s="1" t="s">
        <v>7291</v>
      </c>
      <c r="B2367" s="1"/>
      <c r="C2367" s="1"/>
      <c r="D2367" s="1"/>
      <c r="E2367" s="1"/>
      <c r="F2367" s="1"/>
      <c r="G2367" s="1" t="s">
        <v>43</v>
      </c>
      <c r="H2367" s="2">
        <v>107</v>
      </c>
      <c r="I2367" s="1" t="s">
        <v>7292</v>
      </c>
      <c r="J2367" s="1" t="s">
        <v>1642</v>
      </c>
      <c r="K2367" s="1" t="s">
        <v>82</v>
      </c>
      <c r="L2367" s="1" t="s">
        <v>7293</v>
      </c>
      <c r="M2367" s="6" t="str">
        <f>_xlfn.CONCAT(Table1[[#This Row],[Billing Street]], ", ", Table1[[#This Row],[Billing City]], ", ", Table1[[#This Row],[Billing State/Province]], ", ", Table1[[#This Row],[Billing Zip/Postal Code]])</f>
        <v>1600 Nadeau Road, Monroe, MI, 48162</v>
      </c>
    </row>
    <row r="2368" spans="1:13" ht="15.6" hidden="1" x14ac:dyDescent="0.3">
      <c r="A2368" s="1" t="s">
        <v>7294</v>
      </c>
      <c r="B2368" s="1"/>
      <c r="C2368" s="1"/>
      <c r="D2368" s="1"/>
      <c r="E2368" s="1"/>
      <c r="F2368" s="1"/>
      <c r="G2368" s="1" t="s">
        <v>43</v>
      </c>
      <c r="H2368" s="2">
        <v>121</v>
      </c>
      <c r="I2368" s="1" t="s">
        <v>7295</v>
      </c>
      <c r="J2368" s="1" t="s">
        <v>2642</v>
      </c>
      <c r="K2368" s="1" t="s">
        <v>82</v>
      </c>
      <c r="L2368" s="1" t="s">
        <v>7296</v>
      </c>
      <c r="M2368" s="6" t="str">
        <f>_xlfn.CONCAT(Table1[[#This Row],[Billing Street]], ", ", Table1[[#This Row],[Billing City]], ", ", Table1[[#This Row],[Billing State/Province]], ", ", Table1[[#This Row],[Billing Zip/Postal Code]])</f>
        <v>1355 Combermere Drive, Troy, MI, 48083</v>
      </c>
    </row>
    <row r="2369" spans="1:13" ht="15.6" x14ac:dyDescent="0.3">
      <c r="A2369" s="1" t="s">
        <v>7297</v>
      </c>
      <c r="B2369" s="1"/>
      <c r="C2369" s="1"/>
      <c r="D2369" s="1"/>
      <c r="E2369" s="1"/>
      <c r="F2369" s="1"/>
      <c r="G2369" s="1" t="s">
        <v>24</v>
      </c>
      <c r="H2369" s="2">
        <v>231</v>
      </c>
      <c r="I2369" s="1" t="s">
        <v>7298</v>
      </c>
      <c r="J2369" s="1" t="s">
        <v>3356</v>
      </c>
      <c r="K2369" s="1" t="s">
        <v>577</v>
      </c>
      <c r="L2369" s="1" t="s">
        <v>3358</v>
      </c>
      <c r="M2369" s="6" t="str">
        <f>_xlfn.CONCAT(Table1[[#This Row],[Billing Street]], ", ", Table1[[#This Row],[Billing City]], ", ", Table1[[#This Row],[Billing State/Province]], ", ", Table1[[#This Row],[Billing Zip/Postal Code]])</f>
        <v>13800 Old Gentilly Road, New Orleans, LA, 70129</v>
      </c>
    </row>
    <row r="2370" spans="1:13" ht="15.6" hidden="1" x14ac:dyDescent="0.3">
      <c r="A2370" s="1" t="s">
        <v>7299</v>
      </c>
      <c r="B2370" s="1"/>
      <c r="C2370" s="1"/>
      <c r="D2370" s="1"/>
      <c r="E2370" s="1"/>
      <c r="F2370" s="1"/>
      <c r="G2370" s="1" t="s">
        <v>43</v>
      </c>
      <c r="H2370" s="2">
        <v>249</v>
      </c>
      <c r="I2370" s="1" t="s">
        <v>7300</v>
      </c>
      <c r="J2370" s="1" t="s">
        <v>7301</v>
      </c>
      <c r="K2370" s="1" t="s">
        <v>275</v>
      </c>
      <c r="L2370" s="1" t="s">
        <v>7302</v>
      </c>
      <c r="M2370" s="6" t="str">
        <f>_xlfn.CONCAT(Table1[[#This Row],[Billing Street]], ", ", Table1[[#This Row],[Billing City]], ", ", Table1[[#This Row],[Billing State/Province]], ", ", Table1[[#This Row],[Billing Zip/Postal Code]])</f>
        <v>590 Plant Rd, Dresden, ny, 14441</v>
      </c>
    </row>
    <row r="2371" spans="1:13" ht="15.6" x14ac:dyDescent="0.3">
      <c r="A2371" s="1" t="s">
        <v>7303</v>
      </c>
      <c r="B2371" s="1"/>
      <c r="C2371" s="1"/>
      <c r="D2371" s="1"/>
      <c r="E2371" s="1"/>
      <c r="F2371" s="1"/>
      <c r="G2371" s="1" t="s">
        <v>24</v>
      </c>
      <c r="H2371" s="2">
        <v>38</v>
      </c>
      <c r="I2371" s="1" t="s">
        <v>7304</v>
      </c>
      <c r="J2371" s="1" t="s">
        <v>7305</v>
      </c>
      <c r="K2371" s="1" t="s">
        <v>26</v>
      </c>
      <c r="L2371" s="1" t="s">
        <v>7306</v>
      </c>
      <c r="M2371" s="6" t="str">
        <f>_xlfn.CONCAT(Table1[[#This Row],[Billing Street]], ", ", Table1[[#This Row],[Billing City]], ", ", Table1[[#This Row],[Billing State/Province]], ", ", Table1[[#This Row],[Billing Zip/Postal Code]])</f>
        <v>290 peacock circle, Hartford,, AL, 36344</v>
      </c>
    </row>
    <row r="2372" spans="1:13" ht="15.6" x14ac:dyDescent="0.3">
      <c r="A2372" s="1" t="s">
        <v>7307</v>
      </c>
      <c r="B2372" s="1"/>
      <c r="C2372" s="1"/>
      <c r="D2372" s="1"/>
      <c r="E2372" s="1"/>
      <c r="F2372" s="1"/>
      <c r="G2372" s="1" t="s">
        <v>24</v>
      </c>
      <c r="H2372" s="2">
        <v>197</v>
      </c>
      <c r="I2372" s="1" t="s">
        <v>7308</v>
      </c>
      <c r="J2372" s="1" t="s">
        <v>372</v>
      </c>
      <c r="K2372" s="1" t="s">
        <v>26</v>
      </c>
      <c r="L2372" s="1" t="s">
        <v>7309</v>
      </c>
      <c r="M2372" s="6" t="str">
        <f>_xlfn.CONCAT(Table1[[#This Row],[Billing Street]], ", ", Table1[[#This Row],[Billing City]], ", ", Table1[[#This Row],[Billing State/Province]], ", ", Table1[[#This Row],[Billing Zip/Postal Code]])</f>
        <v>125 32nd St South, Birmingham, AL, 35233</v>
      </c>
    </row>
    <row r="2373" spans="1:13" ht="15.6" hidden="1" x14ac:dyDescent="0.3">
      <c r="A2373" s="1" t="s">
        <v>7310</v>
      </c>
      <c r="B2373" s="1"/>
      <c r="C2373" s="1"/>
      <c r="D2373" s="1"/>
      <c r="E2373" s="1"/>
      <c r="F2373" s="1"/>
      <c r="G2373" s="1" t="s">
        <v>43</v>
      </c>
      <c r="H2373" s="2">
        <v>30</v>
      </c>
      <c r="I2373" s="1" t="s">
        <v>7311</v>
      </c>
      <c r="J2373" s="1" t="s">
        <v>7312</v>
      </c>
      <c r="K2373" s="1" t="s">
        <v>45</v>
      </c>
      <c r="L2373" s="1" t="s">
        <v>7313</v>
      </c>
      <c r="M2373" s="6" t="str">
        <f>_xlfn.CONCAT(Table1[[#This Row],[Billing Street]], ", ", Table1[[#This Row],[Billing City]], ", ", Table1[[#This Row],[Billing State/Province]], ", ", Table1[[#This Row],[Billing Zip/Postal Code]])</f>
        <v>459 Storrs Street, Painesville, OH, 44077</v>
      </c>
    </row>
    <row r="2374" spans="1:13" ht="15.6" x14ac:dyDescent="0.3">
      <c r="A2374" s="1" t="s">
        <v>7314</v>
      </c>
      <c r="B2374" s="1"/>
      <c r="C2374" s="1"/>
      <c r="D2374" s="1"/>
      <c r="E2374" s="1"/>
      <c r="F2374" s="1"/>
      <c r="G2374" s="1" t="s">
        <v>24</v>
      </c>
      <c r="H2374" s="2">
        <v>77</v>
      </c>
      <c r="I2374" s="1" t="s">
        <v>7315</v>
      </c>
      <c r="J2374" s="1" t="s">
        <v>1114</v>
      </c>
      <c r="K2374" s="1" t="s">
        <v>36</v>
      </c>
      <c r="L2374" s="1" t="s">
        <v>7316</v>
      </c>
      <c r="M2374" s="6" t="str">
        <f>_xlfn.CONCAT(Table1[[#This Row],[Billing Street]], ", ", Table1[[#This Row],[Billing City]], ", ", Table1[[#This Row],[Billing State/Province]], ", ", Table1[[#This Row],[Billing Zip/Postal Code]])</f>
        <v>11064 NW Dempsey Barron Rd, Bristol, FL, 32321</v>
      </c>
    </row>
    <row r="2375" spans="1:13" ht="15.6" x14ac:dyDescent="0.3">
      <c r="A2375" s="1" t="s">
        <v>7317</v>
      </c>
      <c r="B2375" s="1"/>
      <c r="C2375" s="1"/>
      <c r="D2375" s="1"/>
      <c r="E2375" s="1"/>
      <c r="F2375" s="1"/>
      <c r="G2375" s="1" t="s">
        <v>24</v>
      </c>
      <c r="H2375" s="2">
        <v>194</v>
      </c>
      <c r="I2375" s="1" t="s">
        <v>7318</v>
      </c>
      <c r="J2375" s="1" t="s">
        <v>534</v>
      </c>
      <c r="K2375" s="1" t="s">
        <v>26</v>
      </c>
      <c r="L2375" s="1" t="s">
        <v>6204</v>
      </c>
      <c r="M2375" s="6" t="str">
        <f>_xlfn.CONCAT(Table1[[#This Row],[Billing Street]], ", ", Table1[[#This Row],[Billing City]], ", ", Table1[[#This Row],[Billing State/Province]], ", ", Table1[[#This Row],[Billing Zip/Postal Code]])</f>
        <v>2400 J Terrell Wooten Dr, Bessemer, AL, 35020</v>
      </c>
    </row>
    <row r="2376" spans="1:13" ht="15.6" hidden="1" x14ac:dyDescent="0.3">
      <c r="A2376" s="1" t="s">
        <v>7319</v>
      </c>
      <c r="B2376" s="1"/>
      <c r="C2376" s="1"/>
      <c r="D2376" s="1"/>
      <c r="E2376" s="1"/>
      <c r="F2376" s="1"/>
      <c r="G2376" s="1" t="s">
        <v>43</v>
      </c>
      <c r="H2376" s="2">
        <v>40</v>
      </c>
      <c r="I2376" s="1" t="s">
        <v>7320</v>
      </c>
      <c r="J2376" s="1" t="s">
        <v>7321</v>
      </c>
      <c r="K2376" s="1" t="s">
        <v>45</v>
      </c>
      <c r="L2376" s="1" t="s">
        <v>7322</v>
      </c>
      <c r="M2376" s="6" t="str">
        <f>_xlfn.CONCAT(Table1[[#This Row],[Billing Street]], ", ", Table1[[#This Row],[Billing City]], ", ", Table1[[#This Row],[Billing State/Province]], ", ", Table1[[#This Row],[Billing Zip/Postal Code]])</f>
        <v>289 S. Professor Street, Oberlin, OH, 44074</v>
      </c>
    </row>
    <row r="2377" spans="1:13" ht="15.6" hidden="1" x14ac:dyDescent="0.3">
      <c r="A2377" s="1" t="s">
        <v>7323</v>
      </c>
      <c r="B2377" s="1"/>
      <c r="C2377" s="1"/>
      <c r="D2377" s="1"/>
      <c r="E2377" s="1"/>
      <c r="F2377" s="1"/>
      <c r="G2377" s="1" t="s">
        <v>43</v>
      </c>
      <c r="H2377" s="2">
        <v>5776</v>
      </c>
      <c r="I2377" s="1" t="s">
        <v>13</v>
      </c>
      <c r="J2377" s="1" t="s">
        <v>13</v>
      </c>
      <c r="K2377" s="1" t="s">
        <v>45</v>
      </c>
      <c r="L2377" s="1" t="s">
        <v>13</v>
      </c>
      <c r="M2377" s="6" t="str">
        <f>_xlfn.CONCAT(Table1[[#This Row],[Billing Street]], ", ", Table1[[#This Row],[Billing City]], ", ", Table1[[#This Row],[Billing State/Province]], ", ", Table1[[#This Row],[Billing Zip/Postal Code]])</f>
        <v xml:space="preserve">, , OH, </v>
      </c>
    </row>
    <row r="2378" spans="1:13" ht="15.6" x14ac:dyDescent="0.3">
      <c r="A2378" s="1" t="s">
        <v>7324</v>
      </c>
      <c r="B2378" s="1"/>
      <c r="C2378" s="1"/>
      <c r="D2378" s="1"/>
      <c r="E2378" s="1"/>
      <c r="F2378" s="1"/>
      <c r="G2378" s="1" t="s">
        <v>24</v>
      </c>
      <c r="H2378" s="2">
        <v>242</v>
      </c>
      <c r="I2378" s="1" t="s">
        <v>7325</v>
      </c>
      <c r="J2378" s="1" t="s">
        <v>7326</v>
      </c>
      <c r="K2378" s="1" t="s">
        <v>26</v>
      </c>
      <c r="L2378" s="1" t="s">
        <v>7327</v>
      </c>
      <c r="M2378" s="6" t="str">
        <f>_xlfn.CONCAT(Table1[[#This Row],[Billing Street]], ", ", Table1[[#This Row],[Billing City]], ", ", Table1[[#This Row],[Billing State/Province]], ", ", Table1[[#This Row],[Billing Zip/Postal Code]])</f>
        <v>1413 4th St SW, Cullman, AL, 35055</v>
      </c>
    </row>
    <row r="2379" spans="1:13" ht="15.6" x14ac:dyDescent="0.3">
      <c r="A2379" s="1" t="s">
        <v>7328</v>
      </c>
      <c r="B2379" s="1"/>
      <c r="C2379" s="1"/>
      <c r="D2379" s="1"/>
      <c r="E2379" s="1"/>
      <c r="F2379" s="1"/>
      <c r="G2379" s="1" t="s">
        <v>24</v>
      </c>
      <c r="H2379" s="2">
        <v>5988</v>
      </c>
      <c r="I2379" s="1" t="s">
        <v>7329</v>
      </c>
      <c r="J2379" s="1" t="s">
        <v>2725</v>
      </c>
      <c r="K2379" s="1" t="s">
        <v>26</v>
      </c>
      <c r="L2379" s="1" t="s">
        <v>4564</v>
      </c>
      <c r="M2379" s="6" t="str">
        <f>_xlfn.CONCAT(Table1[[#This Row],[Billing Street]], ", ", Table1[[#This Row],[Billing City]], ", ", Table1[[#This Row],[Billing State/Province]], ", ", Table1[[#This Row],[Billing Zip/Postal Code]])</f>
        <v>956 Industrial Blvd, Albertville, AL, 35950</v>
      </c>
    </row>
    <row r="2380" spans="1:13" ht="15.6" hidden="1" x14ac:dyDescent="0.3">
      <c r="A2380" s="1" t="s">
        <v>7330</v>
      </c>
      <c r="B2380" s="1"/>
      <c r="C2380" s="1"/>
      <c r="D2380" s="1"/>
      <c r="E2380" s="1"/>
      <c r="F2380" s="1"/>
      <c r="G2380" s="1" t="s">
        <v>54</v>
      </c>
      <c r="H2380" s="2">
        <v>942</v>
      </c>
      <c r="I2380" s="1" t="s">
        <v>7331</v>
      </c>
      <c r="J2380" s="1" t="s">
        <v>1818</v>
      </c>
      <c r="K2380" s="1" t="s">
        <v>2304</v>
      </c>
      <c r="L2380" s="1" t="s">
        <v>7332</v>
      </c>
      <c r="M2380" s="6" t="str">
        <f>_xlfn.CONCAT(Table1[[#This Row],[Billing Street]], ", ", Table1[[#This Row],[Billing City]], ", ", Table1[[#This Row],[Billing State/Province]], ", ", Table1[[#This Row],[Billing Zip/Postal Code]])</f>
        <v>904 N. Pines Rd, Spokane, Wa, 99214</v>
      </c>
    </row>
    <row r="2381" spans="1:13" ht="15.6" hidden="1" x14ac:dyDescent="0.3">
      <c r="A2381" s="1" t="s">
        <v>7333</v>
      </c>
      <c r="B2381" s="1"/>
      <c r="C2381" s="1"/>
      <c r="D2381" s="1"/>
      <c r="E2381" s="1"/>
      <c r="F2381" s="1"/>
      <c r="G2381" s="1" t="s">
        <v>43</v>
      </c>
      <c r="H2381" s="2">
        <v>182</v>
      </c>
      <c r="I2381" s="1" t="s">
        <v>7334</v>
      </c>
      <c r="J2381" s="1" t="s">
        <v>2623</v>
      </c>
      <c r="K2381" s="1" t="s">
        <v>45</v>
      </c>
      <c r="L2381" s="1" t="s">
        <v>2624</v>
      </c>
      <c r="M2381" s="6" t="str">
        <f>_xlfn.CONCAT(Table1[[#This Row],[Billing Street]], ", ", Table1[[#This Row],[Billing City]], ", ", Table1[[#This Row],[Billing State/Province]], ", ", Table1[[#This Row],[Billing Zip/Postal Code]])</f>
        <v>1900 Dryden Road, Dayton, OH, 45439</v>
      </c>
    </row>
    <row r="2382" spans="1:13" ht="15.6" hidden="1" x14ac:dyDescent="0.3">
      <c r="A2382" s="1" t="s">
        <v>7335</v>
      </c>
      <c r="B2382" s="1"/>
      <c r="C2382" s="1"/>
      <c r="D2382" s="1"/>
      <c r="E2382" s="1"/>
      <c r="F2382" s="1"/>
      <c r="G2382" s="1" t="s">
        <v>8</v>
      </c>
      <c r="H2382" s="2">
        <v>6528</v>
      </c>
      <c r="I2382" s="1" t="s">
        <v>7336</v>
      </c>
      <c r="J2382" s="1" t="s">
        <v>7337</v>
      </c>
      <c r="K2382" s="1" t="s">
        <v>2414</v>
      </c>
      <c r="L2382" s="1" t="s">
        <v>7338</v>
      </c>
      <c r="M2382" s="6" t="str">
        <f>_xlfn.CONCAT(Table1[[#This Row],[Billing Street]], ", ", Table1[[#This Row],[Billing City]], ", ", Table1[[#This Row],[Billing State/Province]], ", ", Table1[[#This Row],[Billing Zip/Postal Code]])</f>
        <v>110 Main St, Circle, MT, 59215</v>
      </c>
    </row>
    <row r="2383" spans="1:13" ht="15.6" hidden="1" x14ac:dyDescent="0.3">
      <c r="A2383" s="1" t="s">
        <v>7339</v>
      </c>
      <c r="B2383" s="1"/>
      <c r="C2383" s="1"/>
      <c r="D2383" s="1"/>
      <c r="E2383" s="1"/>
      <c r="F2383" s="1"/>
      <c r="G2383" s="1" t="s">
        <v>205</v>
      </c>
      <c r="H2383" s="2">
        <v>634</v>
      </c>
      <c r="I2383" s="1" t="s">
        <v>7340</v>
      </c>
      <c r="J2383" s="1" t="s">
        <v>7341</v>
      </c>
      <c r="K2383" s="1" t="s">
        <v>2309</v>
      </c>
      <c r="L2383" s="1" t="s">
        <v>7342</v>
      </c>
      <c r="M2383" s="6" t="str">
        <f>_xlfn.CONCAT(Table1[[#This Row],[Billing Street]], ", ", Table1[[#This Row],[Billing City]], ", ", Table1[[#This Row],[Billing State/Province]], ", ", Table1[[#This Row],[Billing Zip/Postal Code]])</f>
        <v>2020 Parke Avenue, Burley, ID, 83318</v>
      </c>
    </row>
    <row r="2384" spans="1:13" ht="15.6" hidden="1" x14ac:dyDescent="0.3">
      <c r="A2384" s="1" t="s">
        <v>7343</v>
      </c>
      <c r="B2384" s="1"/>
      <c r="C2384" s="1"/>
      <c r="D2384" s="1"/>
      <c r="E2384" s="1"/>
      <c r="F2384" s="1"/>
      <c r="G2384" s="1" t="s">
        <v>54</v>
      </c>
      <c r="H2384" s="2">
        <v>930</v>
      </c>
      <c r="I2384" s="1" t="s">
        <v>7344</v>
      </c>
      <c r="J2384" s="1" t="s">
        <v>7345</v>
      </c>
      <c r="K2384" s="1" t="s">
        <v>405</v>
      </c>
      <c r="L2384" s="1" t="s">
        <v>7346</v>
      </c>
      <c r="M2384" s="6" t="str">
        <f>_xlfn.CONCAT(Table1[[#This Row],[Billing Street]], ", ", Table1[[#This Row],[Billing City]], ", ", Table1[[#This Row],[Billing State/Province]], ", ", Table1[[#This Row],[Billing Zip/Postal Code]])</f>
        <v>12918 Park Ave. so, Tacoma, WA, 98448</v>
      </c>
    </row>
    <row r="2385" spans="1:13" ht="15.6" hidden="1" x14ac:dyDescent="0.3">
      <c r="A2385" s="1" t="s">
        <v>7347</v>
      </c>
      <c r="B2385" s="1"/>
      <c r="C2385" s="1"/>
      <c r="D2385" s="1"/>
      <c r="E2385" s="1"/>
      <c r="F2385" s="1"/>
      <c r="G2385" s="1" t="s">
        <v>54</v>
      </c>
      <c r="H2385" s="2">
        <v>872</v>
      </c>
      <c r="I2385" s="1" t="s">
        <v>7348</v>
      </c>
      <c r="J2385" s="1" t="s">
        <v>7349</v>
      </c>
      <c r="K2385" s="1" t="s">
        <v>7350</v>
      </c>
      <c r="L2385" s="1" t="s">
        <v>7351</v>
      </c>
      <c r="M2385" s="6" t="str">
        <f>_xlfn.CONCAT(Table1[[#This Row],[Billing Street]], ", ", Table1[[#This Row],[Billing City]], ", ", Table1[[#This Row],[Billing State/Province]], ", ", Table1[[#This Row],[Billing Zip/Postal Code]])</f>
        <v>495 E. Columbia River Hwy, Clatskanie, Or, 97016</v>
      </c>
    </row>
    <row r="2386" spans="1:13" ht="15.6" hidden="1" x14ac:dyDescent="0.3">
      <c r="A2386" s="1" t="s">
        <v>7352</v>
      </c>
      <c r="B2386" s="1"/>
      <c r="C2386" s="1"/>
      <c r="D2386" s="1"/>
      <c r="E2386" s="1"/>
      <c r="F2386" s="1"/>
      <c r="G2386" s="1" t="s">
        <v>205</v>
      </c>
      <c r="H2386" s="2">
        <v>616</v>
      </c>
      <c r="I2386" s="1" t="s">
        <v>7353</v>
      </c>
      <c r="J2386" s="1" t="s">
        <v>7354</v>
      </c>
      <c r="K2386" s="1" t="s">
        <v>2309</v>
      </c>
      <c r="L2386" s="1" t="s">
        <v>7355</v>
      </c>
      <c r="M2386" s="6" t="str">
        <f>_xlfn.CONCAT(Table1[[#This Row],[Billing Street]], ", ", Table1[[#This Row],[Billing City]], ", ", Table1[[#This Row],[Billing State/Province]], ", ", Table1[[#This Row],[Billing Zip/Postal Code]])</f>
        <v>155 N Main St, Malta, ID, 83342</v>
      </c>
    </row>
    <row r="2387" spans="1:13" ht="15.6" hidden="1" x14ac:dyDescent="0.3">
      <c r="A2387" s="1" t="s">
        <v>7356</v>
      </c>
      <c r="B2387" s="1"/>
      <c r="C2387" s="1"/>
      <c r="D2387" s="1"/>
      <c r="E2387" s="1"/>
      <c r="F2387" s="1"/>
      <c r="G2387" s="1" t="s">
        <v>54</v>
      </c>
      <c r="H2387" s="2">
        <v>813</v>
      </c>
      <c r="I2387" s="1" t="s">
        <v>7357</v>
      </c>
      <c r="J2387" s="1" t="s">
        <v>7358</v>
      </c>
      <c r="K2387" s="1" t="s">
        <v>7350</v>
      </c>
      <c r="L2387" s="1" t="s">
        <v>7359</v>
      </c>
      <c r="M2387" s="6" t="str">
        <f>_xlfn.CONCAT(Table1[[#This Row],[Billing Street]], ", ", Table1[[#This Row],[Billing City]], ", ", Table1[[#This Row],[Billing State/Province]], ", ", Table1[[#This Row],[Billing Zip/Postal Code]])</f>
        <v>105 east 4th street, The Dallas, Or, 97058</v>
      </c>
    </row>
    <row r="2388" spans="1:13" ht="15.6" hidden="1" x14ac:dyDescent="0.3">
      <c r="A2388" s="1" t="s">
        <v>7360</v>
      </c>
      <c r="B2388" s="1"/>
      <c r="C2388" s="1"/>
      <c r="D2388" s="1"/>
      <c r="E2388" s="1"/>
      <c r="F2388" s="1"/>
      <c r="G2388" s="1" t="s">
        <v>8</v>
      </c>
      <c r="H2388" s="2">
        <v>6528</v>
      </c>
      <c r="I2388" s="1" t="s">
        <v>7361</v>
      </c>
      <c r="J2388" s="1" t="s">
        <v>7362</v>
      </c>
      <c r="K2388" s="1" t="s">
        <v>2414</v>
      </c>
      <c r="L2388" s="1" t="s">
        <v>7363</v>
      </c>
      <c r="M2388" s="6" t="str">
        <f>_xlfn.CONCAT(Table1[[#This Row],[Billing Street]], ", ", Table1[[#This Row],[Billing City]], ", ", Table1[[#This Row],[Billing State/Province]], ", ", Table1[[#This Row],[Billing Zip/Postal Code]])</f>
        <v>312 Osloski Rd, Eureka, MT, 59917</v>
      </c>
    </row>
    <row r="2389" spans="1:13" ht="15.6" hidden="1" x14ac:dyDescent="0.3">
      <c r="A2389" s="1" t="s">
        <v>7364</v>
      </c>
      <c r="B2389" s="1"/>
      <c r="C2389" s="1"/>
      <c r="D2389" s="1"/>
      <c r="E2389" s="1"/>
      <c r="F2389" s="1"/>
      <c r="G2389" s="1" t="s">
        <v>54</v>
      </c>
      <c r="H2389" s="2">
        <v>821</v>
      </c>
      <c r="I2389" s="1" t="s">
        <v>7365</v>
      </c>
      <c r="J2389" s="1" t="s">
        <v>7366</v>
      </c>
      <c r="K2389" s="1" t="s">
        <v>2254</v>
      </c>
      <c r="L2389" s="1" t="s">
        <v>7367</v>
      </c>
      <c r="M2389" s="6" t="str">
        <f>_xlfn.CONCAT(Table1[[#This Row],[Billing Street]], ", ", Table1[[#This Row],[Billing City]], ", ", Table1[[#This Row],[Billing State/Province]], ", ", Table1[[#This Row],[Billing Zip/Postal Code]])</f>
        <v>722 S. Main, Milton-Freewater, OR, 97862</v>
      </c>
    </row>
    <row r="2390" spans="1:13" ht="15.6" hidden="1" x14ac:dyDescent="0.3">
      <c r="A2390" s="1" t="s">
        <v>7368</v>
      </c>
      <c r="B2390" s="1"/>
      <c r="C2390" s="1"/>
      <c r="D2390" s="1"/>
      <c r="E2390" s="1"/>
      <c r="F2390" s="1"/>
      <c r="G2390" s="1" t="s">
        <v>8</v>
      </c>
      <c r="H2390" s="2">
        <v>6528</v>
      </c>
      <c r="I2390" s="1" t="s">
        <v>7369</v>
      </c>
      <c r="J2390" s="1" t="s">
        <v>7238</v>
      </c>
      <c r="K2390" s="1" t="s">
        <v>2414</v>
      </c>
      <c r="L2390" s="1" t="s">
        <v>7370</v>
      </c>
      <c r="M2390" s="6" t="str">
        <f>_xlfn.CONCAT(Table1[[#This Row],[Billing Street]], ", ", Table1[[#This Row],[Billing City]], ", ", Table1[[#This Row],[Billing State/Province]], ", ", Table1[[#This Row],[Billing Zip/Postal Code]])</f>
        <v>2435 US-212, Ashland, MT, 59003</v>
      </c>
    </row>
    <row r="2391" spans="1:13" ht="15.6" hidden="1" x14ac:dyDescent="0.3">
      <c r="A2391" s="1" t="s">
        <v>7371</v>
      </c>
      <c r="B2391" s="1"/>
      <c r="C2391" s="1"/>
      <c r="D2391" s="1"/>
      <c r="E2391" s="1"/>
      <c r="F2391" s="1"/>
      <c r="G2391" s="1" t="s">
        <v>8</v>
      </c>
      <c r="H2391" s="2">
        <v>6528</v>
      </c>
      <c r="I2391" s="1" t="s">
        <v>7372</v>
      </c>
      <c r="J2391" s="1" t="s">
        <v>1843</v>
      </c>
      <c r="K2391" s="1" t="s">
        <v>2414</v>
      </c>
      <c r="L2391" s="1" t="s">
        <v>7373</v>
      </c>
      <c r="M2391" s="6" t="str">
        <f>_xlfn.CONCAT(Table1[[#This Row],[Billing Street]], ", ", Table1[[#This Row],[Billing City]], ", ", Table1[[#This Row],[Billing State/Province]], ", ", Table1[[#This Row],[Billing Zip/Postal Code]])</f>
        <v>5706 US-89 S, Livingston, MT, 59047</v>
      </c>
    </row>
    <row r="2392" spans="1:13" ht="15.6" hidden="1" x14ac:dyDescent="0.3">
      <c r="A2392" s="1" t="s">
        <v>7374</v>
      </c>
      <c r="B2392" s="1"/>
      <c r="C2392" s="1"/>
      <c r="D2392" s="1"/>
      <c r="E2392" s="1"/>
      <c r="F2392" s="1"/>
      <c r="G2392" s="1" t="s">
        <v>43</v>
      </c>
      <c r="H2392" s="2">
        <v>76</v>
      </c>
      <c r="I2392" s="1" t="s">
        <v>7375</v>
      </c>
      <c r="J2392" s="1" t="s">
        <v>2698</v>
      </c>
      <c r="K2392" s="1" t="s">
        <v>45</v>
      </c>
      <c r="L2392" s="1" t="s">
        <v>2699</v>
      </c>
      <c r="M2392" s="6" t="str">
        <f>_xlfn.CONCAT(Table1[[#This Row],[Billing Street]], ", ", Table1[[#This Row],[Billing City]], ", ", Table1[[#This Row],[Billing State/Province]], ", ", Table1[[#This Row],[Billing Zip/Postal Code]])</f>
        <v>770 South 2nd Street, Coshocton, OH, 43812</v>
      </c>
    </row>
    <row r="2393" spans="1:13" ht="15.6" hidden="1" x14ac:dyDescent="0.3">
      <c r="A2393" s="1" t="s">
        <v>7376</v>
      </c>
      <c r="B2393" s="1"/>
      <c r="C2393" s="1"/>
      <c r="D2393" s="1"/>
      <c r="E2393" s="1"/>
      <c r="F2393" s="1"/>
      <c r="G2393" s="1" t="s">
        <v>8</v>
      </c>
      <c r="H2393" s="2">
        <v>579</v>
      </c>
      <c r="I2393" s="1" t="s">
        <v>7377</v>
      </c>
      <c r="J2393" s="1" t="s">
        <v>7378</v>
      </c>
      <c r="K2393" s="1" t="s">
        <v>128</v>
      </c>
      <c r="L2393" s="1" t="s">
        <v>7379</v>
      </c>
      <c r="M2393" s="6" t="str">
        <f>_xlfn.CONCAT(Table1[[#This Row],[Billing Street]], ", ", Table1[[#This Row],[Billing City]], ", ", Table1[[#This Row],[Billing State/Province]], ", ", Table1[[#This Row],[Billing Zip/Postal Code]])</f>
        <v>12302 County Road 7 Nw, Maple Lake, MN, 55358</v>
      </c>
    </row>
    <row r="2394" spans="1:13" ht="15.6" hidden="1" x14ac:dyDescent="0.3">
      <c r="A2394" s="1" t="s">
        <v>7380</v>
      </c>
      <c r="B2394" s="1"/>
      <c r="C2394" s="1"/>
      <c r="D2394" s="1"/>
      <c r="E2394" s="1"/>
      <c r="F2394" s="1"/>
      <c r="G2394" s="1" t="s">
        <v>54</v>
      </c>
      <c r="H2394" s="2">
        <v>816</v>
      </c>
      <c r="I2394" s="1" t="s">
        <v>7381</v>
      </c>
      <c r="J2394" s="1" t="s">
        <v>7382</v>
      </c>
      <c r="K2394" s="1" t="s">
        <v>7350</v>
      </c>
      <c r="L2394" s="1" t="s">
        <v>7383</v>
      </c>
      <c r="M2394" s="6" t="str">
        <f>_xlfn.CONCAT(Table1[[#This Row],[Billing Street]], ", ", Table1[[#This Row],[Billing City]], ", ", Table1[[#This Row],[Billing State/Province]], ", ", Table1[[#This Row],[Billing Zip/Postal Code]])</f>
        <v>180 Northeast 2nd street, Hermiston, Or, 97838</v>
      </c>
    </row>
    <row r="2395" spans="1:13" ht="15.6" hidden="1" x14ac:dyDescent="0.3">
      <c r="A2395" s="1" t="s">
        <v>7384</v>
      </c>
      <c r="B2395" s="1"/>
      <c r="C2395" s="1"/>
      <c r="D2395" s="1"/>
      <c r="E2395" s="1"/>
      <c r="F2395" s="1"/>
      <c r="G2395" s="1" t="s">
        <v>8</v>
      </c>
      <c r="H2395" s="2">
        <v>574</v>
      </c>
      <c r="I2395" s="1" t="s">
        <v>7385</v>
      </c>
      <c r="J2395" s="1" t="s">
        <v>7386</v>
      </c>
      <c r="K2395" s="1" t="s">
        <v>128</v>
      </c>
      <c r="L2395" s="1" t="s">
        <v>7387</v>
      </c>
      <c r="M2395" s="6" t="str">
        <f>_xlfn.CONCAT(Table1[[#This Row],[Billing Street]], ", ", Table1[[#This Row],[Billing City]], ", ", Table1[[#This Row],[Billing State/Province]], ", ", Table1[[#This Row],[Billing Zip/Postal Code]])</f>
        <v>4125 Napier Ct Ne, Saint Michael, MN, 55376</v>
      </c>
    </row>
    <row r="2396" spans="1:13" ht="15.6" hidden="1" x14ac:dyDescent="0.3">
      <c r="A2396" s="1" t="s">
        <v>7388</v>
      </c>
      <c r="B2396" s="1"/>
      <c r="C2396" s="1"/>
      <c r="D2396" s="1"/>
      <c r="E2396" s="1"/>
      <c r="F2396" s="1"/>
      <c r="G2396" s="1" t="s">
        <v>8</v>
      </c>
      <c r="H2396" s="2">
        <v>562</v>
      </c>
      <c r="I2396" s="1" t="s">
        <v>7389</v>
      </c>
      <c r="J2396" s="1" t="s">
        <v>1367</v>
      </c>
      <c r="K2396" s="1" t="s">
        <v>128</v>
      </c>
      <c r="L2396" s="1" t="s">
        <v>7390</v>
      </c>
      <c r="M2396" s="6" t="str">
        <f>_xlfn.CONCAT(Table1[[#This Row],[Billing Street]], ", ", Table1[[#This Row],[Billing City]], ", ", Table1[[#This Row],[Billing State/Province]], ", ", Table1[[#This Row],[Billing Zip/Postal Code]])</f>
        <v>2721 E Franklin Ave, Minneapolis, MN, 55406</v>
      </c>
    </row>
    <row r="2397" spans="1:13" ht="15.6" hidden="1" x14ac:dyDescent="0.3">
      <c r="A2397" s="1" t="s">
        <v>7391</v>
      </c>
      <c r="B2397" s="1"/>
      <c r="C2397" s="1"/>
      <c r="D2397" s="1"/>
      <c r="E2397" s="1"/>
      <c r="F2397" s="1"/>
      <c r="G2397" s="1" t="s">
        <v>8</v>
      </c>
      <c r="H2397" s="2">
        <v>572</v>
      </c>
      <c r="I2397" s="1" t="s">
        <v>7392</v>
      </c>
      <c r="J2397" s="1" t="s">
        <v>7393</v>
      </c>
      <c r="K2397" s="1" t="s">
        <v>128</v>
      </c>
      <c r="L2397" s="1" t="s">
        <v>7394</v>
      </c>
      <c r="M2397" s="6" t="str">
        <f>_xlfn.CONCAT(Table1[[#This Row],[Billing Street]], ", ", Table1[[#This Row],[Billing City]], ", ", Table1[[#This Row],[Billing State/Province]], ", ", Table1[[#This Row],[Billing Zip/Postal Code]])</f>
        <v>2112 93Rd Trail, Brooklyn Park, MN, 55444</v>
      </c>
    </row>
    <row r="2398" spans="1:13" ht="15.6" hidden="1" x14ac:dyDescent="0.3">
      <c r="A2398" s="1" t="s">
        <v>7395</v>
      </c>
      <c r="B2398" s="1"/>
      <c r="C2398" s="1"/>
      <c r="D2398" s="1"/>
      <c r="E2398" s="1"/>
      <c r="F2398" s="1"/>
      <c r="G2398" s="1" t="s">
        <v>8</v>
      </c>
      <c r="H2398" s="2">
        <v>595</v>
      </c>
      <c r="I2398" s="1" t="s">
        <v>7396</v>
      </c>
      <c r="J2398" s="1" t="s">
        <v>7397</v>
      </c>
      <c r="K2398" s="1" t="s">
        <v>128</v>
      </c>
      <c r="L2398" s="1" t="s">
        <v>7398</v>
      </c>
      <c r="M2398" s="6" t="str">
        <f>_xlfn.CONCAT(Table1[[#This Row],[Billing Street]], ", ", Table1[[#This Row],[Billing City]], ", ", Table1[[#This Row],[Billing State/Province]], ", ", Table1[[#This Row],[Billing Zip/Postal Code]])</f>
        <v>316 W Broadway, Browns Valley, MN, 56219</v>
      </c>
    </row>
    <row r="2399" spans="1:13" ht="15.6" hidden="1" x14ac:dyDescent="0.3">
      <c r="A2399" s="1" t="s">
        <v>7399</v>
      </c>
      <c r="B2399" s="1"/>
      <c r="C2399" s="1"/>
      <c r="D2399" s="1"/>
      <c r="E2399" s="1"/>
      <c r="F2399" s="1"/>
      <c r="G2399" s="1" t="s">
        <v>8</v>
      </c>
      <c r="H2399" s="2">
        <v>575</v>
      </c>
      <c r="I2399" s="1" t="s">
        <v>7400</v>
      </c>
      <c r="J2399" s="1" t="s">
        <v>1367</v>
      </c>
      <c r="K2399" s="1" t="s">
        <v>128</v>
      </c>
      <c r="L2399" s="1" t="s">
        <v>6580</v>
      </c>
      <c r="M2399" s="6" t="str">
        <f>_xlfn.CONCAT(Table1[[#This Row],[Billing Street]], ", ", Table1[[#This Row],[Billing City]], ", ", Table1[[#This Row],[Billing State/Province]], ", ", Table1[[#This Row],[Billing Zip/Postal Code]])</f>
        <v>10351 Jamestown St Ne, Minneapolis, MN, 55449</v>
      </c>
    </row>
    <row r="2400" spans="1:13" ht="15.6" hidden="1" x14ac:dyDescent="0.3">
      <c r="A2400" s="1" t="s">
        <v>7401</v>
      </c>
      <c r="B2400" s="1"/>
      <c r="C2400" s="1"/>
      <c r="D2400" s="1"/>
      <c r="E2400" s="1"/>
      <c r="F2400" s="1"/>
      <c r="G2400" s="1" t="s">
        <v>8</v>
      </c>
      <c r="H2400" s="2">
        <v>6528</v>
      </c>
      <c r="I2400" s="1" t="s">
        <v>7402</v>
      </c>
      <c r="J2400" s="1" t="s">
        <v>7403</v>
      </c>
      <c r="K2400" s="1" t="s">
        <v>2414</v>
      </c>
      <c r="L2400" s="1" t="s">
        <v>7404</v>
      </c>
      <c r="M2400" s="6" t="str">
        <f>_xlfn.CONCAT(Table1[[#This Row],[Billing Street]], ", ", Table1[[#This Row],[Billing City]], ", ", Table1[[#This Row],[Billing State/Province]], ", ", Table1[[#This Row],[Billing Zip/Postal Code]])</f>
        <v>1306 Broadway Ave N, Red Lodge, MT, 59068</v>
      </c>
    </row>
    <row r="2401" spans="1:13" ht="15.6" hidden="1" x14ac:dyDescent="0.3">
      <c r="A2401" s="1" t="s">
        <v>7405</v>
      </c>
      <c r="B2401" s="1"/>
      <c r="C2401" s="1"/>
      <c r="D2401" s="1"/>
      <c r="E2401" s="1"/>
      <c r="F2401" s="1"/>
      <c r="G2401" s="1" t="s">
        <v>54</v>
      </c>
      <c r="H2401" s="2">
        <v>829</v>
      </c>
      <c r="I2401" s="1" t="s">
        <v>7406</v>
      </c>
      <c r="J2401" s="1" t="s">
        <v>6921</v>
      </c>
      <c r="K2401" s="1" t="s">
        <v>405</v>
      </c>
      <c r="L2401" s="1" t="s">
        <v>7407</v>
      </c>
      <c r="M2401" s="6" t="str">
        <f>_xlfn.CONCAT(Table1[[#This Row],[Billing Street]], ", ", Table1[[#This Row],[Billing City]], ", ", Table1[[#This Row],[Billing State/Province]], ", ", Table1[[#This Row],[Billing Zip/Postal Code]])</f>
        <v>1492 Wind River Hwy, Carson, WA, 98610</v>
      </c>
    </row>
    <row r="2402" spans="1:13" ht="15.6" hidden="1" x14ac:dyDescent="0.3">
      <c r="A2402" s="1" t="s">
        <v>7408</v>
      </c>
      <c r="B2402" s="1"/>
      <c r="C2402" s="1"/>
      <c r="D2402" s="1"/>
      <c r="E2402" s="1"/>
      <c r="F2402" s="1"/>
      <c r="G2402" s="1" t="s">
        <v>8</v>
      </c>
      <c r="H2402" s="2">
        <v>547</v>
      </c>
      <c r="I2402" s="1" t="s">
        <v>7409</v>
      </c>
      <c r="J2402" s="1" t="s">
        <v>138</v>
      </c>
      <c r="K2402" s="1" t="s">
        <v>128</v>
      </c>
      <c r="L2402" s="1" t="s">
        <v>139</v>
      </c>
      <c r="M2402" s="6" t="str">
        <f>_xlfn.CONCAT(Table1[[#This Row],[Billing Street]], ", ", Table1[[#This Row],[Billing City]], ", ", Table1[[#This Row],[Billing State/Province]], ", ", Table1[[#This Row],[Billing Zip/Postal Code]])</f>
        <v>7207 W 128Th St, Savage, MN, 55378</v>
      </c>
    </row>
    <row r="2403" spans="1:13" ht="15.6" hidden="1" x14ac:dyDescent="0.3">
      <c r="A2403" s="1" t="s">
        <v>7410</v>
      </c>
      <c r="B2403" s="1"/>
      <c r="C2403" s="1"/>
      <c r="D2403" s="1"/>
      <c r="E2403" s="1"/>
      <c r="F2403" s="1"/>
      <c r="G2403" s="1" t="s">
        <v>8</v>
      </c>
      <c r="H2403" s="2">
        <v>677</v>
      </c>
      <c r="I2403" s="1" t="s">
        <v>7411</v>
      </c>
      <c r="J2403" s="1" t="s">
        <v>7412</v>
      </c>
      <c r="K2403" s="1" t="s">
        <v>128</v>
      </c>
      <c r="L2403" s="1" t="s">
        <v>7413</v>
      </c>
      <c r="M2403" s="6" t="str">
        <f>_xlfn.CONCAT(Table1[[#This Row],[Billing Street]], ", ", Table1[[#This Row],[Billing City]], ", ", Table1[[#This Row],[Billing State/Province]], ", ", Table1[[#This Row],[Billing Zip/Postal Code]])</f>
        <v>18262 Old Pit Rd, Detroit Lakes, MN, 56501</v>
      </c>
    </row>
    <row r="2404" spans="1:13" ht="15.6" hidden="1" x14ac:dyDescent="0.3">
      <c r="A2404" s="1" t="s">
        <v>7414</v>
      </c>
      <c r="B2404" s="1"/>
      <c r="C2404" s="1"/>
      <c r="D2404" s="1"/>
      <c r="E2404" s="1"/>
      <c r="F2404" s="1"/>
      <c r="G2404" s="1" t="s">
        <v>8</v>
      </c>
      <c r="H2404" s="2">
        <v>213</v>
      </c>
      <c r="I2404" s="1" t="s">
        <v>7415</v>
      </c>
      <c r="J2404" s="1" t="s">
        <v>7416</v>
      </c>
      <c r="K2404" s="1" t="s">
        <v>11</v>
      </c>
      <c r="L2404" s="1" t="s">
        <v>7417</v>
      </c>
      <c r="M2404" s="6" t="str">
        <f>_xlfn.CONCAT(Table1[[#This Row],[Billing Street]], ", ", Table1[[#This Row],[Billing City]], ", ", Table1[[#This Row],[Billing State/Province]], ", ", Table1[[#This Row],[Billing Zip/Postal Code]])</f>
        <v>3513 N Ten Mile Drive, Jefferson City, MO, 65109</v>
      </c>
    </row>
    <row r="2405" spans="1:13" ht="15.6" hidden="1" x14ac:dyDescent="0.3">
      <c r="A2405" s="1" t="s">
        <v>7418</v>
      </c>
      <c r="B2405" s="1"/>
      <c r="C2405" s="1"/>
      <c r="D2405" s="1"/>
      <c r="E2405" s="1"/>
      <c r="F2405" s="1"/>
      <c r="G2405" s="1" t="s">
        <v>8</v>
      </c>
      <c r="H2405" s="2">
        <v>558</v>
      </c>
      <c r="I2405" s="1" t="s">
        <v>7419</v>
      </c>
      <c r="J2405" s="1" t="s">
        <v>1367</v>
      </c>
      <c r="K2405" s="1" t="s">
        <v>128</v>
      </c>
      <c r="L2405" s="1" t="s">
        <v>7420</v>
      </c>
      <c r="M2405" s="6" t="str">
        <f>_xlfn.CONCAT(Table1[[#This Row],[Billing Street]], ", ", Table1[[#This Row],[Billing City]], ", ", Table1[[#This Row],[Billing State/Province]], ", ", Table1[[#This Row],[Billing Zip/Postal Code]])</f>
        <v>5128 45Th Ave S, Minneapolis, MN, 55417</v>
      </c>
    </row>
    <row r="2406" spans="1:13" ht="15.6" hidden="1" x14ac:dyDescent="0.3">
      <c r="A2406" s="1" t="s">
        <v>7421</v>
      </c>
      <c r="B2406" s="1"/>
      <c r="C2406" s="1"/>
      <c r="D2406" s="1"/>
      <c r="E2406" s="1"/>
      <c r="F2406" s="1"/>
      <c r="G2406" s="1" t="s">
        <v>205</v>
      </c>
      <c r="H2406" s="2">
        <v>636</v>
      </c>
      <c r="I2406" s="1" t="s">
        <v>7422</v>
      </c>
      <c r="J2406" s="1" t="s">
        <v>7423</v>
      </c>
      <c r="K2406" s="1" t="s">
        <v>2309</v>
      </c>
      <c r="L2406" s="1" t="s">
        <v>7424</v>
      </c>
      <c r="M2406" s="6" t="str">
        <f>_xlfn.CONCAT(Table1[[#This Row],[Billing Street]], ", ", Table1[[#This Row],[Billing City]], ", ", Table1[[#This Row],[Billing State/Province]], ", ", Table1[[#This Row],[Billing Zip/Postal Code]])</f>
        <v>1330 21st St, Heyburn, ID, 83336</v>
      </c>
    </row>
    <row r="2407" spans="1:13" ht="15.6" hidden="1" x14ac:dyDescent="0.3">
      <c r="A2407" s="1" t="s">
        <v>7425</v>
      </c>
      <c r="B2407" s="1"/>
      <c r="C2407" s="1"/>
      <c r="D2407" s="1"/>
      <c r="E2407" s="1"/>
      <c r="F2407" s="1"/>
      <c r="G2407" s="1" t="s">
        <v>54</v>
      </c>
      <c r="H2407" s="2">
        <v>811</v>
      </c>
      <c r="I2407" s="1" t="s">
        <v>7426</v>
      </c>
      <c r="J2407" s="1" t="s">
        <v>7427</v>
      </c>
      <c r="K2407" s="1" t="s">
        <v>2254</v>
      </c>
      <c r="L2407" s="1" t="s">
        <v>7428</v>
      </c>
      <c r="M2407" s="6" t="str">
        <f>_xlfn.CONCAT(Table1[[#This Row],[Billing Street]], ", ", Table1[[#This Row],[Billing City]], ", ", Table1[[#This Row],[Billing State/Province]], ", ", Table1[[#This Row],[Billing Zip/Postal Code]])</f>
        <v>1470 NE Territorial road, Canby, OR, 97013</v>
      </c>
    </row>
    <row r="2408" spans="1:13" ht="15.6" hidden="1" x14ac:dyDescent="0.3">
      <c r="A2408" s="1" t="s">
        <v>7429</v>
      </c>
      <c r="B2408" s="1"/>
      <c r="C2408" s="1"/>
      <c r="D2408" s="1"/>
      <c r="E2408" s="1"/>
      <c r="F2408" s="1"/>
      <c r="G2408" s="1" t="s">
        <v>54</v>
      </c>
      <c r="H2408" s="2">
        <v>903</v>
      </c>
      <c r="I2408" s="1" t="s">
        <v>7430</v>
      </c>
      <c r="J2408" s="1" t="s">
        <v>7431</v>
      </c>
      <c r="K2408" s="1" t="s">
        <v>2304</v>
      </c>
      <c r="L2408" s="1" t="s">
        <v>7432</v>
      </c>
      <c r="M2408" s="6" t="str">
        <f>_xlfn.CONCAT(Table1[[#This Row],[Billing Street]], ", ", Table1[[#This Row],[Billing City]], ", ", Table1[[#This Row],[Billing State/Province]], ", ", Table1[[#This Row],[Billing Zip/Postal Code]])</f>
        <v>1373 N Hwy 261, Ritzville, Wa, 99169</v>
      </c>
    </row>
    <row r="2409" spans="1:13" ht="15.6" hidden="1" x14ac:dyDescent="0.3">
      <c r="A2409" s="1" t="s">
        <v>7433</v>
      </c>
      <c r="B2409" s="1"/>
      <c r="C2409" s="1"/>
      <c r="D2409" s="1"/>
      <c r="E2409" s="1"/>
      <c r="F2409" s="1"/>
      <c r="G2409" s="1" t="s">
        <v>43</v>
      </c>
      <c r="H2409" s="2">
        <v>85</v>
      </c>
      <c r="I2409" s="1" t="s">
        <v>7434</v>
      </c>
      <c r="J2409" s="1" t="s">
        <v>7435</v>
      </c>
      <c r="K2409" s="1" t="s">
        <v>45</v>
      </c>
      <c r="L2409" s="1" t="s">
        <v>7436</v>
      </c>
      <c r="M2409" s="6" t="str">
        <f>_xlfn.CONCAT(Table1[[#This Row],[Billing Street]], ", ", Table1[[#This Row],[Billing City]], ", ", Table1[[#This Row],[Billing State/Province]], ", ", Table1[[#This Row],[Billing Zip/Postal Code]])</f>
        <v>1750 East State Street, Fremount, OH, 43420</v>
      </c>
    </row>
    <row r="2410" spans="1:13" ht="15.6" hidden="1" x14ac:dyDescent="0.3">
      <c r="A2410" s="1" t="s">
        <v>7437</v>
      </c>
      <c r="B2410" s="1"/>
      <c r="C2410" s="1"/>
      <c r="D2410" s="1"/>
      <c r="E2410" s="1"/>
      <c r="F2410" s="1"/>
      <c r="G2410" s="1" t="s">
        <v>8</v>
      </c>
      <c r="H2410" s="2">
        <v>269</v>
      </c>
      <c r="I2410" s="1" t="s">
        <v>7438</v>
      </c>
      <c r="J2410" s="1" t="s">
        <v>3909</v>
      </c>
      <c r="K2410" s="1" t="s">
        <v>198</v>
      </c>
      <c r="L2410" s="1" t="s">
        <v>7439</v>
      </c>
      <c r="M2410" s="6" t="str">
        <f>_xlfn.CONCAT(Table1[[#This Row],[Billing Street]], ", ", Table1[[#This Row],[Billing City]], ", ", Table1[[#This Row],[Billing State/Province]], ", ", Table1[[#This Row],[Billing Zip/Postal Code]])</f>
        <v>5905 Wo St, Lincoln, NE, 68528</v>
      </c>
    </row>
    <row r="2411" spans="1:13" ht="15.6" hidden="1" x14ac:dyDescent="0.3">
      <c r="A2411" s="1" t="s">
        <v>7440</v>
      </c>
      <c r="B2411" s="1"/>
      <c r="C2411" s="1"/>
      <c r="D2411" s="1"/>
      <c r="E2411" s="1"/>
      <c r="F2411" s="1"/>
      <c r="G2411" s="1" t="s">
        <v>8</v>
      </c>
      <c r="H2411" s="2">
        <v>361</v>
      </c>
      <c r="I2411" s="1" t="s">
        <v>7441</v>
      </c>
      <c r="J2411" s="1" t="s">
        <v>3205</v>
      </c>
      <c r="K2411" s="1" t="s">
        <v>21</v>
      </c>
      <c r="L2411" s="1" t="s">
        <v>7442</v>
      </c>
      <c r="M2411" s="6" t="str">
        <f>_xlfn.CONCAT(Table1[[#This Row],[Billing Street]], ", ", Table1[[#This Row],[Billing City]], ", ", Table1[[#This Row],[Billing State/Province]], ", ", Table1[[#This Row],[Billing Zip/Postal Code]])</f>
        <v>416 S Bell Ave, Ames, IA, 50010</v>
      </c>
    </row>
    <row r="2412" spans="1:13" ht="15.6" hidden="1" x14ac:dyDescent="0.3">
      <c r="A2412" s="1" t="s">
        <v>7443</v>
      </c>
      <c r="B2412" s="1"/>
      <c r="C2412" s="1"/>
      <c r="D2412" s="1"/>
      <c r="E2412" s="1"/>
      <c r="F2412" s="1"/>
      <c r="G2412" s="1" t="s">
        <v>54</v>
      </c>
      <c r="H2412" s="2">
        <v>978</v>
      </c>
      <c r="I2412" s="1" t="s">
        <v>7444</v>
      </c>
      <c r="J2412" s="1" t="s">
        <v>4240</v>
      </c>
      <c r="K2412" s="1" t="s">
        <v>405</v>
      </c>
      <c r="L2412" s="1" t="s">
        <v>7445</v>
      </c>
      <c r="M2412" s="6" t="str">
        <f>_xlfn.CONCAT(Table1[[#This Row],[Billing Street]], ", ", Table1[[#This Row],[Billing City]], ", ", Table1[[#This Row],[Billing State/Province]], ", ", Table1[[#This Row],[Billing Zip/Postal Code]])</f>
        <v>130 N Washington Ave, Newport, WA, 99156</v>
      </c>
    </row>
    <row r="2413" spans="1:13" ht="15.6" hidden="1" x14ac:dyDescent="0.3">
      <c r="A2413" s="1" t="s">
        <v>7446</v>
      </c>
      <c r="B2413" s="1"/>
      <c r="C2413" s="1"/>
      <c r="D2413" s="1"/>
      <c r="E2413" s="1"/>
      <c r="F2413" s="1"/>
      <c r="G2413" s="1" t="s">
        <v>54</v>
      </c>
      <c r="H2413" s="2">
        <v>910</v>
      </c>
      <c r="I2413" s="1" t="s">
        <v>7447</v>
      </c>
      <c r="J2413" s="1" t="s">
        <v>922</v>
      </c>
      <c r="K2413" s="1" t="s">
        <v>2304</v>
      </c>
      <c r="L2413" s="1" t="s">
        <v>7448</v>
      </c>
      <c r="M2413" s="6" t="str">
        <f>_xlfn.CONCAT(Table1[[#This Row],[Billing Street]], ", ", Table1[[#This Row],[Billing City]], ", ", Table1[[#This Row],[Billing State/Province]], ", ", Table1[[#This Row],[Billing Zip/Postal Code]])</f>
        <v>1100 N. Tower ave, Centralia, Wa, 98531</v>
      </c>
    </row>
    <row r="2414" spans="1:13" ht="15.6" hidden="1" x14ac:dyDescent="0.3">
      <c r="A2414" s="1" t="s">
        <v>7449</v>
      </c>
      <c r="B2414" s="1"/>
      <c r="C2414" s="1"/>
      <c r="D2414" s="1"/>
      <c r="E2414" s="1"/>
      <c r="F2414" s="1"/>
      <c r="G2414" s="1" t="s">
        <v>205</v>
      </c>
      <c r="H2414" s="2">
        <v>934</v>
      </c>
      <c r="I2414" s="1" t="s">
        <v>7450</v>
      </c>
      <c r="J2414" s="1" t="s">
        <v>7451</v>
      </c>
      <c r="K2414" s="1" t="s">
        <v>2309</v>
      </c>
      <c r="L2414" s="1" t="s">
        <v>7452</v>
      </c>
      <c r="M2414" s="6" t="str">
        <f>_xlfn.CONCAT(Table1[[#This Row],[Billing Street]], ", ", Table1[[#This Row],[Billing City]], ", ", Table1[[#This Row],[Billing State/Province]], ", ", Table1[[#This Row],[Billing Zip/Postal Code]])</f>
        <v>4230 Hatwai Rd, Lewiston, ID, 83501</v>
      </c>
    </row>
    <row r="2415" spans="1:13" ht="15.6" hidden="1" x14ac:dyDescent="0.3">
      <c r="A2415" s="1" t="s">
        <v>7453</v>
      </c>
      <c r="B2415" s="1"/>
      <c r="C2415" s="1"/>
      <c r="D2415" s="1"/>
      <c r="E2415" s="1"/>
      <c r="F2415" s="1"/>
      <c r="G2415" s="1" t="s">
        <v>8</v>
      </c>
      <c r="H2415" s="2">
        <v>6528</v>
      </c>
      <c r="I2415" s="1" t="s">
        <v>7454</v>
      </c>
      <c r="J2415" s="1" t="s">
        <v>7455</v>
      </c>
      <c r="K2415" s="1" t="s">
        <v>2414</v>
      </c>
      <c r="L2415" s="1" t="s">
        <v>7456</v>
      </c>
      <c r="M2415" s="6" t="str">
        <f>_xlfn.CONCAT(Table1[[#This Row],[Billing Street]], ", ", Table1[[#This Row],[Billing City]], ", ", Table1[[#This Row],[Billing State/Province]], ", ", Table1[[#This Row],[Billing Zip/Postal Code]])</f>
        <v>410 East Main, Cut Bank, MT, 59427</v>
      </c>
    </row>
    <row r="2416" spans="1:13" ht="15.6" hidden="1" x14ac:dyDescent="0.3">
      <c r="A2416" s="1" t="s">
        <v>7457</v>
      </c>
      <c r="B2416" s="1"/>
      <c r="C2416" s="1"/>
      <c r="D2416" s="1"/>
      <c r="E2416" s="1"/>
      <c r="F2416" s="1"/>
      <c r="G2416" s="1" t="s">
        <v>8</v>
      </c>
      <c r="H2416" s="2">
        <v>6528</v>
      </c>
      <c r="I2416" s="1" t="s">
        <v>7458</v>
      </c>
      <c r="J2416" s="1" t="s">
        <v>7459</v>
      </c>
      <c r="K2416" s="1" t="s">
        <v>2414</v>
      </c>
      <c r="L2416" s="1" t="s">
        <v>7460</v>
      </c>
      <c r="M2416" s="6" t="str">
        <f>_xlfn.CONCAT(Table1[[#This Row],[Billing Street]], ", ", Table1[[#This Row],[Billing City]], ", ", Table1[[#This Row],[Billing State/Province]], ", ", Table1[[#This Row],[Billing Zip/Postal Code]])</f>
        <v>84423 US-87, Lewistown, MT, 59457</v>
      </c>
    </row>
    <row r="2417" spans="1:13" ht="15.6" hidden="1" x14ac:dyDescent="0.3">
      <c r="A2417" s="1" t="s">
        <v>7461</v>
      </c>
      <c r="B2417" s="1"/>
      <c r="C2417" s="1"/>
      <c r="D2417" s="1"/>
      <c r="E2417" s="1"/>
      <c r="F2417" s="1"/>
      <c r="G2417" s="1" t="s">
        <v>54</v>
      </c>
      <c r="H2417" s="2">
        <v>691</v>
      </c>
      <c r="I2417" s="1" t="s">
        <v>7462</v>
      </c>
      <c r="J2417" s="1" t="s">
        <v>7463</v>
      </c>
      <c r="K2417" s="1" t="s">
        <v>2254</v>
      </c>
      <c r="L2417" s="1" t="s">
        <v>7464</v>
      </c>
      <c r="M2417" s="6" t="str">
        <f>_xlfn.CONCAT(Table1[[#This Row],[Billing Street]], ", ", Table1[[#This Row],[Billing City]], ", ", Table1[[#This Row],[Billing State/Province]], ", ", Table1[[#This Row],[Billing Zip/Postal Code]])</f>
        <v>1981 NE Stephens St, Roseburg, OR, 97470</v>
      </c>
    </row>
    <row r="2418" spans="1:13" ht="15.6" hidden="1" x14ac:dyDescent="0.3">
      <c r="A2418" s="1" t="s">
        <v>7465</v>
      </c>
      <c r="B2418" s="1"/>
      <c r="C2418" s="1"/>
      <c r="D2418" s="1"/>
      <c r="E2418" s="1"/>
      <c r="F2418" s="1"/>
      <c r="G2418" s="1" t="s">
        <v>54</v>
      </c>
      <c r="H2418" s="2">
        <v>833</v>
      </c>
      <c r="I2418" s="1" t="s">
        <v>7466</v>
      </c>
      <c r="J2418" s="1" t="s">
        <v>7467</v>
      </c>
      <c r="K2418" s="1" t="s">
        <v>2254</v>
      </c>
      <c r="L2418" s="1" t="s">
        <v>7468</v>
      </c>
      <c r="M2418" s="6" t="str">
        <f>_xlfn.CONCAT(Table1[[#This Row],[Billing Street]], ", ", Table1[[#This Row],[Billing City]], ", ", Table1[[#This Row],[Billing State/Province]], ", ", Table1[[#This Row],[Billing Zip/Postal Code]])</f>
        <v>1818 B Street, Forest Grove, OR, 97116</v>
      </c>
    </row>
    <row r="2419" spans="1:13" ht="15.6" hidden="1" x14ac:dyDescent="0.3">
      <c r="A2419" s="1" t="s">
        <v>7469</v>
      </c>
      <c r="B2419" s="1"/>
      <c r="C2419" s="1"/>
      <c r="D2419" s="1"/>
      <c r="E2419" s="1"/>
      <c r="F2419" s="1"/>
      <c r="G2419" s="1" t="s">
        <v>43</v>
      </c>
      <c r="H2419" s="2">
        <v>79</v>
      </c>
      <c r="I2419" s="1" t="s">
        <v>7470</v>
      </c>
      <c r="J2419" s="1" t="s">
        <v>7471</v>
      </c>
      <c r="K2419" s="1" t="s">
        <v>241</v>
      </c>
      <c r="L2419" s="1" t="s">
        <v>7472</v>
      </c>
      <c r="M2419" s="6" t="str">
        <f>_xlfn.CONCAT(Table1[[#This Row],[Billing Street]], ", ", Table1[[#This Row],[Billing City]], ", ", Table1[[#This Row],[Billing State/Province]], ", ", Table1[[#This Row],[Billing Zip/Postal Code]])</f>
        <v>22534 State Hwy 86, Cambridge Springs, PA, 16403</v>
      </c>
    </row>
    <row r="2420" spans="1:13" ht="15.6" hidden="1" x14ac:dyDescent="0.3">
      <c r="A2420" s="1" t="s">
        <v>7473</v>
      </c>
      <c r="B2420" s="1"/>
      <c r="C2420" s="1"/>
      <c r="D2420" s="1"/>
      <c r="E2420" s="1"/>
      <c r="F2420" s="1"/>
      <c r="G2420" s="1" t="s">
        <v>54</v>
      </c>
      <c r="H2420" s="2">
        <v>380</v>
      </c>
      <c r="I2420" s="1" t="s">
        <v>7474</v>
      </c>
      <c r="J2420" s="1" t="s">
        <v>7475</v>
      </c>
      <c r="K2420" s="1" t="s">
        <v>57</v>
      </c>
      <c r="L2420" s="1" t="s">
        <v>7476</v>
      </c>
      <c r="M2420" s="6" t="str">
        <f>_xlfn.CONCAT(Table1[[#This Row],[Billing Street]], ", ", Table1[[#This Row],[Billing City]], ", ", Table1[[#This Row],[Billing State/Province]], ", ", Table1[[#This Row],[Billing Zip/Postal Code]])</f>
        <v>11570 Donner Pass Road, Truckee, CA, 96161</v>
      </c>
    </row>
    <row r="2421" spans="1:13" ht="15.6" hidden="1" x14ac:dyDescent="0.3">
      <c r="A2421" s="1" t="s">
        <v>7477</v>
      </c>
      <c r="B2421" s="1"/>
      <c r="C2421" s="1"/>
      <c r="D2421" s="1"/>
      <c r="E2421" s="1"/>
      <c r="F2421" s="1"/>
      <c r="G2421" s="1" t="s">
        <v>48</v>
      </c>
      <c r="H2421" s="2">
        <v>0</v>
      </c>
      <c r="I2421" s="1" t="s">
        <v>7478</v>
      </c>
      <c r="J2421" s="1" t="s">
        <v>69</v>
      </c>
      <c r="K2421" s="1" t="s">
        <v>1191</v>
      </c>
      <c r="L2421" s="1" t="s">
        <v>6474</v>
      </c>
      <c r="M2421" s="6" t="str">
        <f>_xlfn.CONCAT(Table1[[#This Row],[Billing Street]], ", ", Table1[[#This Row],[Billing City]], ", ", Table1[[#This Row],[Billing State/Province]], ", ", Table1[[#This Row],[Billing Zip/Postal Code]])</f>
        <v>220 W. Main St, Louisville, KY, 40232</v>
      </c>
    </row>
    <row r="2422" spans="1:13" ht="15.6" hidden="1" x14ac:dyDescent="0.3">
      <c r="A2422" s="1" t="s">
        <v>7479</v>
      </c>
      <c r="B2422" s="1"/>
      <c r="C2422" s="1"/>
      <c r="D2422" s="1"/>
      <c r="E2422" s="1"/>
      <c r="F2422" s="1"/>
      <c r="G2422" s="1" t="s">
        <v>43</v>
      </c>
      <c r="H2422" s="2">
        <v>5776</v>
      </c>
      <c r="I2422" s="1" t="s">
        <v>7480</v>
      </c>
      <c r="J2422" s="1" t="s">
        <v>7098</v>
      </c>
      <c r="K2422" s="1" t="s">
        <v>1191</v>
      </c>
      <c r="L2422" s="1" t="s">
        <v>13</v>
      </c>
      <c r="M2422" s="6" t="str">
        <f>_xlfn.CONCAT(Table1[[#This Row],[Billing Street]], ", ", Table1[[#This Row],[Billing City]], ", ", Table1[[#This Row],[Billing State/Province]], ", ", Table1[[#This Row],[Billing Zip/Postal Code]])</f>
        <v xml:space="preserve">3135 Grapevine Road, Madisonville, KY, </v>
      </c>
    </row>
    <row r="2423" spans="1:13" ht="15.6" hidden="1" x14ac:dyDescent="0.3">
      <c r="A2423" s="1" t="s">
        <v>7481</v>
      </c>
      <c r="B2423" s="1"/>
      <c r="C2423" s="1"/>
      <c r="D2423" s="1"/>
      <c r="E2423" s="1"/>
      <c r="F2423" s="1"/>
      <c r="G2423" s="1" t="s">
        <v>8</v>
      </c>
      <c r="H2423" s="2">
        <v>6528</v>
      </c>
      <c r="I2423" s="1" t="s">
        <v>7482</v>
      </c>
      <c r="J2423" s="1" t="s">
        <v>7483</v>
      </c>
      <c r="K2423" s="1" t="s">
        <v>2414</v>
      </c>
      <c r="L2423" s="1" t="s">
        <v>7484</v>
      </c>
      <c r="M2423" s="6" t="str">
        <f>_xlfn.CONCAT(Table1[[#This Row],[Billing Street]], ", ", Table1[[#This Row],[Billing City]], ", ", Table1[[#This Row],[Billing State/Province]], ", ", Table1[[#This Row],[Billing Zip/Postal Code]])</f>
        <v>580 Willow Avenue, Colstrip, MT, 59323</v>
      </c>
    </row>
    <row r="2424" spans="1:13" ht="15.6" hidden="1" x14ac:dyDescent="0.3">
      <c r="A2424" s="1" t="s">
        <v>7485</v>
      </c>
      <c r="B2424" s="1"/>
      <c r="C2424" s="1"/>
      <c r="D2424" s="1"/>
      <c r="E2424" s="1"/>
      <c r="F2424" s="1"/>
      <c r="G2424" s="1" t="s">
        <v>43</v>
      </c>
      <c r="H2424" s="2">
        <v>41</v>
      </c>
      <c r="I2424" s="1" t="s">
        <v>7486</v>
      </c>
      <c r="J2424" s="1" t="s">
        <v>7487</v>
      </c>
      <c r="K2424" s="1" t="s">
        <v>45</v>
      </c>
      <c r="L2424" s="1" t="s">
        <v>7488</v>
      </c>
      <c r="M2424" s="6" t="str">
        <f>_xlfn.CONCAT(Table1[[#This Row],[Billing Street]], ", ", Table1[[#This Row],[Billing City]], ", ", Table1[[#This Row],[Billing State/Province]], ", ", Table1[[#This Row],[Billing Zip/Postal Code]])</f>
        <v>977 Tibbetts Wick Road, Girard, OH, 44420</v>
      </c>
    </row>
    <row r="2425" spans="1:13" ht="15.6" hidden="1" x14ac:dyDescent="0.3">
      <c r="A2425" s="1" t="s">
        <v>7489</v>
      </c>
      <c r="B2425" s="1"/>
      <c r="C2425" s="1"/>
      <c r="D2425" s="1"/>
      <c r="E2425" s="1"/>
      <c r="F2425" s="1"/>
      <c r="G2425" s="1" t="s">
        <v>43</v>
      </c>
      <c r="H2425" s="2">
        <v>40</v>
      </c>
      <c r="I2425" s="1" t="s">
        <v>7490</v>
      </c>
      <c r="J2425" s="1" t="s">
        <v>866</v>
      </c>
      <c r="K2425" s="1" t="s">
        <v>45</v>
      </c>
      <c r="L2425" s="1" t="s">
        <v>7491</v>
      </c>
      <c r="M2425" s="6" t="str">
        <f>_xlfn.CONCAT(Table1[[#This Row],[Billing Street]], ", ", Table1[[#This Row],[Billing City]], ", ", Table1[[#This Row],[Billing State/Province]], ", ", Table1[[#This Row],[Billing Zip/Postal Code]])</f>
        <v>1453 Allen Road, Salem, OH, 44460</v>
      </c>
    </row>
    <row r="2426" spans="1:13" ht="15.6" hidden="1" x14ac:dyDescent="0.3">
      <c r="A2426" s="1" t="s">
        <v>7492</v>
      </c>
      <c r="B2426" s="1"/>
      <c r="C2426" s="1"/>
      <c r="D2426" s="1"/>
      <c r="E2426" s="1"/>
      <c r="F2426" s="1"/>
      <c r="G2426" s="1" t="s">
        <v>43</v>
      </c>
      <c r="H2426" s="2">
        <v>242</v>
      </c>
      <c r="I2426" s="1" t="s">
        <v>7493</v>
      </c>
      <c r="J2426" s="1" t="s">
        <v>2023</v>
      </c>
      <c r="K2426" s="1" t="s">
        <v>82</v>
      </c>
      <c r="L2426" s="1" t="s">
        <v>7494</v>
      </c>
      <c r="M2426" s="6" t="str">
        <f>_xlfn.CONCAT(Table1[[#This Row],[Billing Street]], ", ", Table1[[#This Row],[Billing City]], ", ", Table1[[#This Row],[Billing State/Province]], ", ", Table1[[#This Row],[Billing Zip/Postal Code]])</f>
        <v>2121 Celebration Drive NE, Grand Rapids, MI, 49525</v>
      </c>
    </row>
    <row r="2427" spans="1:13" ht="15.6" hidden="1" x14ac:dyDescent="0.3">
      <c r="A2427" s="1" t="s">
        <v>7495</v>
      </c>
      <c r="B2427" s="1"/>
      <c r="C2427" s="1"/>
      <c r="D2427" s="1"/>
      <c r="E2427" s="1"/>
      <c r="F2427" s="1"/>
      <c r="G2427" s="1" t="s">
        <v>43</v>
      </c>
      <c r="H2427" s="2">
        <v>311</v>
      </c>
      <c r="I2427" s="1" t="s">
        <v>7496</v>
      </c>
      <c r="J2427" s="1" t="s">
        <v>69</v>
      </c>
      <c r="K2427" s="1" t="s">
        <v>1191</v>
      </c>
      <c r="L2427" s="1" t="s">
        <v>7497</v>
      </c>
      <c r="M2427" s="6" t="str">
        <f>_xlfn.CONCAT(Table1[[#This Row],[Billing Street]], ", ", Table1[[#This Row],[Billing City]], ", ", Table1[[#This Row],[Billing State/Province]], ", ", Table1[[#This Row],[Billing Zip/Postal Code]])</f>
        <v>14664 Jennings Lane
140218, Louisville, KY, 40202</v>
      </c>
    </row>
    <row r="2428" spans="1:13" ht="15.6" hidden="1" x14ac:dyDescent="0.3">
      <c r="A2428" s="1" t="s">
        <v>7498</v>
      </c>
      <c r="B2428" s="1"/>
      <c r="C2428" s="1"/>
      <c r="D2428" s="1"/>
      <c r="E2428" s="1"/>
      <c r="F2428" s="1"/>
      <c r="G2428" s="1" t="s">
        <v>43</v>
      </c>
      <c r="H2428" s="2">
        <v>5776</v>
      </c>
      <c r="I2428" s="1" t="s">
        <v>7499</v>
      </c>
      <c r="J2428" s="1" t="s">
        <v>7500</v>
      </c>
      <c r="K2428" s="1" t="s">
        <v>781</v>
      </c>
      <c r="L2428" s="1" t="s">
        <v>7501</v>
      </c>
      <c r="M2428" s="6" t="str">
        <f>_xlfn.CONCAT(Table1[[#This Row],[Billing Street]], ", ", Table1[[#This Row],[Billing City]], ", ", Table1[[#This Row],[Billing State/Province]], ", ", Table1[[#This Row],[Billing Zip/Postal Code]])</f>
        <v>1100 Grasser Road Suite C, Gilbertsville, pa, 19525</v>
      </c>
    </row>
    <row r="2429" spans="1:13" ht="15.6" hidden="1" x14ac:dyDescent="0.3">
      <c r="A2429" s="1" t="s">
        <v>7502</v>
      </c>
      <c r="B2429" s="1"/>
      <c r="C2429" s="1"/>
      <c r="D2429" s="1"/>
      <c r="E2429" s="1"/>
      <c r="F2429" s="1"/>
      <c r="G2429" s="1" t="s">
        <v>8</v>
      </c>
      <c r="H2429" s="2">
        <v>170</v>
      </c>
      <c r="I2429" s="1" t="s">
        <v>7503</v>
      </c>
      <c r="J2429" s="1" t="s">
        <v>7504</v>
      </c>
      <c r="K2429" s="1" t="s">
        <v>11</v>
      </c>
      <c r="L2429" s="1" t="s">
        <v>7505</v>
      </c>
      <c r="M2429" s="6" t="str">
        <f>_xlfn.CONCAT(Table1[[#This Row],[Billing Street]], ", ", Table1[[#This Row],[Billing City]], ", ", Table1[[#This Row],[Billing State/Province]], ", ", Table1[[#This Row],[Billing Zip/Postal Code]])</f>
        <v>621 NE 1201, Knob Noster, MO, 65336</v>
      </c>
    </row>
    <row r="2430" spans="1:13" ht="15.6" hidden="1" x14ac:dyDescent="0.3">
      <c r="A2430" s="1" t="s">
        <v>7506</v>
      </c>
      <c r="B2430" s="1"/>
      <c r="C2430" s="1"/>
      <c r="D2430" s="1"/>
      <c r="E2430" s="1"/>
      <c r="F2430" s="1"/>
      <c r="G2430" s="1" t="s">
        <v>8</v>
      </c>
      <c r="H2430" s="2">
        <v>309</v>
      </c>
      <c r="I2430" s="1" t="s">
        <v>7507</v>
      </c>
      <c r="J2430" s="1" t="s">
        <v>1309</v>
      </c>
      <c r="K2430" s="1" t="s">
        <v>11</v>
      </c>
      <c r="L2430" s="1" t="s">
        <v>7508</v>
      </c>
      <c r="M2430" s="6" t="str">
        <f>_xlfn.CONCAT(Table1[[#This Row],[Billing Street]], ", ", Table1[[#This Row],[Billing City]], ", ", Table1[[#This Row],[Billing State/Province]], ", ", Table1[[#This Row],[Billing Zip/Postal Code]])</f>
        <v>8800 Page Ave, St. Louis, MO, 63114</v>
      </c>
    </row>
    <row r="2431" spans="1:13" ht="15.6" hidden="1" x14ac:dyDescent="0.3">
      <c r="A2431" s="1" t="s">
        <v>7509</v>
      </c>
      <c r="B2431" s="1"/>
      <c r="C2431" s="1"/>
      <c r="D2431" s="1"/>
      <c r="E2431" s="1"/>
      <c r="F2431" s="1"/>
      <c r="G2431" s="1" t="s">
        <v>43</v>
      </c>
      <c r="H2431" s="2">
        <v>180</v>
      </c>
      <c r="I2431" s="1" t="s">
        <v>7510</v>
      </c>
      <c r="J2431" s="1" t="s">
        <v>3419</v>
      </c>
      <c r="K2431" s="1" t="s">
        <v>241</v>
      </c>
      <c r="L2431" s="1" t="s">
        <v>3420</v>
      </c>
      <c r="M2431" s="6" t="str">
        <f>_xlfn.CONCAT(Table1[[#This Row],[Billing Street]], ", ", Table1[[#This Row],[Billing City]], ", ", Table1[[#This Row],[Billing State/Province]], ", ", Table1[[#This Row],[Billing Zip/Postal Code]])</f>
        <v>8846 Lincoln Hwy., Bedford, PA, 15522</v>
      </c>
    </row>
    <row r="2432" spans="1:13" ht="15.6" hidden="1" x14ac:dyDescent="0.3">
      <c r="A2432" s="1" t="s">
        <v>7511</v>
      </c>
      <c r="B2432" s="1"/>
      <c r="C2432" s="1"/>
      <c r="D2432" s="1"/>
      <c r="E2432" s="1"/>
      <c r="F2432" s="1"/>
      <c r="G2432" s="1" t="s">
        <v>205</v>
      </c>
      <c r="H2432" s="2">
        <v>161</v>
      </c>
      <c r="I2432" s="1" t="s">
        <v>7512</v>
      </c>
      <c r="J2432" s="1" t="s">
        <v>7513</v>
      </c>
      <c r="K2432" s="1" t="s">
        <v>479</v>
      </c>
      <c r="L2432" s="1" t="s">
        <v>7514</v>
      </c>
      <c r="M2432" s="6" t="str">
        <f>_xlfn.CONCAT(Table1[[#This Row],[Billing Street]], ", ", Table1[[#This Row],[Billing City]], ", ", Table1[[#This Row],[Billing State/Province]], ", ", Table1[[#This Row],[Billing Zip/Postal Code]])</f>
        <v>3800 W county 15th street (via Ave C), Somerton, AZ, 85350</v>
      </c>
    </row>
    <row r="2433" spans="1:13" ht="15.6" hidden="1" x14ac:dyDescent="0.3">
      <c r="A2433" s="1" t="s">
        <v>7515</v>
      </c>
      <c r="B2433" s="1"/>
      <c r="C2433" s="1"/>
      <c r="D2433" s="1"/>
      <c r="E2433" s="1"/>
      <c r="F2433" s="1"/>
      <c r="G2433" s="1" t="s">
        <v>205</v>
      </c>
      <c r="H2433" s="2">
        <v>16</v>
      </c>
      <c r="I2433" s="1" t="s">
        <v>7516</v>
      </c>
      <c r="J2433" s="1" t="s">
        <v>4954</v>
      </c>
      <c r="K2433" s="1" t="s">
        <v>479</v>
      </c>
      <c r="L2433" s="1" t="s">
        <v>7517</v>
      </c>
      <c r="M2433" s="6" t="str">
        <f>_xlfn.CONCAT(Table1[[#This Row],[Billing Street]], ", ", Table1[[#This Row],[Billing City]], ", ", Table1[[#This Row],[Billing State/Province]], ", ", Table1[[#This Row],[Billing Zip/Postal Code]])</f>
        <v>7777 E Paradise Lane Suite 106, Scottsdale, AZ, 85206</v>
      </c>
    </row>
    <row r="2434" spans="1:13" ht="15.6" hidden="1" x14ac:dyDescent="0.3">
      <c r="A2434" s="1" t="s">
        <v>7518</v>
      </c>
      <c r="B2434" s="1"/>
      <c r="C2434" s="1"/>
      <c r="D2434" s="1"/>
      <c r="E2434" s="1"/>
      <c r="F2434" s="1"/>
      <c r="G2434" s="1" t="s">
        <v>43</v>
      </c>
      <c r="H2434" s="2">
        <v>5776</v>
      </c>
      <c r="I2434" s="1" t="s">
        <v>7519</v>
      </c>
      <c r="J2434" s="1" t="s">
        <v>7520</v>
      </c>
      <c r="K2434" s="1" t="s">
        <v>781</v>
      </c>
      <c r="L2434" s="1" t="s">
        <v>7521</v>
      </c>
      <c r="M2434" s="6" t="str">
        <f>_xlfn.CONCAT(Table1[[#This Row],[Billing Street]], ", ", Table1[[#This Row],[Billing City]], ", ", Table1[[#This Row],[Billing State/Province]], ", ", Table1[[#This Row],[Billing Zip/Postal Code]])</f>
        <v>77 TowPath Rd, Fairless Hills, pa, 19030</v>
      </c>
    </row>
    <row r="2435" spans="1:13" ht="15.6" hidden="1" x14ac:dyDescent="0.3">
      <c r="A2435" s="1" t="s">
        <v>7522</v>
      </c>
      <c r="B2435" s="1"/>
      <c r="C2435" s="1"/>
      <c r="D2435" s="1"/>
      <c r="E2435" s="1"/>
      <c r="F2435" s="1"/>
      <c r="G2435" s="1" t="s">
        <v>205</v>
      </c>
      <c r="H2435" s="2">
        <v>3</v>
      </c>
      <c r="I2435" s="1" t="s">
        <v>7523</v>
      </c>
      <c r="J2435" s="1" t="s">
        <v>518</v>
      </c>
      <c r="K2435" s="1" t="s">
        <v>479</v>
      </c>
      <c r="L2435" s="1" t="s">
        <v>6118</v>
      </c>
      <c r="M2435" s="6" t="str">
        <f>_xlfn.CONCAT(Table1[[#This Row],[Billing Street]], ", ", Table1[[#This Row],[Billing City]], ", ", Table1[[#This Row],[Billing State/Province]], ", ", Table1[[#This Row],[Billing Zip/Postal Code]])</f>
        <v>4020 N 16th Street, Phoenix, AZ, 85016</v>
      </c>
    </row>
    <row r="2436" spans="1:13" ht="15.6" hidden="1" x14ac:dyDescent="0.3">
      <c r="A2436" s="1" t="s">
        <v>7524</v>
      </c>
      <c r="B2436" s="1"/>
      <c r="C2436" s="1"/>
      <c r="D2436" s="1"/>
      <c r="E2436" s="1"/>
      <c r="F2436" s="1"/>
      <c r="G2436" s="1" t="s">
        <v>205</v>
      </c>
      <c r="H2436" s="2">
        <v>19</v>
      </c>
      <c r="I2436" s="1" t="s">
        <v>7525</v>
      </c>
      <c r="J2436" s="1" t="s">
        <v>478</v>
      </c>
      <c r="K2436" s="1" t="s">
        <v>479</v>
      </c>
      <c r="L2436" s="1" t="s">
        <v>480</v>
      </c>
      <c r="M2436" s="6" t="str">
        <f>_xlfn.CONCAT(Table1[[#This Row],[Billing Street]], ", ", Table1[[#This Row],[Billing City]], ", ", Table1[[#This Row],[Billing State/Province]], ", ", Table1[[#This Row],[Billing Zip/Postal Code]])</f>
        <v>2618 N Ogden RD STE 101, Mesa, AZ, 85215</v>
      </c>
    </row>
    <row r="2437" spans="1:13" ht="15.6" hidden="1" x14ac:dyDescent="0.3">
      <c r="A2437" s="1" t="s">
        <v>7526</v>
      </c>
      <c r="B2437" s="1"/>
      <c r="C2437" s="1"/>
      <c r="D2437" s="1"/>
      <c r="E2437" s="1"/>
      <c r="F2437" s="1"/>
      <c r="G2437" s="1" t="s">
        <v>8</v>
      </c>
      <c r="H2437" s="2">
        <v>683</v>
      </c>
      <c r="I2437" s="1" t="s">
        <v>7527</v>
      </c>
      <c r="J2437" s="1" t="s">
        <v>7528</v>
      </c>
      <c r="K2437" s="1" t="s">
        <v>3735</v>
      </c>
      <c r="L2437" s="1" t="s">
        <v>7529</v>
      </c>
      <c r="M2437" s="6" t="str">
        <f>_xlfn.CONCAT(Table1[[#This Row],[Billing Street]], ", ", Table1[[#This Row],[Billing City]], ", ", Table1[[#This Row],[Billing State/Province]], ", ", Table1[[#This Row],[Billing Zip/Postal Code]])</f>
        <v>2028 2nd Ave NW, West Fargo, ND, 58078</v>
      </c>
    </row>
    <row r="2438" spans="1:13" ht="15.6" hidden="1" x14ac:dyDescent="0.3">
      <c r="A2438" s="1" t="s">
        <v>7530</v>
      </c>
      <c r="B2438" s="1"/>
      <c r="C2438" s="1"/>
      <c r="D2438" s="1"/>
      <c r="E2438" s="1"/>
      <c r="F2438" s="1"/>
      <c r="G2438" s="1" t="s">
        <v>205</v>
      </c>
      <c r="H2438" s="2">
        <v>7</v>
      </c>
      <c r="I2438" s="1" t="s">
        <v>7531</v>
      </c>
      <c r="J2438" s="1" t="s">
        <v>5889</v>
      </c>
      <c r="K2438" s="1" t="s">
        <v>479</v>
      </c>
      <c r="L2438" s="1" t="s">
        <v>7532</v>
      </c>
      <c r="M2438" s="6" t="str">
        <f>_xlfn.CONCAT(Table1[[#This Row],[Billing Street]], ", ", Table1[[#This Row],[Billing City]], ", ", Table1[[#This Row],[Billing State/Province]], ", ", Table1[[#This Row],[Billing Zip/Postal Code]])</f>
        <v>350 West Washington Street Suite 600, Tempe, AZ, 85281</v>
      </c>
    </row>
    <row r="2439" spans="1:13" ht="15.6" hidden="1" x14ac:dyDescent="0.3">
      <c r="A2439" s="1" t="s">
        <v>7533</v>
      </c>
      <c r="B2439" s="1"/>
      <c r="C2439" s="1"/>
      <c r="D2439" s="1"/>
      <c r="E2439" s="1"/>
      <c r="F2439" s="1"/>
      <c r="G2439" s="1" t="s">
        <v>205</v>
      </c>
      <c r="H2439" s="2">
        <v>16</v>
      </c>
      <c r="I2439" s="1" t="s">
        <v>7534</v>
      </c>
      <c r="J2439" s="1" t="s">
        <v>4954</v>
      </c>
      <c r="K2439" s="1" t="s">
        <v>479</v>
      </c>
      <c r="L2439" s="1" t="s">
        <v>7535</v>
      </c>
      <c r="M2439" s="6" t="str">
        <f>_xlfn.CONCAT(Table1[[#This Row],[Billing Street]], ", ", Table1[[#This Row],[Billing City]], ", ", Table1[[#This Row],[Billing State/Province]], ", ", Table1[[#This Row],[Billing Zip/Postal Code]])</f>
        <v>15333 North Pima Road #200, Scottsdale, AZ, 85260</v>
      </c>
    </row>
    <row r="2440" spans="1:13" ht="15.6" hidden="1" x14ac:dyDescent="0.3">
      <c r="A2440" s="1" t="s">
        <v>7536</v>
      </c>
      <c r="B2440" s="1"/>
      <c r="C2440" s="1"/>
      <c r="D2440" s="1"/>
      <c r="E2440" s="1"/>
      <c r="F2440" s="1"/>
      <c r="G2440" s="1" t="s">
        <v>205</v>
      </c>
      <c r="H2440" s="2">
        <v>504</v>
      </c>
      <c r="I2440" s="1" t="s">
        <v>7537</v>
      </c>
      <c r="J2440" s="1" t="s">
        <v>2399</v>
      </c>
      <c r="K2440" s="1" t="s">
        <v>472</v>
      </c>
      <c r="L2440" s="1" t="s">
        <v>2400</v>
      </c>
      <c r="M2440" s="6" t="str">
        <f>_xlfn.CONCAT(Table1[[#This Row],[Billing Street]], ", ", Table1[[#This Row],[Billing City]], ", ", Table1[[#This Row],[Billing State/Province]], ", ", Table1[[#This Row],[Billing Zip/Postal Code]])</f>
        <v>961 S Pioneer Rd, Salt Lake City, UT, 84104</v>
      </c>
    </row>
    <row r="2441" spans="1:13" ht="15.6" hidden="1" x14ac:dyDescent="0.3">
      <c r="A2441" s="1" t="s">
        <v>7538</v>
      </c>
      <c r="B2441" s="1"/>
      <c r="C2441" s="1"/>
      <c r="D2441" s="1"/>
      <c r="E2441" s="1"/>
      <c r="F2441" s="1"/>
      <c r="G2441" s="1" t="s">
        <v>43</v>
      </c>
      <c r="H2441" s="2">
        <v>150</v>
      </c>
      <c r="I2441" s="1" t="s">
        <v>7539</v>
      </c>
      <c r="J2441" s="1" t="s">
        <v>7540</v>
      </c>
      <c r="K2441" s="1" t="s">
        <v>241</v>
      </c>
      <c r="L2441" s="1" t="s">
        <v>7541</v>
      </c>
      <c r="M2441" s="6" t="str">
        <f>_xlfn.CONCAT(Table1[[#This Row],[Billing Street]], ", ", Table1[[#This Row],[Billing City]], ", ", Table1[[#This Row],[Billing State/Province]], ", ", Table1[[#This Row],[Billing Zip/Postal Code]])</f>
        <v>355 First Street, East Conemaugh, PA, 15909</v>
      </c>
    </row>
    <row r="2442" spans="1:13" ht="15.6" hidden="1" x14ac:dyDescent="0.3">
      <c r="A2442" s="1" t="s">
        <v>7542</v>
      </c>
      <c r="B2442" s="1"/>
      <c r="C2442" s="1"/>
      <c r="D2442" s="1"/>
      <c r="E2442" s="1"/>
      <c r="F2442" s="1"/>
      <c r="G2442" s="1" t="s">
        <v>205</v>
      </c>
      <c r="H2442" s="2">
        <v>176</v>
      </c>
      <c r="I2442" s="1" t="s">
        <v>7543</v>
      </c>
      <c r="J2442" s="1" t="s">
        <v>7544</v>
      </c>
      <c r="K2442" s="1" t="s">
        <v>479</v>
      </c>
      <c r="L2442" s="1" t="s">
        <v>7545</v>
      </c>
      <c r="M2442" s="6" t="str">
        <f>_xlfn.CONCAT(Table1[[#This Row],[Billing Street]], ", ", Table1[[#This Row],[Billing City]], ", ", Table1[[#This Row],[Billing State/Province]], ", ", Table1[[#This Row],[Billing Zip/Postal Code]])</f>
        <v>8780 S Hwy 95, Mohave Valley, AZ, 86440</v>
      </c>
    </row>
    <row r="2443" spans="1:13" ht="15.6" hidden="1" x14ac:dyDescent="0.3">
      <c r="A2443" s="1" t="s">
        <v>7546</v>
      </c>
      <c r="B2443" s="1"/>
      <c r="C2443" s="1"/>
      <c r="D2443" s="1"/>
      <c r="E2443" s="1"/>
      <c r="F2443" s="1"/>
      <c r="G2443" s="1" t="s">
        <v>43</v>
      </c>
      <c r="H2443" s="2">
        <v>251</v>
      </c>
      <c r="I2443" s="1" t="s">
        <v>7547</v>
      </c>
      <c r="J2443" s="1" t="s">
        <v>7548</v>
      </c>
      <c r="K2443" s="1" t="s">
        <v>241</v>
      </c>
      <c r="L2443" s="1" t="s">
        <v>13</v>
      </c>
      <c r="M2443" s="6" t="str">
        <f>_xlfn.CONCAT(Table1[[#This Row],[Billing Street]], ", ", Table1[[#This Row],[Billing City]], ", ", Table1[[#This Row],[Billing State/Province]], ", ", Table1[[#This Row],[Billing Zip/Postal Code]])</f>
        <v xml:space="preserve">5675 PA-87, Forksville, PA, </v>
      </c>
    </row>
    <row r="2444" spans="1:13" ht="15.6" hidden="1" x14ac:dyDescent="0.3">
      <c r="A2444" s="1" t="s">
        <v>7549</v>
      </c>
      <c r="B2444" s="1"/>
      <c r="C2444" s="1"/>
      <c r="D2444" s="1"/>
      <c r="E2444" s="1"/>
      <c r="F2444" s="1"/>
      <c r="G2444" s="1" t="s">
        <v>43</v>
      </c>
      <c r="H2444" s="2">
        <v>131</v>
      </c>
      <c r="I2444" s="1" t="s">
        <v>7550</v>
      </c>
      <c r="J2444" s="1" t="s">
        <v>4414</v>
      </c>
      <c r="K2444" s="1" t="s">
        <v>241</v>
      </c>
      <c r="L2444" s="1" t="s">
        <v>7551</v>
      </c>
      <c r="M2444" s="6" t="str">
        <f>_xlfn.CONCAT(Table1[[#This Row],[Billing Street]], ", ", Table1[[#This Row],[Billing City]], ", ", Table1[[#This Row],[Billing State/Province]], ", ", Table1[[#This Row],[Billing Zip/Postal Code]])</f>
        <v>75 Airport Rd, Indiana, PA, 15701-0070</v>
      </c>
    </row>
    <row r="2445" spans="1:13" ht="15.6" hidden="1" x14ac:dyDescent="0.3">
      <c r="A2445" s="1" t="s">
        <v>7552</v>
      </c>
      <c r="B2445" s="1"/>
      <c r="C2445" s="1"/>
      <c r="D2445" s="1"/>
      <c r="E2445" s="1"/>
      <c r="F2445" s="1"/>
      <c r="G2445" s="1" t="s">
        <v>43</v>
      </c>
      <c r="H2445" s="2">
        <v>5776</v>
      </c>
      <c r="I2445" s="1" t="s">
        <v>13</v>
      </c>
      <c r="J2445" s="1" t="s">
        <v>13</v>
      </c>
      <c r="K2445" s="1" t="s">
        <v>1115</v>
      </c>
      <c r="L2445" s="1" t="s">
        <v>13</v>
      </c>
      <c r="M2445" s="6" t="str">
        <f>_xlfn.CONCAT(Table1[[#This Row],[Billing Street]], ", ", Table1[[#This Row],[Billing City]], ", ", Table1[[#This Row],[Billing State/Province]], ", ", Table1[[#This Row],[Billing Zip/Postal Code]])</f>
        <v xml:space="preserve">, , VA, </v>
      </c>
    </row>
    <row r="2446" spans="1:13" ht="15.6" hidden="1" x14ac:dyDescent="0.3">
      <c r="A2446" s="1" t="s">
        <v>7553</v>
      </c>
      <c r="B2446" s="1"/>
      <c r="C2446" s="1"/>
      <c r="D2446" s="1"/>
      <c r="E2446" s="1"/>
      <c r="F2446" s="1"/>
      <c r="G2446" s="1" t="s">
        <v>43</v>
      </c>
      <c r="H2446" s="2">
        <v>5776</v>
      </c>
      <c r="I2446" s="1" t="s">
        <v>13</v>
      </c>
      <c r="J2446" s="1" t="s">
        <v>3419</v>
      </c>
      <c r="K2446" s="1" t="s">
        <v>1115</v>
      </c>
      <c r="L2446" s="1" t="s">
        <v>13</v>
      </c>
      <c r="M2446" s="6" t="str">
        <f>_xlfn.CONCAT(Table1[[#This Row],[Billing Street]], ", ", Table1[[#This Row],[Billing City]], ", ", Table1[[#This Row],[Billing State/Province]], ", ", Table1[[#This Row],[Billing Zip/Postal Code]])</f>
        <v xml:space="preserve">, Bedford, VA, </v>
      </c>
    </row>
    <row r="2447" spans="1:13" ht="15.6" hidden="1" x14ac:dyDescent="0.3">
      <c r="A2447" s="1" t="s">
        <v>7554</v>
      </c>
      <c r="B2447" s="1"/>
      <c r="C2447" s="1"/>
      <c r="D2447" s="1"/>
      <c r="E2447" s="1"/>
      <c r="F2447" s="1"/>
      <c r="G2447" s="1" t="s">
        <v>43</v>
      </c>
      <c r="H2447" s="2">
        <v>378</v>
      </c>
      <c r="I2447" s="1" t="s">
        <v>7555</v>
      </c>
      <c r="J2447" s="1" t="s">
        <v>7556</v>
      </c>
      <c r="K2447" s="1" t="s">
        <v>1115</v>
      </c>
      <c r="L2447" s="1" t="s">
        <v>7557</v>
      </c>
      <c r="M2447" s="6" t="str">
        <f>_xlfn.CONCAT(Table1[[#This Row],[Billing Street]], ", ", Table1[[#This Row],[Billing City]], ", ", Table1[[#This Row],[Billing State/Province]], ", ", Table1[[#This Row],[Billing Zip/Postal Code]])</f>
        <v>7103 General Mahone Hwy, Waverly, VA, 23890</v>
      </c>
    </row>
    <row r="2448" spans="1:13" ht="15.6" hidden="1" x14ac:dyDescent="0.3">
      <c r="A2448" s="1" t="s">
        <v>7558</v>
      </c>
      <c r="B2448" s="1"/>
      <c r="C2448" s="1"/>
      <c r="D2448" s="1"/>
      <c r="E2448" s="1"/>
      <c r="F2448" s="1"/>
      <c r="G2448" s="1" t="s">
        <v>43</v>
      </c>
      <c r="H2448" s="2">
        <v>5776</v>
      </c>
      <c r="I2448" s="1" t="s">
        <v>13</v>
      </c>
      <c r="J2448" s="1" t="s">
        <v>13</v>
      </c>
      <c r="K2448" s="1" t="s">
        <v>1115</v>
      </c>
      <c r="L2448" s="1" t="s">
        <v>13</v>
      </c>
      <c r="M2448" s="6" t="str">
        <f>_xlfn.CONCAT(Table1[[#This Row],[Billing Street]], ", ", Table1[[#This Row],[Billing City]], ", ", Table1[[#This Row],[Billing State/Province]], ", ", Table1[[#This Row],[Billing Zip/Postal Code]])</f>
        <v xml:space="preserve">, , VA, </v>
      </c>
    </row>
    <row r="2449" spans="1:13" ht="15.6" hidden="1" x14ac:dyDescent="0.3">
      <c r="A2449" s="1" t="s">
        <v>7559</v>
      </c>
      <c r="B2449" s="1"/>
      <c r="C2449" s="1"/>
      <c r="D2449" s="1"/>
      <c r="E2449" s="1"/>
      <c r="F2449" s="1"/>
      <c r="G2449" s="1" t="s">
        <v>43</v>
      </c>
      <c r="H2449" s="2">
        <v>293</v>
      </c>
      <c r="I2449" s="1" t="s">
        <v>7560</v>
      </c>
      <c r="J2449" s="1" t="s">
        <v>7561</v>
      </c>
      <c r="K2449" s="1" t="s">
        <v>1115</v>
      </c>
      <c r="L2449" s="1" t="s">
        <v>7562</v>
      </c>
      <c r="M2449" s="6" t="str">
        <f>_xlfn.CONCAT(Table1[[#This Row],[Billing Street]], ", ", Table1[[#This Row],[Billing City]], ", ", Table1[[#This Row],[Billing State/Province]], ", ", Table1[[#This Row],[Billing Zip/Postal Code]])</f>
        <v>200 Washington Square, Richlands, VA, 24641</v>
      </c>
    </row>
    <row r="2450" spans="1:13" ht="15.6" hidden="1" x14ac:dyDescent="0.3">
      <c r="A2450" s="1" t="s">
        <v>7563</v>
      </c>
      <c r="B2450" s="1"/>
      <c r="C2450" s="1"/>
      <c r="D2450" s="1"/>
      <c r="E2450" s="1"/>
      <c r="F2450" s="1"/>
      <c r="G2450" s="1" t="s">
        <v>43</v>
      </c>
      <c r="H2450" s="2">
        <v>5776</v>
      </c>
      <c r="I2450" s="1" t="s">
        <v>7564</v>
      </c>
      <c r="J2450" s="1" t="s">
        <v>1539</v>
      </c>
      <c r="K2450" s="1" t="s">
        <v>1505</v>
      </c>
      <c r="L2450" s="1" t="s">
        <v>7565</v>
      </c>
      <c r="M2450" s="6" t="str">
        <f>_xlfn.CONCAT(Table1[[#This Row],[Billing Street]], ", ", Table1[[#This Row],[Billing City]], ", ", Table1[[#This Row],[Billing State/Province]], ", ", Table1[[#This Row],[Billing Zip/Postal Code]])</f>
        <v>628 Business Route 4, Rutland, VT, 5736</v>
      </c>
    </row>
    <row r="2451" spans="1:13" ht="15.6" hidden="1" x14ac:dyDescent="0.3">
      <c r="A2451" s="1" t="s">
        <v>7566</v>
      </c>
      <c r="B2451" s="1"/>
      <c r="C2451" s="1"/>
      <c r="D2451" s="1"/>
      <c r="E2451" s="1"/>
      <c r="F2451" s="1"/>
      <c r="G2451" s="1" t="s">
        <v>43</v>
      </c>
      <c r="H2451" s="2">
        <v>5776</v>
      </c>
      <c r="I2451" s="1" t="s">
        <v>7567</v>
      </c>
      <c r="J2451" s="1" t="s">
        <v>7568</v>
      </c>
      <c r="K2451" s="1" t="s">
        <v>1505</v>
      </c>
      <c r="L2451" s="1" t="s">
        <v>7569</v>
      </c>
      <c r="M2451" s="6" t="str">
        <f>_xlfn.CONCAT(Table1[[#This Row],[Billing Street]], ", ", Table1[[#This Row],[Billing City]], ", ", Table1[[#This Row],[Billing State/Province]], ", ", Table1[[#This Row],[Billing Zip/Postal Code]])</f>
        <v>4050 Williston Rd Str 511, South Burlington, VT, 5403</v>
      </c>
    </row>
    <row r="2452" spans="1:13" ht="15.6" hidden="1" x14ac:dyDescent="0.3">
      <c r="A2452" s="1" t="s">
        <v>7570</v>
      </c>
      <c r="B2452" s="1"/>
      <c r="C2452" s="1"/>
      <c r="D2452" s="1"/>
      <c r="E2452" s="1"/>
      <c r="F2452" s="1"/>
      <c r="G2452" s="1" t="s">
        <v>43</v>
      </c>
      <c r="H2452" s="2">
        <v>5776</v>
      </c>
      <c r="I2452" s="1" t="s">
        <v>13</v>
      </c>
      <c r="J2452" s="1" t="s">
        <v>7571</v>
      </c>
      <c r="K2452" s="1" t="s">
        <v>1505</v>
      </c>
      <c r="L2452" s="1" t="s">
        <v>13</v>
      </c>
      <c r="M2452" s="6" t="str">
        <f>_xlfn.CONCAT(Table1[[#This Row],[Billing Street]], ", ", Table1[[#This Row],[Billing City]], ", ", Table1[[#This Row],[Billing State/Province]], ", ", Table1[[#This Row],[Billing Zip/Postal Code]])</f>
        <v xml:space="preserve">, St Johnsbury, VT, </v>
      </c>
    </row>
    <row r="2453" spans="1:13" ht="15.6" hidden="1" x14ac:dyDescent="0.3">
      <c r="A2453" s="1" t="s">
        <v>7572</v>
      </c>
      <c r="B2453" s="1"/>
      <c r="C2453" s="1"/>
      <c r="D2453" s="1"/>
      <c r="E2453" s="1"/>
      <c r="F2453" s="1"/>
      <c r="G2453" s="1" t="s">
        <v>43</v>
      </c>
      <c r="H2453" s="2">
        <v>5776</v>
      </c>
      <c r="I2453" s="1" t="s">
        <v>7573</v>
      </c>
      <c r="J2453" s="1" t="s">
        <v>449</v>
      </c>
      <c r="K2453" s="1" t="s">
        <v>1505</v>
      </c>
      <c r="L2453" s="1" t="s">
        <v>7574</v>
      </c>
      <c r="M2453" s="6" t="str">
        <f>_xlfn.CONCAT(Table1[[#This Row],[Billing Street]], ", ", Table1[[#This Row],[Billing City]], ", ", Table1[[#This Row],[Billing State/Province]], ", ", Table1[[#This Row],[Billing Zip/Postal Code]])</f>
        <v>171 Weatview Meadows Rd, Montpelier, VT, 5602</v>
      </c>
    </row>
    <row r="2454" spans="1:13" ht="15.6" hidden="1" x14ac:dyDescent="0.3">
      <c r="A2454" s="1" t="s">
        <v>7575</v>
      </c>
      <c r="B2454" s="1"/>
      <c r="C2454" s="1"/>
      <c r="D2454" s="1"/>
      <c r="E2454" s="1"/>
      <c r="F2454" s="1"/>
      <c r="G2454" s="1" t="s">
        <v>43</v>
      </c>
      <c r="H2454" s="2">
        <v>5776</v>
      </c>
      <c r="I2454" s="1" t="s">
        <v>7576</v>
      </c>
      <c r="J2454" s="1" t="s">
        <v>7577</v>
      </c>
      <c r="K2454" s="1" t="s">
        <v>1505</v>
      </c>
      <c r="L2454" s="1" t="s">
        <v>7578</v>
      </c>
      <c r="M2454" s="6" t="str">
        <f>_xlfn.CONCAT(Table1[[#This Row],[Billing Street]], ", ", Table1[[#This Row],[Billing City]], ", ", Table1[[#This Row],[Billing State/Province]], ", ", Table1[[#This Row],[Billing Zip/Postal Code]])</f>
        <v>204 VT route 30, Townshend, VT, 5353</v>
      </c>
    </row>
    <row r="2455" spans="1:13" ht="15.6" hidden="1" x14ac:dyDescent="0.3">
      <c r="A2455" s="1" t="s">
        <v>7579</v>
      </c>
      <c r="B2455" s="1"/>
      <c r="C2455" s="1"/>
      <c r="D2455" s="1"/>
      <c r="E2455" s="1"/>
      <c r="F2455" s="1"/>
      <c r="G2455" s="1" t="s">
        <v>54</v>
      </c>
      <c r="H2455" s="2">
        <v>941</v>
      </c>
      <c r="I2455" s="1" t="s">
        <v>7580</v>
      </c>
      <c r="J2455" s="1" t="s">
        <v>1818</v>
      </c>
      <c r="K2455" s="1" t="s">
        <v>405</v>
      </c>
      <c r="L2455" s="1" t="s">
        <v>2865</v>
      </c>
      <c r="M2455" s="6" t="str">
        <f>_xlfn.CONCAT(Table1[[#This Row],[Billing Street]], ", ", Table1[[#This Row],[Billing City]], ", ", Table1[[#This Row],[Billing State/Province]], ", ", Table1[[#This Row],[Billing Zip/Postal Code]])</f>
        <v>4217 E Main Ave, Spokane, WA, 99202</v>
      </c>
    </row>
    <row r="2456" spans="1:13" ht="15.6" hidden="1" x14ac:dyDescent="0.3">
      <c r="A2456" s="1" t="s">
        <v>7581</v>
      </c>
      <c r="B2456" s="1"/>
      <c r="C2456" s="1"/>
      <c r="D2456" s="1"/>
      <c r="E2456" s="1"/>
      <c r="F2456" s="1"/>
      <c r="G2456" s="1" t="s">
        <v>54</v>
      </c>
      <c r="H2456" s="2">
        <v>981</v>
      </c>
      <c r="I2456" s="1" t="s">
        <v>7582</v>
      </c>
      <c r="J2456" s="1" t="s">
        <v>7583</v>
      </c>
      <c r="K2456" s="1" t="s">
        <v>405</v>
      </c>
      <c r="L2456" s="1" t="s">
        <v>13</v>
      </c>
      <c r="M2456" s="6" t="str">
        <f>_xlfn.CONCAT(Table1[[#This Row],[Billing Street]], ", ", Table1[[#This Row],[Billing City]], ", ", Table1[[#This Row],[Billing State/Province]], ", ", Table1[[#This Row],[Billing Zip/Postal Code]])</f>
        <v xml:space="preserve">1802 75th street S.W, Everett, WA, </v>
      </c>
    </row>
    <row r="2457" spans="1:13" ht="15.6" hidden="1" x14ac:dyDescent="0.3">
      <c r="A2457" s="1" t="s">
        <v>7584</v>
      </c>
      <c r="B2457" s="1"/>
      <c r="C2457" s="1"/>
      <c r="D2457" s="1"/>
      <c r="E2457" s="1"/>
      <c r="F2457" s="1"/>
      <c r="G2457" s="1" t="s">
        <v>54</v>
      </c>
      <c r="H2457" s="2">
        <v>919</v>
      </c>
      <c r="I2457" s="1" t="s">
        <v>7585</v>
      </c>
      <c r="J2457" s="1" t="s">
        <v>7586</v>
      </c>
      <c r="K2457" s="1" t="s">
        <v>405</v>
      </c>
      <c r="L2457" s="1" t="s">
        <v>7587</v>
      </c>
      <c r="M2457" s="6" t="str">
        <f>_xlfn.CONCAT(Table1[[#This Row],[Billing Street]], ", ", Table1[[#This Row],[Billing City]], ", ", Table1[[#This Row],[Billing State/Province]], ", ", Table1[[#This Row],[Billing Zip/Postal Code]])</f>
        <v>30 C St SW, Ephrata, WA, 98823</v>
      </c>
    </row>
    <row r="2458" spans="1:13" ht="15.6" hidden="1" x14ac:dyDescent="0.3">
      <c r="A2458" s="1" t="s">
        <v>7588</v>
      </c>
      <c r="B2458" s="1"/>
      <c r="C2458" s="1"/>
      <c r="D2458" s="1"/>
      <c r="E2458" s="1"/>
      <c r="F2458" s="1"/>
      <c r="G2458" s="1" t="s">
        <v>54</v>
      </c>
      <c r="H2458" s="2">
        <v>835</v>
      </c>
      <c r="I2458" s="1" t="s">
        <v>7589</v>
      </c>
      <c r="J2458" s="1" t="s">
        <v>7590</v>
      </c>
      <c r="K2458" s="1" t="s">
        <v>405</v>
      </c>
      <c r="L2458" s="1" t="s">
        <v>7591</v>
      </c>
      <c r="M2458" s="6" t="str">
        <f>_xlfn.CONCAT(Table1[[#This Row],[Billing Street]], ", ", Table1[[#This Row],[Billing City]], ", ", Table1[[#This Row],[Billing State/Province]], ", ", Table1[[#This Row],[Billing Zip/Postal Code]])</f>
        <v>8600 NE 117th, Vancouver, WA, 98662</v>
      </c>
    </row>
    <row r="2459" spans="1:13" ht="15.6" hidden="1" x14ac:dyDescent="0.3">
      <c r="A2459" s="1" t="s">
        <v>7592</v>
      </c>
      <c r="B2459" s="1"/>
      <c r="C2459" s="1"/>
      <c r="D2459" s="1"/>
      <c r="E2459" s="1"/>
      <c r="F2459" s="1"/>
      <c r="G2459" s="1" t="s">
        <v>54</v>
      </c>
      <c r="H2459" s="2">
        <v>937</v>
      </c>
      <c r="I2459" s="1" t="s">
        <v>7593</v>
      </c>
      <c r="J2459" s="1" t="s">
        <v>7345</v>
      </c>
      <c r="K2459" s="1" t="s">
        <v>405</v>
      </c>
      <c r="L2459" s="1" t="s">
        <v>7594</v>
      </c>
      <c r="M2459" s="6" t="str">
        <f>_xlfn.CONCAT(Table1[[#This Row],[Billing Street]], ", ", Table1[[#This Row],[Billing City]], ", ", Table1[[#This Row],[Billing State/Province]], ", ", Table1[[#This Row],[Billing Zip/Postal Code]])</f>
        <v>3628 S 35th Street, Tacoma, WA, 98409</v>
      </c>
    </row>
    <row r="2460" spans="1:13" ht="15.6" hidden="1" x14ac:dyDescent="0.3">
      <c r="A2460" s="1" t="s">
        <v>7595</v>
      </c>
      <c r="B2460" s="1"/>
      <c r="C2460" s="1"/>
      <c r="D2460" s="1"/>
      <c r="E2460" s="1"/>
      <c r="F2460" s="1"/>
      <c r="G2460" s="1" t="s">
        <v>54</v>
      </c>
      <c r="H2460" s="2">
        <v>930</v>
      </c>
      <c r="I2460" s="1" t="s">
        <v>7596</v>
      </c>
      <c r="J2460" s="1" t="s">
        <v>7345</v>
      </c>
      <c r="K2460" s="1" t="s">
        <v>405</v>
      </c>
      <c r="L2460" s="1" t="s">
        <v>7597</v>
      </c>
      <c r="M2460" s="6" t="str">
        <f>_xlfn.CONCAT(Table1[[#This Row],[Billing Street]], ", ", Table1[[#This Row],[Billing City]], ", ", Table1[[#This Row],[Billing State/Province]], ", ", Table1[[#This Row],[Billing Zip/Postal Code]])</f>
        <v>120 S 132nd street, Tacoma, WA, 98444</v>
      </c>
    </row>
    <row r="2461" spans="1:13" ht="15.6" hidden="1" x14ac:dyDescent="0.3">
      <c r="A2461" s="1" t="s">
        <v>7598</v>
      </c>
      <c r="B2461" s="1"/>
      <c r="C2461" s="1"/>
      <c r="D2461" s="1"/>
      <c r="E2461" s="1"/>
      <c r="F2461" s="1"/>
      <c r="G2461" s="1" t="s">
        <v>54</v>
      </c>
      <c r="H2461" s="2">
        <v>949</v>
      </c>
      <c r="I2461" s="1" t="s">
        <v>7599</v>
      </c>
      <c r="J2461" s="1" t="s">
        <v>7600</v>
      </c>
      <c r="K2461" s="1" t="s">
        <v>405</v>
      </c>
      <c r="L2461" s="1" t="s">
        <v>7601</v>
      </c>
      <c r="M2461" s="6" t="str">
        <f>_xlfn.CONCAT(Table1[[#This Row],[Billing Street]], ", ", Table1[[#This Row],[Billing City]], ", ", Table1[[#This Row],[Billing State/Province]], ", ", Table1[[#This Row],[Billing Zip/Postal Code]])</f>
        <v>13315 Goodnough Dr NW, Gig Habor, WA, 98335</v>
      </c>
    </row>
    <row r="2462" spans="1:13" ht="15.6" hidden="1" x14ac:dyDescent="0.3">
      <c r="A2462" s="1" t="s">
        <v>7602</v>
      </c>
      <c r="B2462" s="1"/>
      <c r="C2462" s="1"/>
      <c r="D2462" s="1"/>
      <c r="E2462" s="1"/>
      <c r="F2462" s="1"/>
      <c r="G2462" s="1" t="s">
        <v>54</v>
      </c>
      <c r="H2462" s="2">
        <v>902</v>
      </c>
      <c r="I2462" s="1" t="s">
        <v>7603</v>
      </c>
      <c r="J2462" s="1" t="s">
        <v>7604</v>
      </c>
      <c r="K2462" s="1" t="s">
        <v>405</v>
      </c>
      <c r="L2462" s="1" t="s">
        <v>3630</v>
      </c>
      <c r="M2462" s="6" t="str">
        <f>_xlfn.CONCAT(Table1[[#This Row],[Billing Street]], ", ", Table1[[#This Row],[Billing City]], ", ", Table1[[#This Row],[Billing State/Province]], ", ", Table1[[#This Row],[Billing Zip/Postal Code]])</f>
        <v>501 N Anderson S, Ellensberg, WA, 98926</v>
      </c>
    </row>
    <row r="2463" spans="1:13" ht="15.6" hidden="1" x14ac:dyDescent="0.3">
      <c r="A2463" s="1" t="s">
        <v>7605</v>
      </c>
      <c r="B2463" s="1"/>
      <c r="C2463" s="1"/>
      <c r="D2463" s="1"/>
      <c r="E2463" s="1"/>
      <c r="F2463" s="1"/>
      <c r="G2463" s="1" t="s">
        <v>54</v>
      </c>
      <c r="H2463" s="2">
        <v>999</v>
      </c>
      <c r="I2463" s="1" t="s">
        <v>7606</v>
      </c>
      <c r="J2463" s="1" t="s">
        <v>1689</v>
      </c>
      <c r="K2463" s="1" t="s">
        <v>405</v>
      </c>
      <c r="L2463" s="1" t="s">
        <v>7607</v>
      </c>
      <c r="M2463" s="6" t="str">
        <f>_xlfn.CONCAT(Table1[[#This Row],[Billing Street]], ", ", Table1[[#This Row],[Billing City]], ", ", Table1[[#This Row],[Billing State/Province]], ", ", Table1[[#This Row],[Billing Zip/Postal Code]])</f>
        <v>13933 Jim Creek Rd, Arlington, WA, 98223</v>
      </c>
    </row>
    <row r="2464" spans="1:13" ht="15.6" hidden="1" x14ac:dyDescent="0.3">
      <c r="A2464" s="1" t="s">
        <v>7608</v>
      </c>
      <c r="B2464" s="1"/>
      <c r="C2464" s="1"/>
      <c r="D2464" s="1"/>
      <c r="E2464" s="1"/>
      <c r="F2464" s="1"/>
      <c r="G2464" s="1" t="s">
        <v>54</v>
      </c>
      <c r="H2464" s="2">
        <v>7813</v>
      </c>
      <c r="I2464" s="1" t="s">
        <v>13</v>
      </c>
      <c r="J2464" s="1" t="s">
        <v>1818</v>
      </c>
      <c r="K2464" s="1" t="s">
        <v>405</v>
      </c>
      <c r="L2464" s="1" t="s">
        <v>13</v>
      </c>
      <c r="M2464" s="6" t="str">
        <f>_xlfn.CONCAT(Table1[[#This Row],[Billing Street]], ", ", Table1[[#This Row],[Billing City]], ", ", Table1[[#This Row],[Billing State/Province]], ", ", Table1[[#This Row],[Billing Zip/Postal Code]])</f>
        <v xml:space="preserve">, Spokane, WA, </v>
      </c>
    </row>
    <row r="2465" spans="1:13" ht="15.6" hidden="1" x14ac:dyDescent="0.3">
      <c r="A2465" s="1" t="s">
        <v>7609</v>
      </c>
      <c r="B2465" s="1"/>
      <c r="C2465" s="1"/>
      <c r="D2465" s="1"/>
      <c r="E2465" s="1"/>
      <c r="F2465" s="1"/>
      <c r="G2465" s="1" t="s">
        <v>54</v>
      </c>
      <c r="H2465" s="2">
        <v>7813</v>
      </c>
      <c r="I2465" s="1" t="s">
        <v>13</v>
      </c>
      <c r="J2465" s="1" t="s">
        <v>13</v>
      </c>
      <c r="K2465" s="1" t="s">
        <v>405</v>
      </c>
      <c r="L2465" s="1" t="s">
        <v>13</v>
      </c>
      <c r="M2465" s="6" t="str">
        <f>_xlfn.CONCAT(Table1[[#This Row],[Billing Street]], ", ", Table1[[#This Row],[Billing City]], ", ", Table1[[#This Row],[Billing State/Province]], ", ", Table1[[#This Row],[Billing Zip/Postal Code]])</f>
        <v xml:space="preserve">, , WA, </v>
      </c>
    </row>
    <row r="2466" spans="1:13" ht="15.6" hidden="1" x14ac:dyDescent="0.3">
      <c r="A2466" s="1" t="s">
        <v>7610</v>
      </c>
      <c r="B2466" s="1"/>
      <c r="C2466" s="1"/>
      <c r="D2466" s="1"/>
      <c r="E2466" s="1"/>
      <c r="F2466" s="1"/>
      <c r="G2466" s="1" t="s">
        <v>43</v>
      </c>
      <c r="H2466" s="2">
        <v>180</v>
      </c>
      <c r="I2466" s="1" t="s">
        <v>7611</v>
      </c>
      <c r="J2466" s="1" t="s">
        <v>7612</v>
      </c>
      <c r="K2466" s="1" t="s">
        <v>1170</v>
      </c>
      <c r="L2466" s="1" t="s">
        <v>13</v>
      </c>
      <c r="M2466" s="6" t="str">
        <f>_xlfn.CONCAT(Table1[[#This Row],[Billing Street]], ", ", Table1[[#This Row],[Billing City]], ", ", Table1[[#This Row],[Billing State/Province]], ", ", Table1[[#This Row],[Billing Zip/Postal Code]])</f>
        <v xml:space="preserve">200 Energy Way, Gormania, WV, </v>
      </c>
    </row>
    <row r="2467" spans="1:13" ht="15.6" hidden="1" x14ac:dyDescent="0.3">
      <c r="A2467" s="1" t="s">
        <v>7613</v>
      </c>
      <c r="B2467" s="1"/>
      <c r="C2467" s="1"/>
      <c r="D2467" s="1"/>
      <c r="E2467" s="1"/>
      <c r="F2467" s="1"/>
      <c r="G2467" s="1" t="s">
        <v>43</v>
      </c>
      <c r="H2467" s="2">
        <v>168</v>
      </c>
      <c r="I2467" s="1" t="s">
        <v>7614</v>
      </c>
      <c r="J2467" s="1" t="s">
        <v>7615</v>
      </c>
      <c r="K2467" s="1" t="s">
        <v>1170</v>
      </c>
      <c r="L2467" s="1" t="s">
        <v>7616</v>
      </c>
      <c r="M2467" s="6" t="str">
        <f>_xlfn.CONCAT(Table1[[#This Row],[Billing Street]], ", ", Table1[[#This Row],[Billing City]], ", ", Table1[[#This Row],[Billing State/Province]], ", ", Table1[[#This Row],[Billing Zip/Postal Code]])</f>
        <v>344 S. Main Street, Philippi, WV, 26416</v>
      </c>
    </row>
    <row r="2468" spans="1:13" ht="15.6" hidden="1" x14ac:dyDescent="0.3">
      <c r="A2468" s="1" t="s">
        <v>7617</v>
      </c>
      <c r="B2468" s="1"/>
      <c r="C2468" s="1"/>
      <c r="D2468" s="1"/>
      <c r="E2468" s="1"/>
      <c r="F2468" s="1"/>
      <c r="G2468" s="1" t="s">
        <v>43</v>
      </c>
      <c r="H2468" s="2">
        <v>5776</v>
      </c>
      <c r="I2468" s="1" t="s">
        <v>13</v>
      </c>
      <c r="J2468" s="1" t="s">
        <v>13</v>
      </c>
      <c r="K2468" s="1" t="s">
        <v>1170</v>
      </c>
      <c r="L2468" s="1" t="s">
        <v>13</v>
      </c>
      <c r="M2468" s="6" t="str">
        <f>_xlfn.CONCAT(Table1[[#This Row],[Billing Street]], ", ", Table1[[#This Row],[Billing City]], ", ", Table1[[#This Row],[Billing State/Province]], ", ", Table1[[#This Row],[Billing Zip/Postal Code]])</f>
        <v xml:space="preserve">, , WV, </v>
      </c>
    </row>
    <row r="2469" spans="1:13" ht="15.6" hidden="1" x14ac:dyDescent="0.3">
      <c r="A2469" s="1" t="s">
        <v>7618</v>
      </c>
      <c r="B2469" s="1"/>
      <c r="C2469" s="1"/>
      <c r="D2469" s="1"/>
      <c r="E2469" s="1"/>
      <c r="F2469" s="1"/>
      <c r="G2469" s="1" t="s">
        <v>43</v>
      </c>
      <c r="H2469" s="2">
        <v>120</v>
      </c>
      <c r="I2469" s="1" t="s">
        <v>7619</v>
      </c>
      <c r="J2469" s="1" t="s">
        <v>7620</v>
      </c>
      <c r="K2469" s="1" t="s">
        <v>1170</v>
      </c>
      <c r="L2469" s="1" t="s">
        <v>7621</v>
      </c>
      <c r="M2469" s="6" t="str">
        <f>_xlfn.CONCAT(Table1[[#This Row],[Billing Street]], ", ", Table1[[#This Row],[Billing City]], ", ", Table1[[#This Row],[Billing State/Province]], ", ", Table1[[#This Row],[Billing Zip/Postal Code]])</f>
        <v>195 Main Street, New Martinsville, WV, 26115</v>
      </c>
    </row>
    <row r="2470" spans="1:13" ht="15.6" hidden="1" x14ac:dyDescent="0.3">
      <c r="A2470" s="1" t="s">
        <v>7622</v>
      </c>
      <c r="B2470" s="1"/>
      <c r="C2470" s="1"/>
      <c r="D2470" s="1"/>
      <c r="E2470" s="1"/>
      <c r="F2470" s="1"/>
      <c r="G2470" s="1" t="s">
        <v>43</v>
      </c>
      <c r="H2470" s="2">
        <v>5776</v>
      </c>
      <c r="I2470" s="1" t="s">
        <v>13</v>
      </c>
      <c r="J2470" s="1" t="s">
        <v>13</v>
      </c>
      <c r="K2470" s="1" t="s">
        <v>133</v>
      </c>
      <c r="L2470" s="1" t="s">
        <v>13</v>
      </c>
      <c r="M2470" s="6" t="str">
        <f>_xlfn.CONCAT(Table1[[#This Row],[Billing Street]], ", ", Table1[[#This Row],[Billing City]], ", ", Table1[[#This Row],[Billing State/Province]], ", ", Table1[[#This Row],[Billing Zip/Postal Code]])</f>
        <v xml:space="preserve">, , WI, </v>
      </c>
    </row>
    <row r="2471" spans="1:13" ht="15.6" hidden="1" x14ac:dyDescent="0.3">
      <c r="A2471" s="1" t="s">
        <v>7623</v>
      </c>
      <c r="B2471" s="1"/>
      <c r="C2471" s="1"/>
      <c r="D2471" s="1"/>
      <c r="E2471" s="1"/>
      <c r="F2471" s="1"/>
      <c r="G2471" s="1" t="s">
        <v>43</v>
      </c>
      <c r="H2471" s="2">
        <v>381</v>
      </c>
      <c r="I2471" s="1" t="s">
        <v>7624</v>
      </c>
      <c r="J2471" s="1" t="s">
        <v>7625</v>
      </c>
      <c r="K2471" s="1" t="s">
        <v>133</v>
      </c>
      <c r="L2471" s="1" t="s">
        <v>7626</v>
      </c>
      <c r="M2471" s="6" t="str">
        <f>_xlfn.CONCAT(Table1[[#This Row],[Billing Street]], ", ", Table1[[#This Row],[Billing City]], ", ", Table1[[#This Row],[Billing State/Province]], ", ", Table1[[#This Row],[Billing Zip/Postal Code]])</f>
        <v>808 S. Worthington St, Oconomowoc, WI, 53066</v>
      </c>
    </row>
    <row r="2472" spans="1:13" ht="15.6" hidden="1" x14ac:dyDescent="0.3">
      <c r="A2472" s="1" t="s">
        <v>7627</v>
      </c>
      <c r="B2472" s="1"/>
      <c r="C2472" s="1"/>
      <c r="D2472" s="1"/>
      <c r="E2472" s="1"/>
      <c r="F2472" s="1"/>
      <c r="G2472" s="1" t="s">
        <v>43</v>
      </c>
      <c r="H2472" s="2">
        <v>5776</v>
      </c>
      <c r="I2472" s="1" t="s">
        <v>13</v>
      </c>
      <c r="J2472" s="1" t="s">
        <v>13</v>
      </c>
      <c r="K2472" s="1" t="s">
        <v>133</v>
      </c>
      <c r="L2472" s="1" t="s">
        <v>13</v>
      </c>
      <c r="M2472" s="6" t="str">
        <f>_xlfn.CONCAT(Table1[[#This Row],[Billing Street]], ", ", Table1[[#This Row],[Billing City]], ", ", Table1[[#This Row],[Billing State/Province]], ", ", Table1[[#This Row],[Billing Zip/Postal Code]])</f>
        <v xml:space="preserve">, , WI, </v>
      </c>
    </row>
    <row r="2473" spans="1:13" ht="15.6" hidden="1" x14ac:dyDescent="0.3">
      <c r="A2473" s="1" t="s">
        <v>7628</v>
      </c>
      <c r="B2473" s="1"/>
      <c r="C2473" s="1"/>
      <c r="D2473" s="1"/>
      <c r="E2473" s="1"/>
      <c r="F2473" s="1"/>
      <c r="G2473" s="1" t="s">
        <v>43</v>
      </c>
      <c r="H2473" s="2">
        <v>401</v>
      </c>
      <c r="I2473" s="1" t="s">
        <v>7629</v>
      </c>
      <c r="J2473" s="1" t="s">
        <v>7630</v>
      </c>
      <c r="K2473" s="1" t="s">
        <v>133</v>
      </c>
      <c r="L2473" s="1" t="s">
        <v>7631</v>
      </c>
      <c r="M2473" s="6" t="str">
        <f>_xlfn.CONCAT(Table1[[#This Row],[Billing Street]], ", ", Table1[[#This Row],[Billing City]], ", ", Table1[[#This Row],[Billing State/Province]], ", ", Table1[[#This Row],[Billing Zip/Postal Code]])</f>
        <v>777 Island St,, Kaukauna, WI, 54130</v>
      </c>
    </row>
    <row r="2474" spans="1:13" ht="15.6" hidden="1" x14ac:dyDescent="0.3">
      <c r="A2474" s="1" t="s">
        <v>7632</v>
      </c>
      <c r="B2474" s="1"/>
      <c r="C2474" s="1"/>
      <c r="D2474" s="1"/>
      <c r="E2474" s="1"/>
      <c r="F2474" s="1"/>
      <c r="G2474" s="1" t="s">
        <v>43</v>
      </c>
      <c r="H2474" s="2">
        <v>372</v>
      </c>
      <c r="I2474" s="1" t="s">
        <v>7633</v>
      </c>
      <c r="J2474" s="1" t="s">
        <v>6890</v>
      </c>
      <c r="K2474" s="1" t="s">
        <v>133</v>
      </c>
      <c r="L2474" s="1" t="s">
        <v>7634</v>
      </c>
      <c r="M2474" s="6" t="str">
        <f>_xlfn.CONCAT(Table1[[#This Row],[Billing Street]], ", ", Table1[[#This Row],[Billing City]], ", ", Table1[[#This Row],[Billing State/Province]], ", ", Table1[[#This Row],[Billing Zip/Postal Code]])</f>
        <v>900 CTH PP, Plymouth, WI, 53073-0277</v>
      </c>
    </row>
    <row r="2475" spans="1:13" ht="15.6" hidden="1" x14ac:dyDescent="0.3">
      <c r="A2475" s="1" t="s">
        <v>7635</v>
      </c>
      <c r="B2475" s="1"/>
      <c r="C2475" s="1"/>
      <c r="D2475" s="1"/>
      <c r="E2475" s="1"/>
      <c r="F2475" s="1"/>
      <c r="G2475" s="1" t="s">
        <v>43</v>
      </c>
      <c r="H2475" s="2">
        <v>399</v>
      </c>
      <c r="I2475" s="1" t="s">
        <v>7636</v>
      </c>
      <c r="J2475" s="1" t="s">
        <v>7637</v>
      </c>
      <c r="K2475" s="1" t="s">
        <v>133</v>
      </c>
      <c r="L2475" s="1" t="s">
        <v>7638</v>
      </c>
      <c r="M2475" s="6" t="str">
        <f>_xlfn.CONCAT(Table1[[#This Row],[Billing Street]], ", ", Table1[[#This Row],[Billing City]], ", ", Table1[[#This Row],[Billing State/Province]], ", ", Table1[[#This Row],[Billing Zip/Postal Code]])</f>
        <v>2815 Kennedy Road, Janesville, WI, 53545</v>
      </c>
    </row>
    <row r="2476" spans="1:13" ht="15.6" hidden="1" x14ac:dyDescent="0.3">
      <c r="A2476" s="1" t="s">
        <v>7639</v>
      </c>
      <c r="B2476" s="1"/>
      <c r="C2476" s="1"/>
      <c r="D2476" s="1"/>
      <c r="E2476" s="1"/>
      <c r="F2476" s="1"/>
      <c r="G2476" s="1" t="s">
        <v>43</v>
      </c>
      <c r="H2476" s="2">
        <v>407</v>
      </c>
      <c r="I2476" s="1" t="s">
        <v>7640</v>
      </c>
      <c r="J2476" s="1" t="s">
        <v>7641</v>
      </c>
      <c r="K2476" s="1" t="s">
        <v>133</v>
      </c>
      <c r="L2476" s="1" t="s">
        <v>7642</v>
      </c>
      <c r="M2476" s="6" t="str">
        <f>_xlfn.CONCAT(Table1[[#This Row],[Billing Street]], ", ", Table1[[#This Row],[Billing City]], ", ", Table1[[#This Row],[Billing State/Province]], ", ", Table1[[#This Row],[Billing Zip/Postal Code]])</f>
        <v>321 Milwaukee Street  P.O. Box 340, Menasha, WI, 54952-0340</v>
      </c>
    </row>
    <row r="2477" spans="1:13" ht="15.6" hidden="1" x14ac:dyDescent="0.3">
      <c r="A2477" s="1" t="s">
        <v>7643</v>
      </c>
      <c r="B2477" s="1"/>
      <c r="C2477" s="1"/>
      <c r="D2477" s="1"/>
      <c r="E2477" s="1"/>
      <c r="F2477" s="1"/>
      <c r="G2477" s="1" t="s">
        <v>43</v>
      </c>
      <c r="H2477" s="2">
        <v>5776</v>
      </c>
      <c r="I2477" s="1" t="s">
        <v>13</v>
      </c>
      <c r="J2477" s="1" t="s">
        <v>13</v>
      </c>
      <c r="K2477" s="1" t="s">
        <v>133</v>
      </c>
      <c r="L2477" s="1" t="s">
        <v>13</v>
      </c>
      <c r="M2477" s="6" t="str">
        <f>_xlfn.CONCAT(Table1[[#This Row],[Billing Street]], ", ", Table1[[#This Row],[Billing City]], ", ", Table1[[#This Row],[Billing State/Province]], ", ", Table1[[#This Row],[Billing Zip/Postal Code]])</f>
        <v xml:space="preserve">, , WI, </v>
      </c>
    </row>
    <row r="2478" spans="1:13" ht="15.6" hidden="1" x14ac:dyDescent="0.3">
      <c r="A2478" s="1" t="s">
        <v>7644</v>
      </c>
      <c r="B2478" s="1"/>
      <c r="C2478" s="1"/>
      <c r="D2478" s="1"/>
      <c r="E2478" s="1"/>
      <c r="F2478" s="1"/>
      <c r="G2478" s="1" t="s">
        <v>43</v>
      </c>
      <c r="H2478" s="2">
        <v>5776</v>
      </c>
      <c r="I2478" s="1" t="s">
        <v>13</v>
      </c>
      <c r="J2478" s="1" t="s">
        <v>7645</v>
      </c>
      <c r="K2478" s="1" t="s">
        <v>133</v>
      </c>
      <c r="L2478" s="1" t="s">
        <v>13</v>
      </c>
      <c r="M2478" s="6" t="str">
        <f>_xlfn.CONCAT(Table1[[#This Row],[Billing Street]], ", ", Table1[[#This Row],[Billing City]], ", ", Table1[[#This Row],[Billing State/Province]], ", ", Table1[[#This Row],[Billing Zip/Postal Code]])</f>
        <v xml:space="preserve">, Saux City, WI, </v>
      </c>
    </row>
    <row r="2479" spans="1:13" ht="15.6" hidden="1" x14ac:dyDescent="0.3">
      <c r="A2479" s="1" t="s">
        <v>7646</v>
      </c>
      <c r="B2479" s="1"/>
      <c r="C2479" s="1"/>
      <c r="D2479" s="1"/>
      <c r="E2479" s="1"/>
      <c r="F2479" s="1"/>
      <c r="G2479" s="1" t="s">
        <v>43</v>
      </c>
      <c r="H2479" s="2">
        <v>5776</v>
      </c>
      <c r="I2479" s="1" t="s">
        <v>13</v>
      </c>
      <c r="J2479" s="1" t="s">
        <v>13</v>
      </c>
      <c r="K2479" s="1" t="s">
        <v>133</v>
      </c>
      <c r="L2479" s="1" t="s">
        <v>13</v>
      </c>
      <c r="M2479" s="6" t="str">
        <f>_xlfn.CONCAT(Table1[[#This Row],[Billing Street]], ", ", Table1[[#This Row],[Billing City]], ", ", Table1[[#This Row],[Billing State/Province]], ", ", Table1[[#This Row],[Billing Zip/Postal Code]])</f>
        <v xml:space="preserve">, , WI, </v>
      </c>
    </row>
    <row r="2480" spans="1:13" ht="15.6" hidden="1" x14ac:dyDescent="0.3">
      <c r="A2480" s="1" t="s">
        <v>6696</v>
      </c>
      <c r="B2480" s="1"/>
      <c r="C2480" s="1"/>
      <c r="D2480" s="1"/>
      <c r="E2480" s="1"/>
      <c r="F2480" s="1"/>
      <c r="G2480" s="1" t="s">
        <v>43</v>
      </c>
      <c r="H2480" s="2">
        <v>367</v>
      </c>
      <c r="I2480" s="1" t="s">
        <v>7647</v>
      </c>
      <c r="J2480" s="1" t="s">
        <v>7648</v>
      </c>
      <c r="K2480" s="1" t="s">
        <v>133</v>
      </c>
      <c r="L2480" s="1" t="s">
        <v>7649</v>
      </c>
      <c r="M2480" s="6" t="str">
        <f>_xlfn.CONCAT(Table1[[#This Row],[Billing Street]], ", ", Table1[[#This Row],[Billing City]], ", ", Table1[[#This Row],[Billing State/Province]], ", ", Table1[[#This Row],[Billing Zip/Postal Code]])</f>
        <v>400 S Prairie Ave, Waukesha, WI, 53186</v>
      </c>
    </row>
    <row r="2481" spans="1:13" ht="15.6" hidden="1" x14ac:dyDescent="0.3">
      <c r="A2481" s="1" t="s">
        <v>7650</v>
      </c>
      <c r="B2481" s="1"/>
      <c r="C2481" s="1"/>
      <c r="D2481" s="1"/>
      <c r="E2481" s="1"/>
      <c r="F2481" s="1"/>
      <c r="G2481" s="1" t="s">
        <v>43</v>
      </c>
      <c r="H2481" s="2">
        <v>366</v>
      </c>
      <c r="I2481" s="1" t="s">
        <v>7651</v>
      </c>
      <c r="J2481" s="1" t="s">
        <v>7652</v>
      </c>
      <c r="K2481" s="1" t="s">
        <v>133</v>
      </c>
      <c r="L2481" s="1" t="s">
        <v>7653</v>
      </c>
      <c r="M2481" s="6" t="str">
        <f>_xlfn.CONCAT(Table1[[#This Row],[Billing Street]], ", ", Table1[[#This Row],[Billing City]], ", ", Table1[[#This Row],[Billing State/Province]], ", ", Table1[[#This Row],[Billing Zip/Postal Code]])</f>
        <v>1415 Lake Street, Two Rivers, WI, 54241</v>
      </c>
    </row>
    <row r="2482" spans="1:13" ht="15.6" hidden="1" x14ac:dyDescent="0.3">
      <c r="A2482" s="1" t="s">
        <v>7654</v>
      </c>
      <c r="B2482" s="1"/>
      <c r="C2482" s="1"/>
      <c r="D2482" s="1"/>
      <c r="E2482" s="1"/>
      <c r="F2482" s="1"/>
      <c r="G2482" s="1" t="s">
        <v>43</v>
      </c>
      <c r="H2482" s="2">
        <v>5776</v>
      </c>
      <c r="I2482" s="1" t="s">
        <v>13</v>
      </c>
      <c r="J2482" s="1" t="s">
        <v>13</v>
      </c>
      <c r="K2482" s="1" t="s">
        <v>133</v>
      </c>
      <c r="L2482" s="1" t="s">
        <v>13</v>
      </c>
      <c r="M2482" s="6" t="str">
        <f>_xlfn.CONCAT(Table1[[#This Row],[Billing Street]], ", ", Table1[[#This Row],[Billing City]], ", ", Table1[[#This Row],[Billing State/Province]], ", ", Table1[[#This Row],[Billing Zip/Postal Code]])</f>
        <v xml:space="preserve">, , WI, </v>
      </c>
    </row>
    <row r="2483" spans="1:13" ht="15.6" hidden="1" x14ac:dyDescent="0.3">
      <c r="A2483" s="1" t="s">
        <v>7655</v>
      </c>
      <c r="B2483" s="1"/>
      <c r="C2483" s="1"/>
      <c r="D2483" s="1"/>
      <c r="E2483" s="1"/>
      <c r="F2483" s="1"/>
      <c r="G2483" s="1" t="s">
        <v>43</v>
      </c>
      <c r="H2483" s="2">
        <v>5776</v>
      </c>
      <c r="I2483" s="1" t="s">
        <v>13</v>
      </c>
      <c r="J2483" s="1" t="s">
        <v>13</v>
      </c>
      <c r="K2483" s="1" t="s">
        <v>133</v>
      </c>
      <c r="L2483" s="1" t="s">
        <v>13</v>
      </c>
      <c r="M2483" s="6" t="str">
        <f>_xlfn.CONCAT(Table1[[#This Row],[Billing Street]], ", ", Table1[[#This Row],[Billing City]], ", ", Table1[[#This Row],[Billing State/Province]], ", ", Table1[[#This Row],[Billing Zip/Postal Code]])</f>
        <v xml:space="preserve">, , WI, </v>
      </c>
    </row>
    <row r="2484" spans="1:13" ht="15.6" hidden="1" x14ac:dyDescent="0.3">
      <c r="A2484" s="1" t="s">
        <v>7656</v>
      </c>
      <c r="B2484" s="1"/>
      <c r="C2484" s="1"/>
      <c r="D2484" s="1"/>
      <c r="E2484" s="1"/>
      <c r="F2484" s="1"/>
      <c r="G2484" s="1" t="s">
        <v>8</v>
      </c>
      <c r="H2484" s="2">
        <v>6528</v>
      </c>
      <c r="I2484" s="1" t="s">
        <v>13</v>
      </c>
      <c r="J2484" s="1" t="s">
        <v>13</v>
      </c>
      <c r="K2484" s="1" t="s">
        <v>133</v>
      </c>
      <c r="L2484" s="1" t="s">
        <v>13</v>
      </c>
      <c r="M2484" s="6" t="str">
        <f>_xlfn.CONCAT(Table1[[#This Row],[Billing Street]], ", ", Table1[[#This Row],[Billing City]], ", ", Table1[[#This Row],[Billing State/Province]], ", ", Table1[[#This Row],[Billing Zip/Postal Code]])</f>
        <v xml:space="preserve">, , WI, </v>
      </c>
    </row>
    <row r="2485" spans="1:13" ht="15.6" hidden="1" x14ac:dyDescent="0.3">
      <c r="A2485" s="1" t="s">
        <v>7657</v>
      </c>
      <c r="B2485" s="1"/>
      <c r="C2485" s="1"/>
      <c r="D2485" s="1"/>
      <c r="E2485" s="1"/>
      <c r="F2485" s="1"/>
      <c r="G2485" s="1" t="s">
        <v>43</v>
      </c>
      <c r="H2485" s="2">
        <v>364</v>
      </c>
      <c r="I2485" s="1" t="s">
        <v>7658</v>
      </c>
      <c r="J2485" s="1" t="s">
        <v>7659</v>
      </c>
      <c r="K2485" s="1" t="s">
        <v>133</v>
      </c>
      <c r="L2485" s="1" t="s">
        <v>7660</v>
      </c>
      <c r="M2485" s="6" t="str">
        <f>_xlfn.CONCAT(Table1[[#This Row],[Billing Street]], ", ", Table1[[#This Row],[Billing City]], ", ", Table1[[#This Row],[Billing State/Province]], ", ", Table1[[#This Row],[Billing Zip/Postal Code]])</f>
        <v>375 Buffalo Street, Sheboygan Falls, WI, 53085</v>
      </c>
    </row>
    <row r="2486" spans="1:13" ht="15.6" hidden="1" x14ac:dyDescent="0.3">
      <c r="A2486" s="1" t="s">
        <v>7661</v>
      </c>
      <c r="B2486" s="1"/>
      <c r="C2486" s="1"/>
      <c r="D2486" s="1"/>
      <c r="E2486" s="1"/>
      <c r="F2486" s="1"/>
      <c r="G2486" s="1" t="s">
        <v>8</v>
      </c>
      <c r="H2486" s="2">
        <v>590</v>
      </c>
      <c r="I2486" s="1" t="s">
        <v>7662</v>
      </c>
      <c r="J2486" s="1" t="s">
        <v>7663</v>
      </c>
      <c r="K2486" s="1" t="s">
        <v>133</v>
      </c>
      <c r="L2486" s="1" t="s">
        <v>7664</v>
      </c>
      <c r="M2486" s="6" t="str">
        <f>_xlfn.CONCAT(Table1[[#This Row],[Billing Street]], ", ", Table1[[#This Row],[Billing City]], ", ", Table1[[#This Row],[Billing State/Province]], ", ", Table1[[#This Row],[Billing Zip/Postal Code]])</f>
        <v>N30W5926 Lincoln Blvd, Cedarburg, WI, 53012</v>
      </c>
    </row>
    <row r="2487" spans="1:13" ht="15.6" hidden="1" x14ac:dyDescent="0.3">
      <c r="A2487" s="1" t="s">
        <v>7665</v>
      </c>
      <c r="B2487" s="1"/>
      <c r="C2487" s="1"/>
      <c r="D2487" s="1"/>
      <c r="E2487" s="1"/>
      <c r="F2487" s="1"/>
      <c r="G2487" s="1" t="s">
        <v>43</v>
      </c>
      <c r="H2487" s="2">
        <v>366</v>
      </c>
      <c r="I2487" s="1" t="s">
        <v>7666</v>
      </c>
      <c r="J2487" s="1" t="s">
        <v>7648</v>
      </c>
      <c r="K2487" s="1" t="s">
        <v>133</v>
      </c>
      <c r="L2487" s="1" t="s">
        <v>7667</v>
      </c>
      <c r="M2487" s="6" t="str">
        <f>_xlfn.CONCAT(Table1[[#This Row],[Billing Street]], ", ", Table1[[#This Row],[Billing City]], ", ", Table1[[#This Row],[Billing State/Province]], ", ", Table1[[#This Row],[Billing Zip/Postal Code]])</f>
        <v>W234 N2000 Ridgeview Parkway Court, Waukesha, WI, 53187-0047</v>
      </c>
    </row>
    <row r="2488" spans="1:13" ht="15.6" hidden="1" x14ac:dyDescent="0.3">
      <c r="A2488" s="1" t="s">
        <v>7668</v>
      </c>
      <c r="B2488" s="1"/>
      <c r="C2488" s="1"/>
      <c r="D2488" s="1"/>
      <c r="E2488" s="1"/>
      <c r="F2488" s="1"/>
      <c r="G2488" s="1" t="s">
        <v>43</v>
      </c>
      <c r="H2488" s="2">
        <v>433</v>
      </c>
      <c r="I2488" s="1" t="s">
        <v>7669</v>
      </c>
      <c r="J2488" s="1" t="s">
        <v>7670</v>
      </c>
      <c r="K2488" s="1" t="s">
        <v>133</v>
      </c>
      <c r="L2488" s="1" t="s">
        <v>7671</v>
      </c>
      <c r="M2488" s="6" t="str">
        <f>_xlfn.CONCAT(Table1[[#This Row],[Billing Street]], ", ", Table1[[#This Row],[Billing City]], ", ", Table1[[#This Row],[Billing State/Province]], ", ", Table1[[#This Row],[Billing Zip/Postal Code]])</f>
        <v>122 N Sawyer St.,, Shawano, WI, 54166</v>
      </c>
    </row>
    <row r="2489" spans="1:13" ht="15.6" hidden="1" x14ac:dyDescent="0.3">
      <c r="A2489" s="1" t="s">
        <v>7672</v>
      </c>
      <c r="B2489" s="1"/>
      <c r="C2489" s="1"/>
      <c r="D2489" s="1"/>
      <c r="E2489" s="1"/>
      <c r="F2489" s="1"/>
      <c r="G2489" s="1" t="s">
        <v>43</v>
      </c>
      <c r="H2489" s="2">
        <v>5776</v>
      </c>
      <c r="I2489" s="1" t="s">
        <v>13</v>
      </c>
      <c r="J2489" s="1" t="s">
        <v>13</v>
      </c>
      <c r="K2489" s="1" t="s">
        <v>133</v>
      </c>
      <c r="L2489" s="1" t="s">
        <v>13</v>
      </c>
      <c r="M2489" s="6" t="str">
        <f>_xlfn.CONCAT(Table1[[#This Row],[Billing Street]], ", ", Table1[[#This Row],[Billing City]], ", ", Table1[[#This Row],[Billing State/Province]], ", ", Table1[[#This Row],[Billing Zip/Postal Code]])</f>
        <v xml:space="preserve">, , WI, </v>
      </c>
    </row>
    <row r="2490" spans="1:13" ht="15.6" hidden="1" x14ac:dyDescent="0.3">
      <c r="A2490" s="1" t="s">
        <v>7673</v>
      </c>
      <c r="B2490" s="1"/>
      <c r="C2490" s="1"/>
      <c r="D2490" s="1"/>
      <c r="E2490" s="1"/>
      <c r="F2490" s="1"/>
      <c r="G2490" s="1" t="s">
        <v>43</v>
      </c>
      <c r="H2490" s="2">
        <v>1177</v>
      </c>
      <c r="I2490" s="1" t="s">
        <v>7674</v>
      </c>
      <c r="J2490" s="1" t="s">
        <v>5683</v>
      </c>
      <c r="K2490" s="1" t="s">
        <v>133</v>
      </c>
      <c r="L2490" s="1" t="s">
        <v>7675</v>
      </c>
      <c r="M2490" s="6" t="str">
        <f>_xlfn.CONCAT(Table1[[#This Row],[Billing Street]], ", ", Table1[[#This Row],[Billing City]], ", ", Table1[[#This Row],[Billing State/Province]], ", ", Table1[[#This Row],[Billing Zip/Postal Code]])</f>
        <v>6200 7th St., Bay City, WI, 77414</v>
      </c>
    </row>
    <row r="2491" spans="1:13" ht="15.6" hidden="1" x14ac:dyDescent="0.3">
      <c r="A2491" s="1" t="s">
        <v>7676</v>
      </c>
      <c r="B2491" s="1"/>
      <c r="C2491" s="1"/>
      <c r="D2491" s="1"/>
      <c r="E2491" s="1"/>
      <c r="F2491" s="1"/>
      <c r="G2491" s="1" t="s">
        <v>43</v>
      </c>
      <c r="H2491" s="2">
        <v>413</v>
      </c>
      <c r="I2491" s="1" t="s">
        <v>7677</v>
      </c>
      <c r="J2491" s="1" t="s">
        <v>7678</v>
      </c>
      <c r="K2491" s="1" t="s">
        <v>133</v>
      </c>
      <c r="L2491" s="1" t="s">
        <v>7679</v>
      </c>
      <c r="M2491" s="6" t="str">
        <f>_xlfn.CONCAT(Table1[[#This Row],[Billing Street]], ", ", Table1[[#This Row],[Billing City]], ", ", Table1[[#This Row],[Billing State/Province]], ", ", Table1[[#This Row],[Billing Zip/Postal Code]])</f>
        <v>700 Mandt Pkwy, Stoughton, WI, 53589</v>
      </c>
    </row>
    <row r="2492" spans="1:13" ht="15.6" hidden="1" x14ac:dyDescent="0.3">
      <c r="A2492" s="1" t="s">
        <v>7680</v>
      </c>
      <c r="B2492" s="1"/>
      <c r="C2492" s="1"/>
      <c r="D2492" s="1"/>
      <c r="E2492" s="1"/>
      <c r="F2492" s="1"/>
      <c r="G2492" s="1" t="s">
        <v>43</v>
      </c>
      <c r="H2492" s="2">
        <v>375</v>
      </c>
      <c r="I2492" s="1" t="s">
        <v>7681</v>
      </c>
      <c r="J2492" s="1" t="s">
        <v>7682</v>
      </c>
      <c r="K2492" s="1" t="s">
        <v>133</v>
      </c>
      <c r="L2492" s="1" t="s">
        <v>7683</v>
      </c>
      <c r="M2492" s="6" t="str">
        <f>_xlfn.CONCAT(Table1[[#This Row],[Billing Street]], ", ", Table1[[#This Row],[Billing City]], ", ", Table1[[#This Row],[Billing State/Province]], ", ", Table1[[#This Row],[Billing Zip/Postal Code]])</f>
        <v>400 Koopman Lane, Elkhorn, WI, 53121-0920</v>
      </c>
    </row>
    <row r="2493" spans="1:13" ht="15.6" hidden="1" x14ac:dyDescent="0.3">
      <c r="A2493" s="1" t="s">
        <v>7684</v>
      </c>
      <c r="B2493" s="1"/>
      <c r="C2493" s="1"/>
      <c r="D2493" s="1"/>
      <c r="E2493" s="1"/>
      <c r="F2493" s="1"/>
      <c r="G2493" s="1" t="s">
        <v>43</v>
      </c>
      <c r="H2493" s="2">
        <v>5776</v>
      </c>
      <c r="I2493" s="1" t="s">
        <v>13</v>
      </c>
      <c r="J2493" s="1" t="s">
        <v>13</v>
      </c>
      <c r="K2493" s="1" t="s">
        <v>133</v>
      </c>
      <c r="L2493" s="1" t="s">
        <v>13</v>
      </c>
      <c r="M2493" s="6" t="str">
        <f>_xlfn.CONCAT(Table1[[#This Row],[Billing Street]], ", ", Table1[[#This Row],[Billing City]], ", ", Table1[[#This Row],[Billing State/Province]], ", ", Table1[[#This Row],[Billing Zip/Postal Code]])</f>
        <v xml:space="preserve">, , WI, </v>
      </c>
    </row>
    <row r="2494" spans="1:13" ht="15.6" hidden="1" x14ac:dyDescent="0.3">
      <c r="A2494" s="1" t="s">
        <v>7685</v>
      </c>
      <c r="B2494" s="1"/>
      <c r="C2494" s="1"/>
      <c r="D2494" s="1"/>
      <c r="E2494" s="1"/>
      <c r="F2494" s="1"/>
      <c r="G2494" s="1" t="s">
        <v>43</v>
      </c>
      <c r="H2494" s="2">
        <v>5776</v>
      </c>
      <c r="I2494" s="1" t="s">
        <v>13</v>
      </c>
      <c r="J2494" s="1" t="s">
        <v>13</v>
      </c>
      <c r="K2494" s="1" t="s">
        <v>4987</v>
      </c>
      <c r="L2494" s="1" t="s">
        <v>13</v>
      </c>
      <c r="M2494" s="6" t="str">
        <f>_xlfn.CONCAT(Table1[[#This Row],[Billing Street]], ", ", Table1[[#This Row],[Billing City]], ", ", Table1[[#This Row],[Billing State/Province]], ", ", Table1[[#This Row],[Billing Zip/Postal Code]])</f>
        <v xml:space="preserve">, , CT, </v>
      </c>
    </row>
    <row r="2495" spans="1:13" ht="15.6" hidden="1" x14ac:dyDescent="0.3">
      <c r="A2495" s="1" t="s">
        <v>7686</v>
      </c>
      <c r="B2495" s="1"/>
      <c r="C2495" s="1"/>
      <c r="D2495" s="1"/>
      <c r="E2495" s="1"/>
      <c r="F2495" s="1"/>
      <c r="G2495" s="1" t="s">
        <v>54</v>
      </c>
      <c r="H2495" s="2">
        <v>41</v>
      </c>
      <c r="I2495" s="1" t="s">
        <v>7687</v>
      </c>
      <c r="J2495" s="1" t="s">
        <v>1654</v>
      </c>
      <c r="K2495" s="1" t="s">
        <v>57</v>
      </c>
      <c r="L2495" s="1" t="s">
        <v>1655</v>
      </c>
      <c r="M2495" s="6" t="str">
        <f>_xlfn.CONCAT(Table1[[#This Row],[Billing Street]], ", ", Table1[[#This Row],[Billing City]], ", ", Table1[[#This Row],[Billing State/Province]], ", ", Table1[[#This Row],[Billing Zip/Postal Code]])</f>
        <v>14 Morgan, Irvine, CA, 92618</v>
      </c>
    </row>
    <row r="2496" spans="1:13" ht="15.6" hidden="1" x14ac:dyDescent="0.3">
      <c r="A2496" s="1" t="s">
        <v>7688</v>
      </c>
      <c r="B2496" s="1"/>
      <c r="C2496" s="1"/>
      <c r="D2496" s="1"/>
      <c r="E2496" s="1"/>
      <c r="F2496" s="1"/>
      <c r="G2496" s="1" t="s">
        <v>43</v>
      </c>
      <c r="H2496" s="2">
        <v>339</v>
      </c>
      <c r="I2496" s="1" t="s">
        <v>7689</v>
      </c>
      <c r="J2496" s="1" t="s">
        <v>7690</v>
      </c>
      <c r="K2496" s="1" t="s">
        <v>152</v>
      </c>
      <c r="L2496" s="1" t="s">
        <v>7691</v>
      </c>
      <c r="M2496" s="6" t="str">
        <f>_xlfn.CONCAT(Table1[[#This Row],[Billing Street]], ", ", Table1[[#This Row],[Billing City]], ", ", Table1[[#This Row],[Billing State/Province]], ", ", Table1[[#This Row],[Billing Zip/Postal Code]])</f>
        <v>0 S. 560 Rte. 83, Oakbrook Terrace, IL, 60181</v>
      </c>
    </row>
    <row r="2497" spans="1:13" ht="15.6" hidden="1" x14ac:dyDescent="0.3">
      <c r="A2497" s="1" t="s">
        <v>7692</v>
      </c>
      <c r="B2497" s="1"/>
      <c r="C2497" s="1"/>
      <c r="D2497" s="1"/>
      <c r="E2497" s="1"/>
      <c r="F2497" s="1"/>
      <c r="G2497" s="1" t="s">
        <v>8</v>
      </c>
      <c r="H2497" s="2">
        <v>454</v>
      </c>
      <c r="I2497" s="1" t="s">
        <v>7693</v>
      </c>
      <c r="J2497" s="1" t="s">
        <v>7694</v>
      </c>
      <c r="K2497" s="1" t="s">
        <v>229</v>
      </c>
      <c r="L2497" s="1" t="s">
        <v>7695</v>
      </c>
      <c r="M2497" s="6" t="str">
        <f>_xlfn.CONCAT(Table1[[#This Row],[Billing Street]], ", ", Table1[[#This Row],[Billing City]], ", ", Table1[[#This Row],[Billing State/Province]], ", ", Table1[[#This Row],[Billing Zip/Postal Code]])</f>
        <v>224 W. Ninth St., Sioux Falls, SD, 57104</v>
      </c>
    </row>
    <row r="2498" spans="1:13" ht="15.6" hidden="1" x14ac:dyDescent="0.3">
      <c r="A2498" s="1" t="s">
        <v>7696</v>
      </c>
      <c r="B2498" s="1"/>
      <c r="C2498" s="1"/>
      <c r="D2498" s="1"/>
      <c r="E2498" s="1"/>
      <c r="F2498" s="1"/>
      <c r="G2498" s="1" t="s">
        <v>43</v>
      </c>
      <c r="H2498" s="2">
        <v>263</v>
      </c>
      <c r="I2498" s="1" t="s">
        <v>7697</v>
      </c>
      <c r="J2498" s="1" t="s">
        <v>1386</v>
      </c>
      <c r="K2498" s="1" t="s">
        <v>671</v>
      </c>
      <c r="L2498" s="1" t="s">
        <v>7698</v>
      </c>
      <c r="M2498" s="6" t="str">
        <f>_xlfn.CONCAT(Table1[[#This Row],[Billing Street]], ", ", Table1[[#This Row],[Billing City]], ", ", Table1[[#This Row],[Billing State/Province]], ", ", Table1[[#This Row],[Billing Zip/Postal Code]])</f>
        <v>228 Cayuga Drive, Lansing, NY, 14882</v>
      </c>
    </row>
    <row r="2499" spans="1:13" ht="15.6" hidden="1" x14ac:dyDescent="0.3">
      <c r="A2499" s="1" t="s">
        <v>7699</v>
      </c>
      <c r="B2499" s="1"/>
      <c r="C2499" s="1"/>
      <c r="D2499" s="1"/>
      <c r="E2499" s="1"/>
      <c r="F2499" s="1"/>
      <c r="G2499" s="1" t="s">
        <v>8</v>
      </c>
      <c r="H2499" s="2">
        <v>525</v>
      </c>
      <c r="I2499" s="1" t="s">
        <v>7700</v>
      </c>
      <c r="J2499" s="1" t="s">
        <v>6338</v>
      </c>
      <c r="K2499" s="1" t="s">
        <v>51</v>
      </c>
      <c r="L2499" s="1" t="s">
        <v>6339</v>
      </c>
      <c r="M2499" s="6" t="str">
        <f>_xlfn.CONCAT(Table1[[#This Row],[Billing Street]], ", ", Table1[[#This Row],[Billing City]], ", ", Table1[[#This Row],[Billing State/Province]], ", ", Table1[[#This Row],[Billing Zip/Postal Code]])</f>
        <v>9841 Saber Power Lane, Rosharon, TX, 77583</v>
      </c>
    </row>
    <row r="2500" spans="1:13" ht="15.6" hidden="1" x14ac:dyDescent="0.3">
      <c r="A2500" s="1" t="s">
        <v>7701</v>
      </c>
      <c r="B2500" s="1"/>
      <c r="C2500" s="1"/>
      <c r="D2500" s="1"/>
      <c r="E2500" s="1"/>
      <c r="F2500" s="1"/>
      <c r="G2500" s="1" t="s">
        <v>8</v>
      </c>
      <c r="H2500" s="2">
        <v>546</v>
      </c>
      <c r="I2500" s="1" t="s">
        <v>7702</v>
      </c>
      <c r="J2500" s="1" t="s">
        <v>6100</v>
      </c>
      <c r="K2500" s="1" t="s">
        <v>51</v>
      </c>
      <c r="L2500" s="1" t="s">
        <v>7703</v>
      </c>
      <c r="M2500" s="6" t="str">
        <f>_xlfn.CONCAT(Table1[[#This Row],[Billing Street]], ", ", Table1[[#This Row],[Billing City]], ", ", Table1[[#This Row],[Billing State/Province]], ", ", Table1[[#This Row],[Billing Zip/Postal Code]])</f>
        <v>4931 Space Center Drive, San Antonio, TX, 78218</v>
      </c>
    </row>
    <row r="2501" spans="1:13" ht="15.6" hidden="1" x14ac:dyDescent="0.3">
      <c r="A2501" s="1" t="s">
        <v>7704</v>
      </c>
      <c r="B2501" s="1"/>
      <c r="C2501" s="1"/>
      <c r="D2501" s="1"/>
      <c r="E2501" s="1"/>
      <c r="F2501" s="1"/>
      <c r="G2501" s="1" t="s">
        <v>43</v>
      </c>
      <c r="H2501" s="2">
        <v>5776</v>
      </c>
      <c r="I2501" s="1" t="s">
        <v>13</v>
      </c>
      <c r="J2501" s="1" t="s">
        <v>13</v>
      </c>
      <c r="K2501" s="1" t="s">
        <v>4987</v>
      </c>
      <c r="L2501" s="1" t="s">
        <v>13</v>
      </c>
      <c r="M2501" s="6" t="str">
        <f>_xlfn.CONCAT(Table1[[#This Row],[Billing Street]], ", ", Table1[[#This Row],[Billing City]], ", ", Table1[[#This Row],[Billing State/Province]], ", ", Table1[[#This Row],[Billing Zip/Postal Code]])</f>
        <v xml:space="preserve">, , CT, </v>
      </c>
    </row>
    <row r="2502" spans="1:13" ht="15.6" hidden="1" x14ac:dyDescent="0.3">
      <c r="A2502" s="1" t="s">
        <v>7705</v>
      </c>
      <c r="B2502" s="1"/>
      <c r="C2502" s="1"/>
      <c r="D2502" s="1"/>
      <c r="E2502" s="1"/>
      <c r="F2502" s="1"/>
      <c r="G2502" s="1" t="s">
        <v>43</v>
      </c>
      <c r="H2502" s="2">
        <v>5776</v>
      </c>
      <c r="I2502" s="1" t="s">
        <v>13</v>
      </c>
      <c r="J2502" s="1" t="s">
        <v>13</v>
      </c>
      <c r="K2502" s="1" t="s">
        <v>4987</v>
      </c>
      <c r="L2502" s="1" t="s">
        <v>13</v>
      </c>
      <c r="M2502" s="6" t="str">
        <f>_xlfn.CONCAT(Table1[[#This Row],[Billing Street]], ", ", Table1[[#This Row],[Billing City]], ", ", Table1[[#This Row],[Billing State/Province]], ", ", Table1[[#This Row],[Billing Zip/Postal Code]])</f>
        <v xml:space="preserve">, , CT, </v>
      </c>
    </row>
    <row r="2503" spans="1:13" ht="15.6" hidden="1" x14ac:dyDescent="0.3">
      <c r="A2503" s="1" t="s">
        <v>7706</v>
      </c>
      <c r="B2503" s="1"/>
      <c r="C2503" s="1"/>
      <c r="D2503" s="1"/>
      <c r="E2503" s="1"/>
      <c r="F2503" s="1"/>
      <c r="G2503" s="1" t="s">
        <v>43</v>
      </c>
      <c r="H2503" s="2">
        <v>5776</v>
      </c>
      <c r="I2503" s="1" t="s">
        <v>13</v>
      </c>
      <c r="J2503" s="1" t="s">
        <v>13</v>
      </c>
      <c r="K2503" s="1" t="s">
        <v>4987</v>
      </c>
      <c r="L2503" s="1" t="s">
        <v>13</v>
      </c>
      <c r="M2503" s="6" t="str">
        <f>_xlfn.CONCAT(Table1[[#This Row],[Billing Street]], ", ", Table1[[#This Row],[Billing City]], ", ", Table1[[#This Row],[Billing State/Province]], ", ", Table1[[#This Row],[Billing Zip/Postal Code]])</f>
        <v xml:space="preserve">, , CT, </v>
      </c>
    </row>
    <row r="2504" spans="1:13" ht="15.6" hidden="1" x14ac:dyDescent="0.3">
      <c r="A2504" s="1" t="s">
        <v>7707</v>
      </c>
      <c r="B2504" s="1"/>
      <c r="C2504" s="1"/>
      <c r="D2504" s="1"/>
      <c r="E2504" s="1"/>
      <c r="F2504" s="1"/>
      <c r="G2504" s="1" t="s">
        <v>43</v>
      </c>
      <c r="H2504" s="2">
        <v>5776</v>
      </c>
      <c r="I2504" s="1" t="s">
        <v>13</v>
      </c>
      <c r="J2504" s="1" t="s">
        <v>13</v>
      </c>
      <c r="K2504" s="1" t="s">
        <v>7708</v>
      </c>
      <c r="L2504" s="1" t="s">
        <v>13</v>
      </c>
      <c r="M2504" s="6" t="str">
        <f>_xlfn.CONCAT(Table1[[#This Row],[Billing Street]], ", ", Table1[[#This Row],[Billing City]], ", ", Table1[[#This Row],[Billing State/Province]], ", ", Table1[[#This Row],[Billing Zip/Postal Code]])</f>
        <v xml:space="preserve">, , DE, </v>
      </c>
    </row>
    <row r="2505" spans="1:13" ht="15.6" hidden="1" x14ac:dyDescent="0.3">
      <c r="A2505" s="1" t="s">
        <v>7709</v>
      </c>
      <c r="B2505" s="1"/>
      <c r="C2505" s="1"/>
      <c r="D2505" s="1"/>
      <c r="E2505" s="1"/>
      <c r="F2505" s="1"/>
      <c r="G2505" s="1" t="s">
        <v>43</v>
      </c>
      <c r="H2505" s="2">
        <v>5776</v>
      </c>
      <c r="I2505" s="1" t="s">
        <v>13</v>
      </c>
      <c r="J2505" s="1" t="s">
        <v>13</v>
      </c>
      <c r="K2505" s="1" t="s">
        <v>7708</v>
      </c>
      <c r="L2505" s="1" t="s">
        <v>13</v>
      </c>
      <c r="M2505" s="6" t="str">
        <f>_xlfn.CONCAT(Table1[[#This Row],[Billing Street]], ", ", Table1[[#This Row],[Billing City]], ", ", Table1[[#This Row],[Billing State/Province]], ", ", Table1[[#This Row],[Billing Zip/Postal Code]])</f>
        <v xml:space="preserve">, , DE, </v>
      </c>
    </row>
    <row r="2506" spans="1:13" ht="15.6" hidden="1" x14ac:dyDescent="0.3">
      <c r="A2506" s="1" t="s">
        <v>7710</v>
      </c>
      <c r="B2506" s="1"/>
      <c r="C2506" s="1"/>
      <c r="D2506" s="1"/>
      <c r="E2506" s="1"/>
      <c r="F2506" s="1"/>
      <c r="G2506" s="1" t="s">
        <v>43</v>
      </c>
      <c r="H2506" s="2">
        <v>5776</v>
      </c>
      <c r="I2506" s="1" t="s">
        <v>13</v>
      </c>
      <c r="J2506" s="1" t="s">
        <v>13</v>
      </c>
      <c r="K2506" s="1" t="s">
        <v>7708</v>
      </c>
      <c r="L2506" s="1" t="s">
        <v>13</v>
      </c>
      <c r="M2506" s="6" t="str">
        <f>_xlfn.CONCAT(Table1[[#This Row],[Billing Street]], ", ", Table1[[#This Row],[Billing City]], ", ", Table1[[#This Row],[Billing State/Province]], ", ", Table1[[#This Row],[Billing Zip/Postal Code]])</f>
        <v xml:space="preserve">, , DE, </v>
      </c>
    </row>
    <row r="2507" spans="1:13" ht="15.6" hidden="1" x14ac:dyDescent="0.3">
      <c r="A2507" s="1" t="s">
        <v>7711</v>
      </c>
      <c r="B2507" s="1"/>
      <c r="C2507" s="1"/>
      <c r="D2507" s="1"/>
      <c r="E2507" s="1"/>
      <c r="F2507" s="1"/>
      <c r="G2507" s="1" t="s">
        <v>8</v>
      </c>
      <c r="H2507" s="2">
        <v>243</v>
      </c>
      <c r="I2507" s="1" t="s">
        <v>7712</v>
      </c>
      <c r="J2507" s="1" t="s">
        <v>7713</v>
      </c>
      <c r="K2507" s="1" t="s">
        <v>198</v>
      </c>
      <c r="L2507" s="1" t="s">
        <v>7714</v>
      </c>
      <c r="M2507" s="6" t="str">
        <f>_xlfn.CONCAT(Table1[[#This Row],[Billing Street]], ", ", Table1[[#This Row],[Billing City]], ", ", Table1[[#This Row],[Billing State/Province]], ", ", Table1[[#This Row],[Billing Zip/Postal Code]])</f>
        <v>221 Main, Talmage, NE, 68448</v>
      </c>
    </row>
    <row r="2508" spans="1:13" ht="15.6" x14ac:dyDescent="0.3">
      <c r="A2508" s="1" t="s">
        <v>7715</v>
      </c>
      <c r="B2508" s="1"/>
      <c r="C2508" s="1"/>
      <c r="D2508" s="1"/>
      <c r="E2508" s="1"/>
      <c r="F2508" s="1"/>
      <c r="G2508" s="1" t="s">
        <v>24</v>
      </c>
      <c r="H2508" s="2">
        <v>5988</v>
      </c>
      <c r="I2508" s="1" t="s">
        <v>7716</v>
      </c>
      <c r="J2508" s="1" t="s">
        <v>637</v>
      </c>
      <c r="K2508" s="1" t="s">
        <v>31</v>
      </c>
      <c r="L2508" s="1" t="s">
        <v>7717</v>
      </c>
      <c r="M2508" s="6" t="str">
        <f>_xlfn.CONCAT(Table1[[#This Row],[Billing Street]], ", ", Table1[[#This Row],[Billing City]], ", ", Table1[[#This Row],[Billing State/Province]], ", ", Table1[[#This Row],[Billing Zip/Postal Code]])</f>
        <v>826 S West St, Jackson, MS, 39201</v>
      </c>
    </row>
    <row r="2509" spans="1:13" ht="15.6" hidden="1" x14ac:dyDescent="0.3">
      <c r="A2509" s="1" t="s">
        <v>7718</v>
      </c>
      <c r="B2509" s="1"/>
      <c r="C2509" s="1"/>
      <c r="D2509" s="1"/>
      <c r="E2509" s="1"/>
      <c r="F2509" s="1"/>
      <c r="G2509" s="1" t="s">
        <v>43</v>
      </c>
      <c r="H2509" s="2">
        <v>5776</v>
      </c>
      <c r="I2509" s="1" t="s">
        <v>13</v>
      </c>
      <c r="J2509" s="1" t="s">
        <v>13</v>
      </c>
      <c r="K2509" s="1" t="s">
        <v>7708</v>
      </c>
      <c r="L2509" s="1" t="s">
        <v>13</v>
      </c>
      <c r="M2509" s="6" t="str">
        <f>_xlfn.CONCAT(Table1[[#This Row],[Billing Street]], ", ", Table1[[#This Row],[Billing City]], ", ", Table1[[#This Row],[Billing State/Province]], ", ", Table1[[#This Row],[Billing Zip/Postal Code]])</f>
        <v xml:space="preserve">, , DE, </v>
      </c>
    </row>
    <row r="2510" spans="1:13" ht="15.6" hidden="1" x14ac:dyDescent="0.3">
      <c r="A2510" s="1" t="s">
        <v>7719</v>
      </c>
      <c r="B2510" s="1"/>
      <c r="C2510" s="1"/>
      <c r="D2510" s="1"/>
      <c r="E2510" s="1"/>
      <c r="F2510" s="1"/>
      <c r="G2510" s="1" t="s">
        <v>8</v>
      </c>
      <c r="H2510" s="2">
        <v>336</v>
      </c>
      <c r="I2510" s="1" t="s">
        <v>7720</v>
      </c>
      <c r="J2510" s="1" t="s">
        <v>7012</v>
      </c>
      <c r="K2510" s="1" t="s">
        <v>21</v>
      </c>
      <c r="L2510" s="1" t="s">
        <v>7721</v>
      </c>
      <c r="M2510" s="6" t="str">
        <f>_xlfn.CONCAT(Table1[[#This Row],[Billing Street]], ", ", Table1[[#This Row],[Billing City]], ", ", Table1[[#This Row],[Billing State/Province]], ", ", Table1[[#This Row],[Billing Zip/Postal Code]])</f>
        <v>166 6th Avenue, Manilla, IA, 51454</v>
      </c>
    </row>
    <row r="2511" spans="1:13" ht="15.6" hidden="1" x14ac:dyDescent="0.3">
      <c r="A2511" s="1" t="s">
        <v>7722</v>
      </c>
      <c r="B2511" s="1"/>
      <c r="C2511" s="1"/>
      <c r="D2511" s="1"/>
      <c r="E2511" s="1"/>
      <c r="F2511" s="1"/>
      <c r="G2511" s="1" t="s">
        <v>43</v>
      </c>
      <c r="H2511" s="2">
        <v>5776</v>
      </c>
      <c r="I2511" s="1" t="s">
        <v>7723</v>
      </c>
      <c r="J2511" s="1" t="s">
        <v>7724</v>
      </c>
      <c r="K2511" s="1" t="s">
        <v>781</v>
      </c>
      <c r="L2511" s="1" t="s">
        <v>7725</v>
      </c>
      <c r="M2511" s="6" t="str">
        <f>_xlfn.CONCAT(Table1[[#This Row],[Billing Street]], ", ", Table1[[#This Row],[Billing City]], ", ", Table1[[#This Row],[Billing State/Province]], ", ", Table1[[#This Row],[Billing Zip/Postal Code]])</f>
        <v>1750, state college, pa, 16801</v>
      </c>
    </row>
    <row r="2512" spans="1:13" ht="15.6" hidden="1" x14ac:dyDescent="0.3">
      <c r="A2512" s="1" t="s">
        <v>7726</v>
      </c>
      <c r="B2512" s="1"/>
      <c r="C2512" s="1"/>
      <c r="D2512" s="1"/>
      <c r="E2512" s="1"/>
      <c r="F2512" s="1"/>
      <c r="G2512" s="1" t="s">
        <v>8</v>
      </c>
      <c r="H2512" s="2">
        <v>675</v>
      </c>
      <c r="I2512" s="1" t="s">
        <v>7727</v>
      </c>
      <c r="J2512" s="1" t="s">
        <v>2630</v>
      </c>
      <c r="K2512" s="1" t="s">
        <v>208</v>
      </c>
      <c r="L2512" s="1" t="s">
        <v>2631</v>
      </c>
      <c r="M2512" s="6" t="str">
        <f>_xlfn.CONCAT(Table1[[#This Row],[Billing Street]], ", ", Table1[[#This Row],[Billing City]], ", ", Table1[[#This Row],[Billing State/Province]], ", ", Table1[[#This Row],[Billing Zip/Postal Code]])</f>
        <v>2400 East Main Ste. F, Montrose, CO, 81401</v>
      </c>
    </row>
    <row r="2513" spans="1:13" ht="15.6" hidden="1" x14ac:dyDescent="0.3">
      <c r="A2513" s="1" t="s">
        <v>7728</v>
      </c>
      <c r="B2513" s="1"/>
      <c r="C2513" s="1"/>
      <c r="D2513" s="1"/>
      <c r="E2513" s="1"/>
      <c r="F2513" s="1"/>
      <c r="G2513" s="1" t="s">
        <v>43</v>
      </c>
      <c r="H2513" s="2">
        <v>5776</v>
      </c>
      <c r="I2513" s="1" t="s">
        <v>13</v>
      </c>
      <c r="J2513" s="1" t="s">
        <v>13</v>
      </c>
      <c r="K2513" s="1" t="s">
        <v>7708</v>
      </c>
      <c r="L2513" s="1" t="s">
        <v>13</v>
      </c>
      <c r="M2513" s="6" t="str">
        <f>_xlfn.CONCAT(Table1[[#This Row],[Billing Street]], ", ", Table1[[#This Row],[Billing City]], ", ", Table1[[#This Row],[Billing State/Province]], ", ", Table1[[#This Row],[Billing Zip/Postal Code]])</f>
        <v xml:space="preserve">, , DE, </v>
      </c>
    </row>
    <row r="2514" spans="1:13" ht="15.6" hidden="1" x14ac:dyDescent="0.3">
      <c r="A2514" s="1" t="s">
        <v>7729</v>
      </c>
      <c r="B2514" s="1"/>
      <c r="C2514" s="1"/>
      <c r="D2514" s="1"/>
      <c r="E2514" s="1"/>
      <c r="F2514" s="1"/>
      <c r="G2514" s="1" t="s">
        <v>43</v>
      </c>
      <c r="H2514" s="2">
        <v>5776</v>
      </c>
      <c r="I2514" s="1" t="s">
        <v>13</v>
      </c>
      <c r="J2514" s="1" t="s">
        <v>13</v>
      </c>
      <c r="K2514" s="1" t="s">
        <v>7708</v>
      </c>
      <c r="L2514" s="1" t="s">
        <v>13</v>
      </c>
      <c r="M2514" s="6" t="str">
        <f>_xlfn.CONCAT(Table1[[#This Row],[Billing Street]], ", ", Table1[[#This Row],[Billing City]], ", ", Table1[[#This Row],[Billing State/Province]], ", ", Table1[[#This Row],[Billing Zip/Postal Code]])</f>
        <v xml:space="preserve">, , DE, </v>
      </c>
    </row>
    <row r="2515" spans="1:13" ht="15.6" hidden="1" x14ac:dyDescent="0.3">
      <c r="A2515" s="1" t="s">
        <v>7730</v>
      </c>
      <c r="B2515" s="1"/>
      <c r="C2515" s="1"/>
      <c r="D2515" s="1"/>
      <c r="E2515" s="1"/>
      <c r="F2515" s="1"/>
      <c r="G2515" s="1" t="s">
        <v>43</v>
      </c>
      <c r="H2515" s="2">
        <v>5776</v>
      </c>
      <c r="I2515" s="1" t="s">
        <v>13</v>
      </c>
      <c r="J2515" s="1" t="s">
        <v>13</v>
      </c>
      <c r="K2515" s="1" t="s">
        <v>7708</v>
      </c>
      <c r="L2515" s="1" t="s">
        <v>13</v>
      </c>
      <c r="M2515" s="6" t="str">
        <f>_xlfn.CONCAT(Table1[[#This Row],[Billing Street]], ", ", Table1[[#This Row],[Billing City]], ", ", Table1[[#This Row],[Billing State/Province]], ", ", Table1[[#This Row],[Billing Zip/Postal Code]])</f>
        <v xml:space="preserve">, , DE, </v>
      </c>
    </row>
    <row r="2516" spans="1:13" ht="15.6" hidden="1" x14ac:dyDescent="0.3">
      <c r="A2516" s="1" t="s">
        <v>7731</v>
      </c>
      <c r="B2516" s="1"/>
      <c r="C2516" s="1"/>
      <c r="D2516" s="1"/>
      <c r="E2516" s="1"/>
      <c r="F2516" s="1"/>
      <c r="G2516" s="1" t="s">
        <v>8</v>
      </c>
      <c r="H2516" s="2">
        <v>242</v>
      </c>
      <c r="I2516" s="1" t="s">
        <v>7732</v>
      </c>
      <c r="J2516" s="1" t="s">
        <v>7733</v>
      </c>
      <c r="K2516" s="1" t="s">
        <v>11</v>
      </c>
      <c r="L2516" s="1" t="s">
        <v>7734</v>
      </c>
      <c r="M2516" s="6" t="str">
        <f>_xlfn.CONCAT(Table1[[#This Row],[Billing Street]], ", ", Table1[[#This Row],[Billing City]], ", ", Table1[[#This Row],[Billing State/Province]], ", ", Table1[[#This Row],[Billing Zip/Postal Code]])</f>
        <v>407 Highway PP (yard), Cuba, MO, 65453</v>
      </c>
    </row>
    <row r="2517" spans="1:13" ht="15.6" hidden="1" x14ac:dyDescent="0.3">
      <c r="A2517" s="1" t="s">
        <v>7735</v>
      </c>
      <c r="B2517" s="1"/>
      <c r="C2517" s="1"/>
      <c r="D2517" s="1"/>
      <c r="E2517" s="1"/>
      <c r="F2517" s="1"/>
      <c r="G2517" s="1" t="s">
        <v>43</v>
      </c>
      <c r="H2517" s="2">
        <v>390</v>
      </c>
      <c r="I2517" s="1" t="s">
        <v>7736</v>
      </c>
      <c r="J2517" s="1" t="s">
        <v>7737</v>
      </c>
      <c r="K2517" s="1" t="s">
        <v>152</v>
      </c>
      <c r="L2517" s="1" t="s">
        <v>7738</v>
      </c>
      <c r="M2517" s="6" t="str">
        <f>_xlfn.CONCAT(Table1[[#This Row],[Billing Street]], ", ", Table1[[#This Row],[Billing City]], ", ", Table1[[#This Row],[Billing State/Province]], ", ", Table1[[#This Row],[Billing Zip/Postal Code]])</f>
        <v>401 S. Mulberry Street, Mount Carmel, IL, 62863</v>
      </c>
    </row>
    <row r="2518" spans="1:13" ht="15.6" hidden="1" x14ac:dyDescent="0.3">
      <c r="A2518" s="1" t="s">
        <v>7739</v>
      </c>
      <c r="B2518" s="1"/>
      <c r="C2518" s="1"/>
      <c r="D2518" s="1"/>
      <c r="E2518" s="1"/>
      <c r="F2518" s="1"/>
      <c r="G2518" s="1" t="s">
        <v>43</v>
      </c>
      <c r="H2518" s="2">
        <v>5776</v>
      </c>
      <c r="I2518" s="1" t="s">
        <v>13</v>
      </c>
      <c r="J2518" s="1" t="s">
        <v>13</v>
      </c>
      <c r="K2518" s="1" t="s">
        <v>7708</v>
      </c>
      <c r="L2518" s="1" t="s">
        <v>13</v>
      </c>
      <c r="M2518" s="6" t="str">
        <f>_xlfn.CONCAT(Table1[[#This Row],[Billing Street]], ", ", Table1[[#This Row],[Billing City]], ", ", Table1[[#This Row],[Billing State/Province]], ", ", Table1[[#This Row],[Billing Zip/Postal Code]])</f>
        <v xml:space="preserve">, , DE, </v>
      </c>
    </row>
    <row r="2519" spans="1:13" ht="15.6" hidden="1" x14ac:dyDescent="0.3">
      <c r="A2519" s="1" t="s">
        <v>7740</v>
      </c>
      <c r="B2519" s="1"/>
      <c r="C2519" s="1"/>
      <c r="D2519" s="1"/>
      <c r="E2519" s="1"/>
      <c r="F2519" s="1"/>
      <c r="G2519" s="1" t="s">
        <v>8</v>
      </c>
      <c r="H2519" s="2">
        <v>304</v>
      </c>
      <c r="I2519" s="1" t="s">
        <v>7741</v>
      </c>
      <c r="J2519" s="1" t="s">
        <v>7742</v>
      </c>
      <c r="K2519" s="1" t="s">
        <v>11</v>
      </c>
      <c r="L2519" s="1" t="s">
        <v>919</v>
      </c>
      <c r="M2519" s="6" t="str">
        <f>_xlfn.CONCAT(Table1[[#This Row],[Billing Street]], ", ", Table1[[#This Row],[Billing City]], ", ", Table1[[#This Row],[Billing State/Province]], ", ", Table1[[#This Row],[Billing Zip/Postal Code]])</f>
        <v>212 South Taylor Ave, Kirkwood, MO, 63122</v>
      </c>
    </row>
    <row r="2520" spans="1:13" ht="15.6" hidden="1" x14ac:dyDescent="0.3">
      <c r="A2520" s="1" t="s">
        <v>7743</v>
      </c>
      <c r="B2520" s="1"/>
      <c r="C2520" s="1"/>
      <c r="D2520" s="1"/>
      <c r="E2520" s="1"/>
      <c r="F2520" s="1"/>
      <c r="G2520" s="1" t="s">
        <v>43</v>
      </c>
      <c r="H2520" s="2">
        <v>338</v>
      </c>
      <c r="I2520" s="1" t="s">
        <v>7744</v>
      </c>
      <c r="J2520" s="1" t="s">
        <v>7745</v>
      </c>
      <c r="K2520" s="1" t="s">
        <v>7708</v>
      </c>
      <c r="L2520" s="1" t="s">
        <v>13</v>
      </c>
      <c r="M2520" s="6" t="str">
        <f>_xlfn.CONCAT(Table1[[#This Row],[Billing Street]], ", ", Table1[[#This Row],[Billing City]], ", ", Table1[[#This Row],[Billing State/Province]], ", ", Table1[[#This Row],[Billing Zip/Postal Code]])</f>
        <v xml:space="preserve">220 Artisan Drive, Smyrna, DE, </v>
      </c>
    </row>
    <row r="2521" spans="1:13" ht="15.6" hidden="1" x14ac:dyDescent="0.3">
      <c r="A2521" s="1" t="s">
        <v>7746</v>
      </c>
      <c r="B2521" s="1"/>
      <c r="C2521" s="1"/>
      <c r="D2521" s="1"/>
      <c r="E2521" s="1"/>
      <c r="F2521" s="1"/>
      <c r="G2521" s="1" t="s">
        <v>8</v>
      </c>
      <c r="H2521" s="2">
        <v>287</v>
      </c>
      <c r="I2521" s="1" t="s">
        <v>7747</v>
      </c>
      <c r="J2521" s="1" t="s">
        <v>2642</v>
      </c>
      <c r="K2521" s="1" t="s">
        <v>11</v>
      </c>
      <c r="L2521" s="1" t="s">
        <v>7748</v>
      </c>
      <c r="M2521" s="6" t="str">
        <f>_xlfn.CONCAT(Table1[[#This Row],[Billing Street]], ", ", Table1[[#This Row],[Billing City]], ", ", Table1[[#This Row],[Billing State/Province]], ", ", Table1[[#This Row],[Billing Zip/Postal Code]])</f>
        <v>1112 East Cherry Street, PO Box 160, Troy, MO, 63379-0160</v>
      </c>
    </row>
    <row r="2522" spans="1:13" ht="15.6" hidden="1" x14ac:dyDescent="0.3">
      <c r="A2522" s="1" t="s">
        <v>7749</v>
      </c>
      <c r="B2522" s="1"/>
      <c r="C2522" s="1"/>
      <c r="D2522" s="1"/>
      <c r="E2522" s="1"/>
      <c r="F2522" s="1"/>
      <c r="G2522" s="1" t="s">
        <v>43</v>
      </c>
      <c r="H2522" s="2">
        <v>5776</v>
      </c>
      <c r="I2522" s="1" t="s">
        <v>13</v>
      </c>
      <c r="J2522" s="1" t="s">
        <v>13</v>
      </c>
      <c r="K2522" s="1" t="s">
        <v>7708</v>
      </c>
      <c r="L2522" s="1" t="s">
        <v>13</v>
      </c>
      <c r="M2522" s="6" t="str">
        <f>_xlfn.CONCAT(Table1[[#This Row],[Billing Street]], ", ", Table1[[#This Row],[Billing City]], ", ", Table1[[#This Row],[Billing State/Province]], ", ", Table1[[#This Row],[Billing Zip/Postal Code]])</f>
        <v xml:space="preserve">, , DE, </v>
      </c>
    </row>
    <row r="2523" spans="1:13" ht="15.6" hidden="1" x14ac:dyDescent="0.3">
      <c r="A2523" s="1" t="s">
        <v>7750</v>
      </c>
      <c r="B2523" s="1"/>
      <c r="C2523" s="1"/>
      <c r="D2523" s="1"/>
      <c r="E2523" s="1"/>
      <c r="F2523" s="1"/>
      <c r="G2523" s="1" t="s">
        <v>8</v>
      </c>
      <c r="H2523" s="2">
        <v>228</v>
      </c>
      <c r="I2523" s="1" t="s">
        <v>7751</v>
      </c>
      <c r="J2523" s="1" t="s">
        <v>7752</v>
      </c>
      <c r="K2523" s="1" t="s">
        <v>11</v>
      </c>
      <c r="L2523" s="1" t="s">
        <v>7753</v>
      </c>
      <c r="M2523" s="6" t="str">
        <f>_xlfn.CONCAT(Table1[[#This Row],[Billing Street]], ", ", Table1[[#This Row],[Billing City]], ", ", Table1[[#This Row],[Billing State/Province]], ", ", Table1[[#This Row],[Billing Zip/Postal Code]])</f>
        <v>1116 W Springfield St., St. James, MO, 65559</v>
      </c>
    </row>
    <row r="2524" spans="1:13" ht="15.6" hidden="1" x14ac:dyDescent="0.3">
      <c r="A2524" s="1" t="s">
        <v>7754</v>
      </c>
      <c r="B2524" s="1"/>
      <c r="C2524" s="1"/>
      <c r="D2524" s="1"/>
      <c r="E2524" s="1"/>
      <c r="F2524" s="1"/>
      <c r="G2524" s="1" t="s">
        <v>8</v>
      </c>
      <c r="H2524" s="2">
        <v>314</v>
      </c>
      <c r="I2524" s="1" t="s">
        <v>7755</v>
      </c>
      <c r="J2524" s="1" t="s">
        <v>7756</v>
      </c>
      <c r="K2524" s="1" t="s">
        <v>11</v>
      </c>
      <c r="L2524" s="1" t="s">
        <v>7757</v>
      </c>
      <c r="M2524" s="6" t="str">
        <f>_xlfn.CONCAT(Table1[[#This Row],[Billing Street]], ", ", Table1[[#This Row],[Billing City]], ", ", Table1[[#This Row],[Billing State/Province]], ", ", Table1[[#This Row],[Billing Zip/Postal Code]])</f>
        <v>303 S Anthony, Kennett, MO, 63857</v>
      </c>
    </row>
    <row r="2525" spans="1:13" ht="15.6" hidden="1" x14ac:dyDescent="0.3">
      <c r="A2525" s="1" t="s">
        <v>7758</v>
      </c>
      <c r="B2525" s="1"/>
      <c r="C2525" s="1"/>
      <c r="D2525" s="1"/>
      <c r="E2525" s="1"/>
      <c r="F2525" s="1"/>
      <c r="G2525" s="1" t="s">
        <v>8</v>
      </c>
      <c r="H2525" s="2">
        <v>126</v>
      </c>
      <c r="I2525" s="1" t="s">
        <v>7759</v>
      </c>
      <c r="J2525" s="1" t="s">
        <v>989</v>
      </c>
      <c r="K2525" s="1" t="s">
        <v>11</v>
      </c>
      <c r="L2525" s="1" t="s">
        <v>7760</v>
      </c>
      <c r="M2525" s="6" t="str">
        <f>_xlfn.CONCAT(Table1[[#This Row],[Billing Street]], ", ", Table1[[#This Row],[Billing City]], ", ", Table1[[#This Row],[Billing State/Province]], ", ", Table1[[#This Row],[Billing Zip/Postal Code]])</f>
        <v>210 Olive St., Osceola, MO, 64776</v>
      </c>
    </row>
    <row r="2526" spans="1:13" ht="15.6" x14ac:dyDescent="0.3">
      <c r="A2526" s="1" t="s">
        <v>7761</v>
      </c>
      <c r="B2526" s="1"/>
      <c r="C2526" s="1"/>
      <c r="D2526" s="1"/>
      <c r="E2526" s="1"/>
      <c r="F2526" s="1"/>
      <c r="G2526" s="1" t="s">
        <v>24</v>
      </c>
      <c r="H2526" s="2">
        <v>285</v>
      </c>
      <c r="I2526" s="1" t="s">
        <v>7762</v>
      </c>
      <c r="J2526" s="1" t="s">
        <v>1882</v>
      </c>
      <c r="K2526" s="1" t="s">
        <v>36</v>
      </c>
      <c r="L2526" s="1" t="s">
        <v>1883</v>
      </c>
      <c r="M2526" s="6" t="str">
        <f>_xlfn.CONCAT(Table1[[#This Row],[Billing Street]], ", ", Table1[[#This Row],[Billing City]], ", ", Table1[[#This Row],[Billing State/Province]], ", ", Table1[[#This Row],[Billing Zip/Postal Code]])</f>
        <v>2010 W Griffin Rd, Leesburg, FL, 34748</v>
      </c>
    </row>
    <row r="2527" spans="1:13" ht="15.6" hidden="1" x14ac:dyDescent="0.3">
      <c r="A2527" s="1" t="s">
        <v>7763</v>
      </c>
      <c r="B2527" s="1"/>
      <c r="C2527" s="1"/>
      <c r="D2527" s="1"/>
      <c r="E2527" s="1"/>
      <c r="F2527" s="1"/>
      <c r="G2527" s="1" t="s">
        <v>8</v>
      </c>
      <c r="H2527" s="2">
        <v>168</v>
      </c>
      <c r="I2527" s="1" t="s">
        <v>7764</v>
      </c>
      <c r="J2527" s="1" t="s">
        <v>7027</v>
      </c>
      <c r="K2527" s="1" t="s">
        <v>11</v>
      </c>
      <c r="L2527" s="1" t="s">
        <v>7765</v>
      </c>
      <c r="M2527" s="6" t="str">
        <f>_xlfn.CONCAT(Table1[[#This Row],[Billing Street]], ", ", Table1[[#This Row],[Billing City]], ", ", Table1[[#This Row],[Billing State/Province]], ", ", Table1[[#This Row],[Billing Zip/Postal Code]])</f>
        <v>122 N. Business 60 P.O. Box 467 ,, Mansfield, MO, 65704</v>
      </c>
    </row>
    <row r="2528" spans="1:13" ht="15.6" hidden="1" x14ac:dyDescent="0.3">
      <c r="A2528" s="1" t="s">
        <v>7766</v>
      </c>
      <c r="B2528" s="1"/>
      <c r="C2528" s="1"/>
      <c r="D2528" s="1"/>
      <c r="E2528" s="1"/>
      <c r="F2528" s="1"/>
      <c r="G2528" s="1" t="s">
        <v>43</v>
      </c>
      <c r="H2528" s="2">
        <v>15</v>
      </c>
      <c r="I2528" s="1" t="s">
        <v>7767</v>
      </c>
      <c r="J2528" s="1" t="s">
        <v>104</v>
      </c>
      <c r="K2528" s="1" t="s">
        <v>45</v>
      </c>
      <c r="L2528" s="1" t="s">
        <v>7768</v>
      </c>
      <c r="M2528" s="6" t="str">
        <f>_xlfn.CONCAT(Table1[[#This Row],[Billing Street]], ", ", Table1[[#This Row],[Billing City]], ", ", Table1[[#This Row],[Billing State/Province]], ", ", Table1[[#This Row],[Billing Zip/Postal Code]])</f>
        <v>4600 Brookpark Road, Cleveland, OH, 44134</v>
      </c>
    </row>
    <row r="2529" spans="1:13" ht="15.6" hidden="1" x14ac:dyDescent="0.3">
      <c r="A2529" s="1" t="s">
        <v>7769</v>
      </c>
      <c r="B2529" s="1"/>
      <c r="C2529" s="1"/>
      <c r="D2529" s="1"/>
      <c r="E2529" s="1"/>
      <c r="F2529" s="1"/>
      <c r="G2529" s="1" t="s">
        <v>43</v>
      </c>
      <c r="H2529" s="2">
        <v>5776</v>
      </c>
      <c r="I2529" s="1" t="s">
        <v>13</v>
      </c>
      <c r="J2529" s="1" t="s">
        <v>13</v>
      </c>
      <c r="K2529" s="1" t="s">
        <v>7708</v>
      </c>
      <c r="L2529" s="1" t="s">
        <v>13</v>
      </c>
      <c r="M2529" s="6" t="str">
        <f>_xlfn.CONCAT(Table1[[#This Row],[Billing Street]], ", ", Table1[[#This Row],[Billing City]], ", ", Table1[[#This Row],[Billing State/Province]], ", ", Table1[[#This Row],[Billing Zip/Postal Code]])</f>
        <v xml:space="preserve">, , DE, </v>
      </c>
    </row>
    <row r="2530" spans="1:13" ht="15.6" hidden="1" x14ac:dyDescent="0.3">
      <c r="A2530" s="1" t="s">
        <v>7770</v>
      </c>
      <c r="B2530" s="1"/>
      <c r="C2530" s="1"/>
      <c r="D2530" s="1"/>
      <c r="E2530" s="1"/>
      <c r="F2530" s="1"/>
      <c r="G2530" s="1" t="s">
        <v>43</v>
      </c>
      <c r="H2530" s="2">
        <v>131</v>
      </c>
      <c r="I2530" s="1" t="s">
        <v>7771</v>
      </c>
      <c r="J2530" s="1" t="s">
        <v>7772</v>
      </c>
      <c r="K2530" s="1" t="s">
        <v>82</v>
      </c>
      <c r="L2530" s="1" t="s">
        <v>7773</v>
      </c>
      <c r="M2530" s="6" t="str">
        <f>_xlfn.CONCAT(Table1[[#This Row],[Billing Street]], ", ", Table1[[#This Row],[Billing City]], ", ", Table1[[#This Row],[Billing State/Province]], ", ", Table1[[#This Row],[Billing Zip/Postal Code]])</f>
        <v>27175 Energy Way, Novi, MI, 48377</v>
      </c>
    </row>
    <row r="2531" spans="1:13" ht="15.6" hidden="1" x14ac:dyDescent="0.3">
      <c r="A2531" s="1" t="s">
        <v>7774</v>
      </c>
      <c r="B2531" s="1"/>
      <c r="C2531" s="1"/>
      <c r="D2531" s="1"/>
      <c r="E2531" s="1"/>
      <c r="F2531" s="1"/>
      <c r="G2531" s="1" t="s">
        <v>43</v>
      </c>
      <c r="H2531" s="2">
        <v>50</v>
      </c>
      <c r="I2531" s="1" t="s">
        <v>7775</v>
      </c>
      <c r="J2531" s="1" t="s">
        <v>240</v>
      </c>
      <c r="K2531" s="1" t="s">
        <v>241</v>
      </c>
      <c r="L2531" s="1" t="s">
        <v>242</v>
      </c>
      <c r="M2531" s="6" t="str">
        <f>_xlfn.CONCAT(Table1[[#This Row],[Billing Street]], ", ", Table1[[#This Row],[Billing City]], ", ", Table1[[#This Row],[Billing State/Province]], ", ", Table1[[#This Row],[Billing Zip/Postal Code]])</f>
        <v>892 S Dock St, Sharon, PA, 16146</v>
      </c>
    </row>
    <row r="2532" spans="1:13" ht="15.6" hidden="1" x14ac:dyDescent="0.3">
      <c r="A2532" s="1" t="s">
        <v>7776</v>
      </c>
      <c r="B2532" s="1"/>
      <c r="C2532" s="1"/>
      <c r="D2532" s="1"/>
      <c r="E2532" s="1"/>
      <c r="F2532" s="1"/>
      <c r="G2532" s="1" t="s">
        <v>43</v>
      </c>
      <c r="H2532" s="2">
        <v>117</v>
      </c>
      <c r="I2532" s="1" t="s">
        <v>7777</v>
      </c>
      <c r="J2532" s="1" t="s">
        <v>7778</v>
      </c>
      <c r="K2532" s="1" t="s">
        <v>45</v>
      </c>
      <c r="L2532" s="1" t="s">
        <v>7779</v>
      </c>
      <c r="M2532" s="6" t="str">
        <f>_xlfn.CONCAT(Table1[[#This Row],[Billing Street]], ", ", Table1[[#This Row],[Billing City]], ", ", Table1[[#This Row],[Billing State/Province]], ", ", Table1[[#This Row],[Billing Zip/Postal Code]])</f>
        <v>630 Morrison Road, Gahanna, OH, 43230</v>
      </c>
    </row>
    <row r="2533" spans="1:13" ht="15.6" hidden="1" x14ac:dyDescent="0.3">
      <c r="A2533" s="1" t="s">
        <v>7780</v>
      </c>
      <c r="B2533" s="1"/>
      <c r="C2533" s="1"/>
      <c r="D2533" s="1"/>
      <c r="E2533" s="1"/>
      <c r="F2533" s="1"/>
      <c r="G2533" s="1" t="s">
        <v>13</v>
      </c>
      <c r="H2533" s="2">
        <v>0</v>
      </c>
      <c r="I2533" s="1" t="s">
        <v>13</v>
      </c>
      <c r="J2533" s="1" t="s">
        <v>13</v>
      </c>
      <c r="K2533" s="1" t="s">
        <v>13</v>
      </c>
      <c r="L2533" s="1" t="s">
        <v>5517</v>
      </c>
      <c r="M2533" s="6" t="str">
        <f>_xlfn.CONCAT(Table1[[#This Row],[Billing Street]], ", ", Table1[[#This Row],[Billing City]], ", ", Table1[[#This Row],[Billing State/Province]], ", ", Table1[[#This Row],[Billing Zip/Postal Code]])</f>
        <v>, , , 71730</v>
      </c>
    </row>
    <row r="2534" spans="1:13" ht="15.6" x14ac:dyDescent="0.3">
      <c r="A2534" s="1" t="s">
        <v>7781</v>
      </c>
      <c r="B2534" s="1"/>
      <c r="C2534" s="1"/>
      <c r="D2534" s="1"/>
      <c r="E2534" s="1"/>
      <c r="F2534" s="1"/>
      <c r="G2534" s="1" t="s">
        <v>24</v>
      </c>
      <c r="H2534" s="2">
        <v>164</v>
      </c>
      <c r="I2534" s="1" t="s">
        <v>7782</v>
      </c>
      <c r="J2534" s="1" t="s">
        <v>7783</v>
      </c>
      <c r="K2534" s="1" t="s">
        <v>36</v>
      </c>
      <c r="L2534" s="1" t="s">
        <v>7784</v>
      </c>
      <c r="M2534" s="6" t="str">
        <f>_xlfn.CONCAT(Table1[[#This Row],[Billing Street]], ", ", Table1[[#This Row],[Billing City]], ", ", Table1[[#This Row],[Billing State/Province]], ", ", Table1[[#This Row],[Billing Zip/Postal Code]])</f>
        <v>2862 W. HIGHWAY 90, MADISON, FL, 32340</v>
      </c>
    </row>
    <row r="2535" spans="1:13" ht="15.6" x14ac:dyDescent="0.3">
      <c r="A2535" s="1" t="s">
        <v>7785</v>
      </c>
      <c r="B2535" s="1"/>
      <c r="C2535" s="1"/>
      <c r="D2535" s="1"/>
      <c r="E2535" s="1"/>
      <c r="F2535" s="1"/>
      <c r="G2535" s="1" t="s">
        <v>24</v>
      </c>
      <c r="H2535" s="2">
        <v>378</v>
      </c>
      <c r="I2535" s="1" t="s">
        <v>7786</v>
      </c>
      <c r="J2535" s="1" t="s">
        <v>6527</v>
      </c>
      <c r="K2535" s="1" t="s">
        <v>577</v>
      </c>
      <c r="L2535" s="1" t="s">
        <v>7787</v>
      </c>
      <c r="M2535" s="6" t="str">
        <f>_xlfn.CONCAT(Table1[[#This Row],[Billing Street]], ", ", Table1[[#This Row],[Billing City]], ", ", Table1[[#This Row],[Billing State/Province]], ", ", Table1[[#This Row],[Billing Zip/Postal Code]])</f>
        <v>1015 N. Third Street   PO Box 71, Alexandria, LA, 71309</v>
      </c>
    </row>
    <row r="2536" spans="1:13" ht="15.6" hidden="1" x14ac:dyDescent="0.3">
      <c r="A2536" s="1" t="s">
        <v>7788</v>
      </c>
      <c r="B2536" s="1"/>
      <c r="C2536" s="1"/>
      <c r="D2536" s="1"/>
      <c r="E2536" s="1"/>
      <c r="F2536" s="1"/>
      <c r="G2536" s="1" t="s">
        <v>8</v>
      </c>
      <c r="H2536" s="2">
        <v>110</v>
      </c>
      <c r="I2536" s="1" t="s">
        <v>7789</v>
      </c>
      <c r="J2536" s="1" t="s">
        <v>2326</v>
      </c>
      <c r="K2536" s="1" t="s">
        <v>11</v>
      </c>
      <c r="L2536" s="1" t="s">
        <v>7790</v>
      </c>
      <c r="M2536" s="6" t="str">
        <f>_xlfn.CONCAT(Table1[[#This Row],[Billing Street]], ", ", Table1[[#This Row],[Billing City]], ", ", Table1[[#This Row],[Billing State/Province]], ", ", Table1[[#This Row],[Billing Zip/Postal Code]])</f>
        <v>22 W. Ohio St., Butler, MO, 64730</v>
      </c>
    </row>
    <row r="2537" spans="1:13" ht="15.6" hidden="1" x14ac:dyDescent="0.3">
      <c r="A2537" s="1" t="s">
        <v>7791</v>
      </c>
      <c r="B2537" s="1"/>
      <c r="C2537" s="1"/>
      <c r="D2537" s="1"/>
      <c r="E2537" s="1"/>
      <c r="F2537" s="1"/>
      <c r="G2537" s="1" t="s">
        <v>8</v>
      </c>
      <c r="H2537" s="2">
        <v>237</v>
      </c>
      <c r="I2537" s="1" t="s">
        <v>7792</v>
      </c>
      <c r="J2537" s="1" t="s">
        <v>1352</v>
      </c>
      <c r="K2537" s="1" t="s">
        <v>11</v>
      </c>
      <c r="L2537" s="1" t="s">
        <v>5803</v>
      </c>
      <c r="M2537" s="6" t="str">
        <f>_xlfn.CONCAT(Table1[[#This Row],[Billing Street]], ", ", Table1[[#This Row],[Billing City]], ", ", Table1[[#This Row],[Billing State/Province]], ", ", Table1[[#This Row],[Billing Zip/Postal Code]])</f>
        <v>2601 Oklahoma Ave, Trenton, MO, 64683</v>
      </c>
    </row>
    <row r="2538" spans="1:13" ht="15.6" x14ac:dyDescent="0.3">
      <c r="A2538" s="1" t="s">
        <v>7793</v>
      </c>
      <c r="B2538" s="1"/>
      <c r="C2538" s="1"/>
      <c r="D2538" s="1"/>
      <c r="E2538" s="1"/>
      <c r="F2538" s="1"/>
      <c r="G2538" s="1" t="s">
        <v>24</v>
      </c>
      <c r="H2538" s="2">
        <v>277</v>
      </c>
      <c r="I2538" s="1" t="s">
        <v>7794</v>
      </c>
      <c r="J2538" s="1" t="s">
        <v>1668</v>
      </c>
      <c r="K2538" s="1" t="s">
        <v>36</v>
      </c>
      <c r="L2538" s="1" t="s">
        <v>7795</v>
      </c>
      <c r="M2538" s="6" t="str">
        <f>_xlfn.CONCAT(Table1[[#This Row],[Billing Street]], ", ", Table1[[#This Row],[Billing City]], ", ", Table1[[#This Row],[Billing State/Province]], ", ", Table1[[#This Row],[Billing Zip/Postal Code]])</f>
        <v>12574 Flagler Ctr Blvd Ste 101-111, Jacksonville, FL, 32258</v>
      </c>
    </row>
    <row r="2539" spans="1:13" ht="15.6" x14ac:dyDescent="0.3">
      <c r="A2539" s="1" t="s">
        <v>7796</v>
      </c>
      <c r="B2539" s="1"/>
      <c r="C2539" s="1"/>
      <c r="D2539" s="1"/>
      <c r="E2539" s="1"/>
      <c r="F2539" s="1"/>
      <c r="G2539" s="1" t="s">
        <v>24</v>
      </c>
      <c r="H2539" s="2">
        <v>68</v>
      </c>
      <c r="I2539" s="1" t="s">
        <v>7797</v>
      </c>
      <c r="J2539" s="1" t="s">
        <v>715</v>
      </c>
      <c r="K2539" s="1" t="s">
        <v>36</v>
      </c>
      <c r="L2539" s="1" t="s">
        <v>7798</v>
      </c>
      <c r="M2539" s="6" t="str">
        <f>_xlfn.CONCAT(Table1[[#This Row],[Billing Street]], ", ", Table1[[#This Row],[Billing City]], ", ", Table1[[#This Row],[Billing State/Province]], ", ", Table1[[#This Row],[Billing Zip/Postal Code]])</f>
        <v>One Energy Place, Pensacola, FL, 32520-0310</v>
      </c>
    </row>
    <row r="2540" spans="1:13" ht="15.6" x14ac:dyDescent="0.3">
      <c r="A2540" s="1" t="s">
        <v>7799</v>
      </c>
      <c r="B2540" s="1"/>
      <c r="C2540" s="1"/>
      <c r="D2540" s="1"/>
      <c r="E2540" s="1"/>
      <c r="F2540" s="1"/>
      <c r="G2540" s="1" t="s">
        <v>24</v>
      </c>
      <c r="H2540" s="2">
        <v>113</v>
      </c>
      <c r="I2540" s="1" t="s">
        <v>7800</v>
      </c>
      <c r="J2540" s="1" t="s">
        <v>4977</v>
      </c>
      <c r="K2540" s="1" t="s">
        <v>36</v>
      </c>
      <c r="L2540" s="1" t="s">
        <v>7801</v>
      </c>
      <c r="M2540" s="6" t="str">
        <f>_xlfn.CONCAT(Table1[[#This Row],[Billing Street]], ", ", Table1[[#This Row],[Billing City]], ", ", Table1[[#This Row],[Billing State/Province]], ", ", Table1[[#This Row],[Billing Zip/Postal Code]])</f>
        <v>342 Marpan Ln, Tallahassee, FL, 32305</v>
      </c>
    </row>
    <row r="2541" spans="1:13" ht="15.6" hidden="1" x14ac:dyDescent="0.3">
      <c r="A2541" s="1" t="s">
        <v>7802</v>
      </c>
      <c r="B2541" s="1"/>
      <c r="C2541" s="1"/>
      <c r="D2541" s="1"/>
      <c r="E2541" s="1"/>
      <c r="F2541" s="1"/>
      <c r="G2541" s="1" t="s">
        <v>8</v>
      </c>
      <c r="H2541" s="2">
        <v>99</v>
      </c>
      <c r="I2541" s="1" t="s">
        <v>7803</v>
      </c>
      <c r="J2541" s="1" t="s">
        <v>7804</v>
      </c>
      <c r="K2541" s="1" t="s">
        <v>11</v>
      </c>
      <c r="L2541" s="1" t="s">
        <v>7805</v>
      </c>
      <c r="M2541" s="6" t="str">
        <f>_xlfn.CONCAT(Table1[[#This Row],[Billing Street]], ", ", Table1[[#This Row],[Billing City]], ", ", Table1[[#This Row],[Billing State/Province]], ", ", Table1[[#This Row],[Billing Zip/Postal Code]])</f>
        <v>4015 Main St,, Cassville, MO, 65625</v>
      </c>
    </row>
    <row r="2542" spans="1:13" ht="15.6" hidden="1" x14ac:dyDescent="0.3">
      <c r="A2542" s="1" t="s">
        <v>7806</v>
      </c>
      <c r="B2542" s="1"/>
      <c r="C2542" s="1"/>
      <c r="D2542" s="1"/>
      <c r="E2542" s="1"/>
      <c r="F2542" s="1"/>
      <c r="G2542" s="1" t="s">
        <v>43</v>
      </c>
      <c r="H2542" s="2">
        <v>342</v>
      </c>
      <c r="I2542" s="1" t="s">
        <v>7807</v>
      </c>
      <c r="J2542" s="1" t="s">
        <v>7808</v>
      </c>
      <c r="K2542" s="1" t="s">
        <v>152</v>
      </c>
      <c r="L2542" s="1" t="s">
        <v>7809</v>
      </c>
      <c r="M2542" s="6" t="str">
        <f>_xlfn.CONCAT(Table1[[#This Row],[Billing Street]], ", ", Table1[[#This Row],[Billing City]], ", ", Table1[[#This Row],[Billing State/Province]], ", ", Table1[[#This Row],[Billing Zip/Postal Code]])</f>
        <v>5200 Newport Drive, Rolling Meadows, IL, 60008</v>
      </c>
    </row>
    <row r="2543" spans="1:13" ht="15.6" hidden="1" x14ac:dyDescent="0.3">
      <c r="A2543" s="1" t="s">
        <v>7810</v>
      </c>
      <c r="B2543" s="1"/>
      <c r="C2543" s="1"/>
      <c r="D2543" s="1"/>
      <c r="E2543" s="1"/>
      <c r="F2543" s="1"/>
      <c r="G2543" s="1" t="s">
        <v>8</v>
      </c>
      <c r="H2543" s="2">
        <v>111</v>
      </c>
      <c r="I2543" s="1" t="s">
        <v>7811</v>
      </c>
      <c r="J2543" s="1" t="s">
        <v>2326</v>
      </c>
      <c r="K2543" s="1" t="s">
        <v>11</v>
      </c>
      <c r="L2543" s="1" t="s">
        <v>7790</v>
      </c>
      <c r="M2543" s="6" t="str">
        <f>_xlfn.CONCAT(Table1[[#This Row],[Billing Street]], ", ", Table1[[#This Row],[Billing City]], ", ", Table1[[#This Row],[Billing State/Province]], ", ", Table1[[#This Row],[Billing Zip/Postal Code]])</f>
        <v>1321 N Orange Street, Butler, MO, 64730</v>
      </c>
    </row>
    <row r="2544" spans="1:13" ht="15.6" hidden="1" x14ac:dyDescent="0.3">
      <c r="A2544" s="1" t="s">
        <v>7812</v>
      </c>
      <c r="B2544" s="1"/>
      <c r="C2544" s="1"/>
      <c r="D2544" s="1"/>
      <c r="E2544" s="1"/>
      <c r="F2544" s="1"/>
      <c r="G2544" s="1" t="s">
        <v>8</v>
      </c>
      <c r="H2544" s="2">
        <v>128</v>
      </c>
      <c r="I2544" s="1" t="s">
        <v>7813</v>
      </c>
      <c r="J2544" s="1" t="s">
        <v>1818</v>
      </c>
      <c r="K2544" s="1" t="s">
        <v>11</v>
      </c>
      <c r="L2544" s="1" t="s">
        <v>7814</v>
      </c>
      <c r="M2544" s="6" t="str">
        <f>_xlfn.CONCAT(Table1[[#This Row],[Billing Street]], ", ", Table1[[#This Row],[Billing City]], ", ", Table1[[#This Row],[Billing State/Province]], ", ", Table1[[#This Row],[Billing Zip/Postal Code]])</f>
        <v>KAMO Spokane Whse 197 Valley Woods Road Spokane, MO 65754, Spokane, MO, 65754</v>
      </c>
    </row>
    <row r="2545" spans="1:13" ht="15.6" hidden="1" x14ac:dyDescent="0.3">
      <c r="A2545" s="1" t="s">
        <v>7815</v>
      </c>
      <c r="B2545" s="1"/>
      <c r="C2545" s="1"/>
      <c r="D2545" s="1"/>
      <c r="E2545" s="1"/>
      <c r="F2545" s="1"/>
      <c r="G2545" s="1" t="s">
        <v>43</v>
      </c>
      <c r="H2545" s="2">
        <v>5776</v>
      </c>
      <c r="I2545" s="1" t="s">
        <v>13</v>
      </c>
      <c r="J2545" s="1" t="s">
        <v>13</v>
      </c>
      <c r="K2545" s="1" t="s">
        <v>45</v>
      </c>
      <c r="L2545" s="1" t="s">
        <v>13</v>
      </c>
      <c r="M2545" s="6" t="str">
        <f>_xlfn.CONCAT(Table1[[#This Row],[Billing Street]], ", ", Table1[[#This Row],[Billing City]], ", ", Table1[[#This Row],[Billing State/Province]], ", ", Table1[[#This Row],[Billing Zip/Postal Code]])</f>
        <v xml:space="preserve">, , OH, </v>
      </c>
    </row>
    <row r="2546" spans="1:13" ht="15.6" x14ac:dyDescent="0.3">
      <c r="A2546" s="1" t="s">
        <v>7816</v>
      </c>
      <c r="B2546" s="1"/>
      <c r="C2546" s="1"/>
      <c r="D2546" s="1"/>
      <c r="E2546" s="1"/>
      <c r="F2546" s="1"/>
      <c r="G2546" s="1" t="s">
        <v>24</v>
      </c>
      <c r="H2546" s="2">
        <v>264</v>
      </c>
      <c r="I2546" s="1" t="s">
        <v>7817</v>
      </c>
      <c r="J2546" s="1" t="s">
        <v>514</v>
      </c>
      <c r="K2546" s="1" t="s">
        <v>26</v>
      </c>
      <c r="L2546" s="1" t="s">
        <v>515</v>
      </c>
      <c r="M2546" s="6" t="str">
        <f>_xlfn.CONCAT(Table1[[#This Row],[Billing Street]], ", ", Table1[[#This Row],[Billing City]], ", ", Table1[[#This Row],[Billing State/Province]], ", ", Table1[[#This Row],[Billing Zip/Postal Code]])</f>
        <v>2350 Hwy 31 NW, Hartselle, AL, 35640</v>
      </c>
    </row>
    <row r="2547" spans="1:13" ht="15.6" hidden="1" x14ac:dyDescent="0.3">
      <c r="A2547" s="1" t="s">
        <v>7818</v>
      </c>
      <c r="B2547" s="1"/>
      <c r="C2547" s="1"/>
      <c r="D2547" s="1"/>
      <c r="E2547" s="1"/>
      <c r="F2547" s="1"/>
      <c r="G2547" s="1" t="s">
        <v>205</v>
      </c>
      <c r="H2547" s="2">
        <v>7481</v>
      </c>
      <c r="I2547" s="1" t="s">
        <v>13</v>
      </c>
      <c r="J2547" s="1" t="s">
        <v>13</v>
      </c>
      <c r="K2547" s="1" t="s">
        <v>472</v>
      </c>
      <c r="L2547" s="1" t="s">
        <v>13</v>
      </c>
      <c r="M2547" s="6" t="str">
        <f>_xlfn.CONCAT(Table1[[#This Row],[Billing Street]], ", ", Table1[[#This Row],[Billing City]], ", ", Table1[[#This Row],[Billing State/Province]], ", ", Table1[[#This Row],[Billing Zip/Postal Code]])</f>
        <v xml:space="preserve">, , UT, </v>
      </c>
    </row>
    <row r="2548" spans="1:13" ht="15.6" hidden="1" x14ac:dyDescent="0.3">
      <c r="A2548" s="1" t="s">
        <v>7819</v>
      </c>
      <c r="B2548" s="1"/>
      <c r="C2548" s="1"/>
      <c r="D2548" s="1"/>
      <c r="E2548" s="1"/>
      <c r="F2548" s="1"/>
      <c r="G2548" s="1" t="s">
        <v>43</v>
      </c>
      <c r="H2548" s="2">
        <v>211</v>
      </c>
      <c r="I2548" s="1" t="s">
        <v>7820</v>
      </c>
      <c r="J2548" s="1" t="s">
        <v>6256</v>
      </c>
      <c r="K2548" s="1" t="s">
        <v>82</v>
      </c>
      <c r="L2548" s="1" t="s">
        <v>7821</v>
      </c>
      <c r="M2548" s="6" t="str">
        <f>_xlfn.CONCAT(Table1[[#This Row],[Billing Street]], ", ", Table1[[#This Row],[Billing City]], ", ", Table1[[#This Row],[Billing State/Province]], ", ", Table1[[#This Row],[Billing Zip/Postal Code]])</f>
        <v>2000 Bay City Road, Midland, MI, 48642</v>
      </c>
    </row>
    <row r="2549" spans="1:13" ht="15.6" hidden="1" x14ac:dyDescent="0.3">
      <c r="A2549" s="1" t="s">
        <v>7822</v>
      </c>
      <c r="B2549" s="1"/>
      <c r="C2549" s="1"/>
      <c r="D2549" s="1"/>
      <c r="E2549" s="1"/>
      <c r="F2549" s="1"/>
      <c r="G2549" s="1" t="s">
        <v>43</v>
      </c>
      <c r="H2549" s="2">
        <v>176</v>
      </c>
      <c r="I2549" s="1" t="s">
        <v>7823</v>
      </c>
      <c r="J2549" s="1" t="s">
        <v>3372</v>
      </c>
      <c r="K2549" s="1" t="s">
        <v>275</v>
      </c>
      <c r="L2549" s="1" t="s">
        <v>7824</v>
      </c>
      <c r="M2549" s="6" t="str">
        <f>_xlfn.CONCAT(Table1[[#This Row],[Billing Street]], ", ", Table1[[#This Row],[Billing City]], ", ", Table1[[#This Row],[Billing State/Province]], ", ", Table1[[#This Row],[Billing Zip/Postal Code]])</f>
        <v>2288 Sheridan Dr, Buffalo, ny, 14223</v>
      </c>
    </row>
    <row r="2550" spans="1:13" ht="15.6" hidden="1" x14ac:dyDescent="0.3">
      <c r="A2550" s="1" t="s">
        <v>7825</v>
      </c>
      <c r="B2550" s="1"/>
      <c r="C2550" s="1"/>
      <c r="D2550" s="1"/>
      <c r="E2550" s="1"/>
      <c r="F2550" s="1"/>
      <c r="G2550" s="1" t="s">
        <v>43</v>
      </c>
      <c r="H2550" s="2">
        <v>357</v>
      </c>
      <c r="I2550" s="1" t="s">
        <v>7826</v>
      </c>
      <c r="J2550" s="1" t="s">
        <v>7827</v>
      </c>
      <c r="K2550" s="1" t="s">
        <v>152</v>
      </c>
      <c r="L2550" s="1" t="s">
        <v>7828</v>
      </c>
      <c r="M2550" s="6" t="str">
        <f>_xlfn.CONCAT(Table1[[#This Row],[Billing Street]], ", ", Table1[[#This Row],[Billing City]], ", ", Table1[[#This Row],[Billing State/Province]], ", ", Table1[[#This Row],[Billing Zip/Postal Code]])</f>
        <v>2 East Main St., Saint Charles, IL, 60174</v>
      </c>
    </row>
    <row r="2551" spans="1:13" ht="15.6" hidden="1" x14ac:dyDescent="0.3">
      <c r="A2551" s="1" t="s">
        <v>7829</v>
      </c>
      <c r="B2551" s="1"/>
      <c r="C2551" s="1"/>
      <c r="D2551" s="1"/>
      <c r="E2551" s="1"/>
      <c r="F2551" s="1"/>
      <c r="G2551" s="1" t="s">
        <v>43</v>
      </c>
      <c r="H2551" s="2">
        <v>5776</v>
      </c>
      <c r="I2551" s="1" t="s">
        <v>13</v>
      </c>
      <c r="J2551" s="1" t="s">
        <v>7830</v>
      </c>
      <c r="K2551" s="1" t="s">
        <v>152</v>
      </c>
      <c r="L2551" s="1" t="s">
        <v>13</v>
      </c>
      <c r="M2551" s="6" t="str">
        <f>_xlfn.CONCAT(Table1[[#This Row],[Billing Street]], ", ", Table1[[#This Row],[Billing City]], ", ", Table1[[#This Row],[Billing State/Province]], ", ", Table1[[#This Row],[Billing Zip/Postal Code]])</f>
        <v xml:space="preserve">, Wheaton, IL, </v>
      </c>
    </row>
    <row r="2552" spans="1:13" ht="15.6" hidden="1" x14ac:dyDescent="0.3">
      <c r="A2552" s="1" t="s">
        <v>7831</v>
      </c>
      <c r="B2552" s="1"/>
      <c r="C2552" s="1"/>
      <c r="D2552" s="1"/>
      <c r="E2552" s="1"/>
      <c r="F2552" s="1"/>
      <c r="G2552" s="1" t="s">
        <v>54</v>
      </c>
      <c r="H2552" s="2">
        <v>98</v>
      </c>
      <c r="I2552" s="1" t="s">
        <v>7832</v>
      </c>
      <c r="J2552" s="1" t="s">
        <v>1158</v>
      </c>
      <c r="K2552" s="1" t="s">
        <v>57</v>
      </c>
      <c r="L2552" s="1" t="s">
        <v>7833</v>
      </c>
      <c r="M2552" s="6" t="str">
        <f>_xlfn.CONCAT(Table1[[#This Row],[Billing Street]], ", ", Table1[[#This Row],[Billing City]], ", ", Table1[[#This Row],[Billing State/Province]], ", ", Table1[[#This Row],[Billing Zip/Postal Code]])</f>
        <v>16798 West Bernardo Drive, San Diego, CA, 92172</v>
      </c>
    </row>
    <row r="2553" spans="1:13" ht="15.6" hidden="1" x14ac:dyDescent="0.3">
      <c r="A2553" s="1" t="s">
        <v>7834</v>
      </c>
      <c r="B2553" s="1"/>
      <c r="C2553" s="1"/>
      <c r="D2553" s="1"/>
      <c r="E2553" s="1"/>
      <c r="F2553" s="1"/>
      <c r="G2553" s="1" t="s">
        <v>98</v>
      </c>
      <c r="H2553" s="2">
        <v>342</v>
      </c>
      <c r="I2553" s="1" t="s">
        <v>7835</v>
      </c>
      <c r="J2553" s="1" t="s">
        <v>5019</v>
      </c>
      <c r="K2553" s="1" t="s">
        <v>1135</v>
      </c>
      <c r="L2553" s="1" t="s">
        <v>7836</v>
      </c>
      <c r="M2553" s="6" t="str">
        <f>_xlfn.CONCAT(Table1[[#This Row],[Billing Street]], ", ", Table1[[#This Row],[Billing City]], ", ", Table1[[#This Row],[Billing State/Province]], ", ", Table1[[#This Row],[Billing Zip/Postal Code]])</f>
        <v>295 S. Bellevue Blvd. Suite 2, Memphis, TN, 38104</v>
      </c>
    </row>
    <row r="2554" spans="1:13" ht="15.6" hidden="1" x14ac:dyDescent="0.3">
      <c r="A2554" s="1" t="s">
        <v>7837</v>
      </c>
      <c r="B2554" s="1"/>
      <c r="C2554" s="1"/>
      <c r="D2554" s="1"/>
      <c r="E2554" s="1"/>
      <c r="F2554" s="1"/>
      <c r="G2554" s="1" t="s">
        <v>43</v>
      </c>
      <c r="H2554" s="2">
        <v>5776</v>
      </c>
      <c r="I2554" s="1" t="s">
        <v>13</v>
      </c>
      <c r="J2554" s="1" t="s">
        <v>13</v>
      </c>
      <c r="K2554" s="1" t="s">
        <v>45</v>
      </c>
      <c r="L2554" s="1" t="s">
        <v>13</v>
      </c>
      <c r="M2554" s="6" t="str">
        <f>_xlfn.CONCAT(Table1[[#This Row],[Billing Street]], ", ", Table1[[#This Row],[Billing City]], ", ", Table1[[#This Row],[Billing State/Province]], ", ", Table1[[#This Row],[Billing Zip/Postal Code]])</f>
        <v xml:space="preserve">, , OH, </v>
      </c>
    </row>
    <row r="2555" spans="1:13" ht="15.6" hidden="1" x14ac:dyDescent="0.3">
      <c r="A2555" s="1" t="s">
        <v>7838</v>
      </c>
      <c r="B2555" s="1"/>
      <c r="C2555" s="1"/>
      <c r="D2555" s="1"/>
      <c r="E2555" s="1"/>
      <c r="F2555" s="1"/>
      <c r="G2555" s="1" t="s">
        <v>98</v>
      </c>
      <c r="H2555" s="2">
        <v>105</v>
      </c>
      <c r="I2555" s="1" t="s">
        <v>7839</v>
      </c>
      <c r="J2555" s="1" t="s">
        <v>711</v>
      </c>
      <c r="K2555" s="1" t="s">
        <v>101</v>
      </c>
      <c r="L2555" s="1" t="s">
        <v>7840</v>
      </c>
      <c r="M2555" s="6" t="str">
        <f>_xlfn.CONCAT(Table1[[#This Row],[Billing Street]], ", ", Table1[[#This Row],[Billing City]], ", ", Table1[[#This Row],[Billing State/Province]], ", ", Table1[[#This Row],[Billing Zip/Postal Code]])</f>
        <v>2300 Second Avenue, Columbus, GA, 31902</v>
      </c>
    </row>
    <row r="2556" spans="1:13" ht="15.6" hidden="1" x14ac:dyDescent="0.3">
      <c r="A2556" s="1" t="s">
        <v>7841</v>
      </c>
      <c r="B2556" s="1"/>
      <c r="C2556" s="1"/>
      <c r="D2556" s="1"/>
      <c r="E2556" s="1"/>
      <c r="F2556" s="1"/>
      <c r="G2556" s="1" t="s">
        <v>205</v>
      </c>
      <c r="H2556" s="2">
        <v>525</v>
      </c>
      <c r="I2556" s="1" t="s">
        <v>7842</v>
      </c>
      <c r="J2556" s="1" t="s">
        <v>7843</v>
      </c>
      <c r="K2556" s="1" t="s">
        <v>472</v>
      </c>
      <c r="L2556" s="1" t="s">
        <v>7844</v>
      </c>
      <c r="M2556" s="6" t="str">
        <f>_xlfn.CONCAT(Table1[[#This Row],[Billing Street]], ", ", Table1[[#This Row],[Billing City]], ", ", Table1[[#This Row],[Billing State/Province]], ", ", Table1[[#This Row],[Billing Zip/Postal Code]])</f>
        <v>90 West Young Street, Morgan, UT, 84050</v>
      </c>
    </row>
    <row r="2557" spans="1:13" ht="15.6" hidden="1" x14ac:dyDescent="0.3">
      <c r="A2557" s="1" t="s">
        <v>7845</v>
      </c>
      <c r="B2557" s="1"/>
      <c r="C2557" s="1"/>
      <c r="D2557" s="1"/>
      <c r="E2557" s="1"/>
      <c r="F2557" s="1"/>
      <c r="G2557" s="1" t="s">
        <v>43</v>
      </c>
      <c r="H2557" s="2">
        <v>15</v>
      </c>
      <c r="I2557" s="1" t="s">
        <v>7846</v>
      </c>
      <c r="J2557" s="1" t="s">
        <v>104</v>
      </c>
      <c r="K2557" s="1" t="s">
        <v>45</v>
      </c>
      <c r="L2557" s="1" t="s">
        <v>7847</v>
      </c>
      <c r="M2557" s="6" t="str">
        <f>_xlfn.CONCAT(Table1[[#This Row],[Billing Street]], ", ", Table1[[#This Row],[Billing City]], ", ", Table1[[#This Row],[Billing State/Province]], ", ", Table1[[#This Row],[Billing Zip/Postal Code]])</f>
        <v>3060 Eggers Avenue, Cleveland, OH, 44105</v>
      </c>
    </row>
    <row r="2558" spans="1:13" ht="15.6" hidden="1" x14ac:dyDescent="0.3">
      <c r="A2558" s="1" t="s">
        <v>7848</v>
      </c>
      <c r="B2558" s="1"/>
      <c r="C2558" s="1"/>
      <c r="D2558" s="1"/>
      <c r="E2558" s="1"/>
      <c r="F2558" s="1"/>
      <c r="G2558" s="1" t="s">
        <v>8</v>
      </c>
      <c r="H2558" s="2">
        <v>314</v>
      </c>
      <c r="I2558" s="1" t="s">
        <v>7849</v>
      </c>
      <c r="J2558" s="1" t="s">
        <v>900</v>
      </c>
      <c r="K2558" s="1" t="s">
        <v>11</v>
      </c>
      <c r="L2558" s="1" t="s">
        <v>7850</v>
      </c>
      <c r="M2558" s="6" t="str">
        <f>_xlfn.CONCAT(Table1[[#This Row],[Billing Street]], ", ", Table1[[#This Row],[Billing City]], ", ", Table1[[#This Row],[Billing State/Province]], ", ", Table1[[#This Row],[Billing Zip/Postal Code]])</f>
        <v>4400 Geraldine Avenue, St Louis, MO, 63115</v>
      </c>
    </row>
    <row r="2559" spans="1:13" ht="15.6" hidden="1" x14ac:dyDescent="0.3">
      <c r="A2559" s="1" t="s">
        <v>7851</v>
      </c>
      <c r="B2559" s="1"/>
      <c r="C2559" s="1"/>
      <c r="D2559" s="1"/>
      <c r="E2559" s="1"/>
      <c r="F2559" s="1"/>
      <c r="G2559" s="1" t="s">
        <v>43</v>
      </c>
      <c r="H2559" s="2">
        <v>8</v>
      </c>
      <c r="I2559" s="1" t="s">
        <v>7852</v>
      </c>
      <c r="J2559" s="1" t="s">
        <v>4465</v>
      </c>
      <c r="K2559" s="1" t="s">
        <v>45</v>
      </c>
      <c r="L2559" s="1" t="s">
        <v>7853</v>
      </c>
      <c r="M2559" s="6" t="str">
        <f>_xlfn.CONCAT(Table1[[#This Row],[Billing Street]], ", ", Table1[[#This Row],[Billing City]], ", ", Table1[[#This Row],[Billing State/Province]], ", ", Table1[[#This Row],[Billing Zip/Postal Code]])</f>
        <v>1220 Hudson Gate Drive, Hudson, OH, 44236</v>
      </c>
    </row>
    <row r="2560" spans="1:13" ht="15.6" hidden="1" x14ac:dyDescent="0.3">
      <c r="A2560" s="1" t="s">
        <v>7854</v>
      </c>
      <c r="B2560" s="1"/>
      <c r="C2560" s="1"/>
      <c r="D2560" s="1"/>
      <c r="E2560" s="1"/>
      <c r="F2560" s="1"/>
      <c r="G2560" s="1" t="s">
        <v>43</v>
      </c>
      <c r="H2560" s="2">
        <v>5776</v>
      </c>
      <c r="I2560" s="1" t="s">
        <v>13</v>
      </c>
      <c r="J2560" s="1" t="s">
        <v>13</v>
      </c>
      <c r="K2560" s="1" t="s">
        <v>45</v>
      </c>
      <c r="L2560" s="1" t="s">
        <v>13</v>
      </c>
      <c r="M2560" s="6" t="str">
        <f>_xlfn.CONCAT(Table1[[#This Row],[Billing Street]], ", ", Table1[[#This Row],[Billing City]], ", ", Table1[[#This Row],[Billing State/Province]], ", ", Table1[[#This Row],[Billing Zip/Postal Code]])</f>
        <v xml:space="preserve">, , OH, </v>
      </c>
    </row>
    <row r="2561" spans="1:13" ht="15.6" hidden="1" x14ac:dyDescent="0.3">
      <c r="A2561" s="1" t="s">
        <v>7855</v>
      </c>
      <c r="B2561" s="1"/>
      <c r="C2561" s="1"/>
      <c r="D2561" s="1"/>
      <c r="E2561" s="1"/>
      <c r="F2561" s="1"/>
      <c r="G2561" s="1" t="s">
        <v>8</v>
      </c>
      <c r="H2561" s="2">
        <v>417</v>
      </c>
      <c r="I2561" s="1" t="s">
        <v>7856</v>
      </c>
      <c r="J2561" s="1" t="s">
        <v>6047</v>
      </c>
      <c r="K2561" s="1" t="s">
        <v>554</v>
      </c>
      <c r="L2561" s="1" t="s">
        <v>6048</v>
      </c>
      <c r="M2561" s="6" t="str">
        <f>_xlfn.CONCAT(Table1[[#This Row],[Billing Street]], ", ", Table1[[#This Row],[Billing City]], ", ", Table1[[#This Row],[Billing State/Province]], ", ", Table1[[#This Row],[Billing Zip/Postal Code]])</f>
        <v>14409 N Interstate 27, Lubbock, KS, 79408</v>
      </c>
    </row>
    <row r="2562" spans="1:13" ht="15.6" hidden="1" x14ac:dyDescent="0.3">
      <c r="A2562" s="1" t="s">
        <v>7857</v>
      </c>
      <c r="B2562" s="1"/>
      <c r="C2562" s="1"/>
      <c r="D2562" s="1"/>
      <c r="E2562" s="1"/>
      <c r="F2562" s="1"/>
      <c r="G2562" s="1" t="s">
        <v>54</v>
      </c>
      <c r="H2562" s="2">
        <v>948</v>
      </c>
      <c r="I2562" s="1" t="s">
        <v>7858</v>
      </c>
      <c r="J2562" s="1" t="s">
        <v>7859</v>
      </c>
      <c r="K2562" s="1" t="s">
        <v>405</v>
      </c>
      <c r="L2562" s="1" t="s">
        <v>7860</v>
      </c>
      <c r="M2562" s="6" t="str">
        <f>_xlfn.CONCAT(Table1[[#This Row],[Billing Street]], ", ", Table1[[#This Row],[Billing City]], ", ", Table1[[#This Row],[Billing State/Province]], ", ", Table1[[#This Row],[Billing Zip/Postal Code]])</f>
        <v>13628 229th Drive SE, ISSAQUAH, WA, 98027</v>
      </c>
    </row>
    <row r="2563" spans="1:13" ht="15.6" x14ac:dyDescent="0.3">
      <c r="A2563" s="1" t="s">
        <v>7861</v>
      </c>
      <c r="B2563" s="1"/>
      <c r="C2563" s="1"/>
      <c r="D2563" s="1"/>
      <c r="E2563" s="1"/>
      <c r="F2563" s="1"/>
      <c r="G2563" s="1" t="s">
        <v>24</v>
      </c>
      <c r="H2563" s="2">
        <v>74</v>
      </c>
      <c r="I2563" s="1" t="s">
        <v>7862</v>
      </c>
      <c r="J2563" s="1" t="s">
        <v>715</v>
      </c>
      <c r="K2563" s="1" t="s">
        <v>36</v>
      </c>
      <c r="L2563" s="1" t="s">
        <v>7863</v>
      </c>
      <c r="M2563" s="6" t="str">
        <f>_xlfn.CONCAT(Table1[[#This Row],[Billing Street]], ", ", Table1[[#This Row],[Billing City]], ", ", Table1[[#This Row],[Billing State/Province]], ", ", Table1[[#This Row],[Billing Zip/Postal Code]])</f>
        <v>280 Taylor Rd, Pensacola, FL, 32508</v>
      </c>
    </row>
    <row r="2564" spans="1:13" ht="15.6" hidden="1" x14ac:dyDescent="0.3">
      <c r="A2564" s="1" t="s">
        <v>7864</v>
      </c>
      <c r="B2564" s="1"/>
      <c r="C2564" s="1"/>
      <c r="D2564" s="1"/>
      <c r="E2564" s="1"/>
      <c r="F2564" s="1"/>
      <c r="G2564" s="1" t="s">
        <v>54</v>
      </c>
      <c r="H2564" s="2">
        <v>98</v>
      </c>
      <c r="I2564" s="1" t="s">
        <v>7832</v>
      </c>
      <c r="J2564" s="1" t="s">
        <v>1158</v>
      </c>
      <c r="K2564" s="1" t="s">
        <v>57</v>
      </c>
      <c r="L2564" s="1" t="s">
        <v>7865</v>
      </c>
      <c r="M2564" s="6" t="str">
        <f>_xlfn.CONCAT(Table1[[#This Row],[Billing Street]], ", ", Table1[[#This Row],[Billing City]], ", ", Table1[[#This Row],[Billing State/Province]], ", ", Table1[[#This Row],[Billing Zip/Postal Code]])</f>
        <v>16798 West Bernardo Drive, San Diego, CA, 92127</v>
      </c>
    </row>
    <row r="2565" spans="1:13" ht="15.6" x14ac:dyDescent="0.3">
      <c r="A2565" s="1" t="s">
        <v>1948</v>
      </c>
      <c r="B2565" s="1"/>
      <c r="C2565" s="1"/>
      <c r="D2565" s="1"/>
      <c r="E2565" s="1"/>
      <c r="F2565" s="1"/>
      <c r="G2565" s="1" t="s">
        <v>24</v>
      </c>
      <c r="H2565" s="2">
        <v>55</v>
      </c>
      <c r="I2565" s="1" t="s">
        <v>7866</v>
      </c>
      <c r="J2565" s="1" t="s">
        <v>1948</v>
      </c>
      <c r="K2565" s="1" t="s">
        <v>36</v>
      </c>
      <c r="L2565" s="1" t="s">
        <v>1949</v>
      </c>
      <c r="M2565" s="6" t="str">
        <f>_xlfn.CONCAT(Table1[[#This Row],[Billing Street]], ", ", Table1[[#This Row],[Billing City]], ", ", Table1[[#This Row],[Billing State/Province]], ", ", Table1[[#This Row],[Billing Zip/Postal Code]])</f>
        <v>501 Illinois Ave #144, Tyndall AFB, FL, 32403</v>
      </c>
    </row>
    <row r="2566" spans="1:13" ht="15.6" hidden="1" x14ac:dyDescent="0.3">
      <c r="A2566" s="1" t="s">
        <v>7867</v>
      </c>
      <c r="B2566" s="1"/>
      <c r="C2566" s="1"/>
      <c r="D2566" s="1"/>
      <c r="E2566" s="1"/>
      <c r="F2566" s="1"/>
      <c r="G2566" s="1" t="s">
        <v>43</v>
      </c>
      <c r="H2566" s="2">
        <v>5776</v>
      </c>
      <c r="I2566" s="1" t="s">
        <v>13</v>
      </c>
      <c r="J2566" s="1" t="s">
        <v>13</v>
      </c>
      <c r="K2566" s="1" t="s">
        <v>45</v>
      </c>
      <c r="L2566" s="1" t="s">
        <v>13</v>
      </c>
      <c r="M2566" s="6" t="str">
        <f>_xlfn.CONCAT(Table1[[#This Row],[Billing Street]], ", ", Table1[[#This Row],[Billing City]], ", ", Table1[[#This Row],[Billing State/Province]], ", ", Table1[[#This Row],[Billing Zip/Postal Code]])</f>
        <v xml:space="preserve">, , OH, </v>
      </c>
    </row>
    <row r="2567" spans="1:13" ht="15.6" hidden="1" x14ac:dyDescent="0.3">
      <c r="A2567" s="1" t="s">
        <v>7868</v>
      </c>
      <c r="B2567" s="1"/>
      <c r="C2567" s="1"/>
      <c r="D2567" s="1"/>
      <c r="E2567" s="1"/>
      <c r="F2567" s="1"/>
      <c r="G2567" s="1" t="s">
        <v>8</v>
      </c>
      <c r="H2567" s="2">
        <v>252</v>
      </c>
      <c r="I2567" s="1" t="s">
        <v>7869</v>
      </c>
      <c r="J2567" s="1" t="s">
        <v>7870</v>
      </c>
      <c r="K2567" s="1" t="s">
        <v>198</v>
      </c>
      <c r="L2567" s="1" t="s">
        <v>7871</v>
      </c>
      <c r="M2567" s="6" t="str">
        <f>_xlfn.CONCAT(Table1[[#This Row],[Billing Street]], ", ", Table1[[#This Row],[Billing City]], ", ", Table1[[#This Row],[Billing State/Province]], ", ", Table1[[#This Row],[Billing Zip/Postal Code]])</f>
        <v>100 Central Ave, Nebraska City, NE, 68410</v>
      </c>
    </row>
    <row r="2568" spans="1:13" ht="15.6" hidden="1" x14ac:dyDescent="0.3">
      <c r="A2568" s="1" t="s">
        <v>7872</v>
      </c>
      <c r="B2568" s="1"/>
      <c r="C2568" s="1"/>
      <c r="D2568" s="1"/>
      <c r="E2568" s="1"/>
      <c r="F2568" s="1"/>
      <c r="G2568" s="1" t="s">
        <v>43</v>
      </c>
      <c r="H2568" s="2">
        <v>166</v>
      </c>
      <c r="I2568" s="1" t="s">
        <v>7873</v>
      </c>
      <c r="J2568" s="1" t="s">
        <v>7874</v>
      </c>
      <c r="K2568" s="1" t="s">
        <v>45</v>
      </c>
      <c r="L2568" s="1" t="s">
        <v>7875</v>
      </c>
      <c r="M2568" s="6" t="str">
        <f>_xlfn.CONCAT(Table1[[#This Row],[Billing Street]], ", ", Table1[[#This Row],[Billing City]], ", ", Table1[[#This Row],[Billing State/Province]], ", ", Table1[[#This Row],[Billing Zip/Postal Code]])</f>
        <v>285 N. Ohio Street, Minster, OH, 45865</v>
      </c>
    </row>
    <row r="2569" spans="1:13" ht="15.6" hidden="1" x14ac:dyDescent="0.3">
      <c r="A2569" s="1" t="s">
        <v>7876</v>
      </c>
      <c r="B2569" s="1"/>
      <c r="C2569" s="1"/>
      <c r="D2569" s="1"/>
      <c r="E2569" s="1"/>
      <c r="F2569" s="1"/>
      <c r="G2569" s="1" t="s">
        <v>43</v>
      </c>
      <c r="H2569" s="2">
        <v>272</v>
      </c>
      <c r="I2569" s="1" t="s">
        <v>7877</v>
      </c>
      <c r="J2569" s="1" t="s">
        <v>261</v>
      </c>
      <c r="K2569" s="1" t="s">
        <v>237</v>
      </c>
      <c r="L2569" s="1" t="s">
        <v>7878</v>
      </c>
      <c r="M2569" s="6" t="str">
        <f>_xlfn.CONCAT(Table1[[#This Row],[Billing Street]], ", ", Table1[[#This Row],[Billing City]], ", ", Table1[[#This Row],[Billing State/Province]], ", ", Table1[[#This Row],[Billing Zip/Postal Code]])</f>
        <v>6520 Corporate Drive, Indianapolis, IN, 46278</v>
      </c>
    </row>
    <row r="2570" spans="1:13" ht="15.6" x14ac:dyDescent="0.3">
      <c r="A2570" s="1" t="s">
        <v>7879</v>
      </c>
      <c r="B2570" s="1"/>
      <c r="C2570" s="1"/>
      <c r="D2570" s="1"/>
      <c r="E2570" s="1"/>
      <c r="F2570" s="1"/>
      <c r="G2570" s="1" t="s">
        <v>24</v>
      </c>
      <c r="H2570" s="2">
        <v>57</v>
      </c>
      <c r="I2570" s="1" t="s">
        <v>7880</v>
      </c>
      <c r="J2570" s="1" t="s">
        <v>7881</v>
      </c>
      <c r="K2570" s="1" t="s">
        <v>36</v>
      </c>
      <c r="L2570" s="1" t="s">
        <v>7882</v>
      </c>
      <c r="M2570" s="6" t="str">
        <f>_xlfn.CONCAT(Table1[[#This Row],[Billing Street]], ", ", Table1[[#This Row],[Billing City]], ", ", Table1[[#This Row],[Billing State/Province]], ", ", Table1[[#This Row],[Billing Zip/Postal Code]])</f>
        <v>3700 Williams Dr, Marianna, FL, 32446</v>
      </c>
    </row>
    <row r="2571" spans="1:13" ht="15.6" hidden="1" x14ac:dyDescent="0.3">
      <c r="A2571" s="1" t="s">
        <v>7883</v>
      </c>
      <c r="B2571" s="1"/>
      <c r="C2571" s="1"/>
      <c r="D2571" s="1"/>
      <c r="E2571" s="1"/>
      <c r="F2571" s="1"/>
      <c r="G2571" s="1" t="s">
        <v>43</v>
      </c>
      <c r="H2571" s="2">
        <v>123</v>
      </c>
      <c r="I2571" s="1" t="s">
        <v>7884</v>
      </c>
      <c r="J2571" s="1" t="s">
        <v>7885</v>
      </c>
      <c r="K2571" s="1" t="s">
        <v>45</v>
      </c>
      <c r="L2571" s="1" t="s">
        <v>7886</v>
      </c>
      <c r="M2571" s="6" t="str">
        <f>_xlfn.CONCAT(Table1[[#This Row],[Billing Street]], ", ", Table1[[#This Row],[Billing City]], ", ", Table1[[#This Row],[Billing State/Province]], ", ", Table1[[#This Row],[Billing Zip/Postal Code]])</f>
        <v>1210 W. Lima Street, Kenton, OH, 43326</v>
      </c>
    </row>
    <row r="2572" spans="1:13" ht="15.6" hidden="1" x14ac:dyDescent="0.3">
      <c r="A2572" s="1" t="s">
        <v>7887</v>
      </c>
      <c r="B2572" s="1"/>
      <c r="C2572" s="1"/>
      <c r="D2572" s="1"/>
      <c r="E2572" s="1"/>
      <c r="F2572" s="1"/>
      <c r="G2572" s="1" t="s">
        <v>43</v>
      </c>
      <c r="H2572" s="2">
        <v>5776</v>
      </c>
      <c r="I2572" s="1" t="s">
        <v>13</v>
      </c>
      <c r="J2572" s="1" t="s">
        <v>13</v>
      </c>
      <c r="K2572" s="1" t="s">
        <v>45</v>
      </c>
      <c r="L2572" s="1" t="s">
        <v>13</v>
      </c>
      <c r="M2572" s="6" t="str">
        <f>_xlfn.CONCAT(Table1[[#This Row],[Billing Street]], ", ", Table1[[#This Row],[Billing City]], ", ", Table1[[#This Row],[Billing State/Province]], ", ", Table1[[#This Row],[Billing Zip/Postal Code]])</f>
        <v xml:space="preserve">, , OH, </v>
      </c>
    </row>
    <row r="2573" spans="1:13" ht="15.6" hidden="1" x14ac:dyDescent="0.3">
      <c r="A2573" s="1" t="s">
        <v>7888</v>
      </c>
      <c r="B2573" s="1"/>
      <c r="C2573" s="1"/>
      <c r="D2573" s="1"/>
      <c r="E2573" s="1"/>
      <c r="F2573" s="1"/>
      <c r="G2573" s="1" t="s">
        <v>43</v>
      </c>
      <c r="H2573" s="2">
        <v>148</v>
      </c>
      <c r="I2573" s="1" t="s">
        <v>7889</v>
      </c>
      <c r="J2573" s="1" t="s">
        <v>7890</v>
      </c>
      <c r="K2573" s="1" t="s">
        <v>45</v>
      </c>
      <c r="L2573" s="1" t="s">
        <v>7891</v>
      </c>
      <c r="M2573" s="6" t="str">
        <f>_xlfn.CONCAT(Table1[[#This Row],[Billing Street]], ", ", Table1[[#This Row],[Billing City]], ", ", Table1[[#This Row],[Billing State/Province]], ", ", Table1[[#This Row],[Billing Zip/Postal Code]])</f>
        <v>122 E. Pike St.PO Box 819, Jackson Center, OH, 45334</v>
      </c>
    </row>
    <row r="2574" spans="1:13" ht="15.6" hidden="1" x14ac:dyDescent="0.3">
      <c r="A2574" s="1" t="s">
        <v>7892</v>
      </c>
      <c r="B2574" s="1"/>
      <c r="C2574" s="1"/>
      <c r="D2574" s="1"/>
      <c r="E2574" s="1"/>
      <c r="F2574" s="1"/>
      <c r="G2574" s="1" t="s">
        <v>43</v>
      </c>
      <c r="H2574" s="2">
        <v>5776</v>
      </c>
      <c r="I2574" s="1" t="s">
        <v>13</v>
      </c>
      <c r="J2574" s="1" t="s">
        <v>13</v>
      </c>
      <c r="K2574" s="1" t="s">
        <v>45</v>
      </c>
      <c r="L2574" s="1" t="s">
        <v>13</v>
      </c>
      <c r="M2574" s="6" t="str">
        <f>_xlfn.CONCAT(Table1[[#This Row],[Billing Street]], ", ", Table1[[#This Row],[Billing City]], ", ", Table1[[#This Row],[Billing State/Province]], ", ", Table1[[#This Row],[Billing Zip/Postal Code]])</f>
        <v xml:space="preserve">, , OH, </v>
      </c>
    </row>
    <row r="2575" spans="1:13" ht="15.6" hidden="1" x14ac:dyDescent="0.3">
      <c r="A2575" s="1" t="s">
        <v>7893</v>
      </c>
      <c r="B2575" s="1"/>
      <c r="C2575" s="1"/>
      <c r="D2575" s="1"/>
      <c r="E2575" s="1"/>
      <c r="F2575" s="1"/>
      <c r="G2575" s="1" t="s">
        <v>8</v>
      </c>
      <c r="H2575" s="2">
        <v>561</v>
      </c>
      <c r="I2575" s="1" t="s">
        <v>7894</v>
      </c>
      <c r="J2575" s="1" t="s">
        <v>7895</v>
      </c>
      <c r="K2575" s="1" t="s">
        <v>128</v>
      </c>
      <c r="L2575" s="1" t="s">
        <v>7896</v>
      </c>
      <c r="M2575" s="6" t="str">
        <f>_xlfn.CONCAT(Table1[[#This Row],[Billing Street]], ", ", Table1[[#This Row],[Billing City]], ", ", Table1[[#This Row],[Billing State/Province]], ", ", Table1[[#This Row],[Billing Zip/Postal Code]])</f>
        <v>11 Bridge Ave. West, Delano, MN, 55328</v>
      </c>
    </row>
    <row r="2576" spans="1:13" ht="15.6" hidden="1" x14ac:dyDescent="0.3">
      <c r="A2576" s="1" t="s">
        <v>7897</v>
      </c>
      <c r="B2576" s="1"/>
      <c r="C2576" s="1"/>
      <c r="D2576" s="1"/>
      <c r="E2576" s="1"/>
      <c r="F2576" s="1"/>
      <c r="G2576" s="1" t="s">
        <v>43</v>
      </c>
      <c r="H2576" s="2">
        <v>5776</v>
      </c>
      <c r="I2576" s="1" t="s">
        <v>13</v>
      </c>
      <c r="J2576" s="1" t="s">
        <v>13</v>
      </c>
      <c r="K2576" s="1" t="s">
        <v>45</v>
      </c>
      <c r="L2576" s="1" t="s">
        <v>13</v>
      </c>
      <c r="M2576" s="6" t="str">
        <f>_xlfn.CONCAT(Table1[[#This Row],[Billing Street]], ", ", Table1[[#This Row],[Billing City]], ", ", Table1[[#This Row],[Billing State/Province]], ", ", Table1[[#This Row],[Billing Zip/Postal Code]])</f>
        <v xml:space="preserve">, , OH, </v>
      </c>
    </row>
    <row r="2577" spans="1:13" ht="15.6" hidden="1" x14ac:dyDescent="0.3">
      <c r="A2577" s="1" t="s">
        <v>7898</v>
      </c>
      <c r="B2577" s="1"/>
      <c r="C2577" s="1"/>
      <c r="D2577" s="1"/>
      <c r="E2577" s="1"/>
      <c r="F2577" s="1"/>
      <c r="G2577" s="1" t="s">
        <v>43</v>
      </c>
      <c r="H2577" s="2">
        <v>5776</v>
      </c>
      <c r="I2577" s="1" t="s">
        <v>13</v>
      </c>
      <c r="J2577" s="1" t="s">
        <v>7899</v>
      </c>
      <c r="K2577" s="1" t="s">
        <v>45</v>
      </c>
      <c r="L2577" s="1" t="s">
        <v>13</v>
      </c>
      <c r="M2577" s="6" t="str">
        <f>_xlfn.CONCAT(Table1[[#This Row],[Billing Street]], ", ", Table1[[#This Row],[Billing City]], ", ", Table1[[#This Row],[Billing State/Province]], ", ", Table1[[#This Row],[Billing Zip/Postal Code]])</f>
        <v xml:space="preserve">, Ripley, OH, </v>
      </c>
    </row>
    <row r="2578" spans="1:13" ht="15.6" x14ac:dyDescent="0.3">
      <c r="A2578" s="1" t="s">
        <v>7900</v>
      </c>
      <c r="B2578" s="1"/>
      <c r="C2578" s="1"/>
      <c r="D2578" s="1"/>
      <c r="E2578" s="1"/>
      <c r="F2578" s="1"/>
      <c r="G2578" s="1" t="s">
        <v>24</v>
      </c>
      <c r="H2578" s="2">
        <v>5988</v>
      </c>
      <c r="I2578" s="1" t="s">
        <v>7901</v>
      </c>
      <c r="J2578" s="1" t="s">
        <v>530</v>
      </c>
      <c r="K2578" s="1" t="s">
        <v>26</v>
      </c>
      <c r="L2578" s="1" t="s">
        <v>7902</v>
      </c>
      <c r="M2578" s="6" t="str">
        <f>_xlfn.CONCAT(Table1[[#This Row],[Billing Street]], ", ", Table1[[#This Row],[Billing City]], ", ", Table1[[#This Row],[Billing State/Province]], ", ", Table1[[#This Row],[Billing Zip/Postal Code]])</f>
        <v>1638 Industrial Rd, McIntosh, AL, 3655</v>
      </c>
    </row>
    <row r="2579" spans="1:13" ht="15.6" x14ac:dyDescent="0.3">
      <c r="A2579" s="1" t="s">
        <v>7903</v>
      </c>
      <c r="B2579" s="1"/>
      <c r="C2579" s="1"/>
      <c r="D2579" s="1"/>
      <c r="E2579" s="1"/>
      <c r="F2579" s="1"/>
      <c r="G2579" s="1" t="s">
        <v>24</v>
      </c>
      <c r="H2579" s="2">
        <v>5988</v>
      </c>
      <c r="I2579" s="1" t="s">
        <v>7904</v>
      </c>
      <c r="J2579" s="1" t="s">
        <v>530</v>
      </c>
      <c r="K2579" s="1" t="s">
        <v>26</v>
      </c>
      <c r="L2579" s="1" t="s">
        <v>7905</v>
      </c>
      <c r="M2579" s="6" t="str">
        <f>_xlfn.CONCAT(Table1[[#This Row],[Billing Street]], ", ", Table1[[#This Row],[Billing City]], ", ", Table1[[#This Row],[Billing State/Province]], ", ", Table1[[#This Row],[Billing Zip/Postal Code]])</f>
        <v>555 Huntsman Rd, McIntosh, AL, 36653</v>
      </c>
    </row>
    <row r="2580" spans="1:13" ht="15.6" hidden="1" x14ac:dyDescent="0.3">
      <c r="A2580" s="1" t="s">
        <v>7906</v>
      </c>
      <c r="B2580" s="1"/>
      <c r="C2580" s="1"/>
      <c r="D2580" s="1"/>
      <c r="E2580" s="1"/>
      <c r="F2580" s="1"/>
      <c r="G2580" s="1" t="s">
        <v>43</v>
      </c>
      <c r="H2580" s="2">
        <v>5776</v>
      </c>
      <c r="I2580" s="1" t="s">
        <v>13</v>
      </c>
      <c r="J2580" s="1" t="s">
        <v>13</v>
      </c>
      <c r="K2580" s="1" t="s">
        <v>45</v>
      </c>
      <c r="L2580" s="1" t="s">
        <v>13</v>
      </c>
      <c r="M2580" s="6" t="str">
        <f>_xlfn.CONCAT(Table1[[#This Row],[Billing Street]], ", ", Table1[[#This Row],[Billing City]], ", ", Table1[[#This Row],[Billing State/Province]], ", ", Table1[[#This Row],[Billing Zip/Postal Code]])</f>
        <v xml:space="preserve">, , OH, </v>
      </c>
    </row>
    <row r="2581" spans="1:13" ht="15.6" hidden="1" x14ac:dyDescent="0.3">
      <c r="A2581" s="1" t="s">
        <v>7907</v>
      </c>
      <c r="B2581" s="1"/>
      <c r="C2581" s="1"/>
      <c r="D2581" s="1"/>
      <c r="E2581" s="1"/>
      <c r="F2581" s="1"/>
      <c r="G2581" s="1" t="s">
        <v>43</v>
      </c>
      <c r="H2581" s="2">
        <v>308</v>
      </c>
      <c r="I2581" s="1" t="s">
        <v>7908</v>
      </c>
      <c r="J2581" s="1" t="s">
        <v>7909</v>
      </c>
      <c r="K2581" s="1" t="s">
        <v>241</v>
      </c>
      <c r="L2581" s="1" t="s">
        <v>7910</v>
      </c>
      <c r="M2581" s="6" t="str">
        <f>_xlfn.CONCAT(Table1[[#This Row],[Billing Street]], ", ", Table1[[#This Row],[Billing City]], ", ", Table1[[#This Row],[Billing State/Province]], ", ", Table1[[#This Row],[Billing Zip/Postal Code]])</f>
        <v>9999 Hamilton Blvd.  Five TEK Park, Breinigsville, PA, 18031</v>
      </c>
    </row>
    <row r="2582" spans="1:13" ht="15.6" x14ac:dyDescent="0.3">
      <c r="A2582" s="1" t="s">
        <v>7911</v>
      </c>
      <c r="B2582" s="1"/>
      <c r="C2582" s="1"/>
      <c r="D2582" s="1"/>
      <c r="E2582" s="1"/>
      <c r="F2582" s="1"/>
      <c r="G2582" s="1" t="s">
        <v>24</v>
      </c>
      <c r="H2582" s="2">
        <v>5988</v>
      </c>
      <c r="I2582" s="1" t="s">
        <v>7912</v>
      </c>
      <c r="J2582" s="1" t="s">
        <v>25</v>
      </c>
      <c r="K2582" s="1" t="s">
        <v>26</v>
      </c>
      <c r="L2582" s="1" t="s">
        <v>7913</v>
      </c>
      <c r="M2582" s="6" t="str">
        <f>_xlfn.CONCAT(Table1[[#This Row],[Billing Street]], ", ", Table1[[#This Row],[Billing City]], ", ", Table1[[#This Row],[Billing State/Province]], ", ", Table1[[#This Row],[Billing Zip/Postal Code]])</f>
        <v>215 Folmar Parkway, Montgomery, AL, 36105</v>
      </c>
    </row>
    <row r="2583" spans="1:13" ht="15.6" x14ac:dyDescent="0.3">
      <c r="A2583" s="1" t="s">
        <v>7914</v>
      </c>
      <c r="B2583" s="1"/>
      <c r="C2583" s="1"/>
      <c r="D2583" s="1"/>
      <c r="E2583" s="1"/>
      <c r="F2583" s="1"/>
      <c r="G2583" s="1" t="s">
        <v>24</v>
      </c>
      <c r="H2583" s="2">
        <v>28</v>
      </c>
      <c r="I2583" s="1" t="s">
        <v>7915</v>
      </c>
      <c r="J2583" s="1" t="s">
        <v>381</v>
      </c>
      <c r="K2583" s="1" t="s">
        <v>36</v>
      </c>
      <c r="L2583" s="1" t="s">
        <v>4049</v>
      </c>
      <c r="M2583" s="6" t="str">
        <f>_xlfn.CONCAT(Table1[[#This Row],[Billing Street]], ", ", Table1[[#This Row],[Billing City]], ", ", Table1[[#This Row],[Billing State/Province]], ", ", Table1[[#This Row],[Billing Zip/Postal Code]])</f>
        <v>709 Ashely Dr, Crestview, FL, 32536</v>
      </c>
    </row>
    <row r="2584" spans="1:13" ht="15.6" hidden="1" x14ac:dyDescent="0.3">
      <c r="A2584" s="1" t="s">
        <v>7916</v>
      </c>
      <c r="B2584" s="1"/>
      <c r="C2584" s="1"/>
      <c r="D2584" s="1"/>
      <c r="E2584" s="1"/>
      <c r="F2584" s="1"/>
      <c r="G2584" s="1" t="s">
        <v>43</v>
      </c>
      <c r="H2584" s="2">
        <v>104</v>
      </c>
      <c r="I2584" s="1" t="s">
        <v>7917</v>
      </c>
      <c r="J2584" s="1" t="s">
        <v>7918</v>
      </c>
      <c r="K2584" s="1" t="s">
        <v>45</v>
      </c>
      <c r="L2584" s="1" t="s">
        <v>7919</v>
      </c>
      <c r="M2584" s="6" t="str">
        <f>_xlfn.CONCAT(Table1[[#This Row],[Billing Street]], ", ", Table1[[#This Row],[Billing City]], ", ", Table1[[#This Row],[Billing State/Province]], ", ", Table1[[#This Row],[Billing Zip/Postal Code]])</f>
        <v>115 N. Main Street, Pemberville, OH, 43450</v>
      </c>
    </row>
    <row r="2585" spans="1:13" ht="15.6" hidden="1" x14ac:dyDescent="0.3">
      <c r="A2585" s="1" t="s">
        <v>7920</v>
      </c>
      <c r="B2585" s="1"/>
      <c r="C2585" s="1"/>
      <c r="D2585" s="1"/>
      <c r="E2585" s="1"/>
      <c r="F2585" s="1"/>
      <c r="G2585" s="1" t="s">
        <v>43</v>
      </c>
      <c r="H2585" s="2">
        <v>225</v>
      </c>
      <c r="I2585" s="1" t="s">
        <v>7921</v>
      </c>
      <c r="J2585" s="1" t="s">
        <v>7922</v>
      </c>
      <c r="K2585" s="1" t="s">
        <v>237</v>
      </c>
      <c r="L2585" s="1" t="s">
        <v>7923</v>
      </c>
      <c r="M2585" s="6" t="str">
        <f>_xlfn.CONCAT(Table1[[#This Row],[Billing Street]], ", ", Table1[[#This Row],[Billing City]], ", ", Table1[[#This Row],[Billing State/Province]], ", ", Table1[[#This Row],[Billing Zip/Postal Code]])</f>
        <v>65725 US Highway 33, Goshen, IN, 46526</v>
      </c>
    </row>
    <row r="2586" spans="1:13" ht="15.6" x14ac:dyDescent="0.3">
      <c r="A2586" s="1" t="s">
        <v>7924</v>
      </c>
      <c r="B2586" s="1"/>
      <c r="C2586" s="1"/>
      <c r="D2586" s="1"/>
      <c r="E2586" s="1"/>
      <c r="F2586" s="1"/>
      <c r="G2586" s="1" t="s">
        <v>24</v>
      </c>
      <c r="H2586" s="2">
        <v>113</v>
      </c>
      <c r="I2586" s="1" t="s">
        <v>7925</v>
      </c>
      <c r="J2586" s="1" t="s">
        <v>633</v>
      </c>
      <c r="K2586" s="1" t="s">
        <v>26</v>
      </c>
      <c r="L2586" s="1" t="s">
        <v>7926</v>
      </c>
      <c r="M2586" s="6" t="str">
        <f>_xlfn.CONCAT(Table1[[#This Row],[Billing Street]], ", ", Table1[[#This Row],[Billing City]], ", ", Table1[[#This Row],[Billing State/Province]], ", ", Table1[[#This Row],[Billing Zip/Postal Code]])</f>
        <v>660 Dunlap Dr, Mobile, AL, 36602</v>
      </c>
    </row>
    <row r="2587" spans="1:13" ht="15.6" x14ac:dyDescent="0.3">
      <c r="A2587" s="1" t="s">
        <v>7927</v>
      </c>
      <c r="B2587" s="1"/>
      <c r="C2587" s="1"/>
      <c r="D2587" s="1"/>
      <c r="E2587" s="1"/>
      <c r="F2587" s="1"/>
      <c r="G2587" s="1" t="s">
        <v>24</v>
      </c>
      <c r="H2587" s="2">
        <v>247</v>
      </c>
      <c r="I2587" s="1" t="s">
        <v>7928</v>
      </c>
      <c r="J2587" s="1" t="s">
        <v>7929</v>
      </c>
      <c r="K2587" s="1" t="s">
        <v>36</v>
      </c>
      <c r="L2587" s="1" t="s">
        <v>7930</v>
      </c>
      <c r="M2587" s="6" t="str">
        <f>_xlfn.CONCAT(Table1[[#This Row],[Billing Street]], ", ", Table1[[#This Row],[Billing City]], ", ", Table1[[#This Row],[Billing State/Province]], ", ", Table1[[#This Row],[Billing Zip/Postal Code]])</f>
        <v>5222 Treat Rd ‎, Starke, FL, 32091</v>
      </c>
    </row>
    <row r="2588" spans="1:13" ht="15.6" x14ac:dyDescent="0.3">
      <c r="A2588" s="1" t="s">
        <v>7931</v>
      </c>
      <c r="B2588" s="1"/>
      <c r="C2588" s="1"/>
      <c r="D2588" s="1"/>
      <c r="E2588" s="1"/>
      <c r="F2588" s="1"/>
      <c r="G2588" s="1" t="s">
        <v>24</v>
      </c>
      <c r="H2588" s="2">
        <v>5988</v>
      </c>
      <c r="I2588" s="1" t="s">
        <v>7932</v>
      </c>
      <c r="J2588" s="1" t="s">
        <v>633</v>
      </c>
      <c r="K2588" s="1" t="s">
        <v>26</v>
      </c>
      <c r="L2588" s="1" t="s">
        <v>7926</v>
      </c>
      <c r="M2588" s="6" t="str">
        <f>_xlfn.CONCAT(Table1[[#This Row],[Billing Street]], ", ", Table1[[#This Row],[Billing City]], ", ", Table1[[#This Row],[Billing State/Province]], ", ", Table1[[#This Row],[Billing Zip/Postal Code]])</f>
        <v>1 Dunlap Dr, Mobile, Mobile, AL, 36602</v>
      </c>
    </row>
    <row r="2589" spans="1:13" ht="15.6" x14ac:dyDescent="0.3">
      <c r="A2589" s="1" t="s">
        <v>7933</v>
      </c>
      <c r="B2589" s="1"/>
      <c r="C2589" s="1"/>
      <c r="D2589" s="1"/>
      <c r="E2589" s="1"/>
      <c r="F2589" s="1"/>
      <c r="G2589" s="1" t="s">
        <v>24</v>
      </c>
      <c r="H2589" s="2">
        <v>205</v>
      </c>
      <c r="I2589" s="1" t="s">
        <v>7934</v>
      </c>
      <c r="J2589" s="1" t="s">
        <v>7935</v>
      </c>
      <c r="K2589" s="1" t="s">
        <v>26</v>
      </c>
      <c r="L2589" s="1" t="s">
        <v>7936</v>
      </c>
      <c r="M2589" s="6" t="str">
        <f>_xlfn.CONCAT(Table1[[#This Row],[Billing Street]], ", ", Table1[[#This Row],[Billing City]], ", ", Table1[[#This Row],[Billing State/Province]], ", ", Table1[[#This Row],[Billing Zip/Postal Code]])</f>
        <v>501 Baptist Line Rd, Aliceville, AL, 35442</v>
      </c>
    </row>
    <row r="2590" spans="1:13" ht="15.6" hidden="1" x14ac:dyDescent="0.3">
      <c r="A2590" s="1" t="s">
        <v>7937</v>
      </c>
      <c r="B2590" s="1"/>
      <c r="C2590" s="1"/>
      <c r="D2590" s="1"/>
      <c r="E2590" s="1"/>
      <c r="F2590" s="1"/>
      <c r="G2590" s="1" t="s">
        <v>205</v>
      </c>
      <c r="H2590" s="2">
        <v>9</v>
      </c>
      <c r="I2590" s="1" t="s">
        <v>7938</v>
      </c>
      <c r="J2590" s="1" t="s">
        <v>5889</v>
      </c>
      <c r="K2590" s="1" t="s">
        <v>479</v>
      </c>
      <c r="L2590" s="1" t="s">
        <v>7532</v>
      </c>
      <c r="M2590" s="6" t="str">
        <f>_xlfn.CONCAT(Table1[[#This Row],[Billing Street]], ", ", Table1[[#This Row],[Billing City]], ", ", Table1[[#This Row],[Billing State/Province]], ", ", Table1[[#This Row],[Billing Zip/Postal Code]])</f>
        <v>1500 E University Drive, Tempe, AZ, 85281</v>
      </c>
    </row>
    <row r="2591" spans="1:13" ht="15.6" hidden="1" x14ac:dyDescent="0.3">
      <c r="A2591" s="1" t="s">
        <v>7939</v>
      </c>
      <c r="B2591" s="1"/>
      <c r="C2591" s="1"/>
      <c r="D2591" s="1"/>
      <c r="E2591" s="1"/>
      <c r="F2591" s="1"/>
      <c r="G2591" s="1" t="s">
        <v>43</v>
      </c>
      <c r="H2591" s="2">
        <v>138</v>
      </c>
      <c r="I2591" s="1" t="s">
        <v>7940</v>
      </c>
      <c r="J2591" s="1" t="s">
        <v>7941</v>
      </c>
      <c r="K2591" s="1" t="s">
        <v>82</v>
      </c>
      <c r="L2591" s="1" t="s">
        <v>7942</v>
      </c>
      <c r="M2591" s="6" t="str">
        <f>_xlfn.CONCAT(Table1[[#This Row],[Billing Street]], ", ", Table1[[#This Row],[Billing City]], ", ", Table1[[#This Row],[Billing State/Province]], ", ", Table1[[#This Row],[Billing Zip/Postal Code]])</f>
        <v>6158 Delfield Drive, Waterford, MI, 48329</v>
      </c>
    </row>
    <row r="2592" spans="1:13" ht="15.6" hidden="1" x14ac:dyDescent="0.3">
      <c r="A2592" s="1" t="s">
        <v>7943</v>
      </c>
      <c r="B2592" s="1"/>
      <c r="C2592" s="1"/>
      <c r="D2592" s="1"/>
      <c r="E2592" s="1"/>
      <c r="F2592" s="1"/>
      <c r="G2592" s="1" t="s">
        <v>8</v>
      </c>
      <c r="H2592" s="2">
        <v>210</v>
      </c>
      <c r="I2592" s="1" t="s">
        <v>7944</v>
      </c>
      <c r="J2592" s="1" t="s">
        <v>7945</v>
      </c>
      <c r="K2592" s="1" t="s">
        <v>147</v>
      </c>
      <c r="L2592" s="1" t="s">
        <v>7946</v>
      </c>
      <c r="M2592" s="6" t="str">
        <f>_xlfn.CONCAT(Table1[[#This Row],[Billing Street]], ", ", Table1[[#This Row],[Billing City]], ", ", Table1[[#This Row],[Billing State/Province]], ", ", Table1[[#This Row],[Billing Zip/Postal Code]])</f>
        <v>105 East Kiowa Avenue, Marlow, OK, 73055</v>
      </c>
    </row>
    <row r="2593" spans="1:13" ht="15.6" hidden="1" x14ac:dyDescent="0.3">
      <c r="A2593" s="1" t="s">
        <v>7947</v>
      </c>
      <c r="B2593" s="1"/>
      <c r="C2593" s="1"/>
      <c r="D2593" s="1"/>
      <c r="E2593" s="1"/>
      <c r="F2593" s="1"/>
      <c r="G2593" s="1" t="s">
        <v>8</v>
      </c>
      <c r="H2593" s="2">
        <v>43</v>
      </c>
      <c r="I2593" s="1" t="s">
        <v>7948</v>
      </c>
      <c r="J2593" s="1" t="s">
        <v>2587</v>
      </c>
      <c r="K2593" s="1" t="s">
        <v>147</v>
      </c>
      <c r="L2593" s="1" t="s">
        <v>7949</v>
      </c>
      <c r="M2593" s="6" t="str">
        <f>_xlfn.CONCAT(Table1[[#This Row],[Billing Street]], ", ", Table1[[#This Row],[Billing City]], ", ", Table1[[#This Row],[Billing State/Province]], ", ", Table1[[#This Row],[Billing Zip/Postal Code]])</f>
        <v>404 d S.E., Miami, OK, 74355</v>
      </c>
    </row>
    <row r="2594" spans="1:13" ht="15.6" hidden="1" x14ac:dyDescent="0.3">
      <c r="A2594" s="1" t="s">
        <v>7950</v>
      </c>
      <c r="B2594" s="1"/>
      <c r="C2594" s="1"/>
      <c r="D2594" s="1"/>
      <c r="E2594" s="1"/>
      <c r="F2594" s="1"/>
      <c r="G2594" s="1" t="s">
        <v>8</v>
      </c>
      <c r="H2594" s="2">
        <v>199</v>
      </c>
      <c r="I2594" s="1" t="s">
        <v>7951</v>
      </c>
      <c r="J2594" s="1" t="s">
        <v>7952</v>
      </c>
      <c r="K2594" s="1" t="s">
        <v>147</v>
      </c>
      <c r="L2594" s="1" t="s">
        <v>7953</v>
      </c>
      <c r="M2594" s="6" t="str">
        <f>_xlfn.CONCAT(Table1[[#This Row],[Billing Street]], ", ", Table1[[#This Row],[Billing City]], ", ", Table1[[#This Row],[Billing State/Province]], ", ", Table1[[#This Row],[Billing Zip/Postal Code]])</f>
        <v>115 Northeast 1st Street, Mooreland, OK, 73852</v>
      </c>
    </row>
    <row r="2595" spans="1:13" ht="15.6" hidden="1" x14ac:dyDescent="0.3">
      <c r="A2595" s="1" t="s">
        <v>7954</v>
      </c>
      <c r="B2595" s="1"/>
      <c r="C2595" s="1"/>
      <c r="D2595" s="1"/>
      <c r="E2595" s="1"/>
      <c r="F2595" s="1"/>
      <c r="G2595" s="1" t="s">
        <v>8</v>
      </c>
      <c r="H2595" s="2">
        <v>53</v>
      </c>
      <c r="I2595" s="1" t="s">
        <v>7955</v>
      </c>
      <c r="J2595" s="1" t="s">
        <v>7956</v>
      </c>
      <c r="K2595" s="1" t="s">
        <v>147</v>
      </c>
      <c r="L2595" s="1" t="s">
        <v>7957</v>
      </c>
      <c r="M2595" s="6" t="str">
        <f>_xlfn.CONCAT(Table1[[#This Row],[Billing Street]], ", ", Table1[[#This Row],[Billing City]], ", ", Table1[[#This Row],[Billing State/Province]], ", ", Table1[[#This Row],[Billing Zip/Postal Code]])</f>
        <v>10 North Taylor Street, Pryor, OK, 74361</v>
      </c>
    </row>
    <row r="2596" spans="1:13" ht="15.6" hidden="1" x14ac:dyDescent="0.3">
      <c r="A2596" s="1" t="s">
        <v>7958</v>
      </c>
      <c r="B2596" s="1"/>
      <c r="C2596" s="1"/>
      <c r="D2596" s="1"/>
      <c r="E2596" s="1"/>
      <c r="F2596" s="1"/>
      <c r="G2596" s="1" t="s">
        <v>8</v>
      </c>
      <c r="H2596" s="2">
        <v>6528</v>
      </c>
      <c r="I2596" s="1" t="s">
        <v>13</v>
      </c>
      <c r="J2596" s="1" t="s">
        <v>13</v>
      </c>
      <c r="K2596" s="1" t="s">
        <v>147</v>
      </c>
      <c r="L2596" s="1" t="s">
        <v>13</v>
      </c>
      <c r="M2596" s="6" t="str">
        <f>_xlfn.CONCAT(Table1[[#This Row],[Billing Street]], ", ", Table1[[#This Row],[Billing City]], ", ", Table1[[#This Row],[Billing State/Province]], ", ", Table1[[#This Row],[Billing Zip/Postal Code]])</f>
        <v xml:space="preserve">, , OK, </v>
      </c>
    </row>
    <row r="2597" spans="1:13" ht="15.6" hidden="1" x14ac:dyDescent="0.3">
      <c r="A2597" s="1" t="s">
        <v>7959</v>
      </c>
      <c r="B2597" s="1"/>
      <c r="C2597" s="1"/>
      <c r="D2597" s="1"/>
      <c r="E2597" s="1"/>
      <c r="F2597" s="1"/>
      <c r="G2597" s="1" t="s">
        <v>8</v>
      </c>
      <c r="H2597" s="2">
        <v>239</v>
      </c>
      <c r="I2597" s="1" t="s">
        <v>7960</v>
      </c>
      <c r="J2597" s="1" t="s">
        <v>7961</v>
      </c>
      <c r="K2597" s="1" t="s">
        <v>147</v>
      </c>
      <c r="L2597" s="1" t="s">
        <v>7962</v>
      </c>
      <c r="M2597" s="6" t="str">
        <f>_xlfn.CONCAT(Table1[[#This Row],[Billing Street]], ", ", Table1[[#This Row],[Billing City]], ", ", Table1[[#This Row],[Billing State/Province]], ", ", Table1[[#This Row],[Billing Zip/Postal Code]])</f>
        <v>129 East Colorado Avenue, Walters, OK, 73572</v>
      </c>
    </row>
    <row r="2598" spans="1:13" ht="15.6" hidden="1" x14ac:dyDescent="0.3">
      <c r="A2598" s="1" t="s">
        <v>7963</v>
      </c>
      <c r="B2598" s="1"/>
      <c r="C2598" s="1"/>
      <c r="D2598" s="1"/>
      <c r="E2598" s="1"/>
      <c r="F2598" s="1"/>
      <c r="G2598" s="1" t="s">
        <v>8</v>
      </c>
      <c r="H2598" s="2">
        <v>76</v>
      </c>
      <c r="I2598" s="1" t="s">
        <v>7964</v>
      </c>
      <c r="J2598" s="1" t="s">
        <v>7965</v>
      </c>
      <c r="K2598" s="1" t="s">
        <v>147</v>
      </c>
      <c r="L2598" s="1" t="s">
        <v>7966</v>
      </c>
      <c r="M2598" s="6" t="str">
        <f>_xlfn.CONCAT(Table1[[#This Row],[Billing Street]], ", ", Table1[[#This Row],[Billing City]], ", ", Table1[[#This Row],[Billing State/Province]], ", ", Table1[[#This Row],[Billing Zip/Postal Code]])</f>
        <v>307 Southeast 3rd Street, Wagoner, OK, 74467</v>
      </c>
    </row>
    <row r="2599" spans="1:13" ht="15.6" hidden="1" x14ac:dyDescent="0.3">
      <c r="A2599" s="1" t="s">
        <v>7967</v>
      </c>
      <c r="B2599" s="1"/>
      <c r="C2599" s="1"/>
      <c r="D2599" s="1"/>
      <c r="E2599" s="1"/>
      <c r="F2599" s="1"/>
      <c r="G2599" s="1" t="s">
        <v>8</v>
      </c>
      <c r="H2599" s="2">
        <v>96</v>
      </c>
      <c r="I2599" s="1" t="s">
        <v>7968</v>
      </c>
      <c r="J2599" s="1" t="s">
        <v>7969</v>
      </c>
      <c r="K2599" s="1" t="s">
        <v>147</v>
      </c>
      <c r="L2599" s="1" t="s">
        <v>7970</v>
      </c>
      <c r="M2599" s="6" t="str">
        <f>_xlfn.CONCAT(Table1[[#This Row],[Billing Street]], ", ", Table1[[#This Row],[Billing City]], ", ", Table1[[#This Row],[Billing State/Province]], ", ", Table1[[#This Row],[Billing Zip/Postal Code]])</f>
        <v>216 North 6th Street, Tonkawa, OK, 74653</v>
      </c>
    </row>
    <row r="2600" spans="1:13" ht="15.6" hidden="1" x14ac:dyDescent="0.3">
      <c r="A2600" s="1" t="s">
        <v>7971</v>
      </c>
      <c r="B2600" s="1"/>
      <c r="C2600" s="1"/>
      <c r="D2600" s="1"/>
      <c r="E2600" s="1"/>
      <c r="F2600" s="1"/>
      <c r="G2600" s="1" t="s">
        <v>8</v>
      </c>
      <c r="H2600" s="2">
        <v>102</v>
      </c>
      <c r="I2600" s="1" t="s">
        <v>7972</v>
      </c>
      <c r="J2600" s="1" t="s">
        <v>7973</v>
      </c>
      <c r="K2600" s="1" t="s">
        <v>147</v>
      </c>
      <c r="L2600" s="1" t="s">
        <v>7974</v>
      </c>
      <c r="M2600" s="6" t="str">
        <f>_xlfn.CONCAT(Table1[[#This Row],[Billing Street]], ", ", Table1[[#This Row],[Billing City]], ", ", Table1[[#This Row],[Billing State/Province]], ", ", Table1[[#This Row],[Billing Zip/Postal Code]])</f>
        <v>400 West Spray, Stilwell, OK, 74960</v>
      </c>
    </row>
    <row r="2601" spans="1:13" ht="15.6" hidden="1" x14ac:dyDescent="0.3">
      <c r="A2601" s="1" t="s">
        <v>7975</v>
      </c>
      <c r="B2601" s="1"/>
      <c r="C2601" s="1"/>
      <c r="D2601" s="1"/>
      <c r="E2601" s="1"/>
      <c r="F2601" s="1"/>
      <c r="G2601" s="1" t="s">
        <v>8</v>
      </c>
      <c r="H2601" s="2">
        <v>291</v>
      </c>
      <c r="I2601" s="1" t="s">
        <v>7976</v>
      </c>
      <c r="J2601" s="1" t="s">
        <v>7977</v>
      </c>
      <c r="K2601" s="1" t="s">
        <v>147</v>
      </c>
      <c r="L2601" s="1" t="s">
        <v>7978</v>
      </c>
      <c r="M2601" s="6" t="str">
        <f>_xlfn.CONCAT(Table1[[#This Row],[Billing Street]], ", ", Table1[[#This Row],[Billing City]], ", ", Table1[[#This Row],[Billing State/Province]], ", ", Table1[[#This Row],[Billing Zip/Postal Code]])</f>
        <v>114 North 1st Street, Hollis, OK, 73550</v>
      </c>
    </row>
    <row r="2602" spans="1:13" ht="15.6" hidden="1" x14ac:dyDescent="0.3">
      <c r="A2602" s="1" t="s">
        <v>7979</v>
      </c>
      <c r="B2602" s="1"/>
      <c r="C2602" s="1"/>
      <c r="D2602" s="1"/>
      <c r="E2602" s="1"/>
      <c r="F2602" s="1"/>
      <c r="G2602" s="1" t="s">
        <v>8</v>
      </c>
      <c r="H2602" s="2">
        <v>6528</v>
      </c>
      <c r="I2602" s="1" t="s">
        <v>13</v>
      </c>
      <c r="J2602" s="1" t="s">
        <v>13</v>
      </c>
      <c r="K2602" s="1" t="s">
        <v>147</v>
      </c>
      <c r="L2602" s="1" t="s">
        <v>13</v>
      </c>
      <c r="M2602" s="6" t="str">
        <f>_xlfn.CONCAT(Table1[[#This Row],[Billing Street]], ", ", Table1[[#This Row],[Billing City]], ", ", Table1[[#This Row],[Billing State/Province]], ", ", Table1[[#This Row],[Billing Zip/Postal Code]])</f>
        <v xml:space="preserve">, , OK, </v>
      </c>
    </row>
    <row r="2603" spans="1:13" ht="15.6" hidden="1" x14ac:dyDescent="0.3">
      <c r="A2603" s="1" t="s">
        <v>7980</v>
      </c>
      <c r="B2603" s="1"/>
      <c r="C2603" s="1"/>
      <c r="D2603" s="1"/>
      <c r="E2603" s="1"/>
      <c r="F2603" s="1"/>
      <c r="G2603" s="1" t="s">
        <v>8</v>
      </c>
      <c r="H2603" s="2">
        <v>167</v>
      </c>
      <c r="I2603" s="1" t="s">
        <v>7981</v>
      </c>
      <c r="J2603" s="1" t="s">
        <v>7982</v>
      </c>
      <c r="K2603" s="1" t="s">
        <v>147</v>
      </c>
      <c r="L2603" s="1" t="s">
        <v>7983</v>
      </c>
      <c r="M2603" s="6" t="str">
        <f>_xlfn.CONCAT(Table1[[#This Row],[Billing Street]], ", ", Table1[[#This Row],[Billing City]], ", ", Table1[[#This Row],[Billing State/Province]], ", ", Table1[[#This Row],[Billing Zip/Postal Code]])</f>
        <v>123 South 6th Avenue, Fairview, OK, 73737</v>
      </c>
    </row>
    <row r="2604" spans="1:13" ht="15.6" hidden="1" x14ac:dyDescent="0.3">
      <c r="A2604" s="1" t="s">
        <v>7984</v>
      </c>
      <c r="B2604" s="1"/>
      <c r="C2604" s="1"/>
      <c r="D2604" s="1"/>
      <c r="E2604" s="1"/>
      <c r="F2604" s="1"/>
      <c r="G2604" s="1" t="s">
        <v>8</v>
      </c>
      <c r="H2604" s="2">
        <v>252</v>
      </c>
      <c r="I2604" s="1" t="s">
        <v>7985</v>
      </c>
      <c r="J2604" s="1" t="s">
        <v>7986</v>
      </c>
      <c r="K2604" s="1" t="s">
        <v>147</v>
      </c>
      <c r="L2604" s="1" t="s">
        <v>7987</v>
      </c>
      <c r="M2604" s="6" t="str">
        <f>_xlfn.CONCAT(Table1[[#This Row],[Billing Street]], ", ", Table1[[#This Row],[Billing City]], ", ", Table1[[#This Row],[Billing State/Province]], ", ", Table1[[#This Row],[Billing Zip/Postal Code]])</f>
        <v>18920 East 1170 Road, Sayre, OK, 73662</v>
      </c>
    </row>
    <row r="2605" spans="1:13" ht="15.6" hidden="1" x14ac:dyDescent="0.3">
      <c r="A2605" s="1" t="s">
        <v>7988</v>
      </c>
      <c r="B2605" s="1"/>
      <c r="C2605" s="1"/>
      <c r="D2605" s="1"/>
      <c r="E2605" s="1"/>
      <c r="F2605" s="1"/>
      <c r="G2605" s="1" t="s">
        <v>8</v>
      </c>
      <c r="H2605" s="2">
        <v>230</v>
      </c>
      <c r="I2605" s="1" t="s">
        <v>7989</v>
      </c>
      <c r="J2605" s="1" t="s">
        <v>1222</v>
      </c>
      <c r="K2605" s="1" t="s">
        <v>147</v>
      </c>
      <c r="L2605" s="1" t="s">
        <v>7990</v>
      </c>
      <c r="M2605" s="6" t="str">
        <f>_xlfn.CONCAT(Table1[[#This Row],[Billing Street]], ", ", Table1[[#This Row],[Billing City]], ", ", Table1[[#This Row],[Billing State/Province]], ", ", Table1[[#This Row],[Billing Zip/Postal Code]])</f>
        <v>1003 Memorial Dr, Marietta, OK, 73448</v>
      </c>
    </row>
    <row r="2606" spans="1:13" ht="15.6" hidden="1" x14ac:dyDescent="0.3">
      <c r="A2606" s="1" t="s">
        <v>7991</v>
      </c>
      <c r="B2606" s="1"/>
      <c r="C2606" s="1"/>
      <c r="D2606" s="1"/>
      <c r="E2606" s="1"/>
      <c r="F2606" s="1"/>
      <c r="G2606" s="1" t="s">
        <v>8</v>
      </c>
      <c r="H2606" s="2">
        <v>103</v>
      </c>
      <c r="I2606" s="1" t="s">
        <v>7992</v>
      </c>
      <c r="J2606" s="1" t="s">
        <v>7993</v>
      </c>
      <c r="K2606" s="1" t="s">
        <v>147</v>
      </c>
      <c r="L2606" s="1" t="s">
        <v>7994</v>
      </c>
      <c r="M2606" s="6" t="str">
        <f>_xlfn.CONCAT(Table1[[#This Row],[Billing Street]], ", ", Table1[[#This Row],[Billing City]], ", ", Table1[[#This Row],[Billing State/Province]], ", ", Table1[[#This Row],[Billing Zip/Postal Code]])</f>
        <v>3304 S Boomer Rd, Stillwater, OK, 74076</v>
      </c>
    </row>
    <row r="2607" spans="1:13" ht="15.6" hidden="1" x14ac:dyDescent="0.3">
      <c r="A2607" s="1" t="s">
        <v>7995</v>
      </c>
      <c r="B2607" s="1"/>
      <c r="C2607" s="1"/>
      <c r="D2607" s="1"/>
      <c r="E2607" s="1"/>
      <c r="F2607" s="1"/>
      <c r="G2607" s="1" t="s">
        <v>8</v>
      </c>
      <c r="H2607" s="2">
        <v>93</v>
      </c>
      <c r="I2607" s="1" t="s">
        <v>7996</v>
      </c>
      <c r="J2607" s="1" t="s">
        <v>7997</v>
      </c>
      <c r="K2607" s="1" t="s">
        <v>147</v>
      </c>
      <c r="L2607" s="1" t="s">
        <v>7998</v>
      </c>
      <c r="M2607" s="6" t="str">
        <f>_xlfn.CONCAT(Table1[[#This Row],[Billing Street]], ", ", Table1[[#This Row],[Billing City]], ", ", Table1[[#This Row],[Billing State/Province]], ", ", Table1[[#This Row],[Billing Zip/Postal Code]])</f>
        <v>300 W Doolin, Blackwell, OK, 74631</v>
      </c>
    </row>
    <row r="2608" spans="1:13" ht="15.6" hidden="1" x14ac:dyDescent="0.3">
      <c r="A2608" s="1" t="s">
        <v>7999</v>
      </c>
      <c r="B2608" s="1"/>
      <c r="C2608" s="1"/>
      <c r="D2608" s="1"/>
      <c r="E2608" s="1"/>
      <c r="F2608" s="1"/>
      <c r="G2608" s="1" t="s">
        <v>8</v>
      </c>
      <c r="H2608" s="2">
        <v>200</v>
      </c>
      <c r="I2608" s="1" t="s">
        <v>8000</v>
      </c>
      <c r="J2608" s="1" t="s">
        <v>8001</v>
      </c>
      <c r="K2608" s="1" t="s">
        <v>147</v>
      </c>
      <c r="L2608" s="1" t="s">
        <v>8002</v>
      </c>
      <c r="M2608" s="6" t="str">
        <f>_xlfn.CONCAT(Table1[[#This Row],[Billing Street]], ", ", Table1[[#This Row],[Billing City]], ", ", Table1[[#This Row],[Billing State/Province]], ", ", Table1[[#This Row],[Billing Zip/Postal Code]])</f>
        <v>501 West Virginia Avenue, Anadarko, OK, 73005</v>
      </c>
    </row>
    <row r="2609" spans="1:13" ht="15.6" hidden="1" x14ac:dyDescent="0.3">
      <c r="A2609" s="1" t="s">
        <v>8003</v>
      </c>
      <c r="B2609" s="1"/>
      <c r="C2609" s="1"/>
      <c r="D2609" s="1"/>
      <c r="E2609" s="1"/>
      <c r="F2609" s="1"/>
      <c r="G2609" s="1" t="s">
        <v>8</v>
      </c>
      <c r="H2609" s="2">
        <v>163</v>
      </c>
      <c r="I2609" s="1" t="s">
        <v>8004</v>
      </c>
      <c r="J2609" s="1" t="s">
        <v>8005</v>
      </c>
      <c r="K2609" s="1" t="s">
        <v>147</v>
      </c>
      <c r="L2609" s="1" t="s">
        <v>8006</v>
      </c>
      <c r="M2609" s="6" t="str">
        <f>_xlfn.CONCAT(Table1[[#This Row],[Billing Street]], ", ", Table1[[#This Row],[Billing City]], ", ", Table1[[#This Row],[Billing State/Province]], ", ", Table1[[#This Row],[Billing Zip/Postal Code]])</f>
        <v>115 South 3rd Street, Okeene, OK, 73763</v>
      </c>
    </row>
    <row r="2610" spans="1:13" ht="15.6" hidden="1" x14ac:dyDescent="0.3">
      <c r="A2610" s="1" t="s">
        <v>8007</v>
      </c>
      <c r="B2610" s="1"/>
      <c r="C2610" s="1"/>
      <c r="D2610" s="1"/>
      <c r="E2610" s="1"/>
      <c r="F2610" s="1"/>
      <c r="G2610" s="1" t="s">
        <v>8</v>
      </c>
      <c r="H2610" s="2">
        <v>6528</v>
      </c>
      <c r="I2610" s="1" t="s">
        <v>13</v>
      </c>
      <c r="J2610" s="1" t="s">
        <v>13</v>
      </c>
      <c r="K2610" s="1" t="s">
        <v>147</v>
      </c>
      <c r="L2610" s="1" t="s">
        <v>13</v>
      </c>
      <c r="M2610" s="6" t="str">
        <f>_xlfn.CONCAT(Table1[[#This Row],[Billing Street]], ", ", Table1[[#This Row],[Billing City]], ", ", Table1[[#This Row],[Billing State/Province]], ", ", Table1[[#This Row],[Billing Zip/Postal Code]])</f>
        <v xml:space="preserve">, , OK, </v>
      </c>
    </row>
    <row r="2611" spans="1:13" ht="15.6" hidden="1" x14ac:dyDescent="0.3">
      <c r="A2611" s="1" t="s">
        <v>8008</v>
      </c>
      <c r="B2611" s="1"/>
      <c r="C2611" s="1"/>
      <c r="D2611" s="1"/>
      <c r="E2611" s="1"/>
      <c r="F2611" s="1"/>
      <c r="G2611" s="1" t="s">
        <v>8</v>
      </c>
      <c r="H2611" s="2">
        <v>153</v>
      </c>
      <c r="I2611" s="1" t="s">
        <v>8009</v>
      </c>
      <c r="J2611" s="1" t="s">
        <v>8010</v>
      </c>
      <c r="K2611" s="1" t="s">
        <v>147</v>
      </c>
      <c r="L2611" s="1" t="s">
        <v>8011</v>
      </c>
      <c r="M2611" s="6" t="str">
        <f>_xlfn.CONCAT(Table1[[#This Row],[Billing Street]], ", ", Table1[[#This Row],[Billing City]], ", ", Table1[[#This Row],[Billing State/Province]], ", ", Table1[[#This Row],[Billing Zip/Postal Code]])</f>
        <v>313 South 13th Street, Kingfisher, OK, 73750</v>
      </c>
    </row>
    <row r="2612" spans="1:13" ht="15.6" hidden="1" x14ac:dyDescent="0.3">
      <c r="A2612" s="1" t="s">
        <v>8012</v>
      </c>
      <c r="B2612" s="1"/>
      <c r="C2612" s="1"/>
      <c r="D2612" s="1"/>
      <c r="E2612" s="1"/>
      <c r="F2612" s="1"/>
      <c r="G2612" s="1" t="s">
        <v>205</v>
      </c>
      <c r="H2612" s="2">
        <v>16</v>
      </c>
      <c r="I2612" s="1" t="s">
        <v>8013</v>
      </c>
      <c r="J2612" s="1" t="s">
        <v>2920</v>
      </c>
      <c r="K2612" s="1" t="s">
        <v>479</v>
      </c>
      <c r="L2612" s="1" t="s">
        <v>8014</v>
      </c>
      <c r="M2612" s="6" t="str">
        <f>_xlfn.CONCAT(Table1[[#This Row],[Billing Street]], ", ", Table1[[#This Row],[Billing City]], ", ", Table1[[#This Row],[Billing State/Province]], ", ", Table1[[#This Row],[Billing Zip/Postal Code]])</f>
        <v>1275 W Houston Ave, Gilbert, AZ, 85233</v>
      </c>
    </row>
    <row r="2613" spans="1:13" ht="15.6" hidden="1" x14ac:dyDescent="0.3">
      <c r="A2613" s="1" t="s">
        <v>8015</v>
      </c>
      <c r="B2613" s="1"/>
      <c r="C2613" s="1"/>
      <c r="D2613" s="1"/>
      <c r="E2613" s="1"/>
      <c r="F2613" s="1"/>
      <c r="G2613" s="1" t="s">
        <v>8</v>
      </c>
      <c r="H2613" s="2">
        <v>48</v>
      </c>
      <c r="I2613" s="1" t="s">
        <v>8016</v>
      </c>
      <c r="J2613" s="1" t="s">
        <v>8017</v>
      </c>
      <c r="K2613" s="1" t="s">
        <v>147</v>
      </c>
      <c r="L2613" s="1" t="s">
        <v>8018</v>
      </c>
      <c r="M2613" s="6" t="str">
        <f>_xlfn.CONCAT(Table1[[#This Row],[Billing Street]], ", ", Table1[[#This Row],[Billing City]], ", ", Table1[[#This Row],[Billing State/Province]], ", ", Table1[[#This Row],[Billing Zip/Postal Code]])</f>
        <v>306 West Broadway, Collinsville, OK, 74021</v>
      </c>
    </row>
    <row r="2614" spans="1:13" ht="15.6" hidden="1" x14ac:dyDescent="0.3">
      <c r="A2614" s="1" t="s">
        <v>8019</v>
      </c>
      <c r="B2614" s="1"/>
      <c r="C2614" s="1"/>
      <c r="D2614" s="1"/>
      <c r="E2614" s="1"/>
      <c r="F2614" s="1"/>
      <c r="G2614" s="1" t="s">
        <v>54</v>
      </c>
      <c r="H2614" s="2">
        <v>842</v>
      </c>
      <c r="I2614" s="1" t="s">
        <v>8020</v>
      </c>
      <c r="J2614" s="1" t="s">
        <v>8021</v>
      </c>
      <c r="K2614" s="1" t="s">
        <v>405</v>
      </c>
      <c r="L2614" s="1" t="s">
        <v>8022</v>
      </c>
      <c r="M2614" s="6" t="str">
        <f>_xlfn.CONCAT(Table1[[#This Row],[Billing Street]], ", ", Table1[[#This Row],[Billing City]], ", ", Table1[[#This Row],[Billing State/Province]], ", ", Table1[[#This Row],[Billing Zip/Postal Code]])</f>
        <v>1620 Lewis Street, Pasco, WA, 99301</v>
      </c>
    </row>
    <row r="2615" spans="1:13" ht="15.6" hidden="1" x14ac:dyDescent="0.3">
      <c r="A2615" s="1" t="s">
        <v>8023</v>
      </c>
      <c r="B2615" s="1"/>
      <c r="C2615" s="1"/>
      <c r="D2615" s="1"/>
      <c r="E2615" s="1"/>
      <c r="F2615" s="1"/>
      <c r="G2615" s="1" t="s">
        <v>8</v>
      </c>
      <c r="H2615" s="2">
        <v>196</v>
      </c>
      <c r="I2615" s="1" t="s">
        <v>8024</v>
      </c>
      <c r="J2615" s="1" t="s">
        <v>8025</v>
      </c>
      <c r="K2615" s="1" t="s">
        <v>147</v>
      </c>
      <c r="L2615" s="1" t="s">
        <v>8026</v>
      </c>
      <c r="M2615" s="6" t="str">
        <f>_xlfn.CONCAT(Table1[[#This Row],[Billing Street]], ", ", Table1[[#This Row],[Billing City]], ", ", Table1[[#This Row],[Billing State/Province]], ", ", Table1[[#This Row],[Billing Zip/Postal Code]])</f>
        <v>14039 State Hwy 152, Binger, OK, 73009</v>
      </c>
    </row>
    <row r="2616" spans="1:13" ht="15.6" hidden="1" x14ac:dyDescent="0.3">
      <c r="A2616" s="1" t="s">
        <v>8027</v>
      </c>
      <c r="B2616" s="1"/>
      <c r="C2616" s="1"/>
      <c r="D2616" s="1"/>
      <c r="E2616" s="1"/>
      <c r="F2616" s="1"/>
      <c r="G2616" s="1" t="s">
        <v>8</v>
      </c>
      <c r="H2616" s="2">
        <v>6528</v>
      </c>
      <c r="I2616" s="1" t="s">
        <v>13</v>
      </c>
      <c r="J2616" s="1" t="s">
        <v>13</v>
      </c>
      <c r="K2616" s="1" t="s">
        <v>147</v>
      </c>
      <c r="L2616" s="1" t="s">
        <v>13</v>
      </c>
      <c r="M2616" s="6" t="str">
        <f>_xlfn.CONCAT(Table1[[#This Row],[Billing Street]], ", ", Table1[[#This Row],[Billing City]], ", ", Table1[[#This Row],[Billing State/Province]], ", ", Table1[[#This Row],[Billing Zip/Postal Code]])</f>
        <v xml:space="preserve">, , OK, </v>
      </c>
    </row>
    <row r="2617" spans="1:13" ht="15.6" hidden="1" x14ac:dyDescent="0.3">
      <c r="A2617" s="1" t="s">
        <v>8028</v>
      </c>
      <c r="B2617" s="1"/>
      <c r="C2617" s="1"/>
      <c r="D2617" s="1"/>
      <c r="E2617" s="1"/>
      <c r="F2617" s="1"/>
      <c r="G2617" s="1" t="s">
        <v>8</v>
      </c>
      <c r="H2617" s="2">
        <v>6528</v>
      </c>
      <c r="I2617" s="1" t="s">
        <v>13</v>
      </c>
      <c r="J2617" s="1" t="s">
        <v>13</v>
      </c>
      <c r="K2617" s="1" t="s">
        <v>147</v>
      </c>
      <c r="L2617" s="1" t="s">
        <v>13</v>
      </c>
      <c r="M2617" s="6" t="str">
        <f>_xlfn.CONCAT(Table1[[#This Row],[Billing Street]], ", ", Table1[[#This Row],[Billing City]], ", ", Table1[[#This Row],[Billing State/Province]], ", ", Table1[[#This Row],[Billing Zip/Postal Code]])</f>
        <v xml:space="preserve">, , OK, </v>
      </c>
    </row>
    <row r="2618" spans="1:13" ht="15.6" hidden="1" x14ac:dyDescent="0.3">
      <c r="A2618" s="1" t="s">
        <v>8029</v>
      </c>
      <c r="B2618" s="1"/>
      <c r="C2618" s="1"/>
      <c r="D2618" s="1"/>
      <c r="E2618" s="1"/>
      <c r="F2618" s="1"/>
      <c r="G2618" s="1" t="s">
        <v>8</v>
      </c>
      <c r="H2618" s="2">
        <v>129</v>
      </c>
      <c r="I2618" s="1" t="s">
        <v>8030</v>
      </c>
      <c r="J2618" s="1" t="s">
        <v>8031</v>
      </c>
      <c r="K2618" s="1" t="s">
        <v>147</v>
      </c>
      <c r="L2618" s="1" t="s">
        <v>8032</v>
      </c>
      <c r="M2618" s="6" t="str">
        <f>_xlfn.CONCAT(Table1[[#This Row],[Billing Street]], ", ", Table1[[#This Row],[Billing City]], ", ", Table1[[#This Row],[Billing State/Province]], ", ", Table1[[#This Row],[Billing Zip/Postal Code]])</f>
        <v>11277 Oklahoma 99, Seminole, OK, 74868</v>
      </c>
    </row>
    <row r="2619" spans="1:13" ht="15.6" hidden="1" x14ac:dyDescent="0.3">
      <c r="A2619" s="1" t="s">
        <v>8033</v>
      </c>
      <c r="B2619" s="1"/>
      <c r="C2619" s="1"/>
      <c r="D2619" s="1"/>
      <c r="E2619" s="1"/>
      <c r="F2619" s="1"/>
      <c r="G2619" s="1" t="s">
        <v>8</v>
      </c>
      <c r="H2619" s="2">
        <v>264</v>
      </c>
      <c r="I2619" s="1" t="s">
        <v>8034</v>
      </c>
      <c r="J2619" s="1" t="s">
        <v>2579</v>
      </c>
      <c r="K2619" s="1" t="s">
        <v>147</v>
      </c>
      <c r="L2619" s="1" t="s">
        <v>8035</v>
      </c>
      <c r="M2619" s="6" t="str">
        <f>_xlfn.CONCAT(Table1[[#This Row],[Billing Street]], ", ", Table1[[#This Row],[Billing City]], ", ", Table1[[#This Row],[Billing State/Province]], ", ", Table1[[#This Row],[Billing Zip/Postal Code]])</f>
        <v>403 North 9th Street, Frederick, OK, 73542</v>
      </c>
    </row>
    <row r="2620" spans="1:13" ht="15.6" hidden="1" x14ac:dyDescent="0.3">
      <c r="A2620" s="1" t="s">
        <v>8036</v>
      </c>
      <c r="B2620" s="1"/>
      <c r="C2620" s="1"/>
      <c r="D2620" s="1"/>
      <c r="E2620" s="1"/>
      <c r="F2620" s="1"/>
      <c r="G2620" s="1" t="s">
        <v>8</v>
      </c>
      <c r="H2620" s="2">
        <v>105</v>
      </c>
      <c r="I2620" s="1" t="s">
        <v>8037</v>
      </c>
      <c r="J2620" s="1" t="s">
        <v>3209</v>
      </c>
      <c r="K2620" s="1" t="s">
        <v>147</v>
      </c>
      <c r="L2620" s="1" t="s">
        <v>8038</v>
      </c>
      <c r="M2620" s="6" t="str">
        <f>_xlfn.CONCAT(Table1[[#This Row],[Billing Street]], ", ", Table1[[#This Row],[Billing City]], ", ", Table1[[#This Row],[Billing State/Province]], ", ", Table1[[#This Row],[Billing Zip/Postal Code]])</f>
        <v>102 Ivanhoe Street, Perry, OK, 73077</v>
      </c>
    </row>
    <row r="2621" spans="1:13" ht="15.6" hidden="1" x14ac:dyDescent="0.3">
      <c r="A2621" s="1" t="s">
        <v>8039</v>
      </c>
      <c r="B2621" s="1"/>
      <c r="C2621" s="1"/>
      <c r="D2621" s="1"/>
      <c r="E2621" s="1"/>
      <c r="F2621" s="1"/>
      <c r="G2621" s="1" t="s">
        <v>8</v>
      </c>
      <c r="H2621" s="2">
        <v>6528</v>
      </c>
      <c r="I2621" s="1" t="s">
        <v>13</v>
      </c>
      <c r="J2621" s="1" t="s">
        <v>2579</v>
      </c>
      <c r="K2621" s="1" t="s">
        <v>147</v>
      </c>
      <c r="L2621" s="1" t="s">
        <v>13</v>
      </c>
      <c r="M2621" s="6" t="str">
        <f>_xlfn.CONCAT(Table1[[#This Row],[Billing Street]], ", ", Table1[[#This Row],[Billing City]], ", ", Table1[[#This Row],[Billing State/Province]], ", ", Table1[[#This Row],[Billing Zip/Postal Code]])</f>
        <v xml:space="preserve">, Frederick, OK, </v>
      </c>
    </row>
    <row r="2622" spans="1:13" ht="15.6" hidden="1" x14ac:dyDescent="0.3">
      <c r="A2622" s="1" t="s">
        <v>8040</v>
      </c>
      <c r="B2622" s="1"/>
      <c r="C2622" s="1"/>
      <c r="D2622" s="1"/>
      <c r="E2622" s="1"/>
      <c r="F2622" s="1"/>
      <c r="G2622" s="1" t="s">
        <v>8</v>
      </c>
      <c r="H2622" s="2">
        <v>6528</v>
      </c>
      <c r="I2622" s="1" t="s">
        <v>13</v>
      </c>
      <c r="J2622" s="1" t="s">
        <v>13</v>
      </c>
      <c r="K2622" s="1" t="s">
        <v>147</v>
      </c>
      <c r="L2622" s="1" t="s">
        <v>13</v>
      </c>
      <c r="M2622" s="6" t="str">
        <f>_xlfn.CONCAT(Table1[[#This Row],[Billing Street]], ", ", Table1[[#This Row],[Billing City]], ", ", Table1[[#This Row],[Billing State/Province]], ", ", Table1[[#This Row],[Billing Zip/Postal Code]])</f>
        <v xml:space="preserve">, , OK, </v>
      </c>
    </row>
    <row r="2623" spans="1:13" ht="15.6" hidden="1" x14ac:dyDescent="0.3">
      <c r="A2623" s="1" t="s">
        <v>8041</v>
      </c>
      <c r="B2623" s="1"/>
      <c r="C2623" s="1"/>
      <c r="D2623" s="1"/>
      <c r="E2623" s="1"/>
      <c r="F2623" s="1"/>
      <c r="G2623" s="1" t="s">
        <v>8</v>
      </c>
      <c r="H2623" s="2">
        <v>93</v>
      </c>
      <c r="I2623" s="1" t="s">
        <v>8042</v>
      </c>
      <c r="J2623" s="1" t="s">
        <v>7997</v>
      </c>
      <c r="K2623" s="1" t="s">
        <v>147</v>
      </c>
      <c r="L2623" s="1" t="s">
        <v>7998</v>
      </c>
      <c r="M2623" s="6" t="str">
        <f>_xlfn.CONCAT(Table1[[#This Row],[Billing Street]], ", ", Table1[[#This Row],[Billing City]], ", ", Table1[[#This Row],[Billing State/Province]], ", ", Table1[[#This Row],[Billing Zip/Postal Code]])</f>
        <v>220 E. Lawrence, Blackwell, OK, 74631</v>
      </c>
    </row>
    <row r="2624" spans="1:13" ht="15.6" hidden="1" x14ac:dyDescent="0.3">
      <c r="A2624" s="1" t="s">
        <v>8043</v>
      </c>
      <c r="B2624" s="1"/>
      <c r="C2624" s="1"/>
      <c r="D2624" s="1"/>
      <c r="E2624" s="1"/>
      <c r="F2624" s="1"/>
      <c r="G2624" s="1" t="s">
        <v>8</v>
      </c>
      <c r="H2624" s="2">
        <v>97</v>
      </c>
      <c r="I2624" s="1" t="s">
        <v>8044</v>
      </c>
      <c r="J2624" s="1" t="s">
        <v>8045</v>
      </c>
      <c r="K2624" s="1" t="s">
        <v>147</v>
      </c>
      <c r="L2624" s="1" t="s">
        <v>8046</v>
      </c>
      <c r="M2624" s="6" t="str">
        <f>_xlfn.CONCAT(Table1[[#This Row],[Billing Street]], ", ", Table1[[#This Row],[Billing City]], ", ", Table1[[#This Row],[Billing State/Province]], ", ", Table1[[#This Row],[Billing Zip/Postal Code]])</f>
        <v>300 N3495 Road, Cushing, OK, 74023</v>
      </c>
    </row>
    <row r="2625" spans="1:13" ht="15.6" hidden="1" x14ac:dyDescent="0.3">
      <c r="A2625" s="1" t="s">
        <v>8047</v>
      </c>
      <c r="B2625" s="1"/>
      <c r="C2625" s="1"/>
      <c r="D2625" s="1"/>
      <c r="E2625" s="1"/>
      <c r="F2625" s="1"/>
      <c r="G2625" s="1" t="s">
        <v>43</v>
      </c>
      <c r="H2625" s="2">
        <v>5776</v>
      </c>
      <c r="I2625" s="1" t="s">
        <v>8048</v>
      </c>
      <c r="J2625" s="1" t="s">
        <v>946</v>
      </c>
      <c r="K2625" s="1" t="s">
        <v>781</v>
      </c>
      <c r="L2625" s="1" t="s">
        <v>8049</v>
      </c>
      <c r="M2625" s="6" t="str">
        <f>_xlfn.CONCAT(Table1[[#This Row],[Billing Street]], ", ", Table1[[#This Row],[Billing City]], ", ", Table1[[#This Row],[Billing State/Province]], ", ", Table1[[#This Row],[Billing Zip/Postal Code]])</f>
        <v>898 Fern Hill Rd, West Chester, pa, 19380</v>
      </c>
    </row>
    <row r="2626" spans="1:13" ht="15.6" hidden="1" x14ac:dyDescent="0.3">
      <c r="A2626" s="1" t="s">
        <v>8050</v>
      </c>
      <c r="B2626" s="1"/>
      <c r="C2626" s="1"/>
      <c r="D2626" s="1"/>
      <c r="E2626" s="1"/>
      <c r="F2626" s="1"/>
      <c r="G2626" s="1" t="s">
        <v>8</v>
      </c>
      <c r="H2626" s="2">
        <v>199</v>
      </c>
      <c r="I2626" s="1" t="s">
        <v>8051</v>
      </c>
      <c r="J2626" s="1" t="s">
        <v>8001</v>
      </c>
      <c r="K2626" s="1" t="s">
        <v>147</v>
      </c>
      <c r="L2626" s="1" t="s">
        <v>8002</v>
      </c>
      <c r="M2626" s="6" t="str">
        <f>_xlfn.CONCAT(Table1[[#This Row],[Billing Street]], ", ", Table1[[#This Row],[Billing City]], ", ", Table1[[#This Row],[Billing State/Province]], ", ", Table1[[#This Row],[Billing Zip/Postal Code]])</f>
        <v>701 NE 7th, Anadarko, OK, 73005</v>
      </c>
    </row>
    <row r="2627" spans="1:13" ht="15.6" hidden="1" x14ac:dyDescent="0.3">
      <c r="A2627" s="1" t="s">
        <v>8052</v>
      </c>
      <c r="B2627" s="1"/>
      <c r="C2627" s="1"/>
      <c r="D2627" s="1"/>
      <c r="E2627" s="1"/>
      <c r="F2627" s="1"/>
      <c r="G2627" s="1" t="s">
        <v>8</v>
      </c>
      <c r="H2627" s="2">
        <v>263</v>
      </c>
      <c r="I2627" s="1" t="s">
        <v>8053</v>
      </c>
      <c r="J2627" s="1" t="s">
        <v>2527</v>
      </c>
      <c r="K2627" s="1" t="s">
        <v>147</v>
      </c>
      <c r="L2627" s="1" t="s">
        <v>8054</v>
      </c>
      <c r="M2627" s="6" t="str">
        <f>_xlfn.CONCAT(Table1[[#This Row],[Billing Street]], ", ", Table1[[#This Row],[Billing City]], ", ", Table1[[#This Row],[Billing State/Province]], ", ", Table1[[#This Row],[Billing Zip/Postal Code]])</f>
        <v>700 North Broadway Avenue, Tipton, OK, 73570</v>
      </c>
    </row>
    <row r="2628" spans="1:13" ht="15.6" hidden="1" x14ac:dyDescent="0.3">
      <c r="A2628" s="1" t="s">
        <v>8055</v>
      </c>
      <c r="B2628" s="1"/>
      <c r="C2628" s="1"/>
      <c r="D2628" s="1"/>
      <c r="E2628" s="1"/>
      <c r="F2628" s="1"/>
      <c r="G2628" s="1" t="s">
        <v>8</v>
      </c>
      <c r="H2628" s="2">
        <v>146</v>
      </c>
      <c r="I2628" s="1" t="s">
        <v>8056</v>
      </c>
      <c r="J2628" s="1" t="s">
        <v>434</v>
      </c>
      <c r="K2628" s="1" t="s">
        <v>147</v>
      </c>
      <c r="L2628" s="1" t="s">
        <v>8057</v>
      </c>
      <c r="M2628" s="6" t="str">
        <f>_xlfn.CONCAT(Table1[[#This Row],[Billing Street]], ", ", Table1[[#This Row],[Billing City]], ", ", Table1[[#This Row],[Billing State/Province]], ", ", Table1[[#This Row],[Billing Zip/Postal Code]])</f>
        <v>9800 North Oklahoma Ave, Oklahoma City, OK, 73114-7406</v>
      </c>
    </row>
    <row r="2629" spans="1:13" ht="15.6" hidden="1" x14ac:dyDescent="0.3">
      <c r="A2629" s="1" t="s">
        <v>8058</v>
      </c>
      <c r="B2629" s="1"/>
      <c r="C2629" s="1"/>
      <c r="D2629" s="1"/>
      <c r="E2629" s="1"/>
      <c r="F2629" s="1"/>
      <c r="G2629" s="1" t="s">
        <v>8</v>
      </c>
      <c r="H2629" s="2">
        <v>163</v>
      </c>
      <c r="I2629" s="1" t="s">
        <v>8059</v>
      </c>
      <c r="J2629" s="1" t="s">
        <v>1496</v>
      </c>
      <c r="K2629" s="1" t="s">
        <v>147</v>
      </c>
      <c r="L2629" s="1" t="s">
        <v>8060</v>
      </c>
      <c r="M2629" s="6" t="str">
        <f>_xlfn.CONCAT(Table1[[#This Row],[Billing Street]], ", ", Table1[[#This Row],[Billing City]], ", ", Table1[[#This Row],[Billing State/Province]], ", ", Table1[[#This Row],[Billing Zip/Postal Code]])</f>
        <v>2921 Monitor Ave, Norman, OK, 73072</v>
      </c>
    </row>
    <row r="2630" spans="1:13" ht="15.6" hidden="1" x14ac:dyDescent="0.3">
      <c r="A2630" s="1" t="s">
        <v>8061</v>
      </c>
      <c r="B2630" s="1"/>
      <c r="C2630" s="1"/>
      <c r="D2630" s="1"/>
      <c r="E2630" s="1"/>
      <c r="F2630" s="1"/>
      <c r="G2630" s="1" t="s">
        <v>43</v>
      </c>
      <c r="H2630" s="2">
        <v>366</v>
      </c>
      <c r="I2630" s="1" t="s">
        <v>8062</v>
      </c>
      <c r="J2630" s="1" t="s">
        <v>6851</v>
      </c>
      <c r="K2630" s="1" t="s">
        <v>237</v>
      </c>
      <c r="L2630" s="1" t="s">
        <v>6852</v>
      </c>
      <c r="M2630" s="6" t="str">
        <f>_xlfn.CONCAT(Table1[[#This Row],[Billing Street]], ", ", Table1[[#This Row],[Billing City]], ", ", Table1[[#This Row],[Billing State/Province]], ", ", Table1[[#This Row],[Billing Zip/Postal Code]])</f>
        <v>PO Box 219 - 1776 10th Street, Tell City, IN, 47586</v>
      </c>
    </row>
    <row r="2631" spans="1:13" ht="15.6" hidden="1" x14ac:dyDescent="0.3">
      <c r="A2631" s="1" t="s">
        <v>8063</v>
      </c>
      <c r="B2631" s="1"/>
      <c r="C2631" s="1"/>
      <c r="D2631" s="1"/>
      <c r="E2631" s="1"/>
      <c r="F2631" s="1"/>
      <c r="G2631" s="1" t="s">
        <v>8</v>
      </c>
      <c r="H2631" s="2">
        <v>6528</v>
      </c>
      <c r="I2631" s="1" t="s">
        <v>13</v>
      </c>
      <c r="J2631" s="1" t="s">
        <v>13</v>
      </c>
      <c r="K2631" s="1" t="s">
        <v>147</v>
      </c>
      <c r="L2631" s="1" t="s">
        <v>13</v>
      </c>
      <c r="M2631" s="6" t="str">
        <f>_xlfn.CONCAT(Table1[[#This Row],[Billing Street]], ", ", Table1[[#This Row],[Billing City]], ", ", Table1[[#This Row],[Billing State/Province]], ", ", Table1[[#This Row],[Billing Zip/Postal Code]])</f>
        <v xml:space="preserve">, , OK, </v>
      </c>
    </row>
    <row r="2632" spans="1:13" ht="15.6" hidden="1" x14ac:dyDescent="0.3">
      <c r="A2632" s="1" t="s">
        <v>8064</v>
      </c>
      <c r="B2632" s="1"/>
      <c r="C2632" s="1"/>
      <c r="D2632" s="1"/>
      <c r="E2632" s="1"/>
      <c r="F2632" s="1"/>
      <c r="G2632" s="1" t="s">
        <v>8</v>
      </c>
      <c r="H2632" s="2">
        <v>148</v>
      </c>
      <c r="I2632" s="1" t="s">
        <v>8065</v>
      </c>
      <c r="J2632" s="1" t="s">
        <v>434</v>
      </c>
      <c r="K2632" s="1" t="s">
        <v>147</v>
      </c>
      <c r="L2632" s="1" t="s">
        <v>8066</v>
      </c>
      <c r="M2632" s="6" t="str">
        <f>_xlfn.CONCAT(Table1[[#This Row],[Billing Street]], ", ", Table1[[#This Row],[Billing City]], ", ", Table1[[#This Row],[Billing State/Province]], ", ", Table1[[#This Row],[Billing Zip/Postal Code]])</f>
        <v>5801 Broadway Ext Suit 305, Oklahoma City, OK, 73118</v>
      </c>
    </row>
    <row r="2633" spans="1:13" ht="15.6" hidden="1" x14ac:dyDescent="0.3">
      <c r="A2633" s="1" t="s">
        <v>8067</v>
      </c>
      <c r="B2633" s="1"/>
      <c r="C2633" s="1"/>
      <c r="D2633" s="1"/>
      <c r="E2633" s="1"/>
      <c r="F2633" s="1"/>
      <c r="G2633" s="1" t="s">
        <v>8</v>
      </c>
      <c r="H2633" s="2">
        <v>6528</v>
      </c>
      <c r="I2633" s="1" t="s">
        <v>13</v>
      </c>
      <c r="J2633" s="1" t="s">
        <v>13</v>
      </c>
      <c r="K2633" s="1" t="s">
        <v>147</v>
      </c>
      <c r="L2633" s="1" t="s">
        <v>13</v>
      </c>
      <c r="M2633" s="6" t="str">
        <f>_xlfn.CONCAT(Table1[[#This Row],[Billing Street]], ", ", Table1[[#This Row],[Billing City]], ", ", Table1[[#This Row],[Billing State/Province]], ", ", Table1[[#This Row],[Billing Zip/Postal Code]])</f>
        <v xml:space="preserve">, , OK, </v>
      </c>
    </row>
    <row r="2634" spans="1:13" ht="15.6" hidden="1" x14ac:dyDescent="0.3">
      <c r="A2634" s="1" t="s">
        <v>8068</v>
      </c>
      <c r="B2634" s="1"/>
      <c r="C2634" s="1"/>
      <c r="D2634" s="1"/>
      <c r="E2634" s="1"/>
      <c r="F2634" s="1"/>
      <c r="G2634" s="1" t="s">
        <v>8</v>
      </c>
      <c r="H2634" s="2">
        <v>6528</v>
      </c>
      <c r="I2634" s="1" t="s">
        <v>13</v>
      </c>
      <c r="J2634" s="1" t="s">
        <v>13</v>
      </c>
      <c r="K2634" s="1" t="s">
        <v>147</v>
      </c>
      <c r="L2634" s="1" t="s">
        <v>13</v>
      </c>
      <c r="M2634" s="6" t="str">
        <f>_xlfn.CONCAT(Table1[[#This Row],[Billing Street]], ", ", Table1[[#This Row],[Billing City]], ", ", Table1[[#This Row],[Billing State/Province]], ", ", Table1[[#This Row],[Billing Zip/Postal Code]])</f>
        <v xml:space="preserve">, , OK, </v>
      </c>
    </row>
    <row r="2635" spans="1:13" ht="15.6" hidden="1" x14ac:dyDescent="0.3">
      <c r="A2635" s="1" t="s">
        <v>8069</v>
      </c>
      <c r="B2635" s="1"/>
      <c r="C2635" s="1"/>
      <c r="D2635" s="1"/>
      <c r="E2635" s="1"/>
      <c r="F2635" s="1"/>
      <c r="G2635" s="1" t="s">
        <v>43</v>
      </c>
      <c r="H2635" s="2">
        <v>397</v>
      </c>
      <c r="I2635" s="1" t="s">
        <v>8070</v>
      </c>
      <c r="J2635" s="1" t="s">
        <v>8071</v>
      </c>
      <c r="K2635" s="1" t="s">
        <v>133</v>
      </c>
      <c r="L2635" s="1" t="s">
        <v>8072</v>
      </c>
      <c r="M2635" s="6" t="str">
        <f>_xlfn.CONCAT(Table1[[#This Row],[Billing Street]], ", ", Table1[[#This Row],[Billing City]], ", ", Table1[[#This Row],[Billing State/Province]], ", ", Table1[[#This Row],[Billing Zip/Postal Code]])</f>
        <v>100 Lincoln Dr, Juneau, WI, 53039</v>
      </c>
    </row>
    <row r="2636" spans="1:13" ht="15.6" hidden="1" x14ac:dyDescent="0.3">
      <c r="A2636" s="1" t="s">
        <v>8073</v>
      </c>
      <c r="B2636" s="1"/>
      <c r="C2636" s="1"/>
      <c r="D2636" s="1"/>
      <c r="E2636" s="1"/>
      <c r="F2636" s="1"/>
      <c r="G2636" s="1" t="s">
        <v>13</v>
      </c>
      <c r="H2636" s="2">
        <v>0</v>
      </c>
      <c r="I2636" s="1" t="s">
        <v>8074</v>
      </c>
      <c r="J2636" s="1" t="s">
        <v>13</v>
      </c>
      <c r="K2636" s="1" t="s">
        <v>8075</v>
      </c>
      <c r="L2636" s="1" t="s">
        <v>8076</v>
      </c>
      <c r="M2636" s="6" t="str">
        <f>_xlfn.CONCAT(Table1[[#This Row],[Billing Street]], ", ", Table1[[#This Row],[Billing City]], ", ", Table1[[#This Row],[Billing State/Province]], ", ", Table1[[#This Row],[Billing Zip/Postal Code]])</f>
        <v>720-770 Queenston Rd. Hamilton, , ON, LG8 1A6</v>
      </c>
    </row>
    <row r="2637" spans="1:13" ht="15.6" hidden="1" x14ac:dyDescent="0.3">
      <c r="A2637" s="1" t="s">
        <v>8077</v>
      </c>
      <c r="B2637" s="1"/>
      <c r="C2637" s="1"/>
      <c r="D2637" s="1"/>
      <c r="E2637" s="1"/>
      <c r="F2637" s="1"/>
      <c r="G2637" s="1" t="s">
        <v>54</v>
      </c>
      <c r="H2637" s="2">
        <v>691</v>
      </c>
      <c r="I2637" s="1" t="s">
        <v>8078</v>
      </c>
      <c r="J2637" s="1" t="s">
        <v>8079</v>
      </c>
      <c r="K2637" s="1" t="s">
        <v>2254</v>
      </c>
      <c r="L2637" s="1" t="s">
        <v>8080</v>
      </c>
      <c r="M2637" s="6" t="str">
        <f>_xlfn.CONCAT(Table1[[#This Row],[Billing Street]], ", ", Table1[[#This Row],[Billing City]], ", ", Table1[[#This Row],[Billing State/Province]], ", ", Table1[[#This Row],[Billing Zip/Postal Code]])</f>
        <v>43050 US-101, Port Orford, OR, 97465</v>
      </c>
    </row>
    <row r="2638" spans="1:13" ht="15.6" hidden="1" x14ac:dyDescent="0.3">
      <c r="A2638" s="1" t="s">
        <v>8081</v>
      </c>
      <c r="B2638" s="1"/>
      <c r="C2638" s="1"/>
      <c r="D2638" s="1"/>
      <c r="E2638" s="1"/>
      <c r="F2638" s="1"/>
      <c r="G2638" s="1" t="s">
        <v>43</v>
      </c>
      <c r="H2638" s="2">
        <v>77</v>
      </c>
      <c r="I2638" s="1" t="s">
        <v>8082</v>
      </c>
      <c r="J2638" s="1" t="s">
        <v>8083</v>
      </c>
      <c r="K2638" s="1" t="s">
        <v>241</v>
      </c>
      <c r="L2638" s="1" t="s">
        <v>8084</v>
      </c>
      <c r="M2638" s="6" t="str">
        <f>_xlfn.CONCAT(Table1[[#This Row],[Billing Street]], ", ", Table1[[#This Row],[Billing City]], ", ", Table1[[#This Row],[Billing State/Province]], ", ", Table1[[#This Row],[Billing Zip/Postal Code]])</f>
        <v>191 Front street, Zelienople, PA, 16063</v>
      </c>
    </row>
    <row r="2639" spans="1:13" ht="15.6" hidden="1" x14ac:dyDescent="0.3">
      <c r="A2639" s="1" t="s">
        <v>8085</v>
      </c>
      <c r="B2639" s="1"/>
      <c r="C2639" s="1"/>
      <c r="D2639" s="1"/>
      <c r="E2639" s="1"/>
      <c r="F2639" s="1"/>
      <c r="G2639" s="1" t="s">
        <v>54</v>
      </c>
      <c r="H2639" s="2">
        <v>5</v>
      </c>
      <c r="I2639" s="1" t="s">
        <v>8086</v>
      </c>
      <c r="J2639" s="1" t="s">
        <v>2048</v>
      </c>
      <c r="K2639" s="1" t="s">
        <v>57</v>
      </c>
      <c r="L2639" s="1" t="s">
        <v>8087</v>
      </c>
      <c r="M2639" s="6" t="str">
        <f>_xlfn.CONCAT(Table1[[#This Row],[Billing Street]], ", ", Table1[[#This Row],[Billing City]], ", ", Table1[[#This Row],[Billing State/Province]], ", ", Table1[[#This Row],[Billing Zip/Postal Code]])</f>
        <v>4557 York Blvd, Los Angeles, CA, 90041</v>
      </c>
    </row>
    <row r="2640" spans="1:13" ht="15.6" hidden="1" x14ac:dyDescent="0.3">
      <c r="A2640" s="1" t="s">
        <v>8088</v>
      </c>
      <c r="B2640" s="1"/>
      <c r="C2640" s="1"/>
      <c r="D2640" s="1"/>
      <c r="E2640" s="1"/>
      <c r="F2640" s="1"/>
      <c r="G2640" s="1" t="s">
        <v>43</v>
      </c>
      <c r="H2640" s="2">
        <v>348</v>
      </c>
      <c r="I2640" s="1" t="s">
        <v>8089</v>
      </c>
      <c r="J2640" s="1" t="s">
        <v>6001</v>
      </c>
      <c r="K2640" s="1" t="s">
        <v>275</v>
      </c>
      <c r="L2640" s="1" t="s">
        <v>8090</v>
      </c>
      <c r="M2640" s="6" t="str">
        <f>_xlfn.CONCAT(Table1[[#This Row],[Billing Street]], ", ", Table1[[#This Row],[Billing City]], ", ", Table1[[#This Row],[Billing State/Province]], ", ", Table1[[#This Row],[Billing Zip/Postal Code]])</f>
        <v>52 Ferndale loomis Rd, Liberty, ny, 12754</v>
      </c>
    </row>
    <row r="2641" spans="1:13" ht="15.6" hidden="1" x14ac:dyDescent="0.3">
      <c r="A2641" s="1" t="s">
        <v>8091</v>
      </c>
      <c r="B2641" s="1"/>
      <c r="C2641" s="1"/>
      <c r="D2641" s="1"/>
      <c r="E2641" s="1"/>
      <c r="F2641" s="1"/>
      <c r="G2641" s="1" t="s">
        <v>43</v>
      </c>
      <c r="H2641" s="2">
        <v>5776</v>
      </c>
      <c r="I2641" s="1" t="s">
        <v>13</v>
      </c>
      <c r="J2641" s="1" t="s">
        <v>13</v>
      </c>
      <c r="K2641" s="1" t="s">
        <v>241</v>
      </c>
      <c r="L2641" s="1" t="s">
        <v>13</v>
      </c>
      <c r="M2641" s="6" t="str">
        <f>_xlfn.CONCAT(Table1[[#This Row],[Billing Street]], ", ", Table1[[#This Row],[Billing City]], ", ", Table1[[#This Row],[Billing State/Province]], ", ", Table1[[#This Row],[Billing Zip/Postal Code]])</f>
        <v xml:space="preserve">, , PA, </v>
      </c>
    </row>
    <row r="2642" spans="1:13" ht="15.6" hidden="1" x14ac:dyDescent="0.3">
      <c r="A2642" s="1" t="s">
        <v>8092</v>
      </c>
      <c r="B2642" s="1"/>
      <c r="C2642" s="1"/>
      <c r="D2642" s="1"/>
      <c r="E2642" s="1"/>
      <c r="F2642" s="1"/>
      <c r="G2642" s="1" t="s">
        <v>43</v>
      </c>
      <c r="H2642" s="2">
        <v>5776</v>
      </c>
      <c r="I2642" s="1" t="s">
        <v>8093</v>
      </c>
      <c r="J2642" s="1" t="s">
        <v>8094</v>
      </c>
      <c r="K2642" s="1" t="s">
        <v>586</v>
      </c>
      <c r="L2642" s="1" t="s">
        <v>8095</v>
      </c>
      <c r="M2642" s="6" t="str">
        <f>_xlfn.CONCAT(Table1[[#This Row],[Billing Street]], ", ", Table1[[#This Row],[Billing City]], ", ", Table1[[#This Row],[Billing State/Province]], ", ", Table1[[#This Row],[Billing Zip/Postal Code]])</f>
        <v>465 Medford St suite 2200, boston, ma, 2129</v>
      </c>
    </row>
    <row r="2643" spans="1:13" ht="15.6" hidden="1" x14ac:dyDescent="0.3">
      <c r="A2643" s="1" t="s">
        <v>8096</v>
      </c>
      <c r="B2643" s="1"/>
      <c r="C2643" s="1"/>
      <c r="D2643" s="1"/>
      <c r="E2643" s="1"/>
      <c r="F2643" s="1"/>
      <c r="G2643" s="1" t="s">
        <v>54</v>
      </c>
      <c r="H2643" s="2">
        <v>20</v>
      </c>
      <c r="I2643" s="1" t="s">
        <v>8097</v>
      </c>
      <c r="J2643" s="1" t="s">
        <v>5167</v>
      </c>
      <c r="K2643" s="1" t="s">
        <v>57</v>
      </c>
      <c r="L2643" s="1" t="s">
        <v>5168</v>
      </c>
      <c r="M2643" s="6" t="str">
        <f>_xlfn.CONCAT(Table1[[#This Row],[Billing Street]], ", ", Table1[[#This Row],[Billing City]], ", ", Table1[[#This Row],[Billing State/Province]], ", ", Table1[[#This Row],[Billing Zip/Postal Code]])</f>
        <v>3822 W Cerritos Ave, Los Alamitos, CA 90720, Los Alamitos, CA, 90720</v>
      </c>
    </row>
    <row r="2644" spans="1:13" ht="15.6" hidden="1" x14ac:dyDescent="0.3">
      <c r="A2644" s="1" t="s">
        <v>8098</v>
      </c>
      <c r="B2644" s="1"/>
      <c r="C2644" s="1"/>
      <c r="D2644" s="1"/>
      <c r="E2644" s="1"/>
      <c r="F2644" s="1"/>
      <c r="G2644" s="1" t="s">
        <v>54</v>
      </c>
      <c r="H2644" s="2">
        <v>53</v>
      </c>
      <c r="I2644" s="1" t="s">
        <v>8099</v>
      </c>
      <c r="J2644" s="1" t="s">
        <v>8100</v>
      </c>
      <c r="K2644" s="1" t="s">
        <v>57</v>
      </c>
      <c r="L2644" s="1" t="s">
        <v>8101</v>
      </c>
      <c r="M2644" s="6" t="str">
        <f>_xlfn.CONCAT(Table1[[#This Row],[Billing Street]], ", ", Table1[[#This Row],[Billing City]], ", ", Table1[[#This Row],[Billing State/Province]], ", ", Table1[[#This Row],[Billing Zip/Postal Code]])</f>
        <v>5500 University Parkway, San Bernardino CA 92407, San Bernardino, CA, 92407</v>
      </c>
    </row>
    <row r="2645" spans="1:13" ht="15.6" hidden="1" x14ac:dyDescent="0.3">
      <c r="A2645" s="1" t="s">
        <v>8102</v>
      </c>
      <c r="B2645" s="1"/>
      <c r="C2645" s="1"/>
      <c r="D2645" s="1"/>
      <c r="E2645" s="1"/>
      <c r="F2645" s="1"/>
      <c r="G2645" s="1" t="s">
        <v>8</v>
      </c>
      <c r="H2645" s="2">
        <v>435</v>
      </c>
      <c r="I2645" s="1" t="s">
        <v>8103</v>
      </c>
      <c r="J2645" s="1" t="s">
        <v>487</v>
      </c>
      <c r="K2645" s="1" t="s">
        <v>208</v>
      </c>
      <c r="L2645" s="1" t="s">
        <v>488</v>
      </c>
      <c r="M2645" s="6" t="str">
        <f>_xlfn.CONCAT(Table1[[#This Row],[Billing Street]], ", ", Table1[[#This Row],[Billing City]], ", ", Table1[[#This Row],[Billing State/Province]], ", ", Table1[[#This Row],[Billing Zip/Postal Code]])</f>
        <v>1300 S Interocean, Holyoke, CO, 80734</v>
      </c>
    </row>
    <row r="2646" spans="1:13" ht="15.6" hidden="1" x14ac:dyDescent="0.3">
      <c r="A2646" s="1" t="s">
        <v>8104</v>
      </c>
      <c r="B2646" s="1"/>
      <c r="C2646" s="1"/>
      <c r="D2646" s="1"/>
      <c r="E2646" s="1"/>
      <c r="F2646" s="1"/>
      <c r="G2646" s="1" t="s">
        <v>8</v>
      </c>
      <c r="H2646" s="2">
        <v>578</v>
      </c>
      <c r="I2646" s="1" t="s">
        <v>8105</v>
      </c>
      <c r="J2646" s="1" t="s">
        <v>483</v>
      </c>
      <c r="K2646" s="1" t="s">
        <v>208</v>
      </c>
      <c r="L2646" s="1" t="s">
        <v>484</v>
      </c>
      <c r="M2646" s="6" t="str">
        <f>_xlfn.CONCAT(Table1[[#This Row],[Billing Street]], ", ", Table1[[#This Row],[Billing City]], ", ", Table1[[#This Row],[Billing State/Province]], ", ", Table1[[#This Row],[Billing Zip/Postal Code]])</f>
        <v>294 S Worth, Center, CO, 81125</v>
      </c>
    </row>
    <row r="2647" spans="1:13" ht="15.6" hidden="1" x14ac:dyDescent="0.3">
      <c r="A2647" s="1" t="s">
        <v>8106</v>
      </c>
      <c r="B2647" s="1"/>
      <c r="C2647" s="1"/>
      <c r="D2647" s="1"/>
      <c r="E2647" s="1"/>
      <c r="F2647" s="1"/>
      <c r="G2647" s="1" t="s">
        <v>8</v>
      </c>
      <c r="H2647" s="2">
        <v>692</v>
      </c>
      <c r="I2647" s="1" t="s">
        <v>8107</v>
      </c>
      <c r="J2647" s="1" t="s">
        <v>8108</v>
      </c>
      <c r="K2647" s="1" t="s">
        <v>208</v>
      </c>
      <c r="L2647" s="1" t="s">
        <v>8109</v>
      </c>
      <c r="M2647" s="6" t="str">
        <f>_xlfn.CONCAT(Table1[[#This Row],[Billing Street]], ", ", Table1[[#This Row],[Billing City]], ", ", Table1[[#This Row],[Billing State/Province]], ", ", Table1[[#This Row],[Billing Zip/Postal Code]])</f>
        <v>233 6th St, Meeker, CO, 81641</v>
      </c>
    </row>
    <row r="2648" spans="1:13" ht="15.6" hidden="1" x14ac:dyDescent="0.3">
      <c r="A2648" s="1" t="s">
        <v>8110</v>
      </c>
      <c r="B2648" s="1"/>
      <c r="C2648" s="1"/>
      <c r="D2648" s="1"/>
      <c r="E2648" s="1"/>
      <c r="F2648" s="1"/>
      <c r="G2648" s="1" t="s">
        <v>8</v>
      </c>
      <c r="H2648" s="2">
        <v>150</v>
      </c>
      <c r="I2648" s="1" t="s">
        <v>8111</v>
      </c>
      <c r="J2648" s="1" t="s">
        <v>896</v>
      </c>
      <c r="K2648" s="1" t="s">
        <v>11</v>
      </c>
      <c r="L2648" s="1" t="s">
        <v>8112</v>
      </c>
      <c r="M2648" s="6" t="str">
        <f>_xlfn.CONCAT(Table1[[#This Row],[Billing Street]], ", ", Table1[[#This Row],[Billing City]], ", ", Table1[[#This Row],[Billing State/Province]], ", ", Table1[[#This Row],[Billing Zip/Postal Code]])</f>
        <v>P.O. Box 18220, Kansas City, MO, 64133</v>
      </c>
    </row>
    <row r="2649" spans="1:13" ht="15.6" hidden="1" x14ac:dyDescent="0.3">
      <c r="A2649" s="1" t="s">
        <v>8113</v>
      </c>
      <c r="B2649" s="1"/>
      <c r="C2649" s="1"/>
      <c r="D2649" s="1"/>
      <c r="E2649" s="1"/>
      <c r="F2649" s="1"/>
      <c r="G2649" s="1" t="s">
        <v>8</v>
      </c>
      <c r="H2649" s="2">
        <v>556</v>
      </c>
      <c r="I2649" s="1" t="s">
        <v>8114</v>
      </c>
      <c r="J2649" s="1" t="s">
        <v>8115</v>
      </c>
      <c r="K2649" s="1" t="s">
        <v>128</v>
      </c>
      <c r="L2649" s="1" t="s">
        <v>8116</v>
      </c>
      <c r="M2649" s="6" t="str">
        <f>_xlfn.CONCAT(Table1[[#This Row],[Billing Street]], ", ", Table1[[#This Row],[Billing City]], ", ", Table1[[#This Row],[Billing State/Province]], ", ", Table1[[#This Row],[Billing Zip/Postal Code]])</f>
        <v>5421 Feltl Rd Suite 190, Minnetonka, MN, 55343</v>
      </c>
    </row>
    <row r="2650" spans="1:13" ht="15.6" hidden="1" x14ac:dyDescent="0.3">
      <c r="A2650" s="1" t="s">
        <v>8117</v>
      </c>
      <c r="B2650" s="1"/>
      <c r="C2650" s="1"/>
      <c r="D2650" s="1"/>
      <c r="E2650" s="1"/>
      <c r="F2650" s="1"/>
      <c r="G2650" s="1" t="s">
        <v>43</v>
      </c>
      <c r="H2650" s="2">
        <v>5776</v>
      </c>
      <c r="I2650" s="1" t="s">
        <v>13</v>
      </c>
      <c r="J2650" s="1" t="s">
        <v>13</v>
      </c>
      <c r="K2650" s="1" t="s">
        <v>241</v>
      </c>
      <c r="L2650" s="1" t="s">
        <v>13</v>
      </c>
      <c r="M2650" s="6" t="str">
        <f>_xlfn.CONCAT(Table1[[#This Row],[Billing Street]], ", ", Table1[[#This Row],[Billing City]], ", ", Table1[[#This Row],[Billing State/Province]], ", ", Table1[[#This Row],[Billing Zip/Postal Code]])</f>
        <v xml:space="preserve">, , PA, </v>
      </c>
    </row>
    <row r="2651" spans="1:13" ht="15.6" x14ac:dyDescent="0.3">
      <c r="A2651" s="1" t="s">
        <v>8118</v>
      </c>
      <c r="B2651" s="1"/>
      <c r="C2651" s="1"/>
      <c r="D2651" s="1"/>
      <c r="E2651" s="1"/>
      <c r="F2651" s="1"/>
      <c r="G2651" s="1" t="s">
        <v>24</v>
      </c>
      <c r="H2651" s="2">
        <v>5988</v>
      </c>
      <c r="I2651" s="1" t="s">
        <v>8119</v>
      </c>
      <c r="J2651" s="1" t="s">
        <v>1831</v>
      </c>
      <c r="K2651" s="1" t="s">
        <v>31</v>
      </c>
      <c r="L2651" s="1" t="s">
        <v>8120</v>
      </c>
      <c r="M2651" s="6" t="str">
        <f>_xlfn.CONCAT(Table1[[#This Row],[Billing Street]], ", ", Table1[[#This Row],[Billing City]], ", ", Table1[[#This Row],[Billing State/Province]], ", ", Table1[[#This Row],[Billing Zip/Postal Code]])</f>
        <v>805 W 5th, Laurel, MS, 39441</v>
      </c>
    </row>
    <row r="2652" spans="1:13" ht="15.6" hidden="1" x14ac:dyDescent="0.3">
      <c r="A2652" s="1" t="s">
        <v>8121</v>
      </c>
      <c r="B2652" s="1"/>
      <c r="C2652" s="1"/>
      <c r="D2652" s="1"/>
      <c r="E2652" s="1"/>
      <c r="F2652" s="1"/>
      <c r="G2652" s="1" t="s">
        <v>43</v>
      </c>
      <c r="H2652" s="2">
        <v>327</v>
      </c>
      <c r="I2652" s="1" t="s">
        <v>8122</v>
      </c>
      <c r="J2652" s="1" t="s">
        <v>8123</v>
      </c>
      <c r="K2652" s="1" t="s">
        <v>3127</v>
      </c>
      <c r="L2652" s="1" t="s">
        <v>8124</v>
      </c>
      <c r="M2652" s="6" t="str">
        <f>_xlfn.CONCAT(Table1[[#This Row],[Billing Street]], ", ", Table1[[#This Row],[Billing City]], ", ", Table1[[#This Row],[Billing State/Province]], ", ", Table1[[#This Row],[Billing Zip/Postal Code]])</f>
        <v>1 Righter Parkway suite 110, Wilmington, De, 19803</v>
      </c>
    </row>
    <row r="2653" spans="1:13" ht="15.6" hidden="1" x14ac:dyDescent="0.3">
      <c r="A2653" s="1" t="s">
        <v>8125</v>
      </c>
      <c r="B2653" s="1"/>
      <c r="C2653" s="1"/>
      <c r="D2653" s="1"/>
      <c r="E2653" s="1"/>
      <c r="F2653" s="1"/>
      <c r="G2653" s="1" t="s">
        <v>8</v>
      </c>
      <c r="H2653" s="2">
        <v>787</v>
      </c>
      <c r="I2653" s="1" t="s">
        <v>8126</v>
      </c>
      <c r="J2653" s="1" t="s">
        <v>8127</v>
      </c>
      <c r="K2653" s="1" t="s">
        <v>410</v>
      </c>
      <c r="L2653" s="1" t="s">
        <v>8128</v>
      </c>
      <c r="M2653" s="6" t="str">
        <f>_xlfn.CONCAT(Table1[[#This Row],[Billing Street]], ", ", Table1[[#This Row],[Billing City]], ", ", Table1[[#This Row],[Billing State/Province]], ", ", Table1[[#This Row],[Billing Zip/Postal Code]])</f>
        <v>2880 Kirby Creek Rd, Thermopolis, WY, 82443</v>
      </c>
    </row>
    <row r="2654" spans="1:13" ht="15.6" hidden="1" x14ac:dyDescent="0.3">
      <c r="A2654" s="1" t="s">
        <v>8129</v>
      </c>
      <c r="B2654" s="1"/>
      <c r="C2654" s="1"/>
      <c r="D2654" s="1"/>
      <c r="E2654" s="1"/>
      <c r="F2654" s="1"/>
      <c r="G2654" s="1" t="s">
        <v>43</v>
      </c>
      <c r="H2654" s="2">
        <v>5776</v>
      </c>
      <c r="I2654" s="1" t="s">
        <v>13</v>
      </c>
      <c r="J2654" s="1" t="s">
        <v>13</v>
      </c>
      <c r="K2654" s="1" t="s">
        <v>241</v>
      </c>
      <c r="L2654" s="1" t="s">
        <v>13</v>
      </c>
      <c r="M2654" s="6" t="str">
        <f>_xlfn.CONCAT(Table1[[#This Row],[Billing Street]], ", ", Table1[[#This Row],[Billing City]], ", ", Table1[[#This Row],[Billing State/Province]], ", ", Table1[[#This Row],[Billing Zip/Postal Code]])</f>
        <v xml:space="preserve">, , PA, </v>
      </c>
    </row>
    <row r="2655" spans="1:13" ht="15.6" hidden="1" x14ac:dyDescent="0.3">
      <c r="A2655" s="1" t="s">
        <v>8130</v>
      </c>
      <c r="B2655" s="1"/>
      <c r="C2655" s="1"/>
      <c r="D2655" s="1"/>
      <c r="E2655" s="1"/>
      <c r="F2655" s="1"/>
      <c r="G2655" s="1" t="s">
        <v>43</v>
      </c>
      <c r="H2655" s="2">
        <v>5776</v>
      </c>
      <c r="I2655" s="1" t="s">
        <v>13</v>
      </c>
      <c r="J2655" s="1" t="s">
        <v>13</v>
      </c>
      <c r="K2655" s="1" t="s">
        <v>241</v>
      </c>
      <c r="L2655" s="1" t="s">
        <v>13</v>
      </c>
      <c r="M2655" s="6" t="str">
        <f>_xlfn.CONCAT(Table1[[#This Row],[Billing Street]], ", ", Table1[[#This Row],[Billing City]], ", ", Table1[[#This Row],[Billing State/Province]], ", ", Table1[[#This Row],[Billing Zip/Postal Code]])</f>
        <v xml:space="preserve">, , PA, </v>
      </c>
    </row>
    <row r="2656" spans="1:13" ht="15.6" hidden="1" x14ac:dyDescent="0.3">
      <c r="A2656" s="1" t="s">
        <v>8131</v>
      </c>
      <c r="B2656" s="1"/>
      <c r="C2656" s="1"/>
      <c r="D2656" s="1"/>
      <c r="E2656" s="1"/>
      <c r="F2656" s="1"/>
      <c r="G2656" s="1" t="s">
        <v>8</v>
      </c>
      <c r="H2656" s="2">
        <v>6528</v>
      </c>
      <c r="I2656" s="1" t="s">
        <v>13</v>
      </c>
      <c r="J2656" s="1" t="s">
        <v>13</v>
      </c>
      <c r="K2656" s="1" t="s">
        <v>11</v>
      </c>
      <c r="L2656" s="1" t="s">
        <v>13</v>
      </c>
      <c r="M2656" s="6" t="str">
        <f>_xlfn.CONCAT(Table1[[#This Row],[Billing Street]], ", ", Table1[[#This Row],[Billing City]], ", ", Table1[[#This Row],[Billing State/Province]], ", ", Table1[[#This Row],[Billing Zip/Postal Code]])</f>
        <v xml:space="preserve">, , MO, </v>
      </c>
    </row>
    <row r="2657" spans="1:13" ht="15.6" hidden="1" x14ac:dyDescent="0.3">
      <c r="A2657" s="1" t="s">
        <v>8132</v>
      </c>
      <c r="B2657" s="1"/>
      <c r="C2657" s="1"/>
      <c r="D2657" s="1"/>
      <c r="E2657" s="1"/>
      <c r="F2657" s="1"/>
      <c r="G2657" s="1" t="s">
        <v>8</v>
      </c>
      <c r="H2657" s="2">
        <v>6528</v>
      </c>
      <c r="I2657" s="1" t="s">
        <v>13</v>
      </c>
      <c r="J2657" s="1" t="s">
        <v>8133</v>
      </c>
      <c r="K2657" s="1" t="s">
        <v>11</v>
      </c>
      <c r="L2657" s="1" t="s">
        <v>13</v>
      </c>
      <c r="M2657" s="6" t="str">
        <f>_xlfn.CONCAT(Table1[[#This Row],[Billing Street]], ", ", Table1[[#This Row],[Billing City]], ", ", Table1[[#This Row],[Billing State/Province]], ", ", Table1[[#This Row],[Billing Zip/Postal Code]])</f>
        <v xml:space="preserve">, Nixa, MO, </v>
      </c>
    </row>
    <row r="2658" spans="1:13" ht="15.6" x14ac:dyDescent="0.3">
      <c r="A2658" s="1" t="s">
        <v>8134</v>
      </c>
      <c r="B2658" s="1"/>
      <c r="C2658" s="1"/>
      <c r="D2658" s="1"/>
      <c r="E2658" s="1"/>
      <c r="F2658" s="1"/>
      <c r="G2658" s="1" t="s">
        <v>24</v>
      </c>
      <c r="H2658" s="2">
        <v>197</v>
      </c>
      <c r="I2658" s="1" t="s">
        <v>8135</v>
      </c>
      <c r="J2658" s="1" t="s">
        <v>372</v>
      </c>
      <c r="K2658" s="1" t="s">
        <v>26</v>
      </c>
      <c r="L2658" s="1" t="s">
        <v>2695</v>
      </c>
      <c r="M2658" s="6" t="str">
        <f>_xlfn.CONCAT(Table1[[#This Row],[Billing Street]], ", ", Table1[[#This Row],[Billing City]], ", ", Table1[[#This Row],[Billing State/Province]], ", ", Table1[[#This Row],[Billing Zip/Postal Code]])</f>
        <v>801 2nd Ave North, Birmingham, AL, 35203</v>
      </c>
    </row>
    <row r="2659" spans="1:13" ht="15.6" hidden="1" x14ac:dyDescent="0.3">
      <c r="A2659" s="1" t="s">
        <v>8136</v>
      </c>
      <c r="B2659" s="1"/>
      <c r="C2659" s="1"/>
      <c r="D2659" s="1"/>
      <c r="E2659" s="1"/>
      <c r="F2659" s="1"/>
      <c r="G2659" s="1" t="s">
        <v>43</v>
      </c>
      <c r="H2659" s="2">
        <v>5776</v>
      </c>
      <c r="I2659" s="1" t="s">
        <v>13</v>
      </c>
      <c r="J2659" s="1" t="s">
        <v>13</v>
      </c>
      <c r="K2659" s="1" t="s">
        <v>241</v>
      </c>
      <c r="L2659" s="1" t="s">
        <v>13</v>
      </c>
      <c r="M2659" s="6" t="str">
        <f>_xlfn.CONCAT(Table1[[#This Row],[Billing Street]], ", ", Table1[[#This Row],[Billing City]], ", ", Table1[[#This Row],[Billing State/Province]], ", ", Table1[[#This Row],[Billing Zip/Postal Code]])</f>
        <v xml:space="preserve">, , PA, </v>
      </c>
    </row>
    <row r="2660" spans="1:13" ht="15.6" x14ac:dyDescent="0.3">
      <c r="A2660" s="1" t="s">
        <v>8137</v>
      </c>
      <c r="B2660" s="1"/>
      <c r="C2660" s="1"/>
      <c r="D2660" s="1"/>
      <c r="E2660" s="1"/>
      <c r="F2660" s="1"/>
      <c r="G2660" s="1" t="s">
        <v>24</v>
      </c>
      <c r="H2660" s="2">
        <v>231</v>
      </c>
      <c r="I2660" s="1" t="s">
        <v>8138</v>
      </c>
      <c r="J2660" s="1" t="s">
        <v>5070</v>
      </c>
      <c r="K2660" s="1" t="s">
        <v>26</v>
      </c>
      <c r="L2660" s="1" t="s">
        <v>8139</v>
      </c>
      <c r="M2660" s="6" t="str">
        <f>_xlfn.CONCAT(Table1[[#This Row],[Billing Street]], ", ", Table1[[#This Row],[Billing City]], ", ", Table1[[#This Row],[Billing State/Province]], ", ", Table1[[#This Row],[Billing Zip/Postal Code]])</f>
        <v>218 Highway 195 Jasper, AL 35503, Jasper, AL, 35503</v>
      </c>
    </row>
    <row r="2661" spans="1:13" ht="15.6" x14ac:dyDescent="0.3">
      <c r="A2661" s="1" t="s">
        <v>8140</v>
      </c>
      <c r="B2661" s="1"/>
      <c r="C2661" s="1"/>
      <c r="D2661" s="1"/>
      <c r="E2661" s="1"/>
      <c r="F2661" s="1"/>
      <c r="G2661" s="1" t="s">
        <v>24</v>
      </c>
      <c r="H2661" s="2">
        <v>5988</v>
      </c>
      <c r="I2661" s="1" t="s">
        <v>8141</v>
      </c>
      <c r="J2661" s="1" t="s">
        <v>2721</v>
      </c>
      <c r="K2661" s="1" t="s">
        <v>26</v>
      </c>
      <c r="L2661" s="1" t="s">
        <v>2722</v>
      </c>
      <c r="M2661" s="6" t="str">
        <f>_xlfn.CONCAT(Table1[[#This Row],[Billing Street]], ", ", Table1[[#This Row],[Billing City]], ", ", Table1[[#This Row],[Billing State/Province]], ", ", Table1[[#This Row],[Billing Zip/Postal Code]])</f>
        <v>804 Vulcan St., Foley, AL, 36535</v>
      </c>
    </row>
    <row r="2662" spans="1:13" ht="15.6" hidden="1" x14ac:dyDescent="0.3">
      <c r="A2662" s="1" t="s">
        <v>8142</v>
      </c>
      <c r="B2662" s="1"/>
      <c r="C2662" s="1"/>
      <c r="D2662" s="1"/>
      <c r="E2662" s="1"/>
      <c r="F2662" s="1"/>
      <c r="G2662" s="1" t="s">
        <v>43</v>
      </c>
      <c r="H2662" s="2">
        <v>5776</v>
      </c>
      <c r="I2662" s="1" t="s">
        <v>13</v>
      </c>
      <c r="J2662" s="1" t="s">
        <v>13</v>
      </c>
      <c r="K2662" s="1" t="s">
        <v>241</v>
      </c>
      <c r="L2662" s="1" t="s">
        <v>13</v>
      </c>
      <c r="M2662" s="6" t="str">
        <f>_xlfn.CONCAT(Table1[[#This Row],[Billing Street]], ", ", Table1[[#This Row],[Billing City]], ", ", Table1[[#This Row],[Billing State/Province]], ", ", Table1[[#This Row],[Billing Zip/Postal Code]])</f>
        <v xml:space="preserve">, , PA, </v>
      </c>
    </row>
    <row r="2663" spans="1:13" ht="15.6" hidden="1" x14ac:dyDescent="0.3">
      <c r="A2663" s="1" t="s">
        <v>8143</v>
      </c>
      <c r="B2663" s="1"/>
      <c r="C2663" s="1"/>
      <c r="D2663" s="1"/>
      <c r="E2663" s="1"/>
      <c r="F2663" s="1"/>
      <c r="G2663" s="1" t="s">
        <v>43</v>
      </c>
      <c r="H2663" s="2">
        <v>5776</v>
      </c>
      <c r="I2663" s="1" t="s">
        <v>13</v>
      </c>
      <c r="J2663" s="1" t="s">
        <v>13</v>
      </c>
      <c r="K2663" s="1" t="s">
        <v>241</v>
      </c>
      <c r="L2663" s="1" t="s">
        <v>13</v>
      </c>
      <c r="M2663" s="6" t="str">
        <f>_xlfn.CONCAT(Table1[[#This Row],[Billing Street]], ", ", Table1[[#This Row],[Billing City]], ", ", Table1[[#This Row],[Billing State/Province]], ", ", Table1[[#This Row],[Billing Zip/Postal Code]])</f>
        <v xml:space="preserve">, , PA, </v>
      </c>
    </row>
    <row r="2664" spans="1:13" ht="15.6" hidden="1" x14ac:dyDescent="0.3">
      <c r="A2664" s="1" t="s">
        <v>8144</v>
      </c>
      <c r="B2664" s="1"/>
      <c r="C2664" s="1"/>
      <c r="D2664" s="1"/>
      <c r="E2664" s="1"/>
      <c r="F2664" s="1"/>
      <c r="G2664" s="1" t="s">
        <v>8</v>
      </c>
      <c r="H2664" s="2">
        <v>328</v>
      </c>
      <c r="I2664" s="1" t="s">
        <v>8145</v>
      </c>
      <c r="J2664" s="1" t="s">
        <v>8146</v>
      </c>
      <c r="K2664" s="1" t="s">
        <v>11</v>
      </c>
      <c r="L2664" s="1" t="s">
        <v>8147</v>
      </c>
      <c r="M2664" s="6" t="str">
        <f>_xlfn.CONCAT(Table1[[#This Row],[Billing Street]], ", ", Table1[[#This Row],[Billing City]], ", ", Table1[[#This Row],[Billing State/Province]], ", ", Table1[[#This Row],[Billing Zip/Postal Code]])</f>
        <v>2801 Missouri 84, Bragg City, MO, 63827</v>
      </c>
    </row>
    <row r="2665" spans="1:13" ht="15.6" hidden="1" x14ac:dyDescent="0.3">
      <c r="A2665" s="1" t="s">
        <v>8148</v>
      </c>
      <c r="B2665" s="1"/>
      <c r="C2665" s="1"/>
      <c r="D2665" s="1"/>
      <c r="E2665" s="1"/>
      <c r="F2665" s="1"/>
      <c r="G2665" s="1" t="s">
        <v>43</v>
      </c>
      <c r="H2665" s="2">
        <v>5776</v>
      </c>
      <c r="I2665" s="1" t="s">
        <v>13</v>
      </c>
      <c r="J2665" s="1" t="s">
        <v>13</v>
      </c>
      <c r="K2665" s="1" t="s">
        <v>241</v>
      </c>
      <c r="L2665" s="1" t="s">
        <v>13</v>
      </c>
      <c r="M2665" s="6" t="str">
        <f>_xlfn.CONCAT(Table1[[#This Row],[Billing Street]], ", ", Table1[[#This Row],[Billing City]], ", ", Table1[[#This Row],[Billing State/Province]], ", ", Table1[[#This Row],[Billing Zip/Postal Code]])</f>
        <v xml:space="preserve">, , PA, </v>
      </c>
    </row>
    <row r="2666" spans="1:13" ht="15.6" hidden="1" x14ac:dyDescent="0.3">
      <c r="A2666" s="1" t="s">
        <v>8149</v>
      </c>
      <c r="B2666" s="1"/>
      <c r="C2666" s="1"/>
      <c r="D2666" s="1"/>
      <c r="E2666" s="1"/>
      <c r="F2666" s="1"/>
      <c r="G2666" s="1" t="s">
        <v>43</v>
      </c>
      <c r="H2666" s="2">
        <v>415</v>
      </c>
      <c r="I2666" s="1" t="s">
        <v>8150</v>
      </c>
      <c r="J2666" s="1" t="s">
        <v>629</v>
      </c>
      <c r="K2666" s="1" t="s">
        <v>152</v>
      </c>
      <c r="L2666" s="1" t="s">
        <v>630</v>
      </c>
      <c r="M2666" s="6" t="str">
        <f>_xlfn.CONCAT(Table1[[#This Row],[Billing Street]], ", ", Table1[[#This Row],[Billing City]], ", ", Table1[[#This Row],[Billing State/Province]], ", ", Table1[[#This Row],[Billing Zip/Postal Code]])</f>
        <v>131 E. Second St., Flora, IL, 62839</v>
      </c>
    </row>
    <row r="2667" spans="1:13" ht="15.6" hidden="1" x14ac:dyDescent="0.3">
      <c r="A2667" s="1" t="s">
        <v>8151</v>
      </c>
      <c r="B2667" s="1"/>
      <c r="C2667" s="1"/>
      <c r="D2667" s="1"/>
      <c r="E2667" s="1"/>
      <c r="F2667" s="1"/>
      <c r="G2667" s="1" t="s">
        <v>43</v>
      </c>
      <c r="H2667" s="2">
        <v>5776</v>
      </c>
      <c r="I2667" s="1" t="s">
        <v>13</v>
      </c>
      <c r="J2667" s="1" t="s">
        <v>13</v>
      </c>
      <c r="K2667" s="1" t="s">
        <v>152</v>
      </c>
      <c r="L2667" s="1" t="s">
        <v>13</v>
      </c>
      <c r="M2667" s="6" t="str">
        <f>_xlfn.CONCAT(Table1[[#This Row],[Billing Street]], ", ", Table1[[#This Row],[Billing City]], ", ", Table1[[#This Row],[Billing State/Province]], ", ", Table1[[#This Row],[Billing Zip/Postal Code]])</f>
        <v xml:space="preserve">, , IL, </v>
      </c>
    </row>
    <row r="2668" spans="1:13" ht="15.6" x14ac:dyDescent="0.3">
      <c r="A2668" s="1" t="s">
        <v>8152</v>
      </c>
      <c r="B2668" s="1"/>
      <c r="C2668" s="1"/>
      <c r="D2668" s="1"/>
      <c r="E2668" s="1"/>
      <c r="F2668" s="1"/>
      <c r="G2668" s="1" t="s">
        <v>24</v>
      </c>
      <c r="H2668" s="2">
        <v>293</v>
      </c>
      <c r="I2668" s="1" t="s">
        <v>8153</v>
      </c>
      <c r="J2668" s="1" t="s">
        <v>1774</v>
      </c>
      <c r="K2668" s="1" t="s">
        <v>36</v>
      </c>
      <c r="L2668" s="1" t="s">
        <v>8154</v>
      </c>
      <c r="M2668" s="6" t="str">
        <f>_xlfn.CONCAT(Table1[[#This Row],[Billing Street]], ", ", Table1[[#This Row],[Billing City]], ", ", Table1[[#This Row],[Billing State/Province]], ", ", Table1[[#This Row],[Billing Zip/Postal Code]])</f>
        <v>5316 E. Henry Av, Tampa, FL, 33610</v>
      </c>
    </row>
    <row r="2669" spans="1:13" ht="15.6" hidden="1" x14ac:dyDescent="0.3">
      <c r="A2669" s="1" t="s">
        <v>8155</v>
      </c>
      <c r="B2669" s="1"/>
      <c r="C2669" s="1"/>
      <c r="D2669" s="1"/>
      <c r="E2669" s="1"/>
      <c r="F2669" s="1"/>
      <c r="G2669" s="1" t="s">
        <v>54</v>
      </c>
      <c r="H2669" s="2">
        <v>7</v>
      </c>
      <c r="I2669" s="1" t="s">
        <v>8156</v>
      </c>
      <c r="J2669" s="1" t="s">
        <v>8157</v>
      </c>
      <c r="K2669" s="1" t="s">
        <v>57</v>
      </c>
      <c r="L2669" s="1" t="s">
        <v>8158</v>
      </c>
      <c r="M2669" s="6" t="str">
        <f>_xlfn.CONCAT(Table1[[#This Row],[Billing Street]], ", ", Table1[[#This Row],[Billing City]], ", ", Table1[[#This Row],[Billing State/Province]], ", ", Table1[[#This Row],[Billing Zip/Postal Code]])</f>
        <v>25 Cupania Circle, Monterey Park, CA, 91755</v>
      </c>
    </row>
    <row r="2670" spans="1:13" ht="15.6" hidden="1" x14ac:dyDescent="0.3">
      <c r="A2670" s="1" t="s">
        <v>8159</v>
      </c>
      <c r="B2670" s="1"/>
      <c r="C2670" s="1"/>
      <c r="D2670" s="1"/>
      <c r="E2670" s="1"/>
      <c r="F2670" s="1"/>
      <c r="G2670" s="1" t="s">
        <v>54</v>
      </c>
      <c r="H2670" s="2">
        <v>89</v>
      </c>
      <c r="I2670" s="1" t="s">
        <v>8160</v>
      </c>
      <c r="J2670" s="1" t="s">
        <v>3808</v>
      </c>
      <c r="K2670" s="1" t="s">
        <v>57</v>
      </c>
      <c r="L2670" s="1" t="s">
        <v>8161</v>
      </c>
      <c r="M2670" s="6" t="str">
        <f>_xlfn.CONCAT(Table1[[#This Row],[Billing Street]], ", ", Table1[[#This Row],[Billing City]], ", ", Table1[[#This Row],[Billing State/Province]], ", ", Table1[[#This Row],[Billing Zip/Postal Code]])</f>
        <v>674 Rancheros Drive, San Marcos, CA, 92069</v>
      </c>
    </row>
    <row r="2671" spans="1:13" ht="15.6" hidden="1" x14ac:dyDescent="0.3">
      <c r="A2671" s="1" t="s">
        <v>8162</v>
      </c>
      <c r="B2671" s="1"/>
      <c r="C2671" s="1"/>
      <c r="D2671" s="1"/>
      <c r="E2671" s="1"/>
      <c r="F2671" s="1"/>
      <c r="G2671" s="1" t="s">
        <v>54</v>
      </c>
      <c r="H2671" s="2">
        <v>291</v>
      </c>
      <c r="I2671" s="1" t="s">
        <v>8163</v>
      </c>
      <c r="J2671" s="1" t="s">
        <v>6392</v>
      </c>
      <c r="K2671" s="1" t="s">
        <v>57</v>
      </c>
      <c r="L2671" s="1" t="s">
        <v>8164</v>
      </c>
      <c r="M2671" s="6" t="str">
        <f>_xlfn.CONCAT(Table1[[#This Row],[Billing Street]], ", ", Table1[[#This Row],[Billing City]], ", ", Table1[[#This Row],[Billing State/Province]], ", ", Table1[[#This Row],[Billing Zip/Postal Code]])</f>
        <v>600 Yosemite Blvd, Modesto, CA, 95354</v>
      </c>
    </row>
    <row r="2672" spans="1:13" ht="15.6" hidden="1" x14ac:dyDescent="0.3">
      <c r="A2672" s="1" t="s">
        <v>8165</v>
      </c>
      <c r="B2672" s="1"/>
      <c r="C2672" s="1"/>
      <c r="D2672" s="1"/>
      <c r="E2672" s="1"/>
      <c r="F2672" s="1"/>
      <c r="G2672" s="1" t="s">
        <v>54</v>
      </c>
      <c r="H2672" s="2">
        <v>32</v>
      </c>
      <c r="I2672" s="1" t="s">
        <v>8166</v>
      </c>
      <c r="J2672" s="1" t="s">
        <v>8167</v>
      </c>
      <c r="K2672" s="1" t="s">
        <v>57</v>
      </c>
      <c r="L2672" s="1" t="s">
        <v>8168</v>
      </c>
      <c r="M2672" s="6" t="str">
        <f>_xlfn.CONCAT(Table1[[#This Row],[Billing Street]], ", ", Table1[[#This Row],[Billing City]], ", ", Table1[[#This Row],[Billing State/Province]], ", ", Table1[[#This Row],[Billing Zip/Postal Code]])</f>
        <v>13409 Benson Ave., Chino, CA, 91710</v>
      </c>
    </row>
    <row r="2673" spans="1:13" ht="15.6" x14ac:dyDescent="0.3">
      <c r="A2673" s="1" t="s">
        <v>8169</v>
      </c>
      <c r="B2673" s="1"/>
      <c r="C2673" s="1"/>
      <c r="D2673" s="1"/>
      <c r="E2673" s="1"/>
      <c r="F2673" s="1"/>
      <c r="G2673" s="1" t="s">
        <v>24</v>
      </c>
      <c r="H2673" s="2">
        <v>114</v>
      </c>
      <c r="I2673" s="1" t="s">
        <v>8170</v>
      </c>
      <c r="J2673" s="1" t="s">
        <v>25</v>
      </c>
      <c r="K2673" s="1" t="s">
        <v>26</v>
      </c>
      <c r="L2673" s="1" t="s">
        <v>1086</v>
      </c>
      <c r="M2673" s="6" t="str">
        <f>_xlfn.CONCAT(Table1[[#This Row],[Billing Street]], ", ", Table1[[#This Row],[Billing City]], ", ", Table1[[#This Row],[Billing State/Province]], ", ", Table1[[#This Row],[Billing Zip/Postal Code]])</f>
        <v>367 Kershaw Industrrial Blvd, Montgomery, AL, 36117</v>
      </c>
    </row>
    <row r="2674" spans="1:13" ht="15.6" hidden="1" x14ac:dyDescent="0.3">
      <c r="A2674" s="1" t="s">
        <v>8171</v>
      </c>
      <c r="B2674" s="1"/>
      <c r="C2674" s="1"/>
      <c r="D2674" s="1"/>
      <c r="E2674" s="1"/>
      <c r="F2674" s="1"/>
      <c r="G2674" s="1" t="s">
        <v>43</v>
      </c>
      <c r="H2674" s="2">
        <v>5776</v>
      </c>
      <c r="I2674" s="1" t="s">
        <v>13</v>
      </c>
      <c r="J2674" s="1" t="s">
        <v>13</v>
      </c>
      <c r="K2674" s="1" t="s">
        <v>241</v>
      </c>
      <c r="L2674" s="1" t="s">
        <v>13</v>
      </c>
      <c r="M2674" s="6" t="str">
        <f>_xlfn.CONCAT(Table1[[#This Row],[Billing Street]], ", ", Table1[[#This Row],[Billing City]], ", ", Table1[[#This Row],[Billing State/Province]], ", ", Table1[[#This Row],[Billing Zip/Postal Code]])</f>
        <v xml:space="preserve">, , PA, </v>
      </c>
    </row>
    <row r="2675" spans="1:13" ht="15.6" x14ac:dyDescent="0.3">
      <c r="A2675" s="1" t="s">
        <v>8172</v>
      </c>
      <c r="B2675" s="1"/>
      <c r="C2675" s="1"/>
      <c r="D2675" s="1"/>
      <c r="E2675" s="1"/>
      <c r="F2675" s="1"/>
      <c r="G2675" s="1" t="s">
        <v>24</v>
      </c>
      <c r="H2675" s="2">
        <v>67</v>
      </c>
      <c r="I2675" s="1" t="s">
        <v>8173</v>
      </c>
      <c r="J2675" s="1" t="s">
        <v>715</v>
      </c>
      <c r="K2675" s="1" t="s">
        <v>36</v>
      </c>
      <c r="L2675" s="1" t="s">
        <v>2957</v>
      </c>
      <c r="M2675" s="6" t="str">
        <f>_xlfn.CONCAT(Table1[[#This Row],[Billing Street]], ", ", Table1[[#This Row],[Billing City]], ", ", Table1[[#This Row],[Billing State/Province]], ", ", Table1[[#This Row],[Billing Zip/Postal Code]])</f>
        <v>9361 Hamman Avenue , FL, Pensacola, FL, 32514</v>
      </c>
    </row>
    <row r="2676" spans="1:13" ht="15.6" hidden="1" x14ac:dyDescent="0.3">
      <c r="A2676" s="1" t="s">
        <v>8174</v>
      </c>
      <c r="B2676" s="1"/>
      <c r="C2676" s="1"/>
      <c r="D2676" s="1"/>
      <c r="E2676" s="1"/>
      <c r="F2676" s="1"/>
      <c r="G2676" s="1" t="s">
        <v>43</v>
      </c>
      <c r="H2676" s="2">
        <v>5776</v>
      </c>
      <c r="I2676" s="1" t="s">
        <v>13</v>
      </c>
      <c r="J2676" s="1" t="s">
        <v>13</v>
      </c>
      <c r="K2676" s="1" t="s">
        <v>241</v>
      </c>
      <c r="L2676" s="1" t="s">
        <v>13</v>
      </c>
      <c r="M2676" s="6" t="str">
        <f>_xlfn.CONCAT(Table1[[#This Row],[Billing Street]], ", ", Table1[[#This Row],[Billing City]], ", ", Table1[[#This Row],[Billing State/Province]], ", ", Table1[[#This Row],[Billing Zip/Postal Code]])</f>
        <v xml:space="preserve">, , PA, </v>
      </c>
    </row>
    <row r="2677" spans="1:13" ht="15.6" hidden="1" x14ac:dyDescent="0.3">
      <c r="A2677" s="1" t="s">
        <v>8175</v>
      </c>
      <c r="B2677" s="1"/>
      <c r="C2677" s="1"/>
      <c r="D2677" s="1"/>
      <c r="E2677" s="1"/>
      <c r="F2677" s="1"/>
      <c r="G2677" s="1" t="s">
        <v>43</v>
      </c>
      <c r="H2677" s="2">
        <v>5776</v>
      </c>
      <c r="I2677" s="1" t="s">
        <v>13</v>
      </c>
      <c r="J2677" s="1" t="s">
        <v>13</v>
      </c>
      <c r="K2677" s="1" t="s">
        <v>241</v>
      </c>
      <c r="L2677" s="1" t="s">
        <v>13</v>
      </c>
      <c r="M2677" s="6" t="str">
        <f>_xlfn.CONCAT(Table1[[#This Row],[Billing Street]], ", ", Table1[[#This Row],[Billing City]], ", ", Table1[[#This Row],[Billing State/Province]], ", ", Table1[[#This Row],[Billing Zip/Postal Code]])</f>
        <v xml:space="preserve">, , PA, </v>
      </c>
    </row>
    <row r="2678" spans="1:13" ht="15.6" hidden="1" x14ac:dyDescent="0.3">
      <c r="A2678" s="1" t="s">
        <v>8176</v>
      </c>
      <c r="B2678" s="1"/>
      <c r="C2678" s="1"/>
      <c r="D2678" s="1"/>
      <c r="E2678" s="1"/>
      <c r="F2678" s="1"/>
      <c r="G2678" s="1" t="s">
        <v>8</v>
      </c>
      <c r="H2678" s="2">
        <v>156</v>
      </c>
      <c r="I2678" s="1" t="s">
        <v>8177</v>
      </c>
      <c r="J2678" s="1" t="s">
        <v>434</v>
      </c>
      <c r="K2678" s="1" t="s">
        <v>147</v>
      </c>
      <c r="L2678" s="1" t="s">
        <v>8178</v>
      </c>
      <c r="M2678" s="6" t="str">
        <f>_xlfn.CONCAT(Table1[[#This Row],[Billing Street]], ", ", Table1[[#This Row],[Billing City]], ", ", Table1[[#This Row],[Billing State/Province]], ", ", Table1[[#This Row],[Billing Zip/Postal Code]])</f>
        <v>4721 S.W. 18th, Oklahoma City, OK, 73128</v>
      </c>
    </row>
    <row r="2679" spans="1:13" ht="15.6" hidden="1" x14ac:dyDescent="0.3">
      <c r="A2679" s="1" t="s">
        <v>8179</v>
      </c>
      <c r="B2679" s="1"/>
      <c r="C2679" s="1"/>
      <c r="D2679" s="1"/>
      <c r="E2679" s="1"/>
      <c r="F2679" s="1"/>
      <c r="G2679" s="1" t="s">
        <v>43</v>
      </c>
      <c r="H2679" s="2">
        <v>5776</v>
      </c>
      <c r="I2679" s="1" t="s">
        <v>13</v>
      </c>
      <c r="J2679" s="1" t="s">
        <v>13</v>
      </c>
      <c r="K2679" s="1" t="s">
        <v>241</v>
      </c>
      <c r="L2679" s="1" t="s">
        <v>13</v>
      </c>
      <c r="M2679" s="6" t="str">
        <f>_xlfn.CONCAT(Table1[[#This Row],[Billing Street]], ", ", Table1[[#This Row],[Billing City]], ", ", Table1[[#This Row],[Billing State/Province]], ", ", Table1[[#This Row],[Billing Zip/Postal Code]])</f>
        <v xml:space="preserve">, , PA, </v>
      </c>
    </row>
    <row r="2680" spans="1:13" ht="15.6" x14ac:dyDescent="0.3">
      <c r="A2680" s="1" t="s">
        <v>8180</v>
      </c>
      <c r="B2680" s="1"/>
      <c r="C2680" s="1"/>
      <c r="D2680" s="1"/>
      <c r="E2680" s="1"/>
      <c r="F2680" s="1"/>
      <c r="G2680" s="1" t="s">
        <v>24</v>
      </c>
      <c r="H2680" s="2">
        <v>240</v>
      </c>
      <c r="I2680" s="1" t="s">
        <v>8181</v>
      </c>
      <c r="J2680" s="1" t="s">
        <v>8182</v>
      </c>
      <c r="K2680" s="1" t="s">
        <v>36</v>
      </c>
      <c r="L2680" s="1" t="s">
        <v>8183</v>
      </c>
      <c r="M2680" s="6" t="str">
        <f>_xlfn.CONCAT(Table1[[#This Row],[Billing Street]], ", ", Table1[[#This Row],[Billing City]], ", ", Table1[[#This Row],[Billing State/Province]], ", ", Table1[[#This Row],[Billing Zip/Postal Code]])</f>
        <v>7775 South Co Road 228, Macclenny, FL, 32063</v>
      </c>
    </row>
    <row r="2681" spans="1:13" ht="15.6" hidden="1" x14ac:dyDescent="0.3">
      <c r="A2681" s="1" t="s">
        <v>8184</v>
      </c>
      <c r="B2681" s="1"/>
      <c r="C2681" s="1"/>
      <c r="D2681" s="1"/>
      <c r="E2681" s="1"/>
      <c r="F2681" s="1"/>
      <c r="G2681" s="1" t="s">
        <v>43</v>
      </c>
      <c r="H2681" s="2">
        <v>75</v>
      </c>
      <c r="I2681" s="1" t="s">
        <v>8185</v>
      </c>
      <c r="J2681" s="1" t="s">
        <v>7487</v>
      </c>
      <c r="K2681" s="1" t="s">
        <v>241</v>
      </c>
      <c r="L2681" s="1" t="s">
        <v>8186</v>
      </c>
      <c r="M2681" s="6" t="str">
        <f>_xlfn.CONCAT(Table1[[#This Row],[Billing Street]], ", ", Table1[[#This Row],[Billing City]], ", ", Table1[[#This Row],[Billing State/Province]], ", ", Table1[[#This Row],[Billing Zip/Postal Code]])</f>
        <v>34 Main Street West, Girard, PA, 16417</v>
      </c>
    </row>
    <row r="2682" spans="1:13" ht="15.6" x14ac:dyDescent="0.3">
      <c r="A2682" s="1" t="s">
        <v>8187</v>
      </c>
      <c r="B2682" s="1"/>
      <c r="C2682" s="1"/>
      <c r="D2682" s="1"/>
      <c r="E2682" s="1"/>
      <c r="F2682" s="1"/>
      <c r="G2682" s="1" t="s">
        <v>24</v>
      </c>
      <c r="H2682" s="2">
        <v>191</v>
      </c>
      <c r="I2682" s="1" t="s">
        <v>8188</v>
      </c>
      <c r="J2682" s="1" t="s">
        <v>1831</v>
      </c>
      <c r="K2682" s="1" t="s">
        <v>31</v>
      </c>
      <c r="L2682" s="1" t="s">
        <v>4064</v>
      </c>
      <c r="M2682" s="6" t="str">
        <f>_xlfn.CONCAT(Table1[[#This Row],[Billing Street]], ", ", Table1[[#This Row],[Billing City]], ", ", Table1[[#This Row],[Billing State/Province]], ", ", Table1[[#This Row],[Billing Zip/Postal Code]])</f>
        <v>1228 West 5th Street, Laurel, MS, 39440</v>
      </c>
    </row>
    <row r="2683" spans="1:13" ht="15.6" hidden="1" x14ac:dyDescent="0.3">
      <c r="A2683" s="1" t="s">
        <v>8189</v>
      </c>
      <c r="B2683" s="1"/>
      <c r="C2683" s="1"/>
      <c r="D2683" s="1"/>
      <c r="E2683" s="1"/>
      <c r="F2683" s="1"/>
      <c r="G2683" s="1" t="s">
        <v>43</v>
      </c>
      <c r="H2683" s="2">
        <v>5776</v>
      </c>
      <c r="I2683" s="1" t="s">
        <v>13</v>
      </c>
      <c r="J2683" s="1" t="s">
        <v>69</v>
      </c>
      <c r="K2683" s="1" t="s">
        <v>1191</v>
      </c>
      <c r="L2683" s="1" t="s">
        <v>13</v>
      </c>
      <c r="M2683" s="6" t="str">
        <f>_xlfn.CONCAT(Table1[[#This Row],[Billing Street]], ", ", Table1[[#This Row],[Billing City]], ", ", Table1[[#This Row],[Billing State/Province]], ", ", Table1[[#This Row],[Billing Zip/Postal Code]])</f>
        <v xml:space="preserve">, Louisville, KY, </v>
      </c>
    </row>
    <row r="2684" spans="1:13" ht="15.6" hidden="1" x14ac:dyDescent="0.3">
      <c r="A2684" s="1" t="s">
        <v>8190</v>
      </c>
      <c r="B2684" s="1"/>
      <c r="C2684" s="1"/>
      <c r="D2684" s="1"/>
      <c r="E2684" s="1"/>
      <c r="F2684" s="1"/>
      <c r="G2684" s="1" t="s">
        <v>43</v>
      </c>
      <c r="H2684" s="2">
        <v>176</v>
      </c>
      <c r="I2684" s="1" t="s">
        <v>8191</v>
      </c>
      <c r="J2684" s="1" t="s">
        <v>8192</v>
      </c>
      <c r="K2684" s="1" t="s">
        <v>671</v>
      </c>
      <c r="L2684" s="1" t="s">
        <v>8193</v>
      </c>
      <c r="M2684" s="6" t="str">
        <f>_xlfn.CONCAT(Table1[[#This Row],[Billing Street]], ", ", Table1[[#This Row],[Billing City]], ", ", Table1[[#This Row],[Billing State/Province]], ", ", Table1[[#This Row],[Billing Zip/Postal Code]])</f>
        <v>Mailing Address: P.O. Box 44, Tonawanda, NY, 14151-0044</v>
      </c>
    </row>
    <row r="2685" spans="1:13" ht="15.6" x14ac:dyDescent="0.3">
      <c r="A2685" s="1" t="s">
        <v>8194</v>
      </c>
      <c r="B2685" s="1"/>
      <c r="C2685" s="1"/>
      <c r="D2685" s="1"/>
      <c r="E2685" s="1"/>
      <c r="F2685" s="1"/>
      <c r="G2685" s="1" t="s">
        <v>24</v>
      </c>
      <c r="H2685" s="2">
        <v>108</v>
      </c>
      <c r="I2685" s="1" t="s">
        <v>8195</v>
      </c>
      <c r="J2685" s="1" t="s">
        <v>4977</v>
      </c>
      <c r="K2685" s="1" t="s">
        <v>36</v>
      </c>
      <c r="L2685" s="1" t="s">
        <v>4978</v>
      </c>
      <c r="M2685" s="6" t="str">
        <f>_xlfn.CONCAT(Table1[[#This Row],[Billing Street]], ", ", Table1[[#This Row],[Billing City]], ", ", Table1[[#This Row],[Billing State/Province]], ", ", Table1[[#This Row],[Billing Zip/Postal Code]])</f>
        <v>2641 Municipal Way, Tallahassee, FL, 32304</v>
      </c>
    </row>
    <row r="2686" spans="1:13" ht="15.6" hidden="1" x14ac:dyDescent="0.3">
      <c r="A2686" s="1" t="s">
        <v>8196</v>
      </c>
      <c r="B2686" s="1"/>
      <c r="C2686" s="1"/>
      <c r="D2686" s="1"/>
      <c r="E2686" s="1"/>
      <c r="F2686" s="1"/>
      <c r="G2686" s="1" t="s">
        <v>43</v>
      </c>
      <c r="H2686" s="2">
        <v>64</v>
      </c>
      <c r="I2686" s="1" t="s">
        <v>8197</v>
      </c>
      <c r="J2686" s="1" t="s">
        <v>6979</v>
      </c>
      <c r="K2686" s="1" t="s">
        <v>241</v>
      </c>
      <c r="L2686" s="1" t="s">
        <v>8198</v>
      </c>
      <c r="M2686" s="6" t="str">
        <f>_xlfn.CONCAT(Table1[[#This Row],[Billing Street]], ", ", Table1[[#This Row],[Billing City]], ", ", Table1[[#This Row],[Billing State/Province]], ", ", Table1[[#This Row],[Billing Zip/Postal Code]])</f>
        <v>930 Cass Street, New Castle, PA, 16101</v>
      </c>
    </row>
    <row r="2687" spans="1:13" ht="15.6" hidden="1" x14ac:dyDescent="0.3">
      <c r="A2687" s="1" t="s">
        <v>8199</v>
      </c>
      <c r="B2687" s="1"/>
      <c r="C2687" s="1"/>
      <c r="D2687" s="1"/>
      <c r="E2687" s="1"/>
      <c r="F2687" s="1"/>
      <c r="G2687" s="1" t="s">
        <v>43</v>
      </c>
      <c r="H2687" s="2">
        <v>137</v>
      </c>
      <c r="I2687" s="1" t="s">
        <v>8200</v>
      </c>
      <c r="J2687" s="1" t="s">
        <v>8201</v>
      </c>
      <c r="K2687" s="1" t="s">
        <v>82</v>
      </c>
      <c r="L2687" s="1" t="s">
        <v>8202</v>
      </c>
      <c r="M2687" s="6" t="str">
        <f>_xlfn.CONCAT(Table1[[#This Row],[Billing Street]], ", ", Table1[[#This Row],[Billing City]], ", ", Table1[[#This Row],[Billing State/Province]], ", ", Table1[[#This Row],[Billing Zip/Postal Code]])</f>
        <v>4930 Holtz Drive, Wixom, MI, 48393</v>
      </c>
    </row>
    <row r="2688" spans="1:13" ht="15.6" hidden="1" x14ac:dyDescent="0.3">
      <c r="A2688" s="1" t="s">
        <v>8203</v>
      </c>
      <c r="B2688" s="1"/>
      <c r="C2688" s="1"/>
      <c r="D2688" s="1"/>
      <c r="E2688" s="1"/>
      <c r="F2688" s="1"/>
      <c r="G2688" s="1" t="s">
        <v>205</v>
      </c>
      <c r="H2688" s="2">
        <v>241</v>
      </c>
      <c r="I2688" s="1" t="s">
        <v>8204</v>
      </c>
      <c r="J2688" s="1" t="s">
        <v>8205</v>
      </c>
      <c r="K2688" s="1" t="s">
        <v>479</v>
      </c>
      <c r="L2688" s="1" t="s">
        <v>8206</v>
      </c>
      <c r="M2688" s="6" t="str">
        <f>_xlfn.CONCAT(Table1[[#This Row],[Billing Street]], ", ", Table1[[#This Row],[Billing City]], ", ", Table1[[#This Row],[Billing State/Province]], ", ", Table1[[#This Row],[Billing Zip/Postal Code]])</f>
        <v>640 Haul Road, Page, AZ, 86040</v>
      </c>
    </row>
    <row r="2689" spans="1:13" ht="15.6" hidden="1" x14ac:dyDescent="0.3">
      <c r="A2689" s="1" t="s">
        <v>8207</v>
      </c>
      <c r="B2689" s="1"/>
      <c r="C2689" s="1"/>
      <c r="D2689" s="1"/>
      <c r="E2689" s="1"/>
      <c r="F2689" s="1"/>
      <c r="G2689" s="1" t="s">
        <v>98</v>
      </c>
      <c r="H2689" s="2">
        <v>101</v>
      </c>
      <c r="I2689" s="1" t="s">
        <v>8208</v>
      </c>
      <c r="J2689" s="1" t="s">
        <v>2010</v>
      </c>
      <c r="K2689" s="1" t="s">
        <v>101</v>
      </c>
      <c r="L2689" s="1" t="s">
        <v>8209</v>
      </c>
      <c r="M2689" s="6" t="str">
        <f>_xlfn.CONCAT(Table1[[#This Row],[Billing Street]], ", ", Table1[[#This Row],[Billing City]], ", ", Table1[[#This Row],[Billing State/Province]], ", ", Table1[[#This Row],[Billing Zip/Postal Code]])</f>
        <v>319 N. Smith ST, Sandersville, GA, 31082</v>
      </c>
    </row>
    <row r="2690" spans="1:13" ht="15.6" hidden="1" x14ac:dyDescent="0.3">
      <c r="A2690" s="1" t="s">
        <v>8210</v>
      </c>
      <c r="B2690" s="1"/>
      <c r="C2690" s="1"/>
      <c r="D2690" s="1"/>
      <c r="E2690" s="1"/>
      <c r="F2690" s="1"/>
      <c r="G2690" s="1" t="s">
        <v>43</v>
      </c>
      <c r="H2690" s="2">
        <v>268</v>
      </c>
      <c r="I2690" s="1" t="s">
        <v>8211</v>
      </c>
      <c r="J2690" s="1" t="s">
        <v>8212</v>
      </c>
      <c r="K2690" s="1" t="s">
        <v>237</v>
      </c>
      <c r="L2690" s="1" t="s">
        <v>1337</v>
      </c>
      <c r="M2690" s="6" t="str">
        <f>_xlfn.CONCAT(Table1[[#This Row],[Billing Street]], ", ", Table1[[#This Row],[Billing City]], ", ", Table1[[#This Row],[Billing State/Province]], ", ", Table1[[#This Row],[Billing Zip/Postal Code]])</f>
        <v>3719 W 96th Street, Indianaplis, IN, 46268</v>
      </c>
    </row>
    <row r="2691" spans="1:13" ht="15.6" x14ac:dyDescent="0.3">
      <c r="A2691" s="1" t="s">
        <v>8213</v>
      </c>
      <c r="B2691" s="1"/>
      <c r="C2691" s="1"/>
      <c r="D2691" s="1"/>
      <c r="E2691" s="1"/>
      <c r="F2691" s="1"/>
      <c r="G2691" s="1" t="s">
        <v>24</v>
      </c>
      <c r="H2691" s="2">
        <v>462</v>
      </c>
      <c r="I2691" s="1" t="s">
        <v>8214</v>
      </c>
      <c r="J2691" s="1" t="s">
        <v>8215</v>
      </c>
      <c r="K2691" s="1" t="s">
        <v>36</v>
      </c>
      <c r="L2691" s="1" t="s">
        <v>8216</v>
      </c>
      <c r="M2691" s="6" t="str">
        <f>_xlfn.CONCAT(Table1[[#This Row],[Billing Street]], ", ", Table1[[#This Row],[Billing City]], ", ", Table1[[#This Row],[Billing State/Province]], ", ", Table1[[#This Row],[Billing Zip/Postal Code]])</f>
        <v>1900 E. 2nd Ave., Lake Worth, FL, 33461</v>
      </c>
    </row>
    <row r="2692" spans="1:13" ht="15.6" hidden="1" x14ac:dyDescent="0.3">
      <c r="A2692" s="1" t="s">
        <v>8217</v>
      </c>
      <c r="B2692" s="1"/>
      <c r="C2692" s="1"/>
      <c r="D2692" s="1"/>
      <c r="E2692" s="1"/>
      <c r="F2692" s="1"/>
      <c r="G2692" s="1" t="s">
        <v>8</v>
      </c>
      <c r="H2692" s="2">
        <v>204</v>
      </c>
      <c r="I2692" s="1" t="s">
        <v>8218</v>
      </c>
      <c r="J2692" s="1" t="s">
        <v>8219</v>
      </c>
      <c r="K2692" s="1" t="s">
        <v>11</v>
      </c>
      <c r="L2692" s="1" t="s">
        <v>8220</v>
      </c>
      <c r="M2692" s="6" t="str">
        <f>_xlfn.CONCAT(Table1[[#This Row],[Billing Street]], ", ", Table1[[#This Row],[Billing City]], ", ", Table1[[#This Row],[Billing State/Province]], ", ", Table1[[#This Row],[Billing Zip/Postal Code]])</f>
        <v>803  Highway 28 S, Dixon, MO, 65459</v>
      </c>
    </row>
    <row r="2693" spans="1:13" ht="15.6" hidden="1" x14ac:dyDescent="0.3">
      <c r="A2693" s="1" t="s">
        <v>8221</v>
      </c>
      <c r="B2693" s="1"/>
      <c r="C2693" s="1"/>
      <c r="D2693" s="1"/>
      <c r="E2693" s="1"/>
      <c r="F2693" s="1"/>
      <c r="G2693" s="1" t="s">
        <v>8</v>
      </c>
      <c r="H2693" s="2">
        <v>234</v>
      </c>
      <c r="I2693" s="1" t="s">
        <v>8222</v>
      </c>
      <c r="J2693" s="1" t="s">
        <v>5335</v>
      </c>
      <c r="K2693" s="1" t="s">
        <v>11</v>
      </c>
      <c r="L2693" s="1" t="s">
        <v>5336</v>
      </c>
      <c r="M2693" s="6" t="str">
        <f>_xlfn.CONCAT(Table1[[#This Row],[Billing Street]], ", ", Table1[[#This Row],[Billing City]], ", ", Table1[[#This Row],[Billing State/Province]], ", ", Table1[[#This Row],[Billing Zip/Postal Code]])</f>
        <v>1313 Cooperative Dr., Fulton, MO, 65251</v>
      </c>
    </row>
    <row r="2694" spans="1:13" ht="15.6" x14ac:dyDescent="0.3">
      <c r="A2694" s="1" t="s">
        <v>8223</v>
      </c>
      <c r="B2694" s="1"/>
      <c r="C2694" s="1"/>
      <c r="D2694" s="1"/>
      <c r="E2694" s="1"/>
      <c r="F2694" s="1"/>
      <c r="G2694" s="1" t="s">
        <v>24</v>
      </c>
      <c r="H2694" s="2">
        <v>5988</v>
      </c>
      <c r="I2694" s="1" t="s">
        <v>8224</v>
      </c>
      <c r="J2694" s="1" t="s">
        <v>8225</v>
      </c>
      <c r="K2694" s="1" t="s">
        <v>26</v>
      </c>
      <c r="L2694" s="1" t="s">
        <v>8226</v>
      </c>
      <c r="M2694" s="6" t="str">
        <f>_xlfn.CONCAT(Table1[[#This Row],[Billing Street]], ", ", Table1[[#This Row],[Billing City]], ", ", Table1[[#This Row],[Billing State/Province]], ", ", Table1[[#This Row],[Billing Zip/Postal Code]])</f>
        <v>19600 AL-59, Summerdale, AL, 36580</v>
      </c>
    </row>
    <row r="2695" spans="1:13" ht="15.6" x14ac:dyDescent="0.3">
      <c r="A2695" s="1" t="s">
        <v>8227</v>
      </c>
      <c r="B2695" s="1"/>
      <c r="C2695" s="1"/>
      <c r="D2695" s="1"/>
      <c r="E2695" s="1"/>
      <c r="F2695" s="1"/>
      <c r="G2695" s="1" t="s">
        <v>24</v>
      </c>
      <c r="H2695" s="2">
        <v>5988</v>
      </c>
      <c r="I2695" s="1" t="s">
        <v>8228</v>
      </c>
      <c r="J2695" s="1" t="s">
        <v>633</v>
      </c>
      <c r="K2695" s="1" t="s">
        <v>26</v>
      </c>
      <c r="L2695" s="1" t="s">
        <v>8229</v>
      </c>
      <c r="M2695" s="6" t="str">
        <f>_xlfn.CONCAT(Table1[[#This Row],[Billing Street]], ", ", Table1[[#This Row],[Billing City]], ", ", Table1[[#This Row],[Billing State/Province]], ", ", Table1[[#This Row],[Billing Zip/Postal Code]])</f>
        <v>4760 Nobel Drive East, Mobile, AL, 36619</v>
      </c>
    </row>
    <row r="2696" spans="1:13" ht="15.6" x14ac:dyDescent="0.3">
      <c r="A2696" s="1" t="s">
        <v>8230</v>
      </c>
      <c r="B2696" s="1"/>
      <c r="C2696" s="1"/>
      <c r="D2696" s="1"/>
      <c r="E2696" s="1"/>
      <c r="F2696" s="1"/>
      <c r="G2696" s="1" t="s">
        <v>24</v>
      </c>
      <c r="H2696" s="2">
        <v>40</v>
      </c>
      <c r="I2696" s="1" t="s">
        <v>8231</v>
      </c>
      <c r="J2696" s="1" t="s">
        <v>8232</v>
      </c>
      <c r="K2696" s="1" t="s">
        <v>36</v>
      </c>
      <c r="L2696" s="1" t="s">
        <v>8233</v>
      </c>
      <c r="M2696" s="6" t="str">
        <f>_xlfn.CONCAT(Table1[[#This Row],[Billing Street]], ", ", Table1[[#This Row],[Billing City]], ", ", Table1[[#This Row],[Billing State/Province]], ", ", Table1[[#This Row],[Billing Zip/Postal Code]])</f>
        <v>926 Tully Street building 90051, Hurlburt Field, Florida 32544, FL, 32544</v>
      </c>
    </row>
    <row r="2697" spans="1:13" ht="15.6" hidden="1" x14ac:dyDescent="0.3">
      <c r="A2697" s="1" t="s">
        <v>8234</v>
      </c>
      <c r="B2697" s="1"/>
      <c r="C2697" s="1"/>
      <c r="D2697" s="1"/>
      <c r="E2697" s="1"/>
      <c r="F2697" s="1"/>
      <c r="G2697" s="1" t="s">
        <v>205</v>
      </c>
      <c r="H2697" s="2">
        <v>329</v>
      </c>
      <c r="I2697" s="1" t="s">
        <v>8235</v>
      </c>
      <c r="J2697" s="1" t="s">
        <v>348</v>
      </c>
      <c r="K2697" s="1" t="s">
        <v>266</v>
      </c>
      <c r="L2697" s="1" t="s">
        <v>8236</v>
      </c>
      <c r="M2697" s="6" t="str">
        <f>_xlfn.CONCAT(Table1[[#This Row],[Billing Street]], ", ", Table1[[#This Row],[Billing City]], ", ", Table1[[#This Row],[Billing State/Province]], ", ", Table1[[#This Row],[Billing Zip/Postal Code]])</f>
        <v>414 Silver Avenue SW, Albuquerque, NM, 87102</v>
      </c>
    </row>
    <row r="2698" spans="1:13" ht="15.6" hidden="1" x14ac:dyDescent="0.3">
      <c r="A2698" s="1" t="s">
        <v>8237</v>
      </c>
      <c r="B2698" s="1"/>
      <c r="C2698" s="1"/>
      <c r="D2698" s="1"/>
      <c r="E2698" s="1"/>
      <c r="F2698" s="1"/>
      <c r="G2698" s="1" t="s">
        <v>8</v>
      </c>
      <c r="H2698" s="2">
        <v>170</v>
      </c>
      <c r="I2698" s="1" t="s">
        <v>8238</v>
      </c>
      <c r="J2698" s="1" t="s">
        <v>297</v>
      </c>
      <c r="K2698" s="1" t="s">
        <v>11</v>
      </c>
      <c r="L2698" s="1" t="s">
        <v>298</v>
      </c>
      <c r="M2698" s="6" t="str">
        <f>_xlfn.CONCAT(Table1[[#This Row],[Billing Street]], ", ", Table1[[#This Row],[Billing City]], ", ", Table1[[#This Row],[Billing State/Province]], ", ", Table1[[#This Row],[Billing Zip/Postal Code]])</f>
        <v>1400 E. Route 66, Lebanon, MO, 65536</v>
      </c>
    </row>
    <row r="2699" spans="1:13" ht="15.6" hidden="1" x14ac:dyDescent="0.3">
      <c r="A2699" s="1" t="s">
        <v>8239</v>
      </c>
      <c r="B2699" s="1"/>
      <c r="C2699" s="1"/>
      <c r="D2699" s="1"/>
      <c r="E2699" s="1"/>
      <c r="F2699" s="1"/>
      <c r="G2699" s="1" t="s">
        <v>8</v>
      </c>
      <c r="H2699" s="2">
        <v>253</v>
      </c>
      <c r="I2699" s="1" t="s">
        <v>8240</v>
      </c>
      <c r="J2699" s="1" t="s">
        <v>8241</v>
      </c>
      <c r="K2699" s="1" t="s">
        <v>11</v>
      </c>
      <c r="L2699" s="1" t="s">
        <v>13</v>
      </c>
      <c r="M2699" s="6" t="str">
        <f>_xlfn.CONCAT(Table1[[#This Row],[Billing Street]], ", ", Table1[[#This Row],[Billing City]], ", ", Table1[[#This Row],[Billing State/Province]], ", ", Table1[[#This Row],[Billing Zip/Postal Code]])</f>
        <v xml:space="preserve">10301 North Service Rd., Bourbon, MO, </v>
      </c>
    </row>
    <row r="2700" spans="1:13" ht="15.6" hidden="1" x14ac:dyDescent="0.3">
      <c r="A2700" s="1" t="s">
        <v>8242</v>
      </c>
      <c r="B2700" s="1"/>
      <c r="C2700" s="1"/>
      <c r="D2700" s="1"/>
      <c r="E2700" s="1"/>
      <c r="F2700" s="1"/>
      <c r="G2700" s="1" t="s">
        <v>8</v>
      </c>
      <c r="H2700" s="2">
        <v>200</v>
      </c>
      <c r="I2700" s="1" t="s">
        <v>8243</v>
      </c>
      <c r="J2700" s="1" t="s">
        <v>4411</v>
      </c>
      <c r="K2700" s="1" t="s">
        <v>11</v>
      </c>
      <c r="L2700" s="1" t="s">
        <v>8244</v>
      </c>
      <c r="M2700" s="6" t="str">
        <f>_xlfn.CONCAT(Table1[[#This Row],[Billing Street]], ", ", Table1[[#This Row],[Billing City]], ", ", Table1[[#This Row],[Billing State/Province]], ", ", Table1[[#This Row],[Billing Zip/Postal Code]])</f>
        <v>902 E Buchanan, California, MO, 65018</v>
      </c>
    </row>
    <row r="2701" spans="1:13" ht="15.6" hidden="1" x14ac:dyDescent="0.3">
      <c r="A2701" s="1" t="s">
        <v>8245</v>
      </c>
      <c r="B2701" s="1"/>
      <c r="C2701" s="1"/>
      <c r="D2701" s="1"/>
      <c r="E2701" s="1"/>
      <c r="F2701" s="1"/>
      <c r="G2701" s="1" t="s">
        <v>205</v>
      </c>
      <c r="H2701" s="2">
        <v>55</v>
      </c>
      <c r="I2701" s="1" t="s">
        <v>8246</v>
      </c>
      <c r="J2701" s="1" t="s">
        <v>173</v>
      </c>
      <c r="K2701" s="1" t="s">
        <v>479</v>
      </c>
      <c r="L2701" s="1" t="s">
        <v>8247</v>
      </c>
      <c r="M2701" s="6" t="str">
        <f>_xlfn.CONCAT(Table1[[#This Row],[Billing Street]], ", ", Table1[[#This Row],[Billing City]], ", ", Table1[[#This Row],[Billing State/Province]], ", ", Table1[[#This Row],[Billing Zip/Postal Code]])</f>
        <v>Magma Mine Road, Superior, AZ, 85173</v>
      </c>
    </row>
    <row r="2702" spans="1:13" ht="15.6" hidden="1" x14ac:dyDescent="0.3">
      <c r="A2702" s="1" t="s">
        <v>8248</v>
      </c>
      <c r="B2702" s="1"/>
      <c r="C2702" s="1"/>
      <c r="D2702" s="1"/>
      <c r="E2702" s="1"/>
      <c r="F2702" s="1"/>
      <c r="G2702" s="1" t="s">
        <v>205</v>
      </c>
      <c r="H2702" s="2">
        <v>89</v>
      </c>
      <c r="I2702" s="1" t="s">
        <v>8249</v>
      </c>
      <c r="J2702" s="1" t="s">
        <v>8250</v>
      </c>
      <c r="K2702" s="1" t="s">
        <v>479</v>
      </c>
      <c r="L2702" s="1" t="s">
        <v>8251</v>
      </c>
      <c r="M2702" s="6" t="str">
        <f>_xlfn.CONCAT(Table1[[#This Row],[Billing Street]], ", ", Table1[[#This Row],[Billing City]], ", ", Table1[[#This Row],[Billing State/Province]], ", ", Table1[[#This Row],[Billing Zip/Postal Code]])</f>
        <v>8600 Tangerine Rd, Marana, AZ, 85658</v>
      </c>
    </row>
    <row r="2703" spans="1:13" ht="15.6" x14ac:dyDescent="0.3">
      <c r="A2703" s="1" t="s">
        <v>6024</v>
      </c>
      <c r="B2703" s="1"/>
      <c r="C2703" s="1"/>
      <c r="D2703" s="1"/>
      <c r="E2703" s="1"/>
      <c r="F2703" s="1"/>
      <c r="G2703" s="1" t="s">
        <v>24</v>
      </c>
      <c r="H2703" s="2">
        <v>432</v>
      </c>
      <c r="I2703" s="1" t="s">
        <v>8252</v>
      </c>
      <c r="J2703" s="1" t="s">
        <v>8253</v>
      </c>
      <c r="K2703" s="1" t="s">
        <v>577</v>
      </c>
      <c r="L2703" s="1" t="s">
        <v>8254</v>
      </c>
      <c r="M2703" s="6" t="str">
        <f>_xlfn.CONCAT(Table1[[#This Row],[Billing Street]], ", ", Table1[[#This Row],[Billing City]], ", ", Table1[[#This Row],[Billing State/Province]], ", ", Table1[[#This Row],[Billing Zip/Postal Code]])</f>
        <v>3451 S. Beglis Parkway, Sulphur, LA, 70665</v>
      </c>
    </row>
    <row r="2704" spans="1:13" ht="15.6" hidden="1" x14ac:dyDescent="0.3">
      <c r="A2704" s="1" t="s">
        <v>8255</v>
      </c>
      <c r="B2704" s="1"/>
      <c r="C2704" s="1"/>
      <c r="D2704" s="1"/>
      <c r="E2704" s="1"/>
      <c r="F2704" s="1"/>
      <c r="G2704" s="1" t="s">
        <v>205</v>
      </c>
      <c r="H2704" s="2">
        <v>238</v>
      </c>
      <c r="I2704" s="1" t="s">
        <v>8256</v>
      </c>
      <c r="J2704" s="1" t="s">
        <v>8205</v>
      </c>
      <c r="K2704" s="1" t="s">
        <v>479</v>
      </c>
      <c r="L2704" s="1" t="s">
        <v>8206</v>
      </c>
      <c r="M2704" s="6" t="str">
        <f>_xlfn.CONCAT(Table1[[#This Row],[Billing Street]], ", ", Table1[[#This Row],[Billing City]], ", ", Table1[[#This Row],[Billing State/Province]], ", ", Table1[[#This Row],[Billing Zip/Postal Code]])</f>
        <v>Arizona 98, Page, AZ, 86040</v>
      </c>
    </row>
    <row r="2705" spans="1:13" ht="15.6" hidden="1" x14ac:dyDescent="0.3">
      <c r="A2705" s="1" t="s">
        <v>8257</v>
      </c>
      <c r="B2705" s="1"/>
      <c r="C2705" s="1"/>
      <c r="D2705" s="1"/>
      <c r="E2705" s="1"/>
      <c r="F2705" s="1"/>
      <c r="G2705" s="1" t="s">
        <v>8</v>
      </c>
      <c r="H2705" s="2">
        <v>621</v>
      </c>
      <c r="I2705" s="1" t="s">
        <v>8258</v>
      </c>
      <c r="J2705" s="1" t="s">
        <v>8259</v>
      </c>
      <c r="K2705" s="1" t="s">
        <v>133</v>
      </c>
      <c r="L2705" s="1" t="s">
        <v>8260</v>
      </c>
      <c r="M2705" s="6" t="str">
        <f>_xlfn.CONCAT(Table1[[#This Row],[Billing Street]], ", ", Table1[[#This Row],[Billing City]], ", ", Table1[[#This Row],[Billing State/Province]], ", ", Table1[[#This Row],[Billing Zip/Postal Code]])</f>
        <v>1775 E Shady Ln, Neenah, WI, 54956</v>
      </c>
    </row>
    <row r="2706" spans="1:13" ht="15.6" hidden="1" x14ac:dyDescent="0.3">
      <c r="A2706" s="1" t="s">
        <v>8261</v>
      </c>
      <c r="B2706" s="1"/>
      <c r="C2706" s="1"/>
      <c r="D2706" s="1"/>
      <c r="E2706" s="1"/>
      <c r="F2706" s="1"/>
      <c r="G2706" s="1" t="s">
        <v>205</v>
      </c>
      <c r="H2706" s="2">
        <v>5</v>
      </c>
      <c r="I2706" s="1" t="s">
        <v>8262</v>
      </c>
      <c r="J2706" s="1" t="s">
        <v>518</v>
      </c>
      <c r="K2706" s="1" t="s">
        <v>479</v>
      </c>
      <c r="L2706" s="1" t="s">
        <v>1063</v>
      </c>
      <c r="M2706" s="6" t="str">
        <f>_xlfn.CONCAT(Table1[[#This Row],[Billing Street]], ", ", Table1[[#This Row],[Billing City]], ", ", Table1[[#This Row],[Billing State/Province]], ", ", Table1[[#This Row],[Billing Zip/Postal Code]])</f>
        <v>4810 South 36th Street, Phoenix, AZ, 85040</v>
      </c>
    </row>
    <row r="2707" spans="1:13" ht="15.6" hidden="1" x14ac:dyDescent="0.3">
      <c r="A2707" s="1" t="s">
        <v>8263</v>
      </c>
      <c r="B2707" s="1"/>
      <c r="C2707" s="1"/>
      <c r="D2707" s="1"/>
      <c r="E2707" s="1"/>
      <c r="F2707" s="1"/>
      <c r="G2707" s="1" t="s">
        <v>8</v>
      </c>
      <c r="H2707" s="2">
        <v>484</v>
      </c>
      <c r="I2707" s="1" t="s">
        <v>8264</v>
      </c>
      <c r="J2707" s="1" t="s">
        <v>6595</v>
      </c>
      <c r="K2707" s="1" t="s">
        <v>229</v>
      </c>
      <c r="L2707" s="1" t="s">
        <v>6596</v>
      </c>
      <c r="M2707" s="6" t="str">
        <f>_xlfn.CONCAT(Table1[[#This Row],[Billing Street]], ", ", Table1[[#This Row],[Billing City]], ", ", Table1[[#This Row],[Billing State/Province]], ", ", Table1[[#This Row],[Billing Zip/Postal Code]])</f>
        <v>P.O. Box 209, Colman, SD, 57017</v>
      </c>
    </row>
    <row r="2708" spans="1:13" ht="15.6" hidden="1" x14ac:dyDescent="0.3">
      <c r="A2708" s="1" t="s">
        <v>8265</v>
      </c>
      <c r="B2708" s="1"/>
      <c r="C2708" s="1"/>
      <c r="D2708" s="1"/>
      <c r="E2708" s="1"/>
      <c r="F2708" s="1"/>
      <c r="G2708" s="1" t="s">
        <v>98</v>
      </c>
      <c r="H2708" s="2">
        <v>42</v>
      </c>
      <c r="I2708" s="1" t="s">
        <v>8266</v>
      </c>
      <c r="J2708" s="1" t="s">
        <v>8267</v>
      </c>
      <c r="K2708" s="1" t="s">
        <v>101</v>
      </c>
      <c r="L2708" s="1" t="s">
        <v>8268</v>
      </c>
      <c r="M2708" s="6" t="str">
        <f>_xlfn.CONCAT(Table1[[#This Row],[Billing Street]], ", ", Table1[[#This Row],[Billing City]], ", ", Table1[[#This Row],[Billing State/Province]], ", ", Table1[[#This Row],[Billing Zip/Postal Code]])</f>
        <v>850 Commerce Rd, Jefferson, GA, 30549</v>
      </c>
    </row>
    <row r="2709" spans="1:13" ht="15.6" hidden="1" x14ac:dyDescent="0.3">
      <c r="A2709" s="1" t="s">
        <v>8269</v>
      </c>
      <c r="B2709" s="1"/>
      <c r="C2709" s="1"/>
      <c r="D2709" s="1"/>
      <c r="E2709" s="1"/>
      <c r="F2709" s="1"/>
      <c r="G2709" s="1" t="s">
        <v>8</v>
      </c>
      <c r="H2709" s="2">
        <v>214</v>
      </c>
      <c r="I2709" s="1" t="s">
        <v>8270</v>
      </c>
      <c r="J2709" s="1" t="s">
        <v>7416</v>
      </c>
      <c r="K2709" s="1" t="s">
        <v>11</v>
      </c>
      <c r="L2709" s="1" t="s">
        <v>7417</v>
      </c>
      <c r="M2709" s="6" t="str">
        <f>_xlfn.CONCAT(Table1[[#This Row],[Billing Street]], ", ", Table1[[#This Row],[Billing City]], ", ", Table1[[#This Row],[Billing State/Province]], ", ", Table1[[#This Row],[Billing Zip/Postal Code]])</f>
        <v>2106 Jefferson St, Jefferson City, MO, 65109</v>
      </c>
    </row>
    <row r="2710" spans="1:13" ht="15.6" hidden="1" x14ac:dyDescent="0.3">
      <c r="A2710" s="1" t="s">
        <v>8271</v>
      </c>
      <c r="B2710" s="1"/>
      <c r="C2710" s="1"/>
      <c r="D2710" s="1"/>
      <c r="E2710" s="1"/>
      <c r="F2710" s="1"/>
      <c r="G2710" s="1" t="s">
        <v>43</v>
      </c>
      <c r="H2710" s="2">
        <v>419</v>
      </c>
      <c r="I2710" s="1" t="s">
        <v>8272</v>
      </c>
      <c r="J2710" s="1" t="s">
        <v>1199</v>
      </c>
      <c r="K2710" s="1" t="s">
        <v>152</v>
      </c>
      <c r="L2710" s="1" t="s">
        <v>1200</v>
      </c>
      <c r="M2710" s="6" t="str">
        <f>_xlfn.CONCAT(Table1[[#This Row],[Billing Street]], ", ", Table1[[#This Row],[Billing City]], ", ", Table1[[#This Row],[Billing State/Province]], ", ", Table1[[#This Row],[Billing Zip/Postal Code]])</f>
        <v>107 Northwest 6th Street, Fairfield, IL, 62837</v>
      </c>
    </row>
    <row r="2711" spans="1:13" ht="15.6" hidden="1" x14ac:dyDescent="0.3">
      <c r="A2711" s="1" t="s">
        <v>8273</v>
      </c>
      <c r="B2711" s="1"/>
      <c r="C2711" s="1"/>
      <c r="D2711" s="1"/>
      <c r="E2711" s="1"/>
      <c r="F2711" s="1"/>
      <c r="G2711" s="1" t="s">
        <v>205</v>
      </c>
      <c r="H2711" s="2">
        <v>5</v>
      </c>
      <c r="I2711" s="1" t="s">
        <v>8274</v>
      </c>
      <c r="J2711" s="1" t="s">
        <v>518</v>
      </c>
      <c r="K2711" s="1" t="s">
        <v>479</v>
      </c>
      <c r="L2711" s="1" t="s">
        <v>519</v>
      </c>
      <c r="M2711" s="6" t="str">
        <f>_xlfn.CONCAT(Table1[[#This Row],[Billing Street]], ", ", Table1[[#This Row],[Billing City]], ", ", Table1[[#This Row],[Billing State/Province]], ", ", Table1[[#This Row],[Billing Zip/Postal Code]])</f>
        <v>4301 W. Jefferson St., Phoenix, AZ, 85043</v>
      </c>
    </row>
    <row r="2712" spans="1:13" ht="15.6" x14ac:dyDescent="0.3">
      <c r="A2712" s="1" t="s">
        <v>8275</v>
      </c>
      <c r="B2712" s="1"/>
      <c r="C2712" s="1"/>
      <c r="D2712" s="1"/>
      <c r="E2712" s="1"/>
      <c r="F2712" s="1"/>
      <c r="G2712" s="1" t="s">
        <v>24</v>
      </c>
      <c r="H2712" s="2">
        <v>119</v>
      </c>
      <c r="I2712" s="1" t="s">
        <v>8276</v>
      </c>
      <c r="J2712" s="1" t="s">
        <v>633</v>
      </c>
      <c r="K2712" s="1" t="s">
        <v>26</v>
      </c>
      <c r="L2712" s="1" t="s">
        <v>8277</v>
      </c>
      <c r="M2712" s="6" t="str">
        <f>_xlfn.CONCAT(Table1[[#This Row],[Billing Street]], ", ", Table1[[#This Row],[Billing City]], ", ", Table1[[#This Row],[Billing State/Province]], ", ", Table1[[#This Row],[Billing Zip/Postal Code]])</f>
        <v>150 Noel Ave, Mobile, AL, 36607</v>
      </c>
    </row>
    <row r="2713" spans="1:13" ht="15.6" hidden="1" x14ac:dyDescent="0.3">
      <c r="A2713" s="1" t="s">
        <v>8278</v>
      </c>
      <c r="B2713" s="1"/>
      <c r="C2713" s="1"/>
      <c r="D2713" s="1"/>
      <c r="E2713" s="1"/>
      <c r="F2713" s="1"/>
      <c r="G2713" s="1" t="s">
        <v>205</v>
      </c>
      <c r="H2713" s="2">
        <v>36</v>
      </c>
      <c r="I2713" s="1" t="s">
        <v>8279</v>
      </c>
      <c r="J2713" s="1" t="s">
        <v>8280</v>
      </c>
      <c r="K2713" s="1" t="s">
        <v>479</v>
      </c>
      <c r="L2713" s="1" t="s">
        <v>8281</v>
      </c>
      <c r="M2713" s="6" t="str">
        <f>_xlfn.CONCAT(Table1[[#This Row],[Billing Street]], ", ", Table1[[#This Row],[Billing City]], ", ", Table1[[#This Row],[Billing State/Province]], ", ", Table1[[#This Row],[Billing Zip/Postal Code]])</f>
        <v>34360 North Schnepf Road, San Tan Valley, AZ, 85140</v>
      </c>
    </row>
    <row r="2714" spans="1:13" ht="15.6" hidden="1" x14ac:dyDescent="0.3">
      <c r="A2714" s="1" t="s">
        <v>8282</v>
      </c>
      <c r="B2714" s="1"/>
      <c r="C2714" s="1"/>
      <c r="D2714" s="1"/>
      <c r="E2714" s="1"/>
      <c r="F2714" s="1"/>
      <c r="G2714" s="1" t="s">
        <v>205</v>
      </c>
      <c r="H2714" s="2">
        <v>14</v>
      </c>
      <c r="I2714" s="1" t="s">
        <v>8283</v>
      </c>
      <c r="J2714" s="1" t="s">
        <v>478</v>
      </c>
      <c r="K2714" s="1" t="s">
        <v>479</v>
      </c>
      <c r="L2714" s="1" t="s">
        <v>8284</v>
      </c>
      <c r="M2714" s="6" t="str">
        <f>_xlfn.CONCAT(Table1[[#This Row],[Billing Street]], ", ", Table1[[#This Row],[Billing City]], ", ", Table1[[#This Row],[Billing State/Province]], ", ", Table1[[#This Row],[Billing Zip/Postal Code]])</f>
        <v>641 S Drew St, Mesa, AZ, 85210</v>
      </c>
    </row>
    <row r="2715" spans="1:13" ht="15.6" x14ac:dyDescent="0.3">
      <c r="A2715" s="1" t="s">
        <v>8285</v>
      </c>
      <c r="B2715" s="1"/>
      <c r="C2715" s="1"/>
      <c r="D2715" s="1"/>
      <c r="E2715" s="1"/>
      <c r="F2715" s="1"/>
      <c r="G2715" s="1" t="s">
        <v>24</v>
      </c>
      <c r="H2715" s="2">
        <v>59</v>
      </c>
      <c r="I2715" s="1" t="s">
        <v>8286</v>
      </c>
      <c r="J2715" s="1" t="s">
        <v>8287</v>
      </c>
      <c r="K2715" s="1" t="s">
        <v>26</v>
      </c>
      <c r="L2715" s="1" t="s">
        <v>8288</v>
      </c>
      <c r="M2715" s="6" t="str">
        <f>_xlfn.CONCAT(Table1[[#This Row],[Billing Street]], ", ", Table1[[#This Row],[Billing City]], ", ", Table1[[#This Row],[Billing State/Province]], ", ", Table1[[#This Row],[Billing Zip/Postal Code]])</f>
        <v>1311 W. Roy Parker Rd., Ozark, AL, 36361</v>
      </c>
    </row>
    <row r="2716" spans="1:13" ht="15.6" hidden="1" x14ac:dyDescent="0.3">
      <c r="A2716" s="1" t="s">
        <v>8289</v>
      </c>
      <c r="B2716" s="1"/>
      <c r="C2716" s="1"/>
      <c r="D2716" s="1"/>
      <c r="E2716" s="1"/>
      <c r="F2716" s="1"/>
      <c r="G2716" s="1" t="s">
        <v>205</v>
      </c>
      <c r="H2716" s="2">
        <v>38</v>
      </c>
      <c r="I2716" s="1" t="s">
        <v>8290</v>
      </c>
      <c r="J2716" s="1" t="s">
        <v>8291</v>
      </c>
      <c r="K2716" s="1" t="s">
        <v>479</v>
      </c>
      <c r="L2716" s="1" t="s">
        <v>8292</v>
      </c>
      <c r="M2716" s="6" t="str">
        <f>_xlfn.CONCAT(Table1[[#This Row],[Billing Street]], ", ", Table1[[#This Row],[Billing City]], ", ", Table1[[#This Row],[Billing State/Province]], ", ", Table1[[#This Row],[Billing Zip/Postal Code]])</f>
        <v>10958 East Cordova Street, Gold Canyon, AZ, 85118-4874</v>
      </c>
    </row>
    <row r="2717" spans="1:13" ht="15.6" x14ac:dyDescent="0.3">
      <c r="A2717" s="1" t="s">
        <v>8293</v>
      </c>
      <c r="B2717" s="1"/>
      <c r="C2717" s="1"/>
      <c r="D2717" s="1"/>
      <c r="E2717" s="1"/>
      <c r="F2717" s="1"/>
      <c r="G2717" s="1" t="s">
        <v>24</v>
      </c>
      <c r="H2717" s="2">
        <v>236</v>
      </c>
      <c r="I2717" s="1" t="s">
        <v>8294</v>
      </c>
      <c r="J2717" s="1" t="s">
        <v>8295</v>
      </c>
      <c r="K2717" s="1" t="s">
        <v>36</v>
      </c>
      <c r="L2717" s="1" t="s">
        <v>8296</v>
      </c>
      <c r="M2717" s="6" t="str">
        <f>_xlfn.CONCAT(Table1[[#This Row],[Billing Street]], ", ", Table1[[#This Row],[Billing City]], ", ", Table1[[#This Row],[Billing State/Province]], ", ", Table1[[#This Row],[Billing Zip/Postal Code]])</f>
        <v>505–599 NW 4th St, Williston, FL, 32696</v>
      </c>
    </row>
    <row r="2718" spans="1:13" ht="15.6" x14ac:dyDescent="0.3">
      <c r="A2718" s="1" t="s">
        <v>8297</v>
      </c>
      <c r="B2718" s="1"/>
      <c r="C2718" s="1"/>
      <c r="D2718" s="1"/>
      <c r="E2718" s="1"/>
      <c r="F2718" s="1"/>
      <c r="G2718" s="1" t="s">
        <v>24</v>
      </c>
      <c r="H2718" s="2">
        <v>324</v>
      </c>
      <c r="I2718" s="1" t="s">
        <v>8298</v>
      </c>
      <c r="J2718" s="1" t="s">
        <v>8299</v>
      </c>
      <c r="K2718" s="1" t="s">
        <v>36</v>
      </c>
      <c r="L2718" s="1" t="s">
        <v>8300</v>
      </c>
      <c r="M2718" s="6" t="str">
        <f>_xlfn.CONCAT(Table1[[#This Row],[Billing Street]], ", ", Table1[[#This Row],[Billing City]], ", ", Table1[[#This Row],[Billing State/Province]], ", ", Table1[[#This Row],[Billing Zip/Postal Code]])</f>
        <v>4190 Ben Durrance Rd, Bartow, FL, 33830</v>
      </c>
    </row>
    <row r="2719" spans="1:13" ht="15.6" x14ac:dyDescent="0.3">
      <c r="A2719" s="1" t="s">
        <v>8301</v>
      </c>
      <c r="B2719" s="1"/>
      <c r="C2719" s="1"/>
      <c r="D2719" s="1"/>
      <c r="E2719" s="1"/>
      <c r="F2719" s="1"/>
      <c r="G2719" s="1" t="s">
        <v>24</v>
      </c>
      <c r="H2719" s="2">
        <v>277</v>
      </c>
      <c r="I2719" s="1" t="s">
        <v>8302</v>
      </c>
      <c r="J2719" s="1" t="s">
        <v>8303</v>
      </c>
      <c r="K2719" s="1" t="s">
        <v>7075</v>
      </c>
      <c r="L2719" s="1" t="s">
        <v>4046</v>
      </c>
      <c r="M2719" s="6" t="str">
        <f>_xlfn.CONCAT(Table1[[#This Row],[Billing Street]], ", ", Table1[[#This Row],[Billing City]], ", ", Table1[[#This Row],[Billing State/Province]], ", ", Table1[[#This Row],[Billing Zip/Postal Code]])</f>
        <v>780 Amelia Island Pkwy, Fernandina Beach,FL, Fl, 32034</v>
      </c>
    </row>
    <row r="2720" spans="1:13" ht="15.6" x14ac:dyDescent="0.3">
      <c r="A2720" s="1" t="s">
        <v>8304</v>
      </c>
      <c r="B2720" s="1"/>
      <c r="C2720" s="1"/>
      <c r="D2720" s="1"/>
      <c r="E2720" s="1"/>
      <c r="F2720" s="1"/>
      <c r="G2720" s="1" t="s">
        <v>24</v>
      </c>
      <c r="H2720" s="2">
        <v>91</v>
      </c>
      <c r="I2720" s="1" t="s">
        <v>8305</v>
      </c>
      <c r="J2720" s="1" t="s">
        <v>621</v>
      </c>
      <c r="K2720" s="1" t="s">
        <v>36</v>
      </c>
      <c r="L2720" s="1" t="s">
        <v>8306</v>
      </c>
      <c r="M2720" s="6" t="str">
        <f>_xlfn.CONCAT(Table1[[#This Row],[Billing Street]], ", ", Table1[[#This Row],[Billing City]], ", ", Table1[[#This Row],[Billing State/Province]], ", ", Table1[[#This Row],[Billing Zip/Postal Code]])</f>
        <v>1640 W. Jefferson St., Quincy, FL, 32353</v>
      </c>
    </row>
    <row r="2721" spans="1:13" ht="15.6" hidden="1" x14ac:dyDescent="0.3">
      <c r="A2721" s="1" t="s">
        <v>8307</v>
      </c>
      <c r="B2721" s="1"/>
      <c r="C2721" s="1"/>
      <c r="D2721" s="1"/>
      <c r="E2721" s="1"/>
      <c r="F2721" s="1"/>
      <c r="G2721" s="1" t="s">
        <v>205</v>
      </c>
      <c r="H2721" s="2">
        <v>7481</v>
      </c>
      <c r="I2721" s="1" t="s">
        <v>13</v>
      </c>
      <c r="J2721" s="1" t="s">
        <v>518</v>
      </c>
      <c r="K2721" s="1" t="s">
        <v>479</v>
      </c>
      <c r="L2721" s="1" t="s">
        <v>13</v>
      </c>
      <c r="M2721" s="6" t="str">
        <f>_xlfn.CONCAT(Table1[[#This Row],[Billing Street]], ", ", Table1[[#This Row],[Billing City]], ", ", Table1[[#This Row],[Billing State/Province]], ", ", Table1[[#This Row],[Billing Zip/Postal Code]])</f>
        <v xml:space="preserve">, Phoenix, AZ, </v>
      </c>
    </row>
    <row r="2722" spans="1:13" ht="15.6" x14ac:dyDescent="0.3">
      <c r="A2722" s="1" t="s">
        <v>8308</v>
      </c>
      <c r="B2722" s="1"/>
      <c r="C2722" s="1"/>
      <c r="D2722" s="1"/>
      <c r="E2722" s="1"/>
      <c r="F2722" s="1"/>
      <c r="G2722" s="1" t="s">
        <v>24</v>
      </c>
      <c r="H2722" s="2">
        <v>66</v>
      </c>
      <c r="I2722" s="1" t="s">
        <v>8309</v>
      </c>
      <c r="J2722" s="1" t="s">
        <v>715</v>
      </c>
      <c r="K2722" s="1" t="s">
        <v>36</v>
      </c>
      <c r="L2722" s="1" t="s">
        <v>2957</v>
      </c>
      <c r="M2722" s="6" t="str">
        <f>_xlfn.CONCAT(Table1[[#This Row],[Billing Street]], ", ", Table1[[#This Row],[Billing City]], ", ", Table1[[#This Row],[Billing State/Province]], ", ", Table1[[#This Row],[Billing Zip/Postal Code]])</f>
        <v>7684 Kipling St, Pensacola, FL, 32514</v>
      </c>
    </row>
    <row r="2723" spans="1:13" ht="15.6" x14ac:dyDescent="0.3">
      <c r="A2723" s="1" t="s">
        <v>8310</v>
      </c>
      <c r="B2723" s="1"/>
      <c r="C2723" s="1"/>
      <c r="D2723" s="1"/>
      <c r="E2723" s="1"/>
      <c r="F2723" s="1"/>
      <c r="G2723" s="1" t="s">
        <v>24</v>
      </c>
      <c r="H2723" s="2">
        <v>500</v>
      </c>
      <c r="I2723" s="1" t="s">
        <v>8311</v>
      </c>
      <c r="J2723" s="1" t="s">
        <v>8312</v>
      </c>
      <c r="K2723" s="1" t="s">
        <v>36</v>
      </c>
      <c r="L2723" s="1" t="s">
        <v>8313</v>
      </c>
      <c r="M2723" s="6" t="str">
        <f>_xlfn.CONCAT(Table1[[#This Row],[Billing Street]], ", ", Table1[[#This Row],[Billing City]], ", ", Table1[[#This Row],[Billing State/Province]], ", ", Table1[[#This Row],[Billing Zip/Postal Code]])</f>
        <v>675 N Flagler Avenue, Homestead, FL, 33030</v>
      </c>
    </row>
    <row r="2724" spans="1:13" ht="15.6" x14ac:dyDescent="0.3">
      <c r="A2724" s="1" t="s">
        <v>8314</v>
      </c>
      <c r="B2724" s="1"/>
      <c r="C2724" s="1"/>
      <c r="D2724" s="1"/>
      <c r="E2724" s="1"/>
      <c r="F2724" s="1"/>
      <c r="G2724" s="1" t="s">
        <v>24</v>
      </c>
      <c r="H2724" s="2">
        <v>5988</v>
      </c>
      <c r="I2724" s="1" t="s">
        <v>8315</v>
      </c>
      <c r="J2724" s="1" t="s">
        <v>8316</v>
      </c>
      <c r="K2724" s="1" t="s">
        <v>26</v>
      </c>
      <c r="L2724" s="1" t="s">
        <v>8317</v>
      </c>
      <c r="M2724" s="6" t="str">
        <f>_xlfn.CONCAT(Table1[[#This Row],[Billing Street]], ", ", Table1[[#This Row],[Billing City]], ", ", Table1[[#This Row],[Billing State/Province]], ", ", Table1[[#This Row],[Billing Zip/Postal Code]])</f>
        <v>50 Viaduct Rd, Chickasaw, AL, 36611</v>
      </c>
    </row>
    <row r="2725" spans="1:13" ht="15.6" x14ac:dyDescent="0.3">
      <c r="A2725" s="1" t="s">
        <v>8318</v>
      </c>
      <c r="B2725" s="1"/>
      <c r="C2725" s="1"/>
      <c r="D2725" s="1"/>
      <c r="E2725" s="1"/>
      <c r="F2725" s="1"/>
      <c r="G2725" s="1" t="s">
        <v>24</v>
      </c>
      <c r="H2725" s="2">
        <v>279</v>
      </c>
      <c r="I2725" s="1" t="s">
        <v>8319</v>
      </c>
      <c r="J2725" s="1" t="s">
        <v>3440</v>
      </c>
      <c r="K2725" s="1" t="s">
        <v>36</v>
      </c>
      <c r="L2725" s="1" t="s">
        <v>3441</v>
      </c>
      <c r="M2725" s="6" t="str">
        <f>_xlfn.CONCAT(Table1[[#This Row],[Billing Street]], ", ", Table1[[#This Row],[Billing City]], ", ", Table1[[#This Row],[Billing State/Province]], ", ", Table1[[#This Row],[Billing Zip/Postal Code]])</f>
        <v>330 S US Hwy 301, Sumterville, FL, 33585</v>
      </c>
    </row>
    <row r="2726" spans="1:13" ht="15.6" hidden="1" x14ac:dyDescent="0.3">
      <c r="A2726" s="1" t="s">
        <v>8320</v>
      </c>
      <c r="B2726" s="1"/>
      <c r="C2726" s="1"/>
      <c r="D2726" s="1"/>
      <c r="E2726" s="1"/>
      <c r="F2726" s="1"/>
      <c r="G2726" s="1" t="s">
        <v>205</v>
      </c>
      <c r="H2726" s="2">
        <v>85</v>
      </c>
      <c r="I2726" s="1" t="s">
        <v>8321</v>
      </c>
      <c r="J2726" s="1" t="s">
        <v>8322</v>
      </c>
      <c r="K2726" s="1" t="s">
        <v>479</v>
      </c>
      <c r="L2726" s="1" t="s">
        <v>8323</v>
      </c>
      <c r="M2726" s="6" t="str">
        <f>_xlfn.CONCAT(Table1[[#This Row],[Billing Street]], ", ", Table1[[#This Row],[Billing City]], ", ", Table1[[#This Row],[Billing State/Province]], ", ", Table1[[#This Row],[Billing Zip/Postal Code]])</f>
        <v>6482 Corradi Way, Prescott, AZ, 86301</v>
      </c>
    </row>
    <row r="2727" spans="1:13" ht="15.6" x14ac:dyDescent="0.3">
      <c r="A2727" s="1" t="s">
        <v>8324</v>
      </c>
      <c r="B2727" s="1"/>
      <c r="C2727" s="1"/>
      <c r="D2727" s="1"/>
      <c r="E2727" s="1"/>
      <c r="F2727" s="1"/>
      <c r="G2727" s="1" t="s">
        <v>24</v>
      </c>
      <c r="H2727" s="2">
        <v>301</v>
      </c>
      <c r="I2727" s="1" t="s">
        <v>8325</v>
      </c>
      <c r="J2727" s="1" t="s">
        <v>8326</v>
      </c>
      <c r="K2727" s="1" t="s">
        <v>36</v>
      </c>
      <c r="L2727" s="1" t="s">
        <v>8327</v>
      </c>
      <c r="M2727" s="6" t="str">
        <f>_xlfn.CONCAT(Table1[[#This Row],[Billing Street]], ", ", Table1[[#This Row],[Billing City]], ", ", Table1[[#This Row],[Billing State/Province]], ", ", Table1[[#This Row],[Billing Zip/Postal Code]])</f>
        <v>1501 Robie Av, Mount Dora, FL, 32757</v>
      </c>
    </row>
    <row r="2728" spans="1:13" ht="15.6" hidden="1" x14ac:dyDescent="0.3">
      <c r="A2728" s="1" t="s">
        <v>8328</v>
      </c>
      <c r="B2728" s="1"/>
      <c r="C2728" s="1"/>
      <c r="D2728" s="1"/>
      <c r="E2728" s="1"/>
      <c r="F2728" s="1"/>
      <c r="G2728" s="1" t="s">
        <v>43</v>
      </c>
      <c r="H2728" s="2">
        <v>420</v>
      </c>
      <c r="I2728" s="1" t="s">
        <v>8329</v>
      </c>
      <c r="J2728" s="1" t="s">
        <v>585</v>
      </c>
      <c r="K2728" s="1" t="s">
        <v>1191</v>
      </c>
      <c r="L2728" s="1" t="s">
        <v>8330</v>
      </c>
      <c r="M2728" s="6" t="str">
        <f>_xlfn.CONCAT(Table1[[#This Row],[Billing Street]], ", ", Table1[[#This Row],[Billing City]], ", ", Table1[[#This Row],[Billing State/Province]], ", ", Table1[[#This Row],[Billing Zip/Postal Code]])</f>
        <v>309 North High Street
P.O. Box 349, Franklin, KY, 42135</v>
      </c>
    </row>
    <row r="2729" spans="1:13" ht="15.6" hidden="1" x14ac:dyDescent="0.3">
      <c r="A2729" s="1" t="s">
        <v>8331</v>
      </c>
      <c r="B2729" s="1"/>
      <c r="C2729" s="1"/>
      <c r="D2729" s="1"/>
      <c r="E2729" s="1"/>
      <c r="F2729" s="1"/>
      <c r="G2729" s="1" t="s">
        <v>8</v>
      </c>
      <c r="H2729" s="2">
        <v>6528</v>
      </c>
      <c r="I2729" s="1" t="s">
        <v>8332</v>
      </c>
      <c r="J2729" s="1" t="s">
        <v>3537</v>
      </c>
      <c r="K2729" s="1" t="s">
        <v>2414</v>
      </c>
      <c r="L2729" s="1" t="s">
        <v>3538</v>
      </c>
      <c r="M2729" s="6" t="str">
        <f>_xlfn.CONCAT(Table1[[#This Row],[Billing Street]], ", ", Table1[[#This Row],[Billing City]], ", ", Table1[[#This Row],[Billing State/Province]], ", ", Table1[[#This Row],[Billing Zip/Postal Code]])</f>
        <v>225 E Bannaek St, Dillon, MT, 59725</v>
      </c>
    </row>
    <row r="2730" spans="1:13" ht="15.6" hidden="1" x14ac:dyDescent="0.3">
      <c r="A2730" s="1" t="s">
        <v>8333</v>
      </c>
      <c r="B2730" s="1"/>
      <c r="C2730" s="1"/>
      <c r="D2730" s="1"/>
      <c r="E2730" s="1"/>
      <c r="F2730" s="1"/>
      <c r="G2730" s="1" t="s">
        <v>205</v>
      </c>
      <c r="H2730" s="2">
        <v>135</v>
      </c>
      <c r="I2730" s="1" t="s">
        <v>8334</v>
      </c>
      <c r="J2730" s="1" t="s">
        <v>8335</v>
      </c>
      <c r="K2730" s="1" t="s">
        <v>479</v>
      </c>
      <c r="L2730" s="1" t="s">
        <v>8336</v>
      </c>
      <c r="M2730" s="6" t="str">
        <f>_xlfn.CONCAT(Table1[[#This Row],[Billing Street]], ", ", Table1[[#This Row],[Billing City]], ", ", Table1[[#This Row],[Billing State/Province]], ", ", Table1[[#This Row],[Billing Zip/Postal Code]])</f>
        <v>9 W Center St, Pima, AZ, 85543</v>
      </c>
    </row>
    <row r="2731" spans="1:13" ht="15.6" hidden="1" x14ac:dyDescent="0.3">
      <c r="A2731" s="1" t="s">
        <v>8337</v>
      </c>
      <c r="B2731" s="1"/>
      <c r="C2731" s="1"/>
      <c r="D2731" s="1"/>
      <c r="E2731" s="1"/>
      <c r="F2731" s="1"/>
      <c r="G2731" s="1" t="s">
        <v>8</v>
      </c>
      <c r="H2731" s="2">
        <v>99</v>
      </c>
      <c r="I2731" s="1" t="s">
        <v>8338</v>
      </c>
      <c r="J2731" s="1" t="s">
        <v>8339</v>
      </c>
      <c r="K2731" s="1" t="s">
        <v>11</v>
      </c>
      <c r="L2731" s="1" t="s">
        <v>8340</v>
      </c>
      <c r="M2731" s="6" t="str">
        <f>_xlfn.CONCAT(Table1[[#This Row],[Billing Street]], ", ", Table1[[#This Row],[Billing City]], ", ", Table1[[#This Row],[Billing State/Province]], ", ", Table1[[#This Row],[Billing Zip/Postal Code]])</f>
        <v>10943 Highway 39 North, PO Box 420, Mt. Vernon, MO, 65712</v>
      </c>
    </row>
    <row r="2732" spans="1:13" ht="15.6" hidden="1" x14ac:dyDescent="0.3">
      <c r="A2732" s="1" t="s">
        <v>8341</v>
      </c>
      <c r="B2732" s="1"/>
      <c r="C2732" s="1"/>
      <c r="D2732" s="1"/>
      <c r="E2732" s="1"/>
      <c r="F2732" s="1"/>
      <c r="G2732" s="1" t="s">
        <v>8</v>
      </c>
      <c r="H2732" s="2">
        <v>326</v>
      </c>
      <c r="I2732" s="1" t="s">
        <v>8342</v>
      </c>
      <c r="J2732" s="1" t="s">
        <v>8343</v>
      </c>
      <c r="K2732" s="1" t="s">
        <v>165</v>
      </c>
      <c r="L2732" s="1" t="s">
        <v>8344</v>
      </c>
      <c r="M2732" s="6" t="str">
        <f>_xlfn.CONCAT(Table1[[#This Row],[Billing Street]], ", ", Table1[[#This Row],[Billing City]], ", ", Table1[[#This Row],[Billing State/Province]], ", ", Table1[[#This Row],[Billing Zip/Postal Code]])</f>
        <v>510 north broadway, Blytheville, AR, 72316</v>
      </c>
    </row>
    <row r="2733" spans="1:13" ht="15.6" hidden="1" x14ac:dyDescent="0.3">
      <c r="A2733" s="1" t="s">
        <v>8345</v>
      </c>
      <c r="B2733" s="1"/>
      <c r="C2733" s="1"/>
      <c r="D2733" s="1"/>
      <c r="E2733" s="1"/>
      <c r="F2733" s="1"/>
      <c r="G2733" s="1" t="s">
        <v>8</v>
      </c>
      <c r="H2733" s="2">
        <v>396</v>
      </c>
      <c r="I2733" s="1" t="s">
        <v>8346</v>
      </c>
      <c r="J2733" s="1" t="s">
        <v>8347</v>
      </c>
      <c r="K2733" s="1" t="s">
        <v>51</v>
      </c>
      <c r="L2733" s="1" t="s">
        <v>8348</v>
      </c>
      <c r="M2733" s="6" t="str">
        <f>_xlfn.CONCAT(Table1[[#This Row],[Billing Street]], ", ", Table1[[#This Row],[Billing City]], ", ", Table1[[#This Row],[Billing State/Province]], ", ", Table1[[#This Row],[Billing Zip/Postal Code]])</f>
        <v>910 Energy Dr, Abilene, TX, 79602</v>
      </c>
    </row>
    <row r="2734" spans="1:13" ht="15.6" hidden="1" x14ac:dyDescent="0.3">
      <c r="A2734" s="1" t="s">
        <v>8349</v>
      </c>
      <c r="B2734" s="1"/>
      <c r="C2734" s="1"/>
      <c r="D2734" s="1"/>
      <c r="E2734" s="1"/>
      <c r="F2734" s="1"/>
      <c r="G2734" s="1" t="s">
        <v>8</v>
      </c>
      <c r="H2734" s="2">
        <v>212</v>
      </c>
      <c r="I2734" s="1" t="s">
        <v>8350</v>
      </c>
      <c r="J2734" s="1" t="s">
        <v>8351</v>
      </c>
      <c r="K2734" s="1" t="s">
        <v>11</v>
      </c>
      <c r="L2734" s="1" t="s">
        <v>8352</v>
      </c>
      <c r="M2734" s="6" t="str">
        <f>_xlfn.CONCAT(Table1[[#This Row],[Billing Street]], ", ", Table1[[#This Row],[Billing City]], ", ", Table1[[#This Row],[Billing State/Province]], ", ", Table1[[#This Row],[Billing Zip/Postal Code]])</f>
        <v>6327 US Hwy 63, West Plains, MO, 65775</v>
      </c>
    </row>
    <row r="2735" spans="1:13" ht="15.6" x14ac:dyDescent="0.3">
      <c r="A2735" s="1" t="s">
        <v>8353</v>
      </c>
      <c r="B2735" s="1"/>
      <c r="C2735" s="1"/>
      <c r="D2735" s="1"/>
      <c r="E2735" s="1"/>
      <c r="F2735" s="1"/>
      <c r="G2735" s="1" t="s">
        <v>24</v>
      </c>
      <c r="H2735" s="2">
        <v>113</v>
      </c>
      <c r="I2735" s="1" t="s">
        <v>8354</v>
      </c>
      <c r="J2735" s="1" t="s">
        <v>633</v>
      </c>
      <c r="K2735" s="1" t="s">
        <v>26</v>
      </c>
      <c r="L2735" s="1" t="s">
        <v>7926</v>
      </c>
      <c r="M2735" s="6" t="str">
        <f>_xlfn.CONCAT(Table1[[#This Row],[Billing Street]], ", ", Table1[[#This Row],[Billing City]], ", ", Table1[[#This Row],[Billing State/Province]], ", ", Table1[[#This Row],[Billing Zip/Postal Code]])</f>
        <v>660 Dunlap Drive, Mobile, AL, 36602</v>
      </c>
    </row>
    <row r="2736" spans="1:13" ht="15.6" hidden="1" x14ac:dyDescent="0.3">
      <c r="A2736" s="1" t="s">
        <v>8355</v>
      </c>
      <c r="B2736" s="1"/>
      <c r="C2736" s="1"/>
      <c r="D2736" s="1"/>
      <c r="E2736" s="1"/>
      <c r="F2736" s="1"/>
      <c r="G2736" s="1" t="s">
        <v>43</v>
      </c>
      <c r="H2736" s="2">
        <v>284</v>
      </c>
      <c r="I2736" s="1" t="s">
        <v>8356</v>
      </c>
      <c r="J2736" s="1" t="s">
        <v>8357</v>
      </c>
      <c r="K2736" s="1" t="s">
        <v>1740</v>
      </c>
      <c r="L2736" s="1" t="s">
        <v>8358</v>
      </c>
      <c r="M2736" s="6" t="str">
        <f>_xlfn.CONCAT(Table1[[#This Row],[Billing Street]], ", ", Table1[[#This Row],[Billing City]], ", ", Table1[[#This Row],[Billing State/Province]], ", ", Table1[[#This Row],[Billing Zip/Postal Code]])</f>
        <v>1748 Dismaal River Rd, Oakwood, va, 24631</v>
      </c>
    </row>
    <row r="2737" spans="1:13" ht="15.6" hidden="1" x14ac:dyDescent="0.3">
      <c r="A2737" s="1" t="s">
        <v>8359</v>
      </c>
      <c r="B2737" s="1"/>
      <c r="C2737" s="1"/>
      <c r="D2737" s="1"/>
      <c r="E2737" s="1"/>
      <c r="F2737" s="1"/>
      <c r="G2737" s="1" t="s">
        <v>8</v>
      </c>
      <c r="H2737" s="2">
        <v>658</v>
      </c>
      <c r="I2737" s="1" t="s">
        <v>8360</v>
      </c>
      <c r="J2737" s="1" t="s">
        <v>8361</v>
      </c>
      <c r="K2737" s="1" t="s">
        <v>51</v>
      </c>
      <c r="L2737" s="1" t="s">
        <v>13</v>
      </c>
      <c r="M2737" s="6" t="str">
        <f>_xlfn.CONCAT(Table1[[#This Row],[Billing Street]], ", ", Table1[[#This Row],[Billing City]], ", ", Table1[[#This Row],[Billing State/Province]], ", ", Table1[[#This Row],[Billing Zip/Postal Code]])</f>
        <v xml:space="preserve">14353 Cooperative Ave., Robstown, TX, </v>
      </c>
    </row>
    <row r="2738" spans="1:13" ht="15.6" hidden="1" x14ac:dyDescent="0.3">
      <c r="A2738" s="1" t="s">
        <v>8363</v>
      </c>
      <c r="B2738" s="1"/>
      <c r="C2738" s="1"/>
      <c r="D2738" s="1"/>
      <c r="E2738" s="1"/>
      <c r="F2738" s="1"/>
      <c r="G2738" s="1" t="s">
        <v>43</v>
      </c>
      <c r="H2738" s="2">
        <v>553</v>
      </c>
      <c r="I2738" s="1" t="s">
        <v>8364</v>
      </c>
      <c r="J2738" s="1" t="s">
        <v>5006</v>
      </c>
      <c r="K2738" s="1" t="s">
        <v>82</v>
      </c>
      <c r="L2738" s="1" t="s">
        <v>8365</v>
      </c>
      <c r="M2738" s="6" t="str">
        <f>_xlfn.CONCAT(Table1[[#This Row],[Billing Street]], ", ", Table1[[#This Row],[Billing City]], ", ", Table1[[#This Row],[Billing State/Province]], ", ", Table1[[#This Row],[Billing Zip/Postal Code]])</f>
        <v>218 Chicago Mine Road, Wakefield, MI, 49968</v>
      </c>
    </row>
    <row r="2739" spans="1:13" ht="15.6" hidden="1" x14ac:dyDescent="0.3">
      <c r="A2739" s="1" t="s">
        <v>8366</v>
      </c>
      <c r="B2739" s="1"/>
      <c r="C2739" s="1"/>
      <c r="D2739" s="1"/>
      <c r="E2739" s="1"/>
      <c r="F2739" s="1"/>
      <c r="G2739" s="1" t="s">
        <v>43</v>
      </c>
      <c r="H2739" s="2">
        <v>127</v>
      </c>
      <c r="I2739" s="1" t="s">
        <v>8367</v>
      </c>
      <c r="J2739" s="1" t="s">
        <v>3455</v>
      </c>
      <c r="K2739" s="1" t="s">
        <v>82</v>
      </c>
      <c r="L2739" s="1" t="s">
        <v>8368</v>
      </c>
      <c r="M2739" s="6" t="str">
        <f>_xlfn.CONCAT(Table1[[#This Row],[Billing Street]], ", ", Table1[[#This Row],[Billing City]], ", ", Table1[[#This Row],[Billing State/Province]], ", ", Table1[[#This Row],[Billing Zip/Postal Code]])</f>
        <v>870 Parkdale, Rochester, MI, 48307</v>
      </c>
    </row>
    <row r="2740" spans="1:13" ht="15.6" hidden="1" x14ac:dyDescent="0.3">
      <c r="A2740" s="1" t="s">
        <v>8369</v>
      </c>
      <c r="B2740" s="1"/>
      <c r="C2740" s="1"/>
      <c r="D2740" s="1"/>
      <c r="E2740" s="1"/>
      <c r="F2740" s="1"/>
      <c r="G2740" s="1" t="s">
        <v>8</v>
      </c>
      <c r="H2740" s="2">
        <v>6528</v>
      </c>
      <c r="I2740" s="1" t="s">
        <v>13</v>
      </c>
      <c r="J2740" s="1" t="s">
        <v>13</v>
      </c>
      <c r="K2740" s="1" t="s">
        <v>51</v>
      </c>
      <c r="L2740" s="1" t="s">
        <v>13</v>
      </c>
      <c r="M2740" s="6" t="str">
        <f>_xlfn.CONCAT(Table1[[#This Row],[Billing Street]], ", ", Table1[[#This Row],[Billing City]], ", ", Table1[[#This Row],[Billing State/Province]], ", ", Table1[[#This Row],[Billing Zip/Postal Code]])</f>
        <v xml:space="preserve">, , TX, </v>
      </c>
    </row>
    <row r="2741" spans="1:13" ht="15.6" hidden="1" x14ac:dyDescent="0.3">
      <c r="A2741" s="1" t="s">
        <v>8370</v>
      </c>
      <c r="B2741" s="1"/>
      <c r="C2741" s="1"/>
      <c r="D2741" s="1"/>
      <c r="E2741" s="1"/>
      <c r="F2741" s="1"/>
      <c r="G2741" s="1" t="s">
        <v>8</v>
      </c>
      <c r="H2741" s="2">
        <v>340</v>
      </c>
      <c r="I2741" s="1" t="s">
        <v>8371</v>
      </c>
      <c r="J2741" s="1" t="s">
        <v>6076</v>
      </c>
      <c r="K2741" s="1" t="s">
        <v>51</v>
      </c>
      <c r="L2741" s="1" t="s">
        <v>8372</v>
      </c>
      <c r="M2741" s="6" t="str">
        <f>_xlfn.CONCAT(Table1[[#This Row],[Billing Street]], ", ", Table1[[#This Row],[Billing City]], ", ", Table1[[#This Row],[Billing State/Province]], ", ", Table1[[#This Row],[Billing Zip/Postal Code]])</f>
        <v>401 N. Park STreet, Granbury, TX, 76048</v>
      </c>
    </row>
    <row r="2742" spans="1:13" ht="15.6" hidden="1" x14ac:dyDescent="0.3">
      <c r="A2742" s="1" t="s">
        <v>8373</v>
      </c>
      <c r="B2742" s="1"/>
      <c r="C2742" s="1"/>
      <c r="D2742" s="1"/>
      <c r="E2742" s="1"/>
      <c r="F2742" s="1"/>
      <c r="G2742" s="1" t="s">
        <v>98</v>
      </c>
      <c r="H2742" s="2">
        <v>348</v>
      </c>
      <c r="I2742" s="1" t="s">
        <v>8374</v>
      </c>
      <c r="J2742" s="1" t="s">
        <v>8375</v>
      </c>
      <c r="K2742" s="1" t="s">
        <v>1178</v>
      </c>
      <c r="L2742" s="1" t="s">
        <v>8376</v>
      </c>
      <c r="M2742" s="6" t="str">
        <f>_xlfn.CONCAT(Table1[[#This Row],[Billing Street]], ", ", Table1[[#This Row],[Billing City]], ", ", Table1[[#This Row],[Billing State/Province]], ", ", Table1[[#This Row],[Billing Zip/Postal Code]])</f>
        <v>653 NC 42 West, Clayton, NC, 27528</v>
      </c>
    </row>
    <row r="2743" spans="1:13" ht="15.6" hidden="1" x14ac:dyDescent="0.3">
      <c r="A2743" s="1" t="s">
        <v>8377</v>
      </c>
      <c r="B2743" s="1"/>
      <c r="C2743" s="1"/>
      <c r="D2743" s="1"/>
      <c r="E2743" s="1"/>
      <c r="F2743" s="1"/>
      <c r="G2743" s="1" t="s">
        <v>98</v>
      </c>
      <c r="H2743" s="2">
        <v>402</v>
      </c>
      <c r="I2743" s="1" t="s">
        <v>8378</v>
      </c>
      <c r="J2743" s="1" t="s">
        <v>5082</v>
      </c>
      <c r="K2743" s="1" t="s">
        <v>1178</v>
      </c>
      <c r="L2743" s="1" t="s">
        <v>5083</v>
      </c>
      <c r="M2743" s="6" t="str">
        <f>_xlfn.CONCAT(Table1[[#This Row],[Billing Street]], ", ", Table1[[#This Row],[Billing City]], ", ", Table1[[#This Row],[Billing State/Province]], ", ", Table1[[#This Row],[Billing Zip/Postal Code]])</f>
        <v>2206 Howard Ave, Tarboro, NC, 27886</v>
      </c>
    </row>
    <row r="2744" spans="1:13" ht="15.6" hidden="1" x14ac:dyDescent="0.3">
      <c r="A2744" s="1" t="s">
        <v>8379</v>
      </c>
      <c r="B2744" s="1"/>
      <c r="C2744" s="1"/>
      <c r="D2744" s="1"/>
      <c r="E2744" s="1"/>
      <c r="F2744" s="1"/>
      <c r="G2744" s="1" t="s">
        <v>8</v>
      </c>
      <c r="H2744" s="2">
        <v>293</v>
      </c>
      <c r="I2744" s="1" t="s">
        <v>8380</v>
      </c>
      <c r="J2744" s="1" t="s">
        <v>8381</v>
      </c>
      <c r="K2744" s="1" t="s">
        <v>51</v>
      </c>
      <c r="L2744" s="1" t="s">
        <v>8382</v>
      </c>
      <c r="M2744" s="6" t="str">
        <f>_xlfn.CONCAT(Table1[[#This Row],[Billing Street]], ", ", Table1[[#This Row],[Billing City]], ", ", Table1[[#This Row],[Billing State/Province]], ", ", Table1[[#This Row],[Billing Zip/Postal Code]])</f>
        <v>501 S Main Street, Quiman, TX, 75783</v>
      </c>
    </row>
    <row r="2745" spans="1:13" ht="15.6" hidden="1" x14ac:dyDescent="0.3">
      <c r="A2745" s="1" t="s">
        <v>8383</v>
      </c>
      <c r="B2745" s="1"/>
      <c r="C2745" s="1"/>
      <c r="D2745" s="1"/>
      <c r="E2745" s="1"/>
      <c r="F2745" s="1"/>
      <c r="G2745" s="1" t="s">
        <v>8</v>
      </c>
      <c r="H2745" s="2">
        <v>424</v>
      </c>
      <c r="I2745" s="1" t="s">
        <v>8384</v>
      </c>
      <c r="J2745" s="1" t="s">
        <v>6047</v>
      </c>
      <c r="K2745" s="1" t="s">
        <v>51</v>
      </c>
      <c r="L2745" s="1" t="s">
        <v>8385</v>
      </c>
      <c r="M2745" s="6" t="str">
        <f>_xlfn.CONCAT(Table1[[#This Row],[Billing Street]], ", ", Table1[[#This Row],[Billing City]], ", ", Table1[[#This Row],[Billing State/Province]], ", ", Table1[[#This Row],[Billing Zip/Postal Code]])</f>
        <v>1301 Broadway, Lubbock, TX, 79401</v>
      </c>
    </row>
    <row r="2746" spans="1:13" ht="15.6" hidden="1" x14ac:dyDescent="0.3">
      <c r="A2746" s="1" t="s">
        <v>8386</v>
      </c>
      <c r="B2746" s="1"/>
      <c r="C2746" s="1"/>
      <c r="D2746" s="1"/>
      <c r="E2746" s="1"/>
      <c r="F2746" s="1"/>
      <c r="G2746" s="1" t="s">
        <v>8</v>
      </c>
      <c r="H2746" s="2">
        <v>300</v>
      </c>
      <c r="I2746" s="1" t="s">
        <v>8387</v>
      </c>
      <c r="J2746" s="1" t="s">
        <v>8388</v>
      </c>
      <c r="K2746" s="1" t="s">
        <v>51</v>
      </c>
      <c r="L2746" s="1" t="s">
        <v>8389</v>
      </c>
      <c r="M2746" s="6" t="str">
        <f>_xlfn.CONCAT(Table1[[#This Row],[Billing Street]], ", ", Table1[[#This Row],[Billing City]], ", ", Table1[[#This Row],[Billing State/Province]], ", ", Table1[[#This Row],[Billing Zip/Postal Code]])</f>
        <v>1200 W Tyler, Gilmer, TX, 75644</v>
      </c>
    </row>
    <row r="2747" spans="1:13" ht="15.6" hidden="1" x14ac:dyDescent="0.3">
      <c r="A2747" s="1" t="s">
        <v>8390</v>
      </c>
      <c r="B2747" s="1"/>
      <c r="C2747" s="1"/>
      <c r="D2747" s="1"/>
      <c r="E2747" s="1"/>
      <c r="F2747" s="1"/>
      <c r="G2747" s="1" t="s">
        <v>8</v>
      </c>
      <c r="H2747" s="2">
        <v>271</v>
      </c>
      <c r="I2747" s="1" t="s">
        <v>8391</v>
      </c>
      <c r="J2747" s="1" t="s">
        <v>8392</v>
      </c>
      <c r="K2747" s="1" t="s">
        <v>51</v>
      </c>
      <c r="L2747" s="1" t="s">
        <v>13</v>
      </c>
      <c r="M2747" s="6" t="str">
        <f>_xlfn.CONCAT(Table1[[#This Row],[Billing Street]], ", ", Table1[[#This Row],[Billing City]], ", ", Table1[[#This Row],[Billing State/Province]], ", ", Table1[[#This Row],[Billing Zip/Postal Code]])</f>
        <v xml:space="preserve">205 S. Main Street, Farmersville, TX, </v>
      </c>
    </row>
    <row r="2748" spans="1:13" ht="15.6" hidden="1" x14ac:dyDescent="0.3">
      <c r="A2748" s="1" t="s">
        <v>8393</v>
      </c>
      <c r="B2748" s="1"/>
      <c r="C2748" s="1"/>
      <c r="D2748" s="1"/>
      <c r="E2748" s="1"/>
      <c r="F2748" s="1"/>
      <c r="G2748" s="1" t="s">
        <v>8</v>
      </c>
      <c r="H2748" s="2">
        <v>452</v>
      </c>
      <c r="I2748" s="1" t="s">
        <v>8394</v>
      </c>
      <c r="J2748" s="1" t="s">
        <v>8395</v>
      </c>
      <c r="K2748" s="1" t="s">
        <v>51</v>
      </c>
      <c r="L2748" s="1" t="s">
        <v>8396</v>
      </c>
      <c r="M2748" s="6" t="str">
        <f>_xlfn.CONCAT(Table1[[#This Row],[Billing Street]], ", ", Table1[[#This Row],[Billing City]], ", ", Table1[[#This Row],[Billing State/Province]], ", ", Table1[[#This Row],[Billing Zip/Postal Code]])</f>
        <v>107 S Elizabeth St, Kirbyville, TX, 75959</v>
      </c>
    </row>
    <row r="2749" spans="1:13" ht="15.6" hidden="1" x14ac:dyDescent="0.3">
      <c r="A2749" s="1" t="s">
        <v>8397</v>
      </c>
      <c r="B2749" s="1"/>
      <c r="C2749" s="1"/>
      <c r="D2749" s="1"/>
      <c r="E2749" s="1"/>
      <c r="F2749" s="1"/>
      <c r="G2749" s="1" t="s">
        <v>98</v>
      </c>
      <c r="H2749" s="2">
        <v>5887</v>
      </c>
      <c r="I2749" s="1" t="s">
        <v>8398</v>
      </c>
      <c r="J2749" s="1" t="s">
        <v>8399</v>
      </c>
      <c r="K2749" s="1" t="s">
        <v>234</v>
      </c>
      <c r="L2749" s="1" t="s">
        <v>8400</v>
      </c>
      <c r="M2749" s="6" t="str">
        <f>_xlfn.CONCAT(Table1[[#This Row],[Billing Street]], ", ", Table1[[#This Row],[Billing City]], ", ", Table1[[#This Row],[Billing State/Province]], ", ", Table1[[#This Row],[Billing Zip/Postal Code]])</f>
        <v>701 Blythewood Rd, Blythewood, SC, 29016</v>
      </c>
    </row>
    <row r="2750" spans="1:13" ht="15.6" hidden="1" x14ac:dyDescent="0.3">
      <c r="A2750" s="1" t="s">
        <v>8401</v>
      </c>
      <c r="B2750" s="1"/>
      <c r="C2750" s="1"/>
      <c r="D2750" s="1"/>
      <c r="E2750" s="1"/>
      <c r="F2750" s="1"/>
      <c r="G2750" s="1" t="s">
        <v>8</v>
      </c>
      <c r="H2750" s="2">
        <v>6528</v>
      </c>
      <c r="I2750" s="1" t="s">
        <v>13</v>
      </c>
      <c r="J2750" s="1" t="s">
        <v>13</v>
      </c>
      <c r="K2750" s="1" t="s">
        <v>51</v>
      </c>
      <c r="L2750" s="1" t="s">
        <v>13</v>
      </c>
      <c r="M2750" s="6" t="str">
        <f>_xlfn.CONCAT(Table1[[#This Row],[Billing Street]], ", ", Table1[[#This Row],[Billing City]], ", ", Table1[[#This Row],[Billing State/Province]], ", ", Table1[[#This Row],[Billing Zip/Postal Code]])</f>
        <v xml:space="preserve">, , TX, </v>
      </c>
    </row>
    <row r="2751" spans="1:13" ht="15.6" hidden="1" x14ac:dyDescent="0.3">
      <c r="A2751" s="1" t="s">
        <v>8402</v>
      </c>
      <c r="B2751" s="1"/>
      <c r="C2751" s="1"/>
      <c r="D2751" s="1"/>
      <c r="E2751" s="1"/>
      <c r="F2751" s="1"/>
      <c r="G2751" s="1" t="s">
        <v>8</v>
      </c>
      <c r="H2751" s="2">
        <v>401</v>
      </c>
      <c r="I2751" s="1" t="s">
        <v>8403</v>
      </c>
      <c r="J2751" s="1" t="s">
        <v>8404</v>
      </c>
      <c r="K2751" s="1" t="s">
        <v>51</v>
      </c>
      <c r="L2751" s="1" t="s">
        <v>13</v>
      </c>
      <c r="M2751" s="6" t="str">
        <f>_xlfn.CONCAT(Table1[[#This Row],[Billing Street]], ", ", Table1[[#This Row],[Billing City]], ", ", Table1[[#This Row],[Billing State/Province]], ", ", Table1[[#This Row],[Billing Zip/Postal Code]])</f>
        <v xml:space="preserve">1111 Johnson Drive, McGregor, TX, </v>
      </c>
    </row>
    <row r="2752" spans="1:13" ht="15.6" hidden="1" x14ac:dyDescent="0.3">
      <c r="A2752" s="1" t="s">
        <v>8405</v>
      </c>
      <c r="B2752" s="1"/>
      <c r="C2752" s="1"/>
      <c r="D2752" s="1"/>
      <c r="E2752" s="1"/>
      <c r="F2752" s="1"/>
      <c r="G2752" s="1" t="s">
        <v>98</v>
      </c>
      <c r="H2752" s="2">
        <v>5887</v>
      </c>
      <c r="I2752" s="1" t="s">
        <v>8406</v>
      </c>
      <c r="J2752" s="1" t="s">
        <v>8407</v>
      </c>
      <c r="K2752" s="1" t="s">
        <v>234</v>
      </c>
      <c r="L2752" s="1" t="s">
        <v>8408</v>
      </c>
      <c r="M2752" s="6" t="str">
        <f>_xlfn.CONCAT(Table1[[#This Row],[Billing Street]], ", ", Table1[[#This Row],[Billing City]], ", ", Table1[[#This Row],[Billing State/Province]], ", ", Table1[[#This Row],[Billing Zip/Postal Code]])</f>
        <v>2790 Wagener Rd, Aiken, SC, 29801</v>
      </c>
    </row>
    <row r="2753" spans="1:13" ht="15.6" x14ac:dyDescent="0.3">
      <c r="A2753" s="1" t="s">
        <v>8409</v>
      </c>
      <c r="B2753" s="1"/>
      <c r="C2753" s="1"/>
      <c r="D2753" s="1"/>
      <c r="E2753" s="1"/>
      <c r="F2753" s="1"/>
      <c r="G2753" s="1" t="s">
        <v>24</v>
      </c>
      <c r="H2753" s="2">
        <v>694</v>
      </c>
      <c r="I2753" s="1" t="s">
        <v>8410</v>
      </c>
      <c r="J2753" s="1" t="s">
        <v>526</v>
      </c>
      <c r="K2753" s="1" t="s">
        <v>51</v>
      </c>
      <c r="L2753" s="1" t="s">
        <v>8411</v>
      </c>
      <c r="M2753" s="6" t="str">
        <f>_xlfn.CONCAT(Table1[[#This Row],[Billing Street]], ", ", Table1[[#This Row],[Billing City]], ", ", Table1[[#This Row],[Billing State/Province]], ", ", Table1[[#This Row],[Billing Zip/Postal Code]])</f>
        <v>1900 North Trinity Street, Decatur, TX, 76234</v>
      </c>
    </row>
    <row r="2754" spans="1:13" ht="15.6" hidden="1" x14ac:dyDescent="0.3">
      <c r="A2754" s="1" t="s">
        <v>8412</v>
      </c>
      <c r="B2754" s="1"/>
      <c r="C2754" s="1"/>
      <c r="D2754" s="1"/>
      <c r="E2754" s="1"/>
      <c r="F2754" s="1"/>
      <c r="G2754" s="1" t="s">
        <v>8</v>
      </c>
      <c r="H2754" s="2">
        <v>525</v>
      </c>
      <c r="I2754" s="1" t="s">
        <v>8413</v>
      </c>
      <c r="J2754" s="1" t="s">
        <v>8414</v>
      </c>
      <c r="K2754" s="1" t="s">
        <v>51</v>
      </c>
      <c r="L2754" s="1" t="s">
        <v>8415</v>
      </c>
      <c r="M2754" s="6" t="str">
        <f>_xlfn.CONCAT(Table1[[#This Row],[Billing Street]], ", ", Table1[[#This Row],[Billing City]], ", ", Table1[[#This Row],[Billing State/Province]], ", ", Table1[[#This Row],[Billing Zip/Postal Code]])</f>
        <v>2250 Memorial Blvd, Kerrville, TX, 78028</v>
      </c>
    </row>
    <row r="2755" spans="1:13" ht="15.6" hidden="1" x14ac:dyDescent="0.3">
      <c r="A2755" s="1" t="s">
        <v>8416</v>
      </c>
      <c r="B2755" s="1"/>
      <c r="C2755" s="1"/>
      <c r="D2755" s="1"/>
      <c r="E2755" s="1"/>
      <c r="F2755" s="1"/>
      <c r="G2755" s="1" t="s">
        <v>8</v>
      </c>
      <c r="H2755" s="2">
        <v>491</v>
      </c>
      <c r="I2755" s="1" t="s">
        <v>8417</v>
      </c>
      <c r="J2755" s="1" t="s">
        <v>2783</v>
      </c>
      <c r="K2755" s="1" t="s">
        <v>51</v>
      </c>
      <c r="L2755" s="1" t="s">
        <v>8418</v>
      </c>
      <c r="M2755" s="6" t="str">
        <f>_xlfn.CONCAT(Table1[[#This Row],[Billing Street]], ", ", Table1[[#This Row],[Billing City]], ", ", Table1[[#This Row],[Billing State/Province]], ", ", Table1[[#This Row],[Billing Zip/Postal Code]])</f>
        <v>309 W Main Street, Belleville, TX, 77418</v>
      </c>
    </row>
    <row r="2756" spans="1:13" ht="15.6" hidden="1" x14ac:dyDescent="0.3">
      <c r="A2756" s="1" t="s">
        <v>8419</v>
      </c>
      <c r="B2756" s="1"/>
      <c r="C2756" s="1"/>
      <c r="D2756" s="1"/>
      <c r="E2756" s="1"/>
      <c r="F2756" s="1"/>
      <c r="G2756" s="1" t="s">
        <v>8</v>
      </c>
      <c r="H2756" s="2">
        <v>459</v>
      </c>
      <c r="I2756" s="1" t="s">
        <v>8420</v>
      </c>
      <c r="J2756" s="1" t="s">
        <v>2063</v>
      </c>
      <c r="K2756" s="1" t="s">
        <v>51</v>
      </c>
      <c r="L2756" s="1" t="s">
        <v>8421</v>
      </c>
      <c r="M2756" s="6" t="str">
        <f>_xlfn.CONCAT(Table1[[#This Row],[Billing Street]], ", ", Table1[[#This Row],[Billing City]], ", ", Table1[[#This Row],[Billing State/Province]], ", ", Table1[[#This Row],[Billing Zip/Postal Code]])</f>
        <v>300-1 Industrial Ave, Georgetown, TX, 78627</v>
      </c>
    </row>
    <row r="2757" spans="1:13" ht="15.6" hidden="1" x14ac:dyDescent="0.3">
      <c r="A2757" s="1" t="s">
        <v>8422</v>
      </c>
      <c r="B2757" s="1"/>
      <c r="C2757" s="1"/>
      <c r="D2757" s="1"/>
      <c r="E2757" s="1"/>
      <c r="F2757" s="1"/>
      <c r="G2757" s="1" t="s">
        <v>8</v>
      </c>
      <c r="H2757" s="2">
        <v>348</v>
      </c>
      <c r="I2757" s="1" t="s">
        <v>8423</v>
      </c>
      <c r="J2757" s="1" t="s">
        <v>8424</v>
      </c>
      <c r="K2757" s="1" t="s">
        <v>51</v>
      </c>
      <c r="L2757" s="1" t="s">
        <v>8425</v>
      </c>
      <c r="M2757" s="6" t="str">
        <f>_xlfn.CONCAT(Table1[[#This Row],[Billing Street]], ", ", Table1[[#This Row],[Billing City]], ", ", Table1[[#This Row],[Billing State/Province]], ", ", Table1[[#This Row],[Billing Zip/Postal Code]])</f>
        <v>502 N. Hill Street, Itasca, TX, 76055</v>
      </c>
    </row>
    <row r="2758" spans="1:13" ht="15.6" hidden="1" x14ac:dyDescent="0.3">
      <c r="A2758" s="1" t="s">
        <v>8426</v>
      </c>
      <c r="B2758" s="1"/>
      <c r="C2758" s="1"/>
      <c r="D2758" s="1"/>
      <c r="E2758" s="1"/>
      <c r="F2758" s="1"/>
      <c r="G2758" s="1" t="s">
        <v>8</v>
      </c>
      <c r="H2758" s="2">
        <v>6528</v>
      </c>
      <c r="I2758" s="1" t="s">
        <v>13</v>
      </c>
      <c r="J2758" s="1" t="s">
        <v>13</v>
      </c>
      <c r="K2758" s="1" t="s">
        <v>51</v>
      </c>
      <c r="L2758" s="1" t="s">
        <v>13</v>
      </c>
      <c r="M2758" s="6" t="str">
        <f>_xlfn.CONCAT(Table1[[#This Row],[Billing Street]], ", ", Table1[[#This Row],[Billing City]], ", ", Table1[[#This Row],[Billing State/Province]], ", ", Table1[[#This Row],[Billing Zip/Postal Code]])</f>
        <v xml:space="preserve">, , TX, </v>
      </c>
    </row>
    <row r="2759" spans="1:13" ht="15.6" hidden="1" x14ac:dyDescent="0.3">
      <c r="A2759" s="1" t="s">
        <v>8427</v>
      </c>
      <c r="B2759" s="1"/>
      <c r="C2759" s="1"/>
      <c r="D2759" s="1"/>
      <c r="E2759" s="1"/>
      <c r="F2759" s="1"/>
      <c r="G2759" s="1" t="s">
        <v>8</v>
      </c>
      <c r="H2759" s="2">
        <v>442</v>
      </c>
      <c r="I2759" s="1" t="s">
        <v>8428</v>
      </c>
      <c r="J2759" s="1" t="s">
        <v>3495</v>
      </c>
      <c r="K2759" s="1" t="s">
        <v>51</v>
      </c>
      <c r="L2759" s="1" t="s">
        <v>8429</v>
      </c>
      <c r="M2759" s="6" t="str">
        <f>_xlfn.CONCAT(Table1[[#This Row],[Billing Street]], ", ", Table1[[#This Row],[Billing City]], ", ", Table1[[#This Row],[Billing State/Province]], ", ", Table1[[#This Row],[Billing Zip/Postal Code]])</f>
        <v>205 E. 28th Street, Bryan, TX, 78802</v>
      </c>
    </row>
    <row r="2760" spans="1:13" ht="15.6" hidden="1" x14ac:dyDescent="0.3">
      <c r="A2760" s="1" t="s">
        <v>8430</v>
      </c>
      <c r="B2760" s="1"/>
      <c r="C2760" s="1"/>
      <c r="D2760" s="1"/>
      <c r="E2760" s="1"/>
      <c r="F2760" s="1"/>
      <c r="G2760" s="1" t="s">
        <v>98</v>
      </c>
      <c r="H2760" s="2">
        <v>5887</v>
      </c>
      <c r="I2760" s="1" t="s">
        <v>8431</v>
      </c>
      <c r="J2760" s="1" t="s">
        <v>8432</v>
      </c>
      <c r="K2760" s="1" t="s">
        <v>234</v>
      </c>
      <c r="L2760" s="1" t="s">
        <v>4860</v>
      </c>
      <c r="M2760" s="6" t="str">
        <f>_xlfn.CONCAT(Table1[[#This Row],[Billing Street]], ", ", Table1[[#This Row],[Billing City]], ", ", Table1[[#This Row],[Billing State/Province]], ", ", Table1[[#This Row],[Billing Zip/Postal Code]])</f>
        <v>2340 Main Hwy, Bamberg, SC, 29003</v>
      </c>
    </row>
    <row r="2761" spans="1:13" ht="15.6" hidden="1" x14ac:dyDescent="0.3">
      <c r="A2761" s="1" t="s">
        <v>8433</v>
      </c>
      <c r="B2761" s="1"/>
      <c r="C2761" s="1"/>
      <c r="D2761" s="1"/>
      <c r="E2761" s="1"/>
      <c r="F2761" s="1"/>
      <c r="G2761" s="1" t="s">
        <v>8</v>
      </c>
      <c r="H2761" s="2">
        <v>275</v>
      </c>
      <c r="I2761" s="1" t="s">
        <v>8434</v>
      </c>
      <c r="J2761" s="1" t="s">
        <v>8435</v>
      </c>
      <c r="K2761" s="1" t="s">
        <v>51</v>
      </c>
      <c r="L2761" s="1" t="s">
        <v>8436</v>
      </c>
      <c r="M2761" s="6" t="str">
        <f>_xlfn.CONCAT(Table1[[#This Row],[Billing Street]], ", ", Table1[[#This Row],[Billing City]], ", ", Table1[[#This Row],[Billing State/Province]], ", ", Table1[[#This Row],[Billing Zip/Postal Code]])</f>
        <v>117 North Street, Douglassville, TX, 75560</v>
      </c>
    </row>
    <row r="2762" spans="1:13" ht="15.6" hidden="1" x14ac:dyDescent="0.3">
      <c r="A2762" s="1" t="s">
        <v>8437</v>
      </c>
      <c r="B2762" s="1"/>
      <c r="C2762" s="1"/>
      <c r="D2762" s="1"/>
      <c r="E2762" s="1"/>
      <c r="F2762" s="1"/>
      <c r="G2762" s="1" t="s">
        <v>8</v>
      </c>
      <c r="H2762" s="2">
        <v>6528</v>
      </c>
      <c r="I2762" s="1" t="s">
        <v>13</v>
      </c>
      <c r="J2762" s="1" t="s">
        <v>13</v>
      </c>
      <c r="K2762" s="1" t="s">
        <v>51</v>
      </c>
      <c r="L2762" s="1" t="s">
        <v>13</v>
      </c>
      <c r="M2762" s="6" t="str">
        <f>_xlfn.CONCAT(Table1[[#This Row],[Billing Street]], ", ", Table1[[#This Row],[Billing City]], ", ", Table1[[#This Row],[Billing State/Province]], ", ", Table1[[#This Row],[Billing Zip/Postal Code]])</f>
        <v xml:space="preserve">, , TX, </v>
      </c>
    </row>
    <row r="2763" spans="1:13" ht="15.6" hidden="1" x14ac:dyDescent="0.3">
      <c r="A2763" s="1" t="s">
        <v>8438</v>
      </c>
      <c r="B2763" s="1"/>
      <c r="C2763" s="1"/>
      <c r="D2763" s="1"/>
      <c r="E2763" s="1"/>
      <c r="F2763" s="1"/>
      <c r="G2763" s="1" t="s">
        <v>98</v>
      </c>
      <c r="H2763" s="2">
        <v>335</v>
      </c>
      <c r="I2763" s="1" t="s">
        <v>8439</v>
      </c>
      <c r="J2763" s="1" t="s">
        <v>8440</v>
      </c>
      <c r="K2763" s="1" t="s">
        <v>1178</v>
      </c>
      <c r="L2763" s="1" t="s">
        <v>8441</v>
      </c>
      <c r="M2763" s="6" t="str">
        <f>_xlfn.CONCAT(Table1[[#This Row],[Billing Street]], ", ", Table1[[#This Row],[Billing City]], ", ", Table1[[#This Row],[Billing State/Province]], ", ", Table1[[#This Row],[Billing Zip/Postal Code]])</f>
        <v>17494 US 421 S, Dunn, NC, 28334</v>
      </c>
    </row>
    <row r="2764" spans="1:13" ht="15.6" hidden="1" x14ac:dyDescent="0.3">
      <c r="A2764" s="1" t="s">
        <v>8442</v>
      </c>
      <c r="B2764" s="1"/>
      <c r="C2764" s="1"/>
      <c r="D2764" s="1"/>
      <c r="E2764" s="1"/>
      <c r="F2764" s="1"/>
      <c r="G2764" s="1" t="s">
        <v>98</v>
      </c>
      <c r="H2764" s="2">
        <v>435</v>
      </c>
      <c r="I2764" s="1" t="s">
        <v>8443</v>
      </c>
      <c r="J2764" s="1" t="s">
        <v>8444</v>
      </c>
      <c r="K2764" s="1" t="s">
        <v>1178</v>
      </c>
      <c r="L2764" s="1" t="s">
        <v>8445</v>
      </c>
      <c r="M2764" s="6" t="str">
        <f>_xlfn.CONCAT(Table1[[#This Row],[Billing Street]], ", ", Table1[[#This Row],[Billing City]], ", ", Table1[[#This Row],[Billing State/Province]], ", ", Table1[[#This Row],[Billing Zip/Postal Code]])</f>
        <v>518 Hwy 561, Aulander, NC, 27805</v>
      </c>
    </row>
    <row r="2765" spans="1:13" ht="15.6" hidden="1" x14ac:dyDescent="0.3">
      <c r="A2765" s="1" t="s">
        <v>8446</v>
      </c>
      <c r="B2765" s="1"/>
      <c r="C2765" s="1"/>
      <c r="D2765" s="1"/>
      <c r="E2765" s="1"/>
      <c r="F2765" s="1"/>
      <c r="G2765" s="1" t="s">
        <v>98</v>
      </c>
      <c r="H2765" s="2">
        <v>395</v>
      </c>
      <c r="I2765" s="1" t="s">
        <v>8447</v>
      </c>
      <c r="J2765" s="1" t="s">
        <v>5425</v>
      </c>
      <c r="K2765" s="1" t="s">
        <v>1178</v>
      </c>
      <c r="L2765" s="1" t="s">
        <v>5426</v>
      </c>
      <c r="M2765" s="6" t="str">
        <f>_xlfn.CONCAT(Table1[[#This Row],[Billing Street]], ", ", Table1[[#This Row],[Billing City]], ", ", Table1[[#This Row],[Billing State/Province]], ", ", Table1[[#This Row],[Billing Zip/Postal Code]])</f>
        <v>3989 West Wilson St, Farmville, NC, 27828</v>
      </c>
    </row>
    <row r="2766" spans="1:13" ht="15.6" hidden="1" x14ac:dyDescent="0.3">
      <c r="A2766" s="1" t="s">
        <v>8448</v>
      </c>
      <c r="B2766" s="1"/>
      <c r="C2766" s="1"/>
      <c r="D2766" s="1"/>
      <c r="E2766" s="1"/>
      <c r="F2766" s="1"/>
      <c r="G2766" s="1" t="s">
        <v>98</v>
      </c>
      <c r="H2766" s="2">
        <v>404</v>
      </c>
      <c r="I2766" s="1" t="s">
        <v>8449</v>
      </c>
      <c r="J2766" s="1" t="s">
        <v>8450</v>
      </c>
      <c r="K2766" s="1" t="s">
        <v>1178</v>
      </c>
      <c r="L2766" s="1" t="s">
        <v>8451</v>
      </c>
      <c r="M2766" s="6" t="str">
        <f>_xlfn.CONCAT(Table1[[#This Row],[Billing Street]], ", ", Table1[[#This Row],[Billing City]], ", ", Table1[[#This Row],[Billing State/Province]], ", ", Table1[[#This Row],[Billing Zip/Postal Code]])</f>
        <v>208 West Whitfield St, Enfield, NC, 27823</v>
      </c>
    </row>
    <row r="2767" spans="1:13" ht="15.6" hidden="1" x14ac:dyDescent="0.3">
      <c r="A2767" s="1" t="s">
        <v>8452</v>
      </c>
      <c r="B2767" s="1"/>
      <c r="C2767" s="1"/>
      <c r="D2767" s="1"/>
      <c r="E2767" s="1"/>
      <c r="F2767" s="1"/>
      <c r="G2767" s="1" t="s">
        <v>8</v>
      </c>
      <c r="H2767" s="2">
        <v>448</v>
      </c>
      <c r="I2767" s="1" t="s">
        <v>8453</v>
      </c>
      <c r="J2767" s="1" t="s">
        <v>5554</v>
      </c>
      <c r="K2767" s="1" t="s">
        <v>51</v>
      </c>
      <c r="L2767" s="1" t="s">
        <v>8454</v>
      </c>
      <c r="M2767" s="6" t="str">
        <f>_xlfn.CONCAT(Table1[[#This Row],[Billing Street]], ", ", Table1[[#This Row],[Billing City]], ", ", Table1[[#This Row],[Billing State/Province]], ", ", Table1[[#This Row],[Billing Zip/Postal Code]])</f>
        <v>1601 Graham Rd., College Station, TX, 77842</v>
      </c>
    </row>
    <row r="2768" spans="1:13" ht="15.6" hidden="1" x14ac:dyDescent="0.3">
      <c r="A2768" s="1" t="s">
        <v>8455</v>
      </c>
      <c r="B2768" s="1"/>
      <c r="C2768" s="1"/>
      <c r="D2768" s="1"/>
      <c r="E2768" s="1"/>
      <c r="F2768" s="1"/>
      <c r="G2768" s="1" t="s">
        <v>8</v>
      </c>
      <c r="H2768" s="2">
        <v>392</v>
      </c>
      <c r="I2768" s="1" t="s">
        <v>8456</v>
      </c>
      <c r="J2768" s="1" t="s">
        <v>8457</v>
      </c>
      <c r="K2768" s="1" t="s">
        <v>51</v>
      </c>
      <c r="L2768" s="1" t="s">
        <v>8458</v>
      </c>
      <c r="M2768" s="6" t="str">
        <f>_xlfn.CONCAT(Table1[[#This Row],[Billing Street]], ", ", Table1[[#This Row],[Billing City]], ", ", Table1[[#This Row],[Billing State/Province]], ", ", Table1[[#This Row],[Billing Zip/Postal Code]])</f>
        <v>US Hwy 21 E, San Augustine, TX, 75972</v>
      </c>
    </row>
    <row r="2769" spans="1:13" ht="15.6" hidden="1" x14ac:dyDescent="0.3">
      <c r="A2769" s="1" t="s">
        <v>8459</v>
      </c>
      <c r="B2769" s="1"/>
      <c r="C2769" s="1"/>
      <c r="D2769" s="1"/>
      <c r="E2769" s="1"/>
      <c r="F2769" s="1"/>
      <c r="G2769" s="1" t="s">
        <v>8</v>
      </c>
      <c r="H2769" s="2">
        <v>133</v>
      </c>
      <c r="I2769" s="1" t="s">
        <v>8460</v>
      </c>
      <c r="J2769" s="1" t="s">
        <v>4656</v>
      </c>
      <c r="K2769" s="1" t="s">
        <v>554</v>
      </c>
      <c r="L2769" s="1" t="s">
        <v>8461</v>
      </c>
      <c r="M2769" s="6" t="str">
        <f>_xlfn.CONCAT(Table1[[#This Row],[Billing Street]], ", ", Table1[[#This Row],[Billing City]], ", ", Table1[[#This Row],[Billing State/Province]], ", ", Table1[[#This Row],[Billing Zip/Postal Code]])</f>
        <v>15930 S Mur Len Rd, Olathe, KS, 66062</v>
      </c>
    </row>
    <row r="2770" spans="1:13" ht="15.6" hidden="1" x14ac:dyDescent="0.3">
      <c r="A2770" s="1" t="s">
        <v>8462</v>
      </c>
      <c r="B2770" s="1"/>
      <c r="C2770" s="1"/>
      <c r="D2770" s="1"/>
      <c r="E2770" s="1"/>
      <c r="F2770" s="1"/>
      <c r="G2770" s="1" t="s">
        <v>98</v>
      </c>
      <c r="H2770" s="2">
        <v>5887</v>
      </c>
      <c r="I2770" s="1" t="s">
        <v>8463</v>
      </c>
      <c r="J2770" s="1" t="s">
        <v>8464</v>
      </c>
      <c r="K2770" s="1" t="s">
        <v>234</v>
      </c>
      <c r="L2770" s="1" t="s">
        <v>8465</v>
      </c>
      <c r="M2770" s="6" t="str">
        <f>_xlfn.CONCAT(Table1[[#This Row],[Billing Street]], ", ", Table1[[#This Row],[Billing City]], ", ", Table1[[#This Row],[Billing State/Province]], ", ", Table1[[#This Row],[Billing Zip/Postal Code]])</f>
        <v>1776 Hwy 14, Laurens, SC, 29360</v>
      </c>
    </row>
    <row r="2771" spans="1:13" ht="15.6" hidden="1" x14ac:dyDescent="0.3">
      <c r="A2771" s="1" t="s">
        <v>8466</v>
      </c>
      <c r="B2771" s="1"/>
      <c r="C2771" s="1"/>
      <c r="D2771" s="1"/>
      <c r="E2771" s="1"/>
      <c r="F2771" s="1"/>
      <c r="G2771" s="1" t="s">
        <v>98</v>
      </c>
      <c r="H2771" s="2">
        <v>5887</v>
      </c>
      <c r="I2771" s="1" t="s">
        <v>8467</v>
      </c>
      <c r="J2771" s="1" t="s">
        <v>8468</v>
      </c>
      <c r="K2771" s="1" t="s">
        <v>234</v>
      </c>
      <c r="L2771" s="1" t="s">
        <v>8469</v>
      </c>
      <c r="M2771" s="6" t="str">
        <f>_xlfn.CONCAT(Table1[[#This Row],[Billing Street]], ", ", Table1[[#This Row],[Billing City]], ", ", Table1[[#This Row],[Billing State/Province]], ", ", Table1[[#This Row],[Billing Zip/Postal Code]])</f>
        <v>20 Cooperative Way, Cloumbia, SC, 29210</v>
      </c>
    </row>
    <row r="2772" spans="1:13" ht="15.6" hidden="1" x14ac:dyDescent="0.3">
      <c r="A2772" s="1" t="s">
        <v>8470</v>
      </c>
      <c r="B2772" s="1"/>
      <c r="C2772" s="1"/>
      <c r="D2772" s="1"/>
      <c r="E2772" s="1"/>
      <c r="F2772" s="1"/>
      <c r="G2772" s="1" t="s">
        <v>43</v>
      </c>
      <c r="H2772" s="2">
        <v>25</v>
      </c>
      <c r="I2772" s="1" t="s">
        <v>8471</v>
      </c>
      <c r="J2772" s="1" t="s">
        <v>8472</v>
      </c>
      <c r="K2772" s="1" t="s">
        <v>45</v>
      </c>
      <c r="L2772" s="1" t="s">
        <v>8473</v>
      </c>
      <c r="M2772" s="6" t="str">
        <f>_xlfn.CONCAT(Table1[[#This Row],[Billing Street]], ", ", Table1[[#This Row],[Billing City]], ", ", Table1[[#This Row],[Billing State/Province]], ", ", Table1[[#This Row],[Billing Zip/Postal Code]])</f>
        <v>7100 Lindsay Drive, Mentor, OH, 44060</v>
      </c>
    </row>
    <row r="2773" spans="1:13" ht="15.6" hidden="1" x14ac:dyDescent="0.3">
      <c r="A2773" s="1" t="s">
        <v>8474</v>
      </c>
      <c r="B2773" s="1"/>
      <c r="C2773" s="1"/>
      <c r="D2773" s="1"/>
      <c r="E2773" s="1"/>
      <c r="F2773" s="1"/>
      <c r="G2773" s="1" t="s">
        <v>8</v>
      </c>
      <c r="H2773" s="2">
        <v>310</v>
      </c>
      <c r="I2773" s="1" t="s">
        <v>8475</v>
      </c>
      <c r="J2773" s="1" t="s">
        <v>8476</v>
      </c>
      <c r="K2773" s="1" t="s">
        <v>51</v>
      </c>
      <c r="L2773" s="1" t="s">
        <v>8477</v>
      </c>
      <c r="M2773" s="6" t="str">
        <f>_xlfn.CONCAT(Table1[[#This Row],[Billing Street]], ", ", Table1[[#This Row],[Billing City]], ", ", Table1[[#This Row],[Billing State/Province]], ", ", Table1[[#This Row],[Billing Zip/Postal Code]])</f>
        <v>1800 Hwy 243 E, Kaufman, TX, 75142</v>
      </c>
    </row>
    <row r="2774" spans="1:13" ht="15.6" hidden="1" x14ac:dyDescent="0.3">
      <c r="A2774" s="1" t="s">
        <v>8478</v>
      </c>
      <c r="B2774" s="1"/>
      <c r="C2774" s="1"/>
      <c r="D2774" s="1"/>
      <c r="E2774" s="1"/>
      <c r="F2774" s="1"/>
      <c r="G2774" s="1" t="s">
        <v>8</v>
      </c>
      <c r="H2774" s="2">
        <v>290</v>
      </c>
      <c r="I2774" s="1" t="s">
        <v>8479</v>
      </c>
      <c r="J2774" s="1" t="s">
        <v>8480</v>
      </c>
      <c r="K2774" s="1" t="s">
        <v>51</v>
      </c>
      <c r="L2774" s="1" t="s">
        <v>8481</v>
      </c>
      <c r="M2774" s="6" t="str">
        <f>_xlfn.CONCAT(Table1[[#This Row],[Billing Street]], ", ", Table1[[#This Row],[Billing City]], ", ", Table1[[#This Row],[Billing State/Province]], ", ", Table1[[#This Row],[Billing Zip/Postal Code]])</f>
        <v>1720 Traffic Trail, Garland, TX, 75040</v>
      </c>
    </row>
    <row r="2775" spans="1:13" ht="15.6" hidden="1" x14ac:dyDescent="0.3">
      <c r="A2775" s="1" t="s">
        <v>8482</v>
      </c>
      <c r="B2775" s="1"/>
      <c r="C2775" s="1"/>
      <c r="D2775" s="1"/>
      <c r="E2775" s="1"/>
      <c r="F2775" s="1"/>
      <c r="G2775" s="1" t="s">
        <v>98</v>
      </c>
      <c r="H2775" s="2">
        <v>223</v>
      </c>
      <c r="I2775" s="1" t="s">
        <v>1641</v>
      </c>
      <c r="J2775" s="1" t="s">
        <v>1642</v>
      </c>
      <c r="K2775" s="1" t="s">
        <v>1178</v>
      </c>
      <c r="L2775" s="1" t="s">
        <v>1643</v>
      </c>
      <c r="M2775" s="6" t="str">
        <f>_xlfn.CONCAT(Table1[[#This Row],[Billing Street]], ", ", Table1[[#This Row],[Billing City]], ", ", Table1[[#This Row],[Billing State/Province]], ", ", Table1[[#This Row],[Billing Zip/Postal Code]])</f>
        <v>300 W Crowell St, Monroe, NC, 28112</v>
      </c>
    </row>
    <row r="2776" spans="1:13" ht="15.6" hidden="1" x14ac:dyDescent="0.3">
      <c r="A2776" s="1" t="s">
        <v>8483</v>
      </c>
      <c r="B2776" s="1"/>
      <c r="C2776" s="1"/>
      <c r="D2776" s="1"/>
      <c r="E2776" s="1"/>
      <c r="F2776" s="1"/>
      <c r="G2776" s="1" t="s">
        <v>8</v>
      </c>
      <c r="H2776" s="2">
        <v>399</v>
      </c>
      <c r="I2776" s="1" t="s">
        <v>8484</v>
      </c>
      <c r="J2776" s="1" t="s">
        <v>8485</v>
      </c>
      <c r="K2776" s="1" t="s">
        <v>21</v>
      </c>
      <c r="L2776" s="1" t="s">
        <v>8486</v>
      </c>
      <c r="M2776" s="6" t="str">
        <f>_xlfn.CONCAT(Table1[[#This Row],[Billing Street]], ", ", Table1[[#This Row],[Billing City]], ", ", Table1[[#This Row],[Billing State/Province]], ", ", Table1[[#This Row],[Billing Zip/Postal Code]])</f>
        <v>4600 C Street SW, Cedar Rapids, IA, 52404</v>
      </c>
    </row>
    <row r="2777" spans="1:13" ht="15.6" hidden="1" x14ac:dyDescent="0.3">
      <c r="A2777" s="1" t="s">
        <v>8487</v>
      </c>
      <c r="B2777" s="1"/>
      <c r="C2777" s="1"/>
      <c r="D2777" s="1"/>
      <c r="E2777" s="1"/>
      <c r="F2777" s="1"/>
      <c r="G2777" s="1" t="s">
        <v>8</v>
      </c>
      <c r="H2777" s="2">
        <v>218</v>
      </c>
      <c r="I2777" s="1" t="s">
        <v>8488</v>
      </c>
      <c r="J2777" s="1" t="s">
        <v>7416</v>
      </c>
      <c r="K2777" s="1" t="s">
        <v>11</v>
      </c>
      <c r="L2777" s="1" t="s">
        <v>8489</v>
      </c>
      <c r="M2777" s="6" t="str">
        <f>_xlfn.CONCAT(Table1[[#This Row],[Billing Street]], ", ", Table1[[#This Row],[Billing City]], ", ", Table1[[#This Row],[Billing State/Province]], ", ", Table1[[#This Row],[Billing Zip/Postal Code]])</f>
        <v>2722 E McCarty St, Jefferson City, MO, 65101</v>
      </c>
    </row>
    <row r="2778" spans="1:13" ht="15.6" hidden="1" x14ac:dyDescent="0.3">
      <c r="A2778" s="1" t="s">
        <v>8490</v>
      </c>
      <c r="B2778" s="1"/>
      <c r="C2778" s="1"/>
      <c r="D2778" s="1"/>
      <c r="E2778" s="1"/>
      <c r="F2778" s="1"/>
      <c r="G2778" s="1" t="s">
        <v>8</v>
      </c>
      <c r="H2778" s="2">
        <v>486</v>
      </c>
      <c r="I2778" s="1" t="s">
        <v>8491</v>
      </c>
      <c r="J2778" s="1" t="s">
        <v>5550</v>
      </c>
      <c r="K2778" s="1" t="s">
        <v>51</v>
      </c>
      <c r="L2778" s="1" t="s">
        <v>5551</v>
      </c>
      <c r="M2778" s="6" t="str">
        <f>_xlfn.CONCAT(Table1[[#This Row],[Billing Street]], ", ", Table1[[#This Row],[Billing City]], ", ", Table1[[#This Row],[Billing State/Province]], ", ", Table1[[#This Row],[Billing Zip/Postal Code]])</f>
        <v>650 Highway 21 E, Bastrop, TX, 78602</v>
      </c>
    </row>
    <row r="2779" spans="1:13" ht="15.6" hidden="1" x14ac:dyDescent="0.3">
      <c r="A2779" s="1" t="s">
        <v>8492</v>
      </c>
      <c r="B2779" s="1"/>
      <c r="C2779" s="1"/>
      <c r="D2779" s="1"/>
      <c r="E2779" s="1"/>
      <c r="F2779" s="1"/>
      <c r="G2779" s="1" t="s">
        <v>8</v>
      </c>
      <c r="H2779" s="2">
        <v>281</v>
      </c>
      <c r="I2779" s="1" t="s">
        <v>8493</v>
      </c>
      <c r="J2779" s="1" t="s">
        <v>2665</v>
      </c>
      <c r="K2779" s="1" t="s">
        <v>51</v>
      </c>
      <c r="L2779" s="1" t="s">
        <v>8494</v>
      </c>
      <c r="M2779" s="6" t="str">
        <f>_xlfn.CONCAT(Table1[[#This Row],[Billing Street]], ", ", Table1[[#This Row],[Billing City]], ", ", Table1[[#This Row],[Billing State/Province]], ", ", Table1[[#This Row],[Billing Zip/Postal Code]])</f>
        <v>7701 S Stemmons Fwy, Corinth, TX, 76210</v>
      </c>
    </row>
    <row r="2780" spans="1:13" ht="15.6" hidden="1" x14ac:dyDescent="0.3">
      <c r="A2780" s="1" t="s">
        <v>8495</v>
      </c>
      <c r="B2780" s="1"/>
      <c r="C2780" s="1"/>
      <c r="D2780" s="1"/>
      <c r="E2780" s="1"/>
      <c r="F2780" s="1"/>
      <c r="G2780" s="1" t="s">
        <v>8</v>
      </c>
      <c r="H2780" s="2">
        <v>6528</v>
      </c>
      <c r="I2780" s="1" t="s">
        <v>13</v>
      </c>
      <c r="J2780" s="1" t="s">
        <v>13</v>
      </c>
      <c r="K2780" s="1" t="s">
        <v>51</v>
      </c>
      <c r="L2780" s="1" t="s">
        <v>13</v>
      </c>
      <c r="M2780" s="6" t="str">
        <f>_xlfn.CONCAT(Table1[[#This Row],[Billing Street]], ", ", Table1[[#This Row],[Billing City]], ", ", Table1[[#This Row],[Billing State/Province]], ", ", Table1[[#This Row],[Billing Zip/Postal Code]])</f>
        <v xml:space="preserve">, , TX, </v>
      </c>
    </row>
    <row r="2781" spans="1:13" ht="15.6" hidden="1" x14ac:dyDescent="0.3">
      <c r="A2781" s="1" t="s">
        <v>8496</v>
      </c>
      <c r="B2781" s="1"/>
      <c r="C2781" s="1"/>
      <c r="D2781" s="1"/>
      <c r="E2781" s="1"/>
      <c r="F2781" s="1"/>
      <c r="G2781" s="1" t="s">
        <v>8</v>
      </c>
      <c r="H2781" s="2">
        <v>504</v>
      </c>
      <c r="I2781" s="1" t="s">
        <v>8497</v>
      </c>
      <c r="J2781" s="1" t="s">
        <v>557</v>
      </c>
      <c r="K2781" s="1" t="s">
        <v>51</v>
      </c>
      <c r="L2781" s="1" t="s">
        <v>8498</v>
      </c>
      <c r="M2781" s="6" t="str">
        <f>_xlfn.CONCAT(Table1[[#This Row],[Billing Street]], ", ", Table1[[#This Row],[Billing City]], ", ", Table1[[#This Row],[Billing State/Province]], ", ", Table1[[#This Row],[Billing Zip/Postal Code]])</f>
        <v>5400 Westheimer Ct, Houston, TX, 77056</v>
      </c>
    </row>
    <row r="2782" spans="1:13" ht="15.6" hidden="1" x14ac:dyDescent="0.3">
      <c r="A2782" s="1" t="s">
        <v>8499</v>
      </c>
      <c r="B2782" s="1"/>
      <c r="C2782" s="1"/>
      <c r="D2782" s="1"/>
      <c r="E2782" s="1"/>
      <c r="F2782" s="1"/>
      <c r="G2782" s="1" t="s">
        <v>8</v>
      </c>
      <c r="H2782" s="2">
        <v>483</v>
      </c>
      <c r="I2782" s="1" t="s">
        <v>8500</v>
      </c>
      <c r="J2782" s="1" t="s">
        <v>977</v>
      </c>
      <c r="K2782" s="1" t="s">
        <v>51</v>
      </c>
      <c r="L2782" s="1" t="s">
        <v>8501</v>
      </c>
      <c r="M2782" s="6" t="str">
        <f>_xlfn.CONCAT(Table1[[#This Row],[Billing Street]], ", ", Table1[[#This Row],[Billing City]], ", ", Table1[[#This Row],[Billing State/Province]], ", ", Table1[[#This Row],[Billing Zip/Postal Code]])</f>
        <v>124 West 8th st. Set. 310, Austin, TX, 78701</v>
      </c>
    </row>
    <row r="2783" spans="1:13" ht="15.6" x14ac:dyDescent="0.3">
      <c r="A2783" s="1" t="s">
        <v>8502</v>
      </c>
      <c r="B2783" s="1"/>
      <c r="C2783" s="1"/>
      <c r="D2783" s="1"/>
      <c r="E2783" s="1"/>
      <c r="F2783" s="1"/>
      <c r="G2783" s="1" t="s">
        <v>24</v>
      </c>
      <c r="H2783" s="2">
        <v>28</v>
      </c>
      <c r="I2783" s="1" t="s">
        <v>8503</v>
      </c>
      <c r="J2783" s="1" t="s">
        <v>8504</v>
      </c>
      <c r="K2783" s="1" t="s">
        <v>36</v>
      </c>
      <c r="L2783" s="1" t="s">
        <v>112</v>
      </c>
      <c r="M2783" s="6" t="str">
        <f>_xlfn.CONCAT(Table1[[#This Row],[Billing Street]], ", ", Table1[[#This Row],[Billing City]], ", ", Table1[[#This Row],[Billing State/Province]], ", ", Table1[[#This Row],[Billing Zip/Postal Code]])</f>
        <v>369 Miramar Beach Dr,, Miramar Beach, FL, 32250</v>
      </c>
    </row>
    <row r="2784" spans="1:13" ht="15.6" hidden="1" x14ac:dyDescent="0.3">
      <c r="A2784" s="1" t="s">
        <v>8505</v>
      </c>
      <c r="B2784" s="1"/>
      <c r="C2784" s="1"/>
      <c r="D2784" s="1"/>
      <c r="E2784" s="1"/>
      <c r="F2784" s="1"/>
      <c r="G2784" s="1" t="s">
        <v>205</v>
      </c>
      <c r="H2784" s="2">
        <v>158</v>
      </c>
      <c r="I2784" s="1" t="s">
        <v>8506</v>
      </c>
      <c r="J2784" s="1" t="s">
        <v>8507</v>
      </c>
      <c r="K2784" s="1" t="s">
        <v>479</v>
      </c>
      <c r="L2784" s="1" t="s">
        <v>8508</v>
      </c>
      <c r="M2784" s="6" t="str">
        <f>_xlfn.CONCAT(Table1[[#This Row],[Billing Street]], ", ", Table1[[#This Row],[Billing City]], ", ", Table1[[#This Row],[Billing State/Province]], ", ", Table1[[#This Row],[Billing Zip/Postal Code]])</f>
        <v>3303 S 14th Avenue, Yuma, AZ, 85365</v>
      </c>
    </row>
    <row r="2785" spans="1:13" ht="15.6" x14ac:dyDescent="0.3">
      <c r="A2785" s="1" t="s">
        <v>8509</v>
      </c>
      <c r="B2785" s="1"/>
      <c r="C2785" s="1"/>
      <c r="D2785" s="1"/>
      <c r="E2785" s="1"/>
      <c r="F2785" s="1"/>
      <c r="G2785" s="1" t="s">
        <v>24</v>
      </c>
      <c r="H2785" s="2">
        <v>267</v>
      </c>
      <c r="I2785" s="1" t="s">
        <v>8510</v>
      </c>
      <c r="J2785" s="1" t="s">
        <v>6576</v>
      </c>
      <c r="K2785" s="1" t="s">
        <v>36</v>
      </c>
      <c r="L2785" s="1" t="s">
        <v>6577</v>
      </c>
      <c r="M2785" s="6" t="str">
        <f>_xlfn.CONCAT(Table1[[#This Row],[Billing Street]], ", ", Table1[[#This Row],[Billing City]], ", ", Table1[[#This Row],[Billing State/Province]], ", ", Table1[[#This Row],[Billing Zip/Postal Code]])</f>
        <v>1065 Buckethead Rd, Green Cove Springs, FL, 32043</v>
      </c>
    </row>
    <row r="2786" spans="1:13" ht="15.6" x14ac:dyDescent="0.3">
      <c r="A2786" s="1" t="s">
        <v>8511</v>
      </c>
      <c r="B2786" s="1"/>
      <c r="C2786" s="1"/>
      <c r="D2786" s="1"/>
      <c r="E2786" s="1"/>
      <c r="F2786" s="1"/>
      <c r="G2786" s="1" t="s">
        <v>24</v>
      </c>
      <c r="H2786" s="2">
        <v>5988</v>
      </c>
      <c r="I2786" s="1" t="s">
        <v>13</v>
      </c>
      <c r="J2786" s="1" t="s">
        <v>8512</v>
      </c>
      <c r="K2786" s="1" t="s">
        <v>36</v>
      </c>
      <c r="L2786" s="1" t="s">
        <v>13</v>
      </c>
      <c r="M2786" s="6" t="str">
        <f>_xlfn.CONCAT(Table1[[#This Row],[Billing Street]], ", ", Table1[[#This Row],[Billing City]], ", ", Table1[[#This Row],[Billing State/Province]], ", ", Table1[[#This Row],[Billing Zip/Postal Code]])</f>
        <v xml:space="preserve">, Titusville, FL, </v>
      </c>
    </row>
    <row r="2787" spans="1:13" ht="15.6" x14ac:dyDescent="0.3">
      <c r="A2787" s="1" t="s">
        <v>8513</v>
      </c>
      <c r="B2787" s="1"/>
      <c r="C2787" s="1"/>
      <c r="D2787" s="1"/>
      <c r="E2787" s="1"/>
      <c r="F2787" s="1"/>
      <c r="G2787" s="1" t="s">
        <v>24</v>
      </c>
      <c r="H2787" s="2">
        <v>101</v>
      </c>
      <c r="I2787" s="1" t="s">
        <v>8514</v>
      </c>
      <c r="J2787" s="1" t="s">
        <v>77</v>
      </c>
      <c r="K2787" s="1" t="s">
        <v>36</v>
      </c>
      <c r="L2787" s="1" t="s">
        <v>78</v>
      </c>
      <c r="M2787" s="6" t="str">
        <f>_xlfn.CONCAT(Table1[[#This Row],[Billing Street]], ", ", Table1[[#This Row],[Billing City]], ", ", Table1[[#This Row],[Billing State/Province]], ", ", Table1[[#This Row],[Billing Zip/Postal Code]])</f>
        <v>8007 Florida Georgia Hwy,, Havana, FL, 32333</v>
      </c>
    </row>
    <row r="2788" spans="1:13" ht="15.6" hidden="1" x14ac:dyDescent="0.3">
      <c r="A2788" s="1" t="s">
        <v>8515</v>
      </c>
      <c r="B2788" s="1"/>
      <c r="C2788" s="1"/>
      <c r="D2788" s="1"/>
      <c r="E2788" s="1"/>
      <c r="F2788" s="1"/>
      <c r="G2788" s="1" t="s">
        <v>43</v>
      </c>
      <c r="H2788" s="2">
        <v>5776</v>
      </c>
      <c r="I2788" s="1" t="s">
        <v>13</v>
      </c>
      <c r="J2788" s="1" t="s">
        <v>13</v>
      </c>
      <c r="K2788" s="1" t="s">
        <v>671</v>
      </c>
      <c r="L2788" s="1" t="s">
        <v>13</v>
      </c>
      <c r="M2788" s="6" t="str">
        <f>_xlfn.CONCAT(Table1[[#This Row],[Billing Street]], ", ", Table1[[#This Row],[Billing City]], ", ", Table1[[#This Row],[Billing State/Province]], ", ", Table1[[#This Row],[Billing Zip/Postal Code]])</f>
        <v xml:space="preserve">, , NY, </v>
      </c>
    </row>
    <row r="2789" spans="1:13" ht="15.6" x14ac:dyDescent="0.3">
      <c r="A2789" s="1" t="s">
        <v>8516</v>
      </c>
      <c r="B2789" s="1"/>
      <c r="C2789" s="1"/>
      <c r="D2789" s="1"/>
      <c r="E2789" s="1"/>
      <c r="F2789" s="1"/>
      <c r="G2789" s="1" t="s">
        <v>24</v>
      </c>
      <c r="H2789" s="2">
        <v>261</v>
      </c>
      <c r="I2789" s="1" t="s">
        <v>8517</v>
      </c>
      <c r="J2789" s="1" t="s">
        <v>1668</v>
      </c>
      <c r="K2789" s="1" t="s">
        <v>36</v>
      </c>
      <c r="L2789" s="1" t="s">
        <v>3470</v>
      </c>
      <c r="M2789" s="6" t="str">
        <f>_xlfn.CONCAT(Table1[[#This Row],[Billing Street]], ", ", Table1[[#This Row],[Billing City]], ", ", Table1[[#This Row],[Billing State/Province]], ", ", Table1[[#This Row],[Billing Zip/Postal Code]])</f>
        <v>537 Lane Av N, Jacksonville, FL, 32254</v>
      </c>
    </row>
    <row r="2790" spans="1:13" ht="15.6" x14ac:dyDescent="0.3">
      <c r="A2790" s="1" t="s">
        <v>8518</v>
      </c>
      <c r="B2790" s="1"/>
      <c r="C2790" s="1"/>
      <c r="D2790" s="1"/>
      <c r="E2790" s="1"/>
      <c r="F2790" s="1"/>
      <c r="G2790" s="1" t="s">
        <v>24</v>
      </c>
      <c r="H2790" s="2">
        <v>270</v>
      </c>
      <c r="I2790" s="1" t="s">
        <v>8519</v>
      </c>
      <c r="J2790" s="1" t="s">
        <v>1668</v>
      </c>
      <c r="K2790" s="1" t="s">
        <v>36</v>
      </c>
      <c r="L2790" s="1" t="s">
        <v>8520</v>
      </c>
      <c r="M2790" s="6" t="str">
        <f>_xlfn.CONCAT(Table1[[#This Row],[Billing Street]], ", ", Table1[[#This Row],[Billing City]], ", ", Table1[[#This Row],[Billing State/Province]], ", ", Table1[[#This Row],[Billing Zip/Postal Code]])</f>
        <v>12058 San Jose Blvd suite 804, Jacksonville, FL, 32223</v>
      </c>
    </row>
    <row r="2791" spans="1:13" ht="15.6" x14ac:dyDescent="0.3">
      <c r="A2791" s="1" t="s">
        <v>8521</v>
      </c>
      <c r="B2791" s="1"/>
      <c r="C2791" s="1"/>
      <c r="D2791" s="1"/>
      <c r="E2791" s="1"/>
      <c r="F2791" s="1"/>
      <c r="G2791" s="1" t="s">
        <v>24</v>
      </c>
      <c r="H2791" s="2">
        <v>5988</v>
      </c>
      <c r="I2791" s="1" t="s">
        <v>8522</v>
      </c>
      <c r="J2791" s="1" t="s">
        <v>981</v>
      </c>
      <c r="K2791" s="1" t="s">
        <v>31</v>
      </c>
      <c r="L2791" s="1" t="s">
        <v>1879</v>
      </c>
      <c r="M2791" s="6" t="str">
        <f>_xlfn.CONCAT(Table1[[#This Row],[Billing Street]], ", ", Table1[[#This Row],[Billing City]], ", ", Table1[[#This Row],[Billing State/Province]], ", ", Table1[[#This Row],[Billing Zip/Postal Code]])</f>
        <v>12503 Dedeaux Rd, Gulfport, MS, 39503</v>
      </c>
    </row>
    <row r="2792" spans="1:13" ht="15.6" hidden="1" x14ac:dyDescent="0.3">
      <c r="A2792" s="1" t="s">
        <v>8523</v>
      </c>
      <c r="B2792" s="1"/>
      <c r="C2792" s="1"/>
      <c r="D2792" s="1"/>
      <c r="E2792" s="1"/>
      <c r="F2792" s="1"/>
      <c r="G2792" s="1" t="s">
        <v>48</v>
      </c>
      <c r="H2792" s="2">
        <v>0</v>
      </c>
      <c r="I2792" s="1" t="s">
        <v>8524</v>
      </c>
      <c r="J2792" s="1" t="s">
        <v>6565</v>
      </c>
      <c r="K2792" s="1" t="s">
        <v>1115</v>
      </c>
      <c r="L2792" s="1" t="s">
        <v>8525</v>
      </c>
      <c r="M2792" s="6" t="str">
        <f>_xlfn.CONCAT(Table1[[#This Row],[Billing Street]], ", ", Table1[[#This Row],[Billing City]], ", ", Table1[[#This Row],[Billing State/Province]], ", ", Table1[[#This Row],[Billing Zip/Postal Code]])</f>
        <v>1351 W. Hundred Rd, Chester, VA, 23846</v>
      </c>
    </row>
    <row r="2793" spans="1:13" ht="15.6" x14ac:dyDescent="0.3">
      <c r="A2793" s="1" t="s">
        <v>8526</v>
      </c>
      <c r="B2793" s="1"/>
      <c r="C2793" s="1"/>
      <c r="D2793" s="1"/>
      <c r="E2793" s="1"/>
      <c r="F2793" s="1"/>
      <c r="G2793" s="1" t="s">
        <v>24</v>
      </c>
      <c r="H2793" s="2">
        <v>316</v>
      </c>
      <c r="I2793" s="1" t="s">
        <v>8527</v>
      </c>
      <c r="J2793" s="1" t="s">
        <v>5086</v>
      </c>
      <c r="K2793" s="1" t="s">
        <v>36</v>
      </c>
      <c r="L2793" s="1" t="s">
        <v>8528</v>
      </c>
      <c r="M2793" s="6" t="str">
        <f>_xlfn.CONCAT(Table1[[#This Row],[Billing Street]], ", ", Table1[[#This Row],[Billing City]], ", ", Table1[[#This Row],[Billing State/Province]], ", ", Table1[[#This Row],[Billing Zip/Postal Code]])</f>
        <v>3806 Caboose Place, Sanford, FL, 32771</v>
      </c>
    </row>
    <row r="2794" spans="1:13" ht="15.6" hidden="1" x14ac:dyDescent="0.3">
      <c r="A2794" s="1" t="s">
        <v>8529</v>
      </c>
      <c r="B2794" s="1"/>
      <c r="C2794" s="1"/>
      <c r="D2794" s="1"/>
      <c r="E2794" s="1"/>
      <c r="F2794" s="1"/>
      <c r="G2794" s="1" t="s">
        <v>43</v>
      </c>
      <c r="H2794" s="2">
        <v>5776</v>
      </c>
      <c r="I2794" s="1" t="s">
        <v>13</v>
      </c>
      <c r="J2794" s="1" t="s">
        <v>13</v>
      </c>
      <c r="K2794" s="1" t="s">
        <v>671</v>
      </c>
      <c r="L2794" s="1" t="s">
        <v>13</v>
      </c>
      <c r="M2794" s="6" t="str">
        <f>_xlfn.CONCAT(Table1[[#This Row],[Billing Street]], ", ", Table1[[#This Row],[Billing City]], ", ", Table1[[#This Row],[Billing State/Province]], ", ", Table1[[#This Row],[Billing Zip/Postal Code]])</f>
        <v xml:space="preserve">, , NY, </v>
      </c>
    </row>
    <row r="2795" spans="1:13" ht="15.6" hidden="1" x14ac:dyDescent="0.3">
      <c r="A2795" s="1" t="s">
        <v>8530</v>
      </c>
      <c r="B2795" s="1"/>
      <c r="C2795" s="1"/>
      <c r="D2795" s="1"/>
      <c r="E2795" s="1"/>
      <c r="F2795" s="1"/>
      <c r="G2795" s="1" t="s">
        <v>43</v>
      </c>
      <c r="H2795" s="2">
        <v>5776</v>
      </c>
      <c r="I2795" s="1" t="s">
        <v>13</v>
      </c>
      <c r="J2795" s="1" t="s">
        <v>13</v>
      </c>
      <c r="K2795" s="1" t="s">
        <v>671</v>
      </c>
      <c r="L2795" s="1" t="s">
        <v>13</v>
      </c>
      <c r="M2795" s="6" t="str">
        <f>_xlfn.CONCAT(Table1[[#This Row],[Billing Street]], ", ", Table1[[#This Row],[Billing City]], ", ", Table1[[#This Row],[Billing State/Province]], ", ", Table1[[#This Row],[Billing Zip/Postal Code]])</f>
        <v xml:space="preserve">, , NY, </v>
      </c>
    </row>
    <row r="2796" spans="1:13" ht="15.6" hidden="1" x14ac:dyDescent="0.3">
      <c r="A2796" s="1" t="s">
        <v>8531</v>
      </c>
      <c r="B2796" s="1"/>
      <c r="C2796" s="1"/>
      <c r="D2796" s="1"/>
      <c r="E2796" s="1"/>
      <c r="F2796" s="1"/>
      <c r="G2796" s="1" t="s">
        <v>54</v>
      </c>
      <c r="H2796" s="2">
        <v>947</v>
      </c>
      <c r="I2796" s="1" t="s">
        <v>8532</v>
      </c>
      <c r="J2796" s="1" t="s">
        <v>1818</v>
      </c>
      <c r="K2796" s="1" t="s">
        <v>405</v>
      </c>
      <c r="L2796" s="1" t="s">
        <v>8533</v>
      </c>
      <c r="M2796" s="6" t="str">
        <f>_xlfn.CONCAT(Table1[[#This Row],[Billing Street]], ", ", Table1[[#This Row],[Billing City]], ", ", Table1[[#This Row],[Billing State/Province]], ", ", Table1[[#This Row],[Billing Zip/Postal Code]])</f>
        <v>4322/6520 N Ash St, Spokane, WA, 99208</v>
      </c>
    </row>
    <row r="2797" spans="1:13" ht="15.6" hidden="1" x14ac:dyDescent="0.3">
      <c r="A2797" s="1" t="s">
        <v>8534</v>
      </c>
      <c r="B2797" s="1"/>
      <c r="C2797" s="1"/>
      <c r="D2797" s="1"/>
      <c r="E2797" s="1"/>
      <c r="F2797" s="1"/>
      <c r="G2797" s="1" t="s">
        <v>98</v>
      </c>
      <c r="H2797" s="2">
        <v>3</v>
      </c>
      <c r="I2797" s="1" t="s">
        <v>8535</v>
      </c>
      <c r="J2797" s="1" t="s">
        <v>8536</v>
      </c>
      <c r="K2797" s="1" t="s">
        <v>101</v>
      </c>
      <c r="L2797" s="1" t="s">
        <v>8537</v>
      </c>
      <c r="M2797" s="6" t="str">
        <f>_xlfn.CONCAT(Table1[[#This Row],[Billing Street]], ", ", Table1[[#This Row],[Billing City]], ", ", Table1[[#This Row],[Billing State/Province]], ", ", Table1[[#This Row],[Billing Zip/Postal Code]])</f>
        <v>4625 Stonegate Industrial Blve, Stone Mountain, GA, 30083</v>
      </c>
    </row>
    <row r="2798" spans="1:13" ht="15.6" hidden="1" x14ac:dyDescent="0.3">
      <c r="A2798" s="1" t="s">
        <v>8538</v>
      </c>
      <c r="B2798" s="1"/>
      <c r="C2798" s="1"/>
      <c r="D2798" s="1"/>
      <c r="E2798" s="1"/>
      <c r="F2798" s="1"/>
      <c r="G2798" s="1" t="s">
        <v>43</v>
      </c>
      <c r="H2798" s="2">
        <v>5776</v>
      </c>
      <c r="I2798" s="1" t="s">
        <v>13</v>
      </c>
      <c r="J2798" s="1" t="s">
        <v>13</v>
      </c>
      <c r="K2798" s="1" t="s">
        <v>671</v>
      </c>
      <c r="L2798" s="1" t="s">
        <v>13</v>
      </c>
      <c r="M2798" s="6" t="str">
        <f>_xlfn.CONCAT(Table1[[#This Row],[Billing Street]], ", ", Table1[[#This Row],[Billing City]], ", ", Table1[[#This Row],[Billing State/Province]], ", ", Table1[[#This Row],[Billing Zip/Postal Code]])</f>
        <v xml:space="preserve">, , NY, </v>
      </c>
    </row>
    <row r="2799" spans="1:13" ht="15.6" x14ac:dyDescent="0.3">
      <c r="A2799" s="1" t="s">
        <v>8539</v>
      </c>
      <c r="B2799" s="1"/>
      <c r="C2799" s="1"/>
      <c r="D2799" s="1"/>
      <c r="E2799" s="1"/>
      <c r="F2799" s="1"/>
      <c r="G2799" s="1" t="s">
        <v>24</v>
      </c>
      <c r="H2799" s="2">
        <v>111</v>
      </c>
      <c r="I2799" s="1" t="s">
        <v>8540</v>
      </c>
      <c r="J2799" s="1" t="s">
        <v>4977</v>
      </c>
      <c r="K2799" s="1" t="s">
        <v>36</v>
      </c>
      <c r="L2799" s="1" t="s">
        <v>8541</v>
      </c>
      <c r="M2799" s="6" t="str">
        <f>_xlfn.CONCAT(Table1[[#This Row],[Billing Street]], ", ", Table1[[#This Row],[Billing City]], ", ", Table1[[#This Row],[Billing State/Province]], ", ", Table1[[#This Row],[Billing Zip/Postal Code]])</f>
        <v>417 E. College Av, Tallahassee, FL, 32301</v>
      </c>
    </row>
    <row r="2800" spans="1:13" ht="15.6" hidden="1" x14ac:dyDescent="0.3">
      <c r="A2800" s="1" t="s">
        <v>8542</v>
      </c>
      <c r="B2800" s="1"/>
      <c r="C2800" s="1"/>
      <c r="D2800" s="1"/>
      <c r="E2800" s="1"/>
      <c r="F2800" s="1"/>
      <c r="G2800" s="1" t="s">
        <v>43</v>
      </c>
      <c r="H2800" s="2">
        <v>350</v>
      </c>
      <c r="I2800" s="1" t="s">
        <v>8543</v>
      </c>
      <c r="J2800" s="1" t="s">
        <v>8544</v>
      </c>
      <c r="K2800" s="1" t="s">
        <v>671</v>
      </c>
      <c r="L2800" s="1" t="s">
        <v>8545</v>
      </c>
      <c r="M2800" s="6" t="str">
        <f>_xlfn.CONCAT(Table1[[#This Row],[Billing Street]], ", ", Table1[[#This Row],[Billing City]], ", ", Table1[[#This Row],[Billing State/Province]], ", ", Table1[[#This Row],[Billing Zip/Postal Code]])</f>
        <v>28 Columbia St, Mohawk, NY, 13407</v>
      </c>
    </row>
    <row r="2801" spans="1:13" ht="15.6" x14ac:dyDescent="0.3">
      <c r="A2801" s="1" t="s">
        <v>8546</v>
      </c>
      <c r="B2801" s="1"/>
      <c r="C2801" s="1"/>
      <c r="D2801" s="1"/>
      <c r="E2801" s="1"/>
      <c r="F2801" s="1"/>
      <c r="G2801" s="1" t="s">
        <v>24</v>
      </c>
      <c r="H2801" s="2">
        <v>276</v>
      </c>
      <c r="I2801" s="1" t="s">
        <v>8547</v>
      </c>
      <c r="J2801" s="1" t="s">
        <v>8548</v>
      </c>
      <c r="K2801" s="1" t="s">
        <v>36</v>
      </c>
      <c r="L2801" s="1" t="s">
        <v>8549</v>
      </c>
      <c r="M2801" s="6" t="str">
        <f>_xlfn.CONCAT(Table1[[#This Row],[Billing Street]], ", ", Table1[[#This Row],[Billing City]], ", ", Table1[[#This Row],[Billing State/Province]], ", ", Table1[[#This Row],[Billing Zip/Postal Code]])</f>
        <v>6421 CR 219, Wildwood, FL, 34785</v>
      </c>
    </row>
    <row r="2802" spans="1:13" ht="15.6" x14ac:dyDescent="0.3">
      <c r="A2802" s="1" t="s">
        <v>8550</v>
      </c>
      <c r="B2802" s="1"/>
      <c r="C2802" s="1"/>
      <c r="D2802" s="1"/>
      <c r="E2802" s="1"/>
      <c r="F2802" s="1"/>
      <c r="G2802" s="1" t="s">
        <v>24</v>
      </c>
      <c r="H2802" s="2">
        <v>38</v>
      </c>
      <c r="I2802" s="1" t="s">
        <v>8551</v>
      </c>
      <c r="J2802" s="1" t="s">
        <v>4853</v>
      </c>
      <c r="K2802" s="1" t="s">
        <v>36</v>
      </c>
      <c r="L2802" s="1" t="s">
        <v>1532</v>
      </c>
      <c r="M2802" s="6" t="str">
        <f>_xlfn.CONCAT(Table1[[#This Row],[Billing Street]], ", ", Table1[[#This Row],[Billing City]], ", ", Table1[[#This Row],[Billing State/Province]], ", ", Table1[[#This Row],[Billing Zip/Postal Code]])</f>
        <v>648-2 Anchors St NW, Fort Walton Beach, FL, 32548</v>
      </c>
    </row>
    <row r="2803" spans="1:13" ht="15.6" hidden="1" x14ac:dyDescent="0.3">
      <c r="A2803" s="1" t="s">
        <v>8552</v>
      </c>
      <c r="B2803" s="1"/>
      <c r="C2803" s="1"/>
      <c r="D2803" s="1"/>
      <c r="E2803" s="1"/>
      <c r="F2803" s="1"/>
      <c r="G2803" s="1" t="s">
        <v>43</v>
      </c>
      <c r="H2803" s="2">
        <v>5776</v>
      </c>
      <c r="I2803" s="1" t="s">
        <v>13</v>
      </c>
      <c r="J2803" s="1" t="s">
        <v>13</v>
      </c>
      <c r="K2803" s="1" t="s">
        <v>671</v>
      </c>
      <c r="L2803" s="1" t="s">
        <v>13</v>
      </c>
      <c r="M2803" s="6" t="str">
        <f>_xlfn.CONCAT(Table1[[#This Row],[Billing Street]], ", ", Table1[[#This Row],[Billing City]], ", ", Table1[[#This Row],[Billing State/Province]], ", ", Table1[[#This Row],[Billing Zip/Postal Code]])</f>
        <v xml:space="preserve">, , NY, </v>
      </c>
    </row>
    <row r="2804" spans="1:13" ht="15.6" hidden="1" x14ac:dyDescent="0.3">
      <c r="A2804" s="1" t="s">
        <v>8553</v>
      </c>
      <c r="B2804" s="1"/>
      <c r="C2804" s="1"/>
      <c r="D2804" s="1"/>
      <c r="E2804" s="1"/>
      <c r="F2804" s="1"/>
      <c r="G2804" s="1" t="s">
        <v>43</v>
      </c>
      <c r="H2804" s="2">
        <v>5776</v>
      </c>
      <c r="I2804" s="1" t="s">
        <v>13</v>
      </c>
      <c r="J2804" s="1" t="s">
        <v>13</v>
      </c>
      <c r="K2804" s="1" t="s">
        <v>671</v>
      </c>
      <c r="L2804" s="1" t="s">
        <v>13</v>
      </c>
      <c r="M2804" s="6" t="str">
        <f>_xlfn.CONCAT(Table1[[#This Row],[Billing Street]], ", ", Table1[[#This Row],[Billing City]], ", ", Table1[[#This Row],[Billing State/Province]], ", ", Table1[[#This Row],[Billing Zip/Postal Code]])</f>
        <v xml:space="preserve">, , NY, </v>
      </c>
    </row>
    <row r="2805" spans="1:13" ht="15.6" x14ac:dyDescent="0.3">
      <c r="A2805" s="1" t="s">
        <v>8554</v>
      </c>
      <c r="B2805" s="1"/>
      <c r="C2805" s="1"/>
      <c r="D2805" s="1"/>
      <c r="E2805" s="1"/>
      <c r="F2805" s="1"/>
      <c r="G2805" s="1" t="s">
        <v>24</v>
      </c>
      <c r="H2805" s="2">
        <v>477</v>
      </c>
      <c r="I2805" s="1" t="s">
        <v>8555</v>
      </c>
      <c r="J2805" s="1" t="s">
        <v>8556</v>
      </c>
      <c r="K2805" s="1" t="s">
        <v>36</v>
      </c>
      <c r="L2805" s="1" t="s">
        <v>8557</v>
      </c>
      <c r="M2805" s="6" t="str">
        <f>_xlfn.CONCAT(Table1[[#This Row],[Billing Street]], ", ", Table1[[#This Row],[Billing City]], ", ", Table1[[#This Row],[Billing State/Province]], ", ", Table1[[#This Row],[Billing Zip/Postal Code]])</f>
        <v>777 Isle of Capri Cir., Pompano Beach, FL, 33069</v>
      </c>
    </row>
    <row r="2806" spans="1:13" ht="15.6" x14ac:dyDescent="0.3">
      <c r="A2806" s="1" t="s">
        <v>8558</v>
      </c>
      <c r="B2806" s="1"/>
      <c r="C2806" s="1"/>
      <c r="D2806" s="1"/>
      <c r="E2806" s="1"/>
      <c r="F2806" s="1"/>
      <c r="G2806" s="1" t="s">
        <v>24</v>
      </c>
      <c r="H2806" s="2">
        <v>269</v>
      </c>
      <c r="I2806" s="1" t="s">
        <v>8559</v>
      </c>
      <c r="J2806" s="1" t="s">
        <v>1668</v>
      </c>
      <c r="K2806" s="1" t="s">
        <v>36</v>
      </c>
      <c r="L2806" s="1" t="s">
        <v>8560</v>
      </c>
      <c r="M2806" s="6" t="str">
        <f>_xlfn.CONCAT(Table1[[#This Row],[Billing Street]], ", ", Table1[[#This Row],[Billing City]], ", ", Table1[[#This Row],[Billing State/Province]], ", ", Table1[[#This Row],[Billing Zip/Postal Code]])</f>
        <v>2831 Talleyrand Av, Jacksonville, FL, 32206</v>
      </c>
    </row>
    <row r="2807" spans="1:13" ht="15.6" hidden="1" x14ac:dyDescent="0.3">
      <c r="A2807" s="1" t="s">
        <v>8561</v>
      </c>
      <c r="B2807" s="1"/>
      <c r="C2807" s="1"/>
      <c r="D2807" s="1"/>
      <c r="E2807" s="1"/>
      <c r="F2807" s="1"/>
      <c r="G2807" s="1" t="s">
        <v>8</v>
      </c>
      <c r="H2807" s="2">
        <v>538</v>
      </c>
      <c r="I2807" s="1" t="s">
        <v>8562</v>
      </c>
      <c r="J2807" s="1" t="s">
        <v>3764</v>
      </c>
      <c r="K2807" s="1" t="s">
        <v>128</v>
      </c>
      <c r="L2807" s="1" t="s">
        <v>3765</v>
      </c>
      <c r="M2807" s="6" t="str">
        <f>_xlfn.CONCAT(Table1[[#This Row],[Billing Street]], ", ", Table1[[#This Row],[Billing City]], ", ", Table1[[#This Row],[Billing State/Province]], ", ", Table1[[#This Row],[Billing Zip/Postal Code]])</f>
        <v>1000 Syndicate Street, Jordan, MN, 55352</v>
      </c>
    </row>
    <row r="2808" spans="1:13" ht="15.6" x14ac:dyDescent="0.3">
      <c r="A2808" s="1" t="s">
        <v>8563</v>
      </c>
      <c r="B2808" s="1"/>
      <c r="C2808" s="1"/>
      <c r="D2808" s="1"/>
      <c r="E2808" s="1"/>
      <c r="F2808" s="1"/>
      <c r="G2808" s="1" t="s">
        <v>24</v>
      </c>
      <c r="H2808" s="2">
        <v>69</v>
      </c>
      <c r="I2808" s="1" t="s">
        <v>8564</v>
      </c>
      <c r="J2808" s="1" t="s">
        <v>715</v>
      </c>
      <c r="K2808" s="1" t="s">
        <v>36</v>
      </c>
      <c r="L2808" s="1" t="s">
        <v>8565</v>
      </c>
      <c r="M2808" s="6" t="str">
        <f>_xlfn.CONCAT(Table1[[#This Row],[Billing Street]], ", ", Table1[[#This Row],[Billing City]], ", ", Table1[[#This Row],[Billing State/Province]], ", ", Table1[[#This Row],[Billing Zip/Postal Code]])</f>
        <v>112 West Gregory St, Pensacola, FL, 32502</v>
      </c>
    </row>
    <row r="2809" spans="1:13" ht="15.6" x14ac:dyDescent="0.3">
      <c r="A2809" s="1" t="s">
        <v>8566</v>
      </c>
      <c r="B2809" s="1"/>
      <c r="C2809" s="1"/>
      <c r="D2809" s="1"/>
      <c r="E2809" s="1"/>
      <c r="F2809" s="1"/>
      <c r="G2809" s="1" t="s">
        <v>24</v>
      </c>
      <c r="H2809" s="2">
        <v>312</v>
      </c>
      <c r="I2809" s="1" t="s">
        <v>8567</v>
      </c>
      <c r="J2809" s="1" t="s">
        <v>1944</v>
      </c>
      <c r="K2809" s="1" t="s">
        <v>36</v>
      </c>
      <c r="L2809" s="1" t="s">
        <v>8568</v>
      </c>
      <c r="M2809" s="6" t="str">
        <f>_xlfn.CONCAT(Table1[[#This Row],[Billing Street]], ", ", Table1[[#This Row],[Billing City]], ", ", Table1[[#This Row],[Billing State/Province]], ", ", Table1[[#This Row],[Billing Zip/Postal Code]])</f>
        <v>4025 South Pipkin Rd, Lakeland, FL, 33811</v>
      </c>
    </row>
    <row r="2810" spans="1:13" ht="15.6" hidden="1" x14ac:dyDescent="0.3">
      <c r="A2810" s="1" t="s">
        <v>8569</v>
      </c>
      <c r="B2810" s="1"/>
      <c r="C2810" s="1"/>
      <c r="D2810" s="1"/>
      <c r="E2810" s="1"/>
      <c r="F2810" s="1"/>
      <c r="G2810" s="1" t="s">
        <v>43</v>
      </c>
      <c r="H2810" s="2">
        <v>410</v>
      </c>
      <c r="I2810" s="1" t="s">
        <v>8570</v>
      </c>
      <c r="J2810" s="1" t="s">
        <v>8259</v>
      </c>
      <c r="K2810" s="1" t="s">
        <v>133</v>
      </c>
      <c r="L2810" s="1" t="s">
        <v>8260</v>
      </c>
      <c r="M2810" s="6" t="str">
        <f>_xlfn.CONCAT(Table1[[#This Row],[Billing Street]], ", ", Table1[[#This Row],[Billing City]], ", ", Table1[[#This Row],[Billing State/Province]], ", ", Table1[[#This Row],[Billing Zip/Postal Code]])</f>
        <v>1775 E. Shady Ln, Neenah, WI, 54956</v>
      </c>
    </row>
    <row r="2811" spans="1:13" ht="15.6" hidden="1" x14ac:dyDescent="0.3">
      <c r="A2811" s="1" t="s">
        <v>8571</v>
      </c>
      <c r="B2811" s="1"/>
      <c r="C2811" s="1"/>
      <c r="D2811" s="1"/>
      <c r="E2811" s="1"/>
      <c r="F2811" s="1"/>
      <c r="G2811" s="1" t="s">
        <v>43</v>
      </c>
      <c r="H2811" s="2">
        <v>5776</v>
      </c>
      <c r="I2811" s="1" t="s">
        <v>13</v>
      </c>
      <c r="J2811" s="1" t="s">
        <v>13</v>
      </c>
      <c r="K2811" s="1" t="s">
        <v>671</v>
      </c>
      <c r="L2811" s="1" t="s">
        <v>13</v>
      </c>
      <c r="M2811" s="6" t="str">
        <f>_xlfn.CONCAT(Table1[[#This Row],[Billing Street]], ", ", Table1[[#This Row],[Billing City]], ", ", Table1[[#This Row],[Billing State/Province]], ", ", Table1[[#This Row],[Billing Zip/Postal Code]])</f>
        <v xml:space="preserve">, , NY, </v>
      </c>
    </row>
    <row r="2812" spans="1:13" ht="15.6" x14ac:dyDescent="0.3">
      <c r="A2812" s="1" t="s">
        <v>8572</v>
      </c>
      <c r="B2812" s="1"/>
      <c r="C2812" s="1"/>
      <c r="D2812" s="1"/>
      <c r="E2812" s="1"/>
      <c r="F2812" s="1"/>
      <c r="G2812" s="1" t="s">
        <v>24</v>
      </c>
      <c r="H2812" s="2">
        <v>320</v>
      </c>
      <c r="I2812" s="1" t="s">
        <v>8573</v>
      </c>
      <c r="J2812" s="1" t="s">
        <v>8574</v>
      </c>
      <c r="K2812" s="1" t="s">
        <v>36</v>
      </c>
      <c r="L2812" s="1" t="s">
        <v>8575</v>
      </c>
      <c r="M2812" s="6" t="str">
        <f>_xlfn.CONCAT(Table1[[#This Row],[Billing Street]], ", ", Table1[[#This Row],[Billing City]], ", ", Table1[[#This Row],[Billing State/Province]], ", ", Table1[[#This Row],[Billing Zip/Postal Code]])</f>
        <v>5604 Commercial Blvd, Winter Haven, FL, 33880</v>
      </c>
    </row>
    <row r="2813" spans="1:13" ht="15.6" hidden="1" x14ac:dyDescent="0.3">
      <c r="A2813" s="1" t="s">
        <v>8576</v>
      </c>
      <c r="B2813" s="1"/>
      <c r="C2813" s="1"/>
      <c r="D2813" s="1"/>
      <c r="E2813" s="1"/>
      <c r="F2813" s="1"/>
      <c r="G2813" s="1" t="s">
        <v>43</v>
      </c>
      <c r="H2813" s="2">
        <v>5776</v>
      </c>
      <c r="I2813" s="1" t="s">
        <v>13</v>
      </c>
      <c r="J2813" s="1" t="s">
        <v>13</v>
      </c>
      <c r="K2813" s="1" t="s">
        <v>671</v>
      </c>
      <c r="L2813" s="1" t="s">
        <v>13</v>
      </c>
      <c r="M2813" s="6" t="str">
        <f>_xlfn.CONCAT(Table1[[#This Row],[Billing Street]], ", ", Table1[[#This Row],[Billing City]], ", ", Table1[[#This Row],[Billing State/Province]], ", ", Table1[[#This Row],[Billing Zip/Postal Code]])</f>
        <v xml:space="preserve">, , NY, </v>
      </c>
    </row>
    <row r="2814" spans="1:13" ht="15.6" x14ac:dyDescent="0.3">
      <c r="A2814" s="1" t="s">
        <v>8577</v>
      </c>
      <c r="B2814" s="1"/>
      <c r="C2814" s="1"/>
      <c r="D2814" s="1"/>
      <c r="E2814" s="1"/>
      <c r="F2814" s="1"/>
      <c r="G2814" s="1" t="s">
        <v>24</v>
      </c>
      <c r="H2814" s="2">
        <v>268</v>
      </c>
      <c r="I2814" s="1" t="s">
        <v>8578</v>
      </c>
      <c r="J2814" s="1" t="s">
        <v>8579</v>
      </c>
      <c r="K2814" s="1" t="s">
        <v>36</v>
      </c>
      <c r="L2814" s="1" t="s">
        <v>8580</v>
      </c>
      <c r="M2814" s="6" t="str">
        <f>_xlfn.CONCAT(Table1[[#This Row],[Billing Street]], ", ", Table1[[#This Row],[Billing City]], ", ", Table1[[#This Row],[Billing State/Province]], ", ", Table1[[#This Row],[Billing Zip/Postal Code]])</f>
        <v>14606 Hayes Rd, Spring Hill, FL, 34610</v>
      </c>
    </row>
    <row r="2815" spans="1:13" ht="15.6" x14ac:dyDescent="0.3">
      <c r="A2815" s="1" t="s">
        <v>8581</v>
      </c>
      <c r="B2815" s="1"/>
      <c r="C2815" s="1"/>
      <c r="D2815" s="1"/>
      <c r="E2815" s="1"/>
      <c r="F2815" s="1"/>
      <c r="G2815" s="1" t="s">
        <v>24</v>
      </c>
      <c r="H2815" s="2">
        <v>339</v>
      </c>
      <c r="I2815" s="1" t="s">
        <v>8582</v>
      </c>
      <c r="J2815" s="1" t="s">
        <v>2705</v>
      </c>
      <c r="K2815" s="1" t="s">
        <v>36</v>
      </c>
      <c r="L2815" s="1" t="s">
        <v>2706</v>
      </c>
      <c r="M2815" s="6" t="str">
        <f>_xlfn.CONCAT(Table1[[#This Row],[Billing Street]], ", ", Table1[[#This Row],[Billing City]], ", ", Table1[[#This Row],[Billing State/Province]], ", ", Table1[[#This Row],[Billing Zip/Postal Code]])</f>
        <v>1499 US Hwy 17 N, Wauchula, FL, 33873</v>
      </c>
    </row>
    <row r="2816" spans="1:13" ht="15.6" hidden="1" x14ac:dyDescent="0.3">
      <c r="A2816" s="1" t="s">
        <v>8583</v>
      </c>
      <c r="B2816" s="1"/>
      <c r="C2816" s="1"/>
      <c r="D2816" s="1"/>
      <c r="E2816" s="1"/>
      <c r="F2816" s="1"/>
      <c r="G2816" s="1" t="s">
        <v>43</v>
      </c>
      <c r="H2816" s="2">
        <v>5776</v>
      </c>
      <c r="I2816" s="1" t="s">
        <v>13</v>
      </c>
      <c r="J2816" s="1" t="s">
        <v>13</v>
      </c>
      <c r="K2816" s="1" t="s">
        <v>671</v>
      </c>
      <c r="L2816" s="1" t="s">
        <v>13</v>
      </c>
      <c r="M2816" s="6" t="str">
        <f>_xlfn.CONCAT(Table1[[#This Row],[Billing Street]], ", ", Table1[[#This Row],[Billing City]], ", ", Table1[[#This Row],[Billing State/Province]], ", ", Table1[[#This Row],[Billing Zip/Postal Code]])</f>
        <v xml:space="preserve">, , NY, </v>
      </c>
    </row>
    <row r="2817" spans="1:13" ht="15.6" hidden="1" x14ac:dyDescent="0.3">
      <c r="A2817" s="1" t="s">
        <v>8584</v>
      </c>
      <c r="B2817" s="1"/>
      <c r="C2817" s="1"/>
      <c r="D2817" s="1"/>
      <c r="E2817" s="1"/>
      <c r="F2817" s="1"/>
      <c r="G2817" s="1" t="s">
        <v>43</v>
      </c>
      <c r="H2817" s="2">
        <v>5776</v>
      </c>
      <c r="I2817" s="1" t="s">
        <v>13</v>
      </c>
      <c r="J2817" s="1" t="s">
        <v>13</v>
      </c>
      <c r="K2817" s="1" t="s">
        <v>671</v>
      </c>
      <c r="L2817" s="1" t="s">
        <v>13</v>
      </c>
      <c r="M2817" s="6" t="str">
        <f>_xlfn.CONCAT(Table1[[#This Row],[Billing Street]], ", ", Table1[[#This Row],[Billing City]], ", ", Table1[[#This Row],[Billing State/Province]], ", ", Table1[[#This Row],[Billing Zip/Postal Code]])</f>
        <v xml:space="preserve">, , NY, </v>
      </c>
    </row>
    <row r="2818" spans="1:13" ht="15.6" hidden="1" x14ac:dyDescent="0.3">
      <c r="A2818" s="1" t="s">
        <v>8585</v>
      </c>
      <c r="B2818" s="1"/>
      <c r="C2818" s="1"/>
      <c r="D2818" s="1"/>
      <c r="E2818" s="1"/>
      <c r="F2818" s="1"/>
      <c r="G2818" s="1" t="s">
        <v>43</v>
      </c>
      <c r="H2818" s="2">
        <v>5776</v>
      </c>
      <c r="I2818" s="1" t="s">
        <v>13</v>
      </c>
      <c r="J2818" s="1" t="s">
        <v>13</v>
      </c>
      <c r="K2818" s="1" t="s">
        <v>671</v>
      </c>
      <c r="L2818" s="1" t="s">
        <v>13</v>
      </c>
      <c r="M2818" s="6" t="str">
        <f>_xlfn.CONCAT(Table1[[#This Row],[Billing Street]], ", ", Table1[[#This Row],[Billing City]], ", ", Table1[[#This Row],[Billing State/Province]], ", ", Table1[[#This Row],[Billing Zip/Postal Code]])</f>
        <v xml:space="preserve">, , NY, </v>
      </c>
    </row>
    <row r="2819" spans="1:13" ht="15.6" hidden="1" x14ac:dyDescent="0.3">
      <c r="A2819" s="1" t="s">
        <v>8586</v>
      </c>
      <c r="B2819" s="1"/>
      <c r="C2819" s="1"/>
      <c r="D2819" s="1"/>
      <c r="E2819" s="1"/>
      <c r="F2819" s="1"/>
      <c r="G2819" s="1" t="s">
        <v>98</v>
      </c>
      <c r="H2819" s="2">
        <v>92</v>
      </c>
      <c r="I2819" s="1" t="s">
        <v>8587</v>
      </c>
      <c r="J2819" s="1" t="s">
        <v>8588</v>
      </c>
      <c r="K2819" s="1" t="s">
        <v>101</v>
      </c>
      <c r="L2819" s="1" t="s">
        <v>1216</v>
      </c>
      <c r="M2819" s="6" t="str">
        <f>_xlfn.CONCAT(Table1[[#This Row],[Billing Street]], ", ", Table1[[#This Row],[Billing City]], ", ", Table1[[#This Row],[Billing State/Province]], ", ", Table1[[#This Row],[Billing Zip/Postal Code]])</f>
        <v>109 S Camellia Blvd, Ste 101, Fort Valley, GA, 31030</v>
      </c>
    </row>
    <row r="2820" spans="1:13" ht="15.6" x14ac:dyDescent="0.3">
      <c r="A2820" s="1" t="s">
        <v>8589</v>
      </c>
      <c r="B2820" s="1"/>
      <c r="C2820" s="1"/>
      <c r="D2820" s="1"/>
      <c r="E2820" s="1"/>
      <c r="F2820" s="1"/>
      <c r="G2820" s="1" t="s">
        <v>24</v>
      </c>
      <c r="H2820" s="2">
        <v>276</v>
      </c>
      <c r="I2820" s="1" t="s">
        <v>8590</v>
      </c>
      <c r="J2820" s="1" t="s">
        <v>1668</v>
      </c>
      <c r="K2820" s="1" t="s">
        <v>36</v>
      </c>
      <c r="L2820" s="1" t="s">
        <v>7795</v>
      </c>
      <c r="M2820" s="6" t="str">
        <f>_xlfn.CONCAT(Table1[[#This Row],[Billing Street]], ", ", Table1[[#This Row],[Billing City]], ", ", Table1[[#This Row],[Billing State/Province]], ", ", Table1[[#This Row],[Billing Zip/Postal Code]])</f>
        <v>11618 Columbia Park Dr E., Jacksonville, FL, 32258</v>
      </c>
    </row>
    <row r="2821" spans="1:13" ht="15.6" x14ac:dyDescent="0.3">
      <c r="A2821" s="1" t="s">
        <v>8591</v>
      </c>
      <c r="B2821" s="1"/>
      <c r="C2821" s="1"/>
      <c r="D2821" s="1"/>
      <c r="E2821" s="1"/>
      <c r="F2821" s="1"/>
      <c r="G2821" s="1" t="s">
        <v>24</v>
      </c>
      <c r="H2821" s="2">
        <v>319</v>
      </c>
      <c r="I2821" s="1" t="s">
        <v>8592</v>
      </c>
      <c r="J2821" s="1" t="s">
        <v>3037</v>
      </c>
      <c r="K2821" s="1" t="s">
        <v>36</v>
      </c>
      <c r="L2821" s="1" t="s">
        <v>3480</v>
      </c>
      <c r="M2821" s="6" t="str">
        <f>_xlfn.CONCAT(Table1[[#This Row],[Billing Street]], ", ", Table1[[#This Row],[Billing City]], ", ", Table1[[#This Row],[Billing State/Province]], ", ", Table1[[#This Row],[Billing Zip/Postal Code]])</f>
        <v>3881 Old Winter Garden Rd, Orlando, FL, 32805</v>
      </c>
    </row>
    <row r="2822" spans="1:13" ht="15.6" x14ac:dyDescent="0.3">
      <c r="A2822" s="1" t="s">
        <v>8593</v>
      </c>
      <c r="B2822" s="1"/>
      <c r="C2822" s="1"/>
      <c r="D2822" s="1"/>
      <c r="E2822" s="1"/>
      <c r="F2822" s="1"/>
      <c r="G2822" s="1" t="s">
        <v>24</v>
      </c>
      <c r="H2822" s="2">
        <v>403</v>
      </c>
      <c r="I2822" s="1" t="s">
        <v>8594</v>
      </c>
      <c r="J2822" s="1" t="s">
        <v>8595</v>
      </c>
      <c r="K2822" s="1" t="s">
        <v>36</v>
      </c>
      <c r="L2822" s="1" t="s">
        <v>8596</v>
      </c>
      <c r="M2822" s="6" t="str">
        <f>_xlfn.CONCAT(Table1[[#This Row],[Billing Street]], ", ", Table1[[#This Row],[Billing City]], ", ", Table1[[#This Row],[Billing State/Province]], ", ", Table1[[#This Row],[Billing Zip/Postal Code]])</f>
        <v>3455 Airport West Dr., Vero Beach, FL, 32961</v>
      </c>
    </row>
    <row r="2823" spans="1:13" ht="15.6" x14ac:dyDescent="0.3">
      <c r="A2823" s="1" t="s">
        <v>8597</v>
      </c>
      <c r="B2823" s="1"/>
      <c r="C2823" s="1"/>
      <c r="D2823" s="1"/>
      <c r="E2823" s="1"/>
      <c r="F2823" s="1"/>
      <c r="G2823" s="1" t="s">
        <v>24</v>
      </c>
      <c r="H2823" s="2">
        <v>272</v>
      </c>
      <c r="I2823" s="1" t="s">
        <v>8598</v>
      </c>
      <c r="J2823" s="1" t="s">
        <v>8599</v>
      </c>
      <c r="K2823" s="1" t="s">
        <v>36</v>
      </c>
      <c r="L2823" s="1" t="s">
        <v>8600</v>
      </c>
      <c r="M2823" s="6" t="str">
        <f>_xlfn.CONCAT(Table1[[#This Row],[Billing Street]], ", ", Table1[[#This Row],[Billing City]], ", ", Table1[[#This Row],[Billing State/Province]], ", ", Table1[[#This Row],[Billing Zip/Postal Code]])</f>
        <v>855 Virgina Av, Palm Harbor, FL, 34683</v>
      </c>
    </row>
    <row r="2824" spans="1:13" ht="15.6" x14ac:dyDescent="0.3">
      <c r="A2824" s="1" t="s">
        <v>8601</v>
      </c>
      <c r="B2824" s="1"/>
      <c r="C2824" s="1"/>
      <c r="D2824" s="1"/>
      <c r="E2824" s="1"/>
      <c r="F2824" s="1"/>
      <c r="G2824" s="1" t="s">
        <v>24</v>
      </c>
      <c r="H2824" s="2">
        <v>266</v>
      </c>
      <c r="I2824" s="1" t="s">
        <v>8602</v>
      </c>
      <c r="J2824" s="1" t="s">
        <v>1668</v>
      </c>
      <c r="K2824" s="1" t="s">
        <v>36</v>
      </c>
      <c r="L2824" s="1" t="s">
        <v>8603</v>
      </c>
      <c r="M2824" s="6" t="str">
        <f>_xlfn.CONCAT(Table1[[#This Row],[Billing Street]], ", ", Table1[[#This Row],[Billing City]], ", ", Table1[[#This Row],[Billing State/Province]], ", ", Table1[[#This Row],[Billing Zip/Postal Code]])</f>
        <v>601 Crestwood St, Jacksonville, FL, 32208</v>
      </c>
    </row>
    <row r="2825" spans="1:13" ht="15.6" x14ac:dyDescent="0.3">
      <c r="A2825" s="1" t="s">
        <v>8604</v>
      </c>
      <c r="B2825" s="1"/>
      <c r="C2825" s="1"/>
      <c r="D2825" s="1"/>
      <c r="E2825" s="1"/>
      <c r="F2825" s="1"/>
      <c r="G2825" s="1" t="s">
        <v>24</v>
      </c>
      <c r="H2825" s="2">
        <v>306</v>
      </c>
      <c r="I2825" s="1" t="s">
        <v>8605</v>
      </c>
      <c r="J2825" s="1" t="s">
        <v>8606</v>
      </c>
      <c r="K2825" s="1" t="s">
        <v>36</v>
      </c>
      <c r="L2825" s="1" t="s">
        <v>8607</v>
      </c>
      <c r="M2825" s="6" t="str">
        <f>_xlfn.CONCAT(Table1[[#This Row],[Billing Street]], ", ", Table1[[#This Row],[Billing City]], ", ", Table1[[#This Row],[Billing State/Province]], ", ", Table1[[#This Row],[Billing Zip/Postal Code]])</f>
        <v>13830 Circa Crossing Dr, Lithia, FL, 33547</v>
      </c>
    </row>
    <row r="2826" spans="1:13" ht="15.6" hidden="1" x14ac:dyDescent="0.3">
      <c r="A2826" s="1" t="s">
        <v>8608</v>
      </c>
      <c r="B2826" s="1"/>
      <c r="C2826" s="1"/>
      <c r="D2826" s="1"/>
      <c r="E2826" s="1"/>
      <c r="F2826" s="1"/>
      <c r="G2826" s="1" t="s">
        <v>43</v>
      </c>
      <c r="H2826" s="2">
        <v>5776</v>
      </c>
      <c r="I2826" s="1" t="s">
        <v>13</v>
      </c>
      <c r="J2826" s="1" t="s">
        <v>13</v>
      </c>
      <c r="K2826" s="1" t="s">
        <v>671</v>
      </c>
      <c r="L2826" s="1" t="s">
        <v>13</v>
      </c>
      <c r="M2826" s="6" t="str">
        <f>_xlfn.CONCAT(Table1[[#This Row],[Billing Street]], ", ", Table1[[#This Row],[Billing City]], ", ", Table1[[#This Row],[Billing State/Province]], ", ", Table1[[#This Row],[Billing Zip/Postal Code]])</f>
        <v xml:space="preserve">, , NY, </v>
      </c>
    </row>
    <row r="2827" spans="1:13" ht="15.6" hidden="1" x14ac:dyDescent="0.3">
      <c r="A2827" s="1" t="s">
        <v>8609</v>
      </c>
      <c r="B2827" s="1"/>
      <c r="C2827" s="1"/>
      <c r="D2827" s="1"/>
      <c r="E2827" s="1"/>
      <c r="F2827" s="1"/>
      <c r="G2827" s="1" t="s">
        <v>43</v>
      </c>
      <c r="H2827" s="2">
        <v>5776</v>
      </c>
      <c r="I2827" s="1" t="s">
        <v>13</v>
      </c>
      <c r="J2827" s="1" t="s">
        <v>13</v>
      </c>
      <c r="K2827" s="1" t="s">
        <v>671</v>
      </c>
      <c r="L2827" s="1" t="s">
        <v>13</v>
      </c>
      <c r="M2827" s="6" t="str">
        <f>_xlfn.CONCAT(Table1[[#This Row],[Billing Street]], ", ", Table1[[#This Row],[Billing City]], ", ", Table1[[#This Row],[Billing State/Province]], ", ", Table1[[#This Row],[Billing Zip/Postal Code]])</f>
        <v xml:space="preserve">, , NY, </v>
      </c>
    </row>
    <row r="2828" spans="1:13" ht="15.6" x14ac:dyDescent="0.3">
      <c r="A2828" s="1" t="s">
        <v>8610</v>
      </c>
      <c r="B2828" s="1"/>
      <c r="C2828" s="1"/>
      <c r="D2828" s="1"/>
      <c r="E2828" s="1"/>
      <c r="F2828" s="1"/>
      <c r="G2828" s="1" t="s">
        <v>24</v>
      </c>
      <c r="H2828" s="2">
        <v>5988</v>
      </c>
      <c r="I2828" s="1" t="s">
        <v>8611</v>
      </c>
      <c r="J2828" s="1" t="s">
        <v>1668</v>
      </c>
      <c r="K2828" s="1" t="s">
        <v>36</v>
      </c>
      <c r="L2828" s="1" t="s">
        <v>13</v>
      </c>
      <c r="M2828" s="6" t="str">
        <f>_xlfn.CONCAT(Table1[[#This Row],[Billing Street]], ", ", Table1[[#This Row],[Billing City]], ", ", Table1[[#This Row],[Billing State/Province]], ", ", Table1[[#This Row],[Billing Zip/Postal Code]])</f>
        <v xml:space="preserve">5715 St,. Augustine Rd, Jacksonville, FL, </v>
      </c>
    </row>
    <row r="2829" spans="1:13" ht="15.6" x14ac:dyDescent="0.3">
      <c r="A2829" s="1" t="s">
        <v>8612</v>
      </c>
      <c r="B2829" s="1"/>
      <c r="C2829" s="1"/>
      <c r="D2829" s="1"/>
      <c r="E2829" s="1"/>
      <c r="F2829" s="1"/>
      <c r="G2829" s="1" t="s">
        <v>24</v>
      </c>
      <c r="H2829" s="2">
        <v>352</v>
      </c>
      <c r="I2829" s="1" t="s">
        <v>8613</v>
      </c>
      <c r="J2829" s="1" t="s">
        <v>8512</v>
      </c>
      <c r="K2829" s="1" t="s">
        <v>36</v>
      </c>
      <c r="L2829" s="1" t="s">
        <v>8614</v>
      </c>
      <c r="M2829" s="6" t="str">
        <f>_xlfn.CONCAT(Table1[[#This Row],[Billing Street]], ", ", Table1[[#This Row],[Billing City]], ", ", Table1[[#This Row],[Billing State/Province]], ", ", Table1[[#This Row],[Billing Zip/Postal Code]])</f>
        <v>Titan III Rd, Titusville, FL, 32780</v>
      </c>
    </row>
    <row r="2830" spans="1:13" ht="15.6" x14ac:dyDescent="0.3">
      <c r="A2830" s="1" t="s">
        <v>8615</v>
      </c>
      <c r="B2830" s="1"/>
      <c r="C2830" s="1"/>
      <c r="D2830" s="1"/>
      <c r="E2830" s="1"/>
      <c r="F2830" s="1"/>
      <c r="G2830" s="1" t="s">
        <v>24</v>
      </c>
      <c r="H2830" s="2">
        <v>66</v>
      </c>
      <c r="I2830" s="1" t="s">
        <v>8616</v>
      </c>
      <c r="J2830" s="1" t="s">
        <v>715</v>
      </c>
      <c r="K2830" s="1" t="s">
        <v>36</v>
      </c>
      <c r="L2830" s="1" t="s">
        <v>2957</v>
      </c>
      <c r="M2830" s="6" t="str">
        <f>_xlfn.CONCAT(Table1[[#This Row],[Billing Street]], ", ", Table1[[#This Row],[Billing City]], ", ", Table1[[#This Row],[Billing State/Province]], ", ", Table1[[#This Row],[Billing Zip/Postal Code]])</f>
        <v>11000 University Parkway Bldg 90/102, Pensacola, FL, 32514</v>
      </c>
    </row>
    <row r="2831" spans="1:13" ht="15.6" hidden="1" x14ac:dyDescent="0.3">
      <c r="A2831" s="1" t="s">
        <v>8617</v>
      </c>
      <c r="B2831" s="1"/>
      <c r="C2831" s="1"/>
      <c r="D2831" s="1"/>
      <c r="E2831" s="1"/>
      <c r="F2831" s="1"/>
      <c r="G2831" s="1" t="s">
        <v>43</v>
      </c>
      <c r="H2831" s="2">
        <v>5776</v>
      </c>
      <c r="I2831" s="1" t="s">
        <v>13</v>
      </c>
      <c r="J2831" s="1" t="s">
        <v>13</v>
      </c>
      <c r="K2831" s="1" t="s">
        <v>671</v>
      </c>
      <c r="L2831" s="1" t="s">
        <v>13</v>
      </c>
      <c r="M2831" s="6" t="str">
        <f>_xlfn.CONCAT(Table1[[#This Row],[Billing Street]], ", ", Table1[[#This Row],[Billing City]], ", ", Table1[[#This Row],[Billing State/Province]], ", ", Table1[[#This Row],[Billing Zip/Postal Code]])</f>
        <v xml:space="preserve">, , NY, </v>
      </c>
    </row>
    <row r="2832" spans="1:13" ht="15.6" hidden="1" x14ac:dyDescent="0.3">
      <c r="A2832" s="1" t="s">
        <v>8618</v>
      </c>
      <c r="B2832" s="1"/>
      <c r="C2832" s="1"/>
      <c r="D2832" s="1"/>
      <c r="E2832" s="1"/>
      <c r="F2832" s="1"/>
      <c r="G2832" s="1" t="s">
        <v>8</v>
      </c>
      <c r="H2832" s="2">
        <v>339</v>
      </c>
      <c r="I2832" s="1" t="s">
        <v>8619</v>
      </c>
      <c r="J2832" s="1" t="s">
        <v>1232</v>
      </c>
      <c r="K2832" s="1" t="s">
        <v>21</v>
      </c>
      <c r="L2832" s="1" t="s">
        <v>8620</v>
      </c>
      <c r="M2832" s="6" t="str">
        <f>_xlfn.CONCAT(Table1[[#This Row],[Billing Street]], ", ", Table1[[#This Row],[Billing City]], ", ", Table1[[#This Row],[Billing State/Province]], ", ", Table1[[#This Row],[Billing Zip/Postal Code]])</f>
        <v>409 6th St, West Point, IA, 52656</v>
      </c>
    </row>
    <row r="2833" spans="1:13" ht="15.6" hidden="1" x14ac:dyDescent="0.3">
      <c r="A2833" s="1" t="s">
        <v>8621</v>
      </c>
      <c r="B2833" s="1"/>
      <c r="C2833" s="1"/>
      <c r="D2833" s="1"/>
      <c r="E2833" s="1"/>
      <c r="F2833" s="1"/>
      <c r="G2833" s="1" t="s">
        <v>8</v>
      </c>
      <c r="H2833" s="2">
        <v>414</v>
      </c>
      <c r="I2833" s="1" t="s">
        <v>8622</v>
      </c>
      <c r="J2833" s="1" t="s">
        <v>8623</v>
      </c>
      <c r="K2833" s="1" t="s">
        <v>21</v>
      </c>
      <c r="L2833" s="1" t="s">
        <v>8624</v>
      </c>
      <c r="M2833" s="6" t="str">
        <f>_xlfn.CONCAT(Table1[[#This Row],[Billing Street]], ", ", Table1[[#This Row],[Billing City]], ", ", Table1[[#This Row],[Billing State/Province]], ", ", Table1[[#This Row],[Billing Zip/Postal Code]])</f>
        <v>301 South Broadway, West Bend, IA, 50597</v>
      </c>
    </row>
    <row r="2834" spans="1:13" ht="15.6" hidden="1" x14ac:dyDescent="0.3">
      <c r="A2834" s="1" t="s">
        <v>8625</v>
      </c>
      <c r="B2834" s="1"/>
      <c r="C2834" s="1"/>
      <c r="D2834" s="1"/>
      <c r="E2834" s="1"/>
      <c r="F2834" s="1"/>
      <c r="G2834" s="1" t="s">
        <v>8</v>
      </c>
      <c r="H2834" s="2">
        <v>363</v>
      </c>
      <c r="I2834" s="1" t="s">
        <v>8626</v>
      </c>
      <c r="J2834" s="1" t="s">
        <v>8627</v>
      </c>
      <c r="K2834" s="1" t="s">
        <v>21</v>
      </c>
      <c r="L2834" s="1" t="s">
        <v>8628</v>
      </c>
      <c r="M2834" s="6" t="str">
        <f>_xlfn.CONCAT(Table1[[#This Row],[Billing Street]], ", ", Table1[[#This Row],[Billing City]], ", ", Table1[[#This Row],[Billing State/Province]], ", ", Table1[[#This Row],[Billing Zip/Postal Code]])</f>
        <v>102 Boyer St, Wall Lake, IA, 51466</v>
      </c>
    </row>
    <row r="2835" spans="1:13" ht="15.6" hidden="1" x14ac:dyDescent="0.3">
      <c r="A2835" s="1" t="s">
        <v>8629</v>
      </c>
      <c r="B2835" s="1"/>
      <c r="C2835" s="1"/>
      <c r="D2835" s="1"/>
      <c r="E2835" s="1"/>
      <c r="F2835" s="1"/>
      <c r="G2835" s="1" t="s">
        <v>54</v>
      </c>
      <c r="H2835" s="2">
        <v>102</v>
      </c>
      <c r="I2835" s="1" t="s">
        <v>8630</v>
      </c>
      <c r="J2835" s="1" t="s">
        <v>202</v>
      </c>
      <c r="K2835" s="1" t="s">
        <v>57</v>
      </c>
      <c r="L2835" s="1" t="s">
        <v>8631</v>
      </c>
      <c r="M2835" s="6" t="str">
        <f>_xlfn.CONCAT(Table1[[#This Row],[Billing Street]], ", ", Table1[[#This Row],[Billing City]], ", ", Table1[[#This Row],[Billing State/Province]], ", ", Table1[[#This Row],[Billing Zip/Postal Code]])</f>
        <v>315 30th St., Bakersfield, CA, 93301</v>
      </c>
    </row>
    <row r="2836" spans="1:13" ht="15.6" hidden="1" x14ac:dyDescent="0.3">
      <c r="A2836" s="1" t="s">
        <v>8632</v>
      </c>
      <c r="B2836" s="1"/>
      <c r="C2836" s="1"/>
      <c r="D2836" s="1"/>
      <c r="E2836" s="1"/>
      <c r="F2836" s="1"/>
      <c r="G2836" s="1" t="s">
        <v>8</v>
      </c>
      <c r="H2836" s="2">
        <v>443</v>
      </c>
      <c r="I2836" s="1" t="s">
        <v>8633</v>
      </c>
      <c r="J2836" s="1" t="s">
        <v>8634</v>
      </c>
      <c r="K2836" s="1" t="s">
        <v>21</v>
      </c>
      <c r="L2836" s="1" t="s">
        <v>8635</v>
      </c>
      <c r="M2836" s="6" t="str">
        <f>_xlfn.CONCAT(Table1[[#This Row],[Billing Street]], ", ", Table1[[#This Row],[Billing City]], ", ", Table1[[#This Row],[Billing State/Province]], ", ", Table1[[#This Row],[Billing Zip/Postal Code]])</f>
        <v>105 Wapsie St, Sumner, IA, 50674</v>
      </c>
    </row>
    <row r="2837" spans="1:13" ht="15.6" hidden="1" x14ac:dyDescent="0.3">
      <c r="A2837" s="1" t="s">
        <v>8636</v>
      </c>
      <c r="B2837" s="1"/>
      <c r="C2837" s="1"/>
      <c r="D2837" s="1"/>
      <c r="E2837" s="1"/>
      <c r="F2837" s="1"/>
      <c r="G2837" s="1" t="s">
        <v>8</v>
      </c>
      <c r="H2837" s="2">
        <v>316</v>
      </c>
      <c r="I2837" s="1" t="s">
        <v>8637</v>
      </c>
      <c r="J2837" s="1" t="s">
        <v>8638</v>
      </c>
      <c r="K2837" s="1" t="s">
        <v>21</v>
      </c>
      <c r="L2837" s="1" t="s">
        <v>8639</v>
      </c>
      <c r="M2837" s="6" t="str">
        <f>_xlfn.CONCAT(Table1[[#This Row],[Billing Street]], ", ", Table1[[#This Row],[Billing City]], ", ", Table1[[#This Row],[Billing State/Province]], ", ", Table1[[#This Row],[Billing Zip/Postal Code]])</f>
        <v>119 Front St, Stuart, IA, 50250</v>
      </c>
    </row>
    <row r="2838" spans="1:13" ht="15.6" hidden="1" x14ac:dyDescent="0.3">
      <c r="A2838" s="1" t="s">
        <v>8640</v>
      </c>
      <c r="B2838" s="1"/>
      <c r="C2838" s="1"/>
      <c r="D2838" s="1"/>
      <c r="E2838" s="1"/>
      <c r="F2838" s="1"/>
      <c r="G2838" s="1" t="s">
        <v>8</v>
      </c>
      <c r="H2838" s="2">
        <v>446</v>
      </c>
      <c r="I2838" s="1" t="s">
        <v>8641</v>
      </c>
      <c r="J2838" s="1" t="s">
        <v>8642</v>
      </c>
      <c r="K2838" s="1" t="s">
        <v>21</v>
      </c>
      <c r="L2838" s="1" t="s">
        <v>8643</v>
      </c>
      <c r="M2838" s="6" t="str">
        <f>_xlfn.CONCAT(Table1[[#This Row],[Billing Street]], ", ", Table1[[#This Row],[Billing City]], ", ", Table1[[#This Row],[Billing State/Province]], ", ", Table1[[#This Row],[Billing Zip/Postal Code]])</f>
        <v>111 Commercial St, Strawberry Point, IA, 52076</v>
      </c>
    </row>
    <row r="2839" spans="1:13" ht="15.6" hidden="1" x14ac:dyDescent="0.3">
      <c r="A2839" s="1" t="s">
        <v>8644</v>
      </c>
      <c r="B2839" s="1"/>
      <c r="C2839" s="1"/>
      <c r="D2839" s="1"/>
      <c r="E2839" s="1"/>
      <c r="F2839" s="1"/>
      <c r="G2839" s="1" t="s">
        <v>8</v>
      </c>
      <c r="H2839" s="2">
        <v>373</v>
      </c>
      <c r="I2839" s="1" t="s">
        <v>8645</v>
      </c>
      <c r="J2839" s="1" t="s">
        <v>8646</v>
      </c>
      <c r="K2839" s="1" t="s">
        <v>21</v>
      </c>
      <c r="L2839" s="1" t="s">
        <v>8647</v>
      </c>
      <c r="M2839" s="6" t="str">
        <f>_xlfn.CONCAT(Table1[[#This Row],[Billing Street]], ", ", Table1[[#This Row],[Billing City]], ", ", Table1[[#This Row],[Billing State/Province]], ", ", Table1[[#This Row],[Billing Zip/Postal Code]])</f>
        <v>805 Shakespeare Avenue, Stratford, IA, 50249</v>
      </c>
    </row>
    <row r="2840" spans="1:13" ht="15.6" hidden="1" x14ac:dyDescent="0.3">
      <c r="A2840" s="1" t="s">
        <v>8648</v>
      </c>
      <c r="B2840" s="1"/>
      <c r="C2840" s="1"/>
      <c r="D2840" s="1"/>
      <c r="E2840" s="1"/>
      <c r="F2840" s="1"/>
      <c r="G2840" s="1" t="s">
        <v>8</v>
      </c>
      <c r="H2840" s="2">
        <v>368</v>
      </c>
      <c r="I2840" s="1" t="s">
        <v>8649</v>
      </c>
      <c r="J2840" s="1" t="s">
        <v>8650</v>
      </c>
      <c r="K2840" s="1" t="s">
        <v>21</v>
      </c>
      <c r="L2840" s="1" t="s">
        <v>8651</v>
      </c>
      <c r="M2840" s="6" t="str">
        <f>_xlfn.CONCAT(Table1[[#This Row],[Billing Street]], ", ", Table1[[#This Row],[Billing City]], ", ", Table1[[#This Row],[Billing State/Province]], ", ", Table1[[#This Row],[Billing Zip/Postal Code]])</f>
        <v>103 2nd St NE, State Center, IA, 50247</v>
      </c>
    </row>
    <row r="2841" spans="1:13" ht="15.6" hidden="1" x14ac:dyDescent="0.3">
      <c r="A2841" s="1" t="s">
        <v>8652</v>
      </c>
      <c r="B2841" s="1"/>
      <c r="C2841" s="1"/>
      <c r="D2841" s="1"/>
      <c r="E2841" s="1"/>
      <c r="F2841" s="1"/>
      <c r="G2841" s="1" t="s">
        <v>8</v>
      </c>
      <c r="H2841" s="2">
        <v>453</v>
      </c>
      <c r="I2841" s="1" t="s">
        <v>8653</v>
      </c>
      <c r="J2841" s="1" t="s">
        <v>8654</v>
      </c>
      <c r="K2841" s="1" t="s">
        <v>21</v>
      </c>
      <c r="L2841" s="1" t="s">
        <v>8655</v>
      </c>
      <c r="M2841" s="6" t="str">
        <f>_xlfn.CONCAT(Table1[[#This Row],[Billing Street]], ", ", Table1[[#This Row],[Billing City]], ", ", Table1[[#This Row],[Billing State/Province]], ", ", Table1[[#This Row],[Billing Zip/Postal Code]])</f>
        <v>411 Broad St, Sabula, IA, 52070</v>
      </c>
    </row>
    <row r="2842" spans="1:13" ht="15.6" hidden="1" x14ac:dyDescent="0.3">
      <c r="A2842" s="1" t="s">
        <v>8656</v>
      </c>
      <c r="B2842" s="1"/>
      <c r="C2842" s="1"/>
      <c r="D2842" s="1"/>
      <c r="E2842" s="1"/>
      <c r="F2842" s="1"/>
      <c r="G2842" s="1" t="s">
        <v>8</v>
      </c>
      <c r="H2842" s="2">
        <v>439</v>
      </c>
      <c r="I2842" s="1" t="s">
        <v>8657</v>
      </c>
      <c r="J2842" s="1" t="s">
        <v>3754</v>
      </c>
      <c r="K2842" s="1" t="s">
        <v>21</v>
      </c>
      <c r="L2842" s="1" t="s">
        <v>8658</v>
      </c>
      <c r="M2842" s="6" t="str">
        <f>_xlfn.CONCAT(Table1[[#This Row],[Billing Street]], ", ", Table1[[#This Row],[Billing City]], ", ", Table1[[#This Row],[Billing State/Province]], ", ", Table1[[#This Row],[Billing Zip/Postal Code]])</f>
        <v>18 1st St S, Rockford, IA, 50468</v>
      </c>
    </row>
    <row r="2843" spans="1:13" ht="15.6" hidden="1" x14ac:dyDescent="0.3">
      <c r="A2843" s="1" t="s">
        <v>8659</v>
      </c>
      <c r="B2843" s="1"/>
      <c r="C2843" s="1"/>
      <c r="D2843" s="1"/>
      <c r="E2843" s="1"/>
      <c r="F2843" s="1"/>
      <c r="G2843" s="1" t="s">
        <v>8</v>
      </c>
      <c r="H2843" s="2">
        <v>409</v>
      </c>
      <c r="I2843" s="1" t="s">
        <v>8660</v>
      </c>
      <c r="J2843" s="1" t="s">
        <v>8661</v>
      </c>
      <c r="K2843" s="1" t="s">
        <v>21</v>
      </c>
      <c r="L2843" s="1" t="s">
        <v>8662</v>
      </c>
      <c r="M2843" s="6" t="str">
        <f>_xlfn.CONCAT(Table1[[#This Row],[Billing Street]], ", ", Table1[[#This Row],[Billing City]], ", ", Table1[[#This Row],[Billing State/Province]], ", ", Table1[[#This Row],[Billing Zip/Postal Code]])</f>
        <v>503 Main St, Renwick, IA, 50577</v>
      </c>
    </row>
    <row r="2844" spans="1:13" ht="15.6" hidden="1" x14ac:dyDescent="0.3">
      <c r="A2844" s="1" t="s">
        <v>8663</v>
      </c>
      <c r="B2844" s="1"/>
      <c r="C2844" s="1"/>
      <c r="D2844" s="1"/>
      <c r="E2844" s="1"/>
      <c r="F2844" s="1"/>
      <c r="G2844" s="1" t="s">
        <v>8</v>
      </c>
      <c r="H2844" s="2">
        <v>442</v>
      </c>
      <c r="I2844" s="1" t="s">
        <v>8664</v>
      </c>
      <c r="J2844" s="1" t="s">
        <v>5798</v>
      </c>
      <c r="K2844" s="1" t="s">
        <v>21</v>
      </c>
      <c r="L2844" s="1" t="s">
        <v>5799</v>
      </c>
      <c r="M2844" s="6" t="str">
        <f>_xlfn.CONCAT(Table1[[#This Row],[Billing Street]], ", ", Table1[[#This Row],[Billing City]], ", ", Table1[[#This Row],[Billing State/Province]], ", ", Table1[[#This Row],[Billing Zip/Postal Code]])</f>
        <v>1302 S Union St, Rock Rapids, IA, 51246</v>
      </c>
    </row>
    <row r="2845" spans="1:13" ht="15.6" hidden="1" x14ac:dyDescent="0.3">
      <c r="A2845" s="1" t="s">
        <v>8665</v>
      </c>
      <c r="B2845" s="1"/>
      <c r="C2845" s="1"/>
      <c r="D2845" s="1"/>
      <c r="E2845" s="1"/>
      <c r="F2845" s="1"/>
      <c r="G2845" s="1" t="s">
        <v>8</v>
      </c>
      <c r="H2845" s="2">
        <v>407</v>
      </c>
      <c r="I2845" s="1" t="s">
        <v>8666</v>
      </c>
      <c r="J2845" s="1" t="s">
        <v>8667</v>
      </c>
      <c r="K2845" s="1" t="s">
        <v>21</v>
      </c>
      <c r="L2845" s="1" t="s">
        <v>8668</v>
      </c>
      <c r="M2845" s="6" t="str">
        <f>_xlfn.CONCAT(Table1[[#This Row],[Billing Street]], ", ", Table1[[#This Row],[Billing City]], ", ", Table1[[#This Row],[Billing State/Province]], ", ", Table1[[#This Row],[Billing Zip/Postal Code]])</f>
        <v>540 Main St, Dike, IA, 50624</v>
      </c>
    </row>
    <row r="2846" spans="1:13" ht="15.6" hidden="1" x14ac:dyDescent="0.3">
      <c r="A2846" s="1" t="s">
        <v>8669</v>
      </c>
      <c r="B2846" s="1"/>
      <c r="C2846" s="1"/>
      <c r="D2846" s="1"/>
      <c r="E2846" s="1"/>
      <c r="F2846" s="1"/>
      <c r="G2846" s="1" t="s">
        <v>8</v>
      </c>
      <c r="H2846" s="2">
        <v>431</v>
      </c>
      <c r="I2846" s="1" t="s">
        <v>8670</v>
      </c>
      <c r="J2846" s="1" t="s">
        <v>8671</v>
      </c>
      <c r="K2846" s="1" t="s">
        <v>21</v>
      </c>
      <c r="L2846" s="1" t="s">
        <v>8672</v>
      </c>
      <c r="M2846" s="6" t="str">
        <f>_xlfn.CONCAT(Table1[[#This Row],[Billing Street]], ", ", Table1[[#This Row],[Billing City]], ", ", Table1[[#This Row],[Billing State/Province]], ", ", Table1[[#This Row],[Billing Zip/Postal Code]])</f>
        <v>128 Main Street, Readlyn, IA, 50668</v>
      </c>
    </row>
    <row r="2847" spans="1:13" ht="15.6" hidden="1" x14ac:dyDescent="0.3">
      <c r="A2847" s="1" t="s">
        <v>8673</v>
      </c>
      <c r="B2847" s="1"/>
      <c r="C2847" s="1"/>
      <c r="D2847" s="1"/>
      <c r="E2847" s="1"/>
      <c r="F2847" s="1"/>
      <c r="G2847" s="1" t="s">
        <v>8</v>
      </c>
      <c r="H2847" s="2">
        <v>418</v>
      </c>
      <c r="I2847" s="1" t="s">
        <v>8674</v>
      </c>
      <c r="J2847" s="1" t="s">
        <v>8675</v>
      </c>
      <c r="K2847" s="1" t="s">
        <v>21</v>
      </c>
      <c r="L2847" s="1" t="s">
        <v>8676</v>
      </c>
      <c r="M2847" s="6" t="str">
        <f>_xlfn.CONCAT(Table1[[#This Row],[Billing Street]], ", ", Table1[[#This Row],[Billing City]], ", ", Table1[[#This Row],[Billing State/Province]], ", ", Table1[[#This Row],[Billing Zip/Postal Code]])</f>
        <v>160 S. HAYES AVE, Primghar, IA, 51245</v>
      </c>
    </row>
    <row r="2848" spans="1:13" ht="15.6" hidden="1" x14ac:dyDescent="0.3">
      <c r="A2848" s="1" t="s">
        <v>8677</v>
      </c>
      <c r="B2848" s="1"/>
      <c r="C2848" s="1"/>
      <c r="D2848" s="1"/>
      <c r="E2848" s="1"/>
      <c r="F2848" s="1"/>
      <c r="G2848" s="1" t="s">
        <v>8</v>
      </c>
      <c r="H2848" s="2">
        <v>397</v>
      </c>
      <c r="I2848" s="1" t="s">
        <v>8678</v>
      </c>
      <c r="J2848" s="1" t="s">
        <v>8679</v>
      </c>
      <c r="K2848" s="1" t="s">
        <v>21</v>
      </c>
      <c r="L2848" s="1" t="s">
        <v>8680</v>
      </c>
      <c r="M2848" s="6" t="str">
        <f>_xlfn.CONCAT(Table1[[#This Row],[Billing Street]], ", ", Table1[[#This Row],[Billing City]], ", ", Table1[[#This Row],[Billing State/Province]], ", ", Table1[[#This Row],[Billing Zip/Postal Code]])</f>
        <v>23 W Elm Ave, Pocahontas, IA, 50574</v>
      </c>
    </row>
    <row r="2849" spans="1:13" ht="15.6" hidden="1" x14ac:dyDescent="0.3">
      <c r="A2849" s="1" t="s">
        <v>8681</v>
      </c>
      <c r="B2849" s="1"/>
      <c r="C2849" s="1"/>
      <c r="D2849" s="1"/>
      <c r="E2849" s="1"/>
      <c r="F2849" s="1"/>
      <c r="G2849" s="1" t="s">
        <v>8</v>
      </c>
      <c r="H2849" s="2">
        <v>411</v>
      </c>
      <c r="I2849" s="1" t="s">
        <v>8682</v>
      </c>
      <c r="J2849" s="1" t="s">
        <v>8683</v>
      </c>
      <c r="K2849" s="1" t="s">
        <v>21</v>
      </c>
      <c r="L2849" s="1" t="s">
        <v>8684</v>
      </c>
      <c r="M2849" s="6" t="str">
        <f>_xlfn.CONCAT(Table1[[#This Row],[Billing Street]], ", ", Table1[[#This Row],[Billing City]], ", ", Table1[[#This Row],[Billing State/Province]], ", ", Table1[[#This Row],[Billing Zip/Postal Code]])</f>
        <v>127 S. Main St., Paullina, IA, 51046</v>
      </c>
    </row>
    <row r="2850" spans="1:13" ht="15.6" hidden="1" x14ac:dyDescent="0.3">
      <c r="A2850" s="1" t="s">
        <v>8685</v>
      </c>
      <c r="B2850" s="1"/>
      <c r="C2850" s="1"/>
      <c r="D2850" s="1"/>
      <c r="E2850" s="1"/>
      <c r="F2850" s="1"/>
      <c r="G2850" s="1" t="s">
        <v>8</v>
      </c>
      <c r="H2850" s="2">
        <v>362</v>
      </c>
      <c r="I2850" s="1" t="s">
        <v>8686</v>
      </c>
      <c r="J2850" s="1" t="s">
        <v>8687</v>
      </c>
      <c r="K2850" s="1" t="s">
        <v>21</v>
      </c>
      <c r="L2850" s="1" t="s">
        <v>8688</v>
      </c>
      <c r="M2850" s="6" t="str">
        <f>_xlfn.CONCAT(Table1[[#This Row],[Billing Street]], ", ", Table1[[#This Row],[Billing City]], ", ", Table1[[#This Row],[Billing State/Province]], ", ", Table1[[#This Row],[Billing Zip/Postal Code]])</f>
        <v>219 S Main St, Paton, IA, 50217</v>
      </c>
    </row>
    <row r="2851" spans="1:13" ht="15.6" hidden="1" x14ac:dyDescent="0.3">
      <c r="A2851" s="1" t="s">
        <v>8689</v>
      </c>
      <c r="B2851" s="1"/>
      <c r="C2851" s="1"/>
      <c r="D2851" s="1"/>
      <c r="E2851" s="1"/>
      <c r="F2851" s="1"/>
      <c r="G2851" s="1" t="s">
        <v>8</v>
      </c>
      <c r="H2851" s="2">
        <v>476</v>
      </c>
      <c r="I2851" s="1" t="s">
        <v>8690</v>
      </c>
      <c r="J2851" s="1" t="s">
        <v>8404</v>
      </c>
      <c r="K2851" s="1" t="s">
        <v>21</v>
      </c>
      <c r="L2851" s="1" t="s">
        <v>8691</v>
      </c>
      <c r="M2851" s="6" t="str">
        <f>_xlfn.CONCAT(Table1[[#This Row],[Billing Street]], ", ", Table1[[#This Row],[Billing City]], ", ", Table1[[#This Row],[Billing State/Province]], ", ", Table1[[#This Row],[Billing Zip/Postal Code]])</f>
        <v>126 1st St, McGregor, IA, 52157</v>
      </c>
    </row>
    <row r="2852" spans="1:13" ht="15.6" hidden="1" x14ac:dyDescent="0.3">
      <c r="A2852" s="1" t="s">
        <v>8692</v>
      </c>
      <c r="B2852" s="1"/>
      <c r="C2852" s="1"/>
      <c r="D2852" s="1"/>
      <c r="E2852" s="1"/>
      <c r="F2852" s="1"/>
      <c r="G2852" s="1" t="s">
        <v>43</v>
      </c>
      <c r="H2852" s="2">
        <v>5776</v>
      </c>
      <c r="I2852" s="1" t="s">
        <v>13</v>
      </c>
      <c r="J2852" s="1" t="s">
        <v>13</v>
      </c>
      <c r="K2852" s="1" t="s">
        <v>671</v>
      </c>
      <c r="L2852" s="1" t="s">
        <v>13</v>
      </c>
      <c r="M2852" s="6" t="str">
        <f>_xlfn.CONCAT(Table1[[#This Row],[Billing Street]], ", ", Table1[[#This Row],[Billing City]], ", ", Table1[[#This Row],[Billing State/Province]], ", ", Table1[[#This Row],[Billing Zip/Postal Code]])</f>
        <v xml:space="preserve">, , NY, </v>
      </c>
    </row>
    <row r="2853" spans="1:13" ht="15.6" hidden="1" x14ac:dyDescent="0.3">
      <c r="A2853" s="1" t="s">
        <v>8693</v>
      </c>
      <c r="B2853" s="1"/>
      <c r="C2853" s="1"/>
      <c r="D2853" s="1"/>
      <c r="E2853" s="1"/>
      <c r="F2853" s="1"/>
      <c r="G2853" s="1" t="s">
        <v>8</v>
      </c>
      <c r="H2853" s="2">
        <v>404</v>
      </c>
      <c r="I2853" s="1" t="s">
        <v>8694</v>
      </c>
      <c r="J2853" s="1" t="s">
        <v>8695</v>
      </c>
      <c r="K2853" s="1" t="s">
        <v>21</v>
      </c>
      <c r="L2853" s="1" t="s">
        <v>8696</v>
      </c>
      <c r="M2853" s="6" t="str">
        <f>_xlfn.CONCAT(Table1[[#This Row],[Billing Street]], ", ", Table1[[#This Row],[Billing City]], ", ", Table1[[#This Row],[Billing State/Province]], ", ", Table1[[#This Row],[Billing Zip/Postal Code]])</f>
        <v>306 W Attica St, Marathon, IA, 50565</v>
      </c>
    </row>
    <row r="2854" spans="1:13" ht="15.6" hidden="1" x14ac:dyDescent="0.3">
      <c r="A2854" s="1" t="s">
        <v>8697</v>
      </c>
      <c r="B2854" s="1"/>
      <c r="C2854" s="1"/>
      <c r="D2854" s="1"/>
      <c r="E2854" s="1"/>
      <c r="F2854" s="1"/>
      <c r="G2854" s="1" t="s">
        <v>8</v>
      </c>
      <c r="H2854" s="2">
        <v>396</v>
      </c>
      <c r="I2854" s="1" t="s">
        <v>8698</v>
      </c>
      <c r="J2854" s="1" t="s">
        <v>8699</v>
      </c>
      <c r="K2854" s="1" t="s">
        <v>21</v>
      </c>
      <c r="L2854" s="1" t="s">
        <v>8700</v>
      </c>
      <c r="M2854" s="6" t="str">
        <f>_xlfn.CONCAT(Table1[[#This Row],[Billing Street]], ", ", Table1[[#This Row],[Billing City]], ", ", Table1[[#This Row],[Billing State/Province]], ", ", Table1[[#This Row],[Billing Zip/Postal Code]])</f>
        <v>31002 C38, Le Mars, IA, 51031</v>
      </c>
    </row>
    <row r="2855" spans="1:13" ht="15.6" x14ac:dyDescent="0.3">
      <c r="A2855" s="1" t="s">
        <v>8701</v>
      </c>
      <c r="B2855" s="1"/>
      <c r="C2855" s="1"/>
      <c r="D2855" s="1"/>
      <c r="E2855" s="1"/>
      <c r="F2855" s="1"/>
      <c r="G2855" s="1" t="s">
        <v>24</v>
      </c>
      <c r="H2855" s="2">
        <v>45</v>
      </c>
      <c r="I2855" s="1" t="s">
        <v>8702</v>
      </c>
      <c r="J2855" s="1" t="s">
        <v>1699</v>
      </c>
      <c r="K2855" s="1" t="s">
        <v>36</v>
      </c>
      <c r="L2855" s="1" t="s">
        <v>3365</v>
      </c>
      <c r="M2855" s="6" t="str">
        <f>_xlfn.CONCAT(Table1[[#This Row],[Billing Street]], ", ", Table1[[#This Row],[Billing City]], ", ", Table1[[#This Row],[Billing State/Province]], ", ", Table1[[#This Row],[Billing Zip/Postal Code]])</f>
        <v>1716 Frankford Ave, Panama City, FL 32405, Panama City, FL, 32405</v>
      </c>
    </row>
    <row r="2856" spans="1:13" ht="15.6" x14ac:dyDescent="0.3">
      <c r="A2856" s="1" t="s">
        <v>8703</v>
      </c>
      <c r="B2856" s="1"/>
      <c r="C2856" s="1"/>
      <c r="D2856" s="1"/>
      <c r="E2856" s="1"/>
      <c r="F2856" s="1"/>
      <c r="G2856" s="1" t="s">
        <v>24</v>
      </c>
      <c r="H2856" s="2">
        <v>36</v>
      </c>
      <c r="I2856" s="1" t="s">
        <v>8704</v>
      </c>
      <c r="J2856" s="1" t="s">
        <v>1699</v>
      </c>
      <c r="K2856" s="1" t="s">
        <v>36</v>
      </c>
      <c r="L2856" s="1" t="s">
        <v>8705</v>
      </c>
      <c r="M2856" s="6" t="str">
        <f>_xlfn.CONCAT(Table1[[#This Row],[Billing Street]], ", ", Table1[[#This Row],[Billing City]], ", ", Table1[[#This Row],[Billing State/Province]], ", ", Table1[[#This Row],[Billing Zip/Postal Code]])</f>
        <v>17601 Ashley Dr, Panama City, FL, 32413</v>
      </c>
    </row>
    <row r="2857" spans="1:13" ht="15.6" hidden="1" x14ac:dyDescent="0.3">
      <c r="A2857" s="1" t="s">
        <v>8706</v>
      </c>
      <c r="B2857" s="1"/>
      <c r="C2857" s="1"/>
      <c r="D2857" s="1"/>
      <c r="E2857" s="1"/>
      <c r="F2857" s="1"/>
      <c r="G2857" s="1" t="s">
        <v>8</v>
      </c>
      <c r="H2857" s="2">
        <v>420</v>
      </c>
      <c r="I2857" s="1" t="s">
        <v>8707</v>
      </c>
      <c r="J2857" s="1" t="s">
        <v>8708</v>
      </c>
      <c r="K2857" s="1" t="s">
        <v>21</v>
      </c>
      <c r="L2857" s="1" t="s">
        <v>8709</v>
      </c>
      <c r="M2857" s="6" t="str">
        <f>_xlfn.CONCAT(Table1[[#This Row],[Billing Street]], ", ", Table1[[#This Row],[Billing City]], ", ", Table1[[#This Row],[Billing State/Province]], ", ", Table1[[#This Row],[Billing Zip/Postal Code]])</f>
        <v>104 S 1st St, Long Grove, IA, 52756</v>
      </c>
    </row>
    <row r="2858" spans="1:13" ht="15.6" hidden="1" x14ac:dyDescent="0.3">
      <c r="A2858" s="1" t="s">
        <v>8710</v>
      </c>
      <c r="B2858" s="1"/>
      <c r="C2858" s="1"/>
      <c r="D2858" s="1"/>
      <c r="E2858" s="1"/>
      <c r="F2858" s="1"/>
      <c r="G2858" s="1" t="s">
        <v>8</v>
      </c>
      <c r="H2858" s="2">
        <v>410</v>
      </c>
      <c r="I2858" s="1" t="s">
        <v>8711</v>
      </c>
      <c r="J2858" s="1" t="s">
        <v>8712</v>
      </c>
      <c r="K2858" s="1" t="s">
        <v>21</v>
      </c>
      <c r="L2858" s="1" t="s">
        <v>8713</v>
      </c>
      <c r="M2858" s="6" t="str">
        <f>_xlfn.CONCAT(Table1[[#This Row],[Billing Street]], ", ", Table1[[#This Row],[Billing City]], ", ", Table1[[#This Row],[Billing State/Province]], ", ", Table1[[#This Row],[Billing Zip/Postal Code]])</f>
        <v>501 4th St, Livermore, IA, 50558</v>
      </c>
    </row>
    <row r="2859" spans="1:13" ht="15.6" hidden="1" x14ac:dyDescent="0.3">
      <c r="A2859" s="1" t="s">
        <v>8714</v>
      </c>
      <c r="B2859" s="1"/>
      <c r="C2859" s="1"/>
      <c r="D2859" s="1"/>
      <c r="E2859" s="1"/>
      <c r="F2859" s="1"/>
      <c r="G2859" s="1" t="s">
        <v>8</v>
      </c>
      <c r="H2859" s="2">
        <v>455</v>
      </c>
      <c r="I2859" s="1" t="s">
        <v>8715</v>
      </c>
      <c r="J2859" s="1" t="s">
        <v>8716</v>
      </c>
      <c r="K2859" s="1" t="s">
        <v>21</v>
      </c>
      <c r="L2859" s="1" t="s">
        <v>8717</v>
      </c>
      <c r="M2859" s="6" t="str">
        <f>_xlfn.CONCAT(Table1[[#This Row],[Billing Street]], ", ", Table1[[#This Row],[Billing City]], ", ", Table1[[#This Row],[Billing State/Province]], ", ", Table1[[#This Row],[Billing Zip/Postal Code]])</f>
        <v>414 E Grove St, Lawler, IA, 52154</v>
      </c>
    </row>
    <row r="2860" spans="1:13" ht="15.6" hidden="1" x14ac:dyDescent="0.3">
      <c r="A2860" s="1" t="s">
        <v>8718</v>
      </c>
      <c r="B2860" s="1"/>
      <c r="C2860" s="1"/>
      <c r="D2860" s="1"/>
      <c r="E2860" s="1"/>
      <c r="F2860" s="1"/>
      <c r="G2860" s="1" t="s">
        <v>8</v>
      </c>
      <c r="H2860" s="2">
        <v>377</v>
      </c>
      <c r="I2860" s="1" t="s">
        <v>8719</v>
      </c>
      <c r="J2860" s="1" t="s">
        <v>8720</v>
      </c>
      <c r="K2860" s="1" t="s">
        <v>21</v>
      </c>
      <c r="L2860" s="1" t="s">
        <v>8721</v>
      </c>
      <c r="M2860" s="6" t="str">
        <f>_xlfn.CONCAT(Table1[[#This Row],[Billing Street]], ", ", Table1[[#This Row],[Billing City]], ", ", Table1[[#This Row],[Billing State/Province]], ", ", Table1[[#This Row],[Billing Zip/Postal Code]])</f>
        <v>241 Elm Street, Lehigh, IA, 50557</v>
      </c>
    </row>
    <row r="2861" spans="1:13" ht="15.6" hidden="1" x14ac:dyDescent="0.3">
      <c r="A2861" s="1" t="s">
        <v>8722</v>
      </c>
      <c r="B2861" s="1"/>
      <c r="C2861" s="1"/>
      <c r="D2861" s="1"/>
      <c r="E2861" s="1"/>
      <c r="F2861" s="1"/>
      <c r="G2861" s="1" t="s">
        <v>43</v>
      </c>
      <c r="H2861" s="2">
        <v>5776</v>
      </c>
      <c r="I2861" s="1" t="s">
        <v>13</v>
      </c>
      <c r="J2861" s="1" t="s">
        <v>13</v>
      </c>
      <c r="K2861" s="1" t="s">
        <v>671</v>
      </c>
      <c r="L2861" s="1" t="s">
        <v>13</v>
      </c>
      <c r="M2861" s="6" t="str">
        <f>_xlfn.CONCAT(Table1[[#This Row],[Billing Street]], ", ", Table1[[#This Row],[Billing City]], ", ", Table1[[#This Row],[Billing State/Province]], ", ", Table1[[#This Row],[Billing Zip/Postal Code]])</f>
        <v xml:space="preserve">, , NY, </v>
      </c>
    </row>
    <row r="2862" spans="1:13" ht="15.6" hidden="1" x14ac:dyDescent="0.3">
      <c r="A2862" s="1" t="s">
        <v>8723</v>
      </c>
      <c r="B2862" s="1"/>
      <c r="C2862" s="1"/>
      <c r="D2862" s="1"/>
      <c r="E2862" s="1"/>
      <c r="F2862" s="1"/>
      <c r="G2862" s="1" t="s">
        <v>43</v>
      </c>
      <c r="H2862" s="2">
        <v>5776</v>
      </c>
      <c r="I2862" s="1" t="s">
        <v>13</v>
      </c>
      <c r="J2862" s="1" t="s">
        <v>13</v>
      </c>
      <c r="K2862" s="1" t="s">
        <v>671</v>
      </c>
      <c r="L2862" s="1" t="s">
        <v>13</v>
      </c>
      <c r="M2862" s="6" t="str">
        <f>_xlfn.CONCAT(Table1[[#This Row],[Billing Street]], ", ", Table1[[#This Row],[Billing City]], ", ", Table1[[#This Row],[Billing State/Province]], ", ", Table1[[#This Row],[Billing Zip/Postal Code]])</f>
        <v xml:space="preserve">, , NY, </v>
      </c>
    </row>
    <row r="2863" spans="1:13" ht="15.6" hidden="1" x14ac:dyDescent="0.3">
      <c r="A2863" s="1" t="s">
        <v>8724</v>
      </c>
      <c r="B2863" s="1"/>
      <c r="C2863" s="1"/>
      <c r="D2863" s="1"/>
      <c r="E2863" s="1"/>
      <c r="F2863" s="1"/>
      <c r="G2863" s="1" t="s">
        <v>43</v>
      </c>
      <c r="H2863" s="2">
        <v>5776</v>
      </c>
      <c r="I2863" s="1" t="s">
        <v>13</v>
      </c>
      <c r="J2863" s="1" t="s">
        <v>13</v>
      </c>
      <c r="K2863" s="1" t="s">
        <v>671</v>
      </c>
      <c r="L2863" s="1" t="s">
        <v>13</v>
      </c>
      <c r="M2863" s="6" t="str">
        <f>_xlfn.CONCAT(Table1[[#This Row],[Billing Street]], ", ", Table1[[#This Row],[Billing City]], ", ", Table1[[#This Row],[Billing State/Province]], ", ", Table1[[#This Row],[Billing Zip/Postal Code]])</f>
        <v xml:space="preserve">, , NY, </v>
      </c>
    </row>
    <row r="2864" spans="1:13" ht="15.6" hidden="1" x14ac:dyDescent="0.3">
      <c r="A2864" s="1" t="s">
        <v>8725</v>
      </c>
      <c r="B2864" s="1"/>
      <c r="C2864" s="1"/>
      <c r="D2864" s="1"/>
      <c r="E2864" s="1"/>
      <c r="F2864" s="1"/>
      <c r="G2864" s="1" t="s">
        <v>54</v>
      </c>
      <c r="H2864" s="2">
        <v>3</v>
      </c>
      <c r="I2864" s="1" t="s">
        <v>8726</v>
      </c>
      <c r="J2864" s="1" t="s">
        <v>1447</v>
      </c>
      <c r="K2864" s="1" t="s">
        <v>57</v>
      </c>
      <c r="L2864" s="1" t="s">
        <v>1448</v>
      </c>
      <c r="M2864" s="6" t="str">
        <f>_xlfn.CONCAT(Table1[[#This Row],[Billing Street]], ", ", Table1[[#This Row],[Billing City]], ", ", Table1[[#This Row],[Billing State/Province]], ", ", Table1[[#This Row],[Billing Zip/Postal Code]])</f>
        <v>4305 S. Santa Fe Ave., Vernon, CA, 90058</v>
      </c>
    </row>
    <row r="2865" spans="1:13" ht="15.6" hidden="1" x14ac:dyDescent="0.3">
      <c r="A2865" s="1" t="s">
        <v>8727</v>
      </c>
      <c r="B2865" s="1"/>
      <c r="C2865" s="1"/>
      <c r="D2865" s="1"/>
      <c r="E2865" s="1"/>
      <c r="F2865" s="1"/>
      <c r="G2865" s="1" t="s">
        <v>54</v>
      </c>
      <c r="H2865" s="2">
        <v>348</v>
      </c>
      <c r="I2865" s="1" t="s">
        <v>8728</v>
      </c>
      <c r="J2865" s="1" t="s">
        <v>182</v>
      </c>
      <c r="K2865" s="1" t="s">
        <v>57</v>
      </c>
      <c r="L2865" s="1" t="s">
        <v>8729</v>
      </c>
      <c r="M2865" s="6" t="str">
        <f>_xlfn.CONCAT(Table1[[#This Row],[Billing Street]], ", ", Table1[[#This Row],[Billing City]], ", ", Table1[[#This Row],[Billing State/Province]], ", ", Table1[[#This Row],[Billing Zip/Postal Code]])</f>
        <v>221 Kearney St Second Floor, San Francisco, CA, 94108</v>
      </c>
    </row>
    <row r="2866" spans="1:13" ht="15.6" x14ac:dyDescent="0.3">
      <c r="A2866" s="1" t="s">
        <v>8730</v>
      </c>
      <c r="B2866" s="1"/>
      <c r="C2866" s="1"/>
      <c r="D2866" s="1"/>
      <c r="E2866" s="1"/>
      <c r="F2866" s="1"/>
      <c r="G2866" s="1" t="s">
        <v>24</v>
      </c>
      <c r="H2866" s="2">
        <v>120</v>
      </c>
      <c r="I2866" s="1" t="s">
        <v>8731</v>
      </c>
      <c r="J2866" s="1" t="s">
        <v>633</v>
      </c>
      <c r="K2866" s="1" t="s">
        <v>26</v>
      </c>
      <c r="L2866" s="1" t="s">
        <v>8732</v>
      </c>
      <c r="M2866" s="6" t="str">
        <f>_xlfn.CONCAT(Table1[[#This Row],[Billing Street]], ", ", Table1[[#This Row],[Billing City]], ", ", Table1[[#This Row],[Billing State/Province]], ", ", Table1[[#This Row],[Billing Zip/Postal Code]])</f>
        <v>1200 Hutson Drive, Mobile, AL, 36609</v>
      </c>
    </row>
    <row r="2867" spans="1:13" ht="15.6" hidden="1" x14ac:dyDescent="0.3">
      <c r="A2867" s="1" t="s">
        <v>8733</v>
      </c>
      <c r="B2867" s="1"/>
      <c r="C2867" s="1"/>
      <c r="D2867" s="1"/>
      <c r="E2867" s="1"/>
      <c r="F2867" s="1"/>
      <c r="G2867" s="1" t="s">
        <v>205</v>
      </c>
      <c r="H2867" s="2">
        <v>258</v>
      </c>
      <c r="I2867" s="1" t="s">
        <v>8734</v>
      </c>
      <c r="J2867" s="1" t="s">
        <v>5440</v>
      </c>
      <c r="K2867" s="1" t="s">
        <v>1695</v>
      </c>
      <c r="L2867" s="1" t="s">
        <v>4267</v>
      </c>
      <c r="M2867" s="6" t="str">
        <f>_xlfn.CONCAT(Table1[[#This Row],[Billing Street]], ", ", Table1[[#This Row],[Billing City]], ", ", Table1[[#This Row],[Billing State/Province]], ", ", Table1[[#This Row],[Billing Zip/Postal Code]])</f>
        <v>2958 North Commerce St, North Las Vegas, NV, 89030</v>
      </c>
    </row>
    <row r="2868" spans="1:13" ht="15.6" x14ac:dyDescent="0.3">
      <c r="A2868" s="1" t="s">
        <v>8735</v>
      </c>
      <c r="B2868" s="1"/>
      <c r="C2868" s="1"/>
      <c r="D2868" s="1"/>
      <c r="E2868" s="1"/>
      <c r="F2868" s="1"/>
      <c r="G2868" s="1" t="s">
        <v>24</v>
      </c>
      <c r="H2868" s="2">
        <v>66</v>
      </c>
      <c r="I2868" s="1" t="s">
        <v>8736</v>
      </c>
      <c r="J2868" s="1" t="s">
        <v>715</v>
      </c>
      <c r="K2868" s="1" t="s">
        <v>36</v>
      </c>
      <c r="L2868" s="1" t="s">
        <v>2957</v>
      </c>
      <c r="M2868" s="6" t="str">
        <f>_xlfn.CONCAT(Table1[[#This Row],[Billing Street]], ", ", Table1[[#This Row],[Billing City]], ", ", Table1[[#This Row],[Billing State/Province]], ", ", Table1[[#This Row],[Billing Zip/Postal Code]])</f>
        <v>3050 Copter Rd, Pensacola, FL, 32514</v>
      </c>
    </row>
    <row r="2869" spans="1:13" ht="15.6" hidden="1" x14ac:dyDescent="0.3">
      <c r="A2869" s="1" t="s">
        <v>8737</v>
      </c>
      <c r="B2869" s="1"/>
      <c r="C2869" s="1"/>
      <c r="D2869" s="1"/>
      <c r="E2869" s="1"/>
      <c r="F2869" s="1"/>
      <c r="G2869" s="1" t="s">
        <v>8</v>
      </c>
      <c r="H2869" s="2">
        <v>365</v>
      </c>
      <c r="I2869" s="1" t="s">
        <v>8738</v>
      </c>
      <c r="J2869" s="1" t="s">
        <v>8739</v>
      </c>
      <c r="K2869" s="1" t="s">
        <v>21</v>
      </c>
      <c r="L2869" s="1" t="s">
        <v>8740</v>
      </c>
      <c r="M2869" s="6" t="str">
        <f>_xlfn.CONCAT(Table1[[#This Row],[Billing Street]], ", ", Table1[[#This Row],[Billing City]], ", ", Table1[[#This Row],[Billing State/Province]], ", ", Table1[[#This Row],[Billing Zip/Postal Code]])</f>
        <v>305 Main St, Lake View, IA, 51450</v>
      </c>
    </row>
    <row r="2870" spans="1:13" ht="15.6" hidden="1" x14ac:dyDescent="0.3">
      <c r="A2870" s="1" t="s">
        <v>8741</v>
      </c>
      <c r="B2870" s="1"/>
      <c r="C2870" s="1"/>
      <c r="D2870" s="1"/>
      <c r="E2870" s="1"/>
      <c r="F2870" s="1"/>
      <c r="G2870" s="1" t="s">
        <v>43</v>
      </c>
      <c r="H2870" s="2">
        <v>5776</v>
      </c>
      <c r="I2870" s="1" t="s">
        <v>13</v>
      </c>
      <c r="J2870" s="1" t="s">
        <v>13</v>
      </c>
      <c r="K2870" s="1" t="s">
        <v>671</v>
      </c>
      <c r="L2870" s="1" t="s">
        <v>13</v>
      </c>
      <c r="M2870" s="6" t="str">
        <f>_xlfn.CONCAT(Table1[[#This Row],[Billing Street]], ", ", Table1[[#This Row],[Billing City]], ", ", Table1[[#This Row],[Billing State/Province]], ", ", Table1[[#This Row],[Billing Zip/Postal Code]])</f>
        <v xml:space="preserve">, , NY, </v>
      </c>
    </row>
    <row r="2871" spans="1:13" ht="15.6" hidden="1" x14ac:dyDescent="0.3">
      <c r="A2871" s="1" t="s">
        <v>8742</v>
      </c>
      <c r="B2871" s="1"/>
      <c r="C2871" s="1"/>
      <c r="D2871" s="1"/>
      <c r="E2871" s="1"/>
      <c r="F2871" s="1"/>
      <c r="G2871" s="1" t="s">
        <v>8</v>
      </c>
      <c r="H2871" s="2">
        <v>323</v>
      </c>
      <c r="I2871" s="1" t="s">
        <v>8743</v>
      </c>
      <c r="J2871" s="1" t="s">
        <v>8744</v>
      </c>
      <c r="K2871" s="1" t="s">
        <v>21</v>
      </c>
      <c r="L2871" s="1" t="s">
        <v>8745</v>
      </c>
      <c r="M2871" s="6" t="str">
        <f>_xlfn.CONCAT(Table1[[#This Row],[Billing Street]], ", ", Table1[[#This Row],[Billing City]], ", ", Table1[[#This Row],[Billing State/Province]], ", ", Table1[[#This Row],[Billing Zip/Postal Code]])</f>
        <v>1301 Broad St, Keosauqua, IA, 52565</v>
      </c>
    </row>
    <row r="2872" spans="1:13" ht="15.6" hidden="1" x14ac:dyDescent="0.3">
      <c r="A2872" s="1" t="s">
        <v>8746</v>
      </c>
      <c r="B2872" s="1"/>
      <c r="C2872" s="1"/>
      <c r="D2872" s="1"/>
      <c r="E2872" s="1"/>
      <c r="F2872" s="1"/>
      <c r="G2872" s="1" t="s">
        <v>8</v>
      </c>
      <c r="H2872" s="2">
        <v>408</v>
      </c>
      <c r="I2872" s="1" t="s">
        <v>8747</v>
      </c>
      <c r="J2872" s="1" t="s">
        <v>4465</v>
      </c>
      <c r="K2872" s="1" t="s">
        <v>21</v>
      </c>
      <c r="L2872" s="1" t="s">
        <v>8748</v>
      </c>
      <c r="M2872" s="6" t="str">
        <f>_xlfn.CONCAT(Table1[[#This Row],[Billing Street]], ", ", Table1[[#This Row],[Billing City]], ", ", Table1[[#This Row],[Billing State/Province]], ", ", Table1[[#This Row],[Billing Zip/Postal Code]])</f>
        <v>615 Washington St, Hudson, IA, 50643</v>
      </c>
    </row>
    <row r="2873" spans="1:13" ht="15.6" hidden="1" x14ac:dyDescent="0.3">
      <c r="A2873" s="1" t="s">
        <v>8749</v>
      </c>
      <c r="B2873" s="1"/>
      <c r="C2873" s="1"/>
      <c r="D2873" s="1"/>
      <c r="E2873" s="1"/>
      <c r="F2873" s="1"/>
      <c r="G2873" s="1" t="s">
        <v>8</v>
      </c>
      <c r="H2873" s="2">
        <v>425</v>
      </c>
      <c r="I2873" s="1" t="s">
        <v>8750</v>
      </c>
      <c r="J2873" s="1" t="s">
        <v>8751</v>
      </c>
      <c r="K2873" s="1" t="s">
        <v>21</v>
      </c>
      <c r="L2873" s="1" t="s">
        <v>8752</v>
      </c>
      <c r="M2873" s="6" t="str">
        <f>_xlfn.CONCAT(Table1[[#This Row],[Billing Street]], ", ", Table1[[#This Row],[Billing City]], ", ", Table1[[#This Row],[Billing State/Province]], ", ", Table1[[#This Row],[Billing Zip/Postal Code]])</f>
        <v>11 S Central Ave., Hartley, IA, 51346</v>
      </c>
    </row>
    <row r="2874" spans="1:13" ht="15.6" hidden="1" x14ac:dyDescent="0.3">
      <c r="A2874" s="1" t="s">
        <v>8753</v>
      </c>
      <c r="B2874" s="1"/>
      <c r="C2874" s="1"/>
      <c r="D2874" s="1"/>
      <c r="E2874" s="1"/>
      <c r="F2874" s="1"/>
      <c r="G2874" s="1" t="s">
        <v>8</v>
      </c>
      <c r="H2874" s="2">
        <v>353</v>
      </c>
      <c r="I2874" s="1" t="s">
        <v>8754</v>
      </c>
      <c r="J2874" s="1" t="s">
        <v>8755</v>
      </c>
      <c r="K2874" s="1" t="s">
        <v>21</v>
      </c>
      <c r="L2874" s="1" t="s">
        <v>8756</v>
      </c>
      <c r="M2874" s="6" t="str">
        <f>_xlfn.CONCAT(Table1[[#This Row],[Billing Street]], ", ", Table1[[#This Row],[Billing City]], ", ", Table1[[#This Row],[Billing State/Province]], ", ", Table1[[#This Row],[Billing Zip/Postal Code]])</f>
        <v>305 11th St S, Grand Junction, IA, 50107</v>
      </c>
    </row>
    <row r="2875" spans="1:13" ht="15.6" hidden="1" x14ac:dyDescent="0.3">
      <c r="A2875" s="1" t="s">
        <v>8757</v>
      </c>
      <c r="B2875" s="1"/>
      <c r="C2875" s="1"/>
      <c r="D2875" s="1"/>
      <c r="E2875" s="1"/>
      <c r="F2875" s="1"/>
      <c r="G2875" s="1" t="s">
        <v>8</v>
      </c>
      <c r="H2875" s="2">
        <v>350</v>
      </c>
      <c r="I2875" s="1" t="s">
        <v>8758</v>
      </c>
      <c r="J2875" s="1" t="s">
        <v>8759</v>
      </c>
      <c r="K2875" s="1" t="s">
        <v>21</v>
      </c>
      <c r="L2875" s="1" t="s">
        <v>8760</v>
      </c>
      <c r="M2875" s="6" t="str">
        <f>_xlfn.CONCAT(Table1[[#This Row],[Billing Street]], ", ", Table1[[#This Row],[Billing City]], ", ", Table1[[#This Row],[Billing State/Province]], ", ", Table1[[#This Row],[Billing Zip/Postal Code]])</f>
        <v>108 Idaho St, Glidden, IA, 51443</v>
      </c>
    </row>
    <row r="2876" spans="1:13" ht="15.6" hidden="1" x14ac:dyDescent="0.3">
      <c r="A2876" s="1" t="s">
        <v>8761</v>
      </c>
      <c r="B2876" s="1"/>
      <c r="C2876" s="1"/>
      <c r="D2876" s="1"/>
      <c r="E2876" s="1"/>
      <c r="F2876" s="1"/>
      <c r="G2876" s="1" t="s">
        <v>43</v>
      </c>
      <c r="H2876" s="2">
        <v>5776</v>
      </c>
      <c r="I2876" s="1" t="s">
        <v>13</v>
      </c>
      <c r="J2876" s="1" t="s">
        <v>13</v>
      </c>
      <c r="K2876" s="1" t="s">
        <v>671</v>
      </c>
      <c r="L2876" s="1" t="s">
        <v>13</v>
      </c>
      <c r="M2876" s="6" t="str">
        <f>_xlfn.CONCAT(Table1[[#This Row],[Billing Street]], ", ", Table1[[#This Row],[Billing City]], ", ", Table1[[#This Row],[Billing State/Province]], ", ", Table1[[#This Row],[Billing Zip/Postal Code]])</f>
        <v xml:space="preserve">, , NY, </v>
      </c>
    </row>
    <row r="2877" spans="1:13" ht="15.6" hidden="1" x14ac:dyDescent="0.3">
      <c r="A2877" s="1" t="s">
        <v>8762</v>
      </c>
      <c r="B2877" s="1"/>
      <c r="C2877" s="1"/>
      <c r="D2877" s="1"/>
      <c r="E2877" s="1"/>
      <c r="F2877" s="1"/>
      <c r="G2877" s="1" t="s">
        <v>8</v>
      </c>
      <c r="H2877" s="2">
        <v>385</v>
      </c>
      <c r="I2877" s="1" t="s">
        <v>8763</v>
      </c>
      <c r="J2877" s="1" t="s">
        <v>8764</v>
      </c>
      <c r="K2877" s="1" t="s">
        <v>21</v>
      </c>
      <c r="L2877" s="1" t="s">
        <v>8765</v>
      </c>
      <c r="M2877" s="6" t="str">
        <f>_xlfn.CONCAT(Table1[[#This Row],[Billing Street]], ", ", Table1[[#This Row],[Billing City]], ", ", Table1[[#This Row],[Billing State/Province]], ", ", Table1[[#This Row],[Billing Zip/Postal Code]])</f>
        <v>104 W 2nd St, Fonda, IA, 50540</v>
      </c>
    </row>
    <row r="2878" spans="1:13" ht="15.6" hidden="1" x14ac:dyDescent="0.3">
      <c r="A2878" s="1" t="s">
        <v>8766</v>
      </c>
      <c r="B2878" s="1"/>
      <c r="C2878" s="1"/>
      <c r="D2878" s="1"/>
      <c r="E2878" s="1"/>
      <c r="F2878" s="1"/>
      <c r="G2878" s="1" t="s">
        <v>43</v>
      </c>
      <c r="H2878" s="2">
        <v>5776</v>
      </c>
      <c r="I2878" s="1" t="s">
        <v>13</v>
      </c>
      <c r="J2878" s="1" t="s">
        <v>13</v>
      </c>
      <c r="K2878" s="1" t="s">
        <v>671</v>
      </c>
      <c r="L2878" s="1" t="s">
        <v>13</v>
      </c>
      <c r="M2878" s="6" t="str">
        <f>_xlfn.CONCAT(Table1[[#This Row],[Billing Street]], ", ", Table1[[#This Row],[Billing City]], ", ", Table1[[#This Row],[Billing State/Province]], ", ", Table1[[#This Row],[Billing Zip/Postal Code]])</f>
        <v xml:space="preserve">, , NY, </v>
      </c>
    </row>
    <row r="2879" spans="1:13" ht="15.6" hidden="1" x14ac:dyDescent="0.3">
      <c r="A2879" s="1" t="s">
        <v>8767</v>
      </c>
      <c r="B2879" s="1"/>
      <c r="C2879" s="1"/>
      <c r="D2879" s="1"/>
      <c r="E2879" s="1"/>
      <c r="F2879" s="1"/>
      <c r="G2879" s="1" t="s">
        <v>43</v>
      </c>
      <c r="H2879" s="2">
        <v>5776</v>
      </c>
      <c r="I2879" s="1" t="s">
        <v>13</v>
      </c>
      <c r="J2879" s="1" t="s">
        <v>13</v>
      </c>
      <c r="K2879" s="1" t="s">
        <v>671</v>
      </c>
      <c r="L2879" s="1" t="s">
        <v>13</v>
      </c>
      <c r="M2879" s="6" t="str">
        <f>_xlfn.CONCAT(Table1[[#This Row],[Billing Street]], ", ", Table1[[#This Row],[Billing City]], ", ", Table1[[#This Row],[Billing State/Province]], ", ", Table1[[#This Row],[Billing Zip/Postal Code]])</f>
        <v xml:space="preserve">, , NY, </v>
      </c>
    </row>
    <row r="2880" spans="1:13" ht="15.6" hidden="1" x14ac:dyDescent="0.3">
      <c r="A2880" s="1" t="s">
        <v>8768</v>
      </c>
      <c r="B2880" s="1"/>
      <c r="C2880" s="1"/>
      <c r="D2880" s="1"/>
      <c r="E2880" s="1"/>
      <c r="F2880" s="1"/>
      <c r="G2880" s="1" t="s">
        <v>8</v>
      </c>
      <c r="H2880" s="2">
        <v>380</v>
      </c>
      <c r="I2880" s="1" t="s">
        <v>8769</v>
      </c>
      <c r="J2880" s="1" t="s">
        <v>8770</v>
      </c>
      <c r="K2880" s="1" t="s">
        <v>21</v>
      </c>
      <c r="L2880" s="1" t="s">
        <v>8771</v>
      </c>
      <c r="M2880" s="6" t="str">
        <f>_xlfn.CONCAT(Table1[[#This Row],[Billing Street]], ", ", Table1[[#This Row],[Billing City]], ", ", Table1[[#This Row],[Billing State/Province]], ", ", Table1[[#This Row],[Billing Zip/Postal Code]])</f>
        <v>1528 DeWitt St, Ellsworth, IA, 50075</v>
      </c>
    </row>
    <row r="2881" spans="1:13" ht="15.6" hidden="1" x14ac:dyDescent="0.3">
      <c r="A2881" s="1" t="s">
        <v>8772</v>
      </c>
      <c r="B2881" s="1"/>
      <c r="C2881" s="1"/>
      <c r="D2881" s="1"/>
      <c r="E2881" s="1"/>
      <c r="F2881" s="1"/>
      <c r="G2881" s="1" t="s">
        <v>8</v>
      </c>
      <c r="H2881" s="2">
        <v>441</v>
      </c>
      <c r="I2881" s="1" t="s">
        <v>8773</v>
      </c>
      <c r="J2881" s="1" t="s">
        <v>8774</v>
      </c>
      <c r="K2881" s="1" t="s">
        <v>21</v>
      </c>
      <c r="L2881" s="1" t="s">
        <v>8775</v>
      </c>
      <c r="M2881" s="6" t="str">
        <f>_xlfn.CONCAT(Table1[[#This Row],[Billing Street]], ", ", Table1[[#This Row],[Billing City]], ", ", Table1[[#This Row],[Billing State/Province]], ", ", Table1[[#This Row],[Billing Zip/Postal Code]])</f>
        <v>12 South Side Road, Earlville, IA, 52041</v>
      </c>
    </row>
    <row r="2882" spans="1:13" ht="15.6" hidden="1" x14ac:dyDescent="0.3">
      <c r="A2882" s="1" t="s">
        <v>8776</v>
      </c>
      <c r="B2882" s="1"/>
      <c r="C2882" s="1"/>
      <c r="D2882" s="1"/>
      <c r="E2882" s="1"/>
      <c r="F2882" s="1"/>
      <c r="G2882" s="1" t="s">
        <v>8</v>
      </c>
      <c r="H2882" s="2">
        <v>403</v>
      </c>
      <c r="I2882" s="1" t="s">
        <v>8777</v>
      </c>
      <c r="J2882" s="1" t="s">
        <v>8778</v>
      </c>
      <c r="K2882" s="1" t="s">
        <v>21</v>
      </c>
      <c r="L2882" s="1" t="s">
        <v>8779</v>
      </c>
      <c r="M2882" s="6" t="str">
        <f>_xlfn.CONCAT(Table1[[#This Row],[Billing Street]], ", ", Table1[[#This Row],[Billing City]], ", ", Table1[[#This Row],[Billing State/Province]], ", ", Table1[[#This Row],[Billing Zip/Postal Code]])</f>
        <v>601 4th Street, Durant, IA, 52747</v>
      </c>
    </row>
    <row r="2883" spans="1:13" ht="15.6" hidden="1" x14ac:dyDescent="0.3">
      <c r="A2883" s="1" t="s">
        <v>8780</v>
      </c>
      <c r="B2883" s="1"/>
      <c r="C2883" s="1"/>
      <c r="D2883" s="1"/>
      <c r="E2883" s="1"/>
      <c r="F2883" s="1"/>
      <c r="G2883" s="1" t="s">
        <v>43</v>
      </c>
      <c r="H2883" s="2">
        <v>5776</v>
      </c>
      <c r="I2883" s="1" t="s">
        <v>13</v>
      </c>
      <c r="J2883" s="1" t="s">
        <v>13</v>
      </c>
      <c r="K2883" s="1" t="s">
        <v>671</v>
      </c>
      <c r="L2883" s="1" t="s">
        <v>13</v>
      </c>
      <c r="M2883" s="6" t="str">
        <f>_xlfn.CONCAT(Table1[[#This Row],[Billing Street]], ", ", Table1[[#This Row],[Billing City]], ", ", Table1[[#This Row],[Billing State/Province]], ", ", Table1[[#This Row],[Billing Zip/Postal Code]])</f>
        <v xml:space="preserve">, , NY, </v>
      </c>
    </row>
    <row r="2884" spans="1:13" ht="15.6" hidden="1" x14ac:dyDescent="0.3">
      <c r="A2884" s="1" t="s">
        <v>8781</v>
      </c>
      <c r="B2884" s="1"/>
      <c r="C2884" s="1"/>
      <c r="D2884" s="1"/>
      <c r="E2884" s="1"/>
      <c r="F2884" s="1"/>
      <c r="G2884" s="1" t="s">
        <v>54</v>
      </c>
      <c r="H2884" s="2">
        <v>356</v>
      </c>
      <c r="I2884" s="1" t="s">
        <v>8782</v>
      </c>
      <c r="J2884" s="1" t="s">
        <v>8783</v>
      </c>
      <c r="K2884" s="1" t="s">
        <v>57</v>
      </c>
      <c r="L2884" s="1" t="s">
        <v>8784</v>
      </c>
      <c r="M2884" s="6" t="str">
        <f>_xlfn.CONCAT(Table1[[#This Row],[Billing Street]], ", ", Table1[[#This Row],[Billing City]], ", ", Table1[[#This Row],[Billing State/Province]], ", ", Table1[[#This Row],[Billing Zip/Postal Code]])</f>
        <v>1290 San Pablo Avenue, Rodeo, CA, 77042</v>
      </c>
    </row>
    <row r="2885" spans="1:13" ht="15.6" hidden="1" x14ac:dyDescent="0.3">
      <c r="A2885" s="1" t="s">
        <v>8785</v>
      </c>
      <c r="B2885" s="1"/>
      <c r="C2885" s="1"/>
      <c r="D2885" s="1"/>
      <c r="E2885" s="1"/>
      <c r="F2885" s="1"/>
      <c r="G2885" s="1" t="s">
        <v>8</v>
      </c>
      <c r="H2885" s="2">
        <v>266</v>
      </c>
      <c r="I2885" s="1" t="s">
        <v>8786</v>
      </c>
      <c r="J2885" s="1" t="s">
        <v>8787</v>
      </c>
      <c r="K2885" s="1" t="s">
        <v>198</v>
      </c>
      <c r="L2885" s="1" t="s">
        <v>8788</v>
      </c>
      <c r="M2885" s="6" t="str">
        <f>_xlfn.CONCAT(Table1[[#This Row],[Billing Street]], ", ", Table1[[#This Row],[Billing City]], ", ", Table1[[#This Row],[Billing State/Province]], ", ", Table1[[#This Row],[Billing Zip/Postal Code]])</f>
        <v>235 Maple Street, Friend, NE, 68359</v>
      </c>
    </row>
    <row r="2886" spans="1:13" ht="15.6" hidden="1" x14ac:dyDescent="0.3">
      <c r="A2886" s="1" t="s">
        <v>8789</v>
      </c>
      <c r="B2886" s="1"/>
      <c r="C2886" s="1"/>
      <c r="D2886" s="1"/>
      <c r="E2886" s="1"/>
      <c r="F2886" s="1"/>
      <c r="G2886" s="1" t="s">
        <v>8</v>
      </c>
      <c r="H2886" s="2">
        <v>338</v>
      </c>
      <c r="I2886" s="1" t="s">
        <v>8790</v>
      </c>
      <c r="J2886" s="1" t="s">
        <v>3716</v>
      </c>
      <c r="K2886" s="1" t="s">
        <v>198</v>
      </c>
      <c r="L2886" s="1" t="s">
        <v>3717</v>
      </c>
      <c r="M2886" s="6" t="str">
        <f>_xlfn.CONCAT(Table1[[#This Row],[Billing Street]], ", ", Table1[[#This Row],[Billing City]], ", ", Table1[[#This Row],[Billing State/Province]], ", ", Table1[[#This Row],[Billing Zip/Postal Code]])</f>
        <v>75191 Rd 433, Lexington, NE, 68850</v>
      </c>
    </row>
    <row r="2887" spans="1:13" ht="15.6" hidden="1" x14ac:dyDescent="0.3">
      <c r="A2887" s="1" t="s">
        <v>8791</v>
      </c>
      <c r="B2887" s="1"/>
      <c r="C2887" s="1"/>
      <c r="D2887" s="1"/>
      <c r="E2887" s="1"/>
      <c r="F2887" s="1"/>
      <c r="G2887" s="1" t="s">
        <v>8</v>
      </c>
      <c r="H2887" s="2">
        <v>278</v>
      </c>
      <c r="I2887" s="1" t="s">
        <v>8792</v>
      </c>
      <c r="J2887" s="1" t="s">
        <v>585</v>
      </c>
      <c r="K2887" s="1" t="s">
        <v>198</v>
      </c>
      <c r="L2887" s="1" t="s">
        <v>8793</v>
      </c>
      <c r="M2887" s="6" t="str">
        <f>_xlfn.CONCAT(Table1[[#This Row],[Billing Street]], ", ", Table1[[#This Row],[Billing City]], ", ", Table1[[#This Row],[Billing State/Province]], ", ", Table1[[#This Row],[Billing Zip/Postal Code]])</f>
        <v>619 15th Avenue, Franklin, NE, 68939</v>
      </c>
    </row>
    <row r="2888" spans="1:13" ht="15.6" hidden="1" x14ac:dyDescent="0.3">
      <c r="A2888" s="1" t="s">
        <v>8794</v>
      </c>
      <c r="B2888" s="1"/>
      <c r="C2888" s="1"/>
      <c r="D2888" s="1"/>
      <c r="E2888" s="1"/>
      <c r="F2888" s="1"/>
      <c r="G2888" s="1" t="s">
        <v>8</v>
      </c>
      <c r="H2888" s="2">
        <v>270</v>
      </c>
      <c r="I2888" s="1" t="s">
        <v>8795</v>
      </c>
      <c r="J2888" s="1" t="s">
        <v>3835</v>
      </c>
      <c r="K2888" s="1" t="s">
        <v>198</v>
      </c>
      <c r="L2888" s="1" t="s">
        <v>8796</v>
      </c>
      <c r="M2888" s="6" t="str">
        <f>_xlfn.CONCAT(Table1[[#This Row],[Billing Street]], ", ", Table1[[#This Row],[Billing City]], ", ", Table1[[#This Row],[Billing State/Province]], ", ", Table1[[#This Row],[Billing Zip/Postal Code]])</f>
        <v>635 6th Avenue, Fairmont, NE, 68354</v>
      </c>
    </row>
    <row r="2889" spans="1:13" ht="15.6" hidden="1" x14ac:dyDescent="0.3">
      <c r="A2889" s="1" t="s">
        <v>8797</v>
      </c>
      <c r="B2889" s="1"/>
      <c r="C2889" s="1"/>
      <c r="D2889" s="1"/>
      <c r="E2889" s="1"/>
      <c r="F2889" s="1"/>
      <c r="G2889" s="1" t="s">
        <v>8</v>
      </c>
      <c r="H2889" s="2">
        <v>367</v>
      </c>
      <c r="I2889" s="1" t="s">
        <v>8798</v>
      </c>
      <c r="J2889" s="1" t="s">
        <v>8799</v>
      </c>
      <c r="K2889" s="1" t="s">
        <v>198</v>
      </c>
      <c r="L2889" s="1" t="s">
        <v>8800</v>
      </c>
      <c r="M2889" s="6" t="str">
        <f>_xlfn.CONCAT(Table1[[#This Row],[Billing Street]], ", ", Table1[[#This Row],[Billing City]], ", ", Table1[[#This Row],[Billing State/Province]], ", ", Table1[[#This Row],[Billing Zip/Postal Code]])</f>
        <v>511 North Main Street, Emerson, NE, 68733</v>
      </c>
    </row>
    <row r="2890" spans="1:13" ht="15.6" hidden="1" x14ac:dyDescent="0.3">
      <c r="A2890" s="1" t="s">
        <v>8801</v>
      </c>
      <c r="B2890" s="1"/>
      <c r="C2890" s="1"/>
      <c r="D2890" s="1"/>
      <c r="E2890" s="1"/>
      <c r="F2890" s="1"/>
      <c r="G2890" s="1" t="s">
        <v>8</v>
      </c>
      <c r="H2890" s="2">
        <v>157</v>
      </c>
      <c r="I2890" s="1" t="s">
        <v>8802</v>
      </c>
      <c r="J2890" s="1" t="s">
        <v>896</v>
      </c>
      <c r="K2890" s="1" t="s">
        <v>11</v>
      </c>
      <c r="L2890" s="1" t="s">
        <v>1602</v>
      </c>
      <c r="M2890" s="6" t="str">
        <f>_xlfn.CONCAT(Table1[[#This Row],[Billing Street]], ", ", Table1[[#This Row],[Billing City]], ", ", Table1[[#This Row],[Billing State/Province]], ", ", Table1[[#This Row],[Billing Zip/Postal Code]])</f>
        <v>6001 Front Street, Kansas City, MO, 64120</v>
      </c>
    </row>
    <row r="2891" spans="1:13" ht="15.6" hidden="1" x14ac:dyDescent="0.3">
      <c r="A2891" s="1" t="s">
        <v>8803</v>
      </c>
      <c r="B2891" s="1"/>
      <c r="C2891" s="1"/>
      <c r="D2891" s="1"/>
      <c r="E2891" s="1"/>
      <c r="F2891" s="1"/>
      <c r="G2891" s="1" t="s">
        <v>8</v>
      </c>
      <c r="H2891" s="2">
        <v>389</v>
      </c>
      <c r="I2891" s="1" t="s">
        <v>8804</v>
      </c>
      <c r="J2891" s="1" t="s">
        <v>2016</v>
      </c>
      <c r="K2891" s="1" t="s">
        <v>198</v>
      </c>
      <c r="L2891" s="1" t="s">
        <v>8805</v>
      </c>
      <c r="M2891" s="6" t="str">
        <f>_xlfn.CONCAT(Table1[[#This Row],[Billing Street]], ", ", Table1[[#This Row],[Billing City]], ", ", Table1[[#This Row],[Billing State/Province]], ", ", Table1[[#This Row],[Billing Zip/Postal Code]])</f>
        <v>109 N Walnut St, Arnold, NE, 69120</v>
      </c>
    </row>
    <row r="2892" spans="1:13" ht="15.6" hidden="1" x14ac:dyDescent="0.3">
      <c r="A2892" s="1" t="s">
        <v>8806</v>
      </c>
      <c r="B2892" s="1"/>
      <c r="C2892" s="1"/>
      <c r="D2892" s="1"/>
      <c r="E2892" s="1"/>
      <c r="F2892" s="1"/>
      <c r="G2892" s="1" t="s">
        <v>8</v>
      </c>
      <c r="H2892" s="2">
        <v>370</v>
      </c>
      <c r="I2892" s="1" t="s">
        <v>8807</v>
      </c>
      <c r="J2892" s="1" t="s">
        <v>6072</v>
      </c>
      <c r="K2892" s="1" t="s">
        <v>198</v>
      </c>
      <c r="L2892" s="1" t="s">
        <v>6073</v>
      </c>
      <c r="M2892" s="6" t="str">
        <f>_xlfn.CONCAT(Table1[[#This Row],[Billing Street]], ", ", Table1[[#This Row],[Billing City]], ", ", Table1[[#This Row],[Billing State/Province]], ", ", Table1[[#This Row],[Billing Zip/Postal Code]])</f>
        <v>625 East S East St,, Broken Bow, NE, 68822</v>
      </c>
    </row>
    <row r="2893" spans="1:13" ht="15.6" hidden="1" x14ac:dyDescent="0.3">
      <c r="A2893" s="1" t="s">
        <v>8808</v>
      </c>
      <c r="B2893" s="1"/>
      <c r="C2893" s="1"/>
      <c r="D2893" s="1"/>
      <c r="E2893" s="1"/>
      <c r="F2893" s="1"/>
      <c r="G2893" s="1" t="s">
        <v>8</v>
      </c>
      <c r="H2893" s="2">
        <v>263</v>
      </c>
      <c r="I2893" s="1" t="s">
        <v>8809</v>
      </c>
      <c r="J2893" s="1" t="s">
        <v>8810</v>
      </c>
      <c r="K2893" s="1" t="s">
        <v>198</v>
      </c>
      <c r="L2893" s="1" t="s">
        <v>8811</v>
      </c>
      <c r="M2893" s="6" t="str">
        <f>_xlfn.CONCAT(Table1[[#This Row],[Billing Street]], ", ", Table1[[#This Row],[Billing City]], ", ", Table1[[#This Row],[Billing State/Province]], ", ", Table1[[#This Row],[Billing Zip/Postal Code]])</f>
        <v>603 5th St, Edgar, NE, 68935</v>
      </c>
    </row>
    <row r="2894" spans="1:13" ht="15.6" hidden="1" x14ac:dyDescent="0.3">
      <c r="A2894" s="1" t="s">
        <v>8812</v>
      </c>
      <c r="B2894" s="1"/>
      <c r="C2894" s="1"/>
      <c r="D2894" s="1"/>
      <c r="E2894" s="1"/>
      <c r="F2894" s="1"/>
      <c r="G2894" s="1" t="s">
        <v>8</v>
      </c>
      <c r="H2894" s="2">
        <v>395</v>
      </c>
      <c r="I2894" s="1" t="s">
        <v>8813</v>
      </c>
      <c r="J2894" s="1" t="s">
        <v>8814</v>
      </c>
      <c r="K2894" s="1" t="s">
        <v>198</v>
      </c>
      <c r="L2894" s="1" t="s">
        <v>8815</v>
      </c>
      <c r="M2894" s="6" t="str">
        <f>_xlfn.CONCAT(Table1[[#This Row],[Billing Street]], ", ", Table1[[#This Row],[Billing City]], ", ", Table1[[#This Row],[Billing State/Province]], ", ", Table1[[#This Row],[Billing Zip/Postal Code]])</f>
        <v>201 W 3rd Street, North Platte, NE, 69101</v>
      </c>
    </row>
    <row r="2895" spans="1:13" ht="15.6" hidden="1" x14ac:dyDescent="0.3">
      <c r="A2895" s="1" t="s">
        <v>8816</v>
      </c>
      <c r="B2895" s="1"/>
      <c r="C2895" s="1"/>
      <c r="D2895" s="1"/>
      <c r="E2895" s="1"/>
      <c r="F2895" s="1"/>
      <c r="G2895" s="1" t="s">
        <v>8</v>
      </c>
      <c r="H2895" s="2">
        <v>552</v>
      </c>
      <c r="I2895" s="1" t="s">
        <v>8817</v>
      </c>
      <c r="J2895" s="1" t="s">
        <v>8818</v>
      </c>
      <c r="K2895" s="1" t="s">
        <v>198</v>
      </c>
      <c r="L2895" s="1" t="s">
        <v>8819</v>
      </c>
      <c r="M2895" s="6" t="str">
        <f>_xlfn.CONCAT(Table1[[#This Row],[Billing Street]], ", ", Table1[[#This Row],[Billing City]], ", ", Table1[[#This Row],[Billing State/Province]], ", ", Table1[[#This Row],[Billing Zip/Postal Code]])</f>
        <v>1280 Center Ave, Mitchell, NE, 69357</v>
      </c>
    </row>
    <row r="2896" spans="1:13" ht="15.6" hidden="1" x14ac:dyDescent="0.3">
      <c r="A2896" s="1" t="s">
        <v>8820</v>
      </c>
      <c r="B2896" s="1"/>
      <c r="C2896" s="1"/>
      <c r="D2896" s="1"/>
      <c r="E2896" s="1"/>
      <c r="F2896" s="1"/>
      <c r="G2896" s="1" t="s">
        <v>8</v>
      </c>
      <c r="H2896" s="2">
        <v>262</v>
      </c>
      <c r="I2896" s="1" t="s">
        <v>8821</v>
      </c>
      <c r="J2896" s="1" t="s">
        <v>8822</v>
      </c>
      <c r="K2896" s="1" t="s">
        <v>198</v>
      </c>
      <c r="L2896" s="1" t="s">
        <v>8823</v>
      </c>
      <c r="M2896" s="6" t="str">
        <f>_xlfn.CONCAT(Table1[[#This Row],[Billing Street]], ", ", Table1[[#This Row],[Billing City]], ", ", Table1[[#This Row],[Billing State/Province]], ", ", Table1[[#This Row],[Billing Zip/Postal Code]])</f>
        <v>701 Washington Ave, Dorchester, NE, 68343</v>
      </c>
    </row>
    <row r="2897" spans="1:13" ht="15.6" hidden="1" x14ac:dyDescent="0.3">
      <c r="A2897" s="1" t="s">
        <v>8824</v>
      </c>
      <c r="B2897" s="1"/>
      <c r="C2897" s="1"/>
      <c r="D2897" s="1"/>
      <c r="E2897" s="1"/>
      <c r="F2897" s="1"/>
      <c r="G2897" s="1" t="s">
        <v>8</v>
      </c>
      <c r="H2897" s="2">
        <v>243</v>
      </c>
      <c r="I2897" s="1" t="s">
        <v>8825</v>
      </c>
      <c r="J2897" s="1" t="s">
        <v>1613</v>
      </c>
      <c r="K2897" s="1" t="s">
        <v>198</v>
      </c>
      <c r="L2897" s="1" t="s">
        <v>8826</v>
      </c>
      <c r="M2897" s="6" t="str">
        <f>_xlfn.CONCAT(Table1[[#This Row],[Billing Street]], ", ", Table1[[#This Row],[Billing City]], ", ", Table1[[#This Row],[Billing State/Province]], ", ", Table1[[#This Row],[Billing Zip/Postal Code]])</f>
        <v>305 E Bryson Ave, Deshler, NE, 68340</v>
      </c>
    </row>
    <row r="2898" spans="1:13" ht="15.6" hidden="1" x14ac:dyDescent="0.3">
      <c r="A2898" s="1" t="s">
        <v>8827</v>
      </c>
      <c r="B2898" s="1"/>
      <c r="C2898" s="1"/>
      <c r="D2898" s="1"/>
      <c r="E2898" s="1"/>
      <c r="F2898" s="1"/>
      <c r="G2898" s="1" t="s">
        <v>8</v>
      </c>
      <c r="H2898" s="2">
        <v>404</v>
      </c>
      <c r="I2898" s="1" t="s">
        <v>13</v>
      </c>
      <c r="J2898" s="1" t="s">
        <v>1059</v>
      </c>
      <c r="K2898" s="1" t="s">
        <v>198</v>
      </c>
      <c r="L2898" s="1" t="s">
        <v>8828</v>
      </c>
      <c r="M2898" s="6" t="str">
        <f>_xlfn.CONCAT(Table1[[#This Row],[Billing Street]], ", ", Table1[[#This Row],[Billing City]], ", ", Table1[[#This Row],[Billing State/Province]], ", ", Table1[[#This Row],[Billing Zip/Postal Code]])</f>
        <v>, Imperial, NE, 69033-0637</v>
      </c>
    </row>
    <row r="2899" spans="1:13" ht="15.6" hidden="1" x14ac:dyDescent="0.3">
      <c r="A2899" s="1" t="s">
        <v>8829</v>
      </c>
      <c r="B2899" s="1"/>
      <c r="C2899" s="1"/>
      <c r="D2899" s="1"/>
      <c r="E2899" s="1"/>
      <c r="F2899" s="1"/>
      <c r="G2899" s="1" t="s">
        <v>8</v>
      </c>
      <c r="H2899" s="2">
        <v>345</v>
      </c>
      <c r="I2899" s="1" t="s">
        <v>8830</v>
      </c>
      <c r="J2899" s="1" t="s">
        <v>526</v>
      </c>
      <c r="K2899" s="1" t="s">
        <v>198</v>
      </c>
      <c r="L2899" s="1" t="s">
        <v>8831</v>
      </c>
      <c r="M2899" s="6" t="str">
        <f>_xlfn.CONCAT(Table1[[#This Row],[Billing Street]], ", ", Table1[[#This Row],[Billing City]], ", ", Table1[[#This Row],[Billing State/Province]], ", ", Table1[[#This Row],[Billing Zip/Postal Code]])</f>
        <v>913 S. Broadway, Decatur, NE, 68020</v>
      </c>
    </row>
    <row r="2900" spans="1:13" ht="15.6" hidden="1" x14ac:dyDescent="0.3">
      <c r="A2900" s="1" t="s">
        <v>8832</v>
      </c>
      <c r="B2900" s="1"/>
      <c r="C2900" s="1"/>
      <c r="D2900" s="1"/>
      <c r="E2900" s="1"/>
      <c r="F2900" s="1"/>
      <c r="G2900" s="1" t="s">
        <v>8</v>
      </c>
      <c r="H2900" s="2">
        <v>302</v>
      </c>
      <c r="I2900" s="1" t="s">
        <v>8833</v>
      </c>
      <c r="J2900" s="1" t="s">
        <v>745</v>
      </c>
      <c r="K2900" s="1" t="s">
        <v>198</v>
      </c>
      <c r="L2900" s="1" t="s">
        <v>746</v>
      </c>
      <c r="M2900" s="6" t="str">
        <f>_xlfn.CONCAT(Table1[[#This Row],[Billing Street]], ", ", Table1[[#This Row],[Billing City]], ", ", Table1[[#This Row],[Billing State/Province]], ", ", Table1[[#This Row],[Billing Zip/Postal Code]])</f>
        <v>174 E Street / P.O. Box 191, David City, NE, 68632</v>
      </c>
    </row>
    <row r="2901" spans="1:13" ht="15.6" hidden="1" x14ac:dyDescent="0.3">
      <c r="A2901" s="1" t="s">
        <v>8834</v>
      </c>
      <c r="B2901" s="1"/>
      <c r="C2901" s="1"/>
      <c r="D2901" s="1"/>
      <c r="E2901" s="1"/>
      <c r="F2901" s="1"/>
      <c r="G2901" s="1" t="s">
        <v>8</v>
      </c>
      <c r="H2901" s="2">
        <v>299</v>
      </c>
      <c r="I2901" s="1" t="s">
        <v>8835</v>
      </c>
      <c r="J2901" s="1" t="s">
        <v>5352</v>
      </c>
      <c r="K2901" s="1" t="s">
        <v>198</v>
      </c>
      <c r="L2901" s="1" t="s">
        <v>8836</v>
      </c>
      <c r="M2901" s="6" t="str">
        <f>_xlfn.CONCAT(Table1[[#This Row],[Billing Street]], ", ", Table1[[#This Row],[Billing City]], ", ", Table1[[#This Row],[Billing State/Province]], ", ", Table1[[#This Row],[Billing Zip/Postal Code]])</f>
        <v>325 N. Colorado, Minden, NE, 68959</v>
      </c>
    </row>
    <row r="2902" spans="1:13" ht="15.6" hidden="1" x14ac:dyDescent="0.3">
      <c r="A2902" s="1" t="s">
        <v>8837</v>
      </c>
      <c r="B2902" s="1"/>
      <c r="C2902" s="1"/>
      <c r="D2902" s="1"/>
      <c r="E2902" s="1"/>
      <c r="F2902" s="1"/>
      <c r="G2902" s="1" t="s">
        <v>8</v>
      </c>
      <c r="H2902" s="2">
        <v>242</v>
      </c>
      <c r="I2902" s="1" t="s">
        <v>8838</v>
      </c>
      <c r="J2902" s="1" t="s">
        <v>8839</v>
      </c>
      <c r="K2902" s="1" t="s">
        <v>198</v>
      </c>
      <c r="L2902" s="1" t="s">
        <v>8840</v>
      </c>
      <c r="M2902" s="6" t="str">
        <f>_xlfn.CONCAT(Table1[[#This Row],[Billing Street]], ", ", Table1[[#This Row],[Billing City]], ", ", Table1[[#This Row],[Billing State/Province]], ", ", Table1[[#This Row],[Billing Zip/Postal Code]])</f>
        <v>209 East Fillmore Ave, DeWitt, NE, 68341</v>
      </c>
    </row>
    <row r="2903" spans="1:13" ht="15.6" hidden="1" x14ac:dyDescent="0.3">
      <c r="A2903" s="1" t="s">
        <v>8841</v>
      </c>
      <c r="B2903" s="1"/>
      <c r="C2903" s="1"/>
      <c r="D2903" s="1"/>
      <c r="E2903" s="1"/>
      <c r="F2903" s="1"/>
      <c r="G2903" s="1" t="s">
        <v>98</v>
      </c>
      <c r="H2903" s="2">
        <v>5887</v>
      </c>
      <c r="I2903" s="1" t="s">
        <v>13</v>
      </c>
      <c r="J2903" s="1" t="s">
        <v>8842</v>
      </c>
      <c r="K2903" s="1" t="s">
        <v>101</v>
      </c>
      <c r="L2903" s="1" t="s">
        <v>13</v>
      </c>
      <c r="M2903" s="6" t="str">
        <f>_xlfn.CONCAT(Table1[[#This Row],[Billing Street]], ", ", Table1[[#This Row],[Billing City]], ", ", Table1[[#This Row],[Billing State/Province]], ", ", Table1[[#This Row],[Billing Zip/Postal Code]])</f>
        <v xml:space="preserve">, Grantville, GA, </v>
      </c>
    </row>
    <row r="2904" spans="1:13" ht="15.6" hidden="1" x14ac:dyDescent="0.3">
      <c r="A2904" s="1" t="s">
        <v>8843</v>
      </c>
      <c r="B2904" s="1"/>
      <c r="C2904" s="1"/>
      <c r="D2904" s="1"/>
      <c r="E2904" s="1"/>
      <c r="F2904" s="1"/>
      <c r="G2904" s="1" t="s">
        <v>8</v>
      </c>
      <c r="H2904" s="2">
        <v>480</v>
      </c>
      <c r="I2904" s="1" t="s">
        <v>8844</v>
      </c>
      <c r="J2904" s="1" t="s">
        <v>8845</v>
      </c>
      <c r="K2904" s="1" t="s">
        <v>198</v>
      </c>
      <c r="L2904" s="1" t="s">
        <v>8846</v>
      </c>
      <c r="M2904" s="6" t="str">
        <f>_xlfn.CONCAT(Table1[[#This Row],[Billing Street]], ", ", Table1[[#This Row],[Billing City]], ", ", Table1[[#This Row],[Billing State/Province]], ", ", Table1[[#This Row],[Billing Zip/Postal Code]])</f>
        <v>802 East 2nd Street, Valentine, NE, 69201</v>
      </c>
    </row>
    <row r="2905" spans="1:13" ht="15.6" hidden="1" x14ac:dyDescent="0.3">
      <c r="A2905" s="1" t="s">
        <v>8847</v>
      </c>
      <c r="B2905" s="1"/>
      <c r="C2905" s="1"/>
      <c r="D2905" s="1"/>
      <c r="E2905" s="1"/>
      <c r="F2905" s="1"/>
      <c r="G2905" s="1" t="s">
        <v>8</v>
      </c>
      <c r="H2905" s="2">
        <v>519</v>
      </c>
      <c r="I2905" s="1" t="s">
        <v>8848</v>
      </c>
      <c r="J2905" s="1" t="s">
        <v>8849</v>
      </c>
      <c r="K2905" s="1" t="s">
        <v>198</v>
      </c>
      <c r="L2905" s="1" t="s">
        <v>8850</v>
      </c>
      <c r="M2905" s="6" t="str">
        <f>_xlfn.CONCAT(Table1[[#This Row],[Billing Street]], ", ", Table1[[#This Row],[Billing City]], ", ", Table1[[#This Row],[Billing State/Province]], ", ", Table1[[#This Row],[Billing Zip/Postal Code]])</f>
        <v>223 S. Chestnut, Kimball, NE, 69145-0299</v>
      </c>
    </row>
    <row r="2906" spans="1:13" ht="15.6" hidden="1" x14ac:dyDescent="0.3">
      <c r="A2906" s="1" t="s">
        <v>8851</v>
      </c>
      <c r="B2906" s="1"/>
      <c r="C2906" s="1"/>
      <c r="D2906" s="1"/>
      <c r="E2906" s="1"/>
      <c r="F2906" s="1"/>
      <c r="G2906" s="1" t="s">
        <v>8</v>
      </c>
      <c r="H2906" s="2">
        <v>293</v>
      </c>
      <c r="I2906" s="1" t="s">
        <v>8852</v>
      </c>
      <c r="J2906" s="1" t="s">
        <v>8853</v>
      </c>
      <c r="K2906" s="1" t="s">
        <v>198</v>
      </c>
      <c r="L2906" s="1" t="s">
        <v>8854</v>
      </c>
      <c r="M2906" s="6" t="str">
        <f>_xlfn.CONCAT(Table1[[#This Row],[Billing Street]], ", ", Table1[[#This Row],[Billing City]], ", ", Table1[[#This Row],[Billing State/Province]], ", ", Table1[[#This Row],[Billing Zip/Postal Code]])</f>
        <v>605 North Broadway, Wahoo, NE, 68066</v>
      </c>
    </row>
    <row r="2907" spans="1:13" ht="15.6" hidden="1" x14ac:dyDescent="0.3">
      <c r="A2907" s="1" t="s">
        <v>8855</v>
      </c>
      <c r="B2907" s="1"/>
      <c r="C2907" s="1"/>
      <c r="D2907" s="1"/>
      <c r="E2907" s="1"/>
      <c r="F2907" s="1"/>
      <c r="G2907" s="1" t="s">
        <v>8</v>
      </c>
      <c r="H2907" s="2">
        <v>366</v>
      </c>
      <c r="I2907" s="1" t="s">
        <v>8856</v>
      </c>
      <c r="J2907" s="1" t="s">
        <v>8857</v>
      </c>
      <c r="K2907" s="1" t="s">
        <v>198</v>
      </c>
      <c r="L2907" s="1" t="s">
        <v>8858</v>
      </c>
      <c r="M2907" s="6" t="str">
        <f>_xlfn.CONCAT(Table1[[#This Row],[Billing Street]], ", ", Table1[[#This Row],[Billing City]], ", ", Table1[[#This Row],[Billing State/Province]], ", ", Table1[[#This Row],[Billing Zip/Postal Code]])</f>
        <v>207 S. Pearl St., Wayne, NE, 68787</v>
      </c>
    </row>
    <row r="2908" spans="1:13" ht="15.6" hidden="1" x14ac:dyDescent="0.3">
      <c r="A2908" s="1" t="s">
        <v>8859</v>
      </c>
      <c r="B2908" s="1"/>
      <c r="C2908" s="1"/>
      <c r="D2908" s="1"/>
      <c r="E2908" s="1"/>
      <c r="F2908" s="1"/>
      <c r="G2908" s="1" t="s">
        <v>8</v>
      </c>
      <c r="H2908" s="2">
        <v>350</v>
      </c>
      <c r="I2908" s="1" t="s">
        <v>8860</v>
      </c>
      <c r="J2908" s="1" t="s">
        <v>8861</v>
      </c>
      <c r="K2908" s="1" t="s">
        <v>198</v>
      </c>
      <c r="L2908" s="1" t="s">
        <v>8862</v>
      </c>
      <c r="M2908" s="6" t="str">
        <f>_xlfn.CONCAT(Table1[[#This Row],[Billing Street]], ", ", Table1[[#This Row],[Billing City]], ", ", Table1[[#This Row],[Billing State/Province]], ", ", Table1[[#This Row],[Billing Zip/Postal Code]])</f>
        <v>807 Douglas Street, Stanton, NE, 68779-0319</v>
      </c>
    </row>
    <row r="2909" spans="1:13" ht="15.6" hidden="1" x14ac:dyDescent="0.3">
      <c r="A2909" s="1" t="s">
        <v>8863</v>
      </c>
      <c r="B2909" s="1"/>
      <c r="C2909" s="1"/>
      <c r="D2909" s="1"/>
      <c r="E2909" s="1"/>
      <c r="F2909" s="1"/>
      <c r="G2909" s="1" t="s">
        <v>8</v>
      </c>
      <c r="H2909" s="2">
        <v>209</v>
      </c>
      <c r="I2909" s="1" t="s">
        <v>8864</v>
      </c>
      <c r="J2909" s="1" t="s">
        <v>8865</v>
      </c>
      <c r="K2909" s="1" t="s">
        <v>198</v>
      </c>
      <c r="L2909" s="1" t="s">
        <v>8866</v>
      </c>
      <c r="M2909" s="6" t="str">
        <f>_xlfn.CONCAT(Table1[[#This Row],[Billing Street]], ", ", Table1[[#This Row],[Billing City]], ", ", Table1[[#This Row],[Billing State/Province]], ", ", Table1[[#This Row],[Billing Zip/Postal Code]])</f>
        <v>2307 Barada Street, Falls City, NE, 68355</v>
      </c>
    </row>
    <row r="2910" spans="1:13" ht="15.6" hidden="1" x14ac:dyDescent="0.3">
      <c r="A2910" s="1" t="s">
        <v>8867</v>
      </c>
      <c r="B2910" s="1"/>
      <c r="C2910" s="1"/>
      <c r="D2910" s="1"/>
      <c r="E2910" s="1"/>
      <c r="F2910" s="1"/>
      <c r="G2910" s="1" t="s">
        <v>8</v>
      </c>
      <c r="H2910" s="2">
        <v>289</v>
      </c>
      <c r="I2910" s="1" t="s">
        <v>8868</v>
      </c>
      <c r="J2910" s="1" t="s">
        <v>6084</v>
      </c>
      <c r="K2910" s="1" t="s">
        <v>198</v>
      </c>
      <c r="L2910" s="1" t="s">
        <v>8869</v>
      </c>
      <c r="M2910" s="6" t="str">
        <f>_xlfn.CONCAT(Table1[[#This Row],[Billing Street]], ", ", Table1[[#This Row],[Billing City]], ", ", Table1[[#This Row],[Billing State/Province]], ", ", Table1[[#This Row],[Billing Zip/Postal Code]])</f>
        <v>4200 West 2nd Street, Hastings, NE, 68902</v>
      </c>
    </row>
    <row r="2911" spans="1:13" ht="15.6" hidden="1" x14ac:dyDescent="0.3">
      <c r="A2911" s="1" t="s">
        <v>8870</v>
      </c>
      <c r="B2911" s="1"/>
      <c r="C2911" s="1"/>
      <c r="D2911" s="1"/>
      <c r="E2911" s="1"/>
      <c r="F2911" s="1"/>
      <c r="G2911" s="1" t="s">
        <v>8</v>
      </c>
      <c r="H2911" s="2">
        <v>293</v>
      </c>
      <c r="I2911" s="1" t="s">
        <v>8871</v>
      </c>
      <c r="J2911" s="1" t="s">
        <v>8872</v>
      </c>
      <c r="K2911" s="1" t="s">
        <v>51</v>
      </c>
      <c r="L2911" s="1" t="s">
        <v>8873</v>
      </c>
      <c r="M2911" s="6" t="str">
        <f>_xlfn.CONCAT(Table1[[#This Row],[Billing Street]], ", ", Table1[[#This Row],[Billing City]], ", ", Table1[[#This Row],[Billing State/Province]], ", ", Table1[[#This Row],[Billing Zip/Postal Code]])</f>
        <v>14585 US Hwy 83 N, Perryton, TX, 79070</v>
      </c>
    </row>
    <row r="2912" spans="1:13" ht="15.6" hidden="1" x14ac:dyDescent="0.3">
      <c r="A2912" s="1" t="s">
        <v>8874</v>
      </c>
      <c r="B2912" s="1"/>
      <c r="C2912" s="1"/>
      <c r="D2912" s="1"/>
      <c r="E2912" s="1"/>
      <c r="F2912" s="1"/>
      <c r="G2912" s="1" t="s">
        <v>8</v>
      </c>
      <c r="H2912" s="2">
        <v>231</v>
      </c>
      <c r="I2912" s="1" t="s">
        <v>8875</v>
      </c>
      <c r="J2912" s="1" t="s">
        <v>789</v>
      </c>
      <c r="K2912" s="1" t="s">
        <v>198</v>
      </c>
      <c r="L2912" s="1" t="s">
        <v>790</v>
      </c>
      <c r="M2912" s="6" t="str">
        <f>_xlfn.CONCAT(Table1[[#This Row],[Billing Street]], ", ", Table1[[#This Row],[Billing City]], ", ", Table1[[#This Row],[Billing State/Province]], ", ", Table1[[#This Row],[Billing Zip/Postal Code]])</f>
        <v>400 Ella Street  # 2, Beatrice, NE, 68310</v>
      </c>
    </row>
    <row r="2913" spans="1:13" ht="15.6" hidden="1" x14ac:dyDescent="0.3">
      <c r="A2913" s="1" t="s">
        <v>8876</v>
      </c>
      <c r="B2913" s="1"/>
      <c r="C2913" s="1"/>
      <c r="D2913" s="1"/>
      <c r="E2913" s="1"/>
      <c r="F2913" s="1"/>
      <c r="G2913" s="1" t="s">
        <v>8</v>
      </c>
      <c r="H2913" s="2">
        <v>418</v>
      </c>
      <c r="I2913" s="1" t="s">
        <v>8877</v>
      </c>
      <c r="J2913" s="1" t="s">
        <v>8878</v>
      </c>
      <c r="K2913" s="1" t="s">
        <v>51</v>
      </c>
      <c r="L2913" s="1" t="s">
        <v>8879</v>
      </c>
      <c r="M2913" s="6" t="str">
        <f>_xlfn.CONCAT(Table1[[#This Row],[Billing Street]], ", ", Table1[[#This Row],[Billing City]], ", ", Table1[[#This Row],[Billing State/Province]], ", ", Table1[[#This Row],[Billing Zip/Postal Code]])</f>
        <v>3300 US 84, Coleman, TX, 76834</v>
      </c>
    </row>
    <row r="2914" spans="1:13" ht="15.6" hidden="1" x14ac:dyDescent="0.3">
      <c r="A2914" s="1" t="s">
        <v>8880</v>
      </c>
      <c r="B2914" s="1"/>
      <c r="C2914" s="1"/>
      <c r="D2914" s="1"/>
      <c r="E2914" s="1"/>
      <c r="F2914" s="1"/>
      <c r="G2914" s="1" t="s">
        <v>8</v>
      </c>
      <c r="H2914" s="2">
        <v>443</v>
      </c>
      <c r="I2914" s="1" t="s">
        <v>8881</v>
      </c>
      <c r="J2914" s="1" t="s">
        <v>8882</v>
      </c>
      <c r="K2914" s="1" t="s">
        <v>51</v>
      </c>
      <c r="L2914" s="1" t="s">
        <v>8883</v>
      </c>
      <c r="M2914" s="6" t="str">
        <f>_xlfn.CONCAT(Table1[[#This Row],[Billing Street]], ", ", Table1[[#This Row],[Billing City]], ", ", Table1[[#This Row],[Billing State/Province]], ", ", Table1[[#This Row],[Billing Zip/Postal Code]])</f>
        <v>610 e American blvd, Muleshoe, TX, 79347</v>
      </c>
    </row>
    <row r="2915" spans="1:13" ht="15.6" hidden="1" x14ac:dyDescent="0.3">
      <c r="A2915" s="1" t="s">
        <v>8884</v>
      </c>
      <c r="B2915" s="1"/>
      <c r="C2915" s="1"/>
      <c r="D2915" s="1"/>
      <c r="E2915" s="1"/>
      <c r="F2915" s="1"/>
      <c r="G2915" s="1" t="s">
        <v>8</v>
      </c>
      <c r="H2915" s="2">
        <v>6528</v>
      </c>
      <c r="I2915" s="1" t="s">
        <v>8885</v>
      </c>
      <c r="J2915" s="1" t="s">
        <v>8886</v>
      </c>
      <c r="K2915" s="1" t="s">
        <v>198</v>
      </c>
      <c r="L2915" s="1" t="s">
        <v>13</v>
      </c>
      <c r="M2915" s="6" t="str">
        <f>_xlfn.CONCAT(Table1[[#This Row],[Billing Street]], ", ", Table1[[#This Row],[Billing City]], ", ", Table1[[#This Row],[Billing State/Province]], ", ", Table1[[#This Row],[Billing Zip/Postal Code]])</f>
        <v xml:space="preserve">234 main st, Chadron, NE, </v>
      </c>
    </row>
    <row r="2916" spans="1:13" ht="15.6" hidden="1" x14ac:dyDescent="0.3">
      <c r="A2916" s="1" t="s">
        <v>8887</v>
      </c>
      <c r="B2916" s="1"/>
      <c r="C2916" s="1"/>
      <c r="D2916" s="1"/>
      <c r="E2916" s="1"/>
      <c r="F2916" s="1"/>
      <c r="G2916" s="1" t="s">
        <v>8</v>
      </c>
      <c r="H2916" s="2">
        <v>240</v>
      </c>
      <c r="I2916" s="1" t="s">
        <v>8888</v>
      </c>
      <c r="J2916" s="1" t="s">
        <v>8889</v>
      </c>
      <c r="K2916" s="1" t="s">
        <v>51</v>
      </c>
      <c r="L2916" s="1" t="s">
        <v>8890</v>
      </c>
      <c r="M2916" s="6" t="str">
        <f>_xlfn.CONCAT(Table1[[#This Row],[Billing Street]], ", ", Table1[[#This Row],[Billing City]], ", ", Table1[[#This Row],[Billing State/Province]], ", ", Table1[[#This Row],[Billing Zip/Postal Code]])</f>
        <v>1530 Silo Rd, Bonham, TX, 75418</v>
      </c>
    </row>
    <row r="2917" spans="1:13" ht="15.6" hidden="1" x14ac:dyDescent="0.3">
      <c r="A2917" s="1" t="s">
        <v>8891</v>
      </c>
      <c r="B2917" s="1"/>
      <c r="C2917" s="1"/>
      <c r="D2917" s="1"/>
      <c r="E2917" s="1"/>
      <c r="F2917" s="1"/>
      <c r="G2917" s="1" t="s">
        <v>8</v>
      </c>
      <c r="H2917" s="2">
        <v>6528</v>
      </c>
      <c r="I2917" s="1" t="s">
        <v>13</v>
      </c>
      <c r="J2917" s="1" t="s">
        <v>13</v>
      </c>
      <c r="K2917" s="1" t="s">
        <v>198</v>
      </c>
      <c r="L2917" s="1" t="s">
        <v>13</v>
      </c>
      <c r="M2917" s="6" t="str">
        <f>_xlfn.CONCAT(Table1[[#This Row],[Billing Street]], ", ", Table1[[#This Row],[Billing City]], ", ", Table1[[#This Row],[Billing State/Province]], ", ", Table1[[#This Row],[Billing Zip/Postal Code]])</f>
        <v xml:space="preserve">, , NE, </v>
      </c>
    </row>
    <row r="2918" spans="1:13" ht="15.6" x14ac:dyDescent="0.3">
      <c r="A2918" s="1" t="s">
        <v>8892</v>
      </c>
      <c r="B2918" s="1"/>
      <c r="C2918" s="1"/>
      <c r="D2918" s="1"/>
      <c r="E2918" s="1"/>
      <c r="F2918" s="1"/>
      <c r="G2918" s="1" t="s">
        <v>24</v>
      </c>
      <c r="H2918" s="2">
        <v>496</v>
      </c>
      <c r="I2918" s="1" t="s">
        <v>8893</v>
      </c>
      <c r="J2918" s="1" t="s">
        <v>8894</v>
      </c>
      <c r="K2918" s="1" t="s">
        <v>36</v>
      </c>
      <c r="L2918" s="1" t="s">
        <v>8895</v>
      </c>
      <c r="M2918" s="6" t="str">
        <f>_xlfn.CONCAT(Table1[[#This Row],[Billing Street]], ", ", Table1[[#This Row],[Billing City]], ", ", Table1[[#This Row],[Billing State/Province]], ", ", Table1[[#This Row],[Billing Zip/Postal Code]])</f>
        <v>8603 S. Dixie Hwy ste.218, Pinecrest, FL, 33156</v>
      </c>
    </row>
    <row r="2919" spans="1:13" ht="15.6" hidden="1" x14ac:dyDescent="0.3">
      <c r="A2919" s="1" t="s">
        <v>8896</v>
      </c>
      <c r="B2919" s="1"/>
      <c r="C2919" s="1"/>
      <c r="D2919" s="1"/>
      <c r="E2919" s="1"/>
      <c r="F2919" s="1"/>
      <c r="G2919" s="1" t="s">
        <v>8</v>
      </c>
      <c r="H2919" s="2">
        <v>255</v>
      </c>
      <c r="I2919" s="1" t="s">
        <v>8897</v>
      </c>
      <c r="J2919" s="1" t="s">
        <v>2701</v>
      </c>
      <c r="K2919" s="1" t="s">
        <v>198</v>
      </c>
      <c r="L2919" s="1" t="s">
        <v>8898</v>
      </c>
      <c r="M2919" s="6" t="str">
        <f>_xlfn.CONCAT(Table1[[#This Row],[Billing Street]], ", ", Table1[[#This Row],[Billing City]], ", ", Table1[[#This Row],[Billing State/Province]], ", ", Table1[[#This Row],[Billing Zip/Postal Code]])</f>
        <v>108 N. Oak Ave., Davenport, NE, 68335</v>
      </c>
    </row>
    <row r="2920" spans="1:13" ht="15.6" hidden="1" x14ac:dyDescent="0.3">
      <c r="A2920" s="1" t="s">
        <v>8899</v>
      </c>
      <c r="B2920" s="1"/>
      <c r="C2920" s="1"/>
      <c r="D2920" s="1"/>
      <c r="E2920" s="1"/>
      <c r="F2920" s="1"/>
      <c r="G2920" s="1" t="s">
        <v>8</v>
      </c>
      <c r="H2920" s="2">
        <v>362</v>
      </c>
      <c r="I2920" s="1" t="s">
        <v>8900</v>
      </c>
      <c r="J2920" s="1" t="s">
        <v>8901</v>
      </c>
      <c r="K2920" s="1" t="s">
        <v>198</v>
      </c>
      <c r="L2920" s="1" t="s">
        <v>8902</v>
      </c>
      <c r="M2920" s="6" t="str">
        <f>_xlfn.CONCAT(Table1[[#This Row],[Billing Street]], ", ", Table1[[#This Row],[Billing City]], ", ", Table1[[#This Row],[Billing State/Province]], ", ", Table1[[#This Row],[Billing Zip/Postal Code]])</f>
        <v>201 Garlick, Curtis, NE, 69025</v>
      </c>
    </row>
    <row r="2921" spans="1:13" ht="15.6" hidden="1" x14ac:dyDescent="0.3">
      <c r="A2921" s="1" t="s">
        <v>8903</v>
      </c>
      <c r="B2921" s="1"/>
      <c r="C2921" s="1"/>
      <c r="D2921" s="1"/>
      <c r="E2921" s="1"/>
      <c r="F2921" s="1"/>
      <c r="G2921" s="1" t="s">
        <v>43</v>
      </c>
      <c r="H2921" s="2">
        <v>407</v>
      </c>
      <c r="I2921" s="1" t="s">
        <v>8904</v>
      </c>
      <c r="J2921" s="1" t="s">
        <v>8905</v>
      </c>
      <c r="K2921" s="1" t="s">
        <v>133</v>
      </c>
      <c r="L2921" s="1" t="s">
        <v>8906</v>
      </c>
      <c r="M2921" s="6" t="str">
        <f>_xlfn.CONCAT(Table1[[#This Row],[Billing Street]], ", ", Table1[[#This Row],[Billing City]], ", ", Table1[[#This Row],[Billing State/Province]], ", ", Table1[[#This Row],[Billing Zip/Postal Code]])</f>
        <v>410 S Walnut St,, Appleton, WI, 54911</v>
      </c>
    </row>
    <row r="2922" spans="1:13" ht="15.6" hidden="1" x14ac:dyDescent="0.3">
      <c r="A2922" s="1" t="s">
        <v>8907</v>
      </c>
      <c r="B2922" s="1"/>
      <c r="C2922" s="1"/>
      <c r="D2922" s="1"/>
      <c r="E2922" s="1"/>
      <c r="F2922" s="1"/>
      <c r="G2922" s="1" t="s">
        <v>8</v>
      </c>
      <c r="H2922" s="2">
        <v>268</v>
      </c>
      <c r="I2922" s="1" t="s">
        <v>8908</v>
      </c>
      <c r="J2922" s="1" t="s">
        <v>3909</v>
      </c>
      <c r="K2922" s="1" t="s">
        <v>198</v>
      </c>
      <c r="L2922" s="1" t="s">
        <v>8909</v>
      </c>
      <c r="M2922" s="6" t="str">
        <f>_xlfn.CONCAT(Table1[[#This Row],[Billing Street]], ", ", Table1[[#This Row],[Billing City]], ", ", Table1[[#This Row],[Billing State/Province]], ", ", Table1[[#This Row],[Billing Zip/Postal Code]])</f>
        <v>1901 Y Street, Lincoln, NE, 68588</v>
      </c>
    </row>
    <row r="2923" spans="1:13" ht="15.6" hidden="1" x14ac:dyDescent="0.3">
      <c r="A2923" s="1" t="s">
        <v>8910</v>
      </c>
      <c r="B2923" s="1"/>
      <c r="C2923" s="1"/>
      <c r="D2923" s="1"/>
      <c r="E2923" s="1"/>
      <c r="F2923" s="1"/>
      <c r="G2923" s="1" t="s">
        <v>8</v>
      </c>
      <c r="H2923" s="2">
        <v>6528</v>
      </c>
      <c r="I2923" s="1" t="s">
        <v>13</v>
      </c>
      <c r="J2923" s="1" t="s">
        <v>13</v>
      </c>
      <c r="K2923" s="1" t="s">
        <v>198</v>
      </c>
      <c r="L2923" s="1" t="s">
        <v>13</v>
      </c>
      <c r="M2923" s="6" t="str">
        <f>_xlfn.CONCAT(Table1[[#This Row],[Billing Street]], ", ", Table1[[#This Row],[Billing City]], ", ", Table1[[#This Row],[Billing State/Province]], ", ", Table1[[#This Row],[Billing Zip/Postal Code]])</f>
        <v xml:space="preserve">, , NE, </v>
      </c>
    </row>
    <row r="2924" spans="1:13" ht="15.6" hidden="1" x14ac:dyDescent="0.3">
      <c r="A2924" s="1" t="s">
        <v>8911</v>
      </c>
      <c r="B2924" s="1"/>
      <c r="C2924" s="1"/>
      <c r="D2924" s="1"/>
      <c r="E2924" s="1"/>
      <c r="F2924" s="1"/>
      <c r="G2924" s="1" t="s">
        <v>43</v>
      </c>
      <c r="H2924" s="2">
        <v>395</v>
      </c>
      <c r="I2924" s="1" t="s">
        <v>8912</v>
      </c>
      <c r="J2924" s="1" t="s">
        <v>7737</v>
      </c>
      <c r="K2924" s="1" t="s">
        <v>152</v>
      </c>
      <c r="L2924" s="1" t="s">
        <v>7738</v>
      </c>
      <c r="M2924" s="6" t="str">
        <f>_xlfn.CONCAT(Table1[[#This Row],[Billing Street]], ", ", Table1[[#This Row],[Billing City]], ", ", Table1[[#This Row],[Billing State/Province]], ", ", Table1[[#This Row],[Billing Zip/Postal Code]])</f>
        <v>12834 E 700 RD, Mount Carmel, IL, 62863</v>
      </c>
    </row>
    <row r="2925" spans="1:13" ht="15.6" hidden="1" x14ac:dyDescent="0.3">
      <c r="A2925" s="1" t="s">
        <v>8913</v>
      </c>
      <c r="B2925" s="1"/>
      <c r="C2925" s="1"/>
      <c r="D2925" s="1"/>
      <c r="E2925" s="1"/>
      <c r="F2925" s="1"/>
      <c r="G2925" s="1" t="s">
        <v>43</v>
      </c>
      <c r="H2925" s="2">
        <v>372</v>
      </c>
      <c r="I2925" s="1" t="s">
        <v>8914</v>
      </c>
      <c r="J2925" s="1" t="s">
        <v>8915</v>
      </c>
      <c r="K2925" s="1" t="s">
        <v>152</v>
      </c>
      <c r="L2925" s="1" t="s">
        <v>8916</v>
      </c>
      <c r="M2925" s="6" t="str">
        <f>_xlfn.CONCAT(Table1[[#This Row],[Billing Street]], ", ", Table1[[#This Row],[Billing City]], ", ", Table1[[#This Row],[Billing State/Province]], ", ", Table1[[#This Row],[Billing Zip/Postal Code]])</f>
        <v>108 E. First Street, Casey, IL, 62420</v>
      </c>
    </row>
    <row r="2926" spans="1:13" ht="15.6" hidden="1" x14ac:dyDescent="0.3">
      <c r="A2926" s="1" t="s">
        <v>8917</v>
      </c>
      <c r="B2926" s="1"/>
      <c r="C2926" s="1"/>
      <c r="D2926" s="1"/>
      <c r="E2926" s="1"/>
      <c r="F2926" s="1"/>
      <c r="G2926" s="1" t="s">
        <v>8</v>
      </c>
      <c r="H2926" s="2">
        <v>503</v>
      </c>
      <c r="I2926" s="1" t="s">
        <v>8918</v>
      </c>
      <c r="J2926" s="1" t="s">
        <v>1554</v>
      </c>
      <c r="K2926" s="1" t="s">
        <v>51</v>
      </c>
      <c r="L2926" s="1" t="s">
        <v>8919</v>
      </c>
      <c r="M2926" s="6" t="str">
        <f>_xlfn.CONCAT(Table1[[#This Row],[Billing Street]], ", ", Table1[[#This Row],[Billing City]], ", ", Table1[[#This Row],[Billing State/Province]], ", ", Table1[[#This Row],[Billing Zip/Postal Code]])</f>
        <v>126 W Main St, Fredericksburg, TX, 78624</v>
      </c>
    </row>
    <row r="2927" spans="1:13" ht="15.6" hidden="1" x14ac:dyDescent="0.3">
      <c r="A2927" s="1" t="s">
        <v>8920</v>
      </c>
      <c r="B2927" s="1"/>
      <c r="C2927" s="1"/>
      <c r="D2927" s="1"/>
      <c r="E2927" s="1"/>
      <c r="F2927" s="1"/>
      <c r="G2927" s="1" t="s">
        <v>8</v>
      </c>
      <c r="H2927" s="2">
        <v>258</v>
      </c>
      <c r="I2927" s="1" t="s">
        <v>8921</v>
      </c>
      <c r="J2927" s="1" t="s">
        <v>8922</v>
      </c>
      <c r="K2927" s="1" t="s">
        <v>198</v>
      </c>
      <c r="L2927" s="1" t="s">
        <v>8923</v>
      </c>
      <c r="M2927" s="6" t="str">
        <f>_xlfn.CONCAT(Table1[[#This Row],[Billing Street]], ", ", Table1[[#This Row],[Billing City]], ", ", Table1[[#This Row],[Billing State/Province]], ", ", Table1[[#This Row],[Billing Zip/Postal Code]])</f>
        <v>243 East 13th StreetCrete, NE  68333, Crete, NE, 68333</v>
      </c>
    </row>
    <row r="2928" spans="1:13" ht="15.6" hidden="1" x14ac:dyDescent="0.3">
      <c r="A2928" s="1" t="s">
        <v>8924</v>
      </c>
      <c r="B2928" s="1"/>
      <c r="C2928" s="1"/>
      <c r="D2928" s="1"/>
      <c r="E2928" s="1"/>
      <c r="F2928" s="1"/>
      <c r="G2928" s="1" t="s">
        <v>8</v>
      </c>
      <c r="H2928" s="2">
        <v>278</v>
      </c>
      <c r="I2928" s="1" t="s">
        <v>8925</v>
      </c>
      <c r="J2928" s="1" t="s">
        <v>8926</v>
      </c>
      <c r="K2928" s="1" t="s">
        <v>51</v>
      </c>
      <c r="L2928" s="1" t="s">
        <v>8927</v>
      </c>
      <c r="M2928" s="6" t="str">
        <f>_xlfn.CONCAT(Table1[[#This Row],[Billing Street]], ", ", Table1[[#This Row],[Billing City]], ", ", Table1[[#This Row],[Billing State/Province]], ", ", Table1[[#This Row],[Billing Zip/Postal Code]])</f>
        <v>101 N Main St, Electra, TX, 76360</v>
      </c>
    </row>
    <row r="2929" spans="1:13" ht="15.6" hidden="1" x14ac:dyDescent="0.3">
      <c r="A2929" s="1" t="s">
        <v>8928</v>
      </c>
      <c r="B2929" s="1"/>
      <c r="C2929" s="1"/>
      <c r="D2929" s="1"/>
      <c r="E2929" s="1"/>
      <c r="F2929" s="1"/>
      <c r="G2929" s="1" t="s">
        <v>8</v>
      </c>
      <c r="H2929" s="2">
        <v>292</v>
      </c>
      <c r="I2929" s="1" t="s">
        <v>8929</v>
      </c>
      <c r="J2929" s="1" t="s">
        <v>212</v>
      </c>
      <c r="K2929" s="1" t="s">
        <v>198</v>
      </c>
      <c r="L2929" s="1" t="s">
        <v>8930</v>
      </c>
      <c r="M2929" s="6" t="str">
        <f>_xlfn.CONCAT(Table1[[#This Row],[Billing Street]], ", ", Table1[[#This Row],[Billing City]], ", ", Table1[[#This Row],[Billing State/Province]], ", ", Table1[[#This Row],[Billing Zip/Postal Code]])</f>
        <v>1723 Harney St., Omaha, NE, 68102-1960</v>
      </c>
    </row>
    <row r="2930" spans="1:13" ht="15.6" hidden="1" x14ac:dyDescent="0.3">
      <c r="A2930" s="1" t="s">
        <v>8931</v>
      </c>
      <c r="B2930" s="1"/>
      <c r="C2930" s="1"/>
      <c r="D2930" s="1"/>
      <c r="E2930" s="1"/>
      <c r="F2930" s="1"/>
      <c r="G2930" s="1" t="s">
        <v>8</v>
      </c>
      <c r="H2930" s="2">
        <v>358</v>
      </c>
      <c r="I2930" s="1" t="s">
        <v>13</v>
      </c>
      <c r="J2930" s="1" t="s">
        <v>8932</v>
      </c>
      <c r="K2930" s="1" t="s">
        <v>198</v>
      </c>
      <c r="L2930" s="1" t="s">
        <v>8933</v>
      </c>
      <c r="M2930" s="6" t="str">
        <f>_xlfn.CONCAT(Table1[[#This Row],[Billing Street]], ", ", Table1[[#This Row],[Billing City]], ", ", Table1[[#This Row],[Billing State/Province]], ", ", Table1[[#This Row],[Billing Zip/Postal Code]])</f>
        <v>, Battle Creek, NE, 68715</v>
      </c>
    </row>
    <row r="2931" spans="1:13" ht="15.6" hidden="1" x14ac:dyDescent="0.3">
      <c r="A2931" s="1" t="s">
        <v>8934</v>
      </c>
      <c r="B2931" s="1"/>
      <c r="C2931" s="1"/>
      <c r="D2931" s="1"/>
      <c r="E2931" s="1"/>
      <c r="F2931" s="1"/>
      <c r="G2931" s="1" t="s">
        <v>8</v>
      </c>
      <c r="H2931" s="2">
        <v>272</v>
      </c>
      <c r="I2931" s="1" t="s">
        <v>8935</v>
      </c>
      <c r="J2931" s="1" t="s">
        <v>7556</v>
      </c>
      <c r="K2931" s="1" t="s">
        <v>198</v>
      </c>
      <c r="L2931" s="1" t="s">
        <v>8936</v>
      </c>
      <c r="M2931" s="6" t="str">
        <f>_xlfn.CONCAT(Table1[[#This Row],[Billing Street]], ", ", Table1[[#This Row],[Billing City]], ", ", Table1[[#This Row],[Billing State/Province]], ", ", Table1[[#This Row],[Billing Zip/Postal Code]])</f>
        <v>13351 Dovers Street, Waverly, NE, 68462</v>
      </c>
    </row>
    <row r="2932" spans="1:13" ht="15.6" hidden="1" x14ac:dyDescent="0.3">
      <c r="A2932" s="1" t="s">
        <v>8937</v>
      </c>
      <c r="B2932" s="1"/>
      <c r="C2932" s="1"/>
      <c r="D2932" s="1"/>
      <c r="E2932" s="1"/>
      <c r="F2932" s="1"/>
      <c r="G2932" s="1" t="s">
        <v>8</v>
      </c>
      <c r="H2932" s="2">
        <v>306</v>
      </c>
      <c r="I2932" s="1" t="s">
        <v>8938</v>
      </c>
      <c r="J2932" s="1" t="s">
        <v>6080</v>
      </c>
      <c r="K2932" s="1" t="s">
        <v>198</v>
      </c>
      <c r="L2932" s="1" t="s">
        <v>8939</v>
      </c>
      <c r="M2932" s="6" t="str">
        <f>_xlfn.CONCAT(Table1[[#This Row],[Billing Street]], ", ", Table1[[#This Row],[Billing City]], ", ", Table1[[#This Row],[Billing State/Province]], ", ", Table1[[#This Row],[Billing Zip/Postal Code]])</f>
        <v>4550 W Husker Hwy, Grand Island, NE, 68803</v>
      </c>
    </row>
    <row r="2933" spans="1:13" ht="15.6" hidden="1" x14ac:dyDescent="0.3">
      <c r="A2933" s="1" t="s">
        <v>8940</v>
      </c>
      <c r="B2933" s="1"/>
      <c r="C2933" s="1"/>
      <c r="D2933" s="1"/>
      <c r="E2933" s="1"/>
      <c r="F2933" s="1"/>
      <c r="G2933" s="1" t="s">
        <v>8</v>
      </c>
      <c r="H2933" s="2">
        <v>6528</v>
      </c>
      <c r="I2933" s="1" t="s">
        <v>13</v>
      </c>
      <c r="J2933" s="1" t="s">
        <v>13</v>
      </c>
      <c r="K2933" s="1" t="s">
        <v>198</v>
      </c>
      <c r="L2933" s="1" t="s">
        <v>13</v>
      </c>
      <c r="M2933" s="6" t="str">
        <f>_xlfn.CONCAT(Table1[[#This Row],[Billing Street]], ", ", Table1[[#This Row],[Billing City]], ", ", Table1[[#This Row],[Billing State/Province]], ", ", Table1[[#This Row],[Billing Zip/Postal Code]])</f>
        <v xml:space="preserve">, , NE, </v>
      </c>
    </row>
    <row r="2934" spans="1:13" ht="15.6" hidden="1" x14ac:dyDescent="0.3">
      <c r="A2934" s="1" t="s">
        <v>8941</v>
      </c>
      <c r="B2934" s="1"/>
      <c r="C2934" s="1"/>
      <c r="D2934" s="1"/>
      <c r="E2934" s="1"/>
      <c r="F2934" s="1"/>
      <c r="G2934" s="1" t="s">
        <v>205</v>
      </c>
      <c r="H2934" s="2">
        <v>259</v>
      </c>
      <c r="I2934" s="1" t="s">
        <v>8942</v>
      </c>
      <c r="J2934" s="1" t="s">
        <v>1694</v>
      </c>
      <c r="K2934" s="1" t="s">
        <v>1695</v>
      </c>
      <c r="L2934" s="1" t="s">
        <v>8943</v>
      </c>
      <c r="M2934" s="6" t="str">
        <f>_xlfn.CONCAT(Table1[[#This Row],[Billing Street]], ", ", Table1[[#This Row],[Billing City]], ", ", Table1[[#This Row],[Billing State/Province]], ", ", Table1[[#This Row],[Billing Zip/Postal Code]])</f>
        <v>2215 E. Lone Mountain Rd, Las Vegas, NV, 89081</v>
      </c>
    </row>
    <row r="2935" spans="1:13" ht="15.6" hidden="1" x14ac:dyDescent="0.3">
      <c r="A2935" s="1" t="s">
        <v>8944</v>
      </c>
      <c r="B2935" s="1"/>
      <c r="C2935" s="1"/>
      <c r="D2935" s="1"/>
      <c r="E2935" s="1"/>
      <c r="F2935" s="1"/>
      <c r="G2935" s="1" t="s">
        <v>8</v>
      </c>
      <c r="H2935" s="2">
        <v>152</v>
      </c>
      <c r="I2935" s="1" t="s">
        <v>8945</v>
      </c>
      <c r="J2935" s="1" t="s">
        <v>434</v>
      </c>
      <c r="K2935" s="1" t="s">
        <v>147</v>
      </c>
      <c r="L2935" s="1" t="s">
        <v>2627</v>
      </c>
      <c r="M2935" s="6" t="str">
        <f>_xlfn.CONCAT(Table1[[#This Row],[Billing Street]], ", ", Table1[[#This Row],[Billing City]], ", ", Table1[[#This Row],[Billing State/Province]], ", ", Table1[[#This Row],[Billing Zip/Postal Code]])</f>
        <v>3220 South High, Oklahoma City, OK, 73149</v>
      </c>
    </row>
    <row r="2936" spans="1:13" ht="15.6" hidden="1" x14ac:dyDescent="0.3">
      <c r="A2936" s="1" t="s">
        <v>8946</v>
      </c>
      <c r="B2936" s="1"/>
      <c r="C2936" s="1"/>
      <c r="D2936" s="1"/>
      <c r="E2936" s="1"/>
      <c r="F2936" s="1"/>
      <c r="G2936" s="1" t="s">
        <v>54</v>
      </c>
      <c r="H2936" s="2">
        <v>942</v>
      </c>
      <c r="I2936" s="1" t="s">
        <v>8947</v>
      </c>
      <c r="J2936" s="1" t="s">
        <v>1818</v>
      </c>
      <c r="K2936" s="1" t="s">
        <v>405</v>
      </c>
      <c r="L2936" s="1" t="s">
        <v>2865</v>
      </c>
      <c r="M2936" s="6" t="str">
        <f>_xlfn.CONCAT(Table1[[#This Row],[Billing Street]], ", ", Table1[[#This Row],[Billing City]], ", ", Table1[[#This Row],[Billing State/Province]], ", ", Table1[[#This Row],[Billing Zip/Postal Code]])</f>
        <v>1411 E Mission Ave MSC -15, Spokane, WA, 99202</v>
      </c>
    </row>
    <row r="2937" spans="1:13" ht="15.6" hidden="1" x14ac:dyDescent="0.3">
      <c r="A2937" s="1" t="s">
        <v>8948</v>
      </c>
      <c r="B2937" s="1"/>
      <c r="C2937" s="1"/>
      <c r="D2937" s="1"/>
      <c r="E2937" s="1"/>
      <c r="F2937" s="1"/>
      <c r="G2937" s="1" t="s">
        <v>8</v>
      </c>
      <c r="H2937" s="2">
        <v>220</v>
      </c>
      <c r="I2937" s="1" t="s">
        <v>8949</v>
      </c>
      <c r="J2937" s="1" t="s">
        <v>1265</v>
      </c>
      <c r="K2937" s="1" t="s">
        <v>147</v>
      </c>
      <c r="L2937" s="1" t="s">
        <v>8950</v>
      </c>
      <c r="M2937" s="6" t="str">
        <f>_xlfn.CONCAT(Table1[[#This Row],[Billing Street]], ", ", Table1[[#This Row],[Billing City]], ", ", Table1[[#This Row],[Billing State/Province]], ", ", Table1[[#This Row],[Billing Zip/Postal Code]])</f>
        <v>802 Martin Luther King Ave, Duncan, OK, 73533</v>
      </c>
    </row>
    <row r="2938" spans="1:13" ht="15.6" hidden="1" x14ac:dyDescent="0.3">
      <c r="A2938" s="1" t="s">
        <v>8951</v>
      </c>
      <c r="B2938" s="1"/>
      <c r="C2938" s="1"/>
      <c r="D2938" s="1"/>
      <c r="E2938" s="1"/>
      <c r="F2938" s="1"/>
      <c r="G2938" s="1" t="s">
        <v>8</v>
      </c>
      <c r="H2938" s="2">
        <v>316</v>
      </c>
      <c r="I2938" s="1" t="s">
        <v>8952</v>
      </c>
      <c r="J2938" s="1" t="s">
        <v>1309</v>
      </c>
      <c r="K2938" s="1" t="s">
        <v>11</v>
      </c>
      <c r="L2938" s="1" t="s">
        <v>8953</v>
      </c>
      <c r="M2938" s="6" t="str">
        <f>_xlfn.CONCAT(Table1[[#This Row],[Billing Street]], ", ", Table1[[#This Row],[Billing City]], ", ", Table1[[#This Row],[Billing State/Province]], ", ", Table1[[#This Row],[Billing Zip/Postal Code]])</f>
        <v>701 Market St., St. Louis, MO, 63101-1826</v>
      </c>
    </row>
    <row r="2939" spans="1:13" ht="15.6" x14ac:dyDescent="0.3">
      <c r="A2939" s="1" t="s">
        <v>8954</v>
      </c>
      <c r="B2939" s="1"/>
      <c r="C2939" s="1"/>
      <c r="D2939" s="1"/>
      <c r="E2939" s="1"/>
      <c r="F2939" s="1"/>
      <c r="G2939" s="1" t="s">
        <v>24</v>
      </c>
      <c r="H2939" s="2">
        <v>217</v>
      </c>
      <c r="I2939" s="1" t="s">
        <v>8955</v>
      </c>
      <c r="J2939" s="1" t="s">
        <v>8956</v>
      </c>
      <c r="K2939" s="1" t="s">
        <v>26</v>
      </c>
      <c r="L2939" s="1" t="s">
        <v>8957</v>
      </c>
      <c r="M2939" s="6" t="str">
        <f>_xlfn.CONCAT(Table1[[#This Row],[Billing Street]], ", ", Table1[[#This Row],[Billing City]], ", ", Table1[[#This Row],[Billing State/Province]], ", ", Table1[[#This Row],[Billing Zip/Postal Code]])</f>
        <v>654 Camp Creek Portal, Oakman, AL, 35579</v>
      </c>
    </row>
    <row r="2940" spans="1:13" ht="15.6" hidden="1" x14ac:dyDescent="0.3">
      <c r="A2940" s="1" t="s">
        <v>8958</v>
      </c>
      <c r="B2940" s="1"/>
      <c r="C2940" s="1"/>
      <c r="D2940" s="1"/>
      <c r="E2940" s="1"/>
      <c r="F2940" s="1"/>
      <c r="G2940" s="1" t="s">
        <v>8</v>
      </c>
      <c r="H2940" s="2">
        <v>265</v>
      </c>
      <c r="I2940" s="1" t="s">
        <v>8959</v>
      </c>
      <c r="J2940" s="1" t="s">
        <v>8960</v>
      </c>
      <c r="K2940" s="1" t="s">
        <v>147</v>
      </c>
      <c r="L2940" s="1" t="s">
        <v>8961</v>
      </c>
      <c r="M2940" s="6" t="str">
        <f>_xlfn.CONCAT(Table1[[#This Row],[Billing Street]], ", ", Table1[[#This Row],[Billing City]], ", ", Table1[[#This Row],[Billing State/Province]], ", ", Table1[[#This Row],[Billing Zip/Postal Code]])</f>
        <v>2208 Enterprise Drive, Altus, OK, 73521</v>
      </c>
    </row>
    <row r="2941" spans="1:13" ht="15.6" hidden="1" x14ac:dyDescent="0.3">
      <c r="A2941" s="1" t="s">
        <v>8962</v>
      </c>
      <c r="B2941" s="1"/>
      <c r="C2941" s="1"/>
      <c r="D2941" s="1"/>
      <c r="E2941" s="1"/>
      <c r="F2941" s="1"/>
      <c r="G2941" s="1" t="s">
        <v>8</v>
      </c>
      <c r="H2941" s="2">
        <v>85</v>
      </c>
      <c r="I2941" s="1" t="s">
        <v>8963</v>
      </c>
      <c r="J2941" s="1" t="s">
        <v>8964</v>
      </c>
      <c r="K2941" s="1" t="s">
        <v>147</v>
      </c>
      <c r="L2941" s="1" t="s">
        <v>8965</v>
      </c>
      <c r="M2941" s="6" t="str">
        <f>_xlfn.CONCAT(Table1[[#This Row],[Billing Street]], ", ", Table1[[#This Row],[Billing City]], ", ", Table1[[#This Row],[Billing State/Province]], ", ", Table1[[#This Row],[Billing Zip/Postal Code]])</f>
        <v>728 West Choctaw Street, Tahlequah, OK, 74464</v>
      </c>
    </row>
    <row r="2942" spans="1:13" ht="15.6" hidden="1" x14ac:dyDescent="0.3">
      <c r="A2942" s="1" t="s">
        <v>8966</v>
      </c>
      <c r="B2942" s="1"/>
      <c r="C2942" s="1"/>
      <c r="D2942" s="1"/>
      <c r="E2942" s="1"/>
      <c r="F2942" s="1"/>
      <c r="G2942" s="1" t="s">
        <v>8</v>
      </c>
      <c r="H2942" s="2">
        <v>51</v>
      </c>
      <c r="I2942" s="1" t="s">
        <v>8967</v>
      </c>
      <c r="J2942" s="1" t="s">
        <v>8968</v>
      </c>
      <c r="K2942" s="1" t="s">
        <v>147</v>
      </c>
      <c r="L2942" s="1" t="s">
        <v>8969</v>
      </c>
      <c r="M2942" s="6" t="str">
        <f>_xlfn.CONCAT(Table1[[#This Row],[Billing Street]], ", ", Table1[[#This Row],[Billing City]], ", ", Table1[[#This Row],[Billing State/Province]], ", ", Table1[[#This Row],[Billing Zip/Postal Code]])</f>
        <v>724 West Ramm Road, Claremore, OK, 74017</v>
      </c>
    </row>
    <row r="2943" spans="1:13" ht="15.6" hidden="1" x14ac:dyDescent="0.3">
      <c r="A2943" s="1" t="s">
        <v>8970</v>
      </c>
      <c r="B2943" s="1"/>
      <c r="C2943" s="1"/>
      <c r="D2943" s="1"/>
      <c r="E2943" s="1"/>
      <c r="F2943" s="1"/>
      <c r="G2943" s="1" t="s">
        <v>43</v>
      </c>
      <c r="H2943" s="2">
        <v>250</v>
      </c>
      <c r="I2943" s="1" t="s">
        <v>8971</v>
      </c>
      <c r="J2943" s="1" t="s">
        <v>5743</v>
      </c>
      <c r="K2943" s="1" t="s">
        <v>82</v>
      </c>
      <c r="L2943" s="1" t="s">
        <v>5744</v>
      </c>
      <c r="M2943" s="6" t="str">
        <f>_xlfn.CONCAT(Table1[[#This Row],[Billing Street]], ", ", Table1[[#This Row],[Billing City]], ", ", Table1[[#This Row],[Billing State/Province]], ", ", Table1[[#This Row],[Billing Zip/Postal Code]])</f>
        <v>1631 Lake Street, Niles, MI, 49120</v>
      </c>
    </row>
    <row r="2944" spans="1:13" ht="15.6" hidden="1" x14ac:dyDescent="0.3">
      <c r="A2944" s="1" t="s">
        <v>8972</v>
      </c>
      <c r="B2944" s="1"/>
      <c r="C2944" s="1"/>
      <c r="D2944" s="1"/>
      <c r="E2944" s="1"/>
      <c r="F2944" s="1"/>
      <c r="G2944" s="1" t="s">
        <v>8</v>
      </c>
      <c r="H2944" s="2">
        <v>213</v>
      </c>
      <c r="I2944" s="1" t="s">
        <v>8973</v>
      </c>
      <c r="J2944" s="1" t="s">
        <v>8974</v>
      </c>
      <c r="K2944" s="1" t="s">
        <v>147</v>
      </c>
      <c r="L2944" s="1" t="s">
        <v>8975</v>
      </c>
      <c r="M2944" s="6" t="str">
        <f>_xlfn.CONCAT(Table1[[#This Row],[Billing Street]], ", ", Table1[[#This Row],[Billing City]], ", ", Table1[[#This Row],[Billing State/Province]], ", ", Table1[[#This Row],[Billing Zip/Postal Code]])</f>
        <v>2925 Williams Avenue, Woodward, OK, 73801</v>
      </c>
    </row>
    <row r="2945" spans="1:13" ht="15.6" hidden="1" x14ac:dyDescent="0.3">
      <c r="A2945" s="1" t="s">
        <v>8976</v>
      </c>
      <c r="B2945" s="1"/>
      <c r="C2945" s="1"/>
      <c r="D2945" s="1"/>
      <c r="E2945" s="1"/>
      <c r="F2945" s="1"/>
      <c r="G2945" s="1" t="s">
        <v>8</v>
      </c>
      <c r="H2945" s="2">
        <v>6528</v>
      </c>
      <c r="I2945" s="1" t="s">
        <v>13</v>
      </c>
      <c r="J2945" s="1" t="s">
        <v>13</v>
      </c>
      <c r="K2945" s="1" t="s">
        <v>147</v>
      </c>
      <c r="L2945" s="1" t="s">
        <v>13</v>
      </c>
      <c r="M2945" s="6" t="str">
        <f>_xlfn.CONCAT(Table1[[#This Row],[Billing Street]], ", ", Table1[[#This Row],[Billing City]], ", ", Table1[[#This Row],[Billing State/Province]], ", ", Table1[[#This Row],[Billing Zip/Postal Code]])</f>
        <v xml:space="preserve">, , OK, </v>
      </c>
    </row>
    <row r="2946" spans="1:13" ht="15.6" hidden="1" x14ac:dyDescent="0.3">
      <c r="A2946" s="1" t="s">
        <v>8977</v>
      </c>
      <c r="B2946" s="1"/>
      <c r="C2946" s="1"/>
      <c r="D2946" s="1"/>
      <c r="E2946" s="1"/>
      <c r="F2946" s="1"/>
      <c r="G2946" s="1" t="s">
        <v>43</v>
      </c>
      <c r="H2946" s="2">
        <v>450</v>
      </c>
      <c r="I2946" s="1" t="s">
        <v>8978</v>
      </c>
      <c r="J2946" s="1" t="s">
        <v>8979</v>
      </c>
      <c r="K2946" s="1" t="s">
        <v>152</v>
      </c>
      <c r="L2946" s="1" t="s">
        <v>8980</v>
      </c>
      <c r="M2946" s="6" t="str">
        <f>_xlfn.CONCAT(Table1[[#This Row],[Billing Street]], ", ", Table1[[#This Row],[Billing City]], ", ", Table1[[#This Row],[Billing State/Province]], ", ", Table1[[#This Row],[Billing Zip/Postal Code]])</f>
        <v>1004 S Chicago St, Geneseo, IL, 61254-0043</v>
      </c>
    </row>
    <row r="2947" spans="1:13" ht="15.6" hidden="1" x14ac:dyDescent="0.3">
      <c r="A2947" s="1" t="s">
        <v>8981</v>
      </c>
      <c r="B2947" s="1"/>
      <c r="C2947" s="1"/>
      <c r="D2947" s="1"/>
      <c r="E2947" s="1"/>
      <c r="F2947" s="1"/>
      <c r="G2947" s="1" t="s">
        <v>8</v>
      </c>
      <c r="H2947" s="2">
        <v>6528</v>
      </c>
      <c r="I2947" s="1" t="s">
        <v>8982</v>
      </c>
      <c r="J2947" s="1" t="s">
        <v>8983</v>
      </c>
      <c r="K2947" s="1" t="s">
        <v>147</v>
      </c>
      <c r="L2947" s="1" t="s">
        <v>13</v>
      </c>
      <c r="M2947" s="6" t="str">
        <f>_xlfn.CONCAT(Table1[[#This Row],[Billing Street]], ", ", Table1[[#This Row],[Billing City]], ", ", Table1[[#This Row],[Billing State/Province]], ", ", Table1[[#This Row],[Billing Zip/Postal Code]])</f>
        <v xml:space="preserve">Hwy 81 N, Kingsfisher, OK, </v>
      </c>
    </row>
    <row r="2948" spans="1:13" ht="15.6" hidden="1" x14ac:dyDescent="0.3">
      <c r="A2948" s="1" t="s">
        <v>8984</v>
      </c>
      <c r="B2948" s="1"/>
      <c r="C2948" s="1"/>
      <c r="D2948" s="1"/>
      <c r="E2948" s="1"/>
      <c r="F2948" s="1"/>
      <c r="G2948" s="1" t="s">
        <v>8</v>
      </c>
      <c r="H2948" s="2">
        <v>6528</v>
      </c>
      <c r="I2948" s="1" t="s">
        <v>13</v>
      </c>
      <c r="J2948" s="1" t="s">
        <v>5369</v>
      </c>
      <c r="K2948" s="1" t="s">
        <v>8985</v>
      </c>
      <c r="L2948" s="1" t="s">
        <v>13</v>
      </c>
      <c r="M2948" s="6" t="str">
        <f>_xlfn.CONCAT(Table1[[#This Row],[Billing Street]], ", ", Table1[[#This Row],[Billing City]], ", ", Table1[[#This Row],[Billing State/Province]], ", ", Table1[[#This Row],[Billing Zip/Postal Code]])</f>
        <v xml:space="preserve">, Jennings, Ok, </v>
      </c>
    </row>
    <row r="2949" spans="1:13" ht="15.6" hidden="1" x14ac:dyDescent="0.3">
      <c r="A2949" s="1" t="s">
        <v>8986</v>
      </c>
      <c r="B2949" s="1"/>
      <c r="C2949" s="1"/>
      <c r="D2949" s="1"/>
      <c r="E2949" s="1"/>
      <c r="F2949" s="1"/>
      <c r="G2949" s="1" t="s">
        <v>8</v>
      </c>
      <c r="H2949" s="2">
        <v>82</v>
      </c>
      <c r="I2949" s="1" t="s">
        <v>8987</v>
      </c>
      <c r="J2949" s="1" t="s">
        <v>8988</v>
      </c>
      <c r="K2949" s="1" t="s">
        <v>147</v>
      </c>
      <c r="L2949" s="1" t="s">
        <v>8989</v>
      </c>
      <c r="M2949" s="6" t="str">
        <f>_xlfn.CONCAT(Table1[[#This Row],[Billing Street]], ", ", Table1[[#This Row],[Billing City]], ", ", Table1[[#This Row],[Billing State/Province]], ", ", Table1[[#This Row],[Billing Zip/Postal Code]])</f>
        <v>6714 North Pleasant View Road, Ponca City, OK, 74601</v>
      </c>
    </row>
    <row r="2950" spans="1:13" ht="15.6" hidden="1" x14ac:dyDescent="0.3">
      <c r="A2950" s="1" t="s">
        <v>8990</v>
      </c>
      <c r="B2950" s="1"/>
      <c r="C2950" s="1"/>
      <c r="D2950" s="1"/>
      <c r="E2950" s="1"/>
      <c r="F2950" s="1"/>
      <c r="G2950" s="1" t="s">
        <v>8</v>
      </c>
      <c r="H2950" s="2">
        <v>6528</v>
      </c>
      <c r="I2950" s="1" t="s">
        <v>13</v>
      </c>
      <c r="J2950" s="1" t="s">
        <v>6207</v>
      </c>
      <c r="K2950" s="1" t="s">
        <v>51</v>
      </c>
      <c r="L2950" s="1" t="s">
        <v>13</v>
      </c>
      <c r="M2950" s="6" t="str">
        <f>_xlfn.CONCAT(Table1[[#This Row],[Billing Street]], ", ", Table1[[#This Row],[Billing City]], ", ", Table1[[#This Row],[Billing State/Province]], ", ", Table1[[#This Row],[Billing Zip/Postal Code]])</f>
        <v xml:space="preserve">, Longview, TX, </v>
      </c>
    </row>
    <row r="2951" spans="1:13" ht="15.6" hidden="1" x14ac:dyDescent="0.3">
      <c r="A2951" s="1" t="s">
        <v>8991</v>
      </c>
      <c r="B2951" s="1"/>
      <c r="C2951" s="1"/>
      <c r="D2951" s="1"/>
      <c r="E2951" s="1"/>
      <c r="F2951" s="1"/>
      <c r="G2951" s="1" t="s">
        <v>8</v>
      </c>
      <c r="H2951" s="2">
        <v>85</v>
      </c>
      <c r="I2951" s="1" t="s">
        <v>8992</v>
      </c>
      <c r="J2951" s="1" t="s">
        <v>8988</v>
      </c>
      <c r="K2951" s="1" t="s">
        <v>147</v>
      </c>
      <c r="L2951" s="1" t="s">
        <v>8989</v>
      </c>
      <c r="M2951" s="6" t="str">
        <f>_xlfn.CONCAT(Table1[[#This Row],[Billing Street]], ", ", Table1[[#This Row],[Billing City]], ", ", Table1[[#This Row],[Billing State/Province]], ", ", Table1[[#This Row],[Billing Zip/Postal Code]])</f>
        <v>1000 S Pine St, Gate A, Ponca City, OK, 74601</v>
      </c>
    </row>
    <row r="2952" spans="1:13" ht="15.6" hidden="1" x14ac:dyDescent="0.3">
      <c r="A2952" s="1" t="s">
        <v>8993</v>
      </c>
      <c r="B2952" s="1"/>
      <c r="C2952" s="1"/>
      <c r="D2952" s="1"/>
      <c r="E2952" s="1"/>
      <c r="F2952" s="1"/>
      <c r="G2952" s="1" t="s">
        <v>54</v>
      </c>
      <c r="H2952" s="2">
        <v>346</v>
      </c>
      <c r="I2952" s="1" t="s">
        <v>8994</v>
      </c>
      <c r="J2952" s="1" t="s">
        <v>8995</v>
      </c>
      <c r="K2952" s="1" t="s">
        <v>57</v>
      </c>
      <c r="L2952" s="1" t="s">
        <v>8996</v>
      </c>
      <c r="M2952" s="6" t="str">
        <f>_xlfn.CONCAT(Table1[[#This Row],[Billing Street]], ", ", Table1[[#This Row],[Billing City]], ", ", Table1[[#This Row],[Billing State/Province]], ", ", Table1[[#This Row],[Billing Zip/Postal Code]])</f>
        <v>4525 Hollis Street, Emeryville, CA, 94608</v>
      </c>
    </row>
    <row r="2953" spans="1:13" ht="15.6" hidden="1" x14ac:dyDescent="0.3">
      <c r="A2953" s="1" t="s">
        <v>8997</v>
      </c>
      <c r="B2953" s="1"/>
      <c r="C2953" s="1"/>
      <c r="D2953" s="1"/>
      <c r="E2953" s="1"/>
      <c r="F2953" s="1"/>
      <c r="G2953" s="1" t="s">
        <v>8</v>
      </c>
      <c r="H2953" s="2">
        <v>322</v>
      </c>
      <c r="I2953" s="1" t="s">
        <v>8998</v>
      </c>
      <c r="J2953" s="1" t="s">
        <v>8999</v>
      </c>
      <c r="K2953" s="1" t="s">
        <v>1439</v>
      </c>
      <c r="L2953" s="1" t="s">
        <v>9000</v>
      </c>
      <c r="M2953" s="6" t="str">
        <f>_xlfn.CONCAT(Table1[[#This Row],[Billing Street]], ", ", Table1[[#This Row],[Billing City]], ", ", Table1[[#This Row],[Billing State/Province]], ", ", Table1[[#This Row],[Billing Zip/Postal Code]])</f>
        <v>2505 West Northwest Loop 323, Tyler, Tx, 75702</v>
      </c>
    </row>
    <row r="2954" spans="1:13" ht="15.6" hidden="1" x14ac:dyDescent="0.3">
      <c r="A2954" s="1" t="s">
        <v>9001</v>
      </c>
      <c r="B2954" s="1"/>
      <c r="C2954" s="1"/>
      <c r="D2954" s="1"/>
      <c r="E2954" s="1"/>
      <c r="F2954" s="1"/>
      <c r="G2954" s="1" t="s">
        <v>8</v>
      </c>
      <c r="H2954" s="2">
        <v>316</v>
      </c>
      <c r="I2954" s="1" t="s">
        <v>9002</v>
      </c>
      <c r="J2954" s="1" t="s">
        <v>9003</v>
      </c>
      <c r="K2954" s="1" t="s">
        <v>51</v>
      </c>
      <c r="L2954" s="1" t="s">
        <v>9004</v>
      </c>
      <c r="M2954" s="6" t="str">
        <f>_xlfn.CONCAT(Table1[[#This Row],[Billing Street]], ", ", Table1[[#This Row],[Billing City]], ", ", Table1[[#This Row],[Billing State/Province]], ", ", Table1[[#This Row],[Billing Zip/Postal Code]])</f>
        <v>501 W.Felix St. Bldg 52  ., Ft. Worth, TX, 76115</v>
      </c>
    </row>
    <row r="2955" spans="1:13" ht="15.6" hidden="1" x14ac:dyDescent="0.3">
      <c r="A2955" s="1" t="s">
        <v>9005</v>
      </c>
      <c r="B2955" s="1"/>
      <c r="C2955" s="1"/>
      <c r="D2955" s="1"/>
      <c r="E2955" s="1"/>
      <c r="F2955" s="1"/>
      <c r="G2955" s="1" t="s">
        <v>8</v>
      </c>
      <c r="H2955" s="2">
        <v>127</v>
      </c>
      <c r="I2955" s="1" t="s">
        <v>9006</v>
      </c>
      <c r="J2955" s="1" t="s">
        <v>9007</v>
      </c>
      <c r="K2955" s="1" t="s">
        <v>147</v>
      </c>
      <c r="L2955" s="1" t="s">
        <v>9008</v>
      </c>
      <c r="M2955" s="6" t="str">
        <f>_xlfn.CONCAT(Table1[[#This Row],[Billing Street]], ", ", Table1[[#This Row],[Billing City]], ", ", Table1[[#This Row],[Billing State/Province]], ", ", Table1[[#This Row],[Billing Zip/Postal Code]])</f>
        <v>1002 East Main Street, Stigler, OK, 74462</v>
      </c>
    </row>
    <row r="2956" spans="1:13" ht="15.6" hidden="1" x14ac:dyDescent="0.3">
      <c r="A2956" s="1" t="s">
        <v>9009</v>
      </c>
      <c r="B2956" s="1"/>
      <c r="C2956" s="1"/>
      <c r="D2956" s="1"/>
      <c r="E2956" s="1"/>
      <c r="F2956" s="1"/>
      <c r="G2956" s="1" t="s">
        <v>8</v>
      </c>
      <c r="H2956" s="2">
        <v>307</v>
      </c>
      <c r="I2956" s="1" t="s">
        <v>9010</v>
      </c>
      <c r="J2956" s="1" t="s">
        <v>9011</v>
      </c>
      <c r="K2956" s="1" t="s">
        <v>147</v>
      </c>
      <c r="L2956" s="1" t="s">
        <v>9012</v>
      </c>
      <c r="M2956" s="6" t="str">
        <f>_xlfn.CONCAT(Table1[[#This Row],[Billing Street]], ", ", Table1[[#This Row],[Billing City]], ", ", Table1[[#This Row],[Billing State/Province]], ", ", Table1[[#This Row],[Billing Zip/Postal Code]])</f>
        <v>995 Mile 46 Road, Hooker, OK, 73945</v>
      </c>
    </row>
    <row r="2957" spans="1:13" ht="15.6" hidden="1" x14ac:dyDescent="0.3">
      <c r="A2957" s="1" t="s">
        <v>9013</v>
      </c>
      <c r="B2957" s="1"/>
      <c r="C2957" s="1"/>
      <c r="D2957" s="1"/>
      <c r="E2957" s="1"/>
      <c r="F2957" s="1"/>
      <c r="G2957" s="1" t="s">
        <v>8</v>
      </c>
      <c r="H2957" s="2">
        <v>6528</v>
      </c>
      <c r="I2957" s="1" t="s">
        <v>9014</v>
      </c>
      <c r="J2957" s="1" t="s">
        <v>4692</v>
      </c>
      <c r="K2957" s="1" t="s">
        <v>165</v>
      </c>
      <c r="L2957" s="1" t="s">
        <v>13</v>
      </c>
      <c r="M2957" s="6" t="str">
        <f>_xlfn.CONCAT(Table1[[#This Row],[Billing Street]], ", ", Table1[[#This Row],[Billing City]], ", ", Table1[[#This Row],[Billing State/Province]], ", ", Table1[[#This Row],[Billing Zip/Postal Code]])</f>
        <v xml:space="preserve">1665 south 4th street, Nashville, AR, </v>
      </c>
    </row>
    <row r="2958" spans="1:13" ht="15.6" hidden="1" x14ac:dyDescent="0.3">
      <c r="A2958" s="1" t="s">
        <v>9015</v>
      </c>
      <c r="B2958" s="1"/>
      <c r="C2958" s="1"/>
      <c r="D2958" s="1"/>
      <c r="E2958" s="1"/>
      <c r="F2958" s="1"/>
      <c r="G2958" s="1" t="s">
        <v>8</v>
      </c>
      <c r="H2958" s="2">
        <v>209</v>
      </c>
      <c r="I2958" s="1" t="s">
        <v>9016</v>
      </c>
      <c r="J2958" s="1" t="s">
        <v>9017</v>
      </c>
      <c r="K2958" s="1" t="s">
        <v>147</v>
      </c>
      <c r="L2958" s="1" t="s">
        <v>13</v>
      </c>
      <c r="M2958" s="6" t="str">
        <f>_xlfn.CONCAT(Table1[[#This Row],[Billing Street]], ", ", Table1[[#This Row],[Billing City]], ", ", Table1[[#This Row],[Billing State/Province]], ", ", Table1[[#This Row],[Billing Zip/Postal Code]])</f>
        <v xml:space="preserve">1033 N 4250 Rd, Hugo, OK, </v>
      </c>
    </row>
    <row r="2959" spans="1:13" ht="15.6" hidden="1" x14ac:dyDescent="0.3">
      <c r="A2959" s="1" t="s">
        <v>9018</v>
      </c>
      <c r="B2959" s="1"/>
      <c r="C2959" s="1"/>
      <c r="D2959" s="1"/>
      <c r="E2959" s="1"/>
      <c r="F2959" s="1"/>
      <c r="G2959" s="1" t="s">
        <v>8</v>
      </c>
      <c r="H2959" s="2">
        <v>6528</v>
      </c>
      <c r="I2959" s="1" t="s">
        <v>13</v>
      </c>
      <c r="J2959" s="1" t="s">
        <v>13</v>
      </c>
      <c r="K2959" s="1" t="s">
        <v>147</v>
      </c>
      <c r="L2959" s="1" t="s">
        <v>13</v>
      </c>
      <c r="M2959" s="6" t="str">
        <f>_xlfn.CONCAT(Table1[[#This Row],[Billing Street]], ", ", Table1[[#This Row],[Billing City]], ", ", Table1[[#This Row],[Billing State/Province]], ", ", Table1[[#This Row],[Billing Zip/Postal Code]])</f>
        <v xml:space="preserve">, , OK, </v>
      </c>
    </row>
    <row r="2960" spans="1:13" ht="15.6" hidden="1" x14ac:dyDescent="0.3">
      <c r="A2960" s="1" t="s">
        <v>9019</v>
      </c>
      <c r="B2960" s="1"/>
      <c r="C2960" s="1"/>
      <c r="D2960" s="1"/>
      <c r="E2960" s="1"/>
      <c r="F2960" s="1"/>
      <c r="G2960" s="1" t="s">
        <v>8</v>
      </c>
      <c r="H2960" s="2">
        <v>81</v>
      </c>
      <c r="I2960" s="1" t="s">
        <v>9020</v>
      </c>
      <c r="J2960" s="1" t="s">
        <v>9021</v>
      </c>
      <c r="K2960" s="1" t="s">
        <v>147</v>
      </c>
      <c r="L2960" s="1" t="s">
        <v>9022</v>
      </c>
      <c r="M2960" s="6" t="str">
        <f>_xlfn.CONCAT(Table1[[#This Row],[Billing Street]], ", ", Table1[[#This Row],[Billing City]], ", ", Table1[[#This Row],[Billing State/Province]], ", ", Table1[[#This Row],[Billing Zip/Postal Code]])</f>
        <v>516 S. Lake Region Rd, Hulbert, OK, 74441</v>
      </c>
    </row>
    <row r="2961" spans="1:13" ht="15.6" x14ac:dyDescent="0.3">
      <c r="A2961" s="1" t="s">
        <v>9023</v>
      </c>
      <c r="B2961" s="1"/>
      <c r="C2961" s="1"/>
      <c r="D2961" s="1"/>
      <c r="E2961" s="1"/>
      <c r="F2961" s="1"/>
      <c r="G2961" s="1" t="s">
        <v>24</v>
      </c>
      <c r="H2961" s="2">
        <v>262</v>
      </c>
      <c r="I2961" s="1" t="s">
        <v>9024</v>
      </c>
      <c r="J2961" s="1" t="s">
        <v>1868</v>
      </c>
      <c r="K2961" s="1" t="s">
        <v>31</v>
      </c>
      <c r="L2961" s="1" t="s">
        <v>9025</v>
      </c>
      <c r="M2961" s="6" t="str">
        <f>_xlfn.CONCAT(Table1[[#This Row],[Billing Street]], ", ", Table1[[#This Row],[Billing City]], ", ", Table1[[#This Row],[Billing State/Province]], ", ", Table1[[#This Row],[Billing Zip/Postal Code]])</f>
        <v>810 W.L. Behan Road, Brookhaven, MS, 39601</v>
      </c>
    </row>
    <row r="2962" spans="1:13" ht="15.6" hidden="1" x14ac:dyDescent="0.3">
      <c r="A2962" s="1" t="s">
        <v>9026</v>
      </c>
      <c r="B2962" s="1"/>
      <c r="C2962" s="1"/>
      <c r="D2962" s="1"/>
      <c r="E2962" s="1"/>
      <c r="F2962" s="1"/>
      <c r="G2962" s="1" t="s">
        <v>8</v>
      </c>
      <c r="H2962" s="2">
        <v>166</v>
      </c>
      <c r="I2962" s="1" t="s">
        <v>9027</v>
      </c>
      <c r="J2962" s="1" t="s">
        <v>146</v>
      </c>
      <c r="K2962" s="1" t="s">
        <v>147</v>
      </c>
      <c r="L2962" s="1" t="s">
        <v>148</v>
      </c>
      <c r="M2962" s="6" t="str">
        <f>_xlfn.CONCAT(Table1[[#This Row],[Billing Street]], ", ", Table1[[#This Row],[Billing City]], ", ", Table1[[#This Row],[Billing State/Province]], ", ", Table1[[#This Row],[Billing Zip/Postal Code]])</f>
        <v>1600 North Country Club Road, Ada, OK, 74820</v>
      </c>
    </row>
    <row r="2963" spans="1:13" ht="15.6" hidden="1" x14ac:dyDescent="0.3">
      <c r="A2963" s="1" t="s">
        <v>9028</v>
      </c>
      <c r="B2963" s="1"/>
      <c r="C2963" s="1"/>
      <c r="D2963" s="1"/>
      <c r="E2963" s="1"/>
      <c r="F2963" s="1"/>
      <c r="G2963" s="1" t="s">
        <v>54</v>
      </c>
      <c r="H2963" s="2">
        <v>19</v>
      </c>
      <c r="I2963" s="1" t="s">
        <v>9029</v>
      </c>
      <c r="J2963" s="1" t="s">
        <v>6165</v>
      </c>
      <c r="K2963" s="1" t="s">
        <v>57</v>
      </c>
      <c r="L2963" s="1" t="s">
        <v>6166</v>
      </c>
      <c r="M2963" s="6" t="str">
        <f>_xlfn.CONCAT(Table1[[#This Row],[Billing Street]], ", ", Table1[[#This Row],[Billing City]], ", ", Table1[[#This Row],[Billing State/Province]], ", ", Table1[[#This Row],[Billing Zip/Postal Code]])</f>
        <v>1875 Freeman Avenue, Signal Hill, CA, 90755</v>
      </c>
    </row>
    <row r="2964" spans="1:13" ht="15.6" hidden="1" x14ac:dyDescent="0.3">
      <c r="A2964" s="1" t="s">
        <v>9030</v>
      </c>
      <c r="B2964" s="1"/>
      <c r="C2964" s="1"/>
      <c r="D2964" s="1"/>
      <c r="E2964" s="1"/>
      <c r="F2964" s="1"/>
      <c r="G2964" s="1" t="s">
        <v>54</v>
      </c>
      <c r="H2964" s="2">
        <v>13</v>
      </c>
      <c r="I2964" s="1" t="s">
        <v>9031</v>
      </c>
      <c r="J2964" s="1" t="s">
        <v>9032</v>
      </c>
      <c r="K2964" s="1" t="s">
        <v>57</v>
      </c>
      <c r="L2964" s="1" t="s">
        <v>9033</v>
      </c>
      <c r="M2964" s="6" t="str">
        <f>_xlfn.CONCAT(Table1[[#This Row],[Billing Street]], ", ", Table1[[#This Row],[Billing City]], ", ", Table1[[#This Row],[Billing State/Province]], ", ", Table1[[#This Row],[Billing Zip/Postal Code]])</f>
        <v>2442 Sheilds Street, La Crescenta, CA, 91214</v>
      </c>
    </row>
    <row r="2965" spans="1:13" ht="15.6" hidden="1" x14ac:dyDescent="0.3">
      <c r="A2965" s="1" t="s">
        <v>9034</v>
      </c>
      <c r="B2965" s="1"/>
      <c r="C2965" s="1"/>
      <c r="D2965" s="1"/>
      <c r="E2965" s="1"/>
      <c r="F2965" s="1"/>
      <c r="G2965" s="1" t="s">
        <v>54</v>
      </c>
      <c r="H2965" s="2">
        <v>12</v>
      </c>
      <c r="I2965" s="1" t="s">
        <v>9035</v>
      </c>
      <c r="J2965" s="1" t="s">
        <v>6921</v>
      </c>
      <c r="K2965" s="1" t="s">
        <v>57</v>
      </c>
      <c r="L2965" s="1" t="s">
        <v>9036</v>
      </c>
      <c r="M2965" s="6" t="str">
        <f>_xlfn.CONCAT(Table1[[#This Row],[Billing Street]], ", ", Table1[[#This Row],[Billing City]], ", ", Table1[[#This Row],[Billing State/Province]], ", ", Table1[[#This Row],[Billing Zip/Postal Code]])</f>
        <v>17171 S Central Ave, Carson, CA, 90746</v>
      </c>
    </row>
    <row r="2966" spans="1:13" ht="15.6" hidden="1" x14ac:dyDescent="0.3">
      <c r="A2966" s="1" t="s">
        <v>9037</v>
      </c>
      <c r="B2966" s="1"/>
      <c r="C2966" s="1"/>
      <c r="D2966" s="1"/>
      <c r="E2966" s="1"/>
      <c r="F2966" s="1"/>
      <c r="G2966" s="1" t="s">
        <v>54</v>
      </c>
      <c r="H2966" s="2">
        <v>18</v>
      </c>
      <c r="I2966" s="1" t="s">
        <v>9038</v>
      </c>
      <c r="J2966" s="1" t="s">
        <v>2764</v>
      </c>
      <c r="K2966" s="1" t="s">
        <v>57</v>
      </c>
      <c r="L2966" s="1" t="s">
        <v>9039</v>
      </c>
      <c r="M2966" s="6" t="str">
        <f>_xlfn.CONCAT(Table1[[#This Row],[Billing Street]], ", ", Table1[[#This Row],[Billing City]], ", ", Table1[[#This Row],[Billing State/Province]], ", ", Table1[[#This Row],[Billing Zip/Postal Code]])</f>
        <v>1610 W 17th Street, Long Beach, CA, 90813</v>
      </c>
    </row>
    <row r="2967" spans="1:13" ht="15.6" hidden="1" x14ac:dyDescent="0.3">
      <c r="A2967" s="1" t="s">
        <v>9040</v>
      </c>
      <c r="B2967" s="1"/>
      <c r="C2967" s="1"/>
      <c r="D2967" s="1"/>
      <c r="E2967" s="1"/>
      <c r="F2967" s="1"/>
      <c r="G2967" s="1" t="s">
        <v>54</v>
      </c>
      <c r="H2967" s="2">
        <v>7813</v>
      </c>
      <c r="I2967" s="1" t="s">
        <v>9041</v>
      </c>
      <c r="J2967" s="1" t="s">
        <v>5074</v>
      </c>
      <c r="K2967" s="1" t="s">
        <v>57</v>
      </c>
      <c r="L2967" s="1" t="s">
        <v>9042</v>
      </c>
      <c r="M2967" s="6" t="str">
        <f>_xlfn.CONCAT(Table1[[#This Row],[Billing Street]], ", ", Table1[[#This Row],[Billing City]], ", ", Table1[[#This Row],[Billing State/Province]], ", ", Table1[[#This Row],[Billing Zip/Postal Code]])</f>
        <v>1200 East California Blvd, MC B125-6, Pasadena, CA, 91125</v>
      </c>
    </row>
    <row r="2968" spans="1:13" ht="15.6" hidden="1" x14ac:dyDescent="0.3">
      <c r="A2968" s="1" t="s">
        <v>9043</v>
      </c>
      <c r="B2968" s="1"/>
      <c r="C2968" s="1"/>
      <c r="D2968" s="1"/>
      <c r="E2968" s="1"/>
      <c r="F2968" s="1"/>
      <c r="G2968" s="1" t="s">
        <v>54</v>
      </c>
      <c r="H2968" s="2">
        <v>263</v>
      </c>
      <c r="I2968" s="1" t="s">
        <v>9044</v>
      </c>
      <c r="J2968" s="1" t="s">
        <v>9045</v>
      </c>
      <c r="K2968" s="1" t="s">
        <v>57</v>
      </c>
      <c r="L2968" s="1" t="s">
        <v>9046</v>
      </c>
      <c r="M2968" s="6" t="str">
        <f>_xlfn.CONCAT(Table1[[#This Row],[Billing Street]], ", ", Table1[[#This Row],[Billing City]], ", ", Table1[[#This Row],[Billing State/Province]], ", ", Table1[[#This Row],[Billing Zip/Postal Code]])</f>
        <v>7 Work Circle, Salinas, CA, 93906</v>
      </c>
    </row>
    <row r="2969" spans="1:13" ht="15.6" hidden="1" x14ac:dyDescent="0.3">
      <c r="A2969" s="1" t="s">
        <v>9047</v>
      </c>
      <c r="B2969" s="1"/>
      <c r="C2969" s="1"/>
      <c r="D2969" s="1"/>
      <c r="E2969" s="1"/>
      <c r="F2969" s="1"/>
      <c r="G2969" s="1" t="s">
        <v>8</v>
      </c>
      <c r="H2969" s="2">
        <v>147</v>
      </c>
      <c r="I2969" s="1" t="s">
        <v>9048</v>
      </c>
      <c r="J2969" s="1" t="s">
        <v>9049</v>
      </c>
      <c r="K2969" s="1" t="s">
        <v>147</v>
      </c>
      <c r="L2969" s="1" t="s">
        <v>9050</v>
      </c>
      <c r="M2969" s="6" t="str">
        <f>_xlfn.CONCAT(Table1[[#This Row],[Billing Street]], ", ", Table1[[#This Row],[Billing City]], ", ", Table1[[#This Row],[Billing State/Province]], ", ", Table1[[#This Row],[Billing Zip/Postal Code]])</f>
        <v>966 Oklahoma 2, Wilburton, OK, 74578</v>
      </c>
    </row>
    <row r="2970" spans="1:13" ht="15.6" hidden="1" x14ac:dyDescent="0.3">
      <c r="A2970" s="1" t="s">
        <v>9051</v>
      </c>
      <c r="B2970" s="1"/>
      <c r="C2970" s="1"/>
      <c r="D2970" s="1"/>
      <c r="E2970" s="1"/>
      <c r="F2970" s="1"/>
      <c r="G2970" s="1" t="s">
        <v>8</v>
      </c>
      <c r="H2970" s="2">
        <v>239</v>
      </c>
      <c r="I2970" s="1" t="s">
        <v>9052</v>
      </c>
      <c r="J2970" s="1" t="s">
        <v>7961</v>
      </c>
      <c r="K2970" s="1" t="s">
        <v>147</v>
      </c>
      <c r="L2970" s="1" t="s">
        <v>7962</v>
      </c>
      <c r="M2970" s="6" t="str">
        <f>_xlfn.CONCAT(Table1[[#This Row],[Billing Street]], ", ", Table1[[#This Row],[Billing City]], ", ", Table1[[#This Row],[Billing State/Province]], ", ", Table1[[#This Row],[Billing Zip/Postal Code]])</f>
        <v>127 West Colorado, Walters, OK, 73572</v>
      </c>
    </row>
    <row r="2971" spans="1:13" ht="15.6" hidden="1" x14ac:dyDescent="0.3">
      <c r="A2971" s="1" t="s">
        <v>9053</v>
      </c>
      <c r="B2971" s="1"/>
      <c r="C2971" s="1"/>
      <c r="D2971" s="1"/>
      <c r="E2971" s="1"/>
      <c r="F2971" s="1"/>
      <c r="G2971" s="1" t="s">
        <v>8</v>
      </c>
      <c r="H2971" s="2">
        <v>307</v>
      </c>
      <c r="I2971" s="1" t="s">
        <v>9010</v>
      </c>
      <c r="J2971" s="1" t="s">
        <v>9011</v>
      </c>
      <c r="K2971" s="1" t="s">
        <v>147</v>
      </c>
      <c r="L2971" s="1" t="s">
        <v>9012</v>
      </c>
      <c r="M2971" s="6" t="str">
        <f>_xlfn.CONCAT(Table1[[#This Row],[Billing Street]], ", ", Table1[[#This Row],[Billing City]], ", ", Table1[[#This Row],[Billing State/Province]], ", ", Table1[[#This Row],[Billing Zip/Postal Code]])</f>
        <v>995 Mile 46 Road, Hooker, OK, 73945</v>
      </c>
    </row>
    <row r="2972" spans="1:13" ht="15.6" hidden="1" x14ac:dyDescent="0.3">
      <c r="A2972" s="1" t="s">
        <v>9054</v>
      </c>
      <c r="B2972" s="1"/>
      <c r="C2972" s="1"/>
      <c r="D2972" s="1"/>
      <c r="E2972" s="1"/>
      <c r="F2972" s="1"/>
      <c r="G2972" s="1" t="s">
        <v>8</v>
      </c>
      <c r="H2972" s="2">
        <v>48</v>
      </c>
      <c r="I2972" s="1" t="s">
        <v>9055</v>
      </c>
      <c r="J2972" s="1" t="s">
        <v>8017</v>
      </c>
      <c r="K2972" s="1" t="s">
        <v>147</v>
      </c>
      <c r="L2972" s="1" t="s">
        <v>8018</v>
      </c>
      <c r="M2972" s="6" t="str">
        <f>_xlfn.CONCAT(Table1[[#This Row],[Billing Street]], ", ", Table1[[#This Row],[Billing City]], ", ", Table1[[#This Row],[Billing State/Province]], ", ", Table1[[#This Row],[Billing Zip/Postal Code]])</f>
        <v>8901e East 146th Street North, Collinsville, OK, 74021</v>
      </c>
    </row>
    <row r="2973" spans="1:13" ht="15.6" hidden="1" x14ac:dyDescent="0.3">
      <c r="A2973" s="1" t="s">
        <v>9056</v>
      </c>
      <c r="B2973" s="1"/>
      <c r="C2973" s="1"/>
      <c r="D2973" s="1"/>
      <c r="E2973" s="1"/>
      <c r="F2973" s="1"/>
      <c r="G2973" s="1" t="s">
        <v>43</v>
      </c>
      <c r="H2973" s="2">
        <v>104</v>
      </c>
      <c r="I2973" s="1" t="s">
        <v>9057</v>
      </c>
      <c r="J2973" s="1" t="s">
        <v>4240</v>
      </c>
      <c r="K2973" s="1" t="s">
        <v>82</v>
      </c>
      <c r="L2973" s="1" t="s">
        <v>4241</v>
      </c>
      <c r="M2973" s="6" t="str">
        <f>_xlfn.CONCAT(Table1[[#This Row],[Billing Street]], ", ", Table1[[#This Row],[Billing City]], ", ", Table1[[#This Row],[Billing State/Province]], ", ", Table1[[#This Row],[Billing Zip/Postal Code]])</f>
        <v>8475 Port Sunlight, Newport, MI, 48166</v>
      </c>
    </row>
    <row r="2974" spans="1:13" ht="15.6" hidden="1" x14ac:dyDescent="0.3">
      <c r="A2974" s="1" t="s">
        <v>9058</v>
      </c>
      <c r="B2974" s="1"/>
      <c r="C2974" s="1"/>
      <c r="D2974" s="1"/>
      <c r="E2974" s="1"/>
      <c r="F2974" s="1"/>
      <c r="G2974" s="1" t="s">
        <v>8</v>
      </c>
      <c r="H2974" s="2">
        <v>41</v>
      </c>
      <c r="I2974" s="1" t="s">
        <v>9059</v>
      </c>
      <c r="J2974" s="1" t="s">
        <v>9060</v>
      </c>
      <c r="K2974" s="1" t="s">
        <v>147</v>
      </c>
      <c r="L2974" s="1" t="s">
        <v>9061</v>
      </c>
      <c r="M2974" s="6" t="str">
        <f>_xlfn.CONCAT(Table1[[#This Row],[Billing Street]], ", ", Table1[[#This Row],[Billing City]], ", ", Table1[[#This Row],[Billing State/Province]], ", ", Table1[[#This Row],[Billing Zip/Postal Code]])</f>
        <v>443874 U.S. 60, Vinita, OK, 74301</v>
      </c>
    </row>
    <row r="2975" spans="1:13" ht="15.6" hidden="1" x14ac:dyDescent="0.3">
      <c r="A2975" s="1" t="s">
        <v>9062</v>
      </c>
      <c r="B2975" s="1"/>
      <c r="C2975" s="1"/>
      <c r="D2975" s="1"/>
      <c r="E2975" s="1"/>
      <c r="F2975" s="1"/>
      <c r="G2975" s="1" t="s">
        <v>8</v>
      </c>
      <c r="H2975" s="2">
        <v>141</v>
      </c>
      <c r="I2975" s="1" t="s">
        <v>9063</v>
      </c>
      <c r="J2975" s="1" t="s">
        <v>1854</v>
      </c>
      <c r="K2975" s="1" t="s">
        <v>147</v>
      </c>
      <c r="L2975" s="1" t="s">
        <v>9064</v>
      </c>
      <c r="M2975" s="6" t="str">
        <f>_xlfn.CONCAT(Table1[[#This Row],[Billing Street]], ", ", Table1[[#This Row],[Billing City]], ", ", Table1[[#This Row],[Billing State/Province]], ", ", Table1[[#This Row],[Billing Zip/Postal Code]])</f>
        <v>7 N Broadway, Edmond, OK, 73034</v>
      </c>
    </row>
    <row r="2976" spans="1:13" ht="15.6" x14ac:dyDescent="0.3">
      <c r="A2976" s="1" t="s">
        <v>9065</v>
      </c>
      <c r="B2976" s="1"/>
      <c r="C2976" s="1"/>
      <c r="D2976" s="1"/>
      <c r="E2976" s="1"/>
      <c r="F2976" s="1"/>
      <c r="G2976" s="1" t="s">
        <v>24</v>
      </c>
      <c r="H2976" s="2">
        <v>5988</v>
      </c>
      <c r="I2976" s="1" t="s">
        <v>9066</v>
      </c>
      <c r="J2976" s="1" t="s">
        <v>6088</v>
      </c>
      <c r="K2976" s="1" t="s">
        <v>31</v>
      </c>
      <c r="L2976" s="1" t="s">
        <v>5978</v>
      </c>
      <c r="M2976" s="6" t="str">
        <f>_xlfn.CONCAT(Table1[[#This Row],[Billing Street]], ", ", Table1[[#This Row],[Billing City]], ", ", Table1[[#This Row],[Billing State/Province]], ", ", Table1[[#This Row],[Billing Zip/Postal Code]])</f>
        <v>372 Distribution Drive, Madison, MS, 39110</v>
      </c>
    </row>
    <row r="2977" spans="1:13" ht="15.6" hidden="1" x14ac:dyDescent="0.3">
      <c r="A2977" s="1" t="s">
        <v>9067</v>
      </c>
      <c r="B2977" s="1"/>
      <c r="C2977" s="1"/>
      <c r="D2977" s="1"/>
      <c r="E2977" s="1"/>
      <c r="F2977" s="1"/>
      <c r="G2977" s="1" t="s">
        <v>8</v>
      </c>
      <c r="H2977" s="2">
        <v>6528</v>
      </c>
      <c r="I2977" s="1" t="s">
        <v>13</v>
      </c>
      <c r="J2977" s="1" t="s">
        <v>13</v>
      </c>
      <c r="K2977" s="1" t="s">
        <v>147</v>
      </c>
      <c r="L2977" s="1" t="s">
        <v>13</v>
      </c>
      <c r="M2977" s="6" t="str">
        <f>_xlfn.CONCAT(Table1[[#This Row],[Billing Street]], ", ", Table1[[#This Row],[Billing City]], ", ", Table1[[#This Row],[Billing State/Province]], ", ", Table1[[#This Row],[Billing Zip/Postal Code]])</f>
        <v xml:space="preserve">, , OK, </v>
      </c>
    </row>
    <row r="2978" spans="1:13" ht="15.6" hidden="1" x14ac:dyDescent="0.3">
      <c r="A2978" s="1" t="s">
        <v>9068</v>
      </c>
      <c r="B2978" s="1"/>
      <c r="C2978" s="1"/>
      <c r="D2978" s="1"/>
      <c r="E2978" s="1"/>
      <c r="F2978" s="1"/>
      <c r="G2978" s="1" t="s">
        <v>8</v>
      </c>
      <c r="H2978" s="2">
        <v>70</v>
      </c>
      <c r="I2978" s="1" t="s">
        <v>9069</v>
      </c>
      <c r="J2978" s="1" t="s">
        <v>104</v>
      </c>
      <c r="K2978" s="1" t="s">
        <v>147</v>
      </c>
      <c r="L2978" s="1" t="s">
        <v>9070</v>
      </c>
      <c r="M2978" s="6" t="str">
        <f>_xlfn.CONCAT(Table1[[#This Row],[Billing Street]], ", ", Table1[[#This Row],[Billing City]], ", ", Table1[[#This Row],[Billing State/Province]], ", ", Table1[[#This Row],[Billing Zip/Postal Code]])</f>
        <v>2506 East Old Highway 64, Cleveland, OK, 74020</v>
      </c>
    </row>
    <row r="2979" spans="1:13" ht="15.6" hidden="1" x14ac:dyDescent="0.3">
      <c r="A2979" s="1" t="s">
        <v>9071</v>
      </c>
      <c r="B2979" s="1"/>
      <c r="C2979" s="1"/>
      <c r="D2979" s="1"/>
      <c r="E2979" s="1"/>
      <c r="F2979" s="1"/>
      <c r="G2979" s="1" t="s">
        <v>8</v>
      </c>
      <c r="H2979" s="2">
        <v>38</v>
      </c>
      <c r="I2979" s="1" t="s">
        <v>9072</v>
      </c>
      <c r="J2979" s="1" t="s">
        <v>9060</v>
      </c>
      <c r="K2979" s="1" t="s">
        <v>147</v>
      </c>
      <c r="L2979" s="1" t="s">
        <v>9061</v>
      </c>
      <c r="M2979" s="6" t="str">
        <f>_xlfn.CONCAT(Table1[[#This Row],[Billing Street]], ", ", Table1[[#This Row],[Billing City]], ", ", Table1[[#This Row],[Billing State/Province]], ", ", Table1[[#This Row],[Billing Zip/Postal Code]])</f>
        <v>500 South KAMO Drive, Vinita, OK, 74301</v>
      </c>
    </row>
    <row r="2980" spans="1:13" ht="15.6" hidden="1" x14ac:dyDescent="0.3">
      <c r="A2980" s="1" t="s">
        <v>9073</v>
      </c>
      <c r="B2980" s="1"/>
      <c r="C2980" s="1"/>
      <c r="D2980" s="1"/>
      <c r="E2980" s="1"/>
      <c r="F2980" s="1"/>
      <c r="G2980" s="1" t="s">
        <v>8</v>
      </c>
      <c r="H2980" s="2">
        <v>425</v>
      </c>
      <c r="I2980" s="1" t="s">
        <v>9074</v>
      </c>
      <c r="J2980" s="1" t="s">
        <v>6047</v>
      </c>
      <c r="K2980" s="1" t="s">
        <v>51</v>
      </c>
      <c r="L2980" s="1" t="s">
        <v>9075</v>
      </c>
      <c r="M2980" s="6" t="str">
        <f>_xlfn.CONCAT(Table1[[#This Row],[Billing Street]], ", ", Table1[[#This Row],[Billing City]], ", ", Table1[[#This Row],[Billing State/Province]], ", ", Table1[[#This Row],[Billing Zip/Postal Code]])</f>
        <v>3623 Interstate 27, Lubbock, TX, 79404</v>
      </c>
    </row>
    <row r="2981" spans="1:13" ht="15.6" hidden="1" x14ac:dyDescent="0.3">
      <c r="A2981" s="1" t="s">
        <v>9076</v>
      </c>
      <c r="B2981" s="1"/>
      <c r="C2981" s="1"/>
      <c r="D2981" s="1"/>
      <c r="E2981" s="1"/>
      <c r="F2981" s="1"/>
      <c r="G2981" s="1" t="s">
        <v>43</v>
      </c>
      <c r="H2981" s="2">
        <v>138</v>
      </c>
      <c r="I2981" s="1" t="s">
        <v>9077</v>
      </c>
      <c r="J2981" s="1" t="s">
        <v>4788</v>
      </c>
      <c r="K2981" s="1" t="s">
        <v>82</v>
      </c>
      <c r="L2981" s="1" t="s">
        <v>9078</v>
      </c>
      <c r="M2981" s="6" t="str">
        <f>_xlfn.CONCAT(Table1[[#This Row],[Billing Street]], ", ", Table1[[#This Row],[Billing City]], ", ", Table1[[#This Row],[Billing State/Province]], ", ", Table1[[#This Row],[Billing Zip/Postal Code]])</f>
        <v>425 Jackson Plaza, Ann Arbor, MI, 48103</v>
      </c>
    </row>
    <row r="2982" spans="1:13" ht="15.6" hidden="1" x14ac:dyDescent="0.3">
      <c r="A2982" s="1" t="s">
        <v>9079</v>
      </c>
      <c r="B2982" s="1"/>
      <c r="C2982" s="1"/>
      <c r="D2982" s="1"/>
      <c r="E2982" s="1"/>
      <c r="F2982" s="1"/>
      <c r="G2982" s="1" t="s">
        <v>8</v>
      </c>
      <c r="H2982" s="2">
        <v>6528</v>
      </c>
      <c r="I2982" s="1" t="s">
        <v>13</v>
      </c>
      <c r="J2982" s="1" t="s">
        <v>13</v>
      </c>
      <c r="K2982" s="1" t="s">
        <v>147</v>
      </c>
      <c r="L2982" s="1" t="s">
        <v>13</v>
      </c>
      <c r="M2982" s="6" t="str">
        <f>_xlfn.CONCAT(Table1[[#This Row],[Billing Street]], ", ", Table1[[#This Row],[Billing City]], ", ", Table1[[#This Row],[Billing State/Province]], ", ", Table1[[#This Row],[Billing Zip/Postal Code]])</f>
        <v xml:space="preserve">, , OK, </v>
      </c>
    </row>
    <row r="2983" spans="1:13" ht="15.6" hidden="1" x14ac:dyDescent="0.3">
      <c r="A2983" s="1" t="s">
        <v>9080</v>
      </c>
      <c r="B2983" s="1"/>
      <c r="C2983" s="1"/>
      <c r="D2983" s="1"/>
      <c r="E2983" s="1"/>
      <c r="F2983" s="1"/>
      <c r="G2983" s="1" t="s">
        <v>8</v>
      </c>
      <c r="H2983" s="2">
        <v>51</v>
      </c>
      <c r="I2983" s="1" t="s">
        <v>9081</v>
      </c>
      <c r="J2983" s="1" t="s">
        <v>9082</v>
      </c>
      <c r="K2983" s="1" t="s">
        <v>147</v>
      </c>
      <c r="L2983" s="1" t="s">
        <v>9083</v>
      </c>
      <c r="M2983" s="6" t="str">
        <f>_xlfn.CONCAT(Table1[[#This Row],[Billing Street]], ", ", Table1[[#This Row],[Billing City]], ", ", Table1[[#This Row],[Billing State/Province]], ", ", Table1[[#This Row],[Billing Zip/Postal Code]])</f>
        <v>280 Oklahoma 20, Skiatook, OK, 74070</v>
      </c>
    </row>
    <row r="2984" spans="1:13" ht="15.6" hidden="1" x14ac:dyDescent="0.3">
      <c r="A2984" s="1" t="s">
        <v>9084</v>
      </c>
      <c r="B2984" s="1"/>
      <c r="C2984" s="1"/>
      <c r="D2984" s="1"/>
      <c r="E2984" s="1"/>
      <c r="F2984" s="1"/>
      <c r="G2984" s="1" t="s">
        <v>8</v>
      </c>
      <c r="H2984" s="2">
        <v>101</v>
      </c>
      <c r="I2984" s="1" t="s">
        <v>9085</v>
      </c>
      <c r="J2984" s="1" t="s">
        <v>9086</v>
      </c>
      <c r="K2984" s="1" t="s">
        <v>147</v>
      </c>
      <c r="L2984" s="1" t="s">
        <v>9087</v>
      </c>
      <c r="M2984" s="6" t="str">
        <f>_xlfn.CONCAT(Table1[[#This Row],[Billing Street]], ", ", Table1[[#This Row],[Billing City]], ", ", Table1[[#This Row],[Billing State/Province]], ", ", Table1[[#This Row],[Billing Zip/Postal Code]])</f>
        <v>2001 South Wood Dr, Okmulgee, OK, 74447</v>
      </c>
    </row>
    <row r="2985" spans="1:13" ht="15.6" hidden="1" x14ac:dyDescent="0.3">
      <c r="A2985" s="1" t="s">
        <v>9088</v>
      </c>
      <c r="B2985" s="1"/>
      <c r="C2985" s="1"/>
      <c r="D2985" s="1"/>
      <c r="E2985" s="1"/>
      <c r="F2985" s="1"/>
      <c r="G2985" s="1" t="s">
        <v>13</v>
      </c>
      <c r="H2985" s="2">
        <v>0</v>
      </c>
      <c r="I2985" s="1" t="s">
        <v>13</v>
      </c>
      <c r="J2985" s="1" t="s">
        <v>13</v>
      </c>
      <c r="K2985" s="1" t="s">
        <v>13</v>
      </c>
      <c r="L2985" s="1" t="s">
        <v>13</v>
      </c>
      <c r="M2985" s="6" t="str">
        <f>_xlfn.CONCAT(Table1[[#This Row],[Billing Street]], ", ", Table1[[#This Row],[Billing City]], ", ", Table1[[#This Row],[Billing State/Province]], ", ", Table1[[#This Row],[Billing Zip/Postal Code]])</f>
        <v xml:space="preserve">, , , </v>
      </c>
    </row>
    <row r="2986" spans="1:13" ht="15.6" hidden="1" x14ac:dyDescent="0.3">
      <c r="A2986" s="1" t="s">
        <v>9089</v>
      </c>
      <c r="B2986" s="1"/>
      <c r="C2986" s="1"/>
      <c r="D2986" s="1"/>
      <c r="E2986" s="1"/>
      <c r="F2986" s="1"/>
      <c r="G2986" s="1" t="s">
        <v>13</v>
      </c>
      <c r="H2986" s="2">
        <v>0</v>
      </c>
      <c r="I2986" s="1" t="s">
        <v>13</v>
      </c>
      <c r="J2986" s="1" t="s">
        <v>13</v>
      </c>
      <c r="K2986" s="1" t="s">
        <v>13</v>
      </c>
      <c r="L2986" s="1" t="s">
        <v>13</v>
      </c>
      <c r="M2986" s="6" t="str">
        <f>_xlfn.CONCAT(Table1[[#This Row],[Billing Street]], ", ", Table1[[#This Row],[Billing City]], ", ", Table1[[#This Row],[Billing State/Province]], ", ", Table1[[#This Row],[Billing Zip/Postal Code]])</f>
        <v xml:space="preserve">, , , </v>
      </c>
    </row>
    <row r="2987" spans="1:13" ht="15.6" hidden="1" x14ac:dyDescent="0.3">
      <c r="A2987" s="1" t="s">
        <v>9090</v>
      </c>
      <c r="B2987" s="1"/>
      <c r="C2987" s="1"/>
      <c r="D2987" s="1"/>
      <c r="E2987" s="1"/>
      <c r="F2987" s="1"/>
      <c r="G2987" s="1" t="s">
        <v>48</v>
      </c>
      <c r="H2987" s="2">
        <v>0</v>
      </c>
      <c r="I2987" s="1" t="s">
        <v>9091</v>
      </c>
      <c r="J2987" s="1" t="s">
        <v>9092</v>
      </c>
      <c r="K2987" s="1" t="s">
        <v>36</v>
      </c>
      <c r="L2987" s="1" t="s">
        <v>9093</v>
      </c>
      <c r="M2987" s="6" t="str">
        <f>_xlfn.CONCAT(Table1[[#This Row],[Billing Street]], ", ", Table1[[#This Row],[Billing City]], ", ", Table1[[#This Row],[Billing State/Province]], ", ", Table1[[#This Row],[Billing Zip/Postal Code]])</f>
        <v>1 Wiremill Road, Sanderson, FL, 32087</v>
      </c>
    </row>
    <row r="2988" spans="1:13" ht="15.6" hidden="1" x14ac:dyDescent="0.3">
      <c r="A2988" s="1" t="s">
        <v>9094</v>
      </c>
      <c r="B2988" s="1"/>
      <c r="C2988" s="1"/>
      <c r="D2988" s="1"/>
      <c r="E2988" s="1"/>
      <c r="F2988" s="1"/>
      <c r="G2988" s="1" t="s">
        <v>54</v>
      </c>
      <c r="H2988" s="2">
        <v>364</v>
      </c>
      <c r="I2988" s="1" t="s">
        <v>9095</v>
      </c>
      <c r="J2988" s="1" t="s">
        <v>9096</v>
      </c>
      <c r="K2988" s="1" t="s">
        <v>57</v>
      </c>
      <c r="L2988" s="1" t="s">
        <v>9097</v>
      </c>
      <c r="M2988" s="6" t="str">
        <f>_xlfn.CONCAT(Table1[[#This Row],[Billing Street]], ", ", Table1[[#This Row],[Billing City]], ", ", Table1[[#This Row],[Billing State/Province]], ", ", Table1[[#This Row],[Billing Zip/Postal Code]])</f>
        <v>2140 Icon Way #200, Vacaville, CA, 95688</v>
      </c>
    </row>
    <row r="2989" spans="1:13" ht="15.6" hidden="1" x14ac:dyDescent="0.3">
      <c r="A2989" s="1" t="s">
        <v>9098</v>
      </c>
      <c r="B2989" s="1"/>
      <c r="C2989" s="1"/>
      <c r="D2989" s="1"/>
      <c r="E2989" s="1"/>
      <c r="F2989" s="1"/>
      <c r="G2989" s="1" t="s">
        <v>98</v>
      </c>
      <c r="H2989" s="2">
        <v>101</v>
      </c>
      <c r="I2989" s="1" t="s">
        <v>9099</v>
      </c>
      <c r="J2989" s="1" t="s">
        <v>1352</v>
      </c>
      <c r="K2989" s="1" t="s">
        <v>101</v>
      </c>
      <c r="L2989" s="1" t="s">
        <v>1658</v>
      </c>
      <c r="M2989" s="6" t="str">
        <f>_xlfn.CONCAT(Table1[[#This Row],[Billing Street]], ", ", Table1[[#This Row],[Billing City]], ", ", Table1[[#This Row],[Billing State/Province]], ", ", Table1[[#This Row],[Billing Zip/Postal Code]])</f>
        <v>9481 HWY 11, Trenton, GA, 30752</v>
      </c>
    </row>
    <row r="2990" spans="1:13" ht="15.6" hidden="1" x14ac:dyDescent="0.3">
      <c r="A2990" s="1" t="s">
        <v>9100</v>
      </c>
      <c r="B2990" s="1"/>
      <c r="C2990" s="1"/>
      <c r="D2990" s="1"/>
      <c r="E2990" s="1"/>
      <c r="F2990" s="1"/>
      <c r="G2990" s="1" t="s">
        <v>8</v>
      </c>
      <c r="H2990" s="2">
        <v>286</v>
      </c>
      <c r="I2990" s="1" t="s">
        <v>9101</v>
      </c>
      <c r="J2990" s="1" t="s">
        <v>9102</v>
      </c>
      <c r="K2990" s="1" t="s">
        <v>165</v>
      </c>
      <c r="L2990" s="1" t="s">
        <v>9103</v>
      </c>
      <c r="M2990" s="6" t="str">
        <f>_xlfn.CONCAT(Table1[[#This Row],[Billing Street]], ", ", Table1[[#This Row],[Billing City]], ", ", Table1[[#This Row],[Billing State/Province]], ", ", Table1[[#This Row],[Billing Zip/Postal Code]])</f>
        <v>400 East Monroe Avenue, Jonesboro, AR, 72401</v>
      </c>
    </row>
    <row r="2991" spans="1:13" ht="15.6" hidden="1" x14ac:dyDescent="0.3">
      <c r="A2991" s="1" t="s">
        <v>9104</v>
      </c>
      <c r="B2991" s="1"/>
      <c r="C2991" s="1"/>
      <c r="D2991" s="1"/>
      <c r="E2991" s="1"/>
      <c r="F2991" s="1"/>
      <c r="G2991" s="1" t="s">
        <v>8</v>
      </c>
      <c r="H2991" s="2">
        <v>289</v>
      </c>
      <c r="I2991" s="1" t="s">
        <v>9105</v>
      </c>
      <c r="J2991" s="1" t="s">
        <v>9102</v>
      </c>
      <c r="K2991" s="1" t="s">
        <v>165</v>
      </c>
      <c r="L2991" s="1" t="s">
        <v>9106</v>
      </c>
      <c r="M2991" s="6" t="str">
        <f>_xlfn.CONCAT(Table1[[#This Row],[Billing Street]], ", ", Table1[[#This Row],[Billing City]], ", ", Table1[[#This Row],[Billing State/Province]], ", ", Table1[[#This Row],[Billing Zip/Postal Code]])</f>
        <v>4314 Stadium Blvd., Jonesboro, AR, 72404</v>
      </c>
    </row>
    <row r="2992" spans="1:13" ht="15.6" hidden="1" x14ac:dyDescent="0.3">
      <c r="A2992" s="1" t="s">
        <v>9107</v>
      </c>
      <c r="B2992" s="1"/>
      <c r="C2992" s="1"/>
      <c r="D2992" s="1"/>
      <c r="E2992" s="1"/>
      <c r="F2992" s="1"/>
      <c r="G2992" s="1" t="s">
        <v>8</v>
      </c>
      <c r="H2992" s="2">
        <v>279</v>
      </c>
      <c r="I2992" s="1" t="s">
        <v>9108</v>
      </c>
      <c r="J2992" s="1" t="s">
        <v>9109</v>
      </c>
      <c r="K2992" s="1" t="s">
        <v>165</v>
      </c>
      <c r="L2992" s="1" t="s">
        <v>9110</v>
      </c>
      <c r="M2992" s="6" t="str">
        <f>_xlfn.CONCAT(Table1[[#This Row],[Billing Street]], ", ", Table1[[#This Row],[Billing City]], ", ", Table1[[#This Row],[Billing State/Province]], ", ", Table1[[#This Row],[Billing Zip/Postal Code]])</f>
        <v>3111 Hwy. 67, Corning, AR, 72422</v>
      </c>
    </row>
    <row r="2993" spans="1:13" ht="15.6" hidden="1" x14ac:dyDescent="0.3">
      <c r="A2993" s="1" t="s">
        <v>9111</v>
      </c>
      <c r="B2993" s="1"/>
      <c r="C2993" s="1"/>
      <c r="D2993" s="1"/>
      <c r="E2993" s="1"/>
      <c r="F2993" s="1"/>
      <c r="G2993" s="1" t="s">
        <v>8</v>
      </c>
      <c r="H2993" s="2">
        <v>300</v>
      </c>
      <c r="I2993" s="1" t="s">
        <v>9112</v>
      </c>
      <c r="J2993" s="1" t="s">
        <v>6482</v>
      </c>
      <c r="K2993" s="1" t="s">
        <v>165</v>
      </c>
      <c r="L2993" s="1" t="s">
        <v>13</v>
      </c>
      <c r="M2993" s="6" t="str">
        <f>_xlfn.CONCAT(Table1[[#This Row],[Billing Street]], ", ", Table1[[#This Row],[Billing City]], ", ", Table1[[#This Row],[Billing State/Province]], ", ", Table1[[#This Row],[Billing Zip/Postal Code]])</f>
        <v xml:space="preserve">901 Church Street, Star City, AR, </v>
      </c>
    </row>
    <row r="2994" spans="1:13" ht="15.6" hidden="1" x14ac:dyDescent="0.3">
      <c r="A2994" s="1" t="s">
        <v>9113</v>
      </c>
      <c r="B2994" s="1"/>
      <c r="C2994" s="1"/>
      <c r="D2994" s="1"/>
      <c r="E2994" s="1"/>
      <c r="F2994" s="1"/>
      <c r="G2994" s="1" t="s">
        <v>8</v>
      </c>
      <c r="H2994" s="2">
        <v>341</v>
      </c>
      <c r="I2994" s="1" t="s">
        <v>9114</v>
      </c>
      <c r="J2994" s="1" t="s">
        <v>9115</v>
      </c>
      <c r="K2994" s="1" t="s">
        <v>165</v>
      </c>
      <c r="L2994" s="1" t="s">
        <v>9116</v>
      </c>
      <c r="M2994" s="6" t="str">
        <f>_xlfn.CONCAT(Table1[[#This Row],[Billing Street]], ", ", Table1[[#This Row],[Billing City]], ", ", Table1[[#This Row],[Billing State/Province]], ", ", Table1[[#This Row],[Billing Zip/Postal Code]])</f>
        <v>914 E. St. Louis, Hamburg, AR, 71646</v>
      </c>
    </row>
    <row r="2995" spans="1:13" ht="15.6" hidden="1" x14ac:dyDescent="0.3">
      <c r="A2995" s="1" t="s">
        <v>9117</v>
      </c>
      <c r="B2995" s="1"/>
      <c r="C2995" s="1"/>
      <c r="D2995" s="1"/>
      <c r="E2995" s="1"/>
      <c r="F2995" s="1"/>
      <c r="G2995" s="1" t="s">
        <v>8</v>
      </c>
      <c r="H2995" s="2">
        <v>300</v>
      </c>
      <c r="I2995" s="1" t="s">
        <v>9118</v>
      </c>
      <c r="J2995" s="1" t="s">
        <v>6482</v>
      </c>
      <c r="K2995" s="1" t="s">
        <v>165</v>
      </c>
      <c r="L2995" s="1" t="s">
        <v>6483</v>
      </c>
      <c r="M2995" s="6" t="str">
        <f>_xlfn.CONCAT(Table1[[#This Row],[Billing Street]], ", ", Table1[[#This Row],[Billing City]], ", ", Table1[[#This Row],[Billing State/Province]], ", ", Table1[[#This Row],[Billing Zip/Postal Code]])</f>
        <v>900 Church Street, Star City, AR, 71667</v>
      </c>
    </row>
    <row r="2996" spans="1:13" ht="15.6" hidden="1" x14ac:dyDescent="0.3">
      <c r="A2996" s="1" t="s">
        <v>9119</v>
      </c>
      <c r="B2996" s="1"/>
      <c r="C2996" s="1"/>
      <c r="D2996" s="1"/>
      <c r="E2996" s="1"/>
      <c r="F2996" s="1"/>
      <c r="G2996" s="1" t="s">
        <v>8</v>
      </c>
      <c r="H2996" s="2">
        <v>259</v>
      </c>
      <c r="I2996" s="1" t="s">
        <v>9120</v>
      </c>
      <c r="J2996" s="1" t="s">
        <v>9121</v>
      </c>
      <c r="K2996" s="1" t="s">
        <v>165</v>
      </c>
      <c r="L2996" s="1" t="s">
        <v>9122</v>
      </c>
      <c r="M2996" s="6" t="str">
        <f>_xlfn.CONCAT(Table1[[#This Row],[Billing Street]], ", ", Table1[[#This Row],[Billing City]], ", ", Table1[[#This Row],[Billing State/Province]], ", ", Table1[[#This Row],[Billing Zip/Postal Code]])</f>
        <v>105 N. Elm St., Hope, AR, 71802</v>
      </c>
    </row>
    <row r="2997" spans="1:13" ht="15.6" hidden="1" x14ac:dyDescent="0.3">
      <c r="A2997" s="1" t="s">
        <v>9123</v>
      </c>
      <c r="B2997" s="1"/>
      <c r="C2997" s="1"/>
      <c r="D2997" s="1"/>
      <c r="E2997" s="1"/>
      <c r="F2997" s="1"/>
      <c r="G2997" s="1" t="s">
        <v>8</v>
      </c>
      <c r="H2997" s="2">
        <v>313</v>
      </c>
      <c r="I2997" s="1" t="s">
        <v>9124</v>
      </c>
      <c r="J2997" s="1" t="s">
        <v>2160</v>
      </c>
      <c r="K2997" s="1" t="s">
        <v>165</v>
      </c>
      <c r="L2997" s="1" t="s">
        <v>5517</v>
      </c>
      <c r="M2997" s="6" t="str">
        <f>_xlfn.CONCAT(Table1[[#This Row],[Billing Street]], ", ", Table1[[#This Row],[Billing City]], ", ", Table1[[#This Row],[Billing State/Province]], ", ", Table1[[#This Row],[Billing Zip/Postal Code]])</f>
        <v>2226 Haynesville Hwy, El Dorado, AR, 71730</v>
      </c>
    </row>
    <row r="2998" spans="1:13" ht="15.6" hidden="1" x14ac:dyDescent="0.3">
      <c r="A2998" s="1" t="s">
        <v>9125</v>
      </c>
      <c r="B2998" s="1"/>
      <c r="C2998" s="1"/>
      <c r="D2998" s="1"/>
      <c r="E2998" s="1"/>
      <c r="F2998" s="1"/>
      <c r="G2998" s="1" t="s">
        <v>8</v>
      </c>
      <c r="H2998" s="2">
        <v>134</v>
      </c>
      <c r="I2998" s="1" t="s">
        <v>9126</v>
      </c>
      <c r="J2998" s="1" t="s">
        <v>9127</v>
      </c>
      <c r="K2998" s="1" t="s">
        <v>554</v>
      </c>
      <c r="L2998" s="1" t="s">
        <v>9128</v>
      </c>
      <c r="M2998" s="6" t="str">
        <f>_xlfn.CONCAT(Table1[[#This Row],[Billing Street]], ", ", Table1[[#This Row],[Billing City]], ", ", Table1[[#This Row],[Billing State/Province]], ", ", Table1[[#This Row],[Billing Zip/Postal Code]])</f>
        <v>17 N. Broadway, Herington, KS, 67449</v>
      </c>
    </row>
    <row r="2999" spans="1:13" ht="15.6" hidden="1" x14ac:dyDescent="0.3">
      <c r="A2999" s="1" t="s">
        <v>9129</v>
      </c>
      <c r="B2999" s="1"/>
      <c r="C2999" s="1"/>
      <c r="D2999" s="1"/>
      <c r="E2999" s="1"/>
      <c r="F2999" s="1"/>
      <c r="G2999" s="1" t="s">
        <v>8</v>
      </c>
      <c r="H2999" s="2">
        <v>265</v>
      </c>
      <c r="I2999" s="1" t="s">
        <v>9130</v>
      </c>
      <c r="J2999" s="1" t="s">
        <v>9131</v>
      </c>
      <c r="K2999" s="1" t="s">
        <v>165</v>
      </c>
      <c r="L2999" s="1" t="s">
        <v>9132</v>
      </c>
      <c r="M2999" s="6" t="str">
        <f>_xlfn.CONCAT(Table1[[#This Row],[Billing Street]], ", ", Table1[[#This Row],[Billing City]], ", ", Table1[[#This Row],[Billing State/Province]], ", ", Table1[[#This Row],[Billing Zip/Postal Code]])</f>
        <v>2904 East Ninth, Texarkana, AR, 75504</v>
      </c>
    </row>
    <row r="3000" spans="1:13" ht="15.6" x14ac:dyDescent="0.3">
      <c r="A3000" s="1" t="s">
        <v>9133</v>
      </c>
      <c r="B3000" s="1"/>
      <c r="C3000" s="1"/>
      <c r="D3000" s="1"/>
      <c r="E3000" s="1"/>
      <c r="F3000" s="1"/>
      <c r="G3000" s="1" t="s">
        <v>24</v>
      </c>
      <c r="H3000" s="2">
        <v>320</v>
      </c>
      <c r="I3000" s="1" t="s">
        <v>9134</v>
      </c>
      <c r="J3000" s="1" t="s">
        <v>9135</v>
      </c>
      <c r="K3000" s="1" t="s">
        <v>36</v>
      </c>
      <c r="L3000" s="1" t="s">
        <v>9136</v>
      </c>
      <c r="M3000" s="6" t="str">
        <f>_xlfn.CONCAT(Table1[[#This Row],[Billing Street]], ", ", Table1[[#This Row],[Billing City]], ", ", Table1[[#This Row],[Billing State/Province]], ", ", Table1[[#This Row],[Billing Zip/Postal Code]])</f>
        <v>215 CR 16, Palatka, FL, 32117</v>
      </c>
    </row>
    <row r="3001" spans="1:13" ht="15.6" hidden="1" x14ac:dyDescent="0.3">
      <c r="A3001" s="1" t="s">
        <v>9137</v>
      </c>
      <c r="B3001" s="1"/>
      <c r="C3001" s="1"/>
      <c r="D3001" s="1"/>
      <c r="E3001" s="1"/>
      <c r="F3001" s="1"/>
      <c r="G3001" s="1" t="s">
        <v>8</v>
      </c>
      <c r="H3001" s="2">
        <v>151</v>
      </c>
      <c r="I3001" s="1" t="s">
        <v>9138</v>
      </c>
      <c r="J3001" s="1" t="s">
        <v>9139</v>
      </c>
      <c r="K3001" s="1" t="s">
        <v>554</v>
      </c>
      <c r="L3001" s="1" t="s">
        <v>9140</v>
      </c>
      <c r="M3001" s="6" t="str">
        <f>_xlfn.CONCAT(Table1[[#This Row],[Billing Street]], ", ", Table1[[#This Row],[Billing City]], ", ", Table1[[#This Row],[Billing State/Province]], ", ", Table1[[#This Row],[Billing Zip/Postal Code]])</f>
        <v>507 N. Union, McLouth, KS, 66054</v>
      </c>
    </row>
    <row r="3002" spans="1:13" ht="15.6" hidden="1" x14ac:dyDescent="0.3">
      <c r="A3002" s="1" t="s">
        <v>9141</v>
      </c>
      <c r="B3002" s="1"/>
      <c r="C3002" s="1"/>
      <c r="D3002" s="1"/>
      <c r="E3002" s="1"/>
      <c r="F3002" s="1"/>
      <c r="G3002" s="1" t="s">
        <v>8</v>
      </c>
      <c r="H3002" s="2">
        <v>292</v>
      </c>
      <c r="I3002" s="1" t="s">
        <v>9142</v>
      </c>
      <c r="J3002" s="1" t="s">
        <v>9143</v>
      </c>
      <c r="K3002" s="1" t="s">
        <v>165</v>
      </c>
      <c r="L3002" s="1" t="s">
        <v>9144</v>
      </c>
      <c r="M3002" s="6" t="str">
        <f>_xlfn.CONCAT(Table1[[#This Row],[Billing Street]], ", ", Table1[[#This Row],[Billing City]], ", ", Table1[[#This Row],[Billing State/Province]], ", ", Table1[[#This Row],[Billing Zip/Postal Code]])</f>
        <v>1901 Jones Rd., Paragould, AR, 72450</v>
      </c>
    </row>
    <row r="3003" spans="1:13" ht="15.6" hidden="1" x14ac:dyDescent="0.3">
      <c r="A3003" s="1" t="s">
        <v>9145</v>
      </c>
      <c r="B3003" s="1"/>
      <c r="C3003" s="1"/>
      <c r="D3003" s="1"/>
      <c r="E3003" s="1"/>
      <c r="F3003" s="1"/>
      <c r="G3003" s="1" t="s">
        <v>8</v>
      </c>
      <c r="H3003" s="2">
        <v>6528</v>
      </c>
      <c r="I3003" s="1" t="s">
        <v>13</v>
      </c>
      <c r="J3003" s="1" t="s">
        <v>1970</v>
      </c>
      <c r="K3003" s="1" t="s">
        <v>165</v>
      </c>
      <c r="L3003" s="1" t="s">
        <v>13</v>
      </c>
      <c r="M3003" s="6" t="str">
        <f>_xlfn.CONCAT(Table1[[#This Row],[Billing Street]], ", ", Table1[[#This Row],[Billing City]], ", ", Table1[[#This Row],[Billing State/Province]], ", ", Table1[[#This Row],[Billing Zip/Postal Code]])</f>
        <v xml:space="preserve">, Paris, AR, </v>
      </c>
    </row>
    <row r="3004" spans="1:13" ht="15.6" hidden="1" x14ac:dyDescent="0.3">
      <c r="A3004" s="1" t="s">
        <v>9146</v>
      </c>
      <c r="B3004" s="1"/>
      <c r="C3004" s="1"/>
      <c r="D3004" s="1"/>
      <c r="E3004" s="1"/>
      <c r="F3004" s="1"/>
      <c r="G3004" s="1" t="s">
        <v>8</v>
      </c>
      <c r="H3004" s="2">
        <v>146</v>
      </c>
      <c r="I3004" s="1" t="s">
        <v>9147</v>
      </c>
      <c r="J3004" s="1" t="s">
        <v>8287</v>
      </c>
      <c r="K3004" s="1" t="s">
        <v>165</v>
      </c>
      <c r="L3004" s="1" t="s">
        <v>9148</v>
      </c>
      <c r="M3004" s="6" t="str">
        <f>_xlfn.CONCAT(Table1[[#This Row],[Billing Street]], ", ", Table1[[#This Row],[Billing City]], ", ", Table1[[#This Row],[Billing State/Province]], ", ", Table1[[#This Row],[Billing Zip/Postal Code]])</f>
        <v>1811 W. Commercial St., Ozark, AR, 72949</v>
      </c>
    </row>
    <row r="3005" spans="1:13" ht="15.6" hidden="1" x14ac:dyDescent="0.3">
      <c r="A3005" s="1" t="s">
        <v>9149</v>
      </c>
      <c r="B3005" s="1"/>
      <c r="C3005" s="1"/>
      <c r="D3005" s="1"/>
      <c r="E3005" s="1"/>
      <c r="F3005" s="1"/>
      <c r="G3005" s="1" t="s">
        <v>8</v>
      </c>
      <c r="H3005" s="2">
        <v>162</v>
      </c>
      <c r="I3005" s="1" t="s">
        <v>9150</v>
      </c>
      <c r="J3005" s="1" t="s">
        <v>4740</v>
      </c>
      <c r="K3005" s="1" t="s">
        <v>165</v>
      </c>
      <c r="L3005" s="1" t="s">
        <v>9151</v>
      </c>
      <c r="M3005" s="6" t="str">
        <f>_xlfn.CONCAT(Table1[[#This Row],[Billing Street]], ", ", Table1[[#This Row],[Billing City]], ", ", Table1[[#This Row],[Billing State/Province]], ", ", Table1[[#This Row],[Billing Zip/Postal Code]])</f>
        <v>710 East Main, Clarksville, AR, 72830</v>
      </c>
    </row>
    <row r="3006" spans="1:13" ht="15.6" hidden="1" x14ac:dyDescent="0.3">
      <c r="A3006" s="1" t="s">
        <v>9152</v>
      </c>
      <c r="B3006" s="1"/>
      <c r="C3006" s="1"/>
      <c r="D3006" s="1"/>
      <c r="E3006" s="1"/>
      <c r="F3006" s="1"/>
      <c r="G3006" s="1" t="s">
        <v>8</v>
      </c>
      <c r="H3006" s="2">
        <v>241</v>
      </c>
      <c r="I3006" s="1" t="s">
        <v>9153</v>
      </c>
      <c r="J3006" s="1" t="s">
        <v>7078</v>
      </c>
      <c r="K3006" s="1" t="s">
        <v>165</v>
      </c>
      <c r="L3006" s="1" t="s">
        <v>9154</v>
      </c>
      <c r="M3006" s="6" t="str">
        <f>_xlfn.CONCAT(Table1[[#This Row],[Billing Street]], ", ", Table1[[#This Row],[Billing City]], ", ", Table1[[#This Row],[Billing State/Province]], ", ", Table1[[#This Row],[Billing Zip/Postal Code]])</f>
        <v>1827 Dale Avenue, Benton, AR, 72015</v>
      </c>
    </row>
    <row r="3007" spans="1:13" ht="15.6" hidden="1" x14ac:dyDescent="0.3">
      <c r="A3007" s="1" t="s">
        <v>9155</v>
      </c>
      <c r="B3007" s="1"/>
      <c r="C3007" s="1"/>
      <c r="D3007" s="1"/>
      <c r="E3007" s="1"/>
      <c r="F3007" s="1"/>
      <c r="G3007" s="1" t="s">
        <v>8</v>
      </c>
      <c r="H3007" s="2">
        <v>330</v>
      </c>
      <c r="I3007" s="1" t="s">
        <v>9156</v>
      </c>
      <c r="J3007" s="1" t="s">
        <v>9157</v>
      </c>
      <c r="K3007" s="1" t="s">
        <v>11</v>
      </c>
      <c r="L3007" s="1" t="s">
        <v>9158</v>
      </c>
      <c r="M3007" s="6" t="str">
        <f>_xlfn.CONCAT(Table1[[#This Row],[Billing Street]], ", ", Table1[[#This Row],[Billing City]], ", ", Table1[[#This Row],[Billing State/Province]], ", ", Table1[[#This Row],[Billing Zip/Postal Code]])</f>
        <v>Highway 412 West, Hayti, MO, 63851</v>
      </c>
    </row>
    <row r="3008" spans="1:13" ht="15.6" hidden="1" x14ac:dyDescent="0.3">
      <c r="A3008" s="1" t="s">
        <v>9159</v>
      </c>
      <c r="B3008" s="1"/>
      <c r="C3008" s="1"/>
      <c r="D3008" s="1"/>
      <c r="E3008" s="1"/>
      <c r="F3008" s="1"/>
      <c r="G3008" s="1" t="s">
        <v>8</v>
      </c>
      <c r="H3008" s="2">
        <v>224</v>
      </c>
      <c r="I3008" s="1" t="s">
        <v>9160</v>
      </c>
      <c r="J3008" s="1" t="s">
        <v>9161</v>
      </c>
      <c r="K3008" s="1" t="s">
        <v>165</v>
      </c>
      <c r="L3008" s="1" t="s">
        <v>9162</v>
      </c>
      <c r="M3008" s="6" t="str">
        <f>_xlfn.CONCAT(Table1[[#This Row],[Billing Street]], ", ", Table1[[#This Row],[Billing City]], ", ", Table1[[#This Row],[Billing State/Province]], ", ", Table1[[#This Row],[Billing Zip/Postal Code]])</f>
        <v>800 South Harkrider St., Conway, AR, 72034</v>
      </c>
    </row>
    <row r="3009" spans="1:13" ht="15.6" hidden="1" x14ac:dyDescent="0.3">
      <c r="A3009" s="1" t="s">
        <v>9163</v>
      </c>
      <c r="B3009" s="1"/>
      <c r="C3009" s="1"/>
      <c r="D3009" s="1"/>
      <c r="E3009" s="1"/>
      <c r="F3009" s="1"/>
      <c r="G3009" s="1" t="s">
        <v>8</v>
      </c>
      <c r="H3009" s="2">
        <v>157</v>
      </c>
      <c r="I3009" s="1" t="s">
        <v>9164</v>
      </c>
      <c r="J3009" s="1" t="s">
        <v>896</v>
      </c>
      <c r="K3009" s="1" t="s">
        <v>11</v>
      </c>
      <c r="L3009" s="1" t="s">
        <v>1602</v>
      </c>
      <c r="M3009" s="6" t="str">
        <f>_xlfn.CONCAT(Table1[[#This Row],[Billing Street]], ", ", Table1[[#This Row],[Billing City]], ", ", Table1[[#This Row],[Billing State/Province]], ", ", Table1[[#This Row],[Billing Zip/Postal Code]])</f>
        <v>4400 E Front Street, Kansas City, MO, 64120</v>
      </c>
    </row>
    <row r="3010" spans="1:13" ht="15.6" hidden="1" x14ac:dyDescent="0.3">
      <c r="A3010" s="1" t="s">
        <v>9165</v>
      </c>
      <c r="B3010" s="1"/>
      <c r="C3010" s="1"/>
      <c r="D3010" s="1"/>
      <c r="E3010" s="1"/>
      <c r="F3010" s="1"/>
      <c r="G3010" s="1" t="s">
        <v>8</v>
      </c>
      <c r="H3010" s="2">
        <v>215</v>
      </c>
      <c r="I3010" s="1" t="s">
        <v>9166</v>
      </c>
      <c r="J3010" s="1" t="s">
        <v>866</v>
      </c>
      <c r="K3010" s="1" t="s">
        <v>165</v>
      </c>
      <c r="L3010" s="1" t="s">
        <v>9167</v>
      </c>
      <c r="M3010" s="6" t="str">
        <f>_xlfn.CONCAT(Table1[[#This Row],[Billing Street]], ", ", Table1[[#This Row],[Billing City]], ", ", Table1[[#This Row],[Billing State/Province]], ", ", Table1[[#This Row],[Billing Zip/Postal Code]])</f>
        <v>225 South Main Street, Salem, AR, 72576</v>
      </c>
    </row>
    <row r="3011" spans="1:13" ht="15.6" hidden="1" x14ac:dyDescent="0.3">
      <c r="A3011" s="1" t="s">
        <v>9168</v>
      </c>
      <c r="B3011" s="1"/>
      <c r="C3011" s="1"/>
      <c r="D3011" s="1"/>
      <c r="E3011" s="1"/>
      <c r="F3011" s="1"/>
      <c r="G3011" s="1" t="s">
        <v>8</v>
      </c>
      <c r="H3011" s="2">
        <v>288</v>
      </c>
      <c r="I3011" s="1" t="s">
        <v>9169</v>
      </c>
      <c r="J3011" s="1" t="s">
        <v>9102</v>
      </c>
      <c r="K3011" s="1" t="s">
        <v>165</v>
      </c>
      <c r="L3011" s="1" t="s">
        <v>9103</v>
      </c>
      <c r="M3011" s="6" t="str">
        <f>_xlfn.CONCAT(Table1[[#This Row],[Billing Street]], ", ", Table1[[#This Row],[Billing City]], ", ", Table1[[#This Row],[Billing State/Province]], ", ", Table1[[#This Row],[Billing Zip/Postal Code]])</f>
        <v>3505 Airport Road, Jonesboro, AR, 72401</v>
      </c>
    </row>
    <row r="3012" spans="1:13" ht="15.6" hidden="1" x14ac:dyDescent="0.3">
      <c r="A3012" s="1" t="s">
        <v>9170</v>
      </c>
      <c r="B3012" s="1"/>
      <c r="C3012" s="1"/>
      <c r="D3012" s="1"/>
      <c r="E3012" s="1"/>
      <c r="F3012" s="1"/>
      <c r="G3012" s="1" t="s">
        <v>43</v>
      </c>
      <c r="H3012" s="2">
        <v>491</v>
      </c>
      <c r="I3012" s="1" t="s">
        <v>9171</v>
      </c>
      <c r="J3012" s="1" t="s">
        <v>9172</v>
      </c>
      <c r="K3012" s="1" t="s">
        <v>152</v>
      </c>
      <c r="L3012" s="1" t="s">
        <v>9173</v>
      </c>
      <c r="M3012" s="6" t="str">
        <f>_xlfn.CONCAT(Table1[[#This Row],[Billing Street]], ", ", Table1[[#This Row],[Billing City]], ", ", Table1[[#This Row],[Billing State/Province]], ", ", Table1[[#This Row],[Billing Zip/Postal Code]])</f>
        <v>412 W. High, Freeburg, IL, 62243</v>
      </c>
    </row>
    <row r="3013" spans="1:13" ht="15.6" hidden="1" x14ac:dyDescent="0.3">
      <c r="A3013" s="1" t="s">
        <v>9174</v>
      </c>
      <c r="B3013" s="1"/>
      <c r="C3013" s="1"/>
      <c r="D3013" s="1"/>
      <c r="E3013" s="1"/>
      <c r="F3013" s="1"/>
      <c r="G3013" s="1" t="s">
        <v>8</v>
      </c>
      <c r="H3013" s="2">
        <v>61</v>
      </c>
      <c r="I3013" s="1" t="s">
        <v>9175</v>
      </c>
      <c r="J3013" s="1" t="s">
        <v>2657</v>
      </c>
      <c r="K3013" s="1" t="s">
        <v>11</v>
      </c>
      <c r="L3013" s="1" t="s">
        <v>9176</v>
      </c>
      <c r="M3013" s="6" t="str">
        <f>_xlfn.CONCAT(Table1[[#This Row],[Billing Street]], ", ", Table1[[#This Row],[Billing City]], ", ", Table1[[#This Row],[Billing State/Province]], ", ", Table1[[#This Row],[Billing Zip/Postal Code]])</f>
        <v>602 S Joplin Ave, Joplin, MO, 64801</v>
      </c>
    </row>
    <row r="3014" spans="1:13" ht="15.6" hidden="1" x14ac:dyDescent="0.3">
      <c r="A3014" s="1" t="s">
        <v>9177</v>
      </c>
      <c r="B3014" s="1"/>
      <c r="C3014" s="1"/>
      <c r="D3014" s="1"/>
      <c r="E3014" s="1"/>
      <c r="F3014" s="1"/>
      <c r="G3014" s="1" t="s">
        <v>8</v>
      </c>
      <c r="H3014" s="2">
        <v>203</v>
      </c>
      <c r="I3014" s="1" t="s">
        <v>9178</v>
      </c>
      <c r="J3014" s="1" t="s">
        <v>3508</v>
      </c>
      <c r="K3014" s="1" t="s">
        <v>165</v>
      </c>
      <c r="L3014" s="1" t="s">
        <v>9179</v>
      </c>
      <c r="M3014" s="6" t="str">
        <f>_xlfn.CONCAT(Table1[[#This Row],[Billing Street]], ", ", Table1[[#This Row],[Billing City]], ", ", Table1[[#This Row],[Billing State/Province]], ", ", Table1[[#This Row],[Billing Zip/Postal Code]])</f>
        <v>270 Quality Drive, Clinton, AR, 72031</v>
      </c>
    </row>
    <row r="3015" spans="1:13" ht="15.6" hidden="1" x14ac:dyDescent="0.3">
      <c r="A3015" s="1" t="s">
        <v>9180</v>
      </c>
      <c r="B3015" s="1"/>
      <c r="C3015" s="1"/>
      <c r="D3015" s="1"/>
      <c r="E3015" s="1"/>
      <c r="F3015" s="1"/>
      <c r="G3015" s="1" t="s">
        <v>8</v>
      </c>
      <c r="H3015" s="2">
        <v>141</v>
      </c>
      <c r="I3015" s="1" t="s">
        <v>9181</v>
      </c>
      <c r="J3015" s="1" t="s">
        <v>9182</v>
      </c>
      <c r="K3015" s="1" t="s">
        <v>554</v>
      </c>
      <c r="L3015" s="1" t="s">
        <v>9183</v>
      </c>
      <c r="M3015" s="6" t="str">
        <f>_xlfn.CONCAT(Table1[[#This Row],[Billing Street]], ", ", Table1[[#This Row],[Billing City]], ", ", Table1[[#This Row],[Billing State/Province]], ", ", Table1[[#This Row],[Billing Zip/Postal Code]])</f>
        <v>13605 W 96th Terrace, Lenexa, KS, 66215</v>
      </c>
    </row>
    <row r="3016" spans="1:13" ht="15.6" hidden="1" x14ac:dyDescent="0.3">
      <c r="A3016" s="1" t="s">
        <v>9184</v>
      </c>
      <c r="B3016" s="1"/>
      <c r="C3016" s="1"/>
      <c r="D3016" s="1"/>
      <c r="E3016" s="1"/>
      <c r="F3016" s="1"/>
      <c r="G3016" s="1" t="s">
        <v>43</v>
      </c>
      <c r="H3016" s="2">
        <v>352</v>
      </c>
      <c r="I3016" s="1" t="s">
        <v>9185</v>
      </c>
      <c r="J3016" s="1" t="s">
        <v>9186</v>
      </c>
      <c r="K3016" s="1" t="s">
        <v>152</v>
      </c>
      <c r="L3016" s="1" t="s">
        <v>9187</v>
      </c>
      <c r="M3016" s="6" t="str">
        <f>_xlfn.CONCAT(Table1[[#This Row],[Billing Street]], ", ", Table1[[#This Row],[Billing City]], ", ", Table1[[#This Row],[Billing State/Province]], ", ", Table1[[#This Row],[Billing Zip/Postal Code]])</f>
        <v>330 W Ottawa, Paxton, IL, 60957-0096</v>
      </c>
    </row>
    <row r="3017" spans="1:13" ht="15.6" hidden="1" x14ac:dyDescent="0.3">
      <c r="A3017" s="1" t="s">
        <v>9188</v>
      </c>
      <c r="B3017" s="1"/>
      <c r="C3017" s="1"/>
      <c r="D3017" s="1"/>
      <c r="E3017" s="1"/>
      <c r="F3017" s="1"/>
      <c r="G3017" s="1" t="s">
        <v>8</v>
      </c>
      <c r="H3017" s="2">
        <v>102</v>
      </c>
      <c r="I3017" s="1" t="s">
        <v>9189</v>
      </c>
      <c r="J3017" s="1" t="s">
        <v>4374</v>
      </c>
      <c r="K3017" s="1" t="s">
        <v>165</v>
      </c>
      <c r="L3017" s="1" t="s">
        <v>9190</v>
      </c>
      <c r="M3017" s="6" t="str">
        <f>_xlfn.CONCAT(Table1[[#This Row],[Billing Street]], ", ", Table1[[#This Row],[Billing City]], ", ", Table1[[#This Row],[Billing State/Province]], ", ", Table1[[#This Row],[Billing Zip/Postal Code]])</f>
        <v>3641 Wedington Drive, Fayetteville, AR, 72704</v>
      </c>
    </row>
    <row r="3018" spans="1:13" ht="15.6" hidden="1" x14ac:dyDescent="0.3">
      <c r="A3018" s="1" t="s">
        <v>9191</v>
      </c>
      <c r="B3018" s="1"/>
      <c r="C3018" s="1"/>
      <c r="D3018" s="1"/>
      <c r="E3018" s="1"/>
      <c r="F3018" s="1"/>
      <c r="G3018" s="1" t="s">
        <v>8</v>
      </c>
      <c r="H3018" s="2">
        <v>331</v>
      </c>
      <c r="I3018" s="1" t="s">
        <v>9192</v>
      </c>
      <c r="J3018" s="1" t="s">
        <v>9193</v>
      </c>
      <c r="K3018" s="1" t="s">
        <v>165</v>
      </c>
      <c r="L3018" s="1" t="s">
        <v>9194</v>
      </c>
      <c r="M3018" s="6" t="str">
        <f>_xlfn.CONCAT(Table1[[#This Row],[Billing Street]], ", ", Table1[[#This Row],[Billing City]], ", ", Table1[[#This Row],[Billing State/Province]], ", ", Table1[[#This Row],[Billing Zip/Postal Code]])</f>
        <v>604 East Cooper, West Memphis, AR, 72303</v>
      </c>
    </row>
    <row r="3019" spans="1:13" ht="15.6" hidden="1" x14ac:dyDescent="0.3">
      <c r="A3019" s="1" t="s">
        <v>9195</v>
      </c>
      <c r="B3019" s="1"/>
      <c r="C3019" s="1"/>
      <c r="D3019" s="1"/>
      <c r="E3019" s="1"/>
      <c r="F3019" s="1"/>
      <c r="G3019" s="1" t="s">
        <v>8</v>
      </c>
      <c r="H3019" s="2">
        <v>258</v>
      </c>
      <c r="I3019" s="1" t="s">
        <v>9196</v>
      </c>
      <c r="J3019" s="1" t="s">
        <v>8322</v>
      </c>
      <c r="K3019" s="1" t="s">
        <v>165</v>
      </c>
      <c r="L3019" s="1" t="s">
        <v>9197</v>
      </c>
      <c r="M3019" s="6" t="str">
        <f>_xlfn.CONCAT(Table1[[#This Row],[Billing Street]], ", ", Table1[[#This Row],[Billing City]], ", ", Table1[[#This Row],[Billing State/Province]], ", ", Table1[[#This Row],[Billing Zip/Postal Code]])</f>
        <v>1406 US-371, Prescott, AR, 71857</v>
      </c>
    </row>
    <row r="3020" spans="1:13" ht="15.6" x14ac:dyDescent="0.3">
      <c r="A3020" s="1" t="s">
        <v>9198</v>
      </c>
      <c r="B3020" s="1"/>
      <c r="C3020" s="1"/>
      <c r="D3020" s="1"/>
      <c r="E3020" s="1"/>
      <c r="F3020" s="1"/>
      <c r="G3020" s="1" t="s">
        <v>24</v>
      </c>
      <c r="H3020" s="2">
        <v>256</v>
      </c>
      <c r="I3020" s="1" t="s">
        <v>9199</v>
      </c>
      <c r="J3020" s="1" t="s">
        <v>9200</v>
      </c>
      <c r="K3020" s="1" t="s">
        <v>577</v>
      </c>
      <c r="L3020" s="1" t="s">
        <v>9201</v>
      </c>
      <c r="M3020" s="6" t="str">
        <f>_xlfn.CONCAT(Table1[[#This Row],[Billing Street]], ", ", Table1[[#This Row],[Billing City]], ", ", Table1[[#This Row],[Billing State/Province]], ", ", Table1[[#This Row],[Billing Zip/Postal Code]])</f>
        <v>411 Pride Drive, Hammond, LA, 70401</v>
      </c>
    </row>
    <row r="3021" spans="1:13" ht="15.6" hidden="1" x14ac:dyDescent="0.3">
      <c r="A3021" s="1" t="s">
        <v>9202</v>
      </c>
      <c r="B3021" s="1"/>
      <c r="C3021" s="1"/>
      <c r="D3021" s="1"/>
      <c r="E3021" s="1"/>
      <c r="F3021" s="1"/>
      <c r="G3021" s="1" t="s">
        <v>43</v>
      </c>
      <c r="H3021" s="2">
        <v>5776</v>
      </c>
      <c r="I3021" s="1" t="s">
        <v>9203</v>
      </c>
      <c r="J3021" s="1" t="s">
        <v>5318</v>
      </c>
      <c r="K3021" s="1" t="s">
        <v>3339</v>
      </c>
      <c r="L3021" s="1" t="s">
        <v>9204</v>
      </c>
      <c r="M3021" s="6" t="str">
        <f>_xlfn.CONCAT(Table1[[#This Row],[Billing Street]], ", ", Table1[[#This Row],[Billing City]], ", ", Table1[[#This Row],[Billing State/Province]], ", ", Table1[[#This Row],[Billing Zip/Postal Code]])</f>
        <v>57 Anthony Ave, Augusta, Me, 4330</v>
      </c>
    </row>
    <row r="3022" spans="1:13" ht="15.6" hidden="1" x14ac:dyDescent="0.3">
      <c r="A3022" s="1" t="s">
        <v>9205</v>
      </c>
      <c r="B3022" s="1"/>
      <c r="C3022" s="1"/>
      <c r="D3022" s="1"/>
      <c r="E3022" s="1"/>
      <c r="F3022" s="1"/>
      <c r="G3022" s="1" t="s">
        <v>98</v>
      </c>
      <c r="H3022" s="2">
        <v>176</v>
      </c>
      <c r="I3022" s="1" t="s">
        <v>9206</v>
      </c>
      <c r="J3022" s="1" t="s">
        <v>9207</v>
      </c>
      <c r="K3022" s="1" t="s">
        <v>101</v>
      </c>
      <c r="L3022" s="1" t="s">
        <v>9208</v>
      </c>
      <c r="M3022" s="6" t="str">
        <f>_xlfn.CONCAT(Table1[[#This Row],[Billing Street]], ", ", Table1[[#This Row],[Billing City]], ", ", Table1[[#This Row],[Billing State/Province]], ", ", Table1[[#This Row],[Billing Zip/Postal Code]])</f>
        <v>10 Court Square, Blakely, GA, 39823</v>
      </c>
    </row>
    <row r="3023" spans="1:13" ht="15.6" x14ac:dyDescent="0.3">
      <c r="A3023" s="1" t="s">
        <v>9209</v>
      </c>
      <c r="B3023" s="1"/>
      <c r="C3023" s="1"/>
      <c r="D3023" s="1"/>
      <c r="E3023" s="1"/>
      <c r="F3023" s="1"/>
      <c r="G3023" s="1" t="s">
        <v>24</v>
      </c>
      <c r="H3023" s="2">
        <v>5988</v>
      </c>
      <c r="I3023" s="1" t="s">
        <v>9210</v>
      </c>
      <c r="J3023" s="1" t="s">
        <v>9211</v>
      </c>
      <c r="K3023" s="1" t="s">
        <v>36</v>
      </c>
      <c r="L3023" s="1" t="s">
        <v>13</v>
      </c>
      <c r="M3023" s="6" t="str">
        <f>_xlfn.CONCAT(Table1[[#This Row],[Billing Street]], ", ", Table1[[#This Row],[Billing City]], ", ", Table1[[#This Row],[Billing State/Province]], ", ", Table1[[#This Row],[Billing Zip/Postal Code]])</f>
        <v xml:space="preserve">Hwy 331 North, DeFuniak Springs, FL, </v>
      </c>
    </row>
    <row r="3024" spans="1:13" ht="15.6" hidden="1" x14ac:dyDescent="0.3">
      <c r="A3024" s="1" t="s">
        <v>9212</v>
      </c>
      <c r="B3024" s="1"/>
      <c r="C3024" s="1"/>
      <c r="D3024" s="1"/>
      <c r="E3024" s="1"/>
      <c r="F3024" s="1"/>
      <c r="G3024" s="1" t="s">
        <v>8</v>
      </c>
      <c r="H3024" s="2">
        <v>6528</v>
      </c>
      <c r="I3024" s="1" t="s">
        <v>13</v>
      </c>
      <c r="J3024" s="1" t="s">
        <v>2160</v>
      </c>
      <c r="K3024" s="1" t="s">
        <v>165</v>
      </c>
      <c r="L3024" s="1" t="s">
        <v>13</v>
      </c>
      <c r="M3024" s="6" t="str">
        <f>_xlfn.CONCAT(Table1[[#This Row],[Billing Street]], ", ", Table1[[#This Row],[Billing City]], ", ", Table1[[#This Row],[Billing State/Province]], ", ", Table1[[#This Row],[Billing Zip/Postal Code]])</f>
        <v xml:space="preserve">, El Dorado, AR, </v>
      </c>
    </row>
    <row r="3025" spans="1:13" ht="15.6" hidden="1" x14ac:dyDescent="0.3">
      <c r="A3025" s="1" t="s">
        <v>9213</v>
      </c>
      <c r="B3025" s="1"/>
      <c r="C3025" s="1"/>
      <c r="D3025" s="1"/>
      <c r="E3025" s="1"/>
      <c r="F3025" s="1"/>
      <c r="G3025" s="1" t="s">
        <v>43</v>
      </c>
      <c r="H3025" s="2">
        <v>442</v>
      </c>
      <c r="I3025" s="1" t="s">
        <v>9214</v>
      </c>
      <c r="J3025" s="1" t="s">
        <v>418</v>
      </c>
      <c r="K3025" s="1" t="s">
        <v>152</v>
      </c>
      <c r="L3025" s="1" t="s">
        <v>9215</v>
      </c>
      <c r="M3025" s="6" t="str">
        <f>_xlfn.CONCAT(Table1[[#This Row],[Billing Street]], ", ", Table1[[#This Row],[Billing City]], ", ", Table1[[#This Row],[Billing State/Province]], ", ", Table1[[#This Row],[Billing Zip/Postal Code]])</f>
        <v>1008 Miller St., Springfield, IL, 62702</v>
      </c>
    </row>
    <row r="3026" spans="1:13" ht="15.6" x14ac:dyDescent="0.3">
      <c r="A3026" s="1" t="s">
        <v>9216</v>
      </c>
      <c r="B3026" s="1"/>
      <c r="C3026" s="1"/>
      <c r="D3026" s="1"/>
      <c r="E3026" s="1"/>
      <c r="F3026" s="1"/>
      <c r="G3026" s="1" t="s">
        <v>24</v>
      </c>
      <c r="H3026" s="2">
        <v>280</v>
      </c>
      <c r="I3026" s="1" t="s">
        <v>9217</v>
      </c>
      <c r="J3026" s="1" t="s">
        <v>613</v>
      </c>
      <c r="K3026" s="1" t="s">
        <v>36</v>
      </c>
      <c r="L3026" s="1" t="s">
        <v>9218</v>
      </c>
      <c r="M3026" s="6" t="str">
        <f>_xlfn.CONCAT(Table1[[#This Row],[Billing Street]], ", ", Table1[[#This Row],[Billing City]], ", ", Table1[[#This Row],[Billing State/Province]], ", ", Table1[[#This Row],[Billing Zip/Postal Code]])</f>
        <v>601 E. Seminole St., Bushnell, FL, 33513</v>
      </c>
    </row>
    <row r="3027" spans="1:13" ht="15.6" x14ac:dyDescent="0.3">
      <c r="A3027" s="1" t="s">
        <v>9219</v>
      </c>
      <c r="B3027" s="1"/>
      <c r="C3027" s="1"/>
      <c r="D3027" s="1"/>
      <c r="E3027" s="1"/>
      <c r="F3027" s="1"/>
      <c r="G3027" s="1" t="s">
        <v>24</v>
      </c>
      <c r="H3027" s="2">
        <v>107</v>
      </c>
      <c r="I3027" s="1" t="s">
        <v>9220</v>
      </c>
      <c r="J3027" s="1" t="s">
        <v>9221</v>
      </c>
      <c r="K3027" s="1" t="s">
        <v>26</v>
      </c>
      <c r="L3027" s="1" t="s">
        <v>9222</v>
      </c>
      <c r="M3027" s="6" t="str">
        <f>_xlfn.CONCAT(Table1[[#This Row],[Billing Street]], ", ", Table1[[#This Row],[Billing City]], ", ", Table1[[#This Row],[Billing State/Province]], ", ", Table1[[#This Row],[Billing Zip/Postal Code]])</f>
        <v>555 South Section St, Fairhope, AL, 36533</v>
      </c>
    </row>
    <row r="3028" spans="1:13" ht="15.6" hidden="1" x14ac:dyDescent="0.3">
      <c r="A3028" s="1" t="s">
        <v>9223</v>
      </c>
      <c r="B3028" s="1"/>
      <c r="C3028" s="1"/>
      <c r="D3028" s="1"/>
      <c r="E3028" s="1"/>
      <c r="F3028" s="1"/>
      <c r="G3028" s="1" t="s">
        <v>8</v>
      </c>
      <c r="H3028" s="2">
        <v>285</v>
      </c>
      <c r="I3028" s="1" t="s">
        <v>9224</v>
      </c>
      <c r="J3028" s="1" t="s">
        <v>9102</v>
      </c>
      <c r="K3028" s="1" t="s">
        <v>165</v>
      </c>
      <c r="L3028" s="1" t="s">
        <v>9225</v>
      </c>
      <c r="M3028" s="6" t="str">
        <f>_xlfn.CONCAT(Table1[[#This Row],[Billing Street]], ", ", Table1[[#This Row],[Billing City]], ", ", Table1[[#This Row],[Billing State/Province]], ", ", Table1[[#This Row],[Billing Zip/Postal Code]])</f>
        <v>Facilities Management Arkansas State Univ., Jonesboro, AR, 72403</v>
      </c>
    </row>
    <row r="3029" spans="1:13" ht="15.6" hidden="1" x14ac:dyDescent="0.3">
      <c r="A3029" s="1" t="s">
        <v>9226</v>
      </c>
      <c r="B3029" s="1"/>
      <c r="C3029" s="1"/>
      <c r="D3029" s="1"/>
      <c r="E3029" s="1"/>
      <c r="F3029" s="1"/>
      <c r="G3029" s="1" t="s">
        <v>43</v>
      </c>
      <c r="H3029" s="2">
        <v>297</v>
      </c>
      <c r="I3029" s="1" t="s">
        <v>9227</v>
      </c>
      <c r="J3029" s="1" t="s">
        <v>5844</v>
      </c>
      <c r="K3029" s="1" t="s">
        <v>1115</v>
      </c>
      <c r="L3029" s="1" t="s">
        <v>9228</v>
      </c>
      <c r="M3029" s="6" t="str">
        <f>_xlfn.CONCAT(Table1[[#This Row],[Billing Street]], ", ", Table1[[#This Row],[Billing City]], ", ", Table1[[#This Row],[Billing State/Province]], ", ", Table1[[#This Row],[Billing Zip/Postal Code]])</f>
        <v>P. O. Box 785  1570 Mt. Athos Road, Lynchburg, VA, 24505</v>
      </c>
    </row>
    <row r="3030" spans="1:13" ht="15.6" hidden="1" x14ac:dyDescent="0.3">
      <c r="A3030" s="1" t="s">
        <v>9229</v>
      </c>
      <c r="B3030" s="1"/>
      <c r="C3030" s="1"/>
      <c r="D3030" s="1"/>
      <c r="E3030" s="1"/>
      <c r="F3030" s="1"/>
      <c r="G3030" s="1" t="s">
        <v>8</v>
      </c>
      <c r="H3030" s="2">
        <v>64</v>
      </c>
      <c r="I3030" s="1" t="s">
        <v>9230</v>
      </c>
      <c r="J3030" s="1" t="s">
        <v>6237</v>
      </c>
      <c r="K3030" s="1" t="s">
        <v>147</v>
      </c>
      <c r="L3030" s="1" t="s">
        <v>9231</v>
      </c>
      <c r="M3030" s="6" t="str">
        <f>_xlfn.CONCAT(Table1[[#This Row],[Billing Street]], ", ", Table1[[#This Row],[Billing City]], ", ", Table1[[#This Row],[Billing State/Province]], ", ", Table1[[#This Row],[Billing Zip/Postal Code]])</f>
        <v>212 E 6th St, Tulsa, OK, 74119</v>
      </c>
    </row>
    <row r="3031" spans="1:13" ht="15.6" x14ac:dyDescent="0.3">
      <c r="A3031" s="1" t="s">
        <v>9232</v>
      </c>
      <c r="B3031" s="1"/>
      <c r="C3031" s="1"/>
      <c r="D3031" s="1"/>
      <c r="E3031" s="1"/>
      <c r="F3031" s="1"/>
      <c r="G3031" s="1" t="s">
        <v>24</v>
      </c>
      <c r="H3031" s="2">
        <v>135</v>
      </c>
      <c r="I3031" s="1" t="s">
        <v>9233</v>
      </c>
      <c r="J3031" s="1" t="s">
        <v>197</v>
      </c>
      <c r="K3031" s="1" t="s">
        <v>26</v>
      </c>
      <c r="L3031" s="1" t="s">
        <v>9234</v>
      </c>
      <c r="M3031" s="6" t="str">
        <f>_xlfn.CONCAT(Table1[[#This Row],[Billing Street]], ", ", Table1[[#This Row],[Billing City]], ", ", Table1[[#This Row],[Billing State/Province]], ", ", Table1[[#This Row],[Billing Zip/Postal Code]])</f>
        <v>200 Wire Rd, Auburn, AL, 36849</v>
      </c>
    </row>
    <row r="3032" spans="1:13" ht="15.6" hidden="1" x14ac:dyDescent="0.3">
      <c r="A3032" s="1" t="s">
        <v>9235</v>
      </c>
      <c r="B3032" s="1"/>
      <c r="C3032" s="1"/>
      <c r="D3032" s="1"/>
      <c r="E3032" s="1"/>
      <c r="F3032" s="1"/>
      <c r="G3032" s="1" t="s">
        <v>205</v>
      </c>
      <c r="H3032" s="2">
        <v>121</v>
      </c>
      <c r="I3032" s="1" t="s">
        <v>9236</v>
      </c>
      <c r="J3032" s="1" t="s">
        <v>9237</v>
      </c>
      <c r="K3032" s="1" t="s">
        <v>479</v>
      </c>
      <c r="L3032" s="1" t="s">
        <v>9238</v>
      </c>
      <c r="M3032" s="6" t="str">
        <f>_xlfn.CONCAT(Table1[[#This Row],[Billing Street]], ", ", Table1[[#This Row],[Billing City]], ", ", Table1[[#This Row],[Billing State/Province]], ", ", Table1[[#This Row],[Billing Zip/Postal Code]])</f>
        <v>6200 West Duval Mine Road, Sahuarita, AZ, 85629</v>
      </c>
    </row>
    <row r="3033" spans="1:13" ht="15.6" hidden="1" x14ac:dyDescent="0.3">
      <c r="A3033" s="1" t="s">
        <v>9239</v>
      </c>
      <c r="B3033" s="1"/>
      <c r="C3033" s="1"/>
      <c r="D3033" s="1"/>
      <c r="E3033" s="1"/>
      <c r="F3033" s="1"/>
      <c r="G3033" s="1" t="s">
        <v>13</v>
      </c>
      <c r="H3033" s="2">
        <v>0</v>
      </c>
      <c r="I3033" s="1" t="s">
        <v>9240</v>
      </c>
      <c r="J3033" s="1" t="s">
        <v>7590</v>
      </c>
      <c r="K3033" s="1" t="s">
        <v>9241</v>
      </c>
      <c r="L3033" s="1" t="s">
        <v>9242</v>
      </c>
      <c r="M3033" s="6" t="str">
        <f>_xlfn.CONCAT(Table1[[#This Row],[Billing Street]], ", ", Table1[[#This Row],[Billing City]], ", ", Table1[[#This Row],[Billing State/Province]], ", ", Table1[[#This Row],[Billing Zip/Postal Code]])</f>
        <v>#3-8755 Ash Street, Vancouver, BC, V6P 6T3</v>
      </c>
    </row>
    <row r="3034" spans="1:13" ht="15.6" hidden="1" x14ac:dyDescent="0.3">
      <c r="A3034" s="1" t="s">
        <v>9243</v>
      </c>
      <c r="B3034" s="1"/>
      <c r="C3034" s="1"/>
      <c r="D3034" s="1"/>
      <c r="E3034" s="1"/>
      <c r="F3034" s="1"/>
      <c r="G3034" s="1" t="s">
        <v>98</v>
      </c>
      <c r="H3034" s="2">
        <v>5887</v>
      </c>
      <c r="I3034" s="1" t="s">
        <v>9244</v>
      </c>
      <c r="J3034" s="1" t="s">
        <v>9245</v>
      </c>
      <c r="K3034" s="1" t="s">
        <v>234</v>
      </c>
      <c r="L3034" s="1" t="s">
        <v>9246</v>
      </c>
      <c r="M3034" s="6" t="str">
        <f>_xlfn.CONCAT(Table1[[#This Row],[Billing Street]], ", ", Table1[[#This Row],[Billing City]], ", ", Table1[[#This Row],[Billing State/Province]], ", ", Table1[[#This Row],[Billing Zip/Postal Code]])</f>
        <v>300 Cambridge St, Abbeville, SC, 29620</v>
      </c>
    </row>
    <row r="3035" spans="1:13" ht="15.6" hidden="1" x14ac:dyDescent="0.3">
      <c r="A3035" s="1" t="s">
        <v>9247</v>
      </c>
      <c r="B3035" s="1"/>
      <c r="C3035" s="1"/>
      <c r="D3035" s="1"/>
      <c r="E3035" s="1"/>
      <c r="F3035" s="1"/>
      <c r="G3035" s="1" t="s">
        <v>13</v>
      </c>
      <c r="H3035" s="2">
        <v>0</v>
      </c>
      <c r="I3035" s="1" t="s">
        <v>9248</v>
      </c>
      <c r="J3035" s="1" t="s">
        <v>9249</v>
      </c>
      <c r="K3035" s="1" t="s">
        <v>9241</v>
      </c>
      <c r="L3035" s="1" t="s">
        <v>9250</v>
      </c>
      <c r="M3035" s="6" t="str">
        <f>_xlfn.CONCAT(Table1[[#This Row],[Billing Street]], ", ", Table1[[#This Row],[Billing City]], ", ", Table1[[#This Row],[Billing State/Province]], ", ", Table1[[#This Row],[Billing Zip/Postal Code]])</f>
        <v>1260 Dalhousie Drive, Kamloops, BC, V2C6G3</v>
      </c>
    </row>
    <row r="3036" spans="1:13" ht="15.6" hidden="1" x14ac:dyDescent="0.3">
      <c r="A3036" s="1" t="s">
        <v>9251</v>
      </c>
      <c r="B3036" s="1"/>
      <c r="C3036" s="1"/>
      <c r="D3036" s="1"/>
      <c r="E3036" s="1"/>
      <c r="F3036" s="1"/>
      <c r="G3036" s="1" t="s">
        <v>43</v>
      </c>
      <c r="H3036" s="2">
        <v>5776</v>
      </c>
      <c r="I3036" s="1" t="s">
        <v>9252</v>
      </c>
      <c r="J3036" s="1" t="s">
        <v>9253</v>
      </c>
      <c r="K3036" s="1" t="s">
        <v>1154</v>
      </c>
      <c r="L3036" s="1" t="s">
        <v>9254</v>
      </c>
      <c r="M3036" s="6" t="str">
        <f>_xlfn.CONCAT(Table1[[#This Row],[Billing Street]], ", ", Table1[[#This Row],[Billing City]], ", ", Table1[[#This Row],[Billing State/Province]], ", ", Table1[[#This Row],[Billing Zip/Postal Code]])</f>
        <v>155 Railroad Plaza, Royetsford, Pa, 19468</v>
      </c>
    </row>
    <row r="3037" spans="1:13" ht="15.6" hidden="1" x14ac:dyDescent="0.3">
      <c r="A3037" s="1" t="s">
        <v>9255</v>
      </c>
      <c r="B3037" s="1"/>
      <c r="C3037" s="1"/>
      <c r="D3037" s="1"/>
      <c r="E3037" s="1"/>
      <c r="F3037" s="1"/>
      <c r="G3037" s="1" t="s">
        <v>13</v>
      </c>
      <c r="H3037" s="2">
        <v>0</v>
      </c>
      <c r="I3037" s="1" t="s">
        <v>13</v>
      </c>
      <c r="J3037" s="1" t="s">
        <v>9256</v>
      </c>
      <c r="K3037" s="1" t="s">
        <v>9241</v>
      </c>
      <c r="L3037" s="1" t="s">
        <v>13</v>
      </c>
      <c r="M3037" s="6" t="str">
        <f>_xlfn.CONCAT(Table1[[#This Row],[Billing Street]], ", ", Table1[[#This Row],[Billing City]], ", ", Table1[[#This Row],[Billing State/Province]], ", ", Table1[[#This Row],[Billing Zip/Postal Code]])</f>
        <v xml:space="preserve">, Grand Forks, BC, </v>
      </c>
    </row>
    <row r="3038" spans="1:13" ht="15.6" hidden="1" x14ac:dyDescent="0.3">
      <c r="A3038" s="1" t="s">
        <v>9257</v>
      </c>
      <c r="B3038" s="1"/>
      <c r="C3038" s="1"/>
      <c r="D3038" s="1"/>
      <c r="E3038" s="1"/>
      <c r="F3038" s="1"/>
      <c r="G3038" s="1" t="s">
        <v>54</v>
      </c>
      <c r="H3038" s="2">
        <v>4</v>
      </c>
      <c r="I3038" s="1" t="s">
        <v>9258</v>
      </c>
      <c r="J3038" s="1" t="s">
        <v>2048</v>
      </c>
      <c r="K3038" s="1" t="s">
        <v>57</v>
      </c>
      <c r="L3038" s="1" t="s">
        <v>1448</v>
      </c>
      <c r="M3038" s="6" t="str">
        <f>_xlfn.CONCAT(Table1[[#This Row],[Billing Street]], ", ", Table1[[#This Row],[Billing City]], ", ", Table1[[#This Row],[Billing State/Province]], ", ", Table1[[#This Row],[Billing Zip/Postal Code]])</f>
        <v>5756 Alba St., Los Angeles, CA, 90058</v>
      </c>
    </row>
    <row r="3039" spans="1:13" ht="15.6" x14ac:dyDescent="0.3">
      <c r="A3039" s="1" t="s">
        <v>9259</v>
      </c>
      <c r="B3039" s="1"/>
      <c r="C3039" s="1"/>
      <c r="D3039" s="1"/>
      <c r="E3039" s="1"/>
      <c r="F3039" s="1"/>
      <c r="G3039" s="1" t="s">
        <v>24</v>
      </c>
      <c r="H3039" s="2">
        <v>70</v>
      </c>
      <c r="I3039" s="1" t="s">
        <v>9260</v>
      </c>
      <c r="J3039" s="1" t="s">
        <v>715</v>
      </c>
      <c r="K3039" s="1" t="s">
        <v>36</v>
      </c>
      <c r="L3039" s="1" t="s">
        <v>716</v>
      </c>
      <c r="M3039" s="6" t="str">
        <f>_xlfn.CONCAT(Table1[[#This Row],[Billing Street]], ", ", Table1[[#This Row],[Billing City]], ", ", Table1[[#This Row],[Billing State/Province]], ", ", Table1[[#This Row],[Billing Zip/Postal Code]])</f>
        <v>5030 Commerce Park Cir, Pensacola, FL, 32505</v>
      </c>
    </row>
    <row r="3040" spans="1:13" ht="15.6" hidden="1" x14ac:dyDescent="0.3">
      <c r="A3040" s="1" t="s">
        <v>9261</v>
      </c>
      <c r="B3040" s="1"/>
      <c r="C3040" s="1"/>
      <c r="D3040" s="1"/>
      <c r="E3040" s="1"/>
      <c r="F3040" s="1"/>
      <c r="G3040" s="1" t="s">
        <v>8</v>
      </c>
      <c r="H3040" s="2">
        <v>6528</v>
      </c>
      <c r="I3040" s="1" t="s">
        <v>13</v>
      </c>
      <c r="J3040" s="1" t="s">
        <v>9262</v>
      </c>
      <c r="K3040" s="1" t="s">
        <v>165</v>
      </c>
      <c r="L3040" s="1" t="s">
        <v>13</v>
      </c>
      <c r="M3040" s="6" t="str">
        <f>_xlfn.CONCAT(Table1[[#This Row],[Billing Street]], ", ", Table1[[#This Row],[Billing City]], ", ", Table1[[#This Row],[Billing State/Province]], ", ", Table1[[#This Row],[Billing Zip/Postal Code]])</f>
        <v xml:space="preserve">, Mena, AR, </v>
      </c>
    </row>
    <row r="3041" spans="1:13" ht="15.6" hidden="1" x14ac:dyDescent="0.3">
      <c r="A3041" s="1" t="s">
        <v>9263</v>
      </c>
      <c r="B3041" s="1"/>
      <c r="C3041" s="1"/>
      <c r="D3041" s="1"/>
      <c r="E3041" s="1"/>
      <c r="F3041" s="1"/>
      <c r="G3041" s="1" t="s">
        <v>43</v>
      </c>
      <c r="H3041" s="2">
        <v>5776</v>
      </c>
      <c r="I3041" s="1" t="s">
        <v>13</v>
      </c>
      <c r="J3041" s="1" t="s">
        <v>3872</v>
      </c>
      <c r="K3041" s="1" t="s">
        <v>237</v>
      </c>
      <c r="L3041" s="1" t="s">
        <v>13</v>
      </c>
      <c r="M3041" s="6" t="str">
        <f>_xlfn.CONCAT(Table1[[#This Row],[Billing Street]], ", ", Table1[[#This Row],[Billing City]], ", ", Table1[[#This Row],[Billing State/Province]], ", ", Table1[[#This Row],[Billing Zip/Postal Code]])</f>
        <v xml:space="preserve">, Jeffersonville, IN, </v>
      </c>
    </row>
    <row r="3042" spans="1:13" ht="15.6" x14ac:dyDescent="0.3">
      <c r="A3042" s="1" t="s">
        <v>9264</v>
      </c>
      <c r="B3042" s="1"/>
      <c r="C3042" s="1"/>
      <c r="D3042" s="1"/>
      <c r="E3042" s="1"/>
      <c r="F3042" s="1"/>
      <c r="G3042" s="1" t="s">
        <v>24</v>
      </c>
      <c r="H3042" s="2">
        <v>69</v>
      </c>
      <c r="I3042" s="1" t="s">
        <v>9265</v>
      </c>
      <c r="J3042" s="1" t="s">
        <v>715</v>
      </c>
      <c r="K3042" s="1" t="s">
        <v>36</v>
      </c>
      <c r="L3042" s="1" t="s">
        <v>716</v>
      </c>
      <c r="M3042" s="6" t="str">
        <f>_xlfn.CONCAT(Table1[[#This Row],[Billing Street]], ", ", Table1[[#This Row],[Billing City]], ", ", Table1[[#This Row],[Billing State/Province]], ", ", Table1[[#This Row],[Billing Zip/Postal Code]])</f>
        <v>25 Mason Ln, Pensacola, FL, 32505</v>
      </c>
    </row>
    <row r="3043" spans="1:13" ht="15.6" hidden="1" x14ac:dyDescent="0.3">
      <c r="A3043" s="1" t="s">
        <v>9266</v>
      </c>
      <c r="B3043" s="1"/>
      <c r="C3043" s="1"/>
      <c r="D3043" s="1"/>
      <c r="E3043" s="1"/>
      <c r="F3043" s="1"/>
      <c r="G3043" s="1" t="s">
        <v>98</v>
      </c>
      <c r="H3043" s="2">
        <v>102</v>
      </c>
      <c r="I3043" s="1" t="s">
        <v>9267</v>
      </c>
      <c r="J3043" s="1" t="s">
        <v>9268</v>
      </c>
      <c r="K3043" s="1" t="s">
        <v>1135</v>
      </c>
      <c r="L3043" s="1" t="s">
        <v>9269</v>
      </c>
      <c r="M3043" s="6" t="str">
        <f>_xlfn.CONCAT(Table1[[#This Row],[Billing Street]], ", ", Table1[[#This Row],[Billing City]], ", ", Table1[[#This Row],[Billing State/Province]], ", ", Table1[[#This Row],[Billing Zip/Postal Code]])</f>
        <v>PO Box 3656 1631 East 25th Street, Chattanooga, TN, 37404</v>
      </c>
    </row>
    <row r="3044" spans="1:13" ht="15.6" hidden="1" x14ac:dyDescent="0.3">
      <c r="A3044" s="1" t="s">
        <v>9270</v>
      </c>
      <c r="B3044" s="1"/>
      <c r="C3044" s="1"/>
      <c r="D3044" s="1"/>
      <c r="E3044" s="1"/>
      <c r="F3044" s="1"/>
      <c r="G3044" s="1" t="s">
        <v>43</v>
      </c>
      <c r="H3044" s="2">
        <v>474</v>
      </c>
      <c r="I3044" s="1" t="s">
        <v>9271</v>
      </c>
      <c r="J3044" s="1" t="s">
        <v>2709</v>
      </c>
      <c r="K3044" s="1" t="s">
        <v>152</v>
      </c>
      <c r="L3044" s="1" t="s">
        <v>2710</v>
      </c>
      <c r="M3044" s="6" t="str">
        <f>_xlfn.CONCAT(Table1[[#This Row],[Billing Street]], ", ", Table1[[#This Row],[Billing City]], ", ", Table1[[#This Row],[Billing State/Province]], ", ", Table1[[#This Row],[Billing Zip/Postal Code]])</f>
        <v>11543 Lake of Egypt Road, Marion, IL, 62959</v>
      </c>
    </row>
    <row r="3045" spans="1:13" ht="15.6" hidden="1" x14ac:dyDescent="0.3">
      <c r="A3045" s="1" t="s">
        <v>9272</v>
      </c>
      <c r="B3045" s="1"/>
      <c r="C3045" s="1"/>
      <c r="D3045" s="1"/>
      <c r="E3045" s="1"/>
      <c r="F3045" s="1"/>
      <c r="G3045" s="1" t="s">
        <v>43</v>
      </c>
      <c r="H3045" s="2">
        <v>365</v>
      </c>
      <c r="I3045" s="1" t="s">
        <v>6956</v>
      </c>
      <c r="J3045" s="1" t="s">
        <v>6851</v>
      </c>
      <c r="K3045" s="1" t="s">
        <v>237</v>
      </c>
      <c r="L3045" s="1" t="s">
        <v>6852</v>
      </c>
      <c r="M3045" s="6" t="str">
        <f>_xlfn.CONCAT(Table1[[#This Row],[Billing Street]], ", ", Table1[[#This Row],[Billing City]], ", ", Table1[[#This Row],[Billing State/Province]], ", ", Table1[[#This Row],[Billing Zip/Postal Code]])</f>
        <v>1776 10th Street, Tell City, IN, 47586</v>
      </c>
    </row>
    <row r="3046" spans="1:13" ht="15.6" hidden="1" x14ac:dyDescent="0.3">
      <c r="A3046" s="1" t="s">
        <v>9273</v>
      </c>
      <c r="B3046" s="1"/>
      <c r="C3046" s="1"/>
      <c r="D3046" s="1"/>
      <c r="E3046" s="1"/>
      <c r="F3046" s="1"/>
      <c r="G3046" s="1" t="s">
        <v>8</v>
      </c>
      <c r="H3046" s="2">
        <v>154</v>
      </c>
      <c r="I3046" s="1" t="s">
        <v>9274</v>
      </c>
      <c r="J3046" s="1" t="s">
        <v>434</v>
      </c>
      <c r="K3046" s="1" t="s">
        <v>147</v>
      </c>
      <c r="L3046" s="1" t="s">
        <v>435</v>
      </c>
      <c r="M3046" s="6" t="str">
        <f>_xlfn.CONCAT(Table1[[#This Row],[Billing Street]], ", ", Table1[[#This Row],[Billing City]], ", ", Table1[[#This Row],[Billing State/Province]], ", ", Table1[[#This Row],[Billing Zip/Postal Code]])</f>
        <v>2617 S. Agnew Ave., Oklahoma City, OK, 73108</v>
      </c>
    </row>
    <row r="3047" spans="1:13" ht="15.6" x14ac:dyDescent="0.3">
      <c r="A3047" s="1" t="s">
        <v>9275</v>
      </c>
      <c r="B3047" s="1"/>
      <c r="C3047" s="1"/>
      <c r="D3047" s="1"/>
      <c r="E3047" s="1"/>
      <c r="F3047" s="1"/>
      <c r="G3047" s="1" t="s">
        <v>24</v>
      </c>
      <c r="H3047" s="2">
        <v>5988</v>
      </c>
      <c r="I3047" s="1" t="s">
        <v>9276</v>
      </c>
      <c r="J3047" s="1" t="s">
        <v>4402</v>
      </c>
      <c r="K3047" s="1" t="s">
        <v>577</v>
      </c>
      <c r="L3047" s="1" t="s">
        <v>13</v>
      </c>
      <c r="M3047" s="6" t="str">
        <f>_xlfn.CONCAT(Table1[[#This Row],[Billing Street]], ", ", Table1[[#This Row],[Billing City]], ", ", Table1[[#This Row],[Billing State/Province]], ", ", Table1[[#This Row],[Billing Zip/Postal Code]])</f>
        <v xml:space="preserve">1201 N. Third Street; Suite2-160, Baton Rouge, LA, </v>
      </c>
    </row>
    <row r="3048" spans="1:13" ht="15.6" hidden="1" x14ac:dyDescent="0.3">
      <c r="A3048" s="1" t="s">
        <v>9277</v>
      </c>
      <c r="B3048" s="1"/>
      <c r="C3048" s="1"/>
      <c r="D3048" s="1"/>
      <c r="E3048" s="1"/>
      <c r="F3048" s="1"/>
      <c r="G3048" s="1" t="s">
        <v>8</v>
      </c>
      <c r="H3048" s="2">
        <v>484</v>
      </c>
      <c r="I3048" s="1" t="s">
        <v>9278</v>
      </c>
      <c r="J3048" s="1" t="s">
        <v>6595</v>
      </c>
      <c r="K3048" s="1" t="s">
        <v>229</v>
      </c>
      <c r="L3048" s="1" t="s">
        <v>6596</v>
      </c>
      <c r="M3048" s="6" t="str">
        <f>_xlfn.CONCAT(Table1[[#This Row],[Billing Street]], ", ", Table1[[#This Row],[Billing City]], ", ", Table1[[#This Row],[Billing State/Province]], ", ", Table1[[#This Row],[Billing Zip/Postal Code]])</f>
        <v>308 NE 3rd St, Colman, SD, 57017</v>
      </c>
    </row>
    <row r="3049" spans="1:13" ht="15.6" hidden="1" x14ac:dyDescent="0.3">
      <c r="A3049" s="1" t="s">
        <v>9279</v>
      </c>
      <c r="B3049" s="1"/>
      <c r="C3049" s="1"/>
      <c r="D3049" s="1"/>
      <c r="E3049" s="1"/>
      <c r="F3049" s="1"/>
      <c r="G3049" s="1" t="s">
        <v>98</v>
      </c>
      <c r="H3049" s="2">
        <v>248</v>
      </c>
      <c r="I3049" s="1" t="s">
        <v>9280</v>
      </c>
      <c r="J3049" s="1" t="s">
        <v>9281</v>
      </c>
      <c r="K3049" s="1" t="s">
        <v>1135</v>
      </c>
      <c r="L3049" s="1" t="s">
        <v>9282</v>
      </c>
      <c r="M3049" s="6" t="str">
        <f>_xlfn.CONCAT(Table1[[#This Row],[Billing Street]], ", ", Table1[[#This Row],[Billing City]], ", ", Table1[[#This Row],[Billing State/Province]], ", ", Table1[[#This Row],[Billing Zip/Postal Code]])</f>
        <v>590 Florence Rd, Savannah, TN, 38372</v>
      </c>
    </row>
    <row r="3050" spans="1:13" ht="15.6" hidden="1" x14ac:dyDescent="0.3">
      <c r="A3050" s="1" t="s">
        <v>6351</v>
      </c>
      <c r="B3050" s="1"/>
      <c r="C3050" s="1"/>
      <c r="D3050" s="1"/>
      <c r="E3050" s="1"/>
      <c r="F3050" s="1"/>
      <c r="G3050" s="1" t="s">
        <v>8</v>
      </c>
      <c r="H3050" s="2">
        <v>476</v>
      </c>
      <c r="I3050" s="1" t="s">
        <v>6352</v>
      </c>
      <c r="J3050" s="1" t="s">
        <v>4397</v>
      </c>
      <c r="K3050" s="1" t="s">
        <v>51</v>
      </c>
      <c r="L3050" s="1" t="s">
        <v>6354</v>
      </c>
      <c r="M3050" s="6" t="str">
        <f>_xlfn.CONCAT(Table1[[#This Row],[Billing Street]], ", ", Table1[[#This Row],[Billing City]], ", ", Table1[[#This Row],[Billing State/Province]], ", ", Table1[[#This Row],[Billing Zip/Postal Code]])</f>
        <v>6 Cohasset Place, The Woodlands, TX, 77375</v>
      </c>
    </row>
    <row r="3051" spans="1:13" ht="15.6" hidden="1" x14ac:dyDescent="0.3">
      <c r="A3051" s="1" t="s">
        <v>9283</v>
      </c>
      <c r="B3051" s="1"/>
      <c r="C3051" s="1"/>
      <c r="D3051" s="1"/>
      <c r="E3051" s="1"/>
      <c r="F3051" s="1"/>
      <c r="G3051" s="1" t="s">
        <v>8</v>
      </c>
      <c r="H3051" s="2">
        <v>68</v>
      </c>
      <c r="I3051" s="1" t="s">
        <v>9284</v>
      </c>
      <c r="J3051" s="1" t="s">
        <v>6237</v>
      </c>
      <c r="K3051" s="1" t="s">
        <v>147</v>
      </c>
      <c r="L3051" s="1" t="s">
        <v>9285</v>
      </c>
      <c r="M3051" s="6" t="str">
        <f>_xlfn.CONCAT(Table1[[#This Row],[Billing Street]], ", ", Table1[[#This Row],[Billing City]], ", ", Table1[[#This Row],[Billing State/Province]], ", ", Table1[[#This Row],[Billing Zip/Postal Code]])</f>
        <v>5510 S. Lewis, Tulsa, OK, 74105</v>
      </c>
    </row>
    <row r="3052" spans="1:13" ht="15.6" x14ac:dyDescent="0.3">
      <c r="A3052" s="1" t="s">
        <v>9286</v>
      </c>
      <c r="B3052" s="1"/>
      <c r="C3052" s="1"/>
      <c r="D3052" s="1"/>
      <c r="E3052" s="1"/>
      <c r="F3052" s="1"/>
      <c r="G3052" s="1" t="s">
        <v>24</v>
      </c>
      <c r="H3052" s="2">
        <v>326</v>
      </c>
      <c r="I3052" s="1" t="s">
        <v>9287</v>
      </c>
      <c r="J3052" s="1" t="s">
        <v>8299</v>
      </c>
      <c r="K3052" s="1" t="s">
        <v>36</v>
      </c>
      <c r="L3052" s="1" t="s">
        <v>8300</v>
      </c>
      <c r="M3052" s="6" t="str">
        <f>_xlfn.CONCAT(Table1[[#This Row],[Billing Street]], ", ", Table1[[#This Row],[Billing City]], ", ", Table1[[#This Row],[Billing State/Province]], ", ", Table1[[#This Row],[Billing Zip/Postal Code]])</f>
        <v>4131 US 17, Bartow, FL, 33830</v>
      </c>
    </row>
    <row r="3053" spans="1:13" ht="15.6" hidden="1" x14ac:dyDescent="0.3">
      <c r="A3053" s="1" t="s">
        <v>9288</v>
      </c>
      <c r="B3053" s="1"/>
      <c r="C3053" s="1"/>
      <c r="D3053" s="1"/>
      <c r="E3053" s="1"/>
      <c r="F3053" s="1"/>
      <c r="G3053" s="1" t="s">
        <v>43</v>
      </c>
      <c r="H3053" s="2">
        <v>353</v>
      </c>
      <c r="I3053" s="1" t="s">
        <v>9289</v>
      </c>
      <c r="J3053" s="1" t="s">
        <v>4590</v>
      </c>
      <c r="K3053" s="1" t="s">
        <v>237</v>
      </c>
      <c r="L3053" s="1" t="s">
        <v>6898</v>
      </c>
      <c r="M3053" s="6" t="str">
        <f>_xlfn.CONCAT(Table1[[#This Row],[Billing Street]], ", ", Table1[[#This Row],[Billing City]], ", ", Table1[[#This Row],[Billing State/Province]], ", ", Table1[[#This Row],[Billing Zip/Postal Code]])</f>
        <v>2100 Memorial Ave, Washington, IN, 47501</v>
      </c>
    </row>
    <row r="3054" spans="1:13" ht="15.6" hidden="1" x14ac:dyDescent="0.3">
      <c r="A3054" s="1" t="s">
        <v>9290</v>
      </c>
      <c r="B3054" s="1"/>
      <c r="C3054" s="1"/>
      <c r="D3054" s="1"/>
      <c r="E3054" s="1"/>
      <c r="F3054" s="1"/>
      <c r="G3054" s="1" t="s">
        <v>98</v>
      </c>
      <c r="H3054" s="2">
        <v>423</v>
      </c>
      <c r="I3054" s="1" t="s">
        <v>9291</v>
      </c>
      <c r="J3054" s="1" t="s">
        <v>4590</v>
      </c>
      <c r="K3054" s="1" t="s">
        <v>1178</v>
      </c>
      <c r="L3054" s="1" t="s">
        <v>4591</v>
      </c>
      <c r="M3054" s="6" t="str">
        <f>_xlfn.CONCAT(Table1[[#This Row],[Billing Street]], ", ", Table1[[#This Row],[Billing City]], ", ", Table1[[#This Row],[Billing State/Province]], ", ", Table1[[#This Row],[Billing Zip/Postal Code]])</f>
        <v>102 E. 2nd St., Washington, NC, 27889</v>
      </c>
    </row>
    <row r="3055" spans="1:13" ht="15.6" hidden="1" x14ac:dyDescent="0.3">
      <c r="A3055" s="1" t="s">
        <v>9292</v>
      </c>
      <c r="B3055" s="1"/>
      <c r="C3055" s="1"/>
      <c r="D3055" s="1"/>
      <c r="E3055" s="1"/>
      <c r="F3055" s="1"/>
      <c r="G3055" s="1" t="s">
        <v>43</v>
      </c>
      <c r="H3055" s="2">
        <v>499</v>
      </c>
      <c r="I3055" s="1" t="s">
        <v>9293</v>
      </c>
      <c r="J3055" s="1" t="s">
        <v>9294</v>
      </c>
      <c r="K3055" s="1" t="s">
        <v>1191</v>
      </c>
      <c r="L3055" s="1" t="s">
        <v>9295</v>
      </c>
      <c r="M3055" s="6" t="str">
        <f>_xlfn.CONCAT(Table1[[#This Row],[Billing Street]], ", ", Table1[[#This Row],[Billing City]], ", ", Table1[[#This Row],[Billing State/Province]], ", ", Table1[[#This Row],[Billing Zip/Postal Code]])</f>
        <v>1218 West Broadway, Mayfield, KY, 42066</v>
      </c>
    </row>
    <row r="3056" spans="1:13" ht="15.6" hidden="1" x14ac:dyDescent="0.3">
      <c r="A3056" s="1" t="s">
        <v>9296</v>
      </c>
      <c r="B3056" s="1"/>
      <c r="C3056" s="1"/>
      <c r="D3056" s="1"/>
      <c r="E3056" s="1"/>
      <c r="F3056" s="1"/>
      <c r="G3056" s="1" t="s">
        <v>8</v>
      </c>
      <c r="H3056" s="2">
        <v>331</v>
      </c>
      <c r="I3056" s="1" t="s">
        <v>9297</v>
      </c>
      <c r="J3056" s="1" t="s">
        <v>9193</v>
      </c>
      <c r="K3056" s="1" t="s">
        <v>165</v>
      </c>
      <c r="L3056" s="1" t="s">
        <v>9298</v>
      </c>
      <c r="M3056" s="6" t="str">
        <f>_xlfn.CONCAT(Table1[[#This Row],[Billing Street]], ", ", Table1[[#This Row],[Billing City]], ", ", Table1[[#This Row],[Billing State/Province]], ", ", Table1[[#This Row],[Billing Zip/Postal Code]])</f>
        <v>604 E. Cooper, West Memphis, AR, 72301</v>
      </c>
    </row>
    <row r="3057" spans="1:13" ht="15.6" hidden="1" x14ac:dyDescent="0.3">
      <c r="A3057" s="1" t="s">
        <v>6094</v>
      </c>
      <c r="B3057" s="1"/>
      <c r="C3057" s="1"/>
      <c r="D3057" s="1"/>
      <c r="E3057" s="1"/>
      <c r="F3057" s="1"/>
      <c r="G3057" s="1" t="s">
        <v>54</v>
      </c>
      <c r="H3057" s="2">
        <v>358</v>
      </c>
      <c r="I3057" s="1" t="s">
        <v>6095</v>
      </c>
      <c r="J3057" s="1" t="s">
        <v>6096</v>
      </c>
      <c r="K3057" s="1" t="s">
        <v>57</v>
      </c>
      <c r="L3057" s="1" t="s">
        <v>6097</v>
      </c>
      <c r="M3057" s="6" t="str">
        <f>_xlfn.CONCAT(Table1[[#This Row],[Billing Street]], ", ", Table1[[#This Row],[Billing City]], ", ", Table1[[#This Row],[Billing State/Province]], ", ", Table1[[#This Row],[Billing Zip/Postal Code]])</f>
        <v>114 Parkshore Drive, Folsom, CA, 956300</v>
      </c>
    </row>
    <row r="3058" spans="1:13" ht="15.6" hidden="1" x14ac:dyDescent="0.3">
      <c r="A3058" s="1" t="s">
        <v>9299</v>
      </c>
      <c r="B3058" s="1"/>
      <c r="C3058" s="1"/>
      <c r="D3058" s="1"/>
      <c r="E3058" s="1"/>
      <c r="F3058" s="1"/>
      <c r="G3058" s="1" t="s">
        <v>8</v>
      </c>
      <c r="H3058" s="2">
        <v>6528</v>
      </c>
      <c r="I3058" s="1" t="s">
        <v>13</v>
      </c>
      <c r="J3058" s="1" t="s">
        <v>1017</v>
      </c>
      <c r="K3058" s="1" t="s">
        <v>11</v>
      </c>
      <c r="L3058" s="1" t="s">
        <v>13</v>
      </c>
      <c r="M3058" s="6" t="str">
        <f>_xlfn.CONCAT(Table1[[#This Row],[Billing Street]], ", ", Table1[[#This Row],[Billing City]], ", ", Table1[[#This Row],[Billing State/Province]], ", ", Table1[[#This Row],[Billing Zip/Postal Code]])</f>
        <v xml:space="preserve">, Branson, MO, </v>
      </c>
    </row>
    <row r="3059" spans="1:13" ht="15.6" x14ac:dyDescent="0.3">
      <c r="A3059" s="1" t="s">
        <v>9300</v>
      </c>
      <c r="B3059" s="1"/>
      <c r="C3059" s="1"/>
      <c r="D3059" s="1"/>
      <c r="E3059" s="1"/>
      <c r="F3059" s="1"/>
      <c r="G3059" s="1" t="s">
        <v>24</v>
      </c>
      <c r="H3059" s="2">
        <v>5988</v>
      </c>
      <c r="I3059" s="1" t="s">
        <v>9301</v>
      </c>
      <c r="J3059" s="1" t="s">
        <v>7136</v>
      </c>
      <c r="K3059" s="1" t="s">
        <v>31</v>
      </c>
      <c r="L3059" s="1" t="s">
        <v>7137</v>
      </c>
      <c r="M3059" s="6" t="str">
        <f>_xlfn.CONCAT(Table1[[#This Row],[Billing Street]], ", ", Table1[[#This Row],[Billing City]], ", ", Table1[[#This Row],[Billing State/Province]], ", ", Table1[[#This Row],[Billing Zip/Postal Code]])</f>
        <v>210 Mound Street, Yazoo City, MS, 39194</v>
      </c>
    </row>
    <row r="3060" spans="1:13" ht="15.6" x14ac:dyDescent="0.3">
      <c r="A3060" s="1" t="s">
        <v>9300</v>
      </c>
      <c r="B3060" s="1"/>
      <c r="C3060" s="1"/>
      <c r="D3060" s="1"/>
      <c r="E3060" s="1"/>
      <c r="F3060" s="1"/>
      <c r="G3060" s="1" t="s">
        <v>24</v>
      </c>
      <c r="H3060" s="2">
        <v>5988</v>
      </c>
      <c r="I3060" s="1" t="s">
        <v>9302</v>
      </c>
      <c r="J3060" s="1" t="s">
        <v>7136</v>
      </c>
      <c r="K3060" s="1" t="s">
        <v>31</v>
      </c>
      <c r="L3060" s="1" t="s">
        <v>7137</v>
      </c>
      <c r="M3060" s="6" t="str">
        <f>_xlfn.CONCAT(Table1[[#This Row],[Billing Street]], ", ", Table1[[#This Row],[Billing City]], ", ", Table1[[#This Row],[Billing State/Province]], ", ", Table1[[#This Row],[Billing Zip/Postal Code]])</f>
        <v>460 W. Bridge Street, Yazoo City, MS, 39194</v>
      </c>
    </row>
    <row r="3061" spans="1:13" ht="15.6" hidden="1" x14ac:dyDescent="0.3">
      <c r="A3061" s="1" t="s">
        <v>9303</v>
      </c>
      <c r="B3061" s="1"/>
      <c r="C3061" s="1"/>
      <c r="D3061" s="1"/>
      <c r="E3061" s="1"/>
      <c r="F3061" s="1"/>
      <c r="G3061" s="1" t="s">
        <v>8</v>
      </c>
      <c r="H3061" s="2">
        <v>899</v>
      </c>
      <c r="I3061" s="1" t="s">
        <v>9304</v>
      </c>
      <c r="J3061" s="1" t="s">
        <v>9305</v>
      </c>
      <c r="K3061" s="1" t="s">
        <v>2414</v>
      </c>
      <c r="L3061" s="1" t="s">
        <v>9306</v>
      </c>
      <c r="M3061" s="6" t="str">
        <f>_xlfn.CONCAT(Table1[[#This Row],[Billing Street]], ", ", Table1[[#This Row],[Billing City]], ", ", Table1[[#This Row],[Billing State/Province]], ", ", Table1[[#This Row],[Billing Zip/Postal Code]])</f>
        <v>1919 4th ave North, Billings, MT, 59101</v>
      </c>
    </row>
    <row r="3062" spans="1:13" ht="15.6" x14ac:dyDescent="0.3">
      <c r="A3062" s="1" t="s">
        <v>9307</v>
      </c>
      <c r="B3062" s="1"/>
      <c r="C3062" s="1"/>
      <c r="D3062" s="1"/>
      <c r="E3062" s="1"/>
      <c r="F3062" s="1"/>
      <c r="G3062" s="1" t="s">
        <v>24</v>
      </c>
      <c r="H3062" s="2">
        <v>226</v>
      </c>
      <c r="I3062" s="1" t="s">
        <v>9308</v>
      </c>
      <c r="J3062" s="1" t="s">
        <v>9309</v>
      </c>
      <c r="K3062" s="1" t="s">
        <v>36</v>
      </c>
      <c r="L3062" s="1" t="s">
        <v>9310</v>
      </c>
      <c r="M3062" s="6" t="str">
        <f>_xlfn.CONCAT(Table1[[#This Row],[Billing Street]], ", ", Table1[[#This Row],[Billing City]], ", ", Table1[[#This Row],[Billing State/Province]], ", ", Table1[[#This Row],[Billing Zip/Postal Code]])</f>
        <v>R13101 NW 104 Terrace, Alachua, FL, 32616</v>
      </c>
    </row>
    <row r="3063" spans="1:13" ht="15.6" x14ac:dyDescent="0.3">
      <c r="A3063" s="1" t="s">
        <v>9311</v>
      </c>
      <c r="B3063" s="1"/>
      <c r="C3063" s="1"/>
      <c r="D3063" s="1"/>
      <c r="E3063" s="1"/>
      <c r="F3063" s="1"/>
      <c r="G3063" s="1" t="s">
        <v>24</v>
      </c>
      <c r="H3063" s="2">
        <v>245</v>
      </c>
      <c r="I3063" s="1" t="s">
        <v>9312</v>
      </c>
      <c r="J3063" s="1" t="s">
        <v>7929</v>
      </c>
      <c r="K3063" s="1" t="s">
        <v>36</v>
      </c>
      <c r="L3063" s="1" t="s">
        <v>7930</v>
      </c>
      <c r="M3063" s="6" t="str">
        <f>_xlfn.CONCAT(Table1[[#This Row],[Billing Street]], ", ", Table1[[#This Row],[Billing City]], ", ", Table1[[#This Row],[Billing State/Province]], ", ", Table1[[#This Row],[Billing Zip/Postal Code]])</f>
        <v>601 North Orange St., Starke, FL, 32091</v>
      </c>
    </row>
    <row r="3064" spans="1:13" ht="15.6" hidden="1" x14ac:dyDescent="0.3">
      <c r="A3064" s="1" t="s">
        <v>9313</v>
      </c>
      <c r="B3064" s="1"/>
      <c r="C3064" s="1"/>
      <c r="D3064" s="1"/>
      <c r="E3064" s="1"/>
      <c r="F3064" s="1"/>
      <c r="G3064" s="1" t="s">
        <v>43</v>
      </c>
      <c r="H3064" s="2">
        <v>329</v>
      </c>
      <c r="I3064" s="1" t="s">
        <v>9314</v>
      </c>
      <c r="J3064" s="1" t="s">
        <v>8123</v>
      </c>
      <c r="K3064" s="1" t="s">
        <v>7708</v>
      </c>
      <c r="L3064" s="1" t="s">
        <v>9315</v>
      </c>
      <c r="M3064" s="6" t="str">
        <f>_xlfn.CONCAT(Table1[[#This Row],[Billing Street]], ", ", Table1[[#This Row],[Billing City]], ", ", Table1[[#This Row],[Billing State/Province]], ", ", Table1[[#This Row],[Billing Zip/Postal Code]])</f>
        <v>1007 Market Street, Wilmington, DE, 19898</v>
      </c>
    </row>
    <row r="3065" spans="1:13" ht="15.6" hidden="1" x14ac:dyDescent="0.3">
      <c r="A3065" s="1" t="s">
        <v>9316</v>
      </c>
      <c r="B3065" s="1"/>
      <c r="C3065" s="1"/>
      <c r="D3065" s="1"/>
      <c r="E3065" s="1"/>
      <c r="F3065" s="1"/>
      <c r="G3065" s="1" t="s">
        <v>8</v>
      </c>
      <c r="H3065" s="2">
        <v>142</v>
      </c>
      <c r="I3065" s="1" t="s">
        <v>9317</v>
      </c>
      <c r="J3065" s="1" t="s">
        <v>1598</v>
      </c>
      <c r="K3065" s="1" t="s">
        <v>554</v>
      </c>
      <c r="L3065" s="1" t="s">
        <v>1599</v>
      </c>
      <c r="M3065" s="6" t="str">
        <f>_xlfn.CONCAT(Table1[[#This Row],[Billing Street]], ", ", Table1[[#This Row],[Billing City]], ", ", Table1[[#This Row],[Billing State/Province]], ", ", Table1[[#This Row],[Billing Zip/Postal Code]])</f>
        <v>1800 NW Brickyard Rd, Topeka, KS, 66618</v>
      </c>
    </row>
    <row r="3066" spans="1:13" ht="15.6" x14ac:dyDescent="0.3">
      <c r="A3066" s="1" t="s">
        <v>9318</v>
      </c>
      <c r="B3066" s="1"/>
      <c r="C3066" s="1"/>
      <c r="D3066" s="1"/>
      <c r="E3066" s="1"/>
      <c r="F3066" s="1"/>
      <c r="G3066" s="1" t="s">
        <v>24</v>
      </c>
      <c r="H3066" s="2">
        <v>5988</v>
      </c>
      <c r="I3066" s="1" t="s">
        <v>9319</v>
      </c>
      <c r="J3066" s="1" t="s">
        <v>621</v>
      </c>
      <c r="K3066" s="1" t="s">
        <v>36</v>
      </c>
      <c r="L3066" s="1" t="s">
        <v>13</v>
      </c>
      <c r="M3066" s="6" t="str">
        <f>_xlfn.CONCAT(Table1[[#This Row],[Billing Street]], ", ", Table1[[#This Row],[Billing City]], ", ", Table1[[#This Row],[Billing State/Province]], ", ", Table1[[#This Row],[Billing Zip/Postal Code]])</f>
        <v xml:space="preserve">1101 N. Madison St, Quincy, FL, </v>
      </c>
    </row>
    <row r="3067" spans="1:13" ht="15.6" x14ac:dyDescent="0.3">
      <c r="A3067" s="1" t="s">
        <v>9320</v>
      </c>
      <c r="B3067" s="1"/>
      <c r="C3067" s="1"/>
      <c r="D3067" s="1"/>
      <c r="E3067" s="1"/>
      <c r="F3067" s="1"/>
      <c r="G3067" s="1" t="s">
        <v>24</v>
      </c>
      <c r="H3067" s="2">
        <v>67</v>
      </c>
      <c r="I3067" s="1" t="s">
        <v>9321</v>
      </c>
      <c r="J3067" s="1" t="s">
        <v>9322</v>
      </c>
      <c r="K3067" s="1" t="s">
        <v>36</v>
      </c>
      <c r="L3067" s="1" t="s">
        <v>9323</v>
      </c>
      <c r="M3067" s="6" t="str">
        <f>_xlfn.CONCAT(Table1[[#This Row],[Billing Street]], ", ", Table1[[#This Row],[Billing City]], ", ", Table1[[#This Row],[Billing State/Province]], ", ", Table1[[#This Row],[Billing Zip/Postal Code]])</f>
        <v>20591 W. Central Ave., Blountstown, FL, 32424</v>
      </c>
    </row>
    <row r="3068" spans="1:13" ht="15.6" x14ac:dyDescent="0.3">
      <c r="A3068" s="1" t="s">
        <v>9324</v>
      </c>
      <c r="B3068" s="1"/>
      <c r="C3068" s="1"/>
      <c r="D3068" s="1"/>
      <c r="E3068" s="1"/>
      <c r="F3068" s="1"/>
      <c r="G3068" s="1" t="s">
        <v>24</v>
      </c>
      <c r="H3068" s="2">
        <v>417</v>
      </c>
      <c r="I3068" s="1" t="s">
        <v>9325</v>
      </c>
      <c r="J3068" s="1" t="s">
        <v>7074</v>
      </c>
      <c r="K3068" s="1" t="s">
        <v>36</v>
      </c>
      <c r="L3068" s="1" t="s">
        <v>7076</v>
      </c>
      <c r="M3068" s="6" t="str">
        <f>_xlfn.CONCAT(Table1[[#This Row],[Billing Street]], ", ", Table1[[#This Row],[Billing City]], ", ", Table1[[#This Row],[Billing State/Province]], ", ", Table1[[#This Row],[Billing Zip/Postal Code]])</f>
        <v>1300 S. Olympia St, Clewiston, FL, 33440</v>
      </c>
    </row>
    <row r="3069" spans="1:13" ht="15.6" x14ac:dyDescent="0.3">
      <c r="A3069" s="1" t="s">
        <v>9326</v>
      </c>
      <c r="B3069" s="1"/>
      <c r="C3069" s="1"/>
      <c r="D3069" s="1"/>
      <c r="E3069" s="1"/>
      <c r="F3069" s="1"/>
      <c r="G3069" s="1" t="s">
        <v>24</v>
      </c>
      <c r="H3069" s="2">
        <v>5988</v>
      </c>
      <c r="I3069" s="1" t="s">
        <v>9327</v>
      </c>
      <c r="J3069" s="1" t="s">
        <v>9211</v>
      </c>
      <c r="K3069" s="1" t="s">
        <v>13</v>
      </c>
      <c r="L3069" s="1" t="s">
        <v>36</v>
      </c>
      <c r="M3069" s="6" t="str">
        <f>_xlfn.CONCAT(Table1[[#This Row],[Billing Street]], ", ", Table1[[#This Row],[Billing City]], ", ", Table1[[#This Row],[Billing State/Province]], ", ", Table1[[#This Row],[Billing Zip/Postal Code]])</f>
        <v>723 Hwy 331 North, DeFuniak Springs, , FL</v>
      </c>
    </row>
    <row r="3070" spans="1:13" ht="15.6" hidden="1" x14ac:dyDescent="0.3">
      <c r="A3070" s="1" t="s">
        <v>9328</v>
      </c>
      <c r="B3070" s="1"/>
      <c r="C3070" s="1"/>
      <c r="D3070" s="1"/>
      <c r="E3070" s="1"/>
      <c r="F3070" s="1"/>
      <c r="G3070" s="1" t="s">
        <v>98</v>
      </c>
      <c r="H3070" s="2">
        <v>5887</v>
      </c>
      <c r="I3070" s="1" t="s">
        <v>9329</v>
      </c>
      <c r="J3070" s="1" t="s">
        <v>502</v>
      </c>
      <c r="K3070" s="1" t="s">
        <v>234</v>
      </c>
      <c r="L3070" s="1" t="s">
        <v>9330</v>
      </c>
      <c r="M3070" s="6" t="str">
        <f>_xlfn.CONCAT(Table1[[#This Row],[Billing Street]], ", ", Table1[[#This Row],[Billing City]], ", ", Table1[[#This Row],[Billing State/Province]], ", ", Table1[[#This Row],[Billing Zip/Postal Code]])</f>
        <v>1703 Laurel St, Columbia, SC, 29201</v>
      </c>
    </row>
    <row r="3071" spans="1:13" ht="15.6" hidden="1" x14ac:dyDescent="0.3">
      <c r="A3071" s="1" t="s">
        <v>9331</v>
      </c>
      <c r="B3071" s="1"/>
      <c r="C3071" s="1"/>
      <c r="D3071" s="1"/>
      <c r="E3071" s="1"/>
      <c r="F3071" s="1"/>
      <c r="G3071" s="1" t="s">
        <v>13</v>
      </c>
      <c r="H3071" s="2">
        <v>0</v>
      </c>
      <c r="I3071" s="1" t="s">
        <v>9332</v>
      </c>
      <c r="J3071" s="1" t="s">
        <v>5824</v>
      </c>
      <c r="K3071" s="1" t="s">
        <v>13</v>
      </c>
      <c r="L3071" s="1" t="s">
        <v>45</v>
      </c>
      <c r="M3071" s="6" t="str">
        <f>_xlfn.CONCAT(Table1[[#This Row],[Billing Street]], ", ", Table1[[#This Row],[Billing City]], ", ", Table1[[#This Row],[Billing State/Province]], ", ", Table1[[#This Row],[Billing Zip/Postal Code]])</f>
        <v>179 South Main Street, Milan, , OH</v>
      </c>
    </row>
    <row r="3072" spans="1:13" ht="15.6" hidden="1" x14ac:dyDescent="0.3">
      <c r="A3072" s="1" t="s">
        <v>9333</v>
      </c>
      <c r="B3072" s="1"/>
      <c r="C3072" s="1"/>
      <c r="D3072" s="1"/>
      <c r="E3072" s="1"/>
      <c r="F3072" s="1"/>
      <c r="G3072" s="1" t="s">
        <v>13</v>
      </c>
      <c r="H3072" s="2">
        <v>0</v>
      </c>
      <c r="I3072" s="1" t="s">
        <v>9334</v>
      </c>
      <c r="J3072" s="1" t="s">
        <v>9335</v>
      </c>
      <c r="K3072" s="1" t="s">
        <v>13</v>
      </c>
      <c r="L3072" s="1" t="s">
        <v>165</v>
      </c>
      <c r="M3072" s="6" t="str">
        <f>_xlfn.CONCAT(Table1[[#This Row],[Billing Street]], ", ", Table1[[#This Row],[Billing City]], ", ", Table1[[#This Row],[Billing State/Province]], ", ", Table1[[#This Row],[Billing Zip/Postal Code]])</f>
        <v>95 Commercial Street, Cabot, , AR</v>
      </c>
    </row>
    <row r="3073" spans="1:13" ht="15.6" hidden="1" x14ac:dyDescent="0.3">
      <c r="A3073" s="1" t="s">
        <v>9336</v>
      </c>
      <c r="B3073" s="1"/>
      <c r="C3073" s="1"/>
      <c r="D3073" s="1"/>
      <c r="E3073" s="1"/>
      <c r="F3073" s="1"/>
      <c r="G3073" s="1" t="s">
        <v>8</v>
      </c>
      <c r="H3073" s="2">
        <v>293</v>
      </c>
      <c r="I3073" s="1" t="s">
        <v>9337</v>
      </c>
      <c r="J3073" s="1" t="s">
        <v>9338</v>
      </c>
      <c r="K3073" s="1" t="s">
        <v>11</v>
      </c>
      <c r="L3073" s="1" t="s">
        <v>9339</v>
      </c>
      <c r="M3073" s="6" t="str">
        <f>_xlfn.CONCAT(Table1[[#This Row],[Billing Street]], ", ", Table1[[#This Row],[Billing City]], ", ", Table1[[#This Row],[Billing State/Province]], ", ", Table1[[#This Row],[Billing Zip/Postal Code]])</f>
        <v>2600 US-67, Fredericktown, MO, 63645</v>
      </c>
    </row>
    <row r="3074" spans="1:13" ht="15.6" x14ac:dyDescent="0.3">
      <c r="A3074" s="1" t="s">
        <v>9340</v>
      </c>
      <c r="B3074" s="1"/>
      <c r="C3074" s="1"/>
      <c r="D3074" s="1"/>
      <c r="E3074" s="1"/>
      <c r="F3074" s="1"/>
      <c r="G3074" s="1" t="s">
        <v>24</v>
      </c>
      <c r="H3074" s="2">
        <v>5988</v>
      </c>
      <c r="I3074" s="1" t="s">
        <v>9341</v>
      </c>
      <c r="J3074" s="1" t="s">
        <v>9342</v>
      </c>
      <c r="K3074" s="1" t="s">
        <v>31</v>
      </c>
      <c r="L3074" s="1" t="s">
        <v>9343</v>
      </c>
      <c r="M3074" s="6" t="str">
        <f>_xlfn.CONCAT(Table1[[#This Row],[Billing Street]], ", ", Table1[[#This Row],[Billing City]], ", ", Table1[[#This Row],[Billing State/Province]], ", ", Table1[[#This Row],[Billing Zip/Postal Code]])</f>
        <v>Bldg 1100, Room 1002, Stennis Space Center, MS, 39529</v>
      </c>
    </row>
    <row r="3075" spans="1:13" ht="15.6" hidden="1" x14ac:dyDescent="0.3">
      <c r="A3075" s="1" t="s">
        <v>9344</v>
      </c>
      <c r="B3075" s="1"/>
      <c r="C3075" s="1"/>
      <c r="D3075" s="1"/>
      <c r="E3075" s="1"/>
      <c r="F3075" s="1"/>
      <c r="G3075" s="1" t="s">
        <v>8</v>
      </c>
      <c r="H3075" s="2">
        <v>220</v>
      </c>
      <c r="I3075" s="1" t="s">
        <v>9345</v>
      </c>
      <c r="J3075" s="1" t="s">
        <v>9346</v>
      </c>
      <c r="K3075" s="1" t="s">
        <v>11</v>
      </c>
      <c r="L3075" s="1" t="s">
        <v>9347</v>
      </c>
      <c r="M3075" s="6" t="str">
        <f>_xlfn.CONCAT(Table1[[#This Row],[Billing Street]], ", ", Table1[[#This Row],[Billing City]], ", ", Table1[[#This Row],[Billing State/Province]], ", ", Table1[[#This Row],[Billing Zip/Postal Code]])</f>
        <v>102 W. 9th Street, Rolla, MO, 65402</v>
      </c>
    </row>
    <row r="3076" spans="1:13" ht="15.6" x14ac:dyDescent="0.3">
      <c r="A3076" s="1" t="s">
        <v>9348</v>
      </c>
      <c r="B3076" s="1"/>
      <c r="C3076" s="1"/>
      <c r="D3076" s="1"/>
      <c r="E3076" s="1"/>
      <c r="F3076" s="1"/>
      <c r="G3076" s="1" t="s">
        <v>24</v>
      </c>
      <c r="H3076" s="2">
        <v>261</v>
      </c>
      <c r="I3076" s="1" t="s">
        <v>9349</v>
      </c>
      <c r="J3076" s="1" t="s">
        <v>1668</v>
      </c>
      <c r="K3076" s="1" t="s">
        <v>36</v>
      </c>
      <c r="L3076" s="1" t="s">
        <v>3470</v>
      </c>
      <c r="M3076" s="6" t="str">
        <f>_xlfn.CONCAT(Table1[[#This Row],[Billing Street]], ", ", Table1[[#This Row],[Billing City]], ", ", Table1[[#This Row],[Billing State/Province]], ", ", Table1[[#This Row],[Billing Zip/Postal Code]])</f>
        <v>6727 Broadway Ave., Jacksonville, FL, 32254</v>
      </c>
    </row>
    <row r="3077" spans="1:13" ht="15.6" hidden="1" x14ac:dyDescent="0.3">
      <c r="A3077" s="1" t="s">
        <v>9350</v>
      </c>
      <c r="B3077" s="1"/>
      <c r="C3077" s="1"/>
      <c r="D3077" s="1"/>
      <c r="E3077" s="1"/>
      <c r="F3077" s="1"/>
      <c r="G3077" s="1" t="s">
        <v>8</v>
      </c>
      <c r="H3077" s="2">
        <v>208</v>
      </c>
      <c r="I3077" s="1" t="s">
        <v>9351</v>
      </c>
      <c r="J3077" s="1" t="s">
        <v>8351</v>
      </c>
      <c r="K3077" s="1" t="s">
        <v>11</v>
      </c>
      <c r="L3077" s="1" t="s">
        <v>8352</v>
      </c>
      <c r="M3077" s="6" t="str">
        <f>_xlfn.CONCAT(Table1[[#This Row],[Billing Street]], ", ", Table1[[#This Row],[Billing City]], ", ", Table1[[#This Row],[Billing State/Province]], ", ", Table1[[#This Row],[Billing Zip/Postal Code]])</f>
        <v>1910 Holiday Ln, West Plains, MO, 65775</v>
      </c>
    </row>
    <row r="3078" spans="1:13" ht="15.6" x14ac:dyDescent="0.3">
      <c r="A3078" s="1" t="s">
        <v>9352</v>
      </c>
      <c r="B3078" s="1"/>
      <c r="C3078" s="1"/>
      <c r="D3078" s="1"/>
      <c r="E3078" s="1"/>
      <c r="F3078" s="1"/>
      <c r="G3078" s="1" t="s">
        <v>24</v>
      </c>
      <c r="H3078" s="2">
        <v>268</v>
      </c>
      <c r="I3078" s="1" t="s">
        <v>9353</v>
      </c>
      <c r="J3078" s="1" t="s">
        <v>6576</v>
      </c>
      <c r="K3078" s="1" t="s">
        <v>36</v>
      </c>
      <c r="L3078" s="1" t="s">
        <v>6577</v>
      </c>
      <c r="M3078" s="6" t="str">
        <f>_xlfn.CONCAT(Table1[[#This Row],[Billing Street]], ", ", Table1[[#This Row],[Billing City]], ", ", Table1[[#This Row],[Billing State/Province]], ", ", Table1[[#This Row],[Billing Zip/Postal Code]])</f>
        <v>1288 Harbor Road, Green Cove Springs, FL, 32043</v>
      </c>
    </row>
    <row r="3079" spans="1:13" ht="15.6" hidden="1" x14ac:dyDescent="0.3">
      <c r="A3079" s="1" t="s">
        <v>9354</v>
      </c>
      <c r="B3079" s="1"/>
      <c r="C3079" s="1"/>
      <c r="D3079" s="1"/>
      <c r="E3079" s="1"/>
      <c r="F3079" s="1"/>
      <c r="G3079" s="1" t="s">
        <v>43</v>
      </c>
      <c r="H3079" s="2">
        <v>619</v>
      </c>
      <c r="I3079" s="1" t="s">
        <v>9355</v>
      </c>
      <c r="J3079" s="1" t="s">
        <v>4465</v>
      </c>
      <c r="K3079" s="1" t="s">
        <v>133</v>
      </c>
      <c r="L3079" s="1" t="s">
        <v>9356</v>
      </c>
      <c r="M3079" s="6" t="str">
        <f>_xlfn.CONCAT(Table1[[#This Row],[Billing Street]], ", ", Table1[[#This Row],[Billing City]], ", ", Table1[[#This Row],[Billing State/Province]], ", ", Table1[[#This Row],[Billing Zip/Postal Code]])</f>
        <v>50 Robin Ln, Hudson, WI, 54016</v>
      </c>
    </row>
    <row r="3080" spans="1:13" ht="15.6" hidden="1" x14ac:dyDescent="0.3">
      <c r="A3080" s="1" t="s">
        <v>9357</v>
      </c>
      <c r="B3080" s="1"/>
      <c r="C3080" s="1"/>
      <c r="D3080" s="1"/>
      <c r="E3080" s="1"/>
      <c r="F3080" s="1"/>
      <c r="G3080" s="1" t="s">
        <v>13</v>
      </c>
      <c r="H3080" s="2">
        <v>0</v>
      </c>
      <c r="I3080" s="1" t="s">
        <v>9358</v>
      </c>
      <c r="J3080" s="1" t="s">
        <v>9359</v>
      </c>
      <c r="K3080" s="1" t="s">
        <v>13</v>
      </c>
      <c r="L3080" s="1" t="s">
        <v>165</v>
      </c>
      <c r="M3080" s="6" t="str">
        <f>_xlfn.CONCAT(Table1[[#This Row],[Billing Street]], ", ", Table1[[#This Row],[Billing City]], ", ", Table1[[#This Row],[Billing State/Province]], ", ", Table1[[#This Row],[Billing Zip/Postal Code]])</f>
        <v>4304 Conestoga Street, Springdale, , AR</v>
      </c>
    </row>
    <row r="3081" spans="1:13" ht="15.6" x14ac:dyDescent="0.3">
      <c r="A3081" s="1" t="s">
        <v>9360</v>
      </c>
      <c r="B3081" s="1"/>
      <c r="C3081" s="1"/>
      <c r="D3081" s="1"/>
      <c r="E3081" s="1"/>
      <c r="F3081" s="1"/>
      <c r="G3081" s="1" t="s">
        <v>24</v>
      </c>
      <c r="H3081" s="2">
        <v>319</v>
      </c>
      <c r="I3081" s="1" t="s">
        <v>9361</v>
      </c>
      <c r="J3081" s="1" t="s">
        <v>9362</v>
      </c>
      <c r="K3081" s="1" t="s">
        <v>7075</v>
      </c>
      <c r="L3081" s="1" t="s">
        <v>9363</v>
      </c>
      <c r="M3081" s="6" t="str">
        <f>_xlfn.CONCAT(Table1[[#This Row],[Billing Street]], ", ", Table1[[#This Row],[Billing City]], ", ", Table1[[#This Row],[Billing State/Province]], ", ", Table1[[#This Row],[Billing Zip/Postal Code]])</f>
        <v>602 McKean St, Auburndale, Fl, 33823</v>
      </c>
    </row>
    <row r="3082" spans="1:13" ht="15.6" hidden="1" x14ac:dyDescent="0.3">
      <c r="A3082" s="1" t="s">
        <v>9364</v>
      </c>
      <c r="B3082" s="1"/>
      <c r="C3082" s="1"/>
      <c r="D3082" s="1"/>
      <c r="E3082" s="1"/>
      <c r="F3082" s="1"/>
      <c r="G3082" s="1" t="s">
        <v>13</v>
      </c>
      <c r="H3082" s="2">
        <v>0</v>
      </c>
      <c r="I3082" s="1" t="s">
        <v>9365</v>
      </c>
      <c r="J3082" s="1" t="s">
        <v>1694</v>
      </c>
      <c r="K3082" s="1" t="s">
        <v>13</v>
      </c>
      <c r="L3082" s="1" t="s">
        <v>9366</v>
      </c>
      <c r="M3082" s="6" t="str">
        <f>_xlfn.CONCAT(Table1[[#This Row],[Billing Street]], ", ", Table1[[#This Row],[Billing City]], ", ", Table1[[#This Row],[Billing State/Province]], ", ", Table1[[#This Row],[Billing Zip/Postal Code]])</f>
        <v>3711 Regulus Ave, Las Vegas, , 89102</v>
      </c>
    </row>
    <row r="3083" spans="1:13" ht="15.6" hidden="1" x14ac:dyDescent="0.3">
      <c r="A3083" s="1" t="s">
        <v>9367</v>
      </c>
      <c r="B3083" s="1"/>
      <c r="C3083" s="1"/>
      <c r="D3083" s="1"/>
      <c r="E3083" s="1"/>
      <c r="F3083" s="1"/>
      <c r="G3083" s="1" t="s">
        <v>54</v>
      </c>
      <c r="H3083" s="2">
        <v>344</v>
      </c>
      <c r="I3083" s="1" t="s">
        <v>9368</v>
      </c>
      <c r="J3083" s="1" t="s">
        <v>160</v>
      </c>
      <c r="K3083" s="1" t="s">
        <v>57</v>
      </c>
      <c r="L3083" s="1" t="s">
        <v>9369</v>
      </c>
      <c r="M3083" s="6" t="str">
        <f>_xlfn.CONCAT(Table1[[#This Row],[Billing Street]], ", ", Table1[[#This Row],[Billing City]], ", ", Table1[[#This Row],[Billing State/Province]], ", ", Table1[[#This Row],[Billing Zip/Postal Code]])</f>
        <v>2300 Clayton Road, Suite 900, Concord, CA, 94520</v>
      </c>
    </row>
    <row r="3084" spans="1:13" ht="15.6" hidden="1" x14ac:dyDescent="0.3">
      <c r="A3084" s="1" t="s">
        <v>9370</v>
      </c>
      <c r="B3084" s="1"/>
      <c r="C3084" s="1"/>
      <c r="D3084" s="1"/>
      <c r="E3084" s="1"/>
      <c r="F3084" s="1"/>
      <c r="G3084" s="1" t="s">
        <v>54</v>
      </c>
      <c r="H3084" s="2">
        <v>133</v>
      </c>
      <c r="I3084" s="1" t="s">
        <v>9371</v>
      </c>
      <c r="J3084" s="1" t="s">
        <v>9372</v>
      </c>
      <c r="K3084" s="1" t="s">
        <v>9373</v>
      </c>
      <c r="L3084" s="1" t="s">
        <v>9374</v>
      </c>
      <c r="M3084" s="6" t="str">
        <f>_xlfn.CONCAT(Table1[[#This Row],[Billing Street]], ", ", Table1[[#This Row],[Billing City]], ", ", Table1[[#This Row],[Billing State/Province]], ", ", Table1[[#This Row],[Billing Zip/Postal Code]])</f>
        <v>1110 North D Street, Lompoc, ca, 93438</v>
      </c>
    </row>
    <row r="3085" spans="1:13" ht="15.6" hidden="1" x14ac:dyDescent="0.3">
      <c r="A3085" s="1" t="s">
        <v>9375</v>
      </c>
      <c r="B3085" s="1"/>
      <c r="C3085" s="1"/>
      <c r="D3085" s="1"/>
      <c r="E3085" s="1"/>
      <c r="F3085" s="1"/>
      <c r="G3085" s="1" t="s">
        <v>13</v>
      </c>
      <c r="H3085" s="2">
        <v>0</v>
      </c>
      <c r="I3085" s="1" t="s">
        <v>9376</v>
      </c>
      <c r="J3085" s="1" t="s">
        <v>1029</v>
      </c>
      <c r="K3085" s="1" t="s">
        <v>13</v>
      </c>
      <c r="L3085" s="1" t="s">
        <v>1030</v>
      </c>
      <c r="M3085" s="6" t="str">
        <f>_xlfn.CONCAT(Table1[[#This Row],[Billing Street]], ", ", Table1[[#This Row],[Billing City]], ", ", Table1[[#This Row],[Billing State/Province]], ", ", Table1[[#This Row],[Billing Zip/Postal Code]])</f>
        <v>22640 County Rd 64, Robertsdale, , 36567</v>
      </c>
    </row>
    <row r="3086" spans="1:13" ht="15.6" hidden="1" x14ac:dyDescent="0.3">
      <c r="A3086" s="1" t="s">
        <v>9377</v>
      </c>
      <c r="B3086" s="1"/>
      <c r="C3086" s="1"/>
      <c r="D3086" s="1"/>
      <c r="E3086" s="1"/>
      <c r="F3086" s="1"/>
      <c r="G3086" s="1" t="s">
        <v>8</v>
      </c>
      <c r="H3086" s="2">
        <v>250</v>
      </c>
      <c r="I3086" s="1" t="s">
        <v>9378</v>
      </c>
      <c r="J3086" s="1" t="s">
        <v>9379</v>
      </c>
      <c r="K3086" s="1" t="s">
        <v>165</v>
      </c>
      <c r="L3086" s="1" t="s">
        <v>9380</v>
      </c>
      <c r="M3086" s="6" t="str">
        <f>_xlfn.CONCAT(Table1[[#This Row],[Billing Street]], ", ", Table1[[#This Row],[Billing City]], ", ", Table1[[#This Row],[Billing State/Province]], ", ", Table1[[#This Row],[Billing Zip/Postal Code]])</f>
        <v>Lugar da Arroteia
4465-587 Leça do Balio, Porto, AR, 72562</v>
      </c>
    </row>
    <row r="3087" spans="1:13" ht="15.6" hidden="1" x14ac:dyDescent="0.3">
      <c r="A3087" s="1" t="s">
        <v>9381</v>
      </c>
      <c r="B3087" s="1"/>
      <c r="C3087" s="1"/>
      <c r="D3087" s="1"/>
      <c r="E3087" s="1"/>
      <c r="F3087" s="1"/>
      <c r="G3087" s="1" t="s">
        <v>98</v>
      </c>
      <c r="H3087" s="2">
        <v>54</v>
      </c>
      <c r="I3087" s="1" t="s">
        <v>9382</v>
      </c>
      <c r="J3087" s="1" t="s">
        <v>9383</v>
      </c>
      <c r="K3087" s="1" t="s">
        <v>101</v>
      </c>
      <c r="L3087" s="1" t="s">
        <v>9384</v>
      </c>
      <c r="M3087" s="6" t="str">
        <f>_xlfn.CONCAT(Table1[[#This Row],[Billing Street]], ", ", Table1[[#This Row],[Billing City]], ", ", Table1[[#This Row],[Billing State/Province]], ", ", Table1[[#This Row],[Billing Zip/Postal Code]])</f>
        <v>371 Hamp Jones Rd, Carollton, GA, 30117</v>
      </c>
    </row>
    <row r="3088" spans="1:13" ht="15.6" hidden="1" x14ac:dyDescent="0.3">
      <c r="A3088" s="1" t="s">
        <v>9385</v>
      </c>
      <c r="B3088" s="1"/>
      <c r="C3088" s="1"/>
      <c r="D3088" s="1"/>
      <c r="E3088" s="1"/>
      <c r="F3088" s="1"/>
      <c r="G3088" s="1" t="s">
        <v>205</v>
      </c>
      <c r="H3088" s="2">
        <v>594</v>
      </c>
      <c r="I3088" s="1" t="s">
        <v>9386</v>
      </c>
      <c r="J3088" s="1" t="s">
        <v>9387</v>
      </c>
      <c r="K3088" s="1" t="s">
        <v>1695</v>
      </c>
      <c r="L3088" s="1" t="s">
        <v>9388</v>
      </c>
      <c r="M3088" s="6" t="str">
        <f>_xlfn.CONCAT(Table1[[#This Row],[Billing Street]], ", ", Table1[[#This Row],[Billing City]], ", ", Table1[[#This Row],[Billing State/Province]], ", ", Table1[[#This Row],[Billing Zip/Postal Code]])</f>
        <v>9190 Double Diamond Parkway, Reno, NV, 89521</v>
      </c>
    </row>
    <row r="3089" spans="1:13" ht="15.6" x14ac:dyDescent="0.3">
      <c r="A3089" s="1" t="s">
        <v>9389</v>
      </c>
      <c r="B3089" s="1"/>
      <c r="C3089" s="1"/>
      <c r="D3089" s="1"/>
      <c r="E3089" s="1"/>
      <c r="F3089" s="1"/>
      <c r="G3089" s="1" t="s">
        <v>24</v>
      </c>
      <c r="H3089" s="2">
        <v>5988</v>
      </c>
      <c r="I3089" s="1" t="s">
        <v>9390</v>
      </c>
      <c r="J3089" s="1" t="s">
        <v>372</v>
      </c>
      <c r="K3089" s="1" t="s">
        <v>26</v>
      </c>
      <c r="L3089" s="1" t="s">
        <v>9391</v>
      </c>
      <c r="M3089" s="6" t="str">
        <f>_xlfn.CONCAT(Table1[[#This Row],[Billing Street]], ", ", Table1[[#This Row],[Billing City]], ", ", Table1[[#This Row],[Billing State/Province]], ", ", Table1[[#This Row],[Billing Zip/Postal Code]])</f>
        <v>600 North 18th Street, Birmingham, AL, 35291</v>
      </c>
    </row>
    <row r="3090" spans="1:13" ht="15.6" hidden="1" x14ac:dyDescent="0.3">
      <c r="A3090" s="1" t="s">
        <v>9392</v>
      </c>
      <c r="B3090" s="1"/>
      <c r="C3090" s="1"/>
      <c r="D3090" s="1"/>
      <c r="E3090" s="1"/>
      <c r="F3090" s="1"/>
      <c r="G3090" s="1" t="s">
        <v>8</v>
      </c>
      <c r="H3090" s="2">
        <v>345</v>
      </c>
      <c r="I3090" s="1" t="s">
        <v>9393</v>
      </c>
      <c r="J3090" s="1" t="s">
        <v>993</v>
      </c>
      <c r="K3090" s="1" t="s">
        <v>152</v>
      </c>
      <c r="L3090" s="1" t="s">
        <v>9394</v>
      </c>
      <c r="M3090" s="6" t="str">
        <f>_xlfn.CONCAT(Table1[[#This Row],[Billing Street]], ", ", Table1[[#This Row],[Billing City]], ", ", Table1[[#This Row],[Billing State/Province]], ", ", Table1[[#This Row],[Billing Zip/Postal Code]])</f>
        <v>1115 Broadway, Highland, IL, 62249</v>
      </c>
    </row>
    <row r="3091" spans="1:13" ht="15.6" x14ac:dyDescent="0.3">
      <c r="A3091" s="1" t="s">
        <v>9395</v>
      </c>
      <c r="B3091" s="1"/>
      <c r="C3091" s="1"/>
      <c r="D3091" s="1"/>
      <c r="E3091" s="1"/>
      <c r="F3091" s="1"/>
      <c r="G3091" s="1" t="s">
        <v>24</v>
      </c>
      <c r="H3091" s="2">
        <v>159</v>
      </c>
      <c r="I3091" s="1" t="s">
        <v>9396</v>
      </c>
      <c r="J3091" s="1" t="s">
        <v>9397</v>
      </c>
      <c r="K3091" s="1" t="s">
        <v>26</v>
      </c>
      <c r="L3091" s="1" t="s">
        <v>9398</v>
      </c>
      <c r="M3091" s="6" t="str">
        <f>_xlfn.CONCAT(Table1[[#This Row],[Billing Street]], ", ", Table1[[#This Row],[Billing City]], ", ", Table1[[#This Row],[Billing State/Province]], ", ", Table1[[#This Row],[Billing Zip/Postal Code]])</f>
        <v>1410 Highway 43 North, Demopolis, AL, 36732</v>
      </c>
    </row>
    <row r="3092" spans="1:13" ht="15.6" x14ac:dyDescent="0.3">
      <c r="A3092" s="1" t="s">
        <v>9399</v>
      </c>
      <c r="B3092" s="1"/>
      <c r="C3092" s="1"/>
      <c r="D3092" s="1"/>
      <c r="E3092" s="1"/>
      <c r="F3092" s="1"/>
      <c r="G3092" s="1" t="s">
        <v>24</v>
      </c>
      <c r="H3092" s="2">
        <v>5988</v>
      </c>
      <c r="I3092" s="1" t="s">
        <v>9400</v>
      </c>
      <c r="J3092" s="1" t="s">
        <v>25</v>
      </c>
      <c r="K3092" s="1" t="s">
        <v>26</v>
      </c>
      <c r="L3092" s="1" t="s">
        <v>1086</v>
      </c>
      <c r="M3092" s="6" t="str">
        <f>_xlfn.CONCAT(Table1[[#This Row],[Billing Street]], ", ", Table1[[#This Row],[Billing City]], ", ", Table1[[#This Row],[Billing State/Province]], ", ", Table1[[#This Row],[Billing Zip/Postal Code]])</f>
        <v>9100 Atlanta Highway, Montgomery, AL, 36117</v>
      </c>
    </row>
    <row r="3093" spans="1:13" ht="15.6" hidden="1" x14ac:dyDescent="0.3">
      <c r="A3093" s="1" t="s">
        <v>9401</v>
      </c>
      <c r="B3093" s="1"/>
      <c r="C3093" s="1"/>
      <c r="D3093" s="1"/>
      <c r="E3093" s="1"/>
      <c r="F3093" s="1"/>
      <c r="G3093" s="1" t="s">
        <v>43</v>
      </c>
      <c r="H3093" s="2">
        <v>321</v>
      </c>
      <c r="I3093" s="1" t="s">
        <v>9402</v>
      </c>
      <c r="J3093" s="1" t="s">
        <v>9403</v>
      </c>
      <c r="K3093" s="1" t="s">
        <v>241</v>
      </c>
      <c r="L3093" s="1" t="s">
        <v>9404</v>
      </c>
      <c r="M3093" s="6" t="str">
        <f>_xlfn.CONCAT(Table1[[#This Row],[Billing Street]], ", ", Table1[[#This Row],[Billing City]], ", ", Table1[[#This Row],[Billing State/Province]], ", ", Table1[[#This Row],[Billing Zip/Postal Code]])</f>
        <v>3 Almy Dr, Malvern, PA, 19355-1241</v>
      </c>
    </row>
    <row r="3094" spans="1:13" ht="15.6" hidden="1" x14ac:dyDescent="0.3">
      <c r="A3094" s="1" t="s">
        <v>9405</v>
      </c>
      <c r="B3094" s="1"/>
      <c r="C3094" s="1"/>
      <c r="D3094" s="1"/>
      <c r="E3094" s="1"/>
      <c r="F3094" s="1"/>
      <c r="G3094" s="1" t="s">
        <v>43</v>
      </c>
      <c r="H3094" s="2">
        <v>5776</v>
      </c>
      <c r="I3094" s="1" t="s">
        <v>9406</v>
      </c>
      <c r="J3094" s="1" t="s">
        <v>9407</v>
      </c>
      <c r="K3094" s="1" t="s">
        <v>1154</v>
      </c>
      <c r="L3094" s="1" t="s">
        <v>9408</v>
      </c>
      <c r="M3094" s="6" t="str">
        <f>_xlfn.CONCAT(Table1[[#This Row],[Billing Street]], ", ", Table1[[#This Row],[Billing City]], ", ", Table1[[#This Row],[Billing State/Province]], ", ", Table1[[#This Row],[Billing Zip/Postal Code]])</f>
        <v>985 Jolly Rd, Blue Bell, Pa, 19422</v>
      </c>
    </row>
    <row r="3095" spans="1:13" ht="15.6" x14ac:dyDescent="0.3">
      <c r="A3095" s="1" t="s">
        <v>9409</v>
      </c>
      <c r="B3095" s="1"/>
      <c r="C3095" s="1"/>
      <c r="D3095" s="1"/>
      <c r="E3095" s="1"/>
      <c r="F3095" s="1"/>
      <c r="G3095" s="1" t="s">
        <v>24</v>
      </c>
      <c r="H3095" s="2">
        <v>244</v>
      </c>
      <c r="I3095" s="1" t="s">
        <v>9410</v>
      </c>
      <c r="J3095" s="1" t="s">
        <v>7326</v>
      </c>
      <c r="K3095" s="1" t="s">
        <v>26</v>
      </c>
      <c r="L3095" s="1" t="s">
        <v>9411</v>
      </c>
      <c r="M3095" s="6" t="str">
        <f>_xlfn.CONCAT(Table1[[#This Row],[Billing Street]], ", ", Table1[[#This Row],[Billing City]], ", ", Table1[[#This Row],[Billing State/Province]], ", ", Table1[[#This Row],[Billing Zip/Postal Code]])</f>
        <v>1749 Eva Road, Cullman, AL, 35056</v>
      </c>
    </row>
    <row r="3096" spans="1:13" ht="15.6" hidden="1" x14ac:dyDescent="0.3">
      <c r="A3096" s="1" t="s">
        <v>9412</v>
      </c>
      <c r="B3096" s="1"/>
      <c r="C3096" s="1"/>
      <c r="D3096" s="1"/>
      <c r="E3096" s="1"/>
      <c r="F3096" s="1"/>
      <c r="G3096" s="1" t="s">
        <v>205</v>
      </c>
      <c r="H3096" s="2">
        <v>43</v>
      </c>
      <c r="I3096" s="1" t="s">
        <v>9413</v>
      </c>
      <c r="J3096" s="1" t="s">
        <v>5884</v>
      </c>
      <c r="K3096" s="1" t="s">
        <v>479</v>
      </c>
      <c r="L3096" s="1" t="s">
        <v>9414</v>
      </c>
      <c r="M3096" s="6" t="str">
        <f>_xlfn.CONCAT(Table1[[#This Row],[Billing Street]], ", ", Table1[[#This Row],[Billing City]], ", ", Table1[[#This Row],[Billing State/Province]], ", ", Table1[[#This Row],[Billing Zip/Postal Code]])</f>
        <v>1214 W Gila Bend Hwy, Casa Grande, AZ, 85122</v>
      </c>
    </row>
    <row r="3097" spans="1:13" ht="15.6" x14ac:dyDescent="0.3">
      <c r="A3097" s="1" t="s">
        <v>9415</v>
      </c>
      <c r="B3097" s="1"/>
      <c r="C3097" s="1"/>
      <c r="D3097" s="1"/>
      <c r="E3097" s="1"/>
      <c r="F3097" s="1"/>
      <c r="G3097" s="1" t="s">
        <v>24</v>
      </c>
      <c r="H3097" s="2">
        <v>282</v>
      </c>
      <c r="I3097" s="1" t="s">
        <v>9416</v>
      </c>
      <c r="J3097" s="1" t="s">
        <v>9417</v>
      </c>
      <c r="K3097" s="1" t="s">
        <v>26</v>
      </c>
      <c r="L3097" s="1" t="s">
        <v>9418</v>
      </c>
      <c r="M3097" s="6" t="str">
        <f>_xlfn.CONCAT(Table1[[#This Row],[Billing Street]], ", ", Table1[[#This Row],[Billing City]], ", ", Table1[[#This Row],[Billing State/Province]], ", ", Table1[[#This Row],[Billing Zip/Postal Code]])</f>
        <v>1145 Jordan Road, Huntsville, AL, 35804</v>
      </c>
    </row>
    <row r="3098" spans="1:13" ht="15.6" x14ac:dyDescent="0.3">
      <c r="A3098" s="1" t="s">
        <v>9419</v>
      </c>
      <c r="B3098" s="1"/>
      <c r="C3098" s="1"/>
      <c r="D3098" s="1"/>
      <c r="E3098" s="1"/>
      <c r="F3098" s="1"/>
      <c r="G3098" s="1" t="s">
        <v>24</v>
      </c>
      <c r="H3098" s="2">
        <v>47</v>
      </c>
      <c r="I3098" s="1" t="s">
        <v>9420</v>
      </c>
      <c r="J3098" s="1" t="s">
        <v>522</v>
      </c>
      <c r="K3098" s="1" t="s">
        <v>26</v>
      </c>
      <c r="L3098" s="1" t="s">
        <v>4130</v>
      </c>
      <c r="M3098" s="6" t="str">
        <f>_xlfn.CONCAT(Table1[[#This Row],[Billing Street]], ", ", Table1[[#This Row],[Billing City]], ", ", Table1[[#This Row],[Billing State/Province]], ", ", Table1[[#This Row],[Billing Zip/Postal Code]])</f>
        <v>2027 East Three Notch St., Andalusia, AL, 36420</v>
      </c>
    </row>
    <row r="3099" spans="1:13" ht="15.6" x14ac:dyDescent="0.3">
      <c r="A3099" s="1" t="s">
        <v>9421</v>
      </c>
      <c r="B3099" s="1"/>
      <c r="C3099" s="1"/>
      <c r="D3099" s="1"/>
      <c r="E3099" s="1"/>
      <c r="F3099" s="1"/>
      <c r="G3099" s="1" t="s">
        <v>24</v>
      </c>
      <c r="H3099" s="2">
        <v>115</v>
      </c>
      <c r="I3099" s="1" t="s">
        <v>9422</v>
      </c>
      <c r="J3099" s="1" t="s">
        <v>25</v>
      </c>
      <c r="K3099" s="1" t="s">
        <v>26</v>
      </c>
      <c r="L3099" s="1" t="s">
        <v>9423</v>
      </c>
      <c r="M3099" s="6" t="str">
        <f>_xlfn.CONCAT(Table1[[#This Row],[Billing Street]], ", ", Table1[[#This Row],[Billing City]], ", ", Table1[[#This Row],[Billing State/Province]], ", ", Table1[[#This Row],[Billing Zip/Postal Code]])</f>
        <v>701 North McDonough, Montgomery, AL, 26104</v>
      </c>
    </row>
    <row r="3100" spans="1:13" ht="15.6" x14ac:dyDescent="0.3">
      <c r="A3100" s="1" t="s">
        <v>9424</v>
      </c>
      <c r="B3100" s="1"/>
      <c r="C3100" s="1"/>
      <c r="D3100" s="1"/>
      <c r="E3100" s="1"/>
      <c r="F3100" s="1"/>
      <c r="G3100" s="1" t="s">
        <v>24</v>
      </c>
      <c r="H3100" s="2">
        <v>5988</v>
      </c>
      <c r="I3100" s="1" t="s">
        <v>9425</v>
      </c>
      <c r="J3100" s="1" t="s">
        <v>637</v>
      </c>
      <c r="K3100" s="1" t="s">
        <v>26</v>
      </c>
      <c r="L3100" s="1" t="s">
        <v>638</v>
      </c>
      <c r="M3100" s="6" t="str">
        <f>_xlfn.CONCAT(Table1[[#This Row],[Billing Street]], ", ", Table1[[#This Row],[Billing City]], ", ", Table1[[#This Row],[Billing State/Province]], ", ", Table1[[#This Row],[Billing Zip/Postal Code]])</f>
        <v>660 Clolinger Road, Jackson, AL, 36545</v>
      </c>
    </row>
    <row r="3101" spans="1:13" ht="15.6" x14ac:dyDescent="0.3">
      <c r="A3101" s="1" t="s">
        <v>9426</v>
      </c>
      <c r="B3101" s="1"/>
      <c r="C3101" s="1"/>
      <c r="D3101" s="1"/>
      <c r="E3101" s="1"/>
      <c r="F3101" s="1"/>
      <c r="G3101" s="1" t="s">
        <v>24</v>
      </c>
      <c r="H3101" s="2">
        <v>35</v>
      </c>
      <c r="I3101" s="1" t="s">
        <v>9427</v>
      </c>
      <c r="J3101" s="1" t="s">
        <v>1009</v>
      </c>
      <c r="K3101" s="1" t="s">
        <v>26</v>
      </c>
      <c r="L3101" s="1" t="s">
        <v>7306</v>
      </c>
      <c r="M3101" s="6" t="str">
        <f>_xlfn.CONCAT(Table1[[#This Row],[Billing Street]], ", ", Table1[[#This Row],[Billing City]], ", ", Table1[[#This Row],[Billing State/Province]], ", ", Table1[[#This Row],[Billing Zip/Postal Code]])</f>
        <v>509 AL-167, Hartford, AL, 36344</v>
      </c>
    </row>
    <row r="3102" spans="1:13" ht="15.6" x14ac:dyDescent="0.3">
      <c r="A3102" s="1" t="s">
        <v>9428</v>
      </c>
      <c r="B3102" s="1"/>
      <c r="C3102" s="1"/>
      <c r="D3102" s="1"/>
      <c r="E3102" s="1"/>
      <c r="F3102" s="1"/>
      <c r="G3102" s="1" t="s">
        <v>24</v>
      </c>
      <c r="H3102" s="2">
        <v>157</v>
      </c>
      <c r="I3102" s="1" t="s">
        <v>9429</v>
      </c>
      <c r="J3102" s="1" t="s">
        <v>9430</v>
      </c>
      <c r="K3102" s="1" t="s">
        <v>26</v>
      </c>
      <c r="L3102" s="1" t="s">
        <v>9431</v>
      </c>
      <c r="M3102" s="6" t="str">
        <f>_xlfn.CONCAT(Table1[[#This Row],[Billing Street]], ", ", Table1[[#This Row],[Billing City]], ", ", Table1[[#This Row],[Billing State/Province]], ", ", Table1[[#This Row],[Billing Zip/Postal Code]])</f>
        <v>309 East 18th Street, Lanett, AL, 36863</v>
      </c>
    </row>
    <row r="3103" spans="1:13" ht="15.6" x14ac:dyDescent="0.3">
      <c r="A3103" s="1" t="s">
        <v>9432</v>
      </c>
      <c r="B3103" s="1"/>
      <c r="C3103" s="1"/>
      <c r="D3103" s="1"/>
      <c r="E3103" s="1"/>
      <c r="F3103" s="1"/>
      <c r="G3103" s="1" t="s">
        <v>24</v>
      </c>
      <c r="H3103" s="2">
        <v>5988</v>
      </c>
      <c r="I3103" s="1" t="s">
        <v>9433</v>
      </c>
      <c r="J3103" s="1" t="s">
        <v>2470</v>
      </c>
      <c r="K3103" s="1" t="s">
        <v>26</v>
      </c>
      <c r="L3103" s="1" t="s">
        <v>9434</v>
      </c>
      <c r="M3103" s="6" t="str">
        <f>_xlfn.CONCAT(Table1[[#This Row],[Billing Street]], ", ", Table1[[#This Row],[Billing City]], ", ", Table1[[#This Row],[Billing State/Province]], ", ", Table1[[#This Row],[Billing Zip/Postal Code]])</f>
        <v>1015 Avalon Ave, Muscle Shoals, AL, 35662</v>
      </c>
    </row>
    <row r="3104" spans="1:13" ht="15.6" x14ac:dyDescent="0.3">
      <c r="A3104" s="1" t="s">
        <v>9435</v>
      </c>
      <c r="B3104" s="1"/>
      <c r="C3104" s="1"/>
      <c r="D3104" s="1"/>
      <c r="E3104" s="1"/>
      <c r="F3104" s="1"/>
      <c r="G3104" s="1" t="s">
        <v>24</v>
      </c>
      <c r="H3104" s="2">
        <v>5988</v>
      </c>
      <c r="I3104" s="1" t="s">
        <v>9436</v>
      </c>
      <c r="J3104" s="1" t="s">
        <v>997</v>
      </c>
      <c r="K3104" s="1" t="s">
        <v>26</v>
      </c>
      <c r="L3104" s="1" t="s">
        <v>998</v>
      </c>
      <c r="M3104" s="6" t="str">
        <f>_xlfn.CONCAT(Table1[[#This Row],[Billing Street]], ", ", Table1[[#This Row],[Billing City]], ", ", Table1[[#This Row],[Billing State/Province]], ", ", Table1[[#This Row],[Billing Zip/Postal Code]])</f>
        <v>15163 U.S. Highway 431, Lafayette, AL, 36862</v>
      </c>
    </row>
    <row r="3105" spans="1:13" ht="15.6" x14ac:dyDescent="0.3">
      <c r="A3105" s="1" t="s">
        <v>9437</v>
      </c>
      <c r="B3105" s="1"/>
      <c r="C3105" s="1"/>
      <c r="D3105" s="1"/>
      <c r="E3105" s="1"/>
      <c r="F3105" s="1"/>
      <c r="G3105" s="1" t="s">
        <v>24</v>
      </c>
      <c r="H3105" s="2">
        <v>5988</v>
      </c>
      <c r="I3105" s="1" t="s">
        <v>9438</v>
      </c>
      <c r="J3105" s="1" t="s">
        <v>9439</v>
      </c>
      <c r="K3105" s="1" t="s">
        <v>26</v>
      </c>
      <c r="L3105" s="1" t="s">
        <v>9440</v>
      </c>
      <c r="M3105" s="6" t="str">
        <f>_xlfn.CONCAT(Table1[[#This Row],[Billing Street]], ", ", Table1[[#This Row],[Billing City]], ", ", Table1[[#This Row],[Billing State/Province]], ", ", Table1[[#This Row],[Billing Zip/Postal Code]])</f>
        <v>107 S Godfrey Avenue, Fort Payne, AL, 35967</v>
      </c>
    </row>
    <row r="3106" spans="1:13" ht="15.6" x14ac:dyDescent="0.3">
      <c r="A3106" s="1" t="s">
        <v>9441</v>
      </c>
      <c r="B3106" s="1"/>
      <c r="C3106" s="1"/>
      <c r="D3106" s="1"/>
      <c r="E3106" s="1"/>
      <c r="F3106" s="1"/>
      <c r="G3106" s="1" t="s">
        <v>24</v>
      </c>
      <c r="H3106" s="2">
        <v>296</v>
      </c>
      <c r="I3106" s="1" t="s">
        <v>9442</v>
      </c>
      <c r="J3106" s="1" t="s">
        <v>9443</v>
      </c>
      <c r="K3106" s="1" t="s">
        <v>26</v>
      </c>
      <c r="L3106" s="1" t="s">
        <v>9444</v>
      </c>
      <c r="M3106" s="6" t="str">
        <f>_xlfn.CONCAT(Table1[[#This Row],[Billing Street]], ", ", Table1[[#This Row],[Billing City]], ", ", Table1[[#This Row],[Billing State/Province]], ", ", Table1[[#This Row],[Billing Zip/Postal Code]])</f>
        <v>502 E Dr. Hicks Blvd, Florence, AL, 35631</v>
      </c>
    </row>
    <row r="3107" spans="1:13" ht="15.6" x14ac:dyDescent="0.3">
      <c r="A3107" s="1" t="s">
        <v>9445</v>
      </c>
      <c r="B3107" s="1"/>
      <c r="C3107" s="1"/>
      <c r="D3107" s="1"/>
      <c r="E3107" s="1"/>
      <c r="F3107" s="1"/>
      <c r="G3107" s="1" t="s">
        <v>24</v>
      </c>
      <c r="H3107" s="2">
        <v>5988</v>
      </c>
      <c r="I3107" s="1" t="s">
        <v>9446</v>
      </c>
      <c r="J3107" s="1" t="s">
        <v>9447</v>
      </c>
      <c r="K3107" s="1" t="s">
        <v>26</v>
      </c>
      <c r="L3107" s="1" t="s">
        <v>9448</v>
      </c>
      <c r="M3107" s="6" t="str">
        <f>_xlfn.CONCAT(Table1[[#This Row],[Billing Street]], ", ", Table1[[#This Row],[Billing City]], ", ", Table1[[#This Row],[Billing State/Province]], ", ", Table1[[#This Row],[Billing Zip/Postal Code]])</f>
        <v>198 West Main Street, Rainsville, AL, 35986</v>
      </c>
    </row>
    <row r="3108" spans="1:13" ht="15.6" x14ac:dyDescent="0.3">
      <c r="A3108" s="1" t="s">
        <v>9449</v>
      </c>
      <c r="B3108" s="1"/>
      <c r="C3108" s="1"/>
      <c r="D3108" s="1"/>
      <c r="E3108" s="1"/>
      <c r="F3108" s="1"/>
      <c r="G3108" s="1" t="s">
        <v>24</v>
      </c>
      <c r="H3108" s="2">
        <v>5988</v>
      </c>
      <c r="I3108" s="1" t="s">
        <v>9450</v>
      </c>
      <c r="J3108" s="1" t="s">
        <v>9451</v>
      </c>
      <c r="K3108" s="1" t="s">
        <v>26</v>
      </c>
      <c r="L3108" s="1" t="s">
        <v>9452</v>
      </c>
      <c r="M3108" s="6" t="str">
        <f>_xlfn.CONCAT(Table1[[#This Row],[Billing Street]], ", ", Table1[[#This Row],[Billing City]], ", ", Table1[[#This Row],[Billing State/Province]], ", ", Table1[[#This Row],[Billing Zip/Postal Code]])</f>
        <v>5479 Skyland Blvd East, Cottondale, AL, 35453</v>
      </c>
    </row>
    <row r="3109" spans="1:13" ht="15.6" x14ac:dyDescent="0.3">
      <c r="A3109" s="1" t="s">
        <v>9453</v>
      </c>
      <c r="B3109" s="1"/>
      <c r="C3109" s="1"/>
      <c r="D3109" s="1"/>
      <c r="E3109" s="1"/>
      <c r="F3109" s="1"/>
      <c r="G3109" s="1" t="s">
        <v>24</v>
      </c>
      <c r="H3109" s="2">
        <v>5988</v>
      </c>
      <c r="I3109" s="1" t="s">
        <v>9454</v>
      </c>
      <c r="J3109" s="1" t="s">
        <v>5504</v>
      </c>
      <c r="K3109" s="1" t="s">
        <v>26</v>
      </c>
      <c r="L3109" s="1" t="s">
        <v>5505</v>
      </c>
      <c r="M3109" s="6" t="str">
        <f>_xlfn.CONCAT(Table1[[#This Row],[Billing Street]], ", ", Table1[[#This Row],[Billing City]], ", ", Table1[[#This Row],[Billing State/Province]], ", ", Table1[[#This Row],[Billing Zip/Postal Code]])</f>
        <v>701 Blount Ave, Guntersville, AL, 35976</v>
      </c>
    </row>
    <row r="3110" spans="1:13" ht="15.6" x14ac:dyDescent="0.3">
      <c r="A3110" s="1" t="s">
        <v>9455</v>
      </c>
      <c r="B3110" s="1"/>
      <c r="C3110" s="1"/>
      <c r="D3110" s="1"/>
      <c r="E3110" s="1"/>
      <c r="F3110" s="1"/>
      <c r="G3110" s="1" t="s">
        <v>24</v>
      </c>
      <c r="H3110" s="2">
        <v>242</v>
      </c>
      <c r="I3110" s="1" t="s">
        <v>9456</v>
      </c>
      <c r="J3110" s="1" t="s">
        <v>7326</v>
      </c>
      <c r="K3110" s="1" t="s">
        <v>26</v>
      </c>
      <c r="L3110" s="1" t="s">
        <v>7327</v>
      </c>
      <c r="M3110" s="6" t="str">
        <f>_xlfn.CONCAT(Table1[[#This Row],[Billing Street]], ", ", Table1[[#This Row],[Billing City]], ", ", Table1[[#This Row],[Billing State/Province]], ", ", Table1[[#This Row],[Billing Zip/Postal Code]])</f>
        <v>1330 Iron Dr SW, Cullman, AL, 35055</v>
      </c>
    </row>
    <row r="3111" spans="1:13" ht="15.6" x14ac:dyDescent="0.3">
      <c r="A3111" s="1" t="s">
        <v>9457</v>
      </c>
      <c r="B3111" s="1"/>
      <c r="C3111" s="1"/>
      <c r="D3111" s="1"/>
      <c r="E3111" s="1"/>
      <c r="F3111" s="1"/>
      <c r="G3111" s="1" t="s">
        <v>24</v>
      </c>
      <c r="H3111" s="2">
        <v>82</v>
      </c>
      <c r="I3111" s="1" t="s">
        <v>9458</v>
      </c>
      <c r="J3111" s="1" t="s">
        <v>1858</v>
      </c>
      <c r="K3111" s="1" t="s">
        <v>26</v>
      </c>
      <c r="L3111" s="1" t="s">
        <v>9459</v>
      </c>
      <c r="M3111" s="6" t="str">
        <f>_xlfn.CONCAT(Table1[[#This Row],[Billing Street]], ", ", Table1[[#This Row],[Billing City]], ", ", Table1[[#This Row],[Billing State/Province]], ", ", Table1[[#This Row],[Billing Zip/Postal Code]])</f>
        <v>300 Herbert Street, Greenville, AL, 36037</v>
      </c>
    </row>
    <row r="3112" spans="1:13" ht="15.6" hidden="1" x14ac:dyDescent="0.3">
      <c r="A3112" s="1" t="s">
        <v>9460</v>
      </c>
      <c r="B3112" s="1"/>
      <c r="C3112" s="1"/>
      <c r="D3112" s="1"/>
      <c r="E3112" s="1"/>
      <c r="F3112" s="1"/>
      <c r="G3112" s="1" t="s">
        <v>8</v>
      </c>
      <c r="H3112" s="2">
        <v>283</v>
      </c>
      <c r="I3112" s="1" t="s">
        <v>9461</v>
      </c>
      <c r="J3112" s="1" t="s">
        <v>6836</v>
      </c>
      <c r="K3112" s="1" t="s">
        <v>554</v>
      </c>
      <c r="L3112" s="1" t="s">
        <v>6837</v>
      </c>
      <c r="M3112" s="6" t="str">
        <f>_xlfn.CONCAT(Table1[[#This Row],[Billing Street]], ", ", Table1[[#This Row],[Billing City]], ", ", Table1[[#This Row],[Billing State/Province]], ", ", Table1[[#This Row],[Billing Zip/Postal Code]])</f>
        <v>147 E Long St, Dighton, KS, 67839</v>
      </c>
    </row>
    <row r="3113" spans="1:13" ht="15.6" hidden="1" x14ac:dyDescent="0.3">
      <c r="A3113" s="1" t="s">
        <v>9462</v>
      </c>
      <c r="B3113" s="1"/>
      <c r="C3113" s="1"/>
      <c r="D3113" s="1"/>
      <c r="E3113" s="1"/>
      <c r="F3113" s="1"/>
      <c r="G3113" s="1" t="s">
        <v>8</v>
      </c>
      <c r="H3113" s="2">
        <v>372</v>
      </c>
      <c r="I3113" s="1" t="s">
        <v>9463</v>
      </c>
      <c r="J3113" s="1" t="s">
        <v>9464</v>
      </c>
      <c r="K3113" s="1" t="s">
        <v>21</v>
      </c>
      <c r="L3113" s="1" t="s">
        <v>9465</v>
      </c>
      <c r="M3113" s="6" t="str">
        <f>_xlfn.CONCAT(Table1[[#This Row],[Billing Street]], ", ", Table1[[#This Row],[Billing City]], ", ", Table1[[#This Row],[Billing State/Province]], ", ", Table1[[#This Row],[Billing Zip/Postal Code]])</f>
        <v>11820 567th Ave, Story City, IA, 50248</v>
      </c>
    </row>
    <row r="3114" spans="1:13" ht="15.6" hidden="1" x14ac:dyDescent="0.3">
      <c r="A3114" s="1" t="s">
        <v>9466</v>
      </c>
      <c r="B3114" s="1"/>
      <c r="C3114" s="1"/>
      <c r="D3114" s="1"/>
      <c r="E3114" s="1"/>
      <c r="F3114" s="1"/>
      <c r="G3114" s="1" t="s">
        <v>43</v>
      </c>
      <c r="H3114" s="2">
        <v>5776</v>
      </c>
      <c r="I3114" s="1" t="s">
        <v>9467</v>
      </c>
      <c r="J3114" s="1" t="s">
        <v>160</v>
      </c>
      <c r="K3114" s="1" t="s">
        <v>2359</v>
      </c>
      <c r="L3114" s="1" t="s">
        <v>9468</v>
      </c>
      <c r="M3114" s="6" t="str">
        <f>_xlfn.CONCAT(Table1[[#This Row],[Billing Street]], ", ", Table1[[#This Row],[Billing City]], ", ", Table1[[#This Row],[Billing State/Province]], ", ", Table1[[#This Row],[Billing Zip/Postal Code]])</f>
        <v>74 Regional Dr., Concord, NH, 3302</v>
      </c>
    </row>
    <row r="3115" spans="1:13" ht="15.6" hidden="1" x14ac:dyDescent="0.3">
      <c r="A3115" s="1" t="s">
        <v>9469</v>
      </c>
      <c r="B3115" s="1"/>
      <c r="C3115" s="1"/>
      <c r="D3115" s="1"/>
      <c r="E3115" s="1"/>
      <c r="F3115" s="1"/>
      <c r="G3115" s="1" t="s">
        <v>8</v>
      </c>
      <c r="H3115" s="2">
        <v>416</v>
      </c>
      <c r="I3115" s="1" t="s">
        <v>9470</v>
      </c>
      <c r="J3115" s="1" t="s">
        <v>856</v>
      </c>
      <c r="K3115" s="1" t="s">
        <v>21</v>
      </c>
      <c r="L3115" s="1" t="s">
        <v>9471</v>
      </c>
      <c r="M3115" s="6" t="str">
        <f>_xlfn.CONCAT(Table1[[#This Row],[Billing Street]], ", ", Table1[[#This Row],[Billing City]], ", ", Table1[[#This Row],[Billing State/Province]], ", ", Table1[[#This Row],[Billing Zip/Postal Code]])</f>
        <v>1560 Highway 65, Hampton, IA, 50441</v>
      </c>
    </row>
    <row r="3116" spans="1:13" ht="15.6" hidden="1" x14ac:dyDescent="0.3">
      <c r="A3116" s="1" t="s">
        <v>9472</v>
      </c>
      <c r="B3116" s="1"/>
      <c r="C3116" s="1"/>
      <c r="D3116" s="1"/>
      <c r="E3116" s="1"/>
      <c r="F3116" s="1"/>
      <c r="G3116" s="1" t="s">
        <v>8</v>
      </c>
      <c r="H3116" s="2">
        <v>409</v>
      </c>
      <c r="I3116" s="1" t="s">
        <v>9473</v>
      </c>
      <c r="J3116" s="1" t="s">
        <v>2709</v>
      </c>
      <c r="K3116" s="1" t="s">
        <v>21</v>
      </c>
      <c r="L3116" s="1" t="s">
        <v>9474</v>
      </c>
      <c r="M3116" s="6" t="str">
        <f>_xlfn.CONCAT(Table1[[#This Row],[Billing Street]], ", ", Table1[[#This Row],[Billing City]], ", ", Table1[[#This Row],[Billing State/Province]], ", ", Table1[[#This Row],[Billing Zip/Postal Code]])</f>
        <v>5695 REC Drive, Marion, IA, 52302</v>
      </c>
    </row>
    <row r="3117" spans="1:13" ht="15.6" hidden="1" x14ac:dyDescent="0.3">
      <c r="A3117" s="1" t="s">
        <v>9475</v>
      </c>
      <c r="B3117" s="1"/>
      <c r="C3117" s="1"/>
      <c r="D3117" s="1"/>
      <c r="E3117" s="1"/>
      <c r="F3117" s="1"/>
      <c r="G3117" s="1" t="s">
        <v>8</v>
      </c>
      <c r="H3117" s="2">
        <v>403</v>
      </c>
      <c r="I3117" s="1" t="s">
        <v>9476</v>
      </c>
      <c r="J3117" s="1" t="s">
        <v>9477</v>
      </c>
      <c r="K3117" s="1" t="s">
        <v>21</v>
      </c>
      <c r="L3117" s="1" t="s">
        <v>9478</v>
      </c>
      <c r="M3117" s="6" t="str">
        <f>_xlfn.CONCAT(Table1[[#This Row],[Billing Street]], ", ", Table1[[#This Row],[Billing City]], ", ", Table1[[#This Row],[Billing State/Province]], ", ", Table1[[#This Row],[Billing Zip/Postal Code]])</f>
        <v>203 E 2nd St, Vinton, IA, 52349</v>
      </c>
    </row>
    <row r="3118" spans="1:13" ht="15.6" hidden="1" x14ac:dyDescent="0.3">
      <c r="A3118" s="1" t="s">
        <v>9479</v>
      </c>
      <c r="B3118" s="1"/>
      <c r="C3118" s="1"/>
      <c r="D3118" s="1"/>
      <c r="E3118" s="1"/>
      <c r="F3118" s="1"/>
      <c r="G3118" s="1" t="s">
        <v>8</v>
      </c>
      <c r="H3118" s="2">
        <v>417</v>
      </c>
      <c r="I3118" s="1" t="s">
        <v>9480</v>
      </c>
      <c r="J3118" s="1" t="s">
        <v>2879</v>
      </c>
      <c r="K3118" s="1" t="s">
        <v>21</v>
      </c>
      <c r="L3118" s="1" t="s">
        <v>9481</v>
      </c>
      <c r="M3118" s="6" t="str">
        <f>_xlfn.CONCAT(Table1[[#This Row],[Billing Street]], ", ", Table1[[#This Row],[Billing City]], ", ", Table1[[#This Row],[Billing State/Province]], ", ", Table1[[#This Row],[Billing Zip/Postal Code]])</f>
        <v>105 E Le Claire Rd, Eldridge, IA, 52748</v>
      </c>
    </row>
    <row r="3119" spans="1:13" ht="15.6" hidden="1" x14ac:dyDescent="0.3">
      <c r="A3119" s="1" t="s">
        <v>9482</v>
      </c>
      <c r="B3119" s="1"/>
      <c r="C3119" s="1"/>
      <c r="D3119" s="1"/>
      <c r="E3119" s="1"/>
      <c r="F3119" s="1"/>
      <c r="G3119" s="1" t="s">
        <v>43</v>
      </c>
      <c r="H3119" s="2">
        <v>287</v>
      </c>
      <c r="I3119" s="1" t="s">
        <v>9483</v>
      </c>
      <c r="J3119" s="1" t="s">
        <v>9484</v>
      </c>
      <c r="K3119" s="1" t="s">
        <v>1832</v>
      </c>
      <c r="L3119" s="1" t="s">
        <v>9485</v>
      </c>
      <c r="M3119" s="6" t="str">
        <f>_xlfn.CONCAT(Table1[[#This Row],[Billing Street]], ", ", Table1[[#This Row],[Billing City]], ", ", Table1[[#This Row],[Billing State/Province]], ", ", Table1[[#This Row],[Billing Zip/Postal Code]])</f>
        <v>502 Baltimore Ave, Towson, Md, 21204</v>
      </c>
    </row>
    <row r="3120" spans="1:13" ht="15.6" hidden="1" x14ac:dyDescent="0.3">
      <c r="A3120" s="1" t="s">
        <v>9486</v>
      </c>
      <c r="B3120" s="1"/>
      <c r="C3120" s="1"/>
      <c r="D3120" s="1"/>
      <c r="E3120" s="1"/>
      <c r="F3120" s="1"/>
      <c r="G3120" s="1" t="s">
        <v>43</v>
      </c>
      <c r="H3120" s="2">
        <v>453</v>
      </c>
      <c r="I3120" s="1" t="s">
        <v>9487</v>
      </c>
      <c r="J3120" s="1" t="s">
        <v>1858</v>
      </c>
      <c r="K3120" s="1" t="s">
        <v>152</v>
      </c>
      <c r="L3120" s="1" t="s">
        <v>9488</v>
      </c>
      <c r="M3120" s="6" t="str">
        <f>_xlfn.CONCAT(Table1[[#This Row],[Billing Street]], ", ", Table1[[#This Row],[Billing City]], ", ", Table1[[#This Row],[Billing State/Province]], ", ", Table1[[#This Row],[Billing Zip/Postal Code]])</f>
        <v>525 US Route 40, Greenville, IL, 62246-0549</v>
      </c>
    </row>
    <row r="3121" spans="1:13" ht="15.6" x14ac:dyDescent="0.3">
      <c r="A3121" s="1" t="s">
        <v>9489</v>
      </c>
      <c r="B3121" s="1"/>
      <c r="C3121" s="1"/>
      <c r="D3121" s="1"/>
      <c r="E3121" s="1"/>
      <c r="F3121" s="1"/>
      <c r="G3121" s="1" t="s">
        <v>24</v>
      </c>
      <c r="H3121" s="2">
        <v>76</v>
      </c>
      <c r="I3121" s="1" t="s">
        <v>9490</v>
      </c>
      <c r="J3121" s="1" t="s">
        <v>2642</v>
      </c>
      <c r="K3121" s="1" t="s">
        <v>26</v>
      </c>
      <c r="L3121" s="1" t="s">
        <v>4624</v>
      </c>
      <c r="M3121" s="6" t="str">
        <f>_xlfn.CONCAT(Table1[[#This Row],[Billing Street]], ", ", Table1[[#This Row],[Billing City]], ", ", Table1[[#This Row],[Billing State/Province]], ", ", Table1[[#This Row],[Billing Zip/Postal Code]])</f>
        <v>306 E Academy St, Troy, AL, 36081</v>
      </c>
    </row>
    <row r="3122" spans="1:13" ht="15.6" hidden="1" x14ac:dyDescent="0.3">
      <c r="A3122" s="1" t="s">
        <v>9491</v>
      </c>
      <c r="B3122" s="1"/>
      <c r="C3122" s="1"/>
      <c r="D3122" s="1"/>
      <c r="E3122" s="1"/>
      <c r="F3122" s="1"/>
      <c r="G3122" s="1" t="s">
        <v>8</v>
      </c>
      <c r="H3122" s="2">
        <v>255</v>
      </c>
      <c r="I3122" s="1" t="s">
        <v>9492</v>
      </c>
      <c r="J3122" s="1" t="s">
        <v>9493</v>
      </c>
      <c r="K3122" s="1" t="s">
        <v>11</v>
      </c>
      <c r="L3122" s="1" t="s">
        <v>9494</v>
      </c>
      <c r="M3122" s="6" t="str">
        <f>_xlfn.CONCAT(Table1[[#This Row],[Billing Street]], ", ", Table1[[#This Row],[Billing City]], ", ", Table1[[#This Row],[Billing State/Province]], ", ", Table1[[#This Row],[Billing Zip/Postal Code]])</f>
        <v>1902 Jefferson Street, Hermann, MO, 65041</v>
      </c>
    </row>
    <row r="3123" spans="1:13" ht="15.6" hidden="1" x14ac:dyDescent="0.3">
      <c r="A3123" s="1" t="s">
        <v>9495</v>
      </c>
      <c r="B3123" s="1"/>
      <c r="C3123" s="1"/>
      <c r="D3123" s="1"/>
      <c r="E3123" s="1"/>
      <c r="F3123" s="1"/>
      <c r="G3123" s="1" t="s">
        <v>8</v>
      </c>
      <c r="H3123" s="2">
        <v>265</v>
      </c>
      <c r="I3123" s="1" t="s">
        <v>9496</v>
      </c>
      <c r="J3123" s="1" t="s">
        <v>9497</v>
      </c>
      <c r="K3123" s="1" t="s">
        <v>554</v>
      </c>
      <c r="L3123" s="1" t="s">
        <v>9498</v>
      </c>
      <c r="M3123" s="6" t="str">
        <f>_xlfn.CONCAT(Table1[[#This Row],[Billing Street]], ", ", Table1[[#This Row],[Billing City]], ", ", Table1[[#This Row],[Billing State/Province]], ", ", Table1[[#This Row],[Billing Zip/Postal Code]])</f>
        <v>1119 S Main St, Cimarron, KS, 67835</v>
      </c>
    </row>
    <row r="3124" spans="1:13" ht="15.6" hidden="1" x14ac:dyDescent="0.3">
      <c r="A3124" s="1" t="s">
        <v>9499</v>
      </c>
      <c r="B3124" s="1"/>
      <c r="C3124" s="1"/>
      <c r="D3124" s="1"/>
      <c r="E3124" s="1"/>
      <c r="F3124" s="1"/>
      <c r="G3124" s="1" t="s">
        <v>8</v>
      </c>
      <c r="H3124" s="2">
        <v>154</v>
      </c>
      <c r="I3124" s="1" t="s">
        <v>9500</v>
      </c>
      <c r="J3124" s="1" t="s">
        <v>9501</v>
      </c>
      <c r="K3124" s="1" t="s">
        <v>554</v>
      </c>
      <c r="L3124" s="1" t="s">
        <v>9502</v>
      </c>
      <c r="M3124" s="6" t="str">
        <f>_xlfn.CONCAT(Table1[[#This Row],[Billing Street]], ", ", Table1[[#This Row],[Billing City]], ", ", Table1[[#This Row],[Billing State/Province]], ", ", Table1[[#This Row],[Billing Zip/Postal Code]])</f>
        <v>402 Marshall St, Chapman, KS, 67431</v>
      </c>
    </row>
    <row r="3125" spans="1:13" ht="15.6" hidden="1" x14ac:dyDescent="0.3">
      <c r="A3125" s="1" t="s">
        <v>9503</v>
      </c>
      <c r="B3125" s="1"/>
      <c r="C3125" s="1"/>
      <c r="D3125" s="1"/>
      <c r="E3125" s="1"/>
      <c r="F3125" s="1"/>
      <c r="G3125" s="1" t="s">
        <v>8</v>
      </c>
      <c r="H3125" s="2">
        <v>188</v>
      </c>
      <c r="I3125" s="1" t="s">
        <v>9504</v>
      </c>
      <c r="J3125" s="1" t="s">
        <v>922</v>
      </c>
      <c r="K3125" s="1" t="s">
        <v>554</v>
      </c>
      <c r="L3125" s="1" t="s">
        <v>9505</v>
      </c>
      <c r="M3125" s="6" t="str">
        <f>_xlfn.CONCAT(Table1[[#This Row],[Billing Street]], ", ", Table1[[#This Row],[Billing City]], ", ", Table1[[#This Row],[Billing State/Province]], ", ", Table1[[#This Row],[Billing Zip/Postal Code]])</f>
        <v>517 4th St, Centralia, KS, 66415</v>
      </c>
    </row>
    <row r="3126" spans="1:13" ht="15.6" hidden="1" x14ac:dyDescent="0.3">
      <c r="A3126" s="1" t="s">
        <v>9506</v>
      </c>
      <c r="B3126" s="1"/>
      <c r="C3126" s="1"/>
      <c r="D3126" s="1"/>
      <c r="E3126" s="1"/>
      <c r="F3126" s="1"/>
      <c r="G3126" s="1" t="s">
        <v>8</v>
      </c>
      <c r="H3126" s="2">
        <v>452</v>
      </c>
      <c r="I3126" s="1" t="s">
        <v>9507</v>
      </c>
      <c r="J3126" s="1" t="s">
        <v>9508</v>
      </c>
      <c r="K3126" s="1" t="s">
        <v>21</v>
      </c>
      <c r="L3126" s="1" t="s">
        <v>9509</v>
      </c>
      <c r="M3126" s="6" t="str">
        <f>_xlfn.CONCAT(Table1[[#This Row],[Billing Street]], ", ", Table1[[#This Row],[Billing City]], ", ", Table1[[#This Row],[Billing State/Province]], ", ", Table1[[#This Row],[Billing Zip/Postal Code]])</f>
        <v>921 N Canty Ave, New Hampton, IA, 50659</v>
      </c>
    </row>
    <row r="3127" spans="1:13" ht="15.6" hidden="1" x14ac:dyDescent="0.3">
      <c r="A3127" s="1" t="s">
        <v>9510</v>
      </c>
      <c r="B3127" s="1"/>
      <c r="C3127" s="1"/>
      <c r="D3127" s="1"/>
      <c r="E3127" s="1"/>
      <c r="F3127" s="1"/>
      <c r="G3127" s="1" t="s">
        <v>8</v>
      </c>
      <c r="H3127" s="2">
        <v>119</v>
      </c>
      <c r="I3127" s="1" t="s">
        <v>9511</v>
      </c>
      <c r="J3127" s="1" t="s">
        <v>9510</v>
      </c>
      <c r="K3127" s="1" t="s">
        <v>554</v>
      </c>
      <c r="L3127" s="1" t="s">
        <v>9512</v>
      </c>
      <c r="M3127" s="6" t="str">
        <f>_xlfn.CONCAT(Table1[[#This Row],[Billing Street]], ", ", Table1[[#This Row],[Billing City]], ", ", Table1[[#This Row],[Billing State/Province]], ", ", Table1[[#This Row],[Billing Zip/Postal Code]])</f>
        <v>101 E Santa Fe Ave, Burlingame, KS, 66413</v>
      </c>
    </row>
    <row r="3128" spans="1:13" ht="15.6" hidden="1" x14ac:dyDescent="0.3">
      <c r="A3128" s="1" t="s">
        <v>9513</v>
      </c>
      <c r="B3128" s="1"/>
      <c r="C3128" s="1"/>
      <c r="D3128" s="1"/>
      <c r="E3128" s="1"/>
      <c r="F3128" s="1"/>
      <c r="G3128" s="1" t="s">
        <v>8</v>
      </c>
      <c r="H3128" s="2">
        <v>229</v>
      </c>
      <c r="I3128" s="1" t="s">
        <v>9514</v>
      </c>
      <c r="J3128" s="1" t="s">
        <v>9515</v>
      </c>
      <c r="K3128" s="1" t="s">
        <v>11</v>
      </c>
      <c r="L3128" s="1" t="s">
        <v>9516</v>
      </c>
      <c r="M3128" s="6" t="str">
        <f>_xlfn.CONCAT(Table1[[#This Row],[Billing Street]], ", ", Table1[[#This Row],[Billing City]], ", ", Table1[[#This Row],[Billing State/Province]], ", ", Table1[[#This Row],[Billing Zip/Postal Code]])</f>
        <v>1324 E Main St, Linn, MO, 65051</v>
      </c>
    </row>
    <row r="3129" spans="1:13" ht="15.6" hidden="1" x14ac:dyDescent="0.3">
      <c r="A3129" s="1" t="s">
        <v>9517</v>
      </c>
      <c r="B3129" s="1"/>
      <c r="C3129" s="1"/>
      <c r="D3129" s="1"/>
      <c r="E3129" s="1"/>
      <c r="F3129" s="1"/>
      <c r="G3129" s="1" t="s">
        <v>8</v>
      </c>
      <c r="H3129" s="2">
        <v>342</v>
      </c>
      <c r="I3129" s="1" t="s">
        <v>9518</v>
      </c>
      <c r="J3129" s="1" t="s">
        <v>3209</v>
      </c>
      <c r="K3129" s="1" t="s">
        <v>21</v>
      </c>
      <c r="L3129" s="1" t="s">
        <v>3210</v>
      </c>
      <c r="M3129" s="6" t="str">
        <f>_xlfn.CONCAT(Table1[[#This Row],[Billing Street]], ", ", Table1[[#This Row],[Billing City]], ", ", Table1[[#This Row],[Billing State/Province]], ", ", Table1[[#This Row],[Billing Zip/Postal Code]])</f>
        <v>505 Research Drive, Perry, IA, 50220</v>
      </c>
    </row>
    <row r="3130" spans="1:13" ht="15.6" hidden="1" x14ac:dyDescent="0.3">
      <c r="A3130" s="1" t="s">
        <v>9519</v>
      </c>
      <c r="B3130" s="1"/>
      <c r="C3130" s="1"/>
      <c r="D3130" s="1"/>
      <c r="E3130" s="1"/>
      <c r="F3130" s="1"/>
      <c r="G3130" s="1" t="s">
        <v>8</v>
      </c>
      <c r="H3130" s="2">
        <v>366</v>
      </c>
      <c r="I3130" s="1" t="s">
        <v>9520</v>
      </c>
      <c r="J3130" s="1" t="s">
        <v>2485</v>
      </c>
      <c r="K3130" s="1" t="s">
        <v>21</v>
      </c>
      <c r="L3130" s="1" t="s">
        <v>9521</v>
      </c>
      <c r="M3130" s="6" t="str">
        <f>_xlfn.CONCAT(Table1[[#This Row],[Billing Street]], ", ", Table1[[#This Row],[Billing City]], ", ", Table1[[#This Row],[Billing State/Province]], ", ", Table1[[#This Row],[Billing Zip/Postal Code]])</f>
        <v>138 Jackson, Brooklyn, IA, 52211</v>
      </c>
    </row>
    <row r="3131" spans="1:13" ht="15.6" hidden="1" x14ac:dyDescent="0.3">
      <c r="A3131" s="1" t="s">
        <v>9522</v>
      </c>
      <c r="B3131" s="1"/>
      <c r="C3131" s="1"/>
      <c r="D3131" s="1"/>
      <c r="E3131" s="1"/>
      <c r="F3131" s="1"/>
      <c r="G3131" s="1" t="s">
        <v>8</v>
      </c>
      <c r="H3131" s="2">
        <v>409</v>
      </c>
      <c r="I3131" s="1" t="s">
        <v>9523</v>
      </c>
      <c r="J3131" s="1" t="s">
        <v>9524</v>
      </c>
      <c r="K3131" s="1" t="s">
        <v>21</v>
      </c>
      <c r="L3131" s="1" t="s">
        <v>9525</v>
      </c>
      <c r="M3131" s="6" t="str">
        <f>_xlfn.CONCAT(Table1[[#This Row],[Billing Street]], ", ", Table1[[#This Row],[Billing City]], ", ", Table1[[#This Row],[Billing State/Province]], ", ", Table1[[#This Row],[Billing Zip/Postal Code]])</f>
        <v>2400 Bing Miller Lane, Urbana, IA, 52345</v>
      </c>
    </row>
    <row r="3132" spans="1:13" ht="15.6" hidden="1" x14ac:dyDescent="0.3">
      <c r="A3132" s="1" t="s">
        <v>9526</v>
      </c>
      <c r="B3132" s="1"/>
      <c r="C3132" s="1"/>
      <c r="D3132" s="1"/>
      <c r="E3132" s="1"/>
      <c r="F3132" s="1"/>
      <c r="G3132" s="1" t="s">
        <v>8</v>
      </c>
      <c r="H3132" s="2">
        <v>199</v>
      </c>
      <c r="I3132" s="1" t="s">
        <v>9527</v>
      </c>
      <c r="J3132" s="1" t="s">
        <v>9528</v>
      </c>
      <c r="K3132" s="1" t="s">
        <v>554</v>
      </c>
      <c r="L3132" s="1" t="s">
        <v>6815</v>
      </c>
      <c r="M3132" s="6" t="str">
        <f>_xlfn.CONCAT(Table1[[#This Row],[Billing Street]], ", ", Table1[[#This Row],[Billing City]], ", ", Table1[[#This Row],[Billing State/Province]], ", ", Table1[[#This Row],[Billing Zip/Postal Code]])</f>
        <v>306 Maple St, A tell, KS, 66403</v>
      </c>
    </row>
    <row r="3133" spans="1:13" ht="15.6" hidden="1" x14ac:dyDescent="0.3">
      <c r="A3133" s="1" t="s">
        <v>9529</v>
      </c>
      <c r="B3133" s="1"/>
      <c r="C3133" s="1"/>
      <c r="D3133" s="1"/>
      <c r="E3133" s="1"/>
      <c r="F3133" s="1"/>
      <c r="G3133" s="1" t="s">
        <v>8</v>
      </c>
      <c r="H3133" s="2">
        <v>144</v>
      </c>
      <c r="I3133" s="1" t="s">
        <v>9530</v>
      </c>
      <c r="J3133" s="1" t="s">
        <v>9531</v>
      </c>
      <c r="K3133" s="1" t="s">
        <v>554</v>
      </c>
      <c r="L3133" s="1" t="s">
        <v>9532</v>
      </c>
      <c r="M3133" s="6" t="str">
        <f>_xlfn.CONCAT(Table1[[#This Row],[Billing Street]], ", ", Table1[[#This Row],[Billing City]], ", ", Table1[[#This Row],[Billing State/Province]], ", ", Table1[[#This Row],[Billing Zip/Postal Code]])</f>
        <v>127 N Main, Attic, KS, 67009</v>
      </c>
    </row>
    <row r="3134" spans="1:13" ht="15.6" hidden="1" x14ac:dyDescent="0.3">
      <c r="A3134" s="1" t="s">
        <v>9533</v>
      </c>
      <c r="B3134" s="1"/>
      <c r="C3134" s="1"/>
      <c r="D3134" s="1"/>
      <c r="E3134" s="1"/>
      <c r="F3134" s="1"/>
      <c r="G3134" s="1" t="s">
        <v>8</v>
      </c>
      <c r="H3134" s="2">
        <v>229</v>
      </c>
      <c r="I3134" s="1" t="s">
        <v>9534</v>
      </c>
      <c r="J3134" s="1" t="s">
        <v>7238</v>
      </c>
      <c r="K3134" s="1" t="s">
        <v>554</v>
      </c>
      <c r="L3134" s="1" t="s">
        <v>9535</v>
      </c>
      <c r="M3134" s="6" t="str">
        <f>_xlfn.CONCAT(Table1[[#This Row],[Billing Street]], ", ", Table1[[#This Row],[Billing City]], ", ", Table1[[#This Row],[Billing State/Province]], ", ", Table1[[#This Row],[Billing Zip/Postal Code]])</f>
        <v>703 Main St, Ashland, KS, 67831</v>
      </c>
    </row>
    <row r="3135" spans="1:13" ht="15.6" hidden="1" x14ac:dyDescent="0.3">
      <c r="A3135" s="1" t="s">
        <v>9536</v>
      </c>
      <c r="B3135" s="1"/>
      <c r="C3135" s="1"/>
      <c r="D3135" s="1"/>
      <c r="E3135" s="1"/>
      <c r="F3135" s="1"/>
      <c r="G3135" s="1" t="s">
        <v>8</v>
      </c>
      <c r="H3135" s="2">
        <v>62</v>
      </c>
      <c r="I3135" s="1" t="s">
        <v>9537</v>
      </c>
      <c r="J3135" s="1" t="s">
        <v>9538</v>
      </c>
      <c r="K3135" s="1" t="s">
        <v>554</v>
      </c>
      <c r="L3135" s="1" t="s">
        <v>554</v>
      </c>
      <c r="M3135" s="6" t="str">
        <f>_xlfn.CONCAT(Table1[[#This Row],[Billing Street]], ", ", Table1[[#This Row],[Billing City]], ", ", Table1[[#This Row],[Billing State/Province]], ", ", Table1[[#This Row],[Billing Zip/Postal Code]])</f>
        <v>701 E Washington St, Arma, KS, KS</v>
      </c>
    </row>
    <row r="3136" spans="1:13" ht="15.6" hidden="1" x14ac:dyDescent="0.3">
      <c r="A3136" s="1" t="s">
        <v>9539</v>
      </c>
      <c r="B3136" s="1"/>
      <c r="C3136" s="1"/>
      <c r="D3136" s="1"/>
      <c r="E3136" s="1"/>
      <c r="F3136" s="1"/>
      <c r="G3136" s="1" t="s">
        <v>98</v>
      </c>
      <c r="H3136" s="2">
        <v>5887</v>
      </c>
      <c r="I3136" s="1" t="s">
        <v>13</v>
      </c>
      <c r="J3136" s="1" t="s">
        <v>9540</v>
      </c>
      <c r="K3136" s="1" t="s">
        <v>101</v>
      </c>
      <c r="L3136" s="1" t="s">
        <v>13</v>
      </c>
      <c r="M3136" s="6" t="str">
        <f>_xlfn.CONCAT(Table1[[#This Row],[Billing Street]], ", ", Table1[[#This Row],[Billing City]], ", ", Table1[[#This Row],[Billing State/Province]], ", ", Table1[[#This Row],[Billing Zip/Postal Code]])</f>
        <v xml:space="preserve">, Newnan, GA, </v>
      </c>
    </row>
    <row r="3137" spans="1:13" ht="15.6" hidden="1" x14ac:dyDescent="0.3">
      <c r="A3137" s="1" t="s">
        <v>9541</v>
      </c>
      <c r="B3137" s="1"/>
      <c r="C3137" s="1"/>
      <c r="D3137" s="1"/>
      <c r="E3137" s="1"/>
      <c r="F3137" s="1"/>
      <c r="G3137" s="1" t="s">
        <v>8</v>
      </c>
      <c r="H3137" s="2">
        <v>69</v>
      </c>
      <c r="I3137" s="1" t="s">
        <v>9542</v>
      </c>
      <c r="J3137" s="1" t="s">
        <v>884</v>
      </c>
      <c r="K3137" s="1" t="s">
        <v>554</v>
      </c>
      <c r="L3137" s="1" t="s">
        <v>9543</v>
      </c>
      <c r="M3137" s="6" t="str">
        <f>_xlfn.CONCAT(Table1[[#This Row],[Billing Street]], ", ", Table1[[#This Row],[Billing City]], ", ", Table1[[#This Row],[Billing State/Province]], ", ", Table1[[#This Row],[Billing Zip/Postal Code]])</f>
        <v>106 E Race St, Arcadia, KS, 66711</v>
      </c>
    </row>
    <row r="3138" spans="1:13" ht="15.6" hidden="1" x14ac:dyDescent="0.3">
      <c r="A3138" s="1" t="s">
        <v>9544</v>
      </c>
      <c r="B3138" s="1"/>
      <c r="C3138" s="1"/>
      <c r="D3138" s="1"/>
      <c r="E3138" s="1"/>
      <c r="F3138" s="1"/>
      <c r="G3138" s="1" t="s">
        <v>8</v>
      </c>
      <c r="H3138" s="2">
        <v>133</v>
      </c>
      <c r="I3138" s="1" t="s">
        <v>9545</v>
      </c>
      <c r="J3138" s="1" t="s">
        <v>9546</v>
      </c>
      <c r="K3138" s="1" t="s">
        <v>554</v>
      </c>
      <c r="L3138" s="1" t="s">
        <v>9547</v>
      </c>
      <c r="M3138" s="6" t="str">
        <f>_xlfn.CONCAT(Table1[[#This Row],[Billing Street]], ", ", Table1[[#This Row],[Billing City]], ", ", Table1[[#This Row],[Billing State/Province]], ", ", Table1[[#This Row],[Billing Zip/Postal Code]])</f>
        <v>124 S Bluff, Anthony, KS, 67003</v>
      </c>
    </row>
    <row r="3139" spans="1:13" ht="15.6" hidden="1" x14ac:dyDescent="0.3">
      <c r="A3139" s="1" t="s">
        <v>9548</v>
      </c>
      <c r="B3139" s="1"/>
      <c r="C3139" s="1"/>
      <c r="D3139" s="1"/>
      <c r="E3139" s="1"/>
      <c r="F3139" s="1"/>
      <c r="G3139" s="1" t="s">
        <v>98</v>
      </c>
      <c r="H3139" s="2">
        <v>35</v>
      </c>
      <c r="I3139" s="1" t="s">
        <v>9549</v>
      </c>
      <c r="J3139" s="1" t="s">
        <v>2002</v>
      </c>
      <c r="K3139" s="1" t="s">
        <v>101</v>
      </c>
      <c r="L3139" s="1" t="s">
        <v>2003</v>
      </c>
      <c r="M3139" s="6" t="str">
        <f>_xlfn.CONCAT(Table1[[#This Row],[Billing Street]], ", ", Table1[[#This Row],[Billing City]], ", ", Table1[[#This Row],[Billing State/Province]], ", ", Table1[[#This Row],[Billing Zip/Postal Code]])</f>
        <v>807 Collinsworth Rd, Palmetto, GA, 30268</v>
      </c>
    </row>
    <row r="3140" spans="1:13" ht="15.6" hidden="1" x14ac:dyDescent="0.3">
      <c r="A3140" s="1" t="s">
        <v>9550</v>
      </c>
      <c r="B3140" s="1"/>
      <c r="C3140" s="1"/>
      <c r="D3140" s="1"/>
      <c r="E3140" s="1"/>
      <c r="F3140" s="1"/>
      <c r="G3140" s="1" t="s">
        <v>8</v>
      </c>
      <c r="H3140" s="2">
        <v>21</v>
      </c>
      <c r="I3140" s="1" t="s">
        <v>9551</v>
      </c>
      <c r="J3140" s="1" t="s">
        <v>3162</v>
      </c>
      <c r="K3140" s="1" t="s">
        <v>554</v>
      </c>
      <c r="L3140" s="1" t="s">
        <v>6803</v>
      </c>
      <c r="M3140" s="6" t="str">
        <f>_xlfn.CONCAT(Table1[[#This Row],[Billing Street]], ", ", Table1[[#This Row],[Billing City]], ", ", Table1[[#This Row],[Billing State/Province]], ", ", Table1[[#This Row],[Billing Zip/Postal Code]])</f>
        <v>407 S Huston, Altamont, KS, 67330</v>
      </c>
    </row>
    <row r="3141" spans="1:13" ht="15.6" hidden="1" x14ac:dyDescent="0.3">
      <c r="A3141" s="1" t="s">
        <v>9552</v>
      </c>
      <c r="B3141" s="1"/>
      <c r="C3141" s="1"/>
      <c r="D3141" s="1"/>
      <c r="E3141" s="1"/>
      <c r="F3141" s="1"/>
      <c r="G3141" s="1" t="s">
        <v>8</v>
      </c>
      <c r="H3141" s="2">
        <v>141</v>
      </c>
      <c r="I3141" s="1" t="s">
        <v>9553</v>
      </c>
      <c r="J3141" s="1" t="s">
        <v>9554</v>
      </c>
      <c r="K3141" s="1" t="s">
        <v>554</v>
      </c>
      <c r="L3141" s="1" t="s">
        <v>9555</v>
      </c>
      <c r="M3141" s="6" t="str">
        <f>_xlfn.CONCAT(Table1[[#This Row],[Billing Street]], ", ", Table1[[#This Row],[Billing City]], ", ", Table1[[#This Row],[Billing State/Province]], ", ", Table1[[#This Row],[Billing Zip/Postal Code]])</f>
        <v>326 Missouri, Alma, KS, 66401</v>
      </c>
    </row>
    <row r="3142" spans="1:13" ht="15.6" hidden="1" x14ac:dyDescent="0.3">
      <c r="A3142" s="1" t="s">
        <v>9556</v>
      </c>
      <c r="B3142" s="1"/>
      <c r="C3142" s="1"/>
      <c r="D3142" s="1"/>
      <c r="E3142" s="1"/>
      <c r="F3142" s="1"/>
      <c r="G3142" s="1" t="s">
        <v>8</v>
      </c>
      <c r="H3142" s="2">
        <v>341</v>
      </c>
      <c r="I3142" s="1" t="s">
        <v>9557</v>
      </c>
      <c r="J3142" s="1" t="s">
        <v>9558</v>
      </c>
      <c r="K3142" s="1" t="s">
        <v>21</v>
      </c>
      <c r="L3142" s="1" t="s">
        <v>9559</v>
      </c>
      <c r="M3142" s="6" t="str">
        <f>_xlfn.CONCAT(Table1[[#This Row],[Billing Street]], ", ", Table1[[#This Row],[Billing City]], ", ", Table1[[#This Row],[Billing State/Province]], ", ", Table1[[#This Row],[Billing Zip/Postal Code]])</f>
        <v>825 Southwest Irvindale Dr, Ankney, IA, 50023</v>
      </c>
    </row>
    <row r="3143" spans="1:13" ht="15.6" hidden="1" x14ac:dyDescent="0.3">
      <c r="A3143" s="1" t="s">
        <v>9560</v>
      </c>
      <c r="B3143" s="1"/>
      <c r="C3143" s="1"/>
      <c r="D3143" s="1"/>
      <c r="E3143" s="1"/>
      <c r="F3143" s="1"/>
      <c r="G3143" s="1" t="s">
        <v>8</v>
      </c>
      <c r="H3143" s="2">
        <v>195</v>
      </c>
      <c r="I3143" s="1" t="s">
        <v>13</v>
      </c>
      <c r="J3143" s="1" t="s">
        <v>2269</v>
      </c>
      <c r="K3143" s="1" t="s">
        <v>554</v>
      </c>
      <c r="L3143" s="1" t="s">
        <v>9561</v>
      </c>
      <c r="M3143" s="6" t="str">
        <f>_xlfn.CONCAT(Table1[[#This Row],[Billing Street]], ", ", Table1[[#This Row],[Billing City]], ", ", Table1[[#This Row],[Billing State/Province]], ", ", Table1[[#This Row],[Billing Zip/Postal Code]])</f>
        <v>, Seneca, KS, 66538</v>
      </c>
    </row>
    <row r="3144" spans="1:13" ht="15.6" x14ac:dyDescent="0.3">
      <c r="A3144" s="1" t="s">
        <v>9562</v>
      </c>
      <c r="B3144" s="1"/>
      <c r="C3144" s="1"/>
      <c r="D3144" s="1"/>
      <c r="E3144" s="1"/>
      <c r="F3144" s="1"/>
      <c r="G3144" s="1" t="s">
        <v>24</v>
      </c>
      <c r="H3144" s="2">
        <v>403</v>
      </c>
      <c r="I3144" s="1" t="s">
        <v>9563</v>
      </c>
      <c r="J3144" s="1" t="s">
        <v>581</v>
      </c>
      <c r="K3144" s="1" t="s">
        <v>36</v>
      </c>
      <c r="L3144" s="1" t="s">
        <v>582</v>
      </c>
      <c r="M3144" s="6" t="str">
        <f>_xlfn.CONCAT(Table1[[#This Row],[Billing Street]], ", ", Table1[[#This Row],[Billing City]], ", ", Table1[[#This Row],[Billing State/Province]], ", ", Table1[[#This Row],[Billing Zip/Postal Code]])</f>
        <v>26744 US Hwy 27- PO Bx 519, Moore Haven, FL, 33471</v>
      </c>
    </row>
    <row r="3145" spans="1:13" ht="15.6" hidden="1" x14ac:dyDescent="0.3">
      <c r="A3145" s="1" t="s">
        <v>9564</v>
      </c>
      <c r="B3145" s="1"/>
      <c r="C3145" s="1"/>
      <c r="D3145" s="1"/>
      <c r="E3145" s="1"/>
      <c r="F3145" s="1"/>
      <c r="G3145" s="1" t="s">
        <v>8</v>
      </c>
      <c r="H3145" s="2">
        <v>344</v>
      </c>
      <c r="I3145" s="1" t="s">
        <v>3662</v>
      </c>
      <c r="J3145" s="1" t="s">
        <v>3663</v>
      </c>
      <c r="K3145" s="1" t="s">
        <v>21</v>
      </c>
      <c r="L3145" s="1" t="s">
        <v>3664</v>
      </c>
      <c r="M3145" s="6" t="str">
        <f>_xlfn.CONCAT(Table1[[#This Row],[Billing Street]], ", ", Table1[[#This Row],[Billing City]], ", ", Table1[[#This Row],[Billing State/Province]], ", ", Table1[[#This Row],[Billing Zip/Postal Code]])</f>
        <v>721 Broadway, Denison, IA, 51442</v>
      </c>
    </row>
    <row r="3146" spans="1:13" ht="15.6" x14ac:dyDescent="0.3">
      <c r="A3146" s="1" t="s">
        <v>9565</v>
      </c>
      <c r="B3146" s="1"/>
      <c r="C3146" s="1"/>
      <c r="D3146" s="1"/>
      <c r="E3146" s="1"/>
      <c r="F3146" s="1"/>
      <c r="G3146" s="1" t="s">
        <v>24</v>
      </c>
      <c r="H3146" s="2">
        <v>292</v>
      </c>
      <c r="I3146" s="1" t="s">
        <v>9566</v>
      </c>
      <c r="J3146" s="1" t="s">
        <v>1774</v>
      </c>
      <c r="K3146" s="1" t="s">
        <v>36</v>
      </c>
      <c r="L3146" s="1" t="s">
        <v>9567</v>
      </c>
      <c r="M3146" s="6" t="str">
        <f>_xlfn.CONCAT(Table1[[#This Row],[Billing Street]], ", ", Table1[[#This Row],[Billing City]], ", ", Table1[[#This Row],[Billing State/Province]], ", ", Table1[[#This Row],[Billing Zip/Postal Code]])</f>
        <v>306 E. Jackson St, Tampa, FL, 33602</v>
      </c>
    </row>
    <row r="3147" spans="1:13" ht="15.6" hidden="1" x14ac:dyDescent="0.3">
      <c r="A3147" s="1" t="s">
        <v>9568</v>
      </c>
      <c r="B3147" s="1"/>
      <c r="C3147" s="1"/>
      <c r="D3147" s="1"/>
      <c r="E3147" s="1"/>
      <c r="F3147" s="1"/>
      <c r="G3147" s="1" t="s">
        <v>8</v>
      </c>
      <c r="H3147" s="2">
        <v>319</v>
      </c>
      <c r="I3147" s="1" t="s">
        <v>9569</v>
      </c>
      <c r="J3147" s="1" t="s">
        <v>832</v>
      </c>
      <c r="K3147" s="1" t="s">
        <v>21</v>
      </c>
      <c r="L3147" s="1" t="s">
        <v>9570</v>
      </c>
      <c r="M3147" s="6" t="str">
        <f>_xlfn.CONCAT(Table1[[#This Row],[Billing Street]], ", ", Table1[[#This Row],[Billing City]], ", ", Table1[[#This Row],[Billing State/Province]], ", ", Table1[[#This Row],[Billing Zip/Postal Code]])</f>
        <v>1300 East Iowa Ave, Indianola, IA, 50125</v>
      </c>
    </row>
    <row r="3148" spans="1:13" ht="15.6" hidden="1" x14ac:dyDescent="0.3">
      <c r="A3148" s="1" t="s">
        <v>9571</v>
      </c>
      <c r="B3148" s="1"/>
      <c r="C3148" s="1"/>
      <c r="D3148" s="1"/>
      <c r="E3148" s="1"/>
      <c r="F3148" s="1"/>
      <c r="G3148" s="1" t="s">
        <v>54</v>
      </c>
      <c r="H3148" s="2">
        <v>108</v>
      </c>
      <c r="I3148" s="1" t="s">
        <v>9572</v>
      </c>
      <c r="J3148" s="1" t="s">
        <v>1158</v>
      </c>
      <c r="K3148" s="1" t="s">
        <v>57</v>
      </c>
      <c r="L3148" s="1" t="s">
        <v>9573</v>
      </c>
      <c r="M3148" s="6" t="str">
        <f>_xlfn.CONCAT(Table1[[#This Row],[Billing Street]], ", ", Table1[[#This Row],[Billing City]], ", ", Table1[[#This Row],[Billing State/Province]], ", ", Table1[[#This Row],[Billing Zip/Postal Code]])</f>
        <v>2950 Kurtz Street, San Diego, CA, 92110</v>
      </c>
    </row>
    <row r="3149" spans="1:13" ht="15.6" hidden="1" x14ac:dyDescent="0.3">
      <c r="A3149" s="1" t="s">
        <v>9574</v>
      </c>
      <c r="B3149" s="1"/>
      <c r="C3149" s="1"/>
      <c r="D3149" s="1"/>
      <c r="E3149" s="1"/>
      <c r="F3149" s="1"/>
      <c r="G3149" s="1" t="s">
        <v>8</v>
      </c>
      <c r="H3149" s="2">
        <v>246</v>
      </c>
      <c r="I3149" s="1" t="s">
        <v>9575</v>
      </c>
      <c r="J3149" s="1" t="s">
        <v>1305</v>
      </c>
      <c r="K3149" s="1" t="s">
        <v>165</v>
      </c>
      <c r="L3149" s="1" t="s">
        <v>5216</v>
      </c>
      <c r="M3149" s="6" t="str">
        <f>_xlfn.CONCAT(Table1[[#This Row],[Billing Street]], ", ", Table1[[#This Row],[Billing City]], ", ", Table1[[#This Row],[Billing State/Province]], ", ", Table1[[#This Row],[Billing Zip/Postal Code]])</f>
        <v>1 Cooperative Way, Little Rock, AR, 72209</v>
      </c>
    </row>
    <row r="3150" spans="1:13" ht="15.6" hidden="1" x14ac:dyDescent="0.3">
      <c r="A3150" s="1" t="s">
        <v>9576</v>
      </c>
      <c r="B3150" s="1"/>
      <c r="C3150" s="1"/>
      <c r="D3150" s="1"/>
      <c r="E3150" s="1"/>
      <c r="F3150" s="1"/>
      <c r="G3150" s="1" t="s">
        <v>8</v>
      </c>
      <c r="H3150" s="2">
        <v>216</v>
      </c>
      <c r="I3150" s="1" t="s">
        <v>9577</v>
      </c>
      <c r="J3150" s="1" t="s">
        <v>305</v>
      </c>
      <c r="K3150" s="1" t="s">
        <v>11</v>
      </c>
      <c r="L3150" s="1" t="s">
        <v>306</v>
      </c>
      <c r="M3150" s="6" t="str">
        <f>_xlfn.CONCAT(Table1[[#This Row],[Billing Street]], ", ", Table1[[#This Row],[Billing City]], ", ", Table1[[#This Row],[Billing State/Province]], ", ", Table1[[#This Row],[Billing Zip/Postal Code]])</f>
        <v>205 MO-5, Fayette, MO, 65248</v>
      </c>
    </row>
    <row r="3151" spans="1:13" ht="15.6" hidden="1" x14ac:dyDescent="0.3">
      <c r="A3151" s="1" t="s">
        <v>9578</v>
      </c>
      <c r="B3151" s="1"/>
      <c r="C3151" s="1"/>
      <c r="D3151" s="1"/>
      <c r="E3151" s="1"/>
      <c r="F3151" s="1"/>
      <c r="G3151" s="1" t="s">
        <v>43</v>
      </c>
      <c r="H3151" s="2">
        <v>482</v>
      </c>
      <c r="I3151" s="1" t="s">
        <v>9579</v>
      </c>
      <c r="J3151" s="1" t="s">
        <v>9580</v>
      </c>
      <c r="K3151" s="1" t="s">
        <v>152</v>
      </c>
      <c r="L3151" s="1" t="s">
        <v>9581</v>
      </c>
      <c r="M3151" s="6" t="str">
        <f>_xlfn.CONCAT(Table1[[#This Row],[Billing Street]], ", ", Table1[[#This Row],[Billing City]], ", ", Table1[[#This Row],[Billing State/Province]], ", ", Table1[[#This Row],[Billing Zip/Postal Code]])</f>
        <v>1732 Finney Rd., Murphysboro, IL, 62966</v>
      </c>
    </row>
    <row r="3152" spans="1:13" ht="15.6" hidden="1" x14ac:dyDescent="0.3">
      <c r="A3152" s="1" t="s">
        <v>9582</v>
      </c>
      <c r="B3152" s="1"/>
      <c r="C3152" s="1"/>
      <c r="D3152" s="1"/>
      <c r="E3152" s="1"/>
      <c r="F3152" s="1"/>
      <c r="G3152" s="1" t="s">
        <v>43</v>
      </c>
      <c r="H3152" s="2">
        <v>183</v>
      </c>
      <c r="I3152" s="1" t="s">
        <v>9583</v>
      </c>
      <c r="J3152" s="1" t="s">
        <v>9584</v>
      </c>
      <c r="K3152" s="1" t="s">
        <v>82</v>
      </c>
      <c r="L3152" s="1" t="s">
        <v>9585</v>
      </c>
      <c r="M3152" s="6" t="str">
        <f>_xlfn.CONCAT(Table1[[#This Row],[Billing Street]], ", ", Table1[[#This Row],[Billing City]], ", ", Table1[[#This Row],[Billing State/Province]], ", ", Table1[[#This Row],[Billing Zip/Postal Code]])</f>
        <v>1457 Recycling Drive   Building 209, East Lansing, MI, 48824</v>
      </c>
    </row>
    <row r="3153" spans="1:13" ht="15.6" hidden="1" x14ac:dyDescent="0.3">
      <c r="A3153" s="1" t="s">
        <v>9586</v>
      </c>
      <c r="B3153" s="1"/>
      <c r="C3153" s="1"/>
      <c r="D3153" s="1"/>
      <c r="E3153" s="1"/>
      <c r="F3153" s="1"/>
      <c r="G3153" s="1" t="s">
        <v>8</v>
      </c>
      <c r="H3153" s="2">
        <v>325</v>
      </c>
      <c r="I3153" s="1" t="s">
        <v>9587</v>
      </c>
      <c r="J3153" s="1" t="s">
        <v>9588</v>
      </c>
      <c r="K3153" s="1" t="s">
        <v>21</v>
      </c>
      <c r="L3153" s="1" t="s">
        <v>9589</v>
      </c>
      <c r="M3153" s="6" t="str">
        <f>_xlfn.CONCAT(Table1[[#This Row],[Billing Street]], ", ", Table1[[#This Row],[Billing City]], ", ", Table1[[#This Row],[Billing State/Province]], ", ", Table1[[#This Row],[Billing Zip/Postal Code]])</f>
        <v>517 Walker Street, Woodbine, IA, 51579</v>
      </c>
    </row>
    <row r="3154" spans="1:13" ht="15.6" hidden="1" x14ac:dyDescent="0.3">
      <c r="A3154" s="1" t="s">
        <v>9590</v>
      </c>
      <c r="B3154" s="1"/>
      <c r="C3154" s="1"/>
      <c r="D3154" s="1"/>
      <c r="E3154" s="1"/>
      <c r="F3154" s="1"/>
      <c r="G3154" s="1" t="s">
        <v>8</v>
      </c>
      <c r="H3154" s="2">
        <v>326</v>
      </c>
      <c r="I3154" s="1" t="s">
        <v>9591</v>
      </c>
      <c r="J3154" s="1" t="s">
        <v>9592</v>
      </c>
      <c r="K3154" s="1" t="s">
        <v>21</v>
      </c>
      <c r="L3154" s="1" t="s">
        <v>9593</v>
      </c>
      <c r="M3154" s="6" t="str">
        <f>_xlfn.CONCAT(Table1[[#This Row],[Billing Street]], ", ", Table1[[#This Row],[Billing City]], ", ", Table1[[#This Row],[Billing State/Province]], ", ", Table1[[#This Row],[Billing Zip/Postal Code]])</f>
        <v>1406 State Street, Guthrie Center, IA, 50115</v>
      </c>
    </row>
    <row r="3155" spans="1:13" ht="15.6" hidden="1" x14ac:dyDescent="0.3">
      <c r="A3155" s="1" t="s">
        <v>9594</v>
      </c>
      <c r="B3155" s="1"/>
      <c r="C3155" s="1"/>
      <c r="D3155" s="1"/>
      <c r="E3155" s="1"/>
      <c r="F3155" s="1"/>
      <c r="G3155" s="1" t="s">
        <v>8</v>
      </c>
      <c r="H3155" s="2">
        <v>329</v>
      </c>
      <c r="I3155" s="1" t="s">
        <v>9595</v>
      </c>
      <c r="J3155" s="1" t="s">
        <v>9596</v>
      </c>
      <c r="K3155" s="1" t="s">
        <v>21</v>
      </c>
      <c r="L3155" s="1" t="s">
        <v>9597</v>
      </c>
      <c r="M3155" s="6" t="str">
        <f>_xlfn.CONCAT(Table1[[#This Row],[Billing Street]], ", ", Table1[[#This Row],[Billing City]], ", ", Table1[[#This Row],[Billing State/Province]], ", ", Table1[[#This Row],[Billing Zip/Postal Code]])</f>
        <v>102 NW 2nd St, Panora, IA, 50216</v>
      </c>
    </row>
    <row r="3156" spans="1:13" ht="15.6" hidden="1" x14ac:dyDescent="0.3">
      <c r="A3156" s="1" t="s">
        <v>9598</v>
      </c>
      <c r="B3156" s="1"/>
      <c r="C3156" s="1"/>
      <c r="D3156" s="1"/>
      <c r="E3156" s="1"/>
      <c r="F3156" s="1"/>
      <c r="G3156" s="1" t="s">
        <v>8</v>
      </c>
      <c r="H3156" s="2">
        <v>401</v>
      </c>
      <c r="I3156" s="1" t="s">
        <v>9599</v>
      </c>
      <c r="J3156" s="1" t="s">
        <v>1021</v>
      </c>
      <c r="K3156" s="1" t="s">
        <v>21</v>
      </c>
      <c r="L3156" s="1" t="s">
        <v>9600</v>
      </c>
      <c r="M3156" s="6" t="str">
        <f>_xlfn.CONCAT(Table1[[#This Row],[Billing Street]], ", ", Table1[[#This Row],[Billing City]], ", ", Table1[[#This Row],[Billing State/Province]], ", ", Table1[[#This Row],[Billing Zip/Postal Code]])</f>
        <v>1300 13th St N, Humboldt, IA, 50548</v>
      </c>
    </row>
    <row r="3157" spans="1:13" ht="15.6" hidden="1" x14ac:dyDescent="0.3">
      <c r="A3157" s="1" t="s">
        <v>9601</v>
      </c>
      <c r="B3157" s="1"/>
      <c r="C3157" s="1"/>
      <c r="D3157" s="1"/>
      <c r="E3157" s="1"/>
      <c r="F3157" s="1"/>
      <c r="G3157" s="1" t="s">
        <v>43</v>
      </c>
      <c r="H3157" s="2">
        <v>375</v>
      </c>
      <c r="I3157" s="1" t="s">
        <v>9602</v>
      </c>
      <c r="J3157" s="1" t="s">
        <v>9603</v>
      </c>
      <c r="K3157" s="1" t="s">
        <v>133</v>
      </c>
      <c r="L3157" s="1" t="s">
        <v>9604</v>
      </c>
      <c r="M3157" s="6" t="str">
        <f>_xlfn.CONCAT(Table1[[#This Row],[Billing Street]], ", ", Table1[[#This Row],[Billing City]], ", ", Table1[[#This Row],[Billing State/Province]], ", ", Table1[[#This Row],[Billing Zip/Postal Code]])</f>
        <v>300 Slinger Road, Slinger, WI, 53086</v>
      </c>
    </row>
    <row r="3158" spans="1:13" ht="15.6" hidden="1" x14ac:dyDescent="0.3">
      <c r="A3158" s="1" t="s">
        <v>9605</v>
      </c>
      <c r="B3158" s="1"/>
      <c r="C3158" s="1"/>
      <c r="D3158" s="1"/>
      <c r="E3158" s="1"/>
      <c r="F3158" s="1"/>
      <c r="G3158" s="1" t="s">
        <v>54</v>
      </c>
      <c r="H3158" s="2">
        <v>7813</v>
      </c>
      <c r="I3158" s="1" t="s">
        <v>13</v>
      </c>
      <c r="J3158" s="1" t="s">
        <v>8123</v>
      </c>
      <c r="K3158" s="1" t="s">
        <v>57</v>
      </c>
      <c r="L3158" s="1" t="s">
        <v>13</v>
      </c>
      <c r="M3158" s="6" t="str">
        <f>_xlfn.CONCAT(Table1[[#This Row],[Billing Street]], ", ", Table1[[#This Row],[Billing City]], ", ", Table1[[#This Row],[Billing State/Province]], ", ", Table1[[#This Row],[Billing Zip/Postal Code]])</f>
        <v xml:space="preserve">, Wilmington, CA, </v>
      </c>
    </row>
    <row r="3159" spans="1:13" ht="15.6" hidden="1" x14ac:dyDescent="0.3">
      <c r="A3159" s="1" t="s">
        <v>9606</v>
      </c>
      <c r="B3159" s="1"/>
      <c r="C3159" s="1"/>
      <c r="D3159" s="1"/>
      <c r="E3159" s="1"/>
      <c r="F3159" s="1"/>
      <c r="G3159" s="1" t="s">
        <v>205</v>
      </c>
      <c r="H3159" s="2">
        <v>16</v>
      </c>
      <c r="I3159" s="1" t="s">
        <v>9607</v>
      </c>
      <c r="J3159" s="1" t="s">
        <v>518</v>
      </c>
      <c r="K3159" s="1" t="s">
        <v>479</v>
      </c>
      <c r="L3159" s="1" t="s">
        <v>9608</v>
      </c>
      <c r="M3159" s="6" t="str">
        <f>_xlfn.CONCAT(Table1[[#This Row],[Billing Street]], ", ", Table1[[#This Row],[Billing City]], ", ", Table1[[#This Row],[Billing State/Province]], ", ", Table1[[#This Row],[Billing Zip/Postal Code]])</f>
        <v>2640 W Lone Cactus Drive, Phoenix, AZ, 85027</v>
      </c>
    </row>
    <row r="3160" spans="1:13" ht="15.6" hidden="1" x14ac:dyDescent="0.3">
      <c r="A3160" s="1" t="s">
        <v>9609</v>
      </c>
      <c r="B3160" s="1"/>
      <c r="C3160" s="1"/>
      <c r="D3160" s="1"/>
      <c r="E3160" s="1"/>
      <c r="F3160" s="1"/>
      <c r="G3160" s="1" t="s">
        <v>8</v>
      </c>
      <c r="H3160" s="2">
        <v>525</v>
      </c>
      <c r="I3160" s="1" t="s">
        <v>9610</v>
      </c>
      <c r="J3160" s="1" t="s">
        <v>9611</v>
      </c>
      <c r="K3160" s="1" t="s">
        <v>128</v>
      </c>
      <c r="L3160" s="1" t="s">
        <v>9612</v>
      </c>
      <c r="M3160" s="6" t="str">
        <f>_xlfn.CONCAT(Table1[[#This Row],[Billing Street]], ", ", Table1[[#This Row],[Billing City]], ", ", Table1[[#This Row],[Billing State/Province]], ", ", Table1[[#This Row],[Billing Zip/Postal Code]])</f>
        <v>1410 Northstar Dr, Zumbrota, MN, 55992</v>
      </c>
    </row>
    <row r="3161" spans="1:13" ht="15.6" hidden="1" x14ac:dyDescent="0.3">
      <c r="A3161" s="1" t="s">
        <v>9613</v>
      </c>
      <c r="B3161" s="1"/>
      <c r="C3161" s="1"/>
      <c r="D3161" s="1"/>
      <c r="E3161" s="1"/>
      <c r="F3161" s="1"/>
      <c r="G3161" s="1" t="s">
        <v>8</v>
      </c>
      <c r="H3161" s="2">
        <v>683</v>
      </c>
      <c r="I3161" s="1" t="s">
        <v>9614</v>
      </c>
      <c r="J3161" s="1" t="s">
        <v>9615</v>
      </c>
      <c r="K3161" s="1" t="s">
        <v>128</v>
      </c>
      <c r="L3161" s="1" t="s">
        <v>9616</v>
      </c>
      <c r="M3161" s="6" t="str">
        <f>_xlfn.CONCAT(Table1[[#This Row],[Billing Street]], ", ", Table1[[#This Row],[Billing City]], ", ", Table1[[#This Row],[Billing State/Province]], ", ", Table1[[#This Row],[Billing Zip/Postal Code]])</f>
        <v>16930 County 6, Park Rapids, MN, 56470</v>
      </c>
    </row>
    <row r="3162" spans="1:13" ht="15.6" hidden="1" x14ac:dyDescent="0.3">
      <c r="A3162" s="1" t="s">
        <v>9617</v>
      </c>
      <c r="B3162" s="1"/>
      <c r="C3162" s="1"/>
      <c r="D3162" s="1"/>
      <c r="E3162" s="1"/>
      <c r="F3162" s="1"/>
      <c r="G3162" s="1" t="s">
        <v>8</v>
      </c>
      <c r="H3162" s="2">
        <v>566</v>
      </c>
      <c r="I3162" s="1" t="s">
        <v>9618</v>
      </c>
      <c r="J3162" s="1" t="s">
        <v>9619</v>
      </c>
      <c r="K3162" s="1" t="s">
        <v>128</v>
      </c>
      <c r="L3162" s="1" t="s">
        <v>9620</v>
      </c>
      <c r="M3162" s="6" t="str">
        <f>_xlfn.CONCAT(Table1[[#This Row],[Billing Street]], ", ", Table1[[#This Row],[Billing City]], ", ", Table1[[#This Row],[Billing State/Province]], ", ", Table1[[#This Row],[Billing Zip/Postal Code]])</f>
        <v>8605 47th St NE, Spicer, MN, 56288</v>
      </c>
    </row>
    <row r="3163" spans="1:13" ht="15.6" hidden="1" x14ac:dyDescent="0.3">
      <c r="A3163" s="1" t="s">
        <v>9621</v>
      </c>
      <c r="B3163" s="1"/>
      <c r="C3163" s="1"/>
      <c r="D3163" s="1"/>
      <c r="E3163" s="1"/>
      <c r="F3163" s="1"/>
      <c r="G3163" s="1" t="s">
        <v>8</v>
      </c>
      <c r="H3163" s="2">
        <v>488</v>
      </c>
      <c r="I3163" s="1" t="s">
        <v>9622</v>
      </c>
      <c r="J3163" s="1" t="s">
        <v>6088</v>
      </c>
      <c r="K3163" s="1" t="s">
        <v>229</v>
      </c>
      <c r="L3163" s="1" t="s">
        <v>9623</v>
      </c>
      <c r="M3163" s="6" t="str">
        <f>_xlfn.CONCAT(Table1[[#This Row],[Billing Street]], ", ", Table1[[#This Row],[Billing City]], ", ", Table1[[#This Row],[Billing State/Province]], ", ", Table1[[#This Row],[Billing Zip/Postal Code]])</f>
        <v>116 W Center St, Madison, SD, 57042</v>
      </c>
    </row>
    <row r="3164" spans="1:13" ht="15.6" hidden="1" x14ac:dyDescent="0.3">
      <c r="A3164" s="1" t="s">
        <v>9624</v>
      </c>
      <c r="B3164" s="1"/>
      <c r="C3164" s="1"/>
      <c r="D3164" s="1"/>
      <c r="E3164" s="1"/>
      <c r="F3164" s="1"/>
      <c r="G3164" s="1" t="s">
        <v>8</v>
      </c>
      <c r="H3164" s="2">
        <v>810</v>
      </c>
      <c r="I3164" s="1" t="s">
        <v>9625</v>
      </c>
      <c r="J3164" s="1" t="s">
        <v>9626</v>
      </c>
      <c r="K3164" s="1" t="s">
        <v>128</v>
      </c>
      <c r="L3164" s="1" t="s">
        <v>9627</v>
      </c>
      <c r="M3164" s="6" t="str">
        <f>_xlfn.CONCAT(Table1[[#This Row],[Billing Street]], ", ", Table1[[#This Row],[Billing City]], ", ", Table1[[#This Row],[Billing State/Province]], ", ", Table1[[#This Row],[Billing Zip/Postal Code]])</f>
        <v>441 State Hwy 172 NW, Baudette, MN, 56623</v>
      </c>
    </row>
    <row r="3165" spans="1:13" ht="15.6" hidden="1" x14ac:dyDescent="0.3">
      <c r="A3165" s="1" t="s">
        <v>9628</v>
      </c>
      <c r="B3165" s="1"/>
      <c r="C3165" s="1"/>
      <c r="D3165" s="1"/>
      <c r="E3165" s="1"/>
      <c r="F3165" s="1"/>
      <c r="G3165" s="1" t="s">
        <v>8</v>
      </c>
      <c r="H3165" s="2">
        <v>486</v>
      </c>
      <c r="I3165" s="1" t="s">
        <v>9629</v>
      </c>
      <c r="J3165" s="1" t="s">
        <v>8878</v>
      </c>
      <c r="K3165" s="1" t="s">
        <v>229</v>
      </c>
      <c r="L3165" s="1" t="s">
        <v>6596</v>
      </c>
      <c r="M3165" s="6" t="str">
        <f>_xlfn.CONCAT(Table1[[#This Row],[Billing Street]], ", ", Table1[[#This Row],[Billing City]], ", ", Table1[[#This Row],[Billing State/Province]], ", ", Table1[[#This Row],[Billing Zip/Postal Code]])</f>
        <v>Jet Hwys 77 &amp; 34, Coleman, SD, 57017</v>
      </c>
    </row>
    <row r="3166" spans="1:13" ht="15.6" hidden="1" x14ac:dyDescent="0.3">
      <c r="A3166" s="1" t="s">
        <v>9630</v>
      </c>
      <c r="B3166" s="1"/>
      <c r="C3166" s="1"/>
      <c r="D3166" s="1"/>
      <c r="E3166" s="1"/>
      <c r="F3166" s="1"/>
      <c r="G3166" s="1" t="s">
        <v>8</v>
      </c>
      <c r="H3166" s="2">
        <v>543</v>
      </c>
      <c r="I3166" s="1" t="s">
        <v>9631</v>
      </c>
      <c r="J3166" s="1" t="s">
        <v>6100</v>
      </c>
      <c r="K3166" s="1" t="s">
        <v>51</v>
      </c>
      <c r="L3166" s="1" t="s">
        <v>9632</v>
      </c>
      <c r="M3166" s="6" t="str">
        <f>_xlfn.CONCAT(Table1[[#This Row],[Billing Street]], ", ", Table1[[#This Row],[Billing City]], ", ", Table1[[#This Row],[Billing State/Province]], ", ", Table1[[#This Row],[Billing Zip/Postal Code]])</f>
        <v>1 Valero Way, San Antonio, TX, 78249</v>
      </c>
    </row>
    <row r="3167" spans="1:13" ht="15.6" hidden="1" x14ac:dyDescent="0.3">
      <c r="A3167" s="1" t="s">
        <v>9633</v>
      </c>
      <c r="B3167" s="1"/>
      <c r="C3167" s="1"/>
      <c r="D3167" s="1"/>
      <c r="E3167" s="1"/>
      <c r="F3167" s="1"/>
      <c r="G3167" s="1" t="s">
        <v>8</v>
      </c>
      <c r="H3167" s="2">
        <v>594</v>
      </c>
      <c r="I3167" s="1" t="s">
        <v>9634</v>
      </c>
      <c r="J3167" s="1" t="s">
        <v>9635</v>
      </c>
      <c r="K3167" s="1" t="s">
        <v>229</v>
      </c>
      <c r="L3167" s="1" t="s">
        <v>9636</v>
      </c>
      <c r="M3167" s="6" t="str">
        <f>_xlfn.CONCAT(Table1[[#This Row],[Billing Street]], ", ", Table1[[#This Row],[Billing City]], ", ", Table1[[#This Row],[Billing State/Province]], ", ", Table1[[#This Row],[Billing Zip/Postal Code]])</f>
        <v>1200 W 4th Ave, Wall, SD, 57790</v>
      </c>
    </row>
    <row r="3168" spans="1:13" ht="15.6" hidden="1" x14ac:dyDescent="0.3">
      <c r="A3168" s="1" t="s">
        <v>9637</v>
      </c>
      <c r="B3168" s="1"/>
      <c r="C3168" s="1"/>
      <c r="D3168" s="1"/>
      <c r="E3168" s="1"/>
      <c r="F3168" s="1"/>
      <c r="G3168" s="1" t="s">
        <v>8</v>
      </c>
      <c r="H3168" s="2">
        <v>338</v>
      </c>
      <c r="I3168" s="1" t="s">
        <v>9638</v>
      </c>
      <c r="J3168" s="1" t="s">
        <v>5273</v>
      </c>
      <c r="K3168" s="1" t="s">
        <v>51</v>
      </c>
      <c r="L3168" s="1" t="s">
        <v>9639</v>
      </c>
      <c r="M3168" s="6" t="str">
        <f>_xlfn.CONCAT(Table1[[#This Row],[Billing Street]], ", ", Table1[[#This Row],[Billing City]], ", ", Table1[[#This Row],[Billing State/Province]], ", ", Table1[[#This Row],[Billing Zip/Postal Code]])</f>
        <v>3900 W Loop 571, Henderson, TX, 75652</v>
      </c>
    </row>
    <row r="3169" spans="1:13" ht="15.6" hidden="1" x14ac:dyDescent="0.3">
      <c r="A3169" s="1" t="s">
        <v>9640</v>
      </c>
      <c r="B3169" s="1"/>
      <c r="C3169" s="1"/>
      <c r="D3169" s="1"/>
      <c r="E3169" s="1"/>
      <c r="F3169" s="1"/>
      <c r="G3169" s="1" t="s">
        <v>8</v>
      </c>
      <c r="H3169" s="2">
        <v>6528</v>
      </c>
      <c r="I3169" s="1" t="s">
        <v>13</v>
      </c>
      <c r="J3169" s="1" t="s">
        <v>9641</v>
      </c>
      <c r="K3169" s="1" t="s">
        <v>147</v>
      </c>
      <c r="L3169" s="1" t="s">
        <v>13</v>
      </c>
      <c r="M3169" s="6" t="str">
        <f>_xlfn.CONCAT(Table1[[#This Row],[Billing Street]], ", ", Table1[[#This Row],[Billing City]], ", ", Table1[[#This Row],[Billing State/Province]], ", ", Table1[[#This Row],[Billing Zip/Postal Code]])</f>
        <v xml:space="preserve">, Granfield, OK, </v>
      </c>
    </row>
    <row r="3170" spans="1:13" ht="15.6" hidden="1" x14ac:dyDescent="0.3">
      <c r="A3170" s="1" t="s">
        <v>9642</v>
      </c>
      <c r="B3170" s="1"/>
      <c r="C3170" s="1"/>
      <c r="D3170" s="1"/>
      <c r="E3170" s="1"/>
      <c r="F3170" s="1"/>
      <c r="G3170" s="1" t="s">
        <v>8</v>
      </c>
      <c r="H3170" s="2">
        <v>339</v>
      </c>
      <c r="I3170" s="1" t="s">
        <v>9643</v>
      </c>
      <c r="J3170" s="1" t="s">
        <v>5273</v>
      </c>
      <c r="K3170" s="1" t="s">
        <v>51</v>
      </c>
      <c r="L3170" s="1" t="s">
        <v>9639</v>
      </c>
      <c r="M3170" s="6" t="str">
        <f>_xlfn.CONCAT(Table1[[#This Row],[Billing Street]], ", ", Table1[[#This Row],[Billing City]], ", ", Table1[[#This Row],[Billing State/Province]], ", ", Table1[[#This Row],[Billing Zip/Postal Code]])</f>
        <v>700 Kilgore Dr, Henderson, TX, 75652</v>
      </c>
    </row>
    <row r="3171" spans="1:13" ht="15.6" hidden="1" x14ac:dyDescent="0.3">
      <c r="A3171" s="1" t="s">
        <v>9644</v>
      </c>
      <c r="B3171" s="1"/>
      <c r="C3171" s="1"/>
      <c r="D3171" s="1"/>
      <c r="E3171" s="1"/>
      <c r="F3171" s="1"/>
      <c r="G3171" s="1" t="s">
        <v>8</v>
      </c>
      <c r="H3171" s="2">
        <v>376</v>
      </c>
      <c r="I3171" s="1" t="s">
        <v>9645</v>
      </c>
      <c r="J3171" s="1" t="s">
        <v>4342</v>
      </c>
      <c r="K3171" s="1" t="s">
        <v>51</v>
      </c>
      <c r="L3171" s="1" t="s">
        <v>9646</v>
      </c>
      <c r="M3171" s="6" t="str">
        <f>_xlfn.CONCAT(Table1[[#This Row],[Billing Street]], ", ", Table1[[#This Row],[Billing City]], ", ", Table1[[#This Row],[Billing State/Province]], ", ", Table1[[#This Row],[Billing Zip/Postal Code]])</f>
        <v>2905 Westward Dr, Nacogdoches, TX, 75963</v>
      </c>
    </row>
    <row r="3172" spans="1:13" ht="15.6" hidden="1" x14ac:dyDescent="0.3">
      <c r="A3172" s="1" t="s">
        <v>9647</v>
      </c>
      <c r="B3172" s="1"/>
      <c r="C3172" s="1"/>
      <c r="D3172" s="1"/>
      <c r="E3172" s="1"/>
      <c r="F3172" s="1"/>
      <c r="G3172" s="1" t="s">
        <v>13</v>
      </c>
      <c r="H3172" s="2">
        <v>0</v>
      </c>
      <c r="I3172" s="1" t="s">
        <v>13</v>
      </c>
      <c r="J3172" s="1" t="s">
        <v>13</v>
      </c>
      <c r="K3172" s="1" t="s">
        <v>13</v>
      </c>
      <c r="L3172" s="1" t="s">
        <v>13</v>
      </c>
      <c r="M3172" s="6" t="str">
        <f>_xlfn.CONCAT(Table1[[#This Row],[Billing Street]], ", ", Table1[[#This Row],[Billing City]], ", ", Table1[[#This Row],[Billing State/Province]], ", ", Table1[[#This Row],[Billing Zip/Postal Code]])</f>
        <v xml:space="preserve">, , , </v>
      </c>
    </row>
    <row r="3173" spans="1:13" ht="15.6" hidden="1" x14ac:dyDescent="0.3">
      <c r="A3173" s="1" t="s">
        <v>9648</v>
      </c>
      <c r="B3173" s="1"/>
      <c r="C3173" s="1"/>
      <c r="D3173" s="1"/>
      <c r="E3173" s="1"/>
      <c r="F3173" s="1"/>
      <c r="G3173" s="1" t="s">
        <v>43</v>
      </c>
      <c r="H3173" s="2">
        <v>358</v>
      </c>
      <c r="I3173" s="1" t="s">
        <v>9649</v>
      </c>
      <c r="J3173" s="1" t="s">
        <v>9650</v>
      </c>
      <c r="K3173" s="1" t="s">
        <v>720</v>
      </c>
      <c r="L3173" s="1" t="s">
        <v>9651</v>
      </c>
      <c r="M3173" s="6" t="str">
        <f>_xlfn.CONCAT(Table1[[#This Row],[Billing Street]], ", ", Table1[[#This Row],[Billing City]], ", ", Table1[[#This Row],[Billing State/Province]], ", ", Table1[[#This Row],[Billing Zip/Postal Code]])</f>
        <v>3539 N. Mill Rd., Vineland, NJ, 8360</v>
      </c>
    </row>
    <row r="3174" spans="1:13" ht="15.6" hidden="1" x14ac:dyDescent="0.3">
      <c r="A3174" s="1" t="s">
        <v>9652</v>
      </c>
      <c r="B3174" s="1"/>
      <c r="C3174" s="1"/>
      <c r="D3174" s="1"/>
      <c r="E3174" s="1"/>
      <c r="F3174" s="1"/>
      <c r="G3174" s="1" t="s">
        <v>43</v>
      </c>
      <c r="H3174" s="2">
        <v>127</v>
      </c>
      <c r="I3174" s="1" t="s">
        <v>9653</v>
      </c>
      <c r="J3174" s="1" t="s">
        <v>5824</v>
      </c>
      <c r="K3174" s="1" t="s">
        <v>82</v>
      </c>
      <c r="L3174" s="1" t="s">
        <v>9654</v>
      </c>
      <c r="M3174" s="6" t="str">
        <f>_xlfn.CONCAT(Table1[[#This Row],[Billing Street]], ", ", Table1[[#This Row],[Billing City]], ", ", Table1[[#This Row],[Billing State/Province]], ", ", Table1[[#This Row],[Billing Zip/Postal Code]])</f>
        <v>620 S. Platt Road, Milan, MI, 48160</v>
      </c>
    </row>
    <row r="3175" spans="1:13" ht="15.6" x14ac:dyDescent="0.3">
      <c r="A3175" s="1" t="s">
        <v>9655</v>
      </c>
      <c r="B3175" s="1"/>
      <c r="C3175" s="1"/>
      <c r="D3175" s="1"/>
      <c r="E3175" s="1"/>
      <c r="F3175" s="1"/>
      <c r="G3175" s="1" t="s">
        <v>24</v>
      </c>
      <c r="H3175" s="2">
        <v>45</v>
      </c>
      <c r="I3175" s="1" t="s">
        <v>9656</v>
      </c>
      <c r="J3175" s="1" t="s">
        <v>1699</v>
      </c>
      <c r="K3175" s="1" t="s">
        <v>36</v>
      </c>
      <c r="L3175" s="1" t="s">
        <v>3365</v>
      </c>
      <c r="M3175" s="6" t="str">
        <f>_xlfn.CONCAT(Table1[[#This Row],[Billing Street]], ", ", Table1[[#This Row],[Billing City]], ", ", Table1[[#This Row],[Billing State/Province]], ", ", Table1[[#This Row],[Billing Zip/Postal Code]])</f>
        <v>2601 Fortune Av, Panama City, FL, 32405</v>
      </c>
    </row>
    <row r="3176" spans="1:13" ht="15.6" hidden="1" x14ac:dyDescent="0.3">
      <c r="A3176" s="1" t="s">
        <v>9657</v>
      </c>
      <c r="B3176" s="1"/>
      <c r="C3176" s="1"/>
      <c r="D3176" s="1"/>
      <c r="E3176" s="1"/>
      <c r="F3176" s="1"/>
      <c r="G3176" s="1" t="s">
        <v>13</v>
      </c>
      <c r="H3176" s="2">
        <v>0</v>
      </c>
      <c r="I3176" s="1" t="s">
        <v>13</v>
      </c>
      <c r="J3176" s="1" t="s">
        <v>13</v>
      </c>
      <c r="K3176" s="1" t="s">
        <v>13</v>
      </c>
      <c r="L3176" s="1" t="s">
        <v>13</v>
      </c>
      <c r="M3176" s="6" t="str">
        <f>_xlfn.CONCAT(Table1[[#This Row],[Billing Street]], ", ", Table1[[#This Row],[Billing City]], ", ", Table1[[#This Row],[Billing State/Province]], ", ", Table1[[#This Row],[Billing Zip/Postal Code]])</f>
        <v xml:space="preserve">, , , </v>
      </c>
    </row>
    <row r="3177" spans="1:13" ht="15.6" x14ac:dyDescent="0.3">
      <c r="A3177" s="1" t="s">
        <v>9658</v>
      </c>
      <c r="B3177" s="1"/>
      <c r="C3177" s="1"/>
      <c r="D3177" s="1"/>
      <c r="E3177" s="1"/>
      <c r="F3177" s="1"/>
      <c r="G3177" s="1" t="s">
        <v>24</v>
      </c>
      <c r="H3177" s="2">
        <v>255</v>
      </c>
      <c r="I3177" s="1" t="s">
        <v>9659</v>
      </c>
      <c r="J3177" s="1" t="s">
        <v>9660</v>
      </c>
      <c r="K3177" s="1" t="s">
        <v>31</v>
      </c>
      <c r="L3177" s="1" t="s">
        <v>9661</v>
      </c>
      <c r="M3177" s="6" t="str">
        <f>_xlfn.CONCAT(Table1[[#This Row],[Billing Street]], ", ", Table1[[#This Row],[Billing City]], ", ", Table1[[#This Row],[Billing State/Province]], ", ", Table1[[#This Row],[Billing Zip/Postal Code]])</f>
        <v>Hwy 475 @ 100 Hudspeth Drive, Whitfield, MS, 39193</v>
      </c>
    </row>
    <row r="3178" spans="1:13" ht="15.6" x14ac:dyDescent="0.3">
      <c r="A3178" s="1" t="s">
        <v>9662</v>
      </c>
      <c r="B3178" s="1"/>
      <c r="C3178" s="1"/>
      <c r="D3178" s="1"/>
      <c r="E3178" s="1"/>
      <c r="F3178" s="1"/>
      <c r="G3178" s="1" t="s">
        <v>24</v>
      </c>
      <c r="H3178" s="2">
        <v>197</v>
      </c>
      <c r="I3178" s="1" t="s">
        <v>9663</v>
      </c>
      <c r="J3178" s="1" t="s">
        <v>372</v>
      </c>
      <c r="K3178" s="1" t="s">
        <v>26</v>
      </c>
      <c r="L3178" s="1" t="s">
        <v>7309</v>
      </c>
      <c r="M3178" s="6" t="str">
        <f>_xlfn.CONCAT(Table1[[#This Row],[Billing Street]], ", ", Table1[[#This Row],[Billing City]], ", ", Table1[[#This Row],[Billing State/Province]], ", ", Table1[[#This Row],[Billing Zip/Postal Code]])</f>
        <v>2230 2nd Avenue South, Birmingham, AL, 35233</v>
      </c>
    </row>
    <row r="3179" spans="1:13" ht="15.6" x14ac:dyDescent="0.3">
      <c r="A3179" s="1" t="s">
        <v>9664</v>
      </c>
      <c r="B3179" s="1"/>
      <c r="C3179" s="1"/>
      <c r="D3179" s="1"/>
      <c r="E3179" s="1"/>
      <c r="F3179" s="1"/>
      <c r="G3179" s="1" t="s">
        <v>24</v>
      </c>
      <c r="H3179" s="2">
        <v>74</v>
      </c>
      <c r="I3179" s="1" t="s">
        <v>9665</v>
      </c>
      <c r="J3179" s="1" t="s">
        <v>4137</v>
      </c>
      <c r="K3179" s="1" t="s">
        <v>36</v>
      </c>
      <c r="L3179" s="1" t="s">
        <v>4138</v>
      </c>
      <c r="M3179" s="6" t="str">
        <f>_xlfn.CONCAT(Table1[[#This Row],[Billing Street]], ", ", Table1[[#This Row],[Billing City]], ", ", Table1[[#This Row],[Billing State/Province]], ", ", Table1[[#This Row],[Billing Zip/Postal Code]])</f>
        <v>1903 W Kingsfield Rd, Cantonment, FL, 32533</v>
      </c>
    </row>
    <row r="3180" spans="1:13" ht="15.6" hidden="1" x14ac:dyDescent="0.3">
      <c r="A3180" s="1" t="s">
        <v>9666</v>
      </c>
      <c r="B3180" s="1"/>
      <c r="C3180" s="1"/>
      <c r="D3180" s="1"/>
      <c r="E3180" s="1"/>
      <c r="F3180" s="1"/>
      <c r="G3180" s="1" t="s">
        <v>13</v>
      </c>
      <c r="H3180" s="2">
        <v>0</v>
      </c>
      <c r="I3180" s="1" t="s">
        <v>13</v>
      </c>
      <c r="J3180" s="1" t="s">
        <v>13</v>
      </c>
      <c r="K3180" s="1" t="s">
        <v>13</v>
      </c>
      <c r="L3180" s="1" t="s">
        <v>13</v>
      </c>
      <c r="M3180" s="6" t="str">
        <f>_xlfn.CONCAT(Table1[[#This Row],[Billing Street]], ", ", Table1[[#This Row],[Billing City]], ", ", Table1[[#This Row],[Billing State/Province]], ", ", Table1[[#This Row],[Billing Zip/Postal Code]])</f>
        <v xml:space="preserve">, , , </v>
      </c>
    </row>
    <row r="3181" spans="1:13" ht="15.6" hidden="1" x14ac:dyDescent="0.3">
      <c r="A3181" s="1" t="s">
        <v>9667</v>
      </c>
      <c r="B3181" s="1"/>
      <c r="C3181" s="1"/>
      <c r="D3181" s="1"/>
      <c r="E3181" s="1"/>
      <c r="F3181" s="1"/>
      <c r="G3181" s="1" t="s">
        <v>43</v>
      </c>
      <c r="H3181" s="2">
        <v>5776</v>
      </c>
      <c r="I3181" s="1" t="s">
        <v>9668</v>
      </c>
      <c r="J3181" s="1" t="s">
        <v>9669</v>
      </c>
      <c r="K3181" s="1" t="s">
        <v>781</v>
      </c>
      <c r="L3181" s="1" t="s">
        <v>9670</v>
      </c>
      <c r="M3181" s="6" t="str">
        <f>_xlfn.CONCAT(Table1[[#This Row],[Billing Street]], ", ", Table1[[#This Row],[Billing City]], ", ", Table1[[#This Row],[Billing State/Province]], ", ", Table1[[#This Row],[Billing Zip/Postal Code]])</f>
        <v>20 Commerce Drive, Aston, pa, 19014</v>
      </c>
    </row>
    <row r="3182" spans="1:13" ht="15.6" hidden="1" x14ac:dyDescent="0.3">
      <c r="A3182" s="1" t="s">
        <v>9671</v>
      </c>
      <c r="B3182" s="1"/>
      <c r="C3182" s="1"/>
      <c r="D3182" s="1"/>
      <c r="E3182" s="1"/>
      <c r="F3182" s="1"/>
      <c r="G3182" s="1" t="s">
        <v>13</v>
      </c>
      <c r="H3182" s="2">
        <v>0</v>
      </c>
      <c r="I3182" s="1" t="s">
        <v>13</v>
      </c>
      <c r="J3182" s="1" t="s">
        <v>13</v>
      </c>
      <c r="K3182" s="1" t="s">
        <v>13</v>
      </c>
      <c r="L3182" s="1" t="s">
        <v>13</v>
      </c>
      <c r="M3182" s="6" t="str">
        <f>_xlfn.CONCAT(Table1[[#This Row],[Billing Street]], ", ", Table1[[#This Row],[Billing City]], ", ", Table1[[#This Row],[Billing State/Province]], ", ", Table1[[#This Row],[Billing Zip/Postal Code]])</f>
        <v xml:space="preserve">, , , </v>
      </c>
    </row>
    <row r="3183" spans="1:13" ht="15.6" x14ac:dyDescent="0.3">
      <c r="A3183" s="1" t="s">
        <v>9672</v>
      </c>
      <c r="B3183" s="1"/>
      <c r="C3183" s="1"/>
      <c r="D3183" s="1"/>
      <c r="E3183" s="1"/>
      <c r="F3183" s="1"/>
      <c r="G3183" s="1" t="s">
        <v>24</v>
      </c>
      <c r="H3183" s="2">
        <v>5988</v>
      </c>
      <c r="I3183" s="1" t="s">
        <v>9673</v>
      </c>
      <c r="J3183" s="1" t="s">
        <v>9417</v>
      </c>
      <c r="K3183" s="1" t="s">
        <v>26</v>
      </c>
      <c r="L3183" s="1" t="s">
        <v>9674</v>
      </c>
      <c r="M3183" s="6" t="str">
        <f>_xlfn.CONCAT(Table1[[#This Row],[Billing Street]], ", ", Table1[[#This Row],[Billing City]], ", ", Table1[[#This Row],[Billing State/Province]], ", ", Table1[[#This Row],[Billing Zip/Postal Code]])</f>
        <v>1176 Jordan Rd, Huntsville, AL, 35811</v>
      </c>
    </row>
    <row r="3184" spans="1:13" ht="15.6" hidden="1" x14ac:dyDescent="0.3">
      <c r="A3184" s="1" t="s">
        <v>9675</v>
      </c>
      <c r="B3184" s="1"/>
      <c r="C3184" s="1"/>
      <c r="D3184" s="1"/>
      <c r="E3184" s="1"/>
      <c r="F3184" s="1"/>
      <c r="G3184" s="1" t="s">
        <v>43</v>
      </c>
      <c r="H3184" s="2">
        <v>3</v>
      </c>
      <c r="I3184" s="1" t="s">
        <v>9676</v>
      </c>
      <c r="J3184" s="1" t="s">
        <v>9677</v>
      </c>
      <c r="K3184" s="1" t="s">
        <v>45</v>
      </c>
      <c r="L3184" s="1" t="s">
        <v>9678</v>
      </c>
      <c r="M3184" s="6" t="str">
        <f>_xlfn.CONCAT(Table1[[#This Row],[Billing Street]], ", ", Table1[[#This Row],[Billing City]], ", ", Table1[[#This Row],[Billing State/Province]], ", ", Table1[[#This Row],[Billing Zip/Postal Code]])</f>
        <v>26185 Broadway Avenue, Oakwood Village, OH, 44146</v>
      </c>
    </row>
    <row r="3185" spans="1:13" ht="15.6" hidden="1" x14ac:dyDescent="0.3">
      <c r="A3185" s="1" t="s">
        <v>9679</v>
      </c>
      <c r="B3185" s="1"/>
      <c r="C3185" s="1"/>
      <c r="D3185" s="1"/>
      <c r="E3185" s="1"/>
      <c r="F3185" s="1"/>
      <c r="G3185" s="1" t="s">
        <v>13</v>
      </c>
      <c r="H3185" s="2">
        <v>0</v>
      </c>
      <c r="I3185" s="1" t="s">
        <v>13</v>
      </c>
      <c r="J3185" s="1" t="s">
        <v>13</v>
      </c>
      <c r="K3185" s="1" t="s">
        <v>13</v>
      </c>
      <c r="L3185" s="1" t="s">
        <v>13</v>
      </c>
      <c r="M3185" s="6" t="str">
        <f>_xlfn.CONCAT(Table1[[#This Row],[Billing Street]], ", ", Table1[[#This Row],[Billing City]], ", ", Table1[[#This Row],[Billing State/Province]], ", ", Table1[[#This Row],[Billing Zip/Postal Code]])</f>
        <v xml:space="preserve">, , , </v>
      </c>
    </row>
    <row r="3186" spans="1:13" ht="15.6" hidden="1" x14ac:dyDescent="0.3">
      <c r="A3186" s="1" t="s">
        <v>9680</v>
      </c>
      <c r="B3186" s="1"/>
      <c r="C3186" s="1"/>
      <c r="D3186" s="1"/>
      <c r="E3186" s="1"/>
      <c r="F3186" s="1"/>
      <c r="G3186" s="1" t="s">
        <v>13</v>
      </c>
      <c r="H3186" s="2">
        <v>0</v>
      </c>
      <c r="I3186" s="1" t="s">
        <v>9681</v>
      </c>
      <c r="J3186" s="1" t="s">
        <v>9682</v>
      </c>
      <c r="K3186" s="1" t="s">
        <v>13</v>
      </c>
      <c r="L3186" s="1" t="s">
        <v>9683</v>
      </c>
      <c r="M3186" s="6" t="str">
        <f>_xlfn.CONCAT(Table1[[#This Row],[Billing Street]], ", ", Table1[[#This Row],[Billing City]], ", ", Table1[[#This Row],[Billing State/Province]], ", ", Table1[[#This Row],[Billing Zip/Postal Code]])</f>
        <v>4571 STATE STREET, Montclair, , 91763</v>
      </c>
    </row>
    <row r="3187" spans="1:13" ht="15.6" hidden="1" x14ac:dyDescent="0.3">
      <c r="A3187" s="1" t="s">
        <v>9684</v>
      </c>
      <c r="B3187" s="1"/>
      <c r="C3187" s="1"/>
      <c r="D3187" s="1"/>
      <c r="E3187" s="1"/>
      <c r="F3187" s="1"/>
      <c r="G3187" s="1" t="s">
        <v>43</v>
      </c>
      <c r="H3187" s="2">
        <v>171</v>
      </c>
      <c r="I3187" s="1" t="s">
        <v>9685</v>
      </c>
      <c r="J3187" s="1" t="s">
        <v>3372</v>
      </c>
      <c r="K3187" s="1" t="s">
        <v>275</v>
      </c>
      <c r="L3187" s="1" t="s">
        <v>9686</v>
      </c>
      <c r="M3187" s="6" t="str">
        <f>_xlfn.CONCAT(Table1[[#This Row],[Billing Street]], ", ", Table1[[#This Row],[Billing City]], ", ", Table1[[#This Row],[Billing State/Province]], ", ", Table1[[#This Row],[Billing Zip/Postal Code]])</f>
        <v>321 Ellicott St, Buffalo, ny, 14203</v>
      </c>
    </row>
    <row r="3188" spans="1:13" ht="15.6" hidden="1" x14ac:dyDescent="0.3">
      <c r="A3188" s="1" t="s">
        <v>9687</v>
      </c>
      <c r="B3188" s="1"/>
      <c r="C3188" s="1"/>
      <c r="D3188" s="1"/>
      <c r="E3188" s="1"/>
      <c r="F3188" s="1"/>
      <c r="G3188" s="1" t="s">
        <v>43</v>
      </c>
      <c r="H3188" s="2">
        <v>4</v>
      </c>
      <c r="I3188" s="1" t="s">
        <v>9688</v>
      </c>
      <c r="J3188" s="1" t="s">
        <v>9689</v>
      </c>
      <c r="K3188" s="1" t="s">
        <v>45</v>
      </c>
      <c r="L3188" s="1" t="s">
        <v>9690</v>
      </c>
      <c r="M3188" s="6" t="str">
        <f>_xlfn.CONCAT(Table1[[#This Row],[Billing Street]], ", ", Table1[[#This Row],[Billing City]], ", ", Table1[[#This Row],[Billing State/Province]], ", ", Table1[[#This Row],[Billing Zip/Postal Code]])</f>
        <v>29495 F. A. Lennon Drive, Solon, OH, 44139</v>
      </c>
    </row>
    <row r="3189" spans="1:13" ht="15.6" x14ac:dyDescent="0.3">
      <c r="A3189" s="1" t="s">
        <v>9691</v>
      </c>
      <c r="B3189" s="1"/>
      <c r="C3189" s="1"/>
      <c r="D3189" s="1"/>
      <c r="E3189" s="1"/>
      <c r="F3189" s="1"/>
      <c r="G3189" s="1" t="s">
        <v>24</v>
      </c>
      <c r="H3189" s="2">
        <v>115</v>
      </c>
      <c r="I3189" s="1" t="s">
        <v>9692</v>
      </c>
      <c r="J3189" s="1" t="s">
        <v>25</v>
      </c>
      <c r="K3189" s="1" t="s">
        <v>26</v>
      </c>
      <c r="L3189" s="1" t="s">
        <v>27</v>
      </c>
      <c r="M3189" s="6" t="str">
        <f>_xlfn.CONCAT(Table1[[#This Row],[Billing Street]], ", ", Table1[[#This Row],[Billing City]], ", ", Table1[[#This Row],[Billing State/Province]], ", ", Table1[[#This Row],[Billing Zip/Postal Code]])</f>
        <v>1316 Adams Ave Al 36104, Montgomery, AL, 36104</v>
      </c>
    </row>
    <row r="3190" spans="1:13" ht="15.6" hidden="1" x14ac:dyDescent="0.3">
      <c r="A3190" s="1" t="s">
        <v>555</v>
      </c>
      <c r="B3190" s="1"/>
      <c r="C3190" s="1"/>
      <c r="D3190" s="1"/>
      <c r="E3190" s="1"/>
      <c r="F3190" s="1"/>
      <c r="G3190" s="1" t="s">
        <v>43</v>
      </c>
      <c r="H3190" s="2">
        <v>120</v>
      </c>
      <c r="I3190" s="1" t="s">
        <v>9693</v>
      </c>
      <c r="J3190" s="1" t="s">
        <v>2642</v>
      </c>
      <c r="K3190" s="1" t="s">
        <v>82</v>
      </c>
      <c r="L3190" s="1" t="s">
        <v>7296</v>
      </c>
      <c r="M3190" s="6" t="str">
        <f>_xlfn.CONCAT(Table1[[#This Row],[Billing Street]], ", ", Table1[[#This Row],[Billing City]], ", ", Table1[[#This Row],[Billing State/Province]], ", ", Table1[[#This Row],[Billing Zip/Postal Code]])</f>
        <v>1975 Technology Drive, Building J, Suite B, Troy, MI, 48083</v>
      </c>
    </row>
    <row r="3191" spans="1:13" ht="15.6" x14ac:dyDescent="0.3">
      <c r="A3191" s="1" t="s">
        <v>9694</v>
      </c>
      <c r="B3191" s="1"/>
      <c r="C3191" s="1"/>
      <c r="D3191" s="1"/>
      <c r="E3191" s="1"/>
      <c r="F3191" s="1"/>
      <c r="G3191" s="1" t="s">
        <v>24</v>
      </c>
      <c r="H3191" s="2">
        <v>71</v>
      </c>
      <c r="I3191" s="1" t="s">
        <v>9695</v>
      </c>
      <c r="J3191" s="1" t="s">
        <v>715</v>
      </c>
      <c r="K3191" s="1" t="s">
        <v>36</v>
      </c>
      <c r="L3191" s="1" t="s">
        <v>716</v>
      </c>
      <c r="M3191" s="6" t="str">
        <f>_xlfn.CONCAT(Table1[[#This Row],[Billing Street]], ", ", Table1[[#This Row],[Billing City]], ", ", Table1[[#This Row],[Billing State/Province]], ", ", Table1[[#This Row],[Billing Zip/Postal Code]])</f>
        <v>300 South Myrick Street, Pensacola, FL, 32505</v>
      </c>
    </row>
    <row r="3192" spans="1:13" ht="15.6" hidden="1" x14ac:dyDescent="0.3">
      <c r="A3192" s="1" t="s">
        <v>9696</v>
      </c>
      <c r="B3192" s="1"/>
      <c r="C3192" s="1"/>
      <c r="D3192" s="1"/>
      <c r="E3192" s="1"/>
      <c r="F3192" s="1"/>
      <c r="G3192" s="1" t="s">
        <v>13</v>
      </c>
      <c r="H3192" s="2">
        <v>0</v>
      </c>
      <c r="I3192" s="1" t="s">
        <v>9697</v>
      </c>
      <c r="J3192" s="1" t="s">
        <v>1831</v>
      </c>
      <c r="K3192" s="1" t="s">
        <v>13</v>
      </c>
      <c r="L3192" s="1" t="s">
        <v>13</v>
      </c>
      <c r="M3192" s="6" t="str">
        <f>_xlfn.CONCAT(Table1[[#This Row],[Billing Street]], ", ", Table1[[#This Row],[Billing City]], ", ", Table1[[#This Row],[Billing State/Province]], ", ", Table1[[#This Row],[Billing Zip/Postal Code]])</f>
        <v xml:space="preserve">101 W 2nd Street, Laurel, , </v>
      </c>
    </row>
    <row r="3193" spans="1:13" ht="15.6" hidden="1" x14ac:dyDescent="0.3">
      <c r="A3193" s="1" t="s">
        <v>9698</v>
      </c>
      <c r="B3193" s="1"/>
      <c r="C3193" s="1"/>
      <c r="D3193" s="1"/>
      <c r="E3193" s="1"/>
      <c r="F3193" s="1"/>
      <c r="G3193" s="1" t="s">
        <v>43</v>
      </c>
      <c r="H3193" s="2">
        <v>282</v>
      </c>
      <c r="I3193" s="1" t="s">
        <v>9699</v>
      </c>
      <c r="J3193" s="1" t="s">
        <v>9700</v>
      </c>
      <c r="K3193" s="1" t="s">
        <v>1832</v>
      </c>
      <c r="L3193" s="1" t="s">
        <v>9701</v>
      </c>
      <c r="M3193" s="6" t="str">
        <f>_xlfn.CONCAT(Table1[[#This Row],[Billing Street]], ", ", Table1[[#This Row],[Billing City]], ", ", Table1[[#This Row],[Billing State/Province]], ", ", Table1[[#This Row],[Billing Zip/Postal Code]])</f>
        <v>2603 N Rolling Rd Suiter 310, Winsor Mill, Md, 21244</v>
      </c>
    </row>
    <row r="3194" spans="1:13" ht="15.6" hidden="1" x14ac:dyDescent="0.3">
      <c r="A3194" s="1" t="s">
        <v>9702</v>
      </c>
      <c r="B3194" s="1"/>
      <c r="C3194" s="1"/>
      <c r="D3194" s="1"/>
      <c r="E3194" s="1"/>
      <c r="F3194" s="1"/>
      <c r="G3194" s="1" t="s">
        <v>13</v>
      </c>
      <c r="H3194" s="2">
        <v>0</v>
      </c>
      <c r="I3194" s="1" t="s">
        <v>13</v>
      </c>
      <c r="J3194" s="1" t="s">
        <v>13</v>
      </c>
      <c r="K3194" s="1" t="s">
        <v>13</v>
      </c>
      <c r="L3194" s="1" t="s">
        <v>13</v>
      </c>
      <c r="M3194" s="6" t="str">
        <f>_xlfn.CONCAT(Table1[[#This Row],[Billing Street]], ", ", Table1[[#This Row],[Billing City]], ", ", Table1[[#This Row],[Billing State/Province]], ", ", Table1[[#This Row],[Billing Zip/Postal Code]])</f>
        <v xml:space="preserve">, , , </v>
      </c>
    </row>
    <row r="3195" spans="1:13" ht="15.6" hidden="1" x14ac:dyDescent="0.3">
      <c r="A3195" s="1" t="s">
        <v>9703</v>
      </c>
      <c r="B3195" s="1"/>
      <c r="C3195" s="1"/>
      <c r="D3195" s="1"/>
      <c r="E3195" s="1"/>
      <c r="F3195" s="1"/>
      <c r="G3195" s="1" t="s">
        <v>43</v>
      </c>
      <c r="H3195" s="2">
        <v>5776</v>
      </c>
      <c r="I3195" s="1" t="s">
        <v>9704</v>
      </c>
      <c r="J3195" s="1" t="s">
        <v>780</v>
      </c>
      <c r="K3195" s="1" t="s">
        <v>781</v>
      </c>
      <c r="L3195" s="1" t="s">
        <v>9705</v>
      </c>
      <c r="M3195" s="6" t="str">
        <f>_xlfn.CONCAT(Table1[[#This Row],[Billing Street]], ", ", Table1[[#This Row],[Billing City]], ", ", Table1[[#This Row],[Billing State/Province]], ", ", Table1[[#This Row],[Billing Zip/Postal Code]])</f>
        <v>4747 S. Broad st Bldg 101 Suite 201, Philadelphia, pa, 19112</v>
      </c>
    </row>
    <row r="3196" spans="1:13" ht="15.6" hidden="1" x14ac:dyDescent="0.3">
      <c r="A3196" s="1" t="s">
        <v>9706</v>
      </c>
      <c r="B3196" s="1"/>
      <c r="C3196" s="1"/>
      <c r="D3196" s="1"/>
      <c r="E3196" s="1"/>
      <c r="F3196" s="1"/>
      <c r="G3196" s="1" t="s">
        <v>13</v>
      </c>
      <c r="H3196" s="2">
        <v>0</v>
      </c>
      <c r="I3196" s="1" t="s">
        <v>13</v>
      </c>
      <c r="J3196" s="1" t="s">
        <v>13</v>
      </c>
      <c r="K3196" s="1" t="s">
        <v>13</v>
      </c>
      <c r="L3196" s="1" t="s">
        <v>13</v>
      </c>
      <c r="M3196" s="6" t="str">
        <f>_xlfn.CONCAT(Table1[[#This Row],[Billing Street]], ", ", Table1[[#This Row],[Billing City]], ", ", Table1[[#This Row],[Billing State/Province]], ", ", Table1[[#This Row],[Billing Zip/Postal Code]])</f>
        <v xml:space="preserve">, , , </v>
      </c>
    </row>
    <row r="3197" spans="1:13" ht="15.6" hidden="1" x14ac:dyDescent="0.3">
      <c r="A3197" s="1" t="s">
        <v>9707</v>
      </c>
      <c r="B3197" s="1"/>
      <c r="C3197" s="1"/>
      <c r="D3197" s="1"/>
      <c r="E3197" s="1"/>
      <c r="F3197" s="1"/>
      <c r="G3197" s="1" t="s">
        <v>43</v>
      </c>
      <c r="H3197" s="2">
        <v>86</v>
      </c>
      <c r="I3197" s="1" t="s">
        <v>9708</v>
      </c>
      <c r="J3197" s="1" t="s">
        <v>9709</v>
      </c>
      <c r="K3197" s="1" t="s">
        <v>241</v>
      </c>
      <c r="L3197" s="1" t="s">
        <v>9710</v>
      </c>
      <c r="M3197" s="6" t="str">
        <f>_xlfn.CONCAT(Table1[[#This Row],[Billing Street]], ", ", Table1[[#This Row],[Billing City]], ", ", Table1[[#This Row],[Billing State/Province]], ", ", Table1[[#This Row],[Billing Zip/Postal Code]])</f>
        <v>120 Hutchman Road, Mars, PA, 16046</v>
      </c>
    </row>
    <row r="3198" spans="1:13" ht="15.6" hidden="1" x14ac:dyDescent="0.3">
      <c r="A3198" s="1" t="s">
        <v>9711</v>
      </c>
      <c r="B3198" s="1"/>
      <c r="C3198" s="1"/>
      <c r="D3198" s="1"/>
      <c r="E3198" s="1"/>
      <c r="F3198" s="1"/>
      <c r="G3198" s="1" t="s">
        <v>43</v>
      </c>
      <c r="H3198" s="2">
        <v>140</v>
      </c>
      <c r="I3198" s="1" t="s">
        <v>9712</v>
      </c>
      <c r="J3198" s="1" t="s">
        <v>9713</v>
      </c>
      <c r="K3198" s="1" t="s">
        <v>1170</v>
      </c>
      <c r="L3198" s="1" t="s">
        <v>9714</v>
      </c>
      <c r="M3198" s="6" t="str">
        <f>_xlfn.CONCAT(Table1[[#This Row],[Billing Street]], ", ", Table1[[#This Row],[Billing City]], ", ", Table1[[#This Row],[Billing State/Province]], ", ", Table1[[#This Row],[Billing Zip/Postal Code]])</f>
        <v>975 Rawley Lane   PO Box 6570, Morgantown, WV, 26506</v>
      </c>
    </row>
    <row r="3199" spans="1:13" ht="15.6" hidden="1" x14ac:dyDescent="0.3">
      <c r="A3199" s="1" t="s">
        <v>9715</v>
      </c>
      <c r="B3199" s="1"/>
      <c r="C3199" s="1"/>
      <c r="D3199" s="1"/>
      <c r="E3199" s="1"/>
      <c r="F3199" s="1"/>
      <c r="G3199" s="1" t="s">
        <v>13</v>
      </c>
      <c r="H3199" s="2">
        <v>0</v>
      </c>
      <c r="I3199" s="1" t="s">
        <v>13</v>
      </c>
      <c r="J3199" s="1" t="s">
        <v>13</v>
      </c>
      <c r="K3199" s="1" t="s">
        <v>13</v>
      </c>
      <c r="L3199" s="1" t="s">
        <v>13</v>
      </c>
      <c r="M3199" s="6" t="str">
        <f>_xlfn.CONCAT(Table1[[#This Row],[Billing Street]], ", ", Table1[[#This Row],[Billing City]], ", ", Table1[[#This Row],[Billing State/Province]], ", ", Table1[[#This Row],[Billing Zip/Postal Code]])</f>
        <v xml:space="preserve">, , , </v>
      </c>
    </row>
    <row r="3200" spans="1:13" ht="15.6" hidden="1" x14ac:dyDescent="0.3">
      <c r="A3200" s="1" t="s">
        <v>9716</v>
      </c>
      <c r="B3200" s="1"/>
      <c r="C3200" s="1"/>
      <c r="D3200" s="1"/>
      <c r="E3200" s="1"/>
      <c r="F3200" s="1"/>
      <c r="G3200" s="1" t="s">
        <v>43</v>
      </c>
      <c r="H3200" s="2">
        <v>397</v>
      </c>
      <c r="I3200" s="1" t="s">
        <v>9717</v>
      </c>
      <c r="J3200" s="1" t="s">
        <v>9718</v>
      </c>
      <c r="K3200" s="1" t="s">
        <v>133</v>
      </c>
      <c r="L3200" s="1" t="s">
        <v>9719</v>
      </c>
      <c r="M3200" s="6" t="str">
        <f>_xlfn.CONCAT(Table1[[#This Row],[Billing Street]], ", ", Table1[[#This Row],[Billing City]], ", ", Table1[[#This Row],[Billing State/Province]], ", ", Table1[[#This Row],[Billing Zip/Postal Code]])</f>
        <v>830 Prosper Street, De Pere, WI, 54115</v>
      </c>
    </row>
    <row r="3201" spans="1:13" ht="15.6" x14ac:dyDescent="0.3">
      <c r="A3201" s="1" t="s">
        <v>9720</v>
      </c>
      <c r="B3201" s="1"/>
      <c r="C3201" s="1"/>
      <c r="D3201" s="1"/>
      <c r="E3201" s="1"/>
      <c r="F3201" s="1"/>
      <c r="G3201" s="1" t="s">
        <v>24</v>
      </c>
      <c r="H3201" s="2">
        <v>273</v>
      </c>
      <c r="I3201" s="1" t="s">
        <v>9721</v>
      </c>
      <c r="J3201" s="1" t="s">
        <v>1668</v>
      </c>
      <c r="K3201" s="1" t="s">
        <v>36</v>
      </c>
      <c r="L3201" s="1" t="s">
        <v>9722</v>
      </c>
      <c r="M3201" s="6" t="str">
        <f>_xlfn.CONCAT(Table1[[#This Row],[Billing Street]], ", ", Table1[[#This Row],[Billing City]], ", ", Table1[[#This Row],[Billing State/Province]], ", ", Table1[[#This Row],[Billing Zip/Postal Code]])</f>
        <v>9640 Sunbeam Center Dr. Suite 101, Jacksonville, FL, 32257</v>
      </c>
    </row>
    <row r="3202" spans="1:13" ht="15.6" hidden="1" x14ac:dyDescent="0.3">
      <c r="A3202" s="1" t="s">
        <v>9723</v>
      </c>
      <c r="B3202" s="1"/>
      <c r="C3202" s="1"/>
      <c r="D3202" s="1"/>
      <c r="E3202" s="1"/>
      <c r="F3202" s="1"/>
      <c r="G3202" s="1" t="s">
        <v>43</v>
      </c>
      <c r="H3202" s="2">
        <v>192</v>
      </c>
      <c r="I3202" s="1" t="s">
        <v>9724</v>
      </c>
      <c r="J3202" s="1" t="s">
        <v>9725</v>
      </c>
      <c r="K3202" s="1" t="s">
        <v>82</v>
      </c>
      <c r="L3202" s="1" t="s">
        <v>9726</v>
      </c>
      <c r="M3202" s="6" t="str">
        <f>_xlfn.CONCAT(Table1[[#This Row],[Billing Street]], ", ", Table1[[#This Row],[Billing City]], ", ", Table1[[#This Row],[Billing State/Province]], ", ", Table1[[#This Row],[Billing Zip/Postal Code]])</f>
        <v>PO Box 490, Potterville, MI, 48876</v>
      </c>
    </row>
    <row r="3203" spans="1:13" ht="15.6" hidden="1" x14ac:dyDescent="0.3">
      <c r="A3203" s="1" t="s">
        <v>9727</v>
      </c>
      <c r="B3203" s="1"/>
      <c r="C3203" s="1"/>
      <c r="D3203" s="1"/>
      <c r="E3203" s="1"/>
      <c r="F3203" s="1"/>
      <c r="G3203" s="1" t="s">
        <v>13</v>
      </c>
      <c r="H3203" s="2">
        <v>0</v>
      </c>
      <c r="I3203" s="1" t="s">
        <v>13</v>
      </c>
      <c r="J3203" s="1" t="s">
        <v>13</v>
      </c>
      <c r="K3203" s="1" t="s">
        <v>13</v>
      </c>
      <c r="L3203" s="1" t="s">
        <v>13</v>
      </c>
      <c r="M3203" s="6" t="str">
        <f>_xlfn.CONCAT(Table1[[#This Row],[Billing Street]], ", ", Table1[[#This Row],[Billing City]], ", ", Table1[[#This Row],[Billing State/Province]], ", ", Table1[[#This Row],[Billing Zip/Postal Code]])</f>
        <v xml:space="preserve">, , , </v>
      </c>
    </row>
    <row r="3204" spans="1:13" ht="15.6" hidden="1" x14ac:dyDescent="0.3">
      <c r="A3204" s="1" t="s">
        <v>9728</v>
      </c>
      <c r="B3204" s="1"/>
      <c r="C3204" s="1"/>
      <c r="D3204" s="1"/>
      <c r="E3204" s="1"/>
      <c r="F3204" s="1"/>
      <c r="G3204" s="1" t="s">
        <v>43</v>
      </c>
      <c r="H3204" s="2">
        <v>191</v>
      </c>
      <c r="I3204" s="1" t="s">
        <v>9729</v>
      </c>
      <c r="J3204" s="1" t="s">
        <v>9725</v>
      </c>
      <c r="K3204" s="1" t="s">
        <v>82</v>
      </c>
      <c r="L3204" s="1" t="s">
        <v>9726</v>
      </c>
      <c r="M3204" s="6" t="str">
        <f>_xlfn.CONCAT(Table1[[#This Row],[Billing Street]], ", ", Table1[[#This Row],[Billing City]], ", ", Table1[[#This Row],[Billing State/Province]], ", ", Table1[[#This Row],[Billing Zip/Postal Code]])</f>
        <v>420 N. High Street, Potterville, MI, 48876</v>
      </c>
    </row>
    <row r="3205" spans="1:13" ht="15.6" hidden="1" x14ac:dyDescent="0.3">
      <c r="A3205" s="1" t="s">
        <v>9730</v>
      </c>
      <c r="B3205" s="1"/>
      <c r="C3205" s="1"/>
      <c r="D3205" s="1"/>
      <c r="E3205" s="1"/>
      <c r="F3205" s="1"/>
      <c r="G3205" s="1" t="s">
        <v>8</v>
      </c>
      <c r="H3205" s="2">
        <v>156</v>
      </c>
      <c r="I3205" s="1" t="s">
        <v>9731</v>
      </c>
      <c r="J3205" s="1" t="s">
        <v>896</v>
      </c>
      <c r="K3205" s="1" t="s">
        <v>554</v>
      </c>
      <c r="L3205" s="1" t="s">
        <v>9732</v>
      </c>
      <c r="M3205" s="6" t="str">
        <f>_xlfn.CONCAT(Table1[[#This Row],[Billing Street]], ", ", Table1[[#This Row],[Billing City]], ", ", Table1[[#This Row],[Billing State/Province]], ", ", Table1[[#This Row],[Billing Zip/Postal Code]])</f>
        <v>3201 Fairfax Trafficway, Kansas City, KS, 66115</v>
      </c>
    </row>
    <row r="3206" spans="1:13" ht="15.6" hidden="1" x14ac:dyDescent="0.3">
      <c r="A3206" s="1" t="s">
        <v>9733</v>
      </c>
      <c r="B3206" s="1"/>
      <c r="C3206" s="1"/>
      <c r="D3206" s="1"/>
      <c r="E3206" s="1"/>
      <c r="F3206" s="1"/>
      <c r="G3206" s="1" t="s">
        <v>8</v>
      </c>
      <c r="H3206" s="2">
        <v>149</v>
      </c>
      <c r="I3206" s="1" t="s">
        <v>9734</v>
      </c>
      <c r="J3206" s="1" t="s">
        <v>896</v>
      </c>
      <c r="K3206" s="1" t="s">
        <v>554</v>
      </c>
      <c r="L3206" s="1" t="s">
        <v>9735</v>
      </c>
      <c r="M3206" s="6" t="str">
        <f>_xlfn.CONCAT(Table1[[#This Row],[Billing Street]], ", ", Table1[[#This Row],[Billing City]], ", ", Table1[[#This Row],[Billing State/Province]], ", ", Table1[[#This Row],[Billing Zip/Postal Code]])</f>
        <v>400 Speedway Blvd, Kansas City, KS, 66111</v>
      </c>
    </row>
    <row r="3207" spans="1:13" ht="15.6" hidden="1" x14ac:dyDescent="0.3">
      <c r="A3207" s="1" t="s">
        <v>9736</v>
      </c>
      <c r="B3207" s="1"/>
      <c r="C3207" s="1"/>
      <c r="D3207" s="1"/>
      <c r="E3207" s="1"/>
      <c r="F3207" s="1"/>
      <c r="G3207" s="1" t="s">
        <v>8</v>
      </c>
      <c r="H3207" s="2">
        <v>243</v>
      </c>
      <c r="I3207" s="1" t="s">
        <v>9737</v>
      </c>
      <c r="J3207" s="1" t="s">
        <v>7078</v>
      </c>
      <c r="K3207" s="1" t="s">
        <v>165</v>
      </c>
      <c r="L3207" s="1" t="s">
        <v>9154</v>
      </c>
      <c r="M3207" s="6" t="str">
        <f>_xlfn.CONCAT(Table1[[#This Row],[Billing Street]], ", ", Table1[[#This Row],[Billing City]], ", ", Table1[[#This Row],[Billing State/Province]], ", ", Table1[[#This Row],[Billing Zip/Postal Code]])</f>
        <v>4701 Alcoa Rd, Benton, AR, 72015</v>
      </c>
    </row>
    <row r="3208" spans="1:13" ht="15.6" x14ac:dyDescent="0.3">
      <c r="A3208" s="1" t="s">
        <v>9738</v>
      </c>
      <c r="B3208" s="1"/>
      <c r="C3208" s="1"/>
      <c r="D3208" s="1"/>
      <c r="E3208" s="1"/>
      <c r="F3208" s="1"/>
      <c r="G3208" s="1" t="s">
        <v>24</v>
      </c>
      <c r="H3208" s="2">
        <v>289</v>
      </c>
      <c r="I3208" s="1" t="s">
        <v>9739</v>
      </c>
      <c r="J3208" s="1" t="s">
        <v>4870</v>
      </c>
      <c r="K3208" s="1" t="s">
        <v>577</v>
      </c>
      <c r="L3208" s="1" t="s">
        <v>9740</v>
      </c>
      <c r="M3208" s="6" t="str">
        <f>_xlfn.CONCAT(Table1[[#This Row],[Billing Street]], ", ", Table1[[#This Row],[Billing City]], ", ", Table1[[#This Row],[Billing State/Province]], ", ", Table1[[#This Row],[Billing Zip/Postal Code]])</f>
        <v>2941 S. Ruby Street, Gonzales, LA, 70737</v>
      </c>
    </row>
    <row r="3209" spans="1:13" ht="15.6" hidden="1" x14ac:dyDescent="0.3">
      <c r="A3209" s="1" t="s">
        <v>9741</v>
      </c>
      <c r="B3209" s="1"/>
      <c r="C3209" s="1"/>
      <c r="D3209" s="1"/>
      <c r="E3209" s="1"/>
      <c r="F3209" s="1"/>
      <c r="G3209" s="1" t="s">
        <v>13</v>
      </c>
      <c r="H3209" s="2">
        <v>0</v>
      </c>
      <c r="I3209" s="1" t="s">
        <v>13</v>
      </c>
      <c r="J3209" s="1" t="s">
        <v>13</v>
      </c>
      <c r="K3209" s="1" t="s">
        <v>13</v>
      </c>
      <c r="L3209" s="1" t="s">
        <v>13</v>
      </c>
      <c r="M3209" s="6" t="str">
        <f>_xlfn.CONCAT(Table1[[#This Row],[Billing Street]], ", ", Table1[[#This Row],[Billing City]], ", ", Table1[[#This Row],[Billing State/Province]], ", ", Table1[[#This Row],[Billing Zip/Postal Code]])</f>
        <v xml:space="preserve">, , , </v>
      </c>
    </row>
    <row r="3210" spans="1:13" ht="15.6" hidden="1" x14ac:dyDescent="0.3">
      <c r="A3210" s="1" t="s">
        <v>9742</v>
      </c>
      <c r="B3210" s="1"/>
      <c r="C3210" s="1"/>
      <c r="D3210" s="1"/>
      <c r="E3210" s="1"/>
      <c r="F3210" s="1"/>
      <c r="G3210" s="1" t="s">
        <v>8</v>
      </c>
      <c r="H3210" s="2">
        <v>161</v>
      </c>
      <c r="I3210" s="1" t="s">
        <v>9743</v>
      </c>
      <c r="J3210" s="1" t="s">
        <v>9744</v>
      </c>
      <c r="K3210" s="1" t="s">
        <v>11</v>
      </c>
      <c r="L3210" s="1" t="s">
        <v>9745</v>
      </c>
      <c r="M3210" s="6" t="str">
        <f>_xlfn.CONCAT(Table1[[#This Row],[Billing Street]], ", ", Table1[[#This Row],[Billing City]], ", ", Table1[[#This Row],[Billing State/Province]], ", ", Table1[[#This Row],[Billing Zip/Postal Code]])</f>
        <v>8121 US 69, Claycomo, MO, 64119</v>
      </c>
    </row>
    <row r="3211" spans="1:13" ht="15.6" hidden="1" x14ac:dyDescent="0.3">
      <c r="A3211" s="1" t="s">
        <v>9746</v>
      </c>
      <c r="B3211" s="1"/>
      <c r="C3211" s="1"/>
      <c r="D3211" s="1"/>
      <c r="E3211" s="1"/>
      <c r="F3211" s="1"/>
      <c r="G3211" s="1" t="s">
        <v>8</v>
      </c>
      <c r="H3211" s="2">
        <v>150</v>
      </c>
      <c r="I3211" s="1" t="s">
        <v>9747</v>
      </c>
      <c r="J3211" s="1" t="s">
        <v>896</v>
      </c>
      <c r="K3211" s="1" t="s">
        <v>554</v>
      </c>
      <c r="L3211" s="1" t="s">
        <v>9735</v>
      </c>
      <c r="M3211" s="6" t="str">
        <f>_xlfn.CONCAT(Table1[[#This Row],[Billing Street]], ", ", Table1[[#This Row],[Billing City]], ", ", Table1[[#This Row],[Billing State/Province]], ", ", Table1[[#This Row],[Billing Zip/Postal Code]])</f>
        <v>777 Hollywood Casino, Kansas City, KS, 66111</v>
      </c>
    </row>
    <row r="3212" spans="1:13" ht="15.6" hidden="1" x14ac:dyDescent="0.3">
      <c r="A3212" s="1" t="s">
        <v>9748</v>
      </c>
      <c r="B3212" s="1"/>
      <c r="C3212" s="1"/>
      <c r="D3212" s="1"/>
      <c r="E3212" s="1"/>
      <c r="F3212" s="1"/>
      <c r="G3212" s="1" t="s">
        <v>8</v>
      </c>
      <c r="H3212" s="2">
        <v>152</v>
      </c>
      <c r="I3212" s="1" t="s">
        <v>9749</v>
      </c>
      <c r="J3212" s="1" t="s">
        <v>896</v>
      </c>
      <c r="K3212" s="1" t="s">
        <v>11</v>
      </c>
      <c r="L3212" s="1" t="s">
        <v>9750</v>
      </c>
      <c r="M3212" s="6" t="str">
        <f>_xlfn.CONCAT(Table1[[#This Row],[Billing Street]], ", ", Table1[[#This Row],[Billing City]], ", ", Table1[[#This Row],[Billing State/Province]], ", ", Table1[[#This Row],[Billing Zip/Postal Code]])</f>
        <v>1 Royal Way, Kansas City, MO, 64129</v>
      </c>
    </row>
    <row r="3213" spans="1:13" ht="15.6" hidden="1" x14ac:dyDescent="0.3">
      <c r="A3213" s="1" t="s">
        <v>9751</v>
      </c>
      <c r="B3213" s="1"/>
      <c r="C3213" s="1"/>
      <c r="D3213" s="1"/>
      <c r="E3213" s="1"/>
      <c r="F3213" s="1"/>
      <c r="G3213" s="1" t="s">
        <v>8</v>
      </c>
      <c r="H3213" s="2">
        <v>139</v>
      </c>
      <c r="I3213" s="1" t="s">
        <v>9752</v>
      </c>
      <c r="J3213" s="1" t="s">
        <v>9753</v>
      </c>
      <c r="K3213" s="1" t="s">
        <v>554</v>
      </c>
      <c r="L3213" s="1" t="s">
        <v>9754</v>
      </c>
      <c r="M3213" s="6" t="str">
        <f>_xlfn.CONCAT(Table1[[#This Row],[Billing Street]], ", ", Table1[[#This Row],[Billing City]], ", ", Table1[[#This Row],[Billing State/Province]], ", ", Table1[[#This Row],[Billing Zip/Postal Code]])</f>
        <v>12300 Metcalf Ave, Overland Park, KS, 66213</v>
      </c>
    </row>
    <row r="3214" spans="1:13" ht="15.6" hidden="1" x14ac:dyDescent="0.3">
      <c r="A3214" s="1" t="s">
        <v>9755</v>
      </c>
      <c r="B3214" s="1"/>
      <c r="C3214" s="1"/>
      <c r="D3214" s="1"/>
      <c r="E3214" s="1"/>
      <c r="F3214" s="1"/>
      <c r="G3214" s="1" t="s">
        <v>43</v>
      </c>
      <c r="H3214" s="2">
        <v>5776</v>
      </c>
      <c r="I3214" s="1" t="s">
        <v>9756</v>
      </c>
      <c r="J3214" s="1" t="s">
        <v>9757</v>
      </c>
      <c r="K3214" s="1" t="s">
        <v>586</v>
      </c>
      <c r="L3214" s="1" t="s">
        <v>9758</v>
      </c>
      <c r="M3214" s="6" t="str">
        <f>_xlfn.CONCAT(Table1[[#This Row],[Billing Street]], ", ", Table1[[#This Row],[Billing City]], ", ", Table1[[#This Row],[Billing State/Province]], ", ", Table1[[#This Row],[Billing Zip/Postal Code]])</f>
        <v>748nHamilton Rd, Becket, ma, 1223</v>
      </c>
    </row>
    <row r="3215" spans="1:13" ht="15.6" hidden="1" x14ac:dyDescent="0.3">
      <c r="A3215" s="1" t="s">
        <v>9759</v>
      </c>
      <c r="B3215" s="1"/>
      <c r="C3215" s="1"/>
      <c r="D3215" s="1"/>
      <c r="E3215" s="1"/>
      <c r="F3215" s="1"/>
      <c r="G3215" s="1" t="s">
        <v>13</v>
      </c>
      <c r="H3215" s="2">
        <v>0</v>
      </c>
      <c r="I3215" s="1" t="s">
        <v>13</v>
      </c>
      <c r="J3215" s="1" t="s">
        <v>13</v>
      </c>
      <c r="K3215" s="1" t="s">
        <v>13</v>
      </c>
      <c r="L3215" s="1" t="s">
        <v>13</v>
      </c>
      <c r="M3215" s="6" t="str">
        <f>_xlfn.CONCAT(Table1[[#This Row],[Billing Street]], ", ", Table1[[#This Row],[Billing City]], ", ", Table1[[#This Row],[Billing State/Province]], ", ", Table1[[#This Row],[Billing Zip/Postal Code]])</f>
        <v xml:space="preserve">, , , </v>
      </c>
    </row>
    <row r="3216" spans="1:13" ht="15.6" hidden="1" x14ac:dyDescent="0.3">
      <c r="A3216" s="1" t="s">
        <v>9760</v>
      </c>
      <c r="B3216" s="1"/>
      <c r="C3216" s="1"/>
      <c r="D3216" s="1"/>
      <c r="E3216" s="1"/>
      <c r="F3216" s="1"/>
      <c r="G3216" s="1" t="s">
        <v>43</v>
      </c>
      <c r="H3216" s="2">
        <v>50</v>
      </c>
      <c r="I3216" s="1" t="s">
        <v>9761</v>
      </c>
      <c r="J3216" s="1" t="s">
        <v>9762</v>
      </c>
      <c r="K3216" s="1" t="s">
        <v>45</v>
      </c>
      <c r="L3216" s="1" t="s">
        <v>9763</v>
      </c>
      <c r="M3216" s="6" t="str">
        <f>_xlfn.CONCAT(Table1[[#This Row],[Billing Street]], ", ", Table1[[#This Row],[Billing City]], ", ", Table1[[#This Row],[Billing State/Province]], ", ", Table1[[#This Row],[Billing Zip/Postal Code]])</f>
        <v>8433 Hoy Road, Wooster, OH, 44627</v>
      </c>
    </row>
    <row r="3217" spans="1:13" ht="15.6" hidden="1" x14ac:dyDescent="0.3">
      <c r="A3217" s="1" t="s">
        <v>9764</v>
      </c>
      <c r="B3217" s="1"/>
      <c r="C3217" s="1"/>
      <c r="D3217" s="1"/>
      <c r="E3217" s="1"/>
      <c r="F3217" s="1"/>
      <c r="G3217" s="1" t="s">
        <v>13</v>
      </c>
      <c r="H3217" s="2">
        <v>0</v>
      </c>
      <c r="I3217" s="1" t="s">
        <v>13</v>
      </c>
      <c r="J3217" s="1" t="s">
        <v>9765</v>
      </c>
      <c r="K3217" s="1" t="s">
        <v>13</v>
      </c>
      <c r="L3217" s="1" t="s">
        <v>13</v>
      </c>
      <c r="M3217" s="6" t="str">
        <f>_xlfn.CONCAT(Table1[[#This Row],[Billing Street]], ", ", Table1[[#This Row],[Billing City]], ", ", Table1[[#This Row],[Billing State/Province]], ", ", Table1[[#This Row],[Billing Zip/Postal Code]])</f>
        <v xml:space="preserve">, Statesville, NC, , </v>
      </c>
    </row>
    <row r="3218" spans="1:13" ht="15.6" hidden="1" x14ac:dyDescent="0.3">
      <c r="A3218" s="1" t="s">
        <v>9766</v>
      </c>
      <c r="B3218" s="1"/>
      <c r="C3218" s="1"/>
      <c r="D3218" s="1"/>
      <c r="E3218" s="1"/>
      <c r="F3218" s="1"/>
      <c r="G3218" s="1" t="s">
        <v>13</v>
      </c>
      <c r="H3218" s="2">
        <v>0</v>
      </c>
      <c r="I3218" s="1" t="s">
        <v>9767</v>
      </c>
      <c r="J3218" s="1" t="s">
        <v>9768</v>
      </c>
      <c r="K3218" s="1" t="s">
        <v>13</v>
      </c>
      <c r="L3218" s="1" t="s">
        <v>9769</v>
      </c>
      <c r="M3218" s="6" t="str">
        <f>_xlfn.CONCAT(Table1[[#This Row],[Billing Street]], ", ", Table1[[#This Row],[Billing City]], ", ", Table1[[#This Row],[Billing State/Province]], ", ", Table1[[#This Row],[Billing Zip/Postal Code]])</f>
        <v>301 McCall St, Greer, , 29652</v>
      </c>
    </row>
    <row r="3219" spans="1:13" ht="15.6" hidden="1" x14ac:dyDescent="0.3">
      <c r="A3219" s="1" t="s">
        <v>9770</v>
      </c>
      <c r="B3219" s="1"/>
      <c r="C3219" s="1"/>
      <c r="D3219" s="1"/>
      <c r="E3219" s="1"/>
      <c r="F3219" s="1"/>
      <c r="G3219" s="1" t="s">
        <v>54</v>
      </c>
      <c r="H3219" s="2">
        <v>414</v>
      </c>
      <c r="I3219" s="1" t="s">
        <v>9771</v>
      </c>
      <c r="J3219" s="1" t="s">
        <v>9772</v>
      </c>
      <c r="K3219" s="1" t="s">
        <v>57</v>
      </c>
      <c r="L3219" s="1" t="s">
        <v>9773</v>
      </c>
      <c r="M3219" s="6" t="str">
        <f>_xlfn.CONCAT(Table1[[#This Row],[Billing Street]], ", ", Table1[[#This Row],[Billing City]], ", ", Table1[[#This Row],[Billing State/Province]], ", ", Table1[[#This Row],[Billing Zip/Postal Code]])</f>
        <v>685 Kentucky Street, Gridley, CA, 95948</v>
      </c>
    </row>
    <row r="3220" spans="1:13" ht="15.6" hidden="1" x14ac:dyDescent="0.3">
      <c r="A3220" s="1" t="s">
        <v>9774</v>
      </c>
      <c r="B3220" s="1"/>
      <c r="C3220" s="1"/>
      <c r="D3220" s="1"/>
      <c r="E3220" s="1"/>
      <c r="F3220" s="1"/>
      <c r="G3220" s="1" t="s">
        <v>13</v>
      </c>
      <c r="H3220" s="2">
        <v>0</v>
      </c>
      <c r="I3220" s="1" t="s">
        <v>13</v>
      </c>
      <c r="J3220" s="1" t="s">
        <v>13</v>
      </c>
      <c r="K3220" s="1" t="s">
        <v>13</v>
      </c>
      <c r="L3220" s="1" t="s">
        <v>13</v>
      </c>
      <c r="M3220" s="6" t="str">
        <f>_xlfn.CONCAT(Table1[[#This Row],[Billing Street]], ", ", Table1[[#This Row],[Billing City]], ", ", Table1[[#This Row],[Billing State/Province]], ", ", Table1[[#This Row],[Billing Zip/Postal Code]])</f>
        <v xml:space="preserve">, , , </v>
      </c>
    </row>
    <row r="3221" spans="1:13" ht="15.6" x14ac:dyDescent="0.3">
      <c r="A3221" s="1" t="s">
        <v>9775</v>
      </c>
      <c r="B3221" s="1"/>
      <c r="C3221" s="1"/>
      <c r="D3221" s="1"/>
      <c r="E3221" s="1"/>
      <c r="F3221" s="1"/>
      <c r="G3221" s="1" t="s">
        <v>24</v>
      </c>
      <c r="H3221" s="2">
        <v>77</v>
      </c>
      <c r="I3221" s="1" t="s">
        <v>9776</v>
      </c>
      <c r="J3221" s="1" t="s">
        <v>9245</v>
      </c>
      <c r="K3221" s="1" t="s">
        <v>26</v>
      </c>
      <c r="L3221" s="1" t="s">
        <v>9777</v>
      </c>
      <c r="M3221" s="6" t="str">
        <f>_xlfn.CONCAT(Table1[[#This Row],[Billing Street]], ", ", Table1[[#This Row],[Billing City]], ", ", Table1[[#This Row],[Billing State/Province]], ", ", Table1[[#This Row],[Billing Zip/Postal Code]])</f>
        <v>172 Industrial Park Dr, Abbeville, AL, 36310</v>
      </c>
    </row>
    <row r="3222" spans="1:13" ht="15.6" hidden="1" x14ac:dyDescent="0.3">
      <c r="A3222" s="1" t="s">
        <v>9778</v>
      </c>
      <c r="B3222" s="1"/>
      <c r="C3222" s="1"/>
      <c r="D3222" s="1"/>
      <c r="E3222" s="1"/>
      <c r="F3222" s="1"/>
      <c r="G3222" s="1" t="s">
        <v>98</v>
      </c>
      <c r="H3222" s="2">
        <v>233</v>
      </c>
      <c r="I3222" s="1" t="s">
        <v>9779</v>
      </c>
      <c r="J3222" s="1" t="s">
        <v>160</v>
      </c>
      <c r="K3222" s="1" t="s">
        <v>1178</v>
      </c>
      <c r="L3222" s="1" t="s">
        <v>9780</v>
      </c>
      <c r="M3222" s="6" t="str">
        <f>_xlfn.CONCAT(Table1[[#This Row],[Billing Street]], ", ", Table1[[#This Row],[Billing City]], ", ", Table1[[#This Row],[Billing State/Province]], ", ", Table1[[#This Row],[Billing Zip/Postal Code]])</f>
        <v>635 Alfred Brown Jr., Ct SW, Concord, NC, 28025</v>
      </c>
    </row>
    <row r="3223" spans="1:13" ht="15.6" hidden="1" x14ac:dyDescent="0.3">
      <c r="A3223" s="1" t="s">
        <v>9781</v>
      </c>
      <c r="B3223" s="1"/>
      <c r="C3223" s="1"/>
      <c r="D3223" s="1"/>
      <c r="E3223" s="1"/>
      <c r="F3223" s="1"/>
      <c r="G3223" s="1" t="s">
        <v>43</v>
      </c>
      <c r="H3223" s="2">
        <v>5776</v>
      </c>
      <c r="I3223" s="1" t="s">
        <v>13</v>
      </c>
      <c r="J3223" s="1" t="s">
        <v>123</v>
      </c>
      <c r="K3223" s="1" t="s">
        <v>241</v>
      </c>
      <c r="L3223" s="1" t="s">
        <v>13</v>
      </c>
      <c r="M3223" s="6" t="str">
        <f>_xlfn.CONCAT(Table1[[#This Row],[Billing Street]], ", ", Table1[[#This Row],[Billing City]], ", ", Table1[[#This Row],[Billing State/Province]], ", ", Table1[[#This Row],[Billing Zip/Postal Code]])</f>
        <v xml:space="preserve">, Pittsburg, PA, </v>
      </c>
    </row>
    <row r="3224" spans="1:13" ht="15.6" hidden="1" x14ac:dyDescent="0.3">
      <c r="A3224" s="1" t="s">
        <v>9782</v>
      </c>
      <c r="B3224" s="1"/>
      <c r="C3224" s="1"/>
      <c r="D3224" s="1"/>
      <c r="E3224" s="1"/>
      <c r="F3224" s="1"/>
      <c r="G3224" s="1" t="s">
        <v>13</v>
      </c>
      <c r="H3224" s="2">
        <v>0</v>
      </c>
      <c r="I3224" s="1" t="s">
        <v>13</v>
      </c>
      <c r="J3224" s="1" t="s">
        <v>13</v>
      </c>
      <c r="K3224" s="1" t="s">
        <v>13</v>
      </c>
      <c r="L3224" s="1" t="s">
        <v>13</v>
      </c>
      <c r="M3224" s="6" t="str">
        <f>_xlfn.CONCAT(Table1[[#This Row],[Billing Street]], ", ", Table1[[#This Row],[Billing City]], ", ", Table1[[#This Row],[Billing State/Province]], ", ", Table1[[#This Row],[Billing Zip/Postal Code]])</f>
        <v xml:space="preserve">, , , </v>
      </c>
    </row>
    <row r="3225" spans="1:13" ht="15.6" hidden="1" x14ac:dyDescent="0.3">
      <c r="A3225" s="1" t="s">
        <v>9783</v>
      </c>
      <c r="B3225" s="1"/>
      <c r="C3225" s="1"/>
      <c r="D3225" s="1"/>
      <c r="E3225" s="1"/>
      <c r="F3225" s="1"/>
      <c r="G3225" s="1" t="s">
        <v>13</v>
      </c>
      <c r="H3225" s="2">
        <v>0</v>
      </c>
      <c r="I3225" s="1" t="s">
        <v>13</v>
      </c>
      <c r="J3225" s="1" t="s">
        <v>13</v>
      </c>
      <c r="K3225" s="1" t="s">
        <v>13</v>
      </c>
      <c r="L3225" s="1" t="s">
        <v>13</v>
      </c>
      <c r="M3225" s="6" t="str">
        <f>_xlfn.CONCAT(Table1[[#This Row],[Billing Street]], ", ", Table1[[#This Row],[Billing City]], ", ", Table1[[#This Row],[Billing State/Province]], ", ", Table1[[#This Row],[Billing Zip/Postal Code]])</f>
        <v xml:space="preserve">, , , </v>
      </c>
    </row>
    <row r="3226" spans="1:13" ht="15.6" hidden="1" x14ac:dyDescent="0.3">
      <c r="A3226" s="1" t="s">
        <v>9784</v>
      </c>
      <c r="B3226" s="1"/>
      <c r="C3226" s="1"/>
      <c r="D3226" s="1"/>
      <c r="E3226" s="1"/>
      <c r="F3226" s="1"/>
      <c r="G3226" s="1" t="s">
        <v>13</v>
      </c>
      <c r="H3226" s="2">
        <v>0</v>
      </c>
      <c r="I3226" s="1" t="s">
        <v>13</v>
      </c>
      <c r="J3226" s="1" t="s">
        <v>13</v>
      </c>
      <c r="K3226" s="1" t="s">
        <v>13</v>
      </c>
      <c r="L3226" s="1" t="s">
        <v>13</v>
      </c>
      <c r="M3226" s="6" t="str">
        <f>_xlfn.CONCAT(Table1[[#This Row],[Billing Street]], ", ", Table1[[#This Row],[Billing City]], ", ", Table1[[#This Row],[Billing State/Province]], ", ", Table1[[#This Row],[Billing Zip/Postal Code]])</f>
        <v xml:space="preserve">, , , </v>
      </c>
    </row>
    <row r="3227" spans="1:13" ht="15.6" hidden="1" x14ac:dyDescent="0.3">
      <c r="A3227" s="1" t="s">
        <v>9785</v>
      </c>
      <c r="B3227" s="1"/>
      <c r="C3227" s="1"/>
      <c r="D3227" s="1"/>
      <c r="E3227" s="1"/>
      <c r="F3227" s="1"/>
      <c r="G3227" s="1" t="s">
        <v>13</v>
      </c>
      <c r="H3227" s="2">
        <v>0</v>
      </c>
      <c r="I3227" s="1" t="s">
        <v>13</v>
      </c>
      <c r="J3227" s="1" t="s">
        <v>13</v>
      </c>
      <c r="K3227" s="1" t="s">
        <v>13</v>
      </c>
      <c r="L3227" s="1" t="s">
        <v>13</v>
      </c>
      <c r="M3227" s="6" t="str">
        <f>_xlfn.CONCAT(Table1[[#This Row],[Billing Street]], ", ", Table1[[#This Row],[Billing City]], ", ", Table1[[#This Row],[Billing State/Province]], ", ", Table1[[#This Row],[Billing Zip/Postal Code]])</f>
        <v xml:space="preserve">, , , </v>
      </c>
    </row>
    <row r="3228" spans="1:13" ht="15.6" hidden="1" x14ac:dyDescent="0.3">
      <c r="A3228" s="1" t="s">
        <v>9786</v>
      </c>
      <c r="B3228" s="1"/>
      <c r="C3228" s="1"/>
      <c r="D3228" s="1"/>
      <c r="E3228" s="1"/>
      <c r="F3228" s="1"/>
      <c r="G3228" s="1" t="s">
        <v>13</v>
      </c>
      <c r="H3228" s="2">
        <v>0</v>
      </c>
      <c r="I3228" s="1" t="s">
        <v>13</v>
      </c>
      <c r="J3228" s="1" t="s">
        <v>5652</v>
      </c>
      <c r="K3228" s="1" t="s">
        <v>13</v>
      </c>
      <c r="L3228" s="1" t="s">
        <v>13</v>
      </c>
      <c r="M3228" s="6" t="str">
        <f>_xlfn.CONCAT(Table1[[#This Row],[Billing Street]], ", ", Table1[[#This Row],[Billing City]], ", ", Table1[[#This Row],[Billing State/Province]], ", ", Table1[[#This Row],[Billing Zip/Postal Code]])</f>
        <v xml:space="preserve">, Ocala, , </v>
      </c>
    </row>
    <row r="3229" spans="1:13" ht="15.6" hidden="1" x14ac:dyDescent="0.3">
      <c r="A3229" s="1" t="s">
        <v>9787</v>
      </c>
      <c r="B3229" s="1"/>
      <c r="C3229" s="1"/>
      <c r="D3229" s="1"/>
      <c r="E3229" s="1"/>
      <c r="F3229" s="1"/>
      <c r="G3229" s="1" t="s">
        <v>13</v>
      </c>
      <c r="H3229" s="2">
        <v>0</v>
      </c>
      <c r="I3229" s="1" t="s">
        <v>13</v>
      </c>
      <c r="J3229" s="1" t="s">
        <v>13</v>
      </c>
      <c r="K3229" s="1" t="s">
        <v>13</v>
      </c>
      <c r="L3229" s="1" t="s">
        <v>13</v>
      </c>
      <c r="M3229" s="6" t="str">
        <f>_xlfn.CONCAT(Table1[[#This Row],[Billing Street]], ", ", Table1[[#This Row],[Billing City]], ", ", Table1[[#This Row],[Billing State/Province]], ", ", Table1[[#This Row],[Billing Zip/Postal Code]])</f>
        <v xml:space="preserve">, , , </v>
      </c>
    </row>
    <row r="3230" spans="1:13" ht="15.6" hidden="1" x14ac:dyDescent="0.3">
      <c r="A3230" s="1" t="s">
        <v>9788</v>
      </c>
      <c r="B3230" s="1"/>
      <c r="C3230" s="1"/>
      <c r="D3230" s="1"/>
      <c r="E3230" s="1"/>
      <c r="F3230" s="1"/>
      <c r="G3230" s="1" t="s">
        <v>13</v>
      </c>
      <c r="H3230" s="2">
        <v>0</v>
      </c>
      <c r="I3230" s="1" t="s">
        <v>13</v>
      </c>
      <c r="J3230" s="1" t="s">
        <v>13</v>
      </c>
      <c r="K3230" s="1" t="s">
        <v>13</v>
      </c>
      <c r="L3230" s="1" t="s">
        <v>13</v>
      </c>
      <c r="M3230" s="6" t="str">
        <f>_xlfn.CONCAT(Table1[[#This Row],[Billing Street]], ", ", Table1[[#This Row],[Billing City]], ", ", Table1[[#This Row],[Billing State/Province]], ", ", Table1[[#This Row],[Billing Zip/Postal Code]])</f>
        <v xml:space="preserve">, , , </v>
      </c>
    </row>
    <row r="3231" spans="1:13" ht="15.6" hidden="1" x14ac:dyDescent="0.3">
      <c r="A3231" s="1" t="s">
        <v>9789</v>
      </c>
      <c r="B3231" s="1"/>
      <c r="C3231" s="1"/>
      <c r="D3231" s="1"/>
      <c r="E3231" s="1"/>
      <c r="F3231" s="1"/>
      <c r="G3231" s="1" t="s">
        <v>98</v>
      </c>
      <c r="H3231" s="2">
        <v>503</v>
      </c>
      <c r="I3231" s="1" t="s">
        <v>9790</v>
      </c>
      <c r="J3231" s="1" t="s">
        <v>9791</v>
      </c>
      <c r="K3231" s="1" t="s">
        <v>1178</v>
      </c>
      <c r="L3231" s="1" t="s">
        <v>9792</v>
      </c>
      <c r="M3231" s="6" t="str">
        <f>_xlfn.CONCAT(Table1[[#This Row],[Billing Street]], ", ", Table1[[#This Row],[Billing City]], ", ", Table1[[#This Row],[Billing State/Province]], ", ", Table1[[#This Row],[Billing Zip/Postal Code]])</f>
        <v>47109 Light Plant road, Buxton, NC, 27920</v>
      </c>
    </row>
    <row r="3232" spans="1:13" ht="15.6" hidden="1" x14ac:dyDescent="0.3">
      <c r="A3232" s="1" t="s">
        <v>9793</v>
      </c>
      <c r="B3232" s="1"/>
      <c r="C3232" s="1"/>
      <c r="D3232" s="1"/>
      <c r="E3232" s="1"/>
      <c r="F3232" s="1"/>
      <c r="G3232" s="1" t="s">
        <v>98</v>
      </c>
      <c r="H3232" s="2">
        <v>236</v>
      </c>
      <c r="I3232" s="1" t="s">
        <v>9794</v>
      </c>
      <c r="J3232" s="1" t="s">
        <v>9795</v>
      </c>
      <c r="K3232" s="1" t="s">
        <v>1178</v>
      </c>
      <c r="L3232" s="1" t="s">
        <v>9796</v>
      </c>
      <c r="M3232" s="6" t="str">
        <f>_xlfn.CONCAT(Table1[[#This Row],[Billing Street]], ", ", Table1[[#This Row],[Billing City]], ", ", Table1[[#This Row],[Billing State/Province]], ", ", Table1[[#This Row],[Billing Zip/Postal Code]])</f>
        <v>PO Box 8165, Landis, NC, 28088</v>
      </c>
    </row>
    <row r="3233" spans="1:13" ht="15.6" hidden="1" x14ac:dyDescent="0.3">
      <c r="A3233" s="1" t="s">
        <v>9797</v>
      </c>
      <c r="B3233" s="1"/>
      <c r="C3233" s="1"/>
      <c r="D3233" s="1"/>
      <c r="E3233" s="1"/>
      <c r="F3233" s="1"/>
      <c r="G3233" s="1" t="s">
        <v>13</v>
      </c>
      <c r="H3233" s="2">
        <v>0</v>
      </c>
      <c r="I3233" s="1" t="s">
        <v>13</v>
      </c>
      <c r="J3233" s="1" t="s">
        <v>13</v>
      </c>
      <c r="K3233" s="1" t="s">
        <v>13</v>
      </c>
      <c r="L3233" s="1" t="s">
        <v>13</v>
      </c>
      <c r="M3233" s="6" t="str">
        <f>_xlfn.CONCAT(Table1[[#This Row],[Billing Street]], ", ", Table1[[#This Row],[Billing City]], ", ", Table1[[#This Row],[Billing State/Province]], ", ", Table1[[#This Row],[Billing Zip/Postal Code]])</f>
        <v xml:space="preserve">, , , </v>
      </c>
    </row>
    <row r="3234" spans="1:13" ht="15.6" hidden="1" x14ac:dyDescent="0.3">
      <c r="A3234" s="1" t="s">
        <v>9798</v>
      </c>
      <c r="B3234" s="1"/>
      <c r="C3234" s="1"/>
      <c r="D3234" s="1"/>
      <c r="E3234" s="1"/>
      <c r="F3234" s="1"/>
      <c r="G3234" s="1" t="s">
        <v>98</v>
      </c>
      <c r="H3234" s="2">
        <v>5887</v>
      </c>
      <c r="I3234" s="1" t="s">
        <v>9799</v>
      </c>
      <c r="J3234" s="1" t="s">
        <v>2511</v>
      </c>
      <c r="K3234" s="1" t="s">
        <v>234</v>
      </c>
      <c r="L3234" s="1" t="s">
        <v>9800</v>
      </c>
      <c r="M3234" s="6" t="str">
        <f>_xlfn.CONCAT(Table1[[#This Row],[Billing Street]], ", ", Table1[[#This Row],[Billing City]], ", ", Table1[[#This Row],[Billing State/Province]], ", ", Table1[[#This Row],[Billing Zip/Postal Code]])</f>
        <v>1355 E McIver Rd, Darlington, SC, 29532</v>
      </c>
    </row>
    <row r="3235" spans="1:13" ht="15.6" hidden="1" x14ac:dyDescent="0.3">
      <c r="A3235" s="1" t="s">
        <v>9801</v>
      </c>
      <c r="B3235" s="1"/>
      <c r="C3235" s="1"/>
      <c r="D3235" s="1"/>
      <c r="E3235" s="1"/>
      <c r="F3235" s="1"/>
      <c r="G3235" s="1" t="s">
        <v>8</v>
      </c>
      <c r="H3235" s="2">
        <v>544</v>
      </c>
      <c r="I3235" s="1" t="s">
        <v>5880</v>
      </c>
      <c r="J3235" s="1" t="s">
        <v>9802</v>
      </c>
      <c r="K3235" s="1" t="s">
        <v>208</v>
      </c>
      <c r="L3235" s="1" t="s">
        <v>5881</v>
      </c>
      <c r="M3235" s="6" t="str">
        <f>_xlfn.CONCAT(Table1[[#This Row],[Billing Street]], ", ", Table1[[#This Row],[Billing City]], ", ", Table1[[#This Row],[Billing State/Province]], ", ", Table1[[#This Row],[Billing Zip/Postal Code]])</f>
        <v>1100 W 116th Ave, Westminister, CO, 80234</v>
      </c>
    </row>
    <row r="3236" spans="1:13" ht="15.6" hidden="1" x14ac:dyDescent="0.3">
      <c r="A3236" s="1" t="s">
        <v>9803</v>
      </c>
      <c r="B3236" s="1"/>
      <c r="C3236" s="1"/>
      <c r="D3236" s="1"/>
      <c r="E3236" s="1"/>
      <c r="F3236" s="1"/>
      <c r="G3236" s="1" t="s">
        <v>98</v>
      </c>
      <c r="H3236" s="2">
        <v>356</v>
      </c>
      <c r="I3236" s="1" t="s">
        <v>9804</v>
      </c>
      <c r="J3236" s="1" t="s">
        <v>4004</v>
      </c>
      <c r="K3236" s="1" t="s">
        <v>1178</v>
      </c>
      <c r="L3236" s="1" t="s">
        <v>9805</v>
      </c>
      <c r="M3236" s="6" t="str">
        <f>_xlfn.CONCAT(Table1[[#This Row],[Billing Street]], ", ", Table1[[#This Row],[Billing City]], ", ", Table1[[#This Row],[Billing State/Province]], ", ", Table1[[#This Row],[Billing Zip/Postal Code]])</f>
        <v>1281 Powerhouse Dr, Southport, NC, 28461</v>
      </c>
    </row>
    <row r="3237" spans="1:13" ht="15.6" x14ac:dyDescent="0.3">
      <c r="A3237" s="1" t="s">
        <v>9806</v>
      </c>
      <c r="B3237" s="1"/>
      <c r="C3237" s="1"/>
      <c r="D3237" s="1"/>
      <c r="E3237" s="1"/>
      <c r="F3237" s="1"/>
      <c r="G3237" s="1" t="s">
        <v>24</v>
      </c>
      <c r="H3237" s="2">
        <v>239</v>
      </c>
      <c r="I3237" s="1" t="s">
        <v>9807</v>
      </c>
      <c r="J3237" s="1" t="s">
        <v>3850</v>
      </c>
      <c r="K3237" s="1" t="s">
        <v>36</v>
      </c>
      <c r="L3237" s="1" t="s">
        <v>9808</v>
      </c>
      <c r="M3237" s="6" t="str">
        <f>_xlfn.CONCAT(Table1[[#This Row],[Billing Street]], ", ", Table1[[#This Row],[Billing City]], ", ", Table1[[#This Row],[Billing State/Province]], ", ", Table1[[#This Row],[Billing Zip/Postal Code]])</f>
        <v>1015 S Main St, Gainesville, FL, 32601</v>
      </c>
    </row>
    <row r="3238" spans="1:13" ht="15.6" hidden="1" x14ac:dyDescent="0.3">
      <c r="A3238" s="1" t="s">
        <v>9809</v>
      </c>
      <c r="B3238" s="1"/>
      <c r="C3238" s="1"/>
      <c r="D3238" s="1"/>
      <c r="E3238" s="1"/>
      <c r="F3238" s="1"/>
      <c r="G3238" s="1" t="s">
        <v>13</v>
      </c>
      <c r="H3238" s="2">
        <v>0</v>
      </c>
      <c r="I3238" s="1" t="s">
        <v>9810</v>
      </c>
      <c r="J3238" s="1" t="s">
        <v>1668</v>
      </c>
      <c r="K3238" s="1" t="s">
        <v>13</v>
      </c>
      <c r="L3238" s="1" t="s">
        <v>9811</v>
      </c>
      <c r="M3238" s="6" t="str">
        <f>_xlfn.CONCAT(Table1[[#This Row],[Billing Street]], ", ", Table1[[#This Row],[Billing City]], ", ", Table1[[#This Row],[Billing State/Province]], ", ", Table1[[#This Row],[Billing Zip/Postal Code]])</f>
        <v>6141 Lake Gray Blvd, Jacksonville, , 32244</v>
      </c>
    </row>
    <row r="3239" spans="1:13" ht="15.6" hidden="1" x14ac:dyDescent="0.3">
      <c r="A3239" s="1" t="s">
        <v>9812</v>
      </c>
      <c r="B3239" s="1"/>
      <c r="C3239" s="1"/>
      <c r="D3239" s="1"/>
      <c r="E3239" s="1"/>
      <c r="F3239" s="1"/>
      <c r="G3239" s="1" t="s">
        <v>98</v>
      </c>
      <c r="H3239" s="2">
        <v>286</v>
      </c>
      <c r="I3239" s="1" t="s">
        <v>9813</v>
      </c>
      <c r="J3239" s="1" t="s">
        <v>4259</v>
      </c>
      <c r="K3239" s="1" t="s">
        <v>1178</v>
      </c>
      <c r="L3239" s="1" t="s">
        <v>9814</v>
      </c>
      <c r="M3239" s="6" t="str">
        <f>_xlfn.CONCAT(Table1[[#This Row],[Billing Street]], ", ", Table1[[#This Row],[Billing City]], ", ", Table1[[#This Row],[Billing State/Province]], ", ", Table1[[#This Row],[Billing Zip/Postal Code]])</f>
        <v>12828 Highway 15-501 South, Aberdeen, NC, 28315</v>
      </c>
    </row>
    <row r="3240" spans="1:13" ht="15.6" hidden="1" x14ac:dyDescent="0.3">
      <c r="A3240" s="1" t="s">
        <v>9815</v>
      </c>
      <c r="B3240" s="1"/>
      <c r="C3240" s="1"/>
      <c r="D3240" s="1"/>
      <c r="E3240" s="1"/>
      <c r="F3240" s="1"/>
      <c r="G3240" s="1" t="s">
        <v>13</v>
      </c>
      <c r="H3240" s="2">
        <v>0</v>
      </c>
      <c r="I3240" s="1" t="s">
        <v>13</v>
      </c>
      <c r="J3240" s="1" t="s">
        <v>13</v>
      </c>
      <c r="K3240" s="1" t="s">
        <v>13</v>
      </c>
      <c r="L3240" s="1" t="s">
        <v>13</v>
      </c>
      <c r="M3240" s="6" t="str">
        <f>_xlfn.CONCAT(Table1[[#This Row],[Billing Street]], ", ", Table1[[#This Row],[Billing City]], ", ", Table1[[#This Row],[Billing State/Province]], ", ", Table1[[#This Row],[Billing Zip/Postal Code]])</f>
        <v xml:space="preserve">, , , </v>
      </c>
    </row>
    <row r="3241" spans="1:13" ht="15.6" hidden="1" x14ac:dyDescent="0.3">
      <c r="A3241" s="1" t="s">
        <v>9816</v>
      </c>
      <c r="B3241" s="1"/>
      <c r="C3241" s="1"/>
      <c r="D3241" s="1"/>
      <c r="E3241" s="1"/>
      <c r="F3241" s="1"/>
      <c r="G3241" s="1" t="s">
        <v>13</v>
      </c>
      <c r="H3241" s="2">
        <v>0</v>
      </c>
      <c r="I3241" s="1" t="s">
        <v>13</v>
      </c>
      <c r="J3241" s="1" t="s">
        <v>13</v>
      </c>
      <c r="K3241" s="1" t="s">
        <v>13</v>
      </c>
      <c r="L3241" s="1" t="s">
        <v>13</v>
      </c>
      <c r="M3241" s="6" t="str">
        <f>_xlfn.CONCAT(Table1[[#This Row],[Billing Street]], ", ", Table1[[#This Row],[Billing City]], ", ", Table1[[#This Row],[Billing State/Province]], ", ", Table1[[#This Row],[Billing Zip/Postal Code]])</f>
        <v xml:space="preserve">, , , </v>
      </c>
    </row>
    <row r="3242" spans="1:13" ht="15.6" hidden="1" x14ac:dyDescent="0.3">
      <c r="A3242" s="1" t="s">
        <v>9817</v>
      </c>
      <c r="B3242" s="1"/>
      <c r="C3242" s="1"/>
      <c r="D3242" s="1"/>
      <c r="E3242" s="1"/>
      <c r="F3242" s="1"/>
      <c r="G3242" s="1" t="s">
        <v>13</v>
      </c>
      <c r="H3242" s="2">
        <v>0</v>
      </c>
      <c r="I3242" s="1" t="s">
        <v>13</v>
      </c>
      <c r="J3242" s="1" t="s">
        <v>13</v>
      </c>
      <c r="K3242" s="1" t="s">
        <v>13</v>
      </c>
      <c r="L3242" s="1" t="s">
        <v>13</v>
      </c>
      <c r="M3242" s="6" t="str">
        <f>_xlfn.CONCAT(Table1[[#This Row],[Billing Street]], ", ", Table1[[#This Row],[Billing City]], ", ", Table1[[#This Row],[Billing State/Province]], ", ", Table1[[#This Row],[Billing Zip/Postal Code]])</f>
        <v xml:space="preserve">, , , </v>
      </c>
    </row>
    <row r="3243" spans="1:13" ht="15.6" hidden="1" x14ac:dyDescent="0.3">
      <c r="A3243" s="1" t="s">
        <v>9818</v>
      </c>
      <c r="B3243" s="1"/>
      <c r="C3243" s="1"/>
      <c r="D3243" s="1"/>
      <c r="E3243" s="1"/>
      <c r="F3243" s="1"/>
      <c r="G3243" s="1" t="s">
        <v>13</v>
      </c>
      <c r="H3243" s="2">
        <v>0</v>
      </c>
      <c r="I3243" s="1" t="s">
        <v>13</v>
      </c>
      <c r="J3243" s="1" t="s">
        <v>13</v>
      </c>
      <c r="K3243" s="1" t="s">
        <v>13</v>
      </c>
      <c r="L3243" s="1" t="s">
        <v>13</v>
      </c>
      <c r="M3243" s="6" t="str">
        <f>_xlfn.CONCAT(Table1[[#This Row],[Billing Street]], ", ", Table1[[#This Row],[Billing City]], ", ", Table1[[#This Row],[Billing State/Province]], ", ", Table1[[#This Row],[Billing Zip/Postal Code]])</f>
        <v xml:space="preserve">, , , </v>
      </c>
    </row>
    <row r="3244" spans="1:13" ht="15.6" hidden="1" x14ac:dyDescent="0.3">
      <c r="A3244" s="1" t="s">
        <v>9819</v>
      </c>
      <c r="B3244" s="1"/>
      <c r="C3244" s="1"/>
      <c r="D3244" s="1"/>
      <c r="E3244" s="1"/>
      <c r="F3244" s="1"/>
      <c r="G3244" s="1" t="s">
        <v>13</v>
      </c>
      <c r="H3244" s="2">
        <v>0</v>
      </c>
      <c r="I3244" s="1" t="s">
        <v>13</v>
      </c>
      <c r="J3244" s="1" t="s">
        <v>13</v>
      </c>
      <c r="K3244" s="1" t="s">
        <v>13</v>
      </c>
      <c r="L3244" s="1" t="s">
        <v>13</v>
      </c>
      <c r="M3244" s="6" t="str">
        <f>_xlfn.CONCAT(Table1[[#This Row],[Billing Street]], ", ", Table1[[#This Row],[Billing City]], ", ", Table1[[#This Row],[Billing State/Province]], ", ", Table1[[#This Row],[Billing Zip/Postal Code]])</f>
        <v xml:space="preserve">, , , </v>
      </c>
    </row>
    <row r="3245" spans="1:13" ht="15.6" hidden="1" x14ac:dyDescent="0.3">
      <c r="A3245" s="1" t="s">
        <v>9820</v>
      </c>
      <c r="B3245" s="1"/>
      <c r="C3245" s="1"/>
      <c r="D3245" s="1"/>
      <c r="E3245" s="1"/>
      <c r="F3245" s="1"/>
      <c r="G3245" s="1" t="s">
        <v>13</v>
      </c>
      <c r="H3245" s="2">
        <v>0</v>
      </c>
      <c r="I3245" s="1" t="s">
        <v>13</v>
      </c>
      <c r="J3245" s="1" t="s">
        <v>13</v>
      </c>
      <c r="K3245" s="1" t="s">
        <v>13</v>
      </c>
      <c r="L3245" s="1" t="s">
        <v>13</v>
      </c>
      <c r="M3245" s="6" t="str">
        <f>_xlfn.CONCAT(Table1[[#This Row],[Billing Street]], ", ", Table1[[#This Row],[Billing City]], ", ", Table1[[#This Row],[Billing State/Province]], ", ", Table1[[#This Row],[Billing Zip/Postal Code]])</f>
        <v xml:space="preserve">, , , </v>
      </c>
    </row>
    <row r="3246" spans="1:13" ht="15.6" hidden="1" x14ac:dyDescent="0.3">
      <c r="A3246" s="1" t="s">
        <v>9821</v>
      </c>
      <c r="B3246" s="1"/>
      <c r="C3246" s="1"/>
      <c r="D3246" s="1"/>
      <c r="E3246" s="1"/>
      <c r="F3246" s="1"/>
      <c r="G3246" s="1" t="s">
        <v>43</v>
      </c>
      <c r="H3246" s="2">
        <v>82</v>
      </c>
      <c r="I3246" s="1" t="s">
        <v>9822</v>
      </c>
      <c r="J3246" s="1" t="s">
        <v>9823</v>
      </c>
      <c r="K3246" s="1" t="s">
        <v>45</v>
      </c>
      <c r="L3246" s="1" t="s">
        <v>9824</v>
      </c>
      <c r="M3246" s="6" t="str">
        <f>_xlfn.CONCAT(Table1[[#This Row],[Billing Street]], ", ", Table1[[#This Row],[Billing City]], ", ", Table1[[#This Row],[Billing State/Province]], ", ", Table1[[#This Row],[Billing Zip/Postal Code]])</f>
        <v>1500 Commercial Avenue, Mingo Junction, OH, 43938</v>
      </c>
    </row>
    <row r="3247" spans="1:13" ht="15.6" hidden="1" x14ac:dyDescent="0.3">
      <c r="A3247" s="1" t="s">
        <v>9825</v>
      </c>
      <c r="B3247" s="1"/>
      <c r="C3247" s="1"/>
      <c r="D3247" s="1"/>
      <c r="E3247" s="1"/>
      <c r="F3247" s="1"/>
      <c r="G3247" s="1" t="s">
        <v>8</v>
      </c>
      <c r="H3247" s="2">
        <v>556</v>
      </c>
      <c r="I3247" s="1" t="s">
        <v>9826</v>
      </c>
      <c r="J3247" s="1" t="s">
        <v>220</v>
      </c>
      <c r="K3247" s="1" t="s">
        <v>554</v>
      </c>
      <c r="L3247" s="1" t="s">
        <v>221</v>
      </c>
      <c r="M3247" s="6" t="str">
        <f>_xlfn.CONCAT(Table1[[#This Row],[Billing Street]], ", ", Table1[[#This Row],[Billing City]], ", ", Table1[[#This Row],[Billing State/Province]], ", ", Table1[[#This Row],[Billing Zip/Postal Code]])</f>
        <v>1100 S Sherman St, Longmont, KS, 80501</v>
      </c>
    </row>
    <row r="3248" spans="1:13" ht="15.6" hidden="1" x14ac:dyDescent="0.3">
      <c r="A3248" s="1" t="s">
        <v>9827</v>
      </c>
      <c r="B3248" s="1"/>
      <c r="C3248" s="1"/>
      <c r="D3248" s="1"/>
      <c r="E3248" s="1"/>
      <c r="F3248" s="1"/>
      <c r="G3248" s="1" t="s">
        <v>98</v>
      </c>
      <c r="H3248" s="2">
        <v>377</v>
      </c>
      <c r="I3248" s="1" t="s">
        <v>9828</v>
      </c>
      <c r="J3248" s="1" t="s">
        <v>9829</v>
      </c>
      <c r="K3248" s="1" t="s">
        <v>1178</v>
      </c>
      <c r="L3248" s="1" t="s">
        <v>9830</v>
      </c>
      <c r="M3248" s="6" t="str">
        <f>_xlfn.CONCAT(Table1[[#This Row],[Billing Street]], ", ", Table1[[#This Row],[Billing City]], ", ", Table1[[#This Row],[Billing State/Province]], ", ", Table1[[#This Row],[Billing Zip/Postal Code]])</f>
        <v>112 W Center St, Black Creek, NC, 27813</v>
      </c>
    </row>
    <row r="3249" spans="1:13" ht="15.6" hidden="1" x14ac:dyDescent="0.3">
      <c r="A3249" s="1" t="s">
        <v>9831</v>
      </c>
      <c r="B3249" s="1"/>
      <c r="C3249" s="1"/>
      <c r="D3249" s="1"/>
      <c r="E3249" s="1"/>
      <c r="F3249" s="1"/>
      <c r="G3249" s="1" t="s">
        <v>98</v>
      </c>
      <c r="H3249" s="2">
        <v>373</v>
      </c>
      <c r="I3249" s="1" t="s">
        <v>9832</v>
      </c>
      <c r="J3249" s="1" t="s">
        <v>9833</v>
      </c>
      <c r="K3249" s="1" t="s">
        <v>1178</v>
      </c>
      <c r="L3249" s="1" t="s">
        <v>9834</v>
      </c>
      <c r="M3249" s="6" t="str">
        <f>_xlfn.CONCAT(Table1[[#This Row],[Billing Street]], ", ", Table1[[#This Row],[Billing City]], ", ", Table1[[#This Row],[Billing State/Province]], ", ", Table1[[#This Row],[Billing Zip/Postal Code]])</f>
        <v>111 S Main St, Lucama, NC, 27851</v>
      </c>
    </row>
    <row r="3250" spans="1:13" ht="15.6" hidden="1" x14ac:dyDescent="0.3">
      <c r="A3250" s="1" t="s">
        <v>9835</v>
      </c>
      <c r="B3250" s="1"/>
      <c r="C3250" s="1"/>
      <c r="D3250" s="1"/>
      <c r="E3250" s="1"/>
      <c r="F3250" s="1"/>
      <c r="G3250" s="1" t="s">
        <v>98</v>
      </c>
      <c r="H3250" s="2">
        <v>373</v>
      </c>
      <c r="I3250" s="1" t="s">
        <v>9836</v>
      </c>
      <c r="J3250" s="1" t="s">
        <v>5303</v>
      </c>
      <c r="K3250" s="1" t="s">
        <v>1178</v>
      </c>
      <c r="L3250" s="1" t="s">
        <v>9837</v>
      </c>
      <c r="M3250" s="6" t="str">
        <f>_xlfn.CONCAT(Table1[[#This Row],[Billing Street]], ", ", Table1[[#This Row],[Billing City]], ", ", Table1[[#This Row],[Billing State/Province]], ", ", Table1[[#This Row],[Billing Zip/Postal Code]])</f>
        <v>120 East Main St, Fremont, NC, 27830</v>
      </c>
    </row>
    <row r="3251" spans="1:13" ht="15.6" hidden="1" x14ac:dyDescent="0.3">
      <c r="A3251" s="1" t="s">
        <v>9838</v>
      </c>
      <c r="B3251" s="1"/>
      <c r="C3251" s="1"/>
      <c r="D3251" s="1"/>
      <c r="E3251" s="1"/>
      <c r="F3251" s="1"/>
      <c r="G3251" s="1" t="s">
        <v>98</v>
      </c>
      <c r="H3251" s="2">
        <v>383</v>
      </c>
      <c r="I3251" s="1" t="s">
        <v>9839</v>
      </c>
      <c r="J3251" s="1" t="s">
        <v>9840</v>
      </c>
      <c r="K3251" s="1" t="s">
        <v>1178</v>
      </c>
      <c r="L3251" s="1" t="s">
        <v>9841</v>
      </c>
      <c r="M3251" s="6" t="str">
        <f>_xlfn.CONCAT(Table1[[#This Row],[Billing Street]], ", ", Table1[[#This Row],[Billing City]], ", ", Table1[[#This Row],[Billing State/Province]], ", ", Table1[[#This Row],[Billing Zip/Postal Code]])</f>
        <v>108 E Commercial Ave, Stantonsburg, NC, 27883</v>
      </c>
    </row>
    <row r="3252" spans="1:13" ht="15.6" x14ac:dyDescent="0.3">
      <c r="A3252" s="1" t="s">
        <v>9842</v>
      </c>
      <c r="B3252" s="1"/>
      <c r="C3252" s="1"/>
      <c r="D3252" s="1"/>
      <c r="E3252" s="1"/>
      <c r="F3252" s="1"/>
      <c r="G3252" s="1" t="s">
        <v>24</v>
      </c>
      <c r="H3252" s="2">
        <v>5988</v>
      </c>
      <c r="I3252" s="1" t="s">
        <v>9843</v>
      </c>
      <c r="J3252" s="1" t="s">
        <v>9844</v>
      </c>
      <c r="K3252" s="1" t="s">
        <v>26</v>
      </c>
      <c r="L3252" s="1" t="s">
        <v>9845</v>
      </c>
      <c r="M3252" s="6" t="str">
        <f>_xlfn.CONCAT(Table1[[#This Row],[Billing Street]], ", ", Table1[[#This Row],[Billing City]], ", ", Table1[[#This Row],[Billing State/Province]], ", ", Table1[[#This Row],[Billing Zip/Postal Code]])</f>
        <v>9828 US-31, Atmore, AL, 36502</v>
      </c>
    </row>
    <row r="3253" spans="1:13" ht="15.6" x14ac:dyDescent="0.3">
      <c r="A3253" s="1" t="s">
        <v>9846</v>
      </c>
      <c r="B3253" s="1"/>
      <c r="C3253" s="1"/>
      <c r="D3253" s="1"/>
      <c r="E3253" s="1"/>
      <c r="F3253" s="1"/>
      <c r="G3253" s="1" t="s">
        <v>24</v>
      </c>
      <c r="H3253" s="2">
        <v>5988</v>
      </c>
      <c r="I3253" s="1" t="s">
        <v>9847</v>
      </c>
      <c r="J3253" s="1" t="s">
        <v>2721</v>
      </c>
      <c r="K3253" s="1" t="s">
        <v>26</v>
      </c>
      <c r="L3253" s="1" t="s">
        <v>2722</v>
      </c>
      <c r="M3253" s="6" t="str">
        <f>_xlfn.CONCAT(Table1[[#This Row],[Billing Street]], ", ", Table1[[#This Row],[Billing City]], ", ", Table1[[#This Row],[Billing State/Province]], ", ", Table1[[#This Row],[Billing Zip/Postal Code]])</f>
        <v>1000 S McKenzie St,, Foley, AL, 36535</v>
      </c>
    </row>
    <row r="3254" spans="1:13" ht="15.6" hidden="1" x14ac:dyDescent="0.3">
      <c r="A3254" s="1" t="s">
        <v>9848</v>
      </c>
      <c r="B3254" s="1"/>
      <c r="C3254" s="1"/>
      <c r="D3254" s="1"/>
      <c r="E3254" s="1"/>
      <c r="F3254" s="1"/>
      <c r="G3254" s="1" t="s">
        <v>98</v>
      </c>
      <c r="H3254" s="2">
        <v>355</v>
      </c>
      <c r="I3254" s="1" t="s">
        <v>9849</v>
      </c>
      <c r="J3254" s="1" t="s">
        <v>4004</v>
      </c>
      <c r="K3254" s="1" t="s">
        <v>1178</v>
      </c>
      <c r="L3254" s="1" t="s">
        <v>9805</v>
      </c>
      <c r="M3254" s="6" t="str">
        <f>_xlfn.CONCAT(Table1[[#This Row],[Billing Street]], ", ", Table1[[#This Row],[Billing City]], ", ", Table1[[#This Row],[Billing State/Province]], ", ", Table1[[#This Row],[Billing Zip/Postal Code]])</f>
        <v>1010 N Howe St, Southport, NC, 28461</v>
      </c>
    </row>
    <row r="3255" spans="1:13" ht="15.6" hidden="1" x14ac:dyDescent="0.3">
      <c r="A3255" s="1" t="s">
        <v>9850</v>
      </c>
      <c r="B3255" s="1"/>
      <c r="C3255" s="1"/>
      <c r="D3255" s="1"/>
      <c r="E3255" s="1"/>
      <c r="F3255" s="1"/>
      <c r="G3255" s="1" t="s">
        <v>43</v>
      </c>
      <c r="H3255" s="2">
        <v>177</v>
      </c>
      <c r="I3255" s="1" t="s">
        <v>9851</v>
      </c>
      <c r="J3255" s="1" t="s">
        <v>9852</v>
      </c>
      <c r="K3255" s="1" t="s">
        <v>3373</v>
      </c>
      <c r="L3255" s="1" t="s">
        <v>9853</v>
      </c>
      <c r="M3255" s="6" t="str">
        <f>_xlfn.CONCAT(Table1[[#This Row],[Billing Street]], ", ", Table1[[#This Row],[Billing City]], ", ", Table1[[#This Row],[Billing State/Province]], ", ", Table1[[#This Row],[Billing Zip/Postal Code]])</f>
        <v>874 Oliver St, North Tonawanda, Ny, 14120</v>
      </c>
    </row>
    <row r="3256" spans="1:13" ht="15.6" hidden="1" x14ac:dyDescent="0.3">
      <c r="A3256" s="1" t="s">
        <v>9854</v>
      </c>
      <c r="B3256" s="1"/>
      <c r="C3256" s="1"/>
      <c r="D3256" s="1"/>
      <c r="E3256" s="1"/>
      <c r="F3256" s="1"/>
      <c r="G3256" s="1" t="s">
        <v>98</v>
      </c>
      <c r="H3256" s="2">
        <v>365</v>
      </c>
      <c r="I3256" s="1" t="s">
        <v>9855</v>
      </c>
      <c r="J3256" s="1" t="s">
        <v>9856</v>
      </c>
      <c r="K3256" s="1" t="s">
        <v>1178</v>
      </c>
      <c r="L3256" s="1" t="s">
        <v>9857</v>
      </c>
      <c r="M3256" s="6" t="str">
        <f>_xlfn.CONCAT(Table1[[#This Row],[Billing Street]], ", ", Table1[[#This Row],[Billing City]], ", ", Table1[[#This Row],[Billing State/Province]], ", ", Table1[[#This Row],[Billing Zip/Postal Code]])</f>
        <v>4255 S U.S. 117 Alt Hwy, Dudley, NC, 28333</v>
      </c>
    </row>
    <row r="3257" spans="1:13" ht="15.6" hidden="1" x14ac:dyDescent="0.3">
      <c r="A3257" s="1" t="s">
        <v>9858</v>
      </c>
      <c r="B3257" s="1"/>
      <c r="C3257" s="1"/>
      <c r="D3257" s="1"/>
      <c r="E3257" s="1"/>
      <c r="F3257" s="1"/>
      <c r="G3257" s="1" t="s">
        <v>98</v>
      </c>
      <c r="H3257" s="2">
        <v>441</v>
      </c>
      <c r="I3257" s="1" t="s">
        <v>9859</v>
      </c>
      <c r="J3257" s="1" t="s">
        <v>9860</v>
      </c>
      <c r="K3257" s="1" t="s">
        <v>1178</v>
      </c>
      <c r="L3257" s="1" t="s">
        <v>9861</v>
      </c>
      <c r="M3257" s="6" t="str">
        <f>_xlfn.CONCAT(Table1[[#This Row],[Billing Street]], ", ", Table1[[#This Row],[Billing City]], ", ", Table1[[#This Row],[Billing State/Province]], ", ", Table1[[#This Row],[Billing Zip/Postal Code]])</f>
        <v>849 Island Rd, Harkers Island, NC, 28531</v>
      </c>
    </row>
    <row r="3258" spans="1:13" ht="15.6" x14ac:dyDescent="0.3">
      <c r="A3258" s="1" t="s">
        <v>9862</v>
      </c>
      <c r="B3258" s="1"/>
      <c r="C3258" s="1"/>
      <c r="D3258" s="1"/>
      <c r="E3258" s="1"/>
      <c r="F3258" s="1"/>
      <c r="G3258" s="1" t="s">
        <v>24</v>
      </c>
      <c r="H3258" s="2">
        <v>238</v>
      </c>
      <c r="I3258" s="1" t="s">
        <v>9863</v>
      </c>
      <c r="J3258" s="1" t="s">
        <v>9864</v>
      </c>
      <c r="K3258" s="1" t="s">
        <v>36</v>
      </c>
      <c r="L3258" s="1" t="s">
        <v>8183</v>
      </c>
      <c r="M3258" s="6" t="str">
        <f>_xlfn.CONCAT(Table1[[#This Row],[Billing Street]], ", ", Table1[[#This Row],[Billing City]], ", ", Table1[[#This Row],[Billing State/Province]], ", ", Table1[[#This Row],[Billing Zip/Postal Code]])</f>
        <v>6148 Tim Crews Rd, Maclenny, FL, 32063</v>
      </c>
    </row>
    <row r="3259" spans="1:13" ht="15.6" x14ac:dyDescent="0.3">
      <c r="A3259" s="1" t="s">
        <v>9865</v>
      </c>
      <c r="B3259" s="1"/>
      <c r="C3259" s="1"/>
      <c r="D3259" s="1"/>
      <c r="E3259" s="1"/>
      <c r="F3259" s="1"/>
      <c r="G3259" s="1" t="s">
        <v>24</v>
      </c>
      <c r="H3259" s="2">
        <v>494</v>
      </c>
      <c r="I3259" s="1" t="s">
        <v>9866</v>
      </c>
      <c r="J3259" s="1" t="s">
        <v>2587</v>
      </c>
      <c r="K3259" s="1" t="s">
        <v>36</v>
      </c>
      <c r="L3259" s="1" t="s">
        <v>9867</v>
      </c>
      <c r="M3259" s="6" t="str">
        <f>_xlfn.CONCAT(Table1[[#This Row],[Billing Street]], ", ", Table1[[#This Row],[Billing City]], ", ", Table1[[#This Row],[Billing State/Province]], ", ", Table1[[#This Row],[Billing Zip/Postal Code]])</f>
        <v>13190 SW 134th St, Miami, FL, 33186</v>
      </c>
    </row>
    <row r="3260" spans="1:13" ht="15.6" hidden="1" x14ac:dyDescent="0.3">
      <c r="A3260" s="1" t="s">
        <v>9868</v>
      </c>
      <c r="B3260" s="1"/>
      <c r="C3260" s="1"/>
      <c r="D3260" s="1"/>
      <c r="E3260" s="1"/>
      <c r="F3260" s="1"/>
      <c r="G3260" s="1" t="s">
        <v>43</v>
      </c>
      <c r="H3260" s="2">
        <v>120</v>
      </c>
      <c r="I3260" s="1" t="s">
        <v>9869</v>
      </c>
      <c r="J3260" s="1" t="s">
        <v>9870</v>
      </c>
      <c r="K3260" s="1" t="s">
        <v>82</v>
      </c>
      <c r="L3260" s="1" t="s">
        <v>9871</v>
      </c>
      <c r="M3260" s="6" t="str">
        <f>_xlfn.CONCAT(Table1[[#This Row],[Billing Street]], ", ", Table1[[#This Row],[Billing City]], ", ", Table1[[#This Row],[Billing State/Province]], ", ", Table1[[#This Row],[Billing Zip/Postal Code]])</f>
        <v>6275 Consear Road, Ottawa Lake, MI, 49267</v>
      </c>
    </row>
    <row r="3261" spans="1:13" ht="15.6" hidden="1" x14ac:dyDescent="0.3">
      <c r="A3261" s="1" t="s">
        <v>9872</v>
      </c>
      <c r="B3261" s="1"/>
      <c r="C3261" s="1"/>
      <c r="D3261" s="1"/>
      <c r="E3261" s="1"/>
      <c r="F3261" s="1"/>
      <c r="G3261" s="1" t="s">
        <v>8</v>
      </c>
      <c r="H3261" s="2">
        <v>269</v>
      </c>
      <c r="I3261" s="1" t="s">
        <v>9873</v>
      </c>
      <c r="J3261" s="1" t="s">
        <v>9874</v>
      </c>
      <c r="K3261" s="1" t="s">
        <v>554</v>
      </c>
      <c r="L3261" s="1" t="s">
        <v>9875</v>
      </c>
      <c r="M3261" s="6" t="str">
        <f>_xlfn.CONCAT(Table1[[#This Row],[Billing Street]], ", ", Table1[[#This Row],[Billing City]], ", ", Table1[[#This Row],[Billing State/Province]], ", ", Table1[[#This Row],[Billing Zip/Postal Code]])</f>
        <v>635 S 13th St, WaKeeney, KS, 67672</v>
      </c>
    </row>
    <row r="3262" spans="1:13" ht="15.6" x14ac:dyDescent="0.3">
      <c r="A3262" s="1" t="s">
        <v>9876</v>
      </c>
      <c r="B3262" s="1"/>
      <c r="C3262" s="1"/>
      <c r="D3262" s="1"/>
      <c r="E3262" s="1"/>
      <c r="F3262" s="1"/>
      <c r="G3262" s="1" t="s">
        <v>24</v>
      </c>
      <c r="H3262" s="2">
        <v>5988</v>
      </c>
      <c r="I3262" s="1" t="s">
        <v>9877</v>
      </c>
      <c r="J3262" s="1" t="s">
        <v>9878</v>
      </c>
      <c r="K3262" s="1" t="s">
        <v>26</v>
      </c>
      <c r="L3262" s="1" t="s">
        <v>13</v>
      </c>
      <c r="M3262" s="6" t="str">
        <f>_xlfn.CONCAT(Table1[[#This Row],[Billing Street]], ", ", Table1[[#This Row],[Billing City]], ", ", Table1[[#This Row],[Billing State/Province]], ", ", Table1[[#This Row],[Billing Zip/Postal Code]])</f>
        <v xml:space="preserve">1111, Eastern Shore, AL, </v>
      </c>
    </row>
    <row r="3263" spans="1:13" ht="15.6" hidden="1" x14ac:dyDescent="0.3">
      <c r="A3263" s="1" t="s">
        <v>9879</v>
      </c>
      <c r="B3263" s="1"/>
      <c r="C3263" s="1"/>
      <c r="D3263" s="1"/>
      <c r="E3263" s="1"/>
      <c r="F3263" s="1"/>
      <c r="G3263" s="1" t="s">
        <v>13</v>
      </c>
      <c r="H3263" s="2">
        <v>0</v>
      </c>
      <c r="I3263" s="1" t="s">
        <v>13</v>
      </c>
      <c r="J3263" s="1" t="s">
        <v>13</v>
      </c>
      <c r="K3263" s="1" t="s">
        <v>13</v>
      </c>
      <c r="L3263" s="1" t="s">
        <v>13</v>
      </c>
      <c r="M3263" s="6" t="str">
        <f>_xlfn.CONCAT(Table1[[#This Row],[Billing Street]], ", ", Table1[[#This Row],[Billing City]], ", ", Table1[[#This Row],[Billing State/Province]], ", ", Table1[[#This Row],[Billing Zip/Postal Code]])</f>
        <v xml:space="preserve">, , , </v>
      </c>
    </row>
    <row r="3264" spans="1:13" ht="15.6" x14ac:dyDescent="0.3">
      <c r="A3264" s="1" t="s">
        <v>9880</v>
      </c>
      <c r="B3264" s="1"/>
      <c r="C3264" s="1"/>
      <c r="D3264" s="1"/>
      <c r="E3264" s="1"/>
      <c r="F3264" s="1"/>
      <c r="G3264" s="1" t="s">
        <v>24</v>
      </c>
      <c r="H3264" s="2">
        <v>5988</v>
      </c>
      <c r="I3264" s="1" t="s">
        <v>9881</v>
      </c>
      <c r="J3264" s="1" t="s">
        <v>506</v>
      </c>
      <c r="K3264" s="1" t="s">
        <v>26</v>
      </c>
      <c r="L3264" s="1" t="s">
        <v>507</v>
      </c>
      <c r="M3264" s="6" t="str">
        <f>_xlfn.CONCAT(Table1[[#This Row],[Billing Street]], ", ", Table1[[#This Row],[Billing City]], ", ", Table1[[#This Row],[Billing State/Province]], ", ", Table1[[#This Row],[Billing Zip/Postal Code]])</f>
        <v>572 Industrial Park Dr, Brewton, AL, 36426</v>
      </c>
    </row>
    <row r="3265" spans="1:13" ht="15.6" x14ac:dyDescent="0.3">
      <c r="A3265" s="1" t="s">
        <v>9882</v>
      </c>
      <c r="B3265" s="1"/>
      <c r="C3265" s="1"/>
      <c r="D3265" s="1"/>
      <c r="E3265" s="1"/>
      <c r="F3265" s="1"/>
      <c r="G3265" s="1" t="s">
        <v>24</v>
      </c>
      <c r="H3265" s="2">
        <v>5988</v>
      </c>
      <c r="I3265" s="1" t="s">
        <v>9883</v>
      </c>
      <c r="J3265" s="1" t="s">
        <v>506</v>
      </c>
      <c r="K3265" s="1" t="s">
        <v>26</v>
      </c>
      <c r="L3265" s="1" t="s">
        <v>507</v>
      </c>
      <c r="M3265" s="6" t="str">
        <f>_xlfn.CONCAT(Table1[[#This Row],[Billing Street]], ", ", Table1[[#This Row],[Billing City]], ", ", Table1[[#This Row],[Billing State/Province]], ", ", Table1[[#This Row],[Billing Zip/Postal Code]])</f>
        <v>766 Industrial Park Dr, Brewton, AL, 36426</v>
      </c>
    </row>
    <row r="3266" spans="1:13" ht="15.6" hidden="1" x14ac:dyDescent="0.3">
      <c r="A3266" s="1" t="s">
        <v>9884</v>
      </c>
      <c r="B3266" s="1"/>
      <c r="C3266" s="1"/>
      <c r="D3266" s="1"/>
      <c r="E3266" s="1"/>
      <c r="F3266" s="1"/>
      <c r="G3266" s="1" t="s">
        <v>43</v>
      </c>
      <c r="H3266" s="2">
        <v>126</v>
      </c>
      <c r="I3266" s="1" t="s">
        <v>9885</v>
      </c>
      <c r="J3266" s="1" t="s">
        <v>1222</v>
      </c>
      <c r="K3266" s="1" t="s">
        <v>45</v>
      </c>
      <c r="L3266" s="1" t="s">
        <v>9886</v>
      </c>
      <c r="M3266" s="6" t="str">
        <f>_xlfn.CONCAT(Table1[[#This Row],[Billing Street]], ", ", Table1[[#This Row],[Billing City]], ", ", Table1[[#This Row],[Billing State/Province]], ", ", Table1[[#This Row],[Billing Zip/Postal Code]])</f>
        <v>440 Highland Ridge Road, Marietta, OH, 45750</v>
      </c>
    </row>
    <row r="3267" spans="1:13" ht="15.6" hidden="1" x14ac:dyDescent="0.3">
      <c r="A3267" s="1" t="s">
        <v>9887</v>
      </c>
      <c r="B3267" s="1"/>
      <c r="C3267" s="1"/>
      <c r="D3267" s="1"/>
      <c r="E3267" s="1"/>
      <c r="F3267" s="1"/>
      <c r="G3267" s="1" t="s">
        <v>13</v>
      </c>
      <c r="H3267" s="2">
        <v>0</v>
      </c>
      <c r="I3267" s="1" t="s">
        <v>13</v>
      </c>
      <c r="J3267" s="1" t="s">
        <v>13</v>
      </c>
      <c r="K3267" s="1" t="s">
        <v>13</v>
      </c>
      <c r="L3267" s="1" t="s">
        <v>13</v>
      </c>
      <c r="M3267" s="6" t="str">
        <f>_xlfn.CONCAT(Table1[[#This Row],[Billing Street]], ", ", Table1[[#This Row],[Billing City]], ", ", Table1[[#This Row],[Billing State/Province]], ", ", Table1[[#This Row],[Billing Zip/Postal Code]])</f>
        <v xml:space="preserve">, , , </v>
      </c>
    </row>
    <row r="3268" spans="1:13" ht="15.6" hidden="1" x14ac:dyDescent="0.3">
      <c r="A3268" s="1" t="s">
        <v>9888</v>
      </c>
      <c r="B3268" s="1"/>
      <c r="C3268" s="1"/>
      <c r="D3268" s="1"/>
      <c r="E3268" s="1"/>
      <c r="F3268" s="1"/>
      <c r="G3268" s="1" t="s">
        <v>13</v>
      </c>
      <c r="H3268" s="2">
        <v>0</v>
      </c>
      <c r="I3268" s="1" t="s">
        <v>13</v>
      </c>
      <c r="J3268" s="1" t="s">
        <v>13</v>
      </c>
      <c r="K3268" s="1" t="s">
        <v>13</v>
      </c>
      <c r="L3268" s="1" t="s">
        <v>13</v>
      </c>
      <c r="M3268" s="6" t="str">
        <f>_xlfn.CONCAT(Table1[[#This Row],[Billing Street]], ", ", Table1[[#This Row],[Billing City]], ", ", Table1[[#This Row],[Billing State/Province]], ", ", Table1[[#This Row],[Billing Zip/Postal Code]])</f>
        <v xml:space="preserve">, , , </v>
      </c>
    </row>
    <row r="3269" spans="1:13" ht="15.6" hidden="1" x14ac:dyDescent="0.3">
      <c r="A3269" s="1" t="s">
        <v>9889</v>
      </c>
      <c r="B3269" s="1"/>
      <c r="C3269" s="1"/>
      <c r="D3269" s="1"/>
      <c r="E3269" s="1"/>
      <c r="F3269" s="1"/>
      <c r="G3269" s="1" t="s">
        <v>13</v>
      </c>
      <c r="H3269" s="2">
        <v>0</v>
      </c>
      <c r="I3269" s="1" t="s">
        <v>13</v>
      </c>
      <c r="J3269" s="1" t="s">
        <v>13</v>
      </c>
      <c r="K3269" s="1" t="s">
        <v>13</v>
      </c>
      <c r="L3269" s="1" t="s">
        <v>13</v>
      </c>
      <c r="M3269" s="6" t="str">
        <f>_xlfn.CONCAT(Table1[[#This Row],[Billing Street]], ", ", Table1[[#This Row],[Billing City]], ", ", Table1[[#This Row],[Billing State/Province]], ", ", Table1[[#This Row],[Billing Zip/Postal Code]])</f>
        <v xml:space="preserve">, , , </v>
      </c>
    </row>
    <row r="3270" spans="1:13" ht="15.6" hidden="1" x14ac:dyDescent="0.3">
      <c r="A3270" s="1" t="s">
        <v>9890</v>
      </c>
      <c r="B3270" s="1"/>
      <c r="C3270" s="1"/>
      <c r="D3270" s="1"/>
      <c r="E3270" s="1"/>
      <c r="F3270" s="1"/>
      <c r="G3270" s="1" t="s">
        <v>54</v>
      </c>
      <c r="H3270" s="2">
        <v>35</v>
      </c>
      <c r="I3270" s="1" t="s">
        <v>9891</v>
      </c>
      <c r="J3270" s="1" t="s">
        <v>5447</v>
      </c>
      <c r="K3270" s="1" t="s">
        <v>57</v>
      </c>
      <c r="L3270" s="1" t="s">
        <v>5448</v>
      </c>
      <c r="M3270" s="6" t="str">
        <f>_xlfn.CONCAT(Table1[[#This Row],[Billing Street]], ", ", Table1[[#This Row],[Billing City]], ", ", Table1[[#This Row],[Billing State/Province]], ", ", Table1[[#This Row],[Billing Zip/Postal Code]])</f>
        <v>3002 Dow Ave Suite 504, Tustin, CA, 92780</v>
      </c>
    </row>
    <row r="3271" spans="1:13" ht="15.6" hidden="1" x14ac:dyDescent="0.3">
      <c r="A3271" s="1" t="s">
        <v>9892</v>
      </c>
      <c r="B3271" s="1"/>
      <c r="C3271" s="1"/>
      <c r="D3271" s="1"/>
      <c r="E3271" s="1"/>
      <c r="F3271" s="1"/>
      <c r="G3271" s="1" t="s">
        <v>43</v>
      </c>
      <c r="H3271" s="2">
        <v>5776</v>
      </c>
      <c r="I3271" s="1" t="s">
        <v>9893</v>
      </c>
      <c r="J3271" s="1" t="s">
        <v>9894</v>
      </c>
      <c r="K3271" s="1" t="s">
        <v>781</v>
      </c>
      <c r="L3271" s="1" t="s">
        <v>9895</v>
      </c>
      <c r="M3271" s="6" t="str">
        <f>_xlfn.CONCAT(Table1[[#This Row],[Billing Street]], ", ", Table1[[#This Row],[Billing City]], ", ", Table1[[#This Row],[Billing State/Province]], ", ", Table1[[#This Row],[Billing Zip/Postal Code]])</f>
        <v>334 S. Warminster Rd, Hatboro, pa, 19040</v>
      </c>
    </row>
    <row r="3272" spans="1:13" ht="15.6" hidden="1" x14ac:dyDescent="0.3">
      <c r="A3272" s="1" t="s">
        <v>9896</v>
      </c>
      <c r="B3272" s="1"/>
      <c r="C3272" s="1"/>
      <c r="D3272" s="1"/>
      <c r="E3272" s="1"/>
      <c r="F3272" s="1"/>
      <c r="G3272" s="1" t="s">
        <v>43</v>
      </c>
      <c r="H3272" s="2">
        <v>248</v>
      </c>
      <c r="I3272" s="1" t="s">
        <v>9897</v>
      </c>
      <c r="J3272" s="1" t="s">
        <v>9898</v>
      </c>
      <c r="K3272" s="1" t="s">
        <v>275</v>
      </c>
      <c r="L3272" s="1" t="s">
        <v>9899</v>
      </c>
      <c r="M3272" s="6" t="str">
        <f>_xlfn.CONCAT(Table1[[#This Row],[Billing Street]], ", ", Table1[[#This Row],[Billing City]], ", ", Table1[[#This Row],[Billing State/Province]], ", ", Table1[[#This Row],[Billing Zip/Postal Code]])</f>
        <v>2 South St, Cliffton Springs, ny, 14432</v>
      </c>
    </row>
    <row r="3273" spans="1:13" ht="15.6" hidden="1" x14ac:dyDescent="0.3">
      <c r="A3273" s="1" t="s">
        <v>9900</v>
      </c>
      <c r="B3273" s="1"/>
      <c r="C3273" s="1"/>
      <c r="D3273" s="1"/>
      <c r="E3273" s="1"/>
      <c r="F3273" s="1"/>
      <c r="G3273" s="1" t="s">
        <v>13</v>
      </c>
      <c r="H3273" s="2">
        <v>0</v>
      </c>
      <c r="I3273" s="1" t="s">
        <v>13</v>
      </c>
      <c r="J3273" s="1" t="s">
        <v>13</v>
      </c>
      <c r="K3273" s="1" t="s">
        <v>13</v>
      </c>
      <c r="L3273" s="1" t="s">
        <v>13</v>
      </c>
      <c r="M3273" s="6" t="str">
        <f>_xlfn.CONCAT(Table1[[#This Row],[Billing Street]], ", ", Table1[[#This Row],[Billing City]], ", ", Table1[[#This Row],[Billing State/Province]], ", ", Table1[[#This Row],[Billing Zip/Postal Code]])</f>
        <v xml:space="preserve">, , , </v>
      </c>
    </row>
    <row r="3274" spans="1:13" ht="15.6" x14ac:dyDescent="0.3">
      <c r="A3274" s="1" t="s">
        <v>9901</v>
      </c>
      <c r="B3274" s="1"/>
      <c r="C3274" s="1"/>
      <c r="D3274" s="1"/>
      <c r="E3274" s="1"/>
      <c r="F3274" s="1"/>
      <c r="G3274" s="1" t="s">
        <v>24</v>
      </c>
      <c r="H3274" s="2">
        <v>5988</v>
      </c>
      <c r="I3274" s="1" t="s">
        <v>9902</v>
      </c>
      <c r="J3274" s="1" t="s">
        <v>4402</v>
      </c>
      <c r="K3274" s="1" t="s">
        <v>577</v>
      </c>
      <c r="L3274" s="1" t="s">
        <v>9903</v>
      </c>
      <c r="M3274" s="6" t="str">
        <f>_xlfn.CONCAT(Table1[[#This Row],[Billing Street]], ", ", Table1[[#This Row],[Billing City]], ", ", Table1[[#This Row],[Billing State/Province]], ", ", Table1[[#This Row],[Billing Zip/Postal Code]])</f>
        <v>117 Facility Services Building, Baton Rouge, LA, 70803</v>
      </c>
    </row>
    <row r="3275" spans="1:13" ht="15.6" hidden="1" x14ac:dyDescent="0.3">
      <c r="A3275" s="1" t="s">
        <v>9904</v>
      </c>
      <c r="B3275" s="1"/>
      <c r="C3275" s="1"/>
      <c r="D3275" s="1"/>
      <c r="E3275" s="1"/>
      <c r="F3275" s="1"/>
      <c r="G3275" s="1" t="s">
        <v>13</v>
      </c>
      <c r="H3275" s="2">
        <v>0</v>
      </c>
      <c r="I3275" s="1" t="s">
        <v>13</v>
      </c>
      <c r="J3275" s="1" t="s">
        <v>13</v>
      </c>
      <c r="K3275" s="1" t="s">
        <v>13</v>
      </c>
      <c r="L3275" s="1" t="s">
        <v>13</v>
      </c>
      <c r="M3275" s="6" t="str">
        <f>_xlfn.CONCAT(Table1[[#This Row],[Billing Street]], ", ", Table1[[#This Row],[Billing City]], ", ", Table1[[#This Row],[Billing State/Province]], ", ", Table1[[#This Row],[Billing Zip/Postal Code]])</f>
        <v xml:space="preserve">, , , </v>
      </c>
    </row>
    <row r="3276" spans="1:13" ht="15.6" hidden="1" x14ac:dyDescent="0.3">
      <c r="A3276" s="1" t="s">
        <v>9905</v>
      </c>
      <c r="B3276" s="1"/>
      <c r="C3276" s="1"/>
      <c r="D3276" s="1"/>
      <c r="E3276" s="1"/>
      <c r="F3276" s="1"/>
      <c r="G3276" s="1" t="s">
        <v>43</v>
      </c>
      <c r="H3276" s="2">
        <v>394</v>
      </c>
      <c r="I3276" s="1" t="s">
        <v>9906</v>
      </c>
      <c r="J3276" s="1" t="s">
        <v>2485</v>
      </c>
      <c r="K3276" s="1" t="s">
        <v>275</v>
      </c>
      <c r="L3276" s="1" t="s">
        <v>9907</v>
      </c>
      <c r="M3276" s="6" t="str">
        <f>_xlfn.CONCAT(Table1[[#This Row],[Billing Street]], ", ", Table1[[#This Row],[Billing City]], ", ", Table1[[#This Row],[Billing State/Province]], ", ", Table1[[#This Row],[Billing Zip/Postal Code]])</f>
        <v>180 Varick Ave, Brooklyn, ny, 11237</v>
      </c>
    </row>
    <row r="3277" spans="1:13" ht="15.6" x14ac:dyDescent="0.3">
      <c r="A3277" s="1" t="s">
        <v>9908</v>
      </c>
      <c r="B3277" s="1"/>
      <c r="C3277" s="1"/>
      <c r="D3277" s="1"/>
      <c r="E3277" s="1"/>
      <c r="F3277" s="1"/>
      <c r="G3277" s="1" t="s">
        <v>24</v>
      </c>
      <c r="H3277" s="2">
        <v>276</v>
      </c>
      <c r="I3277" s="1" t="s">
        <v>9909</v>
      </c>
      <c r="J3277" s="1" t="s">
        <v>4045</v>
      </c>
      <c r="K3277" s="1" t="s">
        <v>36</v>
      </c>
      <c r="L3277" s="1" t="s">
        <v>4046</v>
      </c>
      <c r="M3277" s="6" t="str">
        <f>_xlfn.CONCAT(Table1[[#This Row],[Billing Street]], ", ", Table1[[#This Row],[Billing City]], ", ", Table1[[#This Row],[Billing State/Province]], ", ", Table1[[#This Row],[Billing Zip/Postal Code]])</f>
        <v>4280, 10 Gum St, Fernandina Beach, FL, 32034</v>
      </c>
    </row>
    <row r="3278" spans="1:13" ht="15.6" hidden="1" x14ac:dyDescent="0.3">
      <c r="A3278" s="1" t="s">
        <v>9910</v>
      </c>
      <c r="B3278" s="1"/>
      <c r="C3278" s="1"/>
      <c r="D3278" s="1"/>
      <c r="E3278" s="1"/>
      <c r="F3278" s="1"/>
      <c r="G3278" s="1" t="s">
        <v>43</v>
      </c>
      <c r="H3278" s="2">
        <v>255</v>
      </c>
      <c r="I3278" s="1" t="s">
        <v>9911</v>
      </c>
      <c r="J3278" s="1" t="s">
        <v>9912</v>
      </c>
      <c r="K3278" s="1" t="s">
        <v>237</v>
      </c>
      <c r="L3278" s="1" t="s">
        <v>9913</v>
      </c>
      <c r="M3278" s="6" t="str">
        <f>_xlfn.CONCAT(Table1[[#This Row],[Billing Street]], ", ", Table1[[#This Row],[Billing City]], ", ", Table1[[#This Row],[Billing State/Province]], ", ", Table1[[#This Row],[Billing Zip/Postal Code]])</f>
        <v>15299 Stony Creek Way, Noblesville, IN, 46060</v>
      </c>
    </row>
    <row r="3279" spans="1:13" ht="15.6" x14ac:dyDescent="0.3">
      <c r="A3279" s="1" t="s">
        <v>9914</v>
      </c>
      <c r="B3279" s="1"/>
      <c r="C3279" s="1"/>
      <c r="D3279" s="1"/>
      <c r="E3279" s="1"/>
      <c r="F3279" s="1"/>
      <c r="G3279" s="1" t="s">
        <v>24</v>
      </c>
      <c r="H3279" s="2">
        <v>5988</v>
      </c>
      <c r="I3279" s="1" t="s">
        <v>9915</v>
      </c>
      <c r="J3279" s="1" t="s">
        <v>522</v>
      </c>
      <c r="K3279" s="1" t="s">
        <v>26</v>
      </c>
      <c r="L3279" s="1" t="s">
        <v>13</v>
      </c>
      <c r="M3279" s="6" t="str">
        <f>_xlfn.CONCAT(Table1[[#This Row],[Billing Street]], ", ", Table1[[#This Row],[Billing City]], ", ", Table1[[#This Row],[Billing State/Province]], ", ", Table1[[#This Row],[Billing Zip/Postal Code]])</f>
        <v xml:space="preserve">PO Box 1102, Andalusia, AL, </v>
      </c>
    </row>
    <row r="3280" spans="1:13" ht="15.6" x14ac:dyDescent="0.3">
      <c r="A3280" s="1" t="s">
        <v>9916</v>
      </c>
      <c r="B3280" s="1"/>
      <c r="C3280" s="1"/>
      <c r="D3280" s="1"/>
      <c r="E3280" s="1"/>
      <c r="F3280" s="1"/>
      <c r="G3280" s="1" t="s">
        <v>24</v>
      </c>
      <c r="H3280" s="2">
        <v>319</v>
      </c>
      <c r="I3280" s="1" t="s">
        <v>9917</v>
      </c>
      <c r="J3280" s="1" t="s">
        <v>1944</v>
      </c>
      <c r="K3280" s="1" t="s">
        <v>36</v>
      </c>
      <c r="L3280" s="1" t="s">
        <v>9918</v>
      </c>
      <c r="M3280" s="6" t="str">
        <f>_xlfn.CONCAT(Table1[[#This Row],[Billing Street]], ", ", Table1[[#This Row],[Billing City]], ", ", Table1[[#This Row],[Billing State/Province]], ", ", Table1[[#This Row],[Billing Zip/Postal Code]])</f>
        <v>6450 Horizon Point Drive, Lakeland, FL, 33813</v>
      </c>
    </row>
    <row r="3281" spans="1:13" ht="15.6" x14ac:dyDescent="0.3">
      <c r="A3281" s="1" t="s">
        <v>9919</v>
      </c>
      <c r="B3281" s="1"/>
      <c r="C3281" s="1"/>
      <c r="D3281" s="1"/>
      <c r="E3281" s="1"/>
      <c r="F3281" s="1"/>
      <c r="G3281" s="1" t="s">
        <v>24</v>
      </c>
      <c r="H3281" s="2">
        <v>304</v>
      </c>
      <c r="I3281" s="1" t="s">
        <v>9920</v>
      </c>
      <c r="J3281" s="1" t="s">
        <v>9921</v>
      </c>
      <c r="K3281" s="1" t="s">
        <v>577</v>
      </c>
      <c r="L3281" s="1" t="s">
        <v>9922</v>
      </c>
      <c r="M3281" s="6" t="str">
        <f>_xlfn.CONCAT(Table1[[#This Row],[Billing Street]], ", ", Table1[[#This Row],[Billing City]], ", ", Table1[[#This Row],[Billing State/Province]], ", ", Table1[[#This Row],[Billing Zip/Postal Code]])</f>
        <v>1070 Cinclare Dr, Port Allen, LA, 70767</v>
      </c>
    </row>
    <row r="3282" spans="1:13" ht="15.6" x14ac:dyDescent="0.3">
      <c r="A3282" s="1" t="s">
        <v>9923</v>
      </c>
      <c r="B3282" s="1"/>
      <c r="C3282" s="1"/>
      <c r="D3282" s="1"/>
      <c r="E3282" s="1"/>
      <c r="F3282" s="1"/>
      <c r="G3282" s="1" t="s">
        <v>24</v>
      </c>
      <c r="H3282" s="2">
        <v>290</v>
      </c>
      <c r="I3282" s="1" t="s">
        <v>9924</v>
      </c>
      <c r="J3282" s="1" t="s">
        <v>1882</v>
      </c>
      <c r="K3282" s="1" t="s">
        <v>36</v>
      </c>
      <c r="L3282" s="1" t="s">
        <v>3429</v>
      </c>
      <c r="M3282" s="6" t="str">
        <f>_xlfn.CONCAT(Table1[[#This Row],[Billing Street]], ", ", Table1[[#This Row],[Billing City]], ", ", Table1[[#This Row],[Billing State/Province]], ", ", Table1[[#This Row],[Billing Zip/Postal Code]])</f>
        <v>9501 US 441, Leesburg, FL, 34788</v>
      </c>
    </row>
    <row r="3283" spans="1:13" ht="15.6" hidden="1" x14ac:dyDescent="0.3">
      <c r="A3283" s="1" t="s">
        <v>9925</v>
      </c>
      <c r="B3283" s="1"/>
      <c r="C3283" s="1"/>
      <c r="D3283" s="1"/>
      <c r="E3283" s="1"/>
      <c r="F3283" s="1"/>
      <c r="G3283" s="1" t="s">
        <v>13</v>
      </c>
      <c r="H3283" s="2">
        <v>0</v>
      </c>
      <c r="I3283" s="1" t="s">
        <v>13</v>
      </c>
      <c r="J3283" s="1" t="s">
        <v>13</v>
      </c>
      <c r="K3283" s="1" t="s">
        <v>13</v>
      </c>
      <c r="L3283" s="1" t="s">
        <v>13</v>
      </c>
      <c r="M3283" s="6" t="str">
        <f>_xlfn.CONCAT(Table1[[#This Row],[Billing Street]], ", ", Table1[[#This Row],[Billing City]], ", ", Table1[[#This Row],[Billing State/Province]], ", ", Table1[[#This Row],[Billing Zip/Postal Code]])</f>
        <v xml:space="preserve">, , , </v>
      </c>
    </row>
    <row r="3284" spans="1:13" ht="15.6" hidden="1" x14ac:dyDescent="0.3">
      <c r="A3284" s="1" t="s">
        <v>9926</v>
      </c>
      <c r="B3284" s="1"/>
      <c r="C3284" s="1"/>
      <c r="D3284" s="1"/>
      <c r="E3284" s="1"/>
      <c r="F3284" s="1"/>
      <c r="G3284" s="1" t="s">
        <v>43</v>
      </c>
      <c r="H3284" s="2">
        <v>5776</v>
      </c>
      <c r="I3284" s="1" t="s">
        <v>9927</v>
      </c>
      <c r="J3284" s="1" t="s">
        <v>6304</v>
      </c>
      <c r="K3284" s="1" t="s">
        <v>9928</v>
      </c>
      <c r="L3284" s="1" t="s">
        <v>6305</v>
      </c>
      <c r="M3284" s="6" t="str">
        <f>_xlfn.CONCAT(Table1[[#This Row],[Billing Street]], ", ", Table1[[#This Row],[Billing City]], ", ", Table1[[#This Row],[Billing State/Province]], ", ", Table1[[#This Row],[Billing Zip/Postal Code]])</f>
        <v>1080 Main St, Pawtucket, ri, 2860</v>
      </c>
    </row>
    <row r="3285" spans="1:13" ht="15.6" hidden="1" x14ac:dyDescent="0.3">
      <c r="A3285" s="1" t="s">
        <v>9929</v>
      </c>
      <c r="B3285" s="1"/>
      <c r="C3285" s="1"/>
      <c r="D3285" s="1"/>
      <c r="E3285" s="1"/>
      <c r="F3285" s="1"/>
      <c r="G3285" s="1" t="s">
        <v>13</v>
      </c>
      <c r="H3285" s="2">
        <v>0</v>
      </c>
      <c r="I3285" s="1" t="s">
        <v>13</v>
      </c>
      <c r="J3285" s="1" t="s">
        <v>13</v>
      </c>
      <c r="K3285" s="1" t="s">
        <v>13</v>
      </c>
      <c r="L3285" s="1" t="s">
        <v>13</v>
      </c>
      <c r="M3285" s="6" t="str">
        <f>_xlfn.CONCAT(Table1[[#This Row],[Billing Street]], ", ", Table1[[#This Row],[Billing City]], ", ", Table1[[#This Row],[Billing State/Province]], ", ", Table1[[#This Row],[Billing Zip/Postal Code]])</f>
        <v xml:space="preserve">, , , </v>
      </c>
    </row>
    <row r="3286" spans="1:13" ht="15.6" hidden="1" x14ac:dyDescent="0.3">
      <c r="A3286" s="1" t="s">
        <v>9930</v>
      </c>
      <c r="B3286" s="1"/>
      <c r="C3286" s="1"/>
      <c r="D3286" s="1"/>
      <c r="E3286" s="1"/>
      <c r="F3286" s="1"/>
      <c r="G3286" s="1" t="s">
        <v>43</v>
      </c>
      <c r="H3286" s="2">
        <v>5776</v>
      </c>
      <c r="I3286" s="1" t="s">
        <v>9931</v>
      </c>
      <c r="J3286" s="1" t="s">
        <v>9932</v>
      </c>
      <c r="K3286" s="1" t="s">
        <v>781</v>
      </c>
      <c r="L3286" s="1" t="s">
        <v>9933</v>
      </c>
      <c r="M3286" s="6" t="str">
        <f>_xlfn.CONCAT(Table1[[#This Row],[Billing Street]], ", ", Table1[[#This Row],[Billing City]], ", ", Table1[[#This Row],[Billing State/Province]], ", ", Table1[[#This Row],[Billing Zip/Postal Code]])</f>
        <v>121 Commerce Dr, Montgomeryville, pa, 18936</v>
      </c>
    </row>
    <row r="3287" spans="1:13" ht="15.6" hidden="1" x14ac:dyDescent="0.3">
      <c r="A3287" s="1" t="s">
        <v>9934</v>
      </c>
      <c r="B3287" s="1"/>
      <c r="C3287" s="1"/>
      <c r="D3287" s="1"/>
      <c r="E3287" s="1"/>
      <c r="F3287" s="1"/>
      <c r="G3287" s="1" t="s">
        <v>54</v>
      </c>
      <c r="H3287" s="2">
        <v>7813</v>
      </c>
      <c r="I3287" s="1" t="s">
        <v>13</v>
      </c>
      <c r="J3287" s="1" t="s">
        <v>1158</v>
      </c>
      <c r="K3287" s="1" t="s">
        <v>57</v>
      </c>
      <c r="L3287" s="1" t="s">
        <v>13</v>
      </c>
      <c r="M3287" s="6" t="str">
        <f>_xlfn.CONCAT(Table1[[#This Row],[Billing Street]], ", ", Table1[[#This Row],[Billing City]], ", ", Table1[[#This Row],[Billing State/Province]], ", ", Table1[[#This Row],[Billing Zip/Postal Code]])</f>
        <v xml:space="preserve">, San Diego, CA, </v>
      </c>
    </row>
    <row r="3288" spans="1:13" ht="15.6" x14ac:dyDescent="0.3">
      <c r="A3288" s="1" t="s">
        <v>9935</v>
      </c>
      <c r="B3288" s="1"/>
      <c r="C3288" s="1"/>
      <c r="D3288" s="1"/>
      <c r="E3288" s="1"/>
      <c r="F3288" s="1"/>
      <c r="G3288" s="1" t="s">
        <v>24</v>
      </c>
      <c r="H3288" s="2">
        <v>378</v>
      </c>
      <c r="I3288" s="1" t="s">
        <v>9936</v>
      </c>
      <c r="J3288" s="1" t="s">
        <v>6527</v>
      </c>
      <c r="K3288" s="1" t="s">
        <v>3357</v>
      </c>
      <c r="L3288" s="1" t="s">
        <v>9937</v>
      </c>
      <c r="M3288" s="6" t="str">
        <f>_xlfn.CONCAT(Table1[[#This Row],[Billing Street]], ", ", Table1[[#This Row],[Billing City]], ", ", Table1[[#This Row],[Billing State/Province]], ", ", Table1[[#This Row],[Billing Zip/Postal Code]])</f>
        <v>Hwy 28 West, Alexandria, La, 71315</v>
      </c>
    </row>
    <row r="3289" spans="1:13" ht="15.6" hidden="1" x14ac:dyDescent="0.3">
      <c r="A3289" s="1" t="s">
        <v>9938</v>
      </c>
      <c r="B3289" s="1"/>
      <c r="C3289" s="1"/>
      <c r="D3289" s="1"/>
      <c r="E3289" s="1"/>
      <c r="F3289" s="1"/>
      <c r="G3289" s="1" t="s">
        <v>43</v>
      </c>
      <c r="H3289" s="2">
        <v>293</v>
      </c>
      <c r="I3289" s="1" t="s">
        <v>9939</v>
      </c>
      <c r="J3289" s="1" t="s">
        <v>2363</v>
      </c>
      <c r="K3289" s="1" t="s">
        <v>671</v>
      </c>
      <c r="L3289" s="1" t="s">
        <v>9940</v>
      </c>
      <c r="M3289" s="6" t="str">
        <f>_xlfn.CONCAT(Table1[[#This Row],[Billing Street]], ", ", Table1[[#This Row],[Billing City]], ", ", Table1[[#This Row],[Billing State/Province]], ", ", Table1[[#This Row],[Billing Zip/Postal Code]])</f>
        <v>1225 State Fair Blvd., Syracuse, NY, 13209</v>
      </c>
    </row>
    <row r="3290" spans="1:13" ht="15.6" hidden="1" x14ac:dyDescent="0.3">
      <c r="A3290" s="1" t="s">
        <v>9941</v>
      </c>
      <c r="B3290" s="1"/>
      <c r="C3290" s="1"/>
      <c r="D3290" s="1"/>
      <c r="E3290" s="1"/>
      <c r="F3290" s="1"/>
      <c r="G3290" s="1" t="s">
        <v>43</v>
      </c>
      <c r="H3290" s="2">
        <v>60</v>
      </c>
      <c r="I3290" s="1" t="s">
        <v>9942</v>
      </c>
      <c r="J3290" s="1" t="s">
        <v>9943</v>
      </c>
      <c r="K3290" s="1" t="s">
        <v>241</v>
      </c>
      <c r="L3290" s="1" t="s">
        <v>9944</v>
      </c>
      <c r="M3290" s="6" t="str">
        <f>_xlfn.CONCAT(Table1[[#This Row],[Billing Street]], ", ", Table1[[#This Row],[Billing City]], ", ", Table1[[#This Row],[Billing State/Province]], ", ", Table1[[#This Row],[Billing Zip/Postal Code]])</f>
        <v>134 High Street, New Wilmington, PA, 16142</v>
      </c>
    </row>
    <row r="3291" spans="1:13" ht="15.6" hidden="1" x14ac:dyDescent="0.3">
      <c r="A3291" s="1" t="s">
        <v>9945</v>
      </c>
      <c r="B3291" s="1"/>
      <c r="C3291" s="1"/>
      <c r="D3291" s="1"/>
      <c r="E3291" s="1"/>
      <c r="F3291" s="1"/>
      <c r="G3291" s="1" t="s">
        <v>13</v>
      </c>
      <c r="H3291" s="2">
        <v>0</v>
      </c>
      <c r="I3291" s="1" t="s">
        <v>13</v>
      </c>
      <c r="J3291" s="1" t="s">
        <v>13</v>
      </c>
      <c r="K3291" s="1" t="s">
        <v>13</v>
      </c>
      <c r="L3291" s="1" t="s">
        <v>13</v>
      </c>
      <c r="M3291" s="6" t="str">
        <f>_xlfn.CONCAT(Table1[[#This Row],[Billing Street]], ", ", Table1[[#This Row],[Billing City]], ", ", Table1[[#This Row],[Billing State/Province]], ", ", Table1[[#This Row],[Billing Zip/Postal Code]])</f>
        <v xml:space="preserve">, , , </v>
      </c>
    </row>
    <row r="3292" spans="1:13" ht="15.6" hidden="1" x14ac:dyDescent="0.3">
      <c r="A3292" s="1" t="s">
        <v>9946</v>
      </c>
      <c r="B3292" s="1"/>
      <c r="C3292" s="1"/>
      <c r="D3292" s="1"/>
      <c r="E3292" s="1"/>
      <c r="F3292" s="1"/>
      <c r="G3292" s="1" t="s">
        <v>13</v>
      </c>
      <c r="H3292" s="2">
        <v>0</v>
      </c>
      <c r="I3292" s="1" t="s">
        <v>13</v>
      </c>
      <c r="J3292" s="1" t="s">
        <v>13</v>
      </c>
      <c r="K3292" s="1" t="s">
        <v>13</v>
      </c>
      <c r="L3292" s="1" t="s">
        <v>13</v>
      </c>
      <c r="M3292" s="6" t="str">
        <f>_xlfn.CONCAT(Table1[[#This Row],[Billing Street]], ", ", Table1[[#This Row],[Billing City]], ", ", Table1[[#This Row],[Billing State/Province]], ", ", Table1[[#This Row],[Billing Zip/Postal Code]])</f>
        <v xml:space="preserve">, , , </v>
      </c>
    </row>
    <row r="3293" spans="1:13" ht="15.6" x14ac:dyDescent="0.3">
      <c r="A3293" s="1" t="s">
        <v>9947</v>
      </c>
      <c r="B3293" s="1"/>
      <c r="C3293" s="1"/>
      <c r="D3293" s="1"/>
      <c r="E3293" s="1"/>
      <c r="F3293" s="1"/>
      <c r="G3293" s="1" t="s">
        <v>24</v>
      </c>
      <c r="H3293" s="2">
        <v>288</v>
      </c>
      <c r="I3293" s="1" t="s">
        <v>9948</v>
      </c>
      <c r="J3293" s="1" t="s">
        <v>5356</v>
      </c>
      <c r="K3293" s="1" t="s">
        <v>577</v>
      </c>
      <c r="L3293" s="1" t="s">
        <v>9949</v>
      </c>
      <c r="M3293" s="6" t="str">
        <f>_xlfn.CONCAT(Table1[[#This Row],[Billing Street]], ", ", Table1[[#This Row],[Billing City]], ", ", Table1[[#This Row],[Billing State/Province]], ", ", Table1[[#This Row],[Billing Zip/Postal Code]])</f>
        <v>4800 Highway 311, Houma, LA, 70360</v>
      </c>
    </row>
    <row r="3294" spans="1:13" ht="15.6" x14ac:dyDescent="0.3">
      <c r="A3294" s="1" t="s">
        <v>9950</v>
      </c>
      <c r="B3294" s="1"/>
      <c r="C3294" s="1"/>
      <c r="D3294" s="1"/>
      <c r="E3294" s="1"/>
      <c r="F3294" s="1"/>
      <c r="G3294" s="1" t="s">
        <v>24</v>
      </c>
      <c r="H3294" s="2">
        <v>379</v>
      </c>
      <c r="I3294" s="1" t="s">
        <v>9951</v>
      </c>
      <c r="J3294" s="1" t="s">
        <v>6527</v>
      </c>
      <c r="K3294" s="1" t="s">
        <v>577</v>
      </c>
      <c r="L3294" s="1" t="s">
        <v>6528</v>
      </c>
      <c r="M3294" s="6" t="str">
        <f>_xlfn.CONCAT(Table1[[#This Row],[Billing Street]], ", ", Table1[[#This Row],[Billing City]], ", ", Table1[[#This Row],[Billing State/Province]], ", ", Table1[[#This Row],[Billing Zip/Postal Code]])</f>
        <v>2910 North Bolton Avenue, Alexandria, LA, 71303</v>
      </c>
    </row>
    <row r="3295" spans="1:13" ht="15.6" x14ac:dyDescent="0.3">
      <c r="A3295" s="1" t="s">
        <v>9952</v>
      </c>
      <c r="B3295" s="1"/>
      <c r="C3295" s="1"/>
      <c r="D3295" s="1"/>
      <c r="E3295" s="1"/>
      <c r="F3295" s="1"/>
      <c r="G3295" s="1" t="s">
        <v>24</v>
      </c>
      <c r="H3295" s="2">
        <v>333</v>
      </c>
      <c r="I3295" s="1" t="s">
        <v>9953</v>
      </c>
      <c r="J3295" s="1" t="s">
        <v>9954</v>
      </c>
      <c r="K3295" s="1" t="s">
        <v>36</v>
      </c>
      <c r="L3295" s="1" t="s">
        <v>9955</v>
      </c>
      <c r="M3295" s="6" t="str">
        <f>_xlfn.CONCAT(Table1[[#This Row],[Billing Street]], ", ", Table1[[#This Row],[Billing City]], ", ", Table1[[#This Row],[Billing State/Province]], ", ", Table1[[#This Row],[Billing Zip/Postal Code]])</f>
        <v>3225 CR 630 W, Fort Meade, FL, 33841</v>
      </c>
    </row>
    <row r="3296" spans="1:13" ht="15.6" hidden="1" x14ac:dyDescent="0.3">
      <c r="A3296" s="1" t="s">
        <v>9956</v>
      </c>
      <c r="B3296" s="1"/>
      <c r="C3296" s="1"/>
      <c r="D3296" s="1"/>
      <c r="E3296" s="1"/>
      <c r="F3296" s="1"/>
      <c r="G3296" s="1" t="s">
        <v>13</v>
      </c>
      <c r="H3296" s="2">
        <v>0</v>
      </c>
      <c r="I3296" s="1" t="s">
        <v>13</v>
      </c>
      <c r="J3296" s="1" t="s">
        <v>13</v>
      </c>
      <c r="K3296" s="1" t="s">
        <v>13</v>
      </c>
      <c r="L3296" s="1" t="s">
        <v>13</v>
      </c>
      <c r="M3296" s="6" t="str">
        <f>_xlfn.CONCAT(Table1[[#This Row],[Billing Street]], ", ", Table1[[#This Row],[Billing City]], ", ", Table1[[#This Row],[Billing State/Province]], ", ", Table1[[#This Row],[Billing Zip/Postal Code]])</f>
        <v xml:space="preserve">, , , </v>
      </c>
    </row>
    <row r="3297" spans="1:13" ht="15.6" hidden="1" x14ac:dyDescent="0.3">
      <c r="A3297" s="1" t="s">
        <v>9957</v>
      </c>
      <c r="B3297" s="1"/>
      <c r="C3297" s="1"/>
      <c r="D3297" s="1"/>
      <c r="E3297" s="1"/>
      <c r="F3297" s="1"/>
      <c r="G3297" s="1" t="s">
        <v>8</v>
      </c>
      <c r="H3297" s="2">
        <v>614</v>
      </c>
      <c r="I3297" s="1" t="s">
        <v>9958</v>
      </c>
      <c r="J3297" s="1" t="s">
        <v>388</v>
      </c>
      <c r="K3297" s="1" t="s">
        <v>208</v>
      </c>
      <c r="L3297" s="1" t="s">
        <v>9959</v>
      </c>
      <c r="M3297" s="6" t="str">
        <f>_xlfn.CONCAT(Table1[[#This Row],[Billing Street]], ", ", Table1[[#This Row],[Billing City]], ", ", Table1[[#This Row],[Billing State/Province]], ", ", Table1[[#This Row],[Billing Zip/Postal Code]])</f>
        <v>41284 US-6, Avon, CO, 81620</v>
      </c>
    </row>
    <row r="3298" spans="1:13" ht="15.6" x14ac:dyDescent="0.3">
      <c r="A3298" s="1" t="s">
        <v>9960</v>
      </c>
      <c r="B3298" s="1"/>
      <c r="C3298" s="1"/>
      <c r="D3298" s="1"/>
      <c r="E3298" s="1"/>
      <c r="F3298" s="1"/>
      <c r="G3298" s="1" t="s">
        <v>24</v>
      </c>
      <c r="H3298" s="2">
        <v>331</v>
      </c>
      <c r="I3298" s="1" t="s">
        <v>9961</v>
      </c>
      <c r="J3298" s="1" t="s">
        <v>9954</v>
      </c>
      <c r="K3298" s="1" t="s">
        <v>36</v>
      </c>
      <c r="L3298" s="1" t="s">
        <v>9955</v>
      </c>
      <c r="M3298" s="6" t="str">
        <f>_xlfn.CONCAT(Table1[[#This Row],[Billing Street]], ", ", Table1[[#This Row],[Billing City]], ", ", Table1[[#This Row],[Billing State/Province]], ", ", Table1[[#This Row],[Billing Zip/Postal Code]])</f>
        <v>221 W Broadway St, Fort Meade, FL, 33841</v>
      </c>
    </row>
    <row r="3299" spans="1:13" ht="15.6" hidden="1" x14ac:dyDescent="0.3">
      <c r="A3299" s="1" t="s">
        <v>9962</v>
      </c>
      <c r="B3299" s="1"/>
      <c r="C3299" s="1"/>
      <c r="D3299" s="1"/>
      <c r="E3299" s="1"/>
      <c r="F3299" s="1"/>
      <c r="G3299" s="1" t="s">
        <v>8</v>
      </c>
      <c r="H3299" s="2">
        <v>649</v>
      </c>
      <c r="I3299" s="1" t="s">
        <v>9963</v>
      </c>
      <c r="J3299" s="1" t="s">
        <v>9964</v>
      </c>
      <c r="K3299" s="1" t="s">
        <v>208</v>
      </c>
      <c r="L3299" s="1" t="s">
        <v>9965</v>
      </c>
      <c r="M3299" s="6" t="str">
        <f>_xlfn.CONCAT(Table1[[#This Row],[Billing Street]], ", ", Table1[[#This Row],[Billing City]], ", ", Table1[[#This Row],[Billing State/Province]], ", ", Table1[[#This Row],[Billing Zip/Postal Code]])</f>
        <v>520  S 3rd Street, Carbondale, CO, 81623</v>
      </c>
    </row>
    <row r="3300" spans="1:13" ht="15.6" x14ac:dyDescent="0.3">
      <c r="A3300" s="1" t="s">
        <v>9966</v>
      </c>
      <c r="B3300" s="1"/>
      <c r="C3300" s="1"/>
      <c r="D3300" s="1"/>
      <c r="E3300" s="1"/>
      <c r="F3300" s="1"/>
      <c r="G3300" s="1" t="s">
        <v>24</v>
      </c>
      <c r="H3300" s="2">
        <v>331</v>
      </c>
      <c r="I3300" s="1" t="s">
        <v>9967</v>
      </c>
      <c r="J3300" s="1" t="s">
        <v>9954</v>
      </c>
      <c r="K3300" s="1" t="s">
        <v>36</v>
      </c>
      <c r="L3300" s="1" t="s">
        <v>9955</v>
      </c>
      <c r="M3300" s="6" t="str">
        <f>_xlfn.CONCAT(Table1[[#This Row],[Billing Street]], ", ", Table1[[#This Row],[Billing City]], ", ", Table1[[#This Row],[Billing State/Province]], ", ", Table1[[#This Row],[Billing Zip/Postal Code]])</f>
        <v>516 4th St NW, Fort Meade, FL, 33841</v>
      </c>
    </row>
    <row r="3301" spans="1:13" ht="15.6" hidden="1" x14ac:dyDescent="0.3">
      <c r="A3301" s="1" t="s">
        <v>9968</v>
      </c>
      <c r="B3301" s="1"/>
      <c r="C3301" s="1"/>
      <c r="D3301" s="1"/>
      <c r="E3301" s="1"/>
      <c r="F3301" s="1"/>
      <c r="G3301" s="1" t="s">
        <v>13</v>
      </c>
      <c r="H3301" s="2">
        <v>0</v>
      </c>
      <c r="I3301" s="1" t="s">
        <v>13</v>
      </c>
      <c r="J3301" s="1" t="s">
        <v>13</v>
      </c>
      <c r="K3301" s="1" t="s">
        <v>13</v>
      </c>
      <c r="L3301" s="1" t="s">
        <v>13</v>
      </c>
      <c r="M3301" s="6" t="str">
        <f>_xlfn.CONCAT(Table1[[#This Row],[Billing Street]], ", ", Table1[[#This Row],[Billing City]], ", ", Table1[[#This Row],[Billing State/Province]], ", ", Table1[[#This Row],[Billing Zip/Postal Code]])</f>
        <v xml:space="preserve">, , , </v>
      </c>
    </row>
    <row r="3302" spans="1:13" ht="15.6" hidden="1" x14ac:dyDescent="0.3">
      <c r="A3302" s="1" t="s">
        <v>9969</v>
      </c>
      <c r="B3302" s="1"/>
      <c r="C3302" s="1"/>
      <c r="D3302" s="1"/>
      <c r="E3302" s="1"/>
      <c r="F3302" s="1"/>
      <c r="G3302" s="1" t="s">
        <v>13</v>
      </c>
      <c r="H3302" s="2">
        <v>0</v>
      </c>
      <c r="I3302" s="1" t="s">
        <v>13</v>
      </c>
      <c r="J3302" s="1" t="s">
        <v>13</v>
      </c>
      <c r="K3302" s="1" t="s">
        <v>13</v>
      </c>
      <c r="L3302" s="1" t="s">
        <v>13</v>
      </c>
      <c r="M3302" s="6" t="str">
        <f>_xlfn.CONCAT(Table1[[#This Row],[Billing Street]], ", ", Table1[[#This Row],[Billing City]], ", ", Table1[[#This Row],[Billing State/Province]], ", ", Table1[[#This Row],[Billing Zip/Postal Code]])</f>
        <v xml:space="preserve">, , , </v>
      </c>
    </row>
    <row r="3303" spans="1:13" ht="15.6" hidden="1" x14ac:dyDescent="0.3">
      <c r="A3303" s="1" t="s">
        <v>9970</v>
      </c>
      <c r="B3303" s="1"/>
      <c r="C3303" s="1"/>
      <c r="D3303" s="1"/>
      <c r="E3303" s="1"/>
      <c r="F3303" s="1"/>
      <c r="G3303" s="1" t="s">
        <v>13</v>
      </c>
      <c r="H3303" s="2">
        <v>0</v>
      </c>
      <c r="I3303" s="1" t="s">
        <v>9971</v>
      </c>
      <c r="J3303" s="1" t="s">
        <v>9972</v>
      </c>
      <c r="K3303" s="1" t="s">
        <v>13</v>
      </c>
      <c r="L3303" s="1" t="s">
        <v>9973</v>
      </c>
      <c r="M3303" s="6" t="str">
        <f>_xlfn.CONCAT(Table1[[#This Row],[Billing Street]], ", ", Table1[[#This Row],[Billing City]], ", ", Table1[[#This Row],[Billing State/Province]], ", ", Table1[[#This Row],[Billing Zip/Postal Code]])</f>
        <v>3825 Bancroft Drive, Spring Valley, , 91977</v>
      </c>
    </row>
    <row r="3304" spans="1:13" ht="15.6" hidden="1" x14ac:dyDescent="0.3">
      <c r="A3304" s="1" t="s">
        <v>2503</v>
      </c>
      <c r="B3304" s="1"/>
      <c r="C3304" s="1"/>
      <c r="D3304" s="1"/>
      <c r="E3304" s="1"/>
      <c r="F3304" s="1"/>
      <c r="G3304" s="1" t="s">
        <v>13</v>
      </c>
      <c r="H3304" s="2">
        <v>0</v>
      </c>
      <c r="I3304" s="1" t="s">
        <v>13</v>
      </c>
      <c r="J3304" s="1" t="s">
        <v>13</v>
      </c>
      <c r="K3304" s="1" t="s">
        <v>13</v>
      </c>
      <c r="L3304" s="1" t="s">
        <v>13</v>
      </c>
      <c r="M3304" s="6" t="str">
        <f>_xlfn.CONCAT(Table1[[#This Row],[Billing Street]], ", ", Table1[[#This Row],[Billing City]], ", ", Table1[[#This Row],[Billing State/Province]], ", ", Table1[[#This Row],[Billing Zip/Postal Code]])</f>
        <v xml:space="preserve">, , , </v>
      </c>
    </row>
    <row r="3305" spans="1:13" ht="15.6" hidden="1" x14ac:dyDescent="0.3">
      <c r="A3305" s="1" t="s">
        <v>9974</v>
      </c>
      <c r="B3305" s="1"/>
      <c r="C3305" s="1"/>
      <c r="D3305" s="1"/>
      <c r="E3305" s="1"/>
      <c r="F3305" s="1"/>
      <c r="G3305" s="1" t="s">
        <v>13</v>
      </c>
      <c r="H3305" s="2">
        <v>0</v>
      </c>
      <c r="I3305" s="1" t="s">
        <v>13</v>
      </c>
      <c r="J3305" s="1" t="s">
        <v>13</v>
      </c>
      <c r="K3305" s="1" t="s">
        <v>13</v>
      </c>
      <c r="L3305" s="1" t="s">
        <v>13</v>
      </c>
      <c r="M3305" s="6" t="str">
        <f>_xlfn.CONCAT(Table1[[#This Row],[Billing Street]], ", ", Table1[[#This Row],[Billing City]], ", ", Table1[[#This Row],[Billing State/Province]], ", ", Table1[[#This Row],[Billing Zip/Postal Code]])</f>
        <v xml:space="preserve">, , , </v>
      </c>
    </row>
    <row r="3306" spans="1:13" ht="15.6" hidden="1" x14ac:dyDescent="0.3">
      <c r="A3306" s="1" t="s">
        <v>9975</v>
      </c>
      <c r="B3306" s="1"/>
      <c r="C3306" s="1"/>
      <c r="D3306" s="1"/>
      <c r="E3306" s="1"/>
      <c r="F3306" s="1"/>
      <c r="G3306" s="1" t="s">
        <v>43</v>
      </c>
      <c r="H3306" s="2">
        <v>5776</v>
      </c>
      <c r="I3306" s="1" t="s">
        <v>9976</v>
      </c>
      <c r="J3306" s="1" t="s">
        <v>3321</v>
      </c>
      <c r="K3306" s="1" t="s">
        <v>3339</v>
      </c>
      <c r="L3306" s="1" t="s">
        <v>9977</v>
      </c>
      <c r="M3306" s="6" t="str">
        <f>_xlfn.CONCAT(Table1[[#This Row],[Billing Street]], ", ", Table1[[#This Row],[Billing City]], ", ", Table1[[#This Row],[Billing State/Province]], ", ", Table1[[#This Row],[Billing Zip/Postal Code]])</f>
        <v>2041 north berwick rd, Wells, Me, 4090</v>
      </c>
    </row>
    <row r="3307" spans="1:13" ht="15.6" hidden="1" x14ac:dyDescent="0.3">
      <c r="A3307" s="1" t="s">
        <v>9978</v>
      </c>
      <c r="B3307" s="1"/>
      <c r="C3307" s="1"/>
      <c r="D3307" s="1"/>
      <c r="E3307" s="1"/>
      <c r="F3307" s="1"/>
      <c r="G3307" s="1" t="s">
        <v>13</v>
      </c>
      <c r="H3307" s="2">
        <v>0</v>
      </c>
      <c r="I3307" s="1" t="s">
        <v>13</v>
      </c>
      <c r="J3307" s="1" t="s">
        <v>13</v>
      </c>
      <c r="K3307" s="1" t="s">
        <v>13</v>
      </c>
      <c r="L3307" s="1" t="s">
        <v>13</v>
      </c>
      <c r="M3307" s="6" t="str">
        <f>_xlfn.CONCAT(Table1[[#This Row],[Billing Street]], ", ", Table1[[#This Row],[Billing City]], ", ", Table1[[#This Row],[Billing State/Province]], ", ", Table1[[#This Row],[Billing Zip/Postal Code]])</f>
        <v xml:space="preserve">, , , </v>
      </c>
    </row>
    <row r="3308" spans="1:13" ht="15.6" hidden="1" x14ac:dyDescent="0.3">
      <c r="A3308" s="1" t="s">
        <v>9979</v>
      </c>
      <c r="B3308" s="1"/>
      <c r="C3308" s="1"/>
      <c r="D3308" s="1"/>
      <c r="E3308" s="1"/>
      <c r="F3308" s="1"/>
      <c r="G3308" s="1" t="s">
        <v>43</v>
      </c>
      <c r="H3308" s="2">
        <v>541</v>
      </c>
      <c r="I3308" s="1" t="s">
        <v>9980</v>
      </c>
      <c r="J3308" s="1" t="s">
        <v>9981</v>
      </c>
      <c r="K3308" s="1" t="s">
        <v>2359</v>
      </c>
      <c r="L3308" s="1" t="s">
        <v>9982</v>
      </c>
      <c r="M3308" s="6" t="str">
        <f>_xlfn.CONCAT(Table1[[#This Row],[Billing Street]], ", ", Table1[[#This Row],[Billing City]], ", ", Table1[[#This Row],[Billing State/Province]], ", ", Table1[[#This Row],[Billing Zip/Postal Code]])</f>
        <v>222 Plaistow Road, Plaistow, NH, 3865</v>
      </c>
    </row>
    <row r="3309" spans="1:13" ht="15.6" hidden="1" x14ac:dyDescent="0.3">
      <c r="A3309" s="1" t="s">
        <v>9983</v>
      </c>
      <c r="B3309" s="1"/>
      <c r="C3309" s="1"/>
      <c r="D3309" s="1"/>
      <c r="E3309" s="1"/>
      <c r="F3309" s="1"/>
      <c r="G3309" s="1" t="s">
        <v>43</v>
      </c>
      <c r="H3309" s="2">
        <v>117</v>
      </c>
      <c r="I3309" s="1" t="s">
        <v>9984</v>
      </c>
      <c r="J3309" s="1" t="s">
        <v>9985</v>
      </c>
      <c r="K3309" s="1" t="s">
        <v>45</v>
      </c>
      <c r="L3309" s="1" t="s">
        <v>9986</v>
      </c>
      <c r="M3309" s="6" t="str">
        <f>_xlfn.CONCAT(Table1[[#This Row],[Billing Street]], ", ", Table1[[#This Row],[Billing City]], ", ", Table1[[#This Row],[Billing State/Province]], ", ", Table1[[#This Row],[Billing Zip/Postal Code]])</f>
        <v>355 Tomahawk Drive, Maumee, OH, 43537</v>
      </c>
    </row>
    <row r="3310" spans="1:13" ht="15.6" x14ac:dyDescent="0.3">
      <c r="A3310" s="1" t="s">
        <v>9987</v>
      </c>
      <c r="B3310" s="1"/>
      <c r="C3310" s="1"/>
      <c r="D3310" s="1"/>
      <c r="E3310" s="1"/>
      <c r="F3310" s="1"/>
      <c r="G3310" s="1" t="s">
        <v>24</v>
      </c>
      <c r="H3310" s="2">
        <v>366</v>
      </c>
      <c r="I3310" s="1" t="s">
        <v>9988</v>
      </c>
      <c r="J3310" s="1" t="s">
        <v>502</v>
      </c>
      <c r="K3310" s="1" t="s">
        <v>577</v>
      </c>
      <c r="L3310" s="1" t="s">
        <v>9989</v>
      </c>
      <c r="M3310" s="6" t="str">
        <f>_xlfn.CONCAT(Table1[[#This Row],[Billing Street]], ", ", Table1[[#This Row],[Billing City]], ", ", Table1[[#This Row],[Billing State/Province]], ", ", Table1[[#This Row],[Billing Zip/Postal Code]])</f>
        <v>8587 Hwy 165, Columbia, LA, 71418</v>
      </c>
    </row>
    <row r="3311" spans="1:13" ht="15.6" hidden="1" x14ac:dyDescent="0.3">
      <c r="A3311" s="1" t="s">
        <v>9990</v>
      </c>
      <c r="B3311" s="1"/>
      <c r="C3311" s="1"/>
      <c r="D3311" s="1"/>
      <c r="E3311" s="1"/>
      <c r="F3311" s="1"/>
      <c r="G3311" s="1" t="s">
        <v>43</v>
      </c>
      <c r="H3311" s="2">
        <v>4</v>
      </c>
      <c r="I3311" s="1" t="s">
        <v>9991</v>
      </c>
      <c r="J3311" s="1" t="s">
        <v>3742</v>
      </c>
      <c r="K3311" s="1" t="s">
        <v>45</v>
      </c>
      <c r="L3311" s="1" t="s">
        <v>9992</v>
      </c>
      <c r="M3311" s="6" t="str">
        <f>_xlfn.CONCAT(Table1[[#This Row],[Billing Street]], ", ", Table1[[#This Row],[Billing City]], ", ", Table1[[#This Row],[Billing State/Province]], ", ", Table1[[#This Row],[Billing Zip/Postal Code]])</f>
        <v>10705 Northfield Road, Northfield, OH, 44067</v>
      </c>
    </row>
    <row r="3312" spans="1:13" ht="15.6" hidden="1" x14ac:dyDescent="0.3">
      <c r="A3312" s="1" t="s">
        <v>9993</v>
      </c>
      <c r="B3312" s="1"/>
      <c r="C3312" s="1"/>
      <c r="D3312" s="1"/>
      <c r="E3312" s="1"/>
      <c r="F3312" s="1"/>
      <c r="G3312" s="1" t="s">
        <v>43</v>
      </c>
      <c r="H3312" s="2">
        <v>5776</v>
      </c>
      <c r="I3312" s="1" t="s">
        <v>9994</v>
      </c>
      <c r="J3312" s="1" t="s">
        <v>138</v>
      </c>
      <c r="K3312" s="1" t="s">
        <v>1106</v>
      </c>
      <c r="L3312" s="1" t="s">
        <v>9995</v>
      </c>
      <c r="M3312" s="6" t="str">
        <f>_xlfn.CONCAT(Table1[[#This Row],[Billing Street]], ", ", Table1[[#This Row],[Billing City]], ", ", Table1[[#This Row],[Billing State/Province]], ", ", Table1[[#This Row],[Billing Zip/Postal Code]])</f>
        <v>8900 Greenwood Place, Savage, md, 207603</v>
      </c>
    </row>
    <row r="3313" spans="1:13" ht="15.6" hidden="1" x14ac:dyDescent="0.3">
      <c r="A3313" s="1" t="s">
        <v>9996</v>
      </c>
      <c r="B3313" s="1"/>
      <c r="C3313" s="1"/>
      <c r="D3313" s="1"/>
      <c r="E3313" s="1"/>
      <c r="F3313" s="1"/>
      <c r="G3313" s="1" t="s">
        <v>43</v>
      </c>
      <c r="H3313" s="2">
        <v>229</v>
      </c>
      <c r="I3313" s="1" t="s">
        <v>9997</v>
      </c>
      <c r="J3313" s="1" t="s">
        <v>2156</v>
      </c>
      <c r="K3313" s="1" t="s">
        <v>82</v>
      </c>
      <c r="L3313" s="1" t="s">
        <v>9998</v>
      </c>
      <c r="M3313" s="6" t="str">
        <f>_xlfn.CONCAT(Table1[[#This Row],[Billing Street]], ", ", Table1[[#This Row],[Billing City]], ", ", Table1[[#This Row],[Billing State/Province]], ", ", Table1[[#This Row],[Billing Zip/Postal Code]])</f>
        <v>7528 Ravine Road, Kalamazoo, MI, 49009</v>
      </c>
    </row>
    <row r="3314" spans="1:13" ht="15.6" hidden="1" x14ac:dyDescent="0.3">
      <c r="A3314" s="1" t="s">
        <v>9999</v>
      </c>
      <c r="B3314" s="1"/>
      <c r="C3314" s="1"/>
      <c r="D3314" s="1"/>
      <c r="E3314" s="1"/>
      <c r="F3314" s="1"/>
      <c r="G3314" s="1" t="s">
        <v>43</v>
      </c>
      <c r="H3314" s="2">
        <v>290</v>
      </c>
      <c r="I3314" s="1" t="s">
        <v>10000</v>
      </c>
      <c r="J3314" s="1" t="s">
        <v>1105</v>
      </c>
      <c r="K3314" s="1" t="s">
        <v>1106</v>
      </c>
      <c r="L3314" s="1" t="s">
        <v>10001</v>
      </c>
      <c r="M3314" s="6" t="str">
        <f>_xlfn.CONCAT(Table1[[#This Row],[Billing Street]], ", ", Table1[[#This Row],[Billing City]], ", ", Table1[[#This Row],[Billing State/Province]], ", ", Table1[[#This Row],[Billing Zip/Postal Code]])</f>
        <v>1901 Sulphur Spring Rd., Baltimore, md, 21227</v>
      </c>
    </row>
    <row r="3315" spans="1:13" ht="15.6" hidden="1" x14ac:dyDescent="0.3">
      <c r="A3315" s="1" t="s">
        <v>10002</v>
      </c>
      <c r="B3315" s="1"/>
      <c r="C3315" s="1"/>
      <c r="D3315" s="1"/>
      <c r="E3315" s="1"/>
      <c r="F3315" s="1"/>
      <c r="G3315" s="1" t="s">
        <v>13</v>
      </c>
      <c r="H3315" s="2">
        <v>0</v>
      </c>
      <c r="I3315" s="1" t="s">
        <v>13</v>
      </c>
      <c r="J3315" s="1" t="s">
        <v>13</v>
      </c>
      <c r="K3315" s="1" t="s">
        <v>13</v>
      </c>
      <c r="L3315" s="1" t="s">
        <v>13</v>
      </c>
      <c r="M3315" s="6" t="str">
        <f>_xlfn.CONCAT(Table1[[#This Row],[Billing Street]], ", ", Table1[[#This Row],[Billing City]], ", ", Table1[[#This Row],[Billing State/Province]], ", ", Table1[[#This Row],[Billing Zip/Postal Code]])</f>
        <v xml:space="preserve">, , , </v>
      </c>
    </row>
    <row r="3316" spans="1:13" ht="15.6" hidden="1" x14ac:dyDescent="0.3">
      <c r="A3316" s="1" t="s">
        <v>10003</v>
      </c>
      <c r="B3316" s="1"/>
      <c r="C3316" s="1"/>
      <c r="D3316" s="1"/>
      <c r="E3316" s="1"/>
      <c r="F3316" s="1"/>
      <c r="G3316" s="1" t="s">
        <v>13</v>
      </c>
      <c r="H3316" s="2">
        <v>0</v>
      </c>
      <c r="I3316" s="1" t="s">
        <v>10004</v>
      </c>
      <c r="J3316" s="1" t="s">
        <v>10005</v>
      </c>
      <c r="K3316" s="1" t="s">
        <v>13</v>
      </c>
      <c r="L3316" s="1" t="s">
        <v>10006</v>
      </c>
      <c r="M3316" s="6" t="str">
        <f>_xlfn.CONCAT(Table1[[#This Row],[Billing Street]], ", ", Table1[[#This Row],[Billing City]], ", ", Table1[[#This Row],[Billing State/Province]], ", ", Table1[[#This Row],[Billing Zip/Postal Code]])</f>
        <v>CARRETERA LIMONAL KM 1 1/2 Av Imbert 40, Santiago,Domincan Republic, , 510000</v>
      </c>
    </row>
    <row r="3317" spans="1:13" ht="15.6" x14ac:dyDescent="0.3">
      <c r="A3317" s="1" t="s">
        <v>10007</v>
      </c>
      <c r="B3317" s="1"/>
      <c r="C3317" s="1"/>
      <c r="D3317" s="1"/>
      <c r="E3317" s="1"/>
      <c r="F3317" s="1"/>
      <c r="G3317" s="1" t="s">
        <v>24</v>
      </c>
      <c r="H3317" s="2">
        <v>119</v>
      </c>
      <c r="I3317" s="1" t="s">
        <v>10008</v>
      </c>
      <c r="J3317" s="1" t="s">
        <v>633</v>
      </c>
      <c r="K3317" s="1" t="s">
        <v>26</v>
      </c>
      <c r="L3317" s="1" t="s">
        <v>8277</v>
      </c>
      <c r="M3317" s="6" t="str">
        <f>_xlfn.CONCAT(Table1[[#This Row],[Billing Street]], ", ", Table1[[#This Row],[Billing City]], ", ", Table1[[#This Row],[Billing State/Province]], ", ", Table1[[#This Row],[Billing Zip/Postal Code]])</f>
        <v>3232 Moffett Rd., Mobile, AL, 36607</v>
      </c>
    </row>
    <row r="3318" spans="1:13" ht="15.6" hidden="1" x14ac:dyDescent="0.3">
      <c r="A3318" s="1" t="s">
        <v>10009</v>
      </c>
      <c r="B3318" s="1"/>
      <c r="C3318" s="1"/>
      <c r="D3318" s="1"/>
      <c r="E3318" s="1"/>
      <c r="F3318" s="1"/>
      <c r="G3318" s="1" t="s">
        <v>13</v>
      </c>
      <c r="H3318" s="2">
        <v>0</v>
      </c>
      <c r="I3318" s="1" t="s">
        <v>13</v>
      </c>
      <c r="J3318" s="1" t="s">
        <v>13</v>
      </c>
      <c r="K3318" s="1" t="s">
        <v>13</v>
      </c>
      <c r="L3318" s="1" t="s">
        <v>13</v>
      </c>
      <c r="M3318" s="6" t="str">
        <f>_xlfn.CONCAT(Table1[[#This Row],[Billing Street]], ", ", Table1[[#This Row],[Billing City]], ", ", Table1[[#This Row],[Billing State/Province]], ", ", Table1[[#This Row],[Billing Zip/Postal Code]])</f>
        <v xml:space="preserve">, , , </v>
      </c>
    </row>
    <row r="3319" spans="1:13" ht="15.6" x14ac:dyDescent="0.3">
      <c r="A3319" s="1" t="s">
        <v>10010</v>
      </c>
      <c r="B3319" s="1"/>
      <c r="C3319" s="1"/>
      <c r="D3319" s="1"/>
      <c r="E3319" s="1"/>
      <c r="F3319" s="1"/>
      <c r="G3319" s="1" t="s">
        <v>24</v>
      </c>
      <c r="H3319" s="2">
        <v>5988</v>
      </c>
      <c r="I3319" s="1" t="s">
        <v>13</v>
      </c>
      <c r="J3319" s="1" t="s">
        <v>10011</v>
      </c>
      <c r="K3319" s="1" t="s">
        <v>951</v>
      </c>
      <c r="L3319" s="1" t="s">
        <v>10012</v>
      </c>
      <c r="M3319" s="6" t="str">
        <f>_xlfn.CONCAT(Table1[[#This Row],[Billing Street]], ", ", Table1[[#This Row],[Billing City]], ", ", Table1[[#This Row],[Billing State/Province]], ", ", Table1[[#This Row],[Billing Zip/Postal Code]])</f>
        <v>, Hazlehusrt, Ms, 39083</v>
      </c>
    </row>
    <row r="3320" spans="1:13" ht="15.6" x14ac:dyDescent="0.3">
      <c r="A3320" s="1" t="s">
        <v>10013</v>
      </c>
      <c r="B3320" s="1"/>
      <c r="C3320" s="1"/>
      <c r="D3320" s="1"/>
      <c r="E3320" s="1"/>
      <c r="F3320" s="1"/>
      <c r="G3320" s="1" t="s">
        <v>24</v>
      </c>
      <c r="H3320" s="2">
        <v>5988</v>
      </c>
      <c r="I3320" s="1" t="s">
        <v>10014</v>
      </c>
      <c r="J3320" s="1" t="s">
        <v>1074</v>
      </c>
      <c r="K3320" s="1" t="s">
        <v>31</v>
      </c>
      <c r="L3320" s="1" t="s">
        <v>3945</v>
      </c>
      <c r="M3320" s="6" t="str">
        <f>_xlfn.CONCAT(Table1[[#This Row],[Billing Street]], ", ", Table1[[#This Row],[Billing City]], ", ", Table1[[#This Row],[Billing State/Province]], ", ", Table1[[#This Row],[Billing Zip/Postal Code]])</f>
        <v>1314 West Pine Street, Hattiesburg, MS, 39401</v>
      </c>
    </row>
    <row r="3321" spans="1:13" ht="15.6" hidden="1" x14ac:dyDescent="0.3">
      <c r="A3321" s="1" t="s">
        <v>10015</v>
      </c>
      <c r="B3321" s="1"/>
      <c r="C3321" s="1"/>
      <c r="D3321" s="1"/>
      <c r="E3321" s="1"/>
      <c r="F3321" s="1"/>
      <c r="G3321" s="1" t="s">
        <v>13</v>
      </c>
      <c r="H3321" s="2">
        <v>0</v>
      </c>
      <c r="I3321" s="1" t="s">
        <v>13</v>
      </c>
      <c r="J3321" s="1" t="s">
        <v>13</v>
      </c>
      <c r="K3321" s="1" t="s">
        <v>13</v>
      </c>
      <c r="L3321" s="1" t="s">
        <v>13</v>
      </c>
      <c r="M3321" s="6" t="str">
        <f>_xlfn.CONCAT(Table1[[#This Row],[Billing Street]], ", ", Table1[[#This Row],[Billing City]], ", ", Table1[[#This Row],[Billing State/Province]], ", ", Table1[[#This Row],[Billing Zip/Postal Code]])</f>
        <v xml:space="preserve">, , , </v>
      </c>
    </row>
    <row r="3322" spans="1:13" ht="15.6" hidden="1" x14ac:dyDescent="0.3">
      <c r="A3322" s="1" t="s">
        <v>10016</v>
      </c>
      <c r="B3322" s="1"/>
      <c r="C3322" s="1"/>
      <c r="D3322" s="1"/>
      <c r="E3322" s="1"/>
      <c r="F3322" s="1"/>
      <c r="G3322" s="1" t="s">
        <v>43</v>
      </c>
      <c r="H3322" s="2">
        <v>406</v>
      </c>
      <c r="I3322" s="1" t="s">
        <v>10017</v>
      </c>
      <c r="J3322" s="1" t="s">
        <v>10018</v>
      </c>
      <c r="K3322" s="1" t="s">
        <v>3373</v>
      </c>
      <c r="L3322" s="1" t="s">
        <v>10019</v>
      </c>
      <c r="M3322" s="6" t="str">
        <f>_xlfn.CONCAT(Table1[[#This Row],[Billing Street]], ", ", Table1[[#This Row],[Billing City]], ", ", Table1[[#This Row],[Billing State/Province]], ", ", Table1[[#This Row],[Billing Zip/Postal Code]])</f>
        <v>24 wade rd, Latham, Ny, 12110</v>
      </c>
    </row>
    <row r="3323" spans="1:13" ht="15.6" hidden="1" x14ac:dyDescent="0.3">
      <c r="A3323" s="1" t="s">
        <v>10020</v>
      </c>
      <c r="B3323" s="1"/>
      <c r="C3323" s="1"/>
      <c r="D3323" s="1"/>
      <c r="E3323" s="1"/>
      <c r="F3323" s="1"/>
      <c r="G3323" s="1" t="s">
        <v>13</v>
      </c>
      <c r="H3323" s="2">
        <v>0</v>
      </c>
      <c r="I3323" s="1" t="s">
        <v>13</v>
      </c>
      <c r="J3323" s="1" t="s">
        <v>13</v>
      </c>
      <c r="K3323" s="1" t="s">
        <v>13</v>
      </c>
      <c r="L3323" s="1" t="s">
        <v>13</v>
      </c>
      <c r="M3323" s="6" t="str">
        <f>_xlfn.CONCAT(Table1[[#This Row],[Billing Street]], ", ", Table1[[#This Row],[Billing City]], ", ", Table1[[#This Row],[Billing State/Province]], ", ", Table1[[#This Row],[Billing Zip/Postal Code]])</f>
        <v xml:space="preserve">, , , </v>
      </c>
    </row>
    <row r="3324" spans="1:13" ht="15.6" hidden="1" x14ac:dyDescent="0.3">
      <c r="A3324" s="1" t="s">
        <v>10021</v>
      </c>
      <c r="B3324" s="1"/>
      <c r="C3324" s="1"/>
      <c r="D3324" s="1"/>
      <c r="E3324" s="1"/>
      <c r="F3324" s="1"/>
      <c r="G3324" s="1" t="s">
        <v>13</v>
      </c>
      <c r="H3324" s="2">
        <v>0</v>
      </c>
      <c r="I3324" s="1" t="s">
        <v>13</v>
      </c>
      <c r="J3324" s="1" t="s">
        <v>13</v>
      </c>
      <c r="K3324" s="1" t="s">
        <v>13</v>
      </c>
      <c r="L3324" s="1" t="s">
        <v>13</v>
      </c>
      <c r="M3324" s="6" t="str">
        <f>_xlfn.CONCAT(Table1[[#This Row],[Billing Street]], ", ", Table1[[#This Row],[Billing City]], ", ", Table1[[#This Row],[Billing State/Province]], ", ", Table1[[#This Row],[Billing Zip/Postal Code]])</f>
        <v xml:space="preserve">, , , </v>
      </c>
    </row>
    <row r="3325" spans="1:13" ht="15.6" hidden="1" x14ac:dyDescent="0.3">
      <c r="A3325" s="1" t="s">
        <v>10022</v>
      </c>
      <c r="B3325" s="1"/>
      <c r="C3325" s="1"/>
      <c r="D3325" s="1"/>
      <c r="E3325" s="1"/>
      <c r="F3325" s="1"/>
      <c r="G3325" s="1" t="s">
        <v>43</v>
      </c>
      <c r="H3325" s="2">
        <v>275</v>
      </c>
      <c r="I3325" s="1" t="s">
        <v>10023</v>
      </c>
      <c r="J3325" s="1" t="s">
        <v>261</v>
      </c>
      <c r="K3325" s="1" t="s">
        <v>237</v>
      </c>
      <c r="L3325" s="1" t="s">
        <v>10024</v>
      </c>
      <c r="M3325" s="6" t="str">
        <f>_xlfn.CONCAT(Table1[[#This Row],[Billing Street]], ", ", Table1[[#This Row],[Billing City]], ", ", Table1[[#This Row],[Billing State/Province]], ", ", Table1[[#This Row],[Billing Zip/Postal Code]])</f>
        <v>2801 Fortune Circle East Suite F, Indianapolis, IN, 46241</v>
      </c>
    </row>
    <row r="3326" spans="1:13" ht="15.6" hidden="1" x14ac:dyDescent="0.3">
      <c r="A3326" s="1" t="s">
        <v>10025</v>
      </c>
      <c r="B3326" s="1"/>
      <c r="C3326" s="1"/>
      <c r="D3326" s="1"/>
      <c r="E3326" s="1"/>
      <c r="F3326" s="1"/>
      <c r="G3326" s="1" t="s">
        <v>13</v>
      </c>
      <c r="H3326" s="2">
        <v>0</v>
      </c>
      <c r="I3326" s="1" t="s">
        <v>10026</v>
      </c>
      <c r="J3326" s="1" t="s">
        <v>10027</v>
      </c>
      <c r="K3326" s="1" t="s">
        <v>13</v>
      </c>
      <c r="L3326" s="1" t="s">
        <v>10028</v>
      </c>
      <c r="M3326" s="6" t="str">
        <f>_xlfn.CONCAT(Table1[[#This Row],[Billing Street]], ", ", Table1[[#This Row],[Billing City]], ", ", Table1[[#This Row],[Billing State/Province]], ", ", Table1[[#This Row],[Billing Zip/Postal Code]])</f>
        <v>4306 Sioux Ct, St Cloud, , 34772</v>
      </c>
    </row>
    <row r="3327" spans="1:13" ht="15.6" hidden="1" x14ac:dyDescent="0.3">
      <c r="A3327" s="1" t="s">
        <v>10029</v>
      </c>
      <c r="B3327" s="1"/>
      <c r="C3327" s="1"/>
      <c r="D3327" s="1"/>
      <c r="E3327" s="1"/>
      <c r="F3327" s="1"/>
      <c r="G3327" s="1" t="s">
        <v>13</v>
      </c>
      <c r="H3327" s="2">
        <v>0</v>
      </c>
      <c r="I3327" s="1" t="s">
        <v>13</v>
      </c>
      <c r="J3327" s="1" t="s">
        <v>13</v>
      </c>
      <c r="K3327" s="1" t="s">
        <v>13</v>
      </c>
      <c r="L3327" s="1" t="s">
        <v>13</v>
      </c>
      <c r="M3327" s="6" t="str">
        <f>_xlfn.CONCAT(Table1[[#This Row],[Billing Street]], ", ", Table1[[#This Row],[Billing City]], ", ", Table1[[#This Row],[Billing State/Province]], ", ", Table1[[#This Row],[Billing Zip/Postal Code]])</f>
        <v xml:space="preserve">, , , </v>
      </c>
    </row>
    <row r="3328" spans="1:13" ht="15.6" x14ac:dyDescent="0.3">
      <c r="A3328" s="1" t="s">
        <v>10030</v>
      </c>
      <c r="B3328" s="1"/>
      <c r="C3328" s="1"/>
      <c r="D3328" s="1"/>
      <c r="E3328" s="1"/>
      <c r="F3328" s="1"/>
      <c r="G3328" s="1" t="s">
        <v>24</v>
      </c>
      <c r="H3328" s="2">
        <v>264</v>
      </c>
      <c r="I3328" s="1" t="s">
        <v>10031</v>
      </c>
      <c r="J3328" s="1" t="s">
        <v>10032</v>
      </c>
      <c r="K3328" s="1" t="s">
        <v>951</v>
      </c>
      <c r="L3328" s="1" t="s">
        <v>10033</v>
      </c>
      <c r="M3328" s="6" t="str">
        <f>_xlfn.CONCAT(Table1[[#This Row],[Billing Street]], ", ", Table1[[#This Row],[Billing City]], ", ", Table1[[#This Row],[Billing State/Province]], ", ", Table1[[#This Row],[Billing Zip/Postal Code]])</f>
        <v>315 W. Cunningham Avenue, Terry, Ms, 39170</v>
      </c>
    </row>
    <row r="3329" spans="1:13" ht="15.6" hidden="1" x14ac:dyDescent="0.3">
      <c r="A3329" s="1" t="s">
        <v>10034</v>
      </c>
      <c r="B3329" s="1"/>
      <c r="C3329" s="1"/>
      <c r="D3329" s="1"/>
      <c r="E3329" s="1"/>
      <c r="F3329" s="1"/>
      <c r="G3329" s="1" t="s">
        <v>43</v>
      </c>
      <c r="H3329" s="2">
        <v>256</v>
      </c>
      <c r="I3329" s="1" t="s">
        <v>10035</v>
      </c>
      <c r="J3329" s="1" t="s">
        <v>10036</v>
      </c>
      <c r="K3329" s="1" t="s">
        <v>1191</v>
      </c>
      <c r="L3329" s="1" t="s">
        <v>13</v>
      </c>
      <c r="M3329" s="6" t="str">
        <f>_xlfn.CONCAT(Table1[[#This Row],[Billing Street]], ", ", Table1[[#This Row],[Billing City]], ", ", Table1[[#This Row],[Billing State/Province]], ", ", Table1[[#This Row],[Billing Zip/Postal Code]])</f>
        <v xml:space="preserve">150 Industrail Park, Hager Hill, KY, </v>
      </c>
    </row>
    <row r="3330" spans="1:13" ht="15.6" x14ac:dyDescent="0.3">
      <c r="A3330" s="1" t="s">
        <v>10037</v>
      </c>
      <c r="B3330" s="1"/>
      <c r="C3330" s="1"/>
      <c r="D3330" s="1"/>
      <c r="E3330" s="1"/>
      <c r="F3330" s="1"/>
      <c r="G3330" s="1" t="s">
        <v>24</v>
      </c>
      <c r="H3330" s="2">
        <v>259</v>
      </c>
      <c r="I3330" s="1" t="s">
        <v>10038</v>
      </c>
      <c r="J3330" s="1" t="s">
        <v>5652</v>
      </c>
      <c r="K3330" s="1" t="s">
        <v>36</v>
      </c>
      <c r="L3330" s="1" t="s">
        <v>5653</v>
      </c>
      <c r="M3330" s="6" t="str">
        <f>_xlfn.CONCAT(Table1[[#This Row],[Billing Street]], ", ", Table1[[#This Row],[Billing City]], ", ", Table1[[#This Row],[Billing State/Province]], ", ", Table1[[#This Row],[Billing Zip/Postal Code]])</f>
        <v>697 NW 56th St, Ocala, FL, 34475</v>
      </c>
    </row>
    <row r="3331" spans="1:13" ht="15.6" hidden="1" x14ac:dyDescent="0.3">
      <c r="A3331" s="1" t="s">
        <v>10039</v>
      </c>
      <c r="B3331" s="1"/>
      <c r="C3331" s="1"/>
      <c r="D3331" s="1"/>
      <c r="E3331" s="1"/>
      <c r="F3331" s="1"/>
      <c r="G3331" s="1" t="s">
        <v>43</v>
      </c>
      <c r="H3331" s="2">
        <v>5776</v>
      </c>
      <c r="I3331" s="1" t="s">
        <v>13</v>
      </c>
      <c r="J3331" s="1" t="s">
        <v>13</v>
      </c>
      <c r="K3331" s="1" t="s">
        <v>241</v>
      </c>
      <c r="L3331" s="1" t="s">
        <v>13</v>
      </c>
      <c r="M3331" s="6" t="str">
        <f>_xlfn.CONCAT(Table1[[#This Row],[Billing Street]], ", ", Table1[[#This Row],[Billing City]], ", ", Table1[[#This Row],[Billing State/Province]], ", ", Table1[[#This Row],[Billing Zip/Postal Code]])</f>
        <v xml:space="preserve">, , PA, </v>
      </c>
    </row>
    <row r="3332" spans="1:13" ht="15.6" hidden="1" x14ac:dyDescent="0.3">
      <c r="A3332" s="1" t="s">
        <v>10040</v>
      </c>
      <c r="B3332" s="1"/>
      <c r="C3332" s="1"/>
      <c r="D3332" s="1"/>
      <c r="E3332" s="1"/>
      <c r="F3332" s="1"/>
      <c r="G3332" s="1" t="s">
        <v>43</v>
      </c>
      <c r="H3332" s="2">
        <v>83</v>
      </c>
      <c r="I3332" s="1" t="s">
        <v>10041</v>
      </c>
      <c r="J3332" s="1" t="s">
        <v>10042</v>
      </c>
      <c r="K3332" s="1" t="s">
        <v>45</v>
      </c>
      <c r="L3332" s="1" t="s">
        <v>10043</v>
      </c>
      <c r="M3332" s="6" t="str">
        <f>_xlfn.CONCAT(Table1[[#This Row],[Billing Street]], ", ", Table1[[#This Row],[Billing City]], ", ", Table1[[#This Row],[Billing State/Province]], ", ", Table1[[#This Row],[Billing Zip/Postal Code]])</f>
        <v>201 South Broadway, Green Springs, OH, 44836</v>
      </c>
    </row>
    <row r="3333" spans="1:13" ht="15.6" hidden="1" x14ac:dyDescent="0.3">
      <c r="A3333" s="1" t="s">
        <v>10044</v>
      </c>
      <c r="B3333" s="1"/>
      <c r="C3333" s="1"/>
      <c r="D3333" s="1"/>
      <c r="E3333" s="1"/>
      <c r="F3333" s="1"/>
      <c r="G3333" s="1" t="s">
        <v>43</v>
      </c>
      <c r="H3333" s="2">
        <v>299</v>
      </c>
      <c r="I3333" s="1" t="s">
        <v>10045</v>
      </c>
      <c r="J3333" s="1" t="s">
        <v>2072</v>
      </c>
      <c r="K3333" s="1" t="s">
        <v>241</v>
      </c>
      <c r="L3333" s="1" t="s">
        <v>2073</v>
      </c>
      <c r="M3333" s="6" t="str">
        <f>_xlfn.CONCAT(Table1[[#This Row],[Billing Street]], ", ", Table1[[#This Row],[Billing City]], ", ", Table1[[#This Row],[Billing State/Province]], ", ", Table1[[#This Row],[Billing Zip/Postal Code]])</f>
        <v>296 Poplar Neck Road, Birdsboro, PA, 19508</v>
      </c>
    </row>
    <row r="3334" spans="1:13" ht="15.6" x14ac:dyDescent="0.3">
      <c r="A3334" s="1" t="s">
        <v>6544</v>
      </c>
      <c r="B3334" s="1"/>
      <c r="C3334" s="1"/>
      <c r="D3334" s="1"/>
      <c r="E3334" s="1"/>
      <c r="F3334" s="1"/>
      <c r="G3334" s="1" t="s">
        <v>24</v>
      </c>
      <c r="H3334" s="2">
        <v>5988</v>
      </c>
      <c r="I3334" s="1" t="s">
        <v>10046</v>
      </c>
      <c r="J3334" s="1" t="s">
        <v>6546</v>
      </c>
      <c r="K3334" s="1" t="s">
        <v>36</v>
      </c>
      <c r="L3334" s="1" t="s">
        <v>13</v>
      </c>
      <c r="M3334" s="6" t="str">
        <f>_xlfn.CONCAT(Table1[[#This Row],[Billing Street]], ", ", Table1[[#This Row],[Billing City]], ", ", Table1[[#This Row],[Billing State/Province]], ", ", Table1[[#This Row],[Billing Zip/Postal Code]])</f>
        <v xml:space="preserve">2961 S Lecanto Hwy, Lecanto, FL, </v>
      </c>
    </row>
    <row r="3335" spans="1:13" ht="15.6" hidden="1" x14ac:dyDescent="0.3">
      <c r="A3335" s="1" t="s">
        <v>10047</v>
      </c>
      <c r="B3335" s="1"/>
      <c r="C3335" s="1"/>
      <c r="D3335" s="1"/>
      <c r="E3335" s="1"/>
      <c r="F3335" s="1"/>
      <c r="G3335" s="1" t="s">
        <v>43</v>
      </c>
      <c r="H3335" s="2">
        <v>1824</v>
      </c>
      <c r="I3335" s="1" t="s">
        <v>10048</v>
      </c>
      <c r="J3335" s="1" t="s">
        <v>10049</v>
      </c>
      <c r="K3335" s="1" t="s">
        <v>10050</v>
      </c>
      <c r="L3335" s="1" t="s">
        <v>10051</v>
      </c>
      <c r="M3335" s="6" t="str">
        <f>_xlfn.CONCAT(Table1[[#This Row],[Billing Street]], ", ", Table1[[#This Row],[Billing City]], ", ", Table1[[#This Row],[Billing State/Province]], ", ", Table1[[#This Row],[Billing Zip/Postal Code]])</f>
        <v>PO Box 237, Bayomon/PR, PR, 00960-2037</v>
      </c>
    </row>
    <row r="3336" spans="1:13" ht="15.6" x14ac:dyDescent="0.3">
      <c r="A3336" s="1" t="s">
        <v>10052</v>
      </c>
      <c r="B3336" s="1"/>
      <c r="C3336" s="1"/>
      <c r="D3336" s="1"/>
      <c r="E3336" s="1"/>
      <c r="F3336" s="1"/>
      <c r="G3336" s="1" t="s">
        <v>24</v>
      </c>
      <c r="H3336" s="2">
        <v>495</v>
      </c>
      <c r="I3336" s="1" t="s">
        <v>10053</v>
      </c>
      <c r="J3336" s="1" t="s">
        <v>2587</v>
      </c>
      <c r="K3336" s="1" t="s">
        <v>36</v>
      </c>
      <c r="L3336" s="1" t="s">
        <v>10054</v>
      </c>
      <c r="M3336" s="6" t="str">
        <f>_xlfn.CONCAT(Table1[[#This Row],[Billing Street]], ", ", Table1[[#This Row],[Billing City]], ", ", Table1[[#This Row],[Billing State/Province]], ", ", Table1[[#This Row],[Billing Zip/Postal Code]])</f>
        <v>1600 NW 10th Av, Miami, FL, 33136</v>
      </c>
    </row>
    <row r="3337" spans="1:13" ht="15.6" hidden="1" x14ac:dyDescent="0.3">
      <c r="A3337" s="1" t="s">
        <v>10055</v>
      </c>
      <c r="B3337" s="1"/>
      <c r="C3337" s="1"/>
      <c r="D3337" s="1"/>
      <c r="E3337" s="1"/>
      <c r="F3337" s="1"/>
      <c r="G3337" s="1" t="s">
        <v>43</v>
      </c>
      <c r="H3337" s="2">
        <v>5776</v>
      </c>
      <c r="I3337" s="1" t="s">
        <v>13</v>
      </c>
      <c r="J3337" s="1" t="s">
        <v>13</v>
      </c>
      <c r="K3337" s="1" t="s">
        <v>10056</v>
      </c>
      <c r="L3337" s="1" t="s">
        <v>13</v>
      </c>
      <c r="M3337" s="6" t="str">
        <f>_xlfn.CONCAT(Table1[[#This Row],[Billing Street]], ", ", Table1[[#This Row],[Billing City]], ", ", Table1[[#This Row],[Billing State/Province]], ", ", Table1[[#This Row],[Billing Zip/Postal Code]])</f>
        <v xml:space="preserve">, , RI, </v>
      </c>
    </row>
    <row r="3338" spans="1:13" ht="15.6" hidden="1" x14ac:dyDescent="0.3">
      <c r="A3338" s="1" t="s">
        <v>10057</v>
      </c>
      <c r="B3338" s="1"/>
      <c r="C3338" s="1"/>
      <c r="D3338" s="1"/>
      <c r="E3338" s="1"/>
      <c r="F3338" s="1"/>
      <c r="G3338" s="1" t="s">
        <v>54</v>
      </c>
      <c r="H3338" s="2">
        <v>207</v>
      </c>
      <c r="I3338" s="1" t="s">
        <v>10058</v>
      </c>
      <c r="J3338" s="1" t="s">
        <v>10059</v>
      </c>
      <c r="K3338" s="1" t="s">
        <v>57</v>
      </c>
      <c r="L3338" s="1" t="s">
        <v>10060</v>
      </c>
      <c r="M3338" s="6" t="str">
        <f>_xlfn.CONCAT(Table1[[#This Row],[Billing Street]], ", ", Table1[[#This Row],[Billing City]], ", ", Table1[[#This Row],[Billing State/Province]], ", ", Table1[[#This Row],[Billing Zip/Postal Code]])</f>
        <v>4972 E Pontiac Way,, Fresno, CA, 93727</v>
      </c>
    </row>
    <row r="3339" spans="1:13" ht="15.6" hidden="1" x14ac:dyDescent="0.3">
      <c r="A3339" s="1" t="s">
        <v>10061</v>
      </c>
      <c r="B3339" s="1"/>
      <c r="C3339" s="1"/>
      <c r="D3339" s="1"/>
      <c r="E3339" s="1"/>
      <c r="F3339" s="1"/>
      <c r="G3339" s="1" t="s">
        <v>43</v>
      </c>
      <c r="H3339" s="2">
        <v>222</v>
      </c>
      <c r="I3339" s="1" t="s">
        <v>10062</v>
      </c>
      <c r="J3339" s="1" t="s">
        <v>6123</v>
      </c>
      <c r="K3339" s="1" t="s">
        <v>275</v>
      </c>
      <c r="L3339" s="1" t="s">
        <v>6124</v>
      </c>
      <c r="M3339" s="6" t="str">
        <f>_xlfn.CONCAT(Table1[[#This Row],[Billing Street]], ", ", Table1[[#This Row],[Billing City]], ", ", Table1[[#This Row],[Billing State/Province]], ", ", Table1[[#This Row],[Billing Zip/Postal Code]])</f>
        <v>100 W River Rd, Scottsville, ny, 14546</v>
      </c>
    </row>
    <row r="3340" spans="1:13" ht="15.6" hidden="1" x14ac:dyDescent="0.3">
      <c r="A3340" s="1" t="s">
        <v>10063</v>
      </c>
      <c r="B3340" s="1"/>
      <c r="C3340" s="1"/>
      <c r="D3340" s="1"/>
      <c r="E3340" s="1"/>
      <c r="F3340" s="1"/>
      <c r="G3340" s="1" t="s">
        <v>54</v>
      </c>
      <c r="H3340" s="2">
        <v>9</v>
      </c>
      <c r="I3340" s="1" t="s">
        <v>10064</v>
      </c>
      <c r="J3340" s="1" t="s">
        <v>1039</v>
      </c>
      <c r="K3340" s="1" t="s">
        <v>57</v>
      </c>
      <c r="L3340" s="1" t="s">
        <v>10065</v>
      </c>
      <c r="M3340" s="6" t="str">
        <f>_xlfn.CONCAT(Table1[[#This Row],[Billing Street]], ", ", Table1[[#This Row],[Billing City]], ", ", Table1[[#This Row],[Billing State/Province]], ", ", Table1[[#This Row],[Billing Zip/Postal Code]])</f>
        <v>6655 San Fernando Rd, Glendale, CA, 91201</v>
      </c>
    </row>
    <row r="3341" spans="1:13" ht="15.6" hidden="1" x14ac:dyDescent="0.3">
      <c r="A3341" s="1" t="s">
        <v>10066</v>
      </c>
      <c r="B3341" s="1"/>
      <c r="C3341" s="1"/>
      <c r="D3341" s="1"/>
      <c r="E3341" s="1"/>
      <c r="F3341" s="1"/>
      <c r="G3341" s="1" t="s">
        <v>8</v>
      </c>
      <c r="H3341" s="2">
        <v>6528</v>
      </c>
      <c r="I3341" s="1" t="s">
        <v>13</v>
      </c>
      <c r="J3341" s="1" t="s">
        <v>2160</v>
      </c>
      <c r="K3341" s="1" t="s">
        <v>165</v>
      </c>
      <c r="L3341" s="1" t="s">
        <v>13</v>
      </c>
      <c r="M3341" s="6" t="str">
        <f>_xlfn.CONCAT(Table1[[#This Row],[Billing Street]], ", ", Table1[[#This Row],[Billing City]], ", ", Table1[[#This Row],[Billing State/Province]], ", ", Table1[[#This Row],[Billing Zip/Postal Code]])</f>
        <v xml:space="preserve">, El Dorado, AR, </v>
      </c>
    </row>
    <row r="3342" spans="1:13" ht="15.6" hidden="1" x14ac:dyDescent="0.3">
      <c r="A3342" s="1" t="s">
        <v>10067</v>
      </c>
      <c r="B3342" s="1"/>
      <c r="C3342" s="1"/>
      <c r="D3342" s="1"/>
      <c r="E3342" s="1"/>
      <c r="F3342" s="1"/>
      <c r="G3342" s="1" t="s">
        <v>43</v>
      </c>
      <c r="H3342" s="2">
        <v>5776</v>
      </c>
      <c r="I3342" s="1" t="s">
        <v>10068</v>
      </c>
      <c r="J3342" s="1" t="s">
        <v>691</v>
      </c>
      <c r="K3342" s="1" t="s">
        <v>3104</v>
      </c>
      <c r="L3342" s="1" t="s">
        <v>13</v>
      </c>
      <c r="M3342" s="6" t="str">
        <f>_xlfn.CONCAT(Table1[[#This Row],[Billing Street]], ", ", Table1[[#This Row],[Billing City]], ", ", Table1[[#This Row],[Billing State/Province]], ", ", Table1[[#This Row],[Billing Zip/Postal Code]])</f>
        <v xml:space="preserve">990 Housitonic Ave, Bridgeport, ct, </v>
      </c>
    </row>
    <row r="3343" spans="1:13" ht="15.6" hidden="1" x14ac:dyDescent="0.3">
      <c r="A3343" s="1" t="s">
        <v>10069</v>
      </c>
      <c r="B3343" s="1"/>
      <c r="C3343" s="1"/>
      <c r="D3343" s="1"/>
      <c r="E3343" s="1"/>
      <c r="F3343" s="1"/>
      <c r="G3343" s="1" t="s">
        <v>13</v>
      </c>
      <c r="H3343" s="2">
        <v>0</v>
      </c>
      <c r="I3343" s="1" t="s">
        <v>10070</v>
      </c>
      <c r="J3343" s="1" t="s">
        <v>13</v>
      </c>
      <c r="K3343" s="1" t="s">
        <v>13</v>
      </c>
      <c r="L3343" s="1" t="s">
        <v>13</v>
      </c>
      <c r="M3343" s="6" t="str">
        <f>_xlfn.CONCAT(Table1[[#This Row],[Billing Street]], ", ", Table1[[#This Row],[Billing City]], ", ", Table1[[#This Row],[Billing State/Province]], ", ", Table1[[#This Row],[Billing Zip/Postal Code]])</f>
        <v xml:space="preserve">ILJIN Building, 45, Mapo-daero, Mapo-gu, , , </v>
      </c>
    </row>
    <row r="3344" spans="1:13" ht="15.6" hidden="1" x14ac:dyDescent="0.3">
      <c r="A3344" s="1" t="s">
        <v>10071</v>
      </c>
      <c r="B3344" s="1"/>
      <c r="C3344" s="1"/>
      <c r="D3344" s="1"/>
      <c r="E3344" s="1"/>
      <c r="F3344" s="1"/>
      <c r="G3344" s="1" t="s">
        <v>13</v>
      </c>
      <c r="H3344" s="2">
        <v>0</v>
      </c>
      <c r="I3344" s="1" t="s">
        <v>10072</v>
      </c>
      <c r="J3344" s="1" t="s">
        <v>10073</v>
      </c>
      <c r="K3344" s="1" t="s">
        <v>13</v>
      </c>
      <c r="L3344" s="1" t="s">
        <v>13</v>
      </c>
      <c r="M3344" s="6" t="str">
        <f>_xlfn.CONCAT(Table1[[#This Row],[Billing Street]], ", ", Table1[[#This Row],[Billing City]], ", ", Table1[[#This Row],[Billing State/Province]], ", ", Table1[[#This Row],[Billing Zip/Postal Code]])</f>
        <v xml:space="preserve">Paseo Rio Sonora y Comonfort C.P. 83280, Hermosillo, , </v>
      </c>
    </row>
    <row r="3345" spans="1:13" ht="15.6" x14ac:dyDescent="0.3">
      <c r="A3345" s="1" t="s">
        <v>10074</v>
      </c>
      <c r="B3345" s="1"/>
      <c r="C3345" s="1"/>
      <c r="D3345" s="1"/>
      <c r="E3345" s="1"/>
      <c r="F3345" s="1"/>
      <c r="G3345" s="1" t="s">
        <v>24</v>
      </c>
      <c r="H3345" s="2">
        <v>5988</v>
      </c>
      <c r="I3345" s="1" t="s">
        <v>13</v>
      </c>
      <c r="J3345" s="1" t="s">
        <v>534</v>
      </c>
      <c r="K3345" s="1" t="s">
        <v>26</v>
      </c>
      <c r="L3345" s="1" t="s">
        <v>10075</v>
      </c>
      <c r="M3345" s="6" t="str">
        <f>_xlfn.CONCAT(Table1[[#This Row],[Billing Street]], ", ", Table1[[#This Row],[Billing City]], ", ", Table1[[#This Row],[Billing State/Province]], ", ", Table1[[#This Row],[Billing Zip/Postal Code]])</f>
        <v>, Bessemer, AL, 35023</v>
      </c>
    </row>
    <row r="3346" spans="1:13" ht="15.6" hidden="1" x14ac:dyDescent="0.3">
      <c r="A3346" s="1" t="s">
        <v>10076</v>
      </c>
      <c r="B3346" s="1"/>
      <c r="C3346" s="1"/>
      <c r="D3346" s="1"/>
      <c r="E3346" s="1"/>
      <c r="F3346" s="1"/>
      <c r="G3346" s="1" t="s">
        <v>43</v>
      </c>
      <c r="H3346" s="2">
        <v>122</v>
      </c>
      <c r="I3346" s="1" t="s">
        <v>10077</v>
      </c>
      <c r="J3346" s="1" t="s">
        <v>3970</v>
      </c>
      <c r="K3346" s="1" t="s">
        <v>241</v>
      </c>
      <c r="L3346" s="1" t="s">
        <v>10078</v>
      </c>
      <c r="M3346" s="6" t="str">
        <f>_xlfn.CONCAT(Table1[[#This Row],[Billing Street]], ", ", Table1[[#This Row],[Billing City]], ", ", Table1[[#This Row],[Billing State/Province]], ", ", Table1[[#This Row],[Billing Zip/Postal Code]])</f>
        <v>4727 Berkshire Center  Suite 102, Greensburg, PA, 15601</v>
      </c>
    </row>
    <row r="3347" spans="1:13" ht="15.6" hidden="1" x14ac:dyDescent="0.3">
      <c r="A3347" s="1" t="s">
        <v>10079</v>
      </c>
      <c r="B3347" s="1"/>
      <c r="C3347" s="1"/>
      <c r="D3347" s="1"/>
      <c r="E3347" s="1"/>
      <c r="F3347" s="1"/>
      <c r="G3347" s="1" t="s">
        <v>8</v>
      </c>
      <c r="H3347" s="2">
        <v>832</v>
      </c>
      <c r="I3347" s="1" t="s">
        <v>10080</v>
      </c>
      <c r="J3347" s="1" t="s">
        <v>10081</v>
      </c>
      <c r="K3347" s="1" t="s">
        <v>10082</v>
      </c>
      <c r="L3347" s="1" t="s">
        <v>10083</v>
      </c>
      <c r="M3347" s="6" t="str">
        <f>_xlfn.CONCAT(Table1[[#This Row],[Billing Street]], ", ", Table1[[#This Row],[Billing City]], ", ", Table1[[#This Row],[Billing State/Province]], ", ", Table1[[#This Row],[Billing Zip/Postal Code]])</f>
        <v>2550 Lane 40, Greybull, Wy, 82426</v>
      </c>
    </row>
    <row r="3348" spans="1:13" ht="15.6" x14ac:dyDescent="0.3">
      <c r="A3348" s="1" t="s">
        <v>10084</v>
      </c>
      <c r="B3348" s="1"/>
      <c r="C3348" s="1"/>
      <c r="D3348" s="1"/>
      <c r="E3348" s="1"/>
      <c r="F3348" s="1"/>
      <c r="G3348" s="1" t="s">
        <v>24</v>
      </c>
      <c r="H3348" s="2">
        <v>5988</v>
      </c>
      <c r="I3348" s="1" t="s">
        <v>10085</v>
      </c>
      <c r="J3348" s="1" t="s">
        <v>1609</v>
      </c>
      <c r="K3348" s="1" t="s">
        <v>26</v>
      </c>
      <c r="L3348" s="1" t="s">
        <v>1610</v>
      </c>
      <c r="M3348" s="6" t="str">
        <f>_xlfn.CONCAT(Table1[[#This Row],[Billing Street]], ", ", Table1[[#This Row],[Billing City]], ", ", Table1[[#This Row],[Billing State/Province]], ", ", Table1[[#This Row],[Billing Zip/Postal Code]])</f>
        <v>2305 Baugh St, Linden, AL, 36748</v>
      </c>
    </row>
    <row r="3349" spans="1:13" ht="15.6" hidden="1" x14ac:dyDescent="0.3">
      <c r="A3349" s="1" t="s">
        <v>10086</v>
      </c>
      <c r="B3349" s="1"/>
      <c r="C3349" s="1"/>
      <c r="D3349" s="1"/>
      <c r="E3349" s="1"/>
      <c r="F3349" s="1"/>
      <c r="G3349" s="1" t="s">
        <v>13</v>
      </c>
      <c r="H3349" s="2">
        <v>0</v>
      </c>
      <c r="I3349" s="1" t="s">
        <v>10087</v>
      </c>
      <c r="J3349" s="1" t="s">
        <v>10073</v>
      </c>
      <c r="K3349" s="1" t="s">
        <v>13</v>
      </c>
      <c r="L3349" s="1" t="s">
        <v>10088</v>
      </c>
      <c r="M3349" s="6" t="str">
        <f>_xlfn.CONCAT(Table1[[#This Row],[Billing Street]], ", ", Table1[[#This Row],[Billing City]], ", ", Table1[[#This Row],[Billing State/Province]], ", ", Table1[[#This Row],[Billing Zip/Postal Code]])</f>
        <v>Dr. Aguilar Campodonico #26, Hermosillo, , 83260</v>
      </c>
    </row>
    <row r="3350" spans="1:13" ht="15.6" hidden="1" x14ac:dyDescent="0.3">
      <c r="A3350" s="1" t="s">
        <v>10089</v>
      </c>
      <c r="B3350" s="1"/>
      <c r="C3350" s="1"/>
      <c r="D3350" s="1"/>
      <c r="E3350" s="1"/>
      <c r="F3350" s="1"/>
      <c r="G3350" s="1" t="s">
        <v>54</v>
      </c>
      <c r="H3350" s="2">
        <v>867</v>
      </c>
      <c r="I3350" s="1" t="s">
        <v>10090</v>
      </c>
      <c r="J3350" s="1" t="s">
        <v>478</v>
      </c>
      <c r="K3350" s="1" t="s">
        <v>2304</v>
      </c>
      <c r="L3350" s="1" t="s">
        <v>10091</v>
      </c>
      <c r="M3350" s="6" t="str">
        <f>_xlfn.CONCAT(Table1[[#This Row],[Billing Street]], ", ", Table1[[#This Row],[Billing City]], ", ", Table1[[#This Row],[Billing State/Province]], ", ", Table1[[#This Row],[Billing Zip/Postal Code]])</f>
        <v>205 E. Columbia, Mesa, Wa, 99343</v>
      </c>
    </row>
    <row r="3351" spans="1:13" ht="15.6" hidden="1" x14ac:dyDescent="0.3">
      <c r="A3351" s="1" t="s">
        <v>10092</v>
      </c>
      <c r="B3351" s="1"/>
      <c r="C3351" s="1"/>
      <c r="D3351" s="1"/>
      <c r="E3351" s="1"/>
      <c r="F3351" s="1"/>
      <c r="G3351" s="1" t="s">
        <v>98</v>
      </c>
      <c r="H3351" s="2">
        <v>290</v>
      </c>
      <c r="I3351" s="1" t="s">
        <v>10093</v>
      </c>
      <c r="J3351" s="1" t="s">
        <v>637</v>
      </c>
      <c r="K3351" s="1" t="s">
        <v>10094</v>
      </c>
      <c r="L3351" s="1" t="s">
        <v>5033</v>
      </c>
      <c r="M3351" s="6" t="str">
        <f>_xlfn.CONCAT(Table1[[#This Row],[Billing Street]], ", ", Table1[[#This Row],[Billing City]], ", ", Table1[[#This Row],[Billing State/Province]], ", ", Table1[[#This Row],[Billing Zip/Postal Code]])</f>
        <v>1159 Highway 45 bypass, Jackson, Tn, 38301</v>
      </c>
    </row>
    <row r="3352" spans="1:13" ht="15.6" x14ac:dyDescent="0.3">
      <c r="A3352" s="1" t="s">
        <v>10095</v>
      </c>
      <c r="B3352" s="1"/>
      <c r="C3352" s="1"/>
      <c r="D3352" s="1"/>
      <c r="E3352" s="1"/>
      <c r="F3352" s="1"/>
      <c r="G3352" s="1" t="s">
        <v>24</v>
      </c>
      <c r="H3352" s="2">
        <v>5988</v>
      </c>
      <c r="I3352" s="1" t="s">
        <v>10096</v>
      </c>
      <c r="J3352" s="1" t="s">
        <v>10097</v>
      </c>
      <c r="K3352" s="1" t="s">
        <v>26</v>
      </c>
      <c r="L3352" s="1" t="s">
        <v>10098</v>
      </c>
      <c r="M3352" s="6" t="str">
        <f>_xlfn.CONCAT(Table1[[#This Row],[Billing Street]], ", ", Table1[[#This Row],[Billing City]], ", ", Table1[[#This Row],[Billing State/Province]], ", ", Table1[[#This Row],[Billing Zip/Postal Code]])</f>
        <v>12400 Hwy 43 N, Axis, AL, 36505</v>
      </c>
    </row>
    <row r="3353" spans="1:13" ht="15.6" x14ac:dyDescent="0.3">
      <c r="A3353" s="1" t="s">
        <v>10099</v>
      </c>
      <c r="B3353" s="1"/>
      <c r="C3353" s="1"/>
      <c r="D3353" s="1"/>
      <c r="E3353" s="1"/>
      <c r="F3353" s="1"/>
      <c r="G3353" s="1" t="s">
        <v>24</v>
      </c>
      <c r="H3353" s="2">
        <v>5988</v>
      </c>
      <c r="I3353" s="1" t="s">
        <v>10100</v>
      </c>
      <c r="J3353" s="1" t="s">
        <v>10097</v>
      </c>
      <c r="K3353" s="1" t="s">
        <v>26</v>
      </c>
      <c r="L3353" s="1" t="s">
        <v>10098</v>
      </c>
      <c r="M3353" s="6" t="str">
        <f>_xlfn.CONCAT(Table1[[#This Row],[Billing Street]], ", ", Table1[[#This Row],[Billing City]], ", ", Table1[[#This Row],[Billing State/Province]], ", ", Table1[[#This Row],[Billing Zip/Postal Code]])</f>
        <v>13755 US-43, Axis, AL, 36505</v>
      </c>
    </row>
    <row r="3354" spans="1:13" ht="15.6" x14ac:dyDescent="0.3">
      <c r="A3354" s="1" t="s">
        <v>10101</v>
      </c>
      <c r="B3354" s="1"/>
      <c r="C3354" s="1"/>
      <c r="D3354" s="1"/>
      <c r="E3354" s="1"/>
      <c r="F3354" s="1"/>
      <c r="G3354" s="1" t="s">
        <v>24</v>
      </c>
      <c r="H3354" s="2">
        <v>5988</v>
      </c>
      <c r="I3354" s="1" t="s">
        <v>10102</v>
      </c>
      <c r="J3354" s="1" t="s">
        <v>10097</v>
      </c>
      <c r="K3354" s="1" t="s">
        <v>26</v>
      </c>
      <c r="L3354" s="1" t="s">
        <v>10098</v>
      </c>
      <c r="M3354" s="6" t="str">
        <f>_xlfn.CONCAT(Table1[[#This Row],[Billing Street]], ", ", Table1[[#This Row],[Billing City]], ", ", Table1[[#This Row],[Billing State/Province]], ", ", Table1[[#This Row],[Billing Zip/Postal Code]])</f>
        <v>12950 US-43, Axis, AL, 36505</v>
      </c>
    </row>
    <row r="3355" spans="1:13" ht="15.6" x14ac:dyDescent="0.3">
      <c r="A3355" s="1" t="s">
        <v>10103</v>
      </c>
      <c r="B3355" s="1"/>
      <c r="C3355" s="1"/>
      <c r="D3355" s="1"/>
      <c r="E3355" s="1"/>
      <c r="F3355" s="1"/>
      <c r="G3355" s="1" t="s">
        <v>24</v>
      </c>
      <c r="H3355" s="2">
        <v>109</v>
      </c>
      <c r="I3355" s="1" t="s">
        <v>10104</v>
      </c>
      <c r="J3355" s="1" t="s">
        <v>25</v>
      </c>
      <c r="K3355" s="1" t="s">
        <v>26</v>
      </c>
      <c r="L3355" s="1" t="s">
        <v>10105</v>
      </c>
      <c r="M3355" s="6" t="str">
        <f>_xlfn.CONCAT(Table1[[#This Row],[Billing Street]], ", ", Table1[[#This Row],[Billing City]], ", ", Table1[[#This Row],[Billing State/Province]], ", ", Table1[[#This Row],[Billing Zip/Postal Code]])</f>
        <v>5341 Perimeter Pkwy, Montgomery, AL, 36116</v>
      </c>
    </row>
    <row r="3356" spans="1:13" ht="15.6" hidden="1" x14ac:dyDescent="0.3">
      <c r="A3356" s="1" t="s">
        <v>10106</v>
      </c>
      <c r="B3356" s="1"/>
      <c r="C3356" s="1"/>
      <c r="D3356" s="1"/>
      <c r="E3356" s="1"/>
      <c r="F3356" s="1"/>
      <c r="G3356" s="1" t="s">
        <v>8</v>
      </c>
      <c r="H3356" s="2">
        <v>6528</v>
      </c>
      <c r="I3356" s="1" t="s">
        <v>13</v>
      </c>
      <c r="J3356" s="1" t="s">
        <v>13</v>
      </c>
      <c r="K3356" s="1" t="s">
        <v>11</v>
      </c>
      <c r="L3356" s="1" t="s">
        <v>13</v>
      </c>
      <c r="M3356" s="6" t="str">
        <f>_xlfn.CONCAT(Table1[[#This Row],[Billing Street]], ", ", Table1[[#This Row],[Billing City]], ", ", Table1[[#This Row],[Billing State/Province]], ", ", Table1[[#This Row],[Billing Zip/Postal Code]])</f>
        <v xml:space="preserve">, , MO, </v>
      </c>
    </row>
    <row r="3357" spans="1:13" ht="15.6" hidden="1" x14ac:dyDescent="0.3">
      <c r="A3357" s="1" t="s">
        <v>10107</v>
      </c>
      <c r="B3357" s="1"/>
      <c r="C3357" s="1"/>
      <c r="D3357" s="1"/>
      <c r="E3357" s="1"/>
      <c r="F3357" s="1"/>
      <c r="G3357" s="1" t="s">
        <v>8</v>
      </c>
      <c r="H3357" s="2">
        <v>484</v>
      </c>
      <c r="I3357" s="1" t="s">
        <v>10108</v>
      </c>
      <c r="J3357" s="1" t="s">
        <v>10109</v>
      </c>
      <c r="K3357" s="1" t="s">
        <v>229</v>
      </c>
      <c r="L3357" s="1" t="s">
        <v>6596</v>
      </c>
      <c r="M3357" s="6" t="str">
        <f>_xlfn.CONCAT(Table1[[#This Row],[Billing Street]], ", ", Table1[[#This Row],[Billing City]], ", ", Table1[[#This Row],[Billing State/Province]], ", ", Table1[[#This Row],[Billing Zip/Postal Code]])</f>
        <v>301 S Florence, colman, SD, 57017</v>
      </c>
    </row>
    <row r="3358" spans="1:13" ht="15.6" hidden="1" x14ac:dyDescent="0.3">
      <c r="A3358" s="1" t="s">
        <v>10110</v>
      </c>
      <c r="B3358" s="1"/>
      <c r="C3358" s="1"/>
      <c r="D3358" s="1"/>
      <c r="E3358" s="1"/>
      <c r="F3358" s="1"/>
      <c r="G3358" s="1" t="s">
        <v>8</v>
      </c>
      <c r="H3358" s="2">
        <v>6528</v>
      </c>
      <c r="I3358" s="1" t="s">
        <v>13</v>
      </c>
      <c r="J3358" s="1" t="s">
        <v>13</v>
      </c>
      <c r="K3358" s="1" t="s">
        <v>229</v>
      </c>
      <c r="L3358" s="1" t="s">
        <v>13</v>
      </c>
      <c r="M3358" s="6" t="str">
        <f>_xlfn.CONCAT(Table1[[#This Row],[Billing Street]], ", ", Table1[[#This Row],[Billing City]], ", ", Table1[[#This Row],[Billing State/Province]], ", ", Table1[[#This Row],[Billing Zip/Postal Code]])</f>
        <v xml:space="preserve">, , SD, </v>
      </c>
    </row>
    <row r="3359" spans="1:13" ht="15.6" hidden="1" x14ac:dyDescent="0.3">
      <c r="A3359" s="1" t="s">
        <v>10111</v>
      </c>
      <c r="B3359" s="1"/>
      <c r="C3359" s="1"/>
      <c r="D3359" s="1"/>
      <c r="E3359" s="1"/>
      <c r="F3359" s="1"/>
      <c r="G3359" s="1" t="s">
        <v>43</v>
      </c>
      <c r="H3359" s="2">
        <v>246</v>
      </c>
      <c r="I3359" s="1" t="s">
        <v>10112</v>
      </c>
      <c r="J3359" s="1" t="s">
        <v>3905</v>
      </c>
      <c r="K3359" s="1" t="s">
        <v>237</v>
      </c>
      <c r="L3359" s="1" t="s">
        <v>10113</v>
      </c>
      <c r="M3359" s="6" t="str">
        <f>_xlfn.CONCAT(Table1[[#This Row],[Billing Street]], ", ", Table1[[#This Row],[Billing City]], ", ", Table1[[#This Row],[Billing State/Province]], ", ", Table1[[#This Row],[Billing Zip/Postal Code]])</f>
        <v>514 E. Marion Street, Mishawaka, IN, 46545</v>
      </c>
    </row>
    <row r="3360" spans="1:13" ht="15.6" hidden="1" x14ac:dyDescent="0.3">
      <c r="A3360" s="1" t="s">
        <v>10114</v>
      </c>
      <c r="B3360" s="1"/>
      <c r="C3360" s="1"/>
      <c r="D3360" s="1"/>
      <c r="E3360" s="1"/>
      <c r="F3360" s="1"/>
      <c r="G3360" s="1" t="s">
        <v>8</v>
      </c>
      <c r="H3360" s="2">
        <v>6528</v>
      </c>
      <c r="I3360" s="1" t="s">
        <v>13</v>
      </c>
      <c r="J3360" s="1" t="s">
        <v>13</v>
      </c>
      <c r="K3360" s="1" t="s">
        <v>11</v>
      </c>
      <c r="L3360" s="1" t="s">
        <v>13</v>
      </c>
      <c r="M3360" s="6" t="str">
        <f>_xlfn.CONCAT(Table1[[#This Row],[Billing Street]], ", ", Table1[[#This Row],[Billing City]], ", ", Table1[[#This Row],[Billing State/Province]], ", ", Table1[[#This Row],[Billing Zip/Postal Code]])</f>
        <v xml:space="preserve">, , MO, </v>
      </c>
    </row>
    <row r="3361" spans="1:13" ht="15.6" hidden="1" x14ac:dyDescent="0.3">
      <c r="A3361" s="1" t="s">
        <v>10115</v>
      </c>
      <c r="B3361" s="1"/>
      <c r="C3361" s="1"/>
      <c r="D3361" s="1"/>
      <c r="E3361" s="1"/>
      <c r="F3361" s="1"/>
      <c r="G3361" s="1" t="s">
        <v>8</v>
      </c>
      <c r="H3361" s="2">
        <v>503</v>
      </c>
      <c r="I3361" s="1" t="s">
        <v>10116</v>
      </c>
      <c r="J3361" s="1" t="s">
        <v>10117</v>
      </c>
      <c r="K3361" s="1" t="s">
        <v>51</v>
      </c>
      <c r="L3361" s="1" t="s">
        <v>5061</v>
      </c>
      <c r="M3361" s="6" t="str">
        <f>_xlfn.CONCAT(Table1[[#This Row],[Billing Street]], ", ", Table1[[#This Row],[Billing City]], ", ", Table1[[#This Row],[Billing State/Province]], ", ", Table1[[#This Row],[Billing Zip/Postal Code]])</f>
        <v>723 MAIN ST. STE 600, HousToN, TX, 77002</v>
      </c>
    </row>
    <row r="3362" spans="1:13" ht="15.6" hidden="1" x14ac:dyDescent="0.3">
      <c r="A3362" s="1" t="s">
        <v>10118</v>
      </c>
      <c r="B3362" s="1"/>
      <c r="C3362" s="1"/>
      <c r="D3362" s="1"/>
      <c r="E3362" s="1"/>
      <c r="F3362" s="1"/>
      <c r="G3362" s="1" t="s">
        <v>98</v>
      </c>
      <c r="H3362" s="2">
        <v>325</v>
      </c>
      <c r="I3362" s="1" t="s">
        <v>10119</v>
      </c>
      <c r="J3362" s="1" t="s">
        <v>10120</v>
      </c>
      <c r="K3362" s="1" t="s">
        <v>1135</v>
      </c>
      <c r="L3362" s="1" t="s">
        <v>10121</v>
      </c>
      <c r="M3362" s="6" t="str">
        <f>_xlfn.CONCAT(Table1[[#This Row],[Billing Street]], ", ", Table1[[#This Row],[Billing City]], ", ", Table1[[#This Row],[Billing State/Province]], ", ", Table1[[#This Row],[Billing Zip/Postal Code]])</f>
        <v>1135 N CHurch Street, Halls, TN, 38040</v>
      </c>
    </row>
    <row r="3363" spans="1:13" ht="15.6" hidden="1" x14ac:dyDescent="0.3">
      <c r="A3363" s="1" t="s">
        <v>10122</v>
      </c>
      <c r="B3363" s="1"/>
      <c r="C3363" s="1"/>
      <c r="D3363" s="1"/>
      <c r="E3363" s="1"/>
      <c r="F3363" s="1"/>
      <c r="G3363" s="1" t="s">
        <v>43</v>
      </c>
      <c r="H3363" s="2">
        <v>180</v>
      </c>
      <c r="I3363" s="1" t="s">
        <v>10123</v>
      </c>
      <c r="J3363" s="1" t="s">
        <v>10124</v>
      </c>
      <c r="K3363" s="1" t="s">
        <v>45</v>
      </c>
      <c r="L3363" s="1" t="s">
        <v>10125</v>
      </c>
      <c r="M3363" s="6" t="str">
        <f>_xlfn.CONCAT(Table1[[#This Row],[Billing Street]], ", ", Table1[[#This Row],[Billing City]], ", ", Table1[[#This Row],[Billing State/Province]], ", ", Table1[[#This Row],[Billing Zip/Postal Code]])</f>
        <v>1885 Woodman Center Drive, Kettering, OH, 45420</v>
      </c>
    </row>
    <row r="3364" spans="1:13" ht="15.6" hidden="1" x14ac:dyDescent="0.3">
      <c r="A3364" s="1" t="s">
        <v>10126</v>
      </c>
      <c r="B3364" s="1"/>
      <c r="C3364" s="1"/>
      <c r="D3364" s="1"/>
      <c r="E3364" s="1"/>
      <c r="F3364" s="1"/>
      <c r="G3364" s="1" t="s">
        <v>43</v>
      </c>
      <c r="H3364" s="2">
        <v>5776</v>
      </c>
      <c r="I3364" s="1" t="s">
        <v>13</v>
      </c>
      <c r="J3364" s="1" t="s">
        <v>10127</v>
      </c>
      <c r="K3364" s="1" t="s">
        <v>671</v>
      </c>
      <c r="L3364" s="1" t="s">
        <v>13</v>
      </c>
      <c r="M3364" s="6" t="str">
        <f>_xlfn.CONCAT(Table1[[#This Row],[Billing Street]], ", ", Table1[[#This Row],[Billing City]], ", ", Table1[[#This Row],[Billing State/Province]], ", ", Table1[[#This Row],[Billing Zip/Postal Code]])</f>
        <v xml:space="preserve">, Cicero, NY, </v>
      </c>
    </row>
    <row r="3365" spans="1:13" ht="15.6" x14ac:dyDescent="0.3">
      <c r="A3365" s="1" t="s">
        <v>10128</v>
      </c>
      <c r="B3365" s="1"/>
      <c r="C3365" s="1"/>
      <c r="D3365" s="1"/>
      <c r="E3365" s="1"/>
      <c r="F3365" s="1"/>
      <c r="G3365" s="1" t="s">
        <v>24</v>
      </c>
      <c r="H3365" s="2">
        <v>5988</v>
      </c>
      <c r="I3365" s="1" t="s">
        <v>10129</v>
      </c>
      <c r="J3365" s="1" t="s">
        <v>652</v>
      </c>
      <c r="K3365" s="1" t="s">
        <v>26</v>
      </c>
      <c r="L3365" s="1" t="s">
        <v>1732</v>
      </c>
      <c r="M3365" s="6" t="str">
        <f>_xlfn.CONCAT(Table1[[#This Row],[Billing Street]], ", ", Table1[[#This Row],[Billing City]], ", ", Table1[[#This Row],[Billing State/Province]], ", ", Table1[[#This Row],[Billing Zip/Postal Code]])</f>
        <v>719 S Foster St, Dothan, AL, 36301</v>
      </c>
    </row>
    <row r="3366" spans="1:13" ht="15.6" hidden="1" x14ac:dyDescent="0.3">
      <c r="A3366" s="1" t="s">
        <v>10130</v>
      </c>
      <c r="B3366" s="1"/>
      <c r="C3366" s="1"/>
      <c r="D3366" s="1"/>
      <c r="E3366" s="1"/>
      <c r="F3366" s="1"/>
      <c r="G3366" s="1" t="s">
        <v>98</v>
      </c>
      <c r="H3366" s="2">
        <v>307</v>
      </c>
      <c r="I3366" s="1" t="s">
        <v>10131</v>
      </c>
      <c r="J3366" s="1" t="s">
        <v>1778</v>
      </c>
      <c r="K3366" s="1" t="s">
        <v>1135</v>
      </c>
      <c r="L3366" s="1" t="s">
        <v>10132</v>
      </c>
      <c r="M3366" s="6" t="str">
        <f>_xlfn.CONCAT(Table1[[#This Row],[Billing Street]], ", ", Table1[[#This Row],[Billing City]], ", ", Table1[[#This Row],[Billing State/Province]], ", ", Table1[[#This Row],[Billing Zip/Postal Code]])</f>
        <v>17970  Hwy 64, Somerville, TN, 38068</v>
      </c>
    </row>
    <row r="3367" spans="1:13" ht="15.6" hidden="1" x14ac:dyDescent="0.3">
      <c r="A3367" s="1" t="s">
        <v>10133</v>
      </c>
      <c r="B3367" s="1"/>
      <c r="C3367" s="1"/>
      <c r="D3367" s="1"/>
      <c r="E3367" s="1"/>
      <c r="F3367" s="1"/>
      <c r="G3367" s="1" t="s">
        <v>98</v>
      </c>
      <c r="H3367" s="2">
        <v>171</v>
      </c>
      <c r="I3367" s="1" t="s">
        <v>10134</v>
      </c>
      <c r="J3367" s="1" t="s">
        <v>2104</v>
      </c>
      <c r="K3367" s="1" t="s">
        <v>1135</v>
      </c>
      <c r="L3367" s="1" t="s">
        <v>10135</v>
      </c>
      <c r="M3367" s="6" t="str">
        <f>_xlfn.CONCAT(Table1[[#This Row],[Billing Street]], ", ", Table1[[#This Row],[Billing City]], ", ", Table1[[#This Row],[Billing State/Province]], ", ", Table1[[#This Row],[Billing Zip/Postal Code]])</f>
        <v>611 East Broad St., Smithville, TN, 37166</v>
      </c>
    </row>
    <row r="3368" spans="1:13" ht="15.6" hidden="1" x14ac:dyDescent="0.3">
      <c r="A3368" s="1" t="s">
        <v>226</v>
      </c>
      <c r="B3368" s="1"/>
      <c r="C3368" s="1"/>
      <c r="D3368" s="1"/>
      <c r="E3368" s="1"/>
      <c r="F3368" s="1"/>
      <c r="G3368" s="1" t="s">
        <v>8</v>
      </c>
      <c r="H3368" s="2">
        <v>449</v>
      </c>
      <c r="I3368" s="1" t="s">
        <v>10136</v>
      </c>
      <c r="J3368" s="1" t="s">
        <v>10137</v>
      </c>
      <c r="K3368" s="1" t="s">
        <v>208</v>
      </c>
      <c r="L3368" s="1" t="s">
        <v>10138</v>
      </c>
      <c r="M3368" s="6" t="str">
        <f>_xlfn.CONCAT(Table1[[#This Row],[Billing Street]], ", ", Table1[[#This Row],[Billing City]], ", ", Table1[[#This Row],[Billing State/Province]], ", ", Table1[[#This Row],[Billing Zip/Postal Code]])</f>
        <v>1501 Maple, Rocky Ford, CO, 81067</v>
      </c>
    </row>
    <row r="3369" spans="1:13" ht="15.6" hidden="1" x14ac:dyDescent="0.3">
      <c r="A3369" s="1" t="s">
        <v>10139</v>
      </c>
      <c r="B3369" s="1"/>
      <c r="C3369" s="1"/>
      <c r="D3369" s="1"/>
      <c r="E3369" s="1"/>
      <c r="F3369" s="1"/>
      <c r="G3369" s="1" t="s">
        <v>98</v>
      </c>
      <c r="H3369" s="2">
        <v>193</v>
      </c>
      <c r="I3369" s="1" t="s">
        <v>10140</v>
      </c>
      <c r="J3369" s="1" t="s">
        <v>10141</v>
      </c>
      <c r="K3369" s="1" t="s">
        <v>1135</v>
      </c>
      <c r="L3369" s="1" t="s">
        <v>10142</v>
      </c>
      <c r="M3369" s="6" t="str">
        <f>_xlfn.CONCAT(Table1[[#This Row],[Billing Street]], ", ", Table1[[#This Row],[Billing City]], ", ", Table1[[#This Row],[Billing State/Province]], ", ", Table1[[#This Row],[Billing Zip/Postal Code]])</f>
        <v>1005 Main Street North, Carthage, TN, 37030</v>
      </c>
    </row>
    <row r="3370" spans="1:13" ht="15.6" hidden="1" x14ac:dyDescent="0.3">
      <c r="A3370" s="1" t="s">
        <v>10143</v>
      </c>
      <c r="B3370" s="1"/>
      <c r="C3370" s="1"/>
      <c r="D3370" s="1"/>
      <c r="E3370" s="1"/>
      <c r="F3370" s="1"/>
      <c r="G3370" s="1" t="s">
        <v>98</v>
      </c>
      <c r="H3370" s="2">
        <v>173</v>
      </c>
      <c r="I3370" s="1" t="s">
        <v>10144</v>
      </c>
      <c r="J3370" s="1" t="s">
        <v>10145</v>
      </c>
      <c r="K3370" s="1" t="s">
        <v>1135</v>
      </c>
      <c r="L3370" s="1" t="s">
        <v>10146</v>
      </c>
      <c r="M3370" s="6" t="str">
        <f>_xlfn.CONCAT(Table1[[#This Row],[Billing Street]], ", ", Table1[[#This Row],[Billing City]], ", ", Table1[[#This Row],[Billing State/Province]], ", ", Table1[[#This Row],[Billing Zip/Postal Code]])</f>
        <v>55 W Davis Road, Cookeville, TN, 14129</v>
      </c>
    </row>
    <row r="3371" spans="1:13" ht="15.6" hidden="1" x14ac:dyDescent="0.3">
      <c r="A3371" s="1" t="s">
        <v>10147</v>
      </c>
      <c r="B3371" s="1"/>
      <c r="C3371" s="1"/>
      <c r="D3371" s="1"/>
      <c r="E3371" s="1"/>
      <c r="F3371" s="1"/>
      <c r="G3371" s="1" t="s">
        <v>98</v>
      </c>
      <c r="H3371" s="2">
        <v>117</v>
      </c>
      <c r="I3371" s="1" t="s">
        <v>10148</v>
      </c>
      <c r="J3371" s="1" t="s">
        <v>10149</v>
      </c>
      <c r="K3371" s="1" t="s">
        <v>1135</v>
      </c>
      <c r="L3371" s="1" t="s">
        <v>10150</v>
      </c>
      <c r="M3371" s="6" t="str">
        <f>_xlfn.CONCAT(Table1[[#This Row],[Billing Street]], ", ", Table1[[#This Row],[Billing City]], ", ", Table1[[#This Row],[Billing State/Province]], ", ", Table1[[#This Row],[Billing Zip/Postal Code]])</f>
        <v>512 cedar Avenue, South Pittsburgh, TN, 37380</v>
      </c>
    </row>
    <row r="3372" spans="1:13" ht="15.6" hidden="1" x14ac:dyDescent="0.3">
      <c r="A3372" s="1" t="s">
        <v>10151</v>
      </c>
      <c r="B3372" s="1"/>
      <c r="C3372" s="1"/>
      <c r="D3372" s="1"/>
      <c r="E3372" s="1"/>
      <c r="F3372" s="1"/>
      <c r="G3372" s="1" t="s">
        <v>98</v>
      </c>
      <c r="H3372" s="2">
        <v>161</v>
      </c>
      <c r="I3372" s="1" t="s">
        <v>10152</v>
      </c>
      <c r="J3372" s="1" t="s">
        <v>6466</v>
      </c>
      <c r="K3372" s="1" t="s">
        <v>1135</v>
      </c>
      <c r="L3372" s="1" t="s">
        <v>10153</v>
      </c>
      <c r="M3372" s="6" t="str">
        <f>_xlfn.CONCAT(Table1[[#This Row],[Billing Street]], ", ", Table1[[#This Row],[Billing City]], ", ", Table1[[#This Row],[Billing State/Province]], ", ", Table1[[#This Row],[Billing Zip/Postal Code]])</f>
        <v>408 College Street West, Fayettville, TN, 37334</v>
      </c>
    </row>
    <row r="3373" spans="1:13" ht="15.6" hidden="1" x14ac:dyDescent="0.3">
      <c r="A3373" s="1" t="s">
        <v>10154</v>
      </c>
      <c r="B3373" s="1"/>
      <c r="C3373" s="1"/>
      <c r="D3373" s="1"/>
      <c r="E3373" s="1"/>
      <c r="F3373" s="1"/>
      <c r="G3373" s="1" t="s">
        <v>98</v>
      </c>
      <c r="H3373" s="2">
        <v>102</v>
      </c>
      <c r="I3373" s="1" t="s">
        <v>10155</v>
      </c>
      <c r="J3373" s="1" t="s">
        <v>9268</v>
      </c>
      <c r="K3373" s="1" t="s">
        <v>1135</v>
      </c>
      <c r="L3373" s="1" t="s">
        <v>10156</v>
      </c>
      <c r="M3373" s="6" t="str">
        <f>_xlfn.CONCAT(Table1[[#This Row],[Billing Street]], ", ", Table1[[#This Row],[Billing City]], ", ", Table1[[#This Row],[Billing State/Province]], ", ", Table1[[#This Row],[Billing Zip/Postal Code]])</f>
        <v>1350 E. 8th St., Chattanooga, TN, 37422</v>
      </c>
    </row>
    <row r="3374" spans="1:13" ht="15.6" hidden="1" x14ac:dyDescent="0.3">
      <c r="A3374" s="1" t="s">
        <v>10157</v>
      </c>
      <c r="B3374" s="1"/>
      <c r="C3374" s="1"/>
      <c r="D3374" s="1"/>
      <c r="E3374" s="1"/>
      <c r="F3374" s="1"/>
      <c r="G3374" s="1" t="s">
        <v>43</v>
      </c>
      <c r="H3374" s="2">
        <v>101</v>
      </c>
      <c r="I3374" s="1" t="s">
        <v>10158</v>
      </c>
      <c r="J3374" s="1" t="s">
        <v>10159</v>
      </c>
      <c r="K3374" s="1" t="s">
        <v>45</v>
      </c>
      <c r="L3374" s="1" t="s">
        <v>10160</v>
      </c>
      <c r="M3374" s="6" t="str">
        <f>_xlfn.CONCAT(Table1[[#This Row],[Billing Street]], ", ", Table1[[#This Row],[Billing City]], ", ", Table1[[#This Row],[Billing State/Province]], ", ", Table1[[#This Row],[Billing Zip/Postal Code]])</f>
        <v>7425 West Pike, Zanesville, OH, 43701</v>
      </c>
    </row>
    <row r="3375" spans="1:13" ht="15.6" hidden="1" x14ac:dyDescent="0.3">
      <c r="A3375" s="1" t="s">
        <v>10161</v>
      </c>
      <c r="B3375" s="1"/>
      <c r="C3375" s="1"/>
      <c r="D3375" s="1"/>
      <c r="E3375" s="1"/>
      <c r="F3375" s="1"/>
      <c r="G3375" s="1" t="s">
        <v>98</v>
      </c>
      <c r="H3375" s="2">
        <v>8</v>
      </c>
      <c r="I3375" s="1" t="s">
        <v>10162</v>
      </c>
      <c r="J3375" s="1" t="s">
        <v>1001</v>
      </c>
      <c r="K3375" s="1" t="s">
        <v>101</v>
      </c>
      <c r="L3375" s="1" t="s">
        <v>10163</v>
      </c>
      <c r="M3375" s="6" t="str">
        <f>_xlfn.CONCAT(Table1[[#This Row],[Billing Street]], ", ", Table1[[#This Row],[Billing City]], ", ", Table1[[#This Row],[Billing State/Province]], ", ", Table1[[#This Row],[Billing Zip/Postal Code]])</f>
        <v>3445 Peachtree Road, Suite 465, Atlanta, GA, 30326</v>
      </c>
    </row>
    <row r="3376" spans="1:13" ht="15.6" hidden="1" x14ac:dyDescent="0.3">
      <c r="A3376" s="1" t="s">
        <v>10164</v>
      </c>
      <c r="B3376" s="1"/>
      <c r="C3376" s="1"/>
      <c r="D3376" s="1"/>
      <c r="E3376" s="1"/>
      <c r="F3376" s="1"/>
      <c r="G3376" s="1" t="s">
        <v>8</v>
      </c>
      <c r="H3376" s="2">
        <v>747</v>
      </c>
      <c r="I3376" s="1" t="s">
        <v>10165</v>
      </c>
      <c r="J3376" s="1" t="s">
        <v>10166</v>
      </c>
      <c r="K3376" s="1" t="s">
        <v>128</v>
      </c>
      <c r="L3376" s="1" t="s">
        <v>10167</v>
      </c>
      <c r="M3376" s="6" t="str">
        <f>_xlfn.CONCAT(Table1[[#This Row],[Billing Street]], ", ", Table1[[#This Row],[Billing City]], ", ", Table1[[#This Row],[Billing State/Province]], ", ", Table1[[#This Row],[Billing Zip/Postal Code]])</f>
        <v>301 Main St, Bigfork, MN, 56628</v>
      </c>
    </row>
    <row r="3377" spans="1:13" ht="15.6" hidden="1" x14ac:dyDescent="0.3">
      <c r="A3377" s="1" t="s">
        <v>10168</v>
      </c>
      <c r="B3377" s="1"/>
      <c r="C3377" s="1"/>
      <c r="D3377" s="1"/>
      <c r="E3377" s="1"/>
      <c r="F3377" s="1"/>
      <c r="G3377" s="1" t="s">
        <v>13</v>
      </c>
      <c r="H3377" s="2">
        <v>0</v>
      </c>
      <c r="I3377" s="1" t="s">
        <v>13</v>
      </c>
      <c r="J3377" s="1" t="s">
        <v>13</v>
      </c>
      <c r="K3377" s="1" t="s">
        <v>13</v>
      </c>
      <c r="L3377" s="1" t="s">
        <v>13</v>
      </c>
      <c r="M3377" s="6" t="str">
        <f>_xlfn.CONCAT(Table1[[#This Row],[Billing Street]], ", ", Table1[[#This Row],[Billing City]], ", ", Table1[[#This Row],[Billing State/Province]], ", ", Table1[[#This Row],[Billing Zip/Postal Code]])</f>
        <v xml:space="preserve">, , , </v>
      </c>
    </row>
    <row r="3378" spans="1:13" ht="15.6" hidden="1" x14ac:dyDescent="0.3">
      <c r="A3378" s="1" t="s">
        <v>10169</v>
      </c>
      <c r="B3378" s="1"/>
      <c r="C3378" s="1"/>
      <c r="D3378" s="1"/>
      <c r="E3378" s="1"/>
      <c r="F3378" s="1"/>
      <c r="G3378" s="1" t="s">
        <v>13</v>
      </c>
      <c r="H3378" s="2">
        <v>0</v>
      </c>
      <c r="I3378" s="1" t="s">
        <v>13</v>
      </c>
      <c r="J3378" s="1" t="s">
        <v>13</v>
      </c>
      <c r="K3378" s="1" t="s">
        <v>13</v>
      </c>
      <c r="L3378" s="1" t="s">
        <v>13</v>
      </c>
      <c r="M3378" s="6" t="str">
        <f>_xlfn.CONCAT(Table1[[#This Row],[Billing Street]], ", ", Table1[[#This Row],[Billing City]], ", ", Table1[[#This Row],[Billing State/Province]], ", ", Table1[[#This Row],[Billing Zip/Postal Code]])</f>
        <v xml:space="preserve">, , , </v>
      </c>
    </row>
    <row r="3379" spans="1:13" ht="15.6" hidden="1" x14ac:dyDescent="0.3">
      <c r="A3379" s="1" t="s">
        <v>10170</v>
      </c>
      <c r="B3379" s="1"/>
      <c r="C3379" s="1"/>
      <c r="D3379" s="1"/>
      <c r="E3379" s="1"/>
      <c r="F3379" s="1"/>
      <c r="G3379" s="1" t="s">
        <v>43</v>
      </c>
      <c r="H3379" s="2">
        <v>342</v>
      </c>
      <c r="I3379" s="1" t="s">
        <v>10171</v>
      </c>
      <c r="J3379" s="1" t="s">
        <v>8424</v>
      </c>
      <c r="K3379" s="1" t="s">
        <v>152</v>
      </c>
      <c r="L3379" s="1" t="s">
        <v>10172</v>
      </c>
      <c r="M3379" s="6" t="str">
        <f>_xlfn.CONCAT(Table1[[#This Row],[Billing Street]], ", ", Table1[[#This Row],[Billing City]], ", ", Table1[[#This Row],[Billing State/Province]], ", ", Table1[[#This Row],[Billing Zip/Postal Code]])</f>
        <v>Two Pierce Place, Suite 1600, Itasca, IL, 60413</v>
      </c>
    </row>
    <row r="3380" spans="1:13" ht="15.6" x14ac:dyDescent="0.3">
      <c r="A3380" s="1" t="s">
        <v>10173</v>
      </c>
      <c r="B3380" s="1"/>
      <c r="C3380" s="1"/>
      <c r="D3380" s="1"/>
      <c r="E3380" s="1"/>
      <c r="F3380" s="1"/>
      <c r="G3380" s="1" t="s">
        <v>24</v>
      </c>
      <c r="H3380" s="2">
        <v>5988</v>
      </c>
      <c r="I3380" s="1" t="s">
        <v>10174</v>
      </c>
      <c r="J3380" s="1" t="s">
        <v>502</v>
      </c>
      <c r="K3380" s="1" t="s">
        <v>31</v>
      </c>
      <c r="L3380" s="1" t="s">
        <v>10175</v>
      </c>
      <c r="M3380" s="6" t="str">
        <f>_xlfn.CONCAT(Table1[[#This Row],[Billing Street]], ", ", Table1[[#This Row],[Billing City]], ", ", Table1[[#This Row],[Billing State/Province]], ", ", Table1[[#This Row],[Billing Zip/Postal Code]])</f>
        <v>1423 Old Highway 85 North, Columbia, MS, 39429</v>
      </c>
    </row>
    <row r="3381" spans="1:13" ht="15.6" x14ac:dyDescent="0.3">
      <c r="A3381" s="1" t="s">
        <v>10176</v>
      </c>
      <c r="B3381" s="1"/>
      <c r="C3381" s="1"/>
      <c r="D3381" s="1"/>
      <c r="E3381" s="1"/>
      <c r="F3381" s="1"/>
      <c r="G3381" s="1" t="s">
        <v>24</v>
      </c>
      <c r="H3381" s="2">
        <v>5988</v>
      </c>
      <c r="I3381" s="1" t="s">
        <v>10177</v>
      </c>
      <c r="J3381" s="1" t="s">
        <v>950</v>
      </c>
      <c r="K3381" s="1" t="s">
        <v>951</v>
      </c>
      <c r="L3381" s="1" t="s">
        <v>952</v>
      </c>
      <c r="M3381" s="6" t="str">
        <f>_xlfn.CONCAT(Table1[[#This Row],[Billing Street]], ", ", Table1[[#This Row],[Billing City]], ", ", Table1[[#This Row],[Billing State/Province]], ", ", Table1[[#This Row],[Billing Zip/Postal Code]])</f>
        <v>3909 Halls Ferry Road, Vicksburg, Ms, 39180</v>
      </c>
    </row>
    <row r="3382" spans="1:13" ht="15.6" hidden="1" x14ac:dyDescent="0.3">
      <c r="A3382" s="1" t="s">
        <v>10178</v>
      </c>
      <c r="B3382" s="1"/>
      <c r="C3382" s="1"/>
      <c r="D3382" s="1"/>
      <c r="E3382" s="1"/>
      <c r="F3382" s="1"/>
      <c r="G3382" s="1" t="s">
        <v>13</v>
      </c>
      <c r="H3382" s="2">
        <v>0</v>
      </c>
      <c r="I3382" s="1" t="s">
        <v>10179</v>
      </c>
      <c r="J3382" s="1" t="s">
        <v>2048</v>
      </c>
      <c r="K3382" s="1" t="s">
        <v>13</v>
      </c>
      <c r="L3382" s="1" t="s">
        <v>10180</v>
      </c>
      <c r="M3382" s="6" t="str">
        <f>_xlfn.CONCAT(Table1[[#This Row],[Billing Street]], ", ", Table1[[#This Row],[Billing City]], ", ", Table1[[#This Row],[Billing State/Province]], ", ", Table1[[#This Row],[Billing Zip/Postal Code]])</f>
        <v>1149 South Hill Street, Suite 450, Los Angeles, , 90015</v>
      </c>
    </row>
    <row r="3383" spans="1:13" ht="15.6" hidden="1" x14ac:dyDescent="0.3">
      <c r="A3383" s="1" t="s">
        <v>10181</v>
      </c>
      <c r="B3383" s="1"/>
      <c r="C3383" s="1"/>
      <c r="D3383" s="1"/>
      <c r="E3383" s="1"/>
      <c r="F3383" s="1"/>
      <c r="G3383" s="1" t="s">
        <v>13</v>
      </c>
      <c r="H3383" s="2">
        <v>0</v>
      </c>
      <c r="I3383" s="1" t="s">
        <v>10182</v>
      </c>
      <c r="J3383" s="1" t="s">
        <v>4631</v>
      </c>
      <c r="K3383" s="1" t="s">
        <v>13</v>
      </c>
      <c r="L3383" s="1" t="s">
        <v>10183</v>
      </c>
      <c r="M3383" s="6" t="str">
        <f>_xlfn.CONCAT(Table1[[#This Row],[Billing Street]], ", ", Table1[[#This Row],[Billing City]], ", ", Table1[[#This Row],[Billing State/Province]], ", ", Table1[[#This Row],[Billing Zip/Postal Code]])</f>
        <v>5050 W. Mission Blvd, Ontario, , 91762</v>
      </c>
    </row>
    <row r="3384" spans="1:13" ht="15.6" hidden="1" x14ac:dyDescent="0.3">
      <c r="A3384" s="1" t="s">
        <v>10184</v>
      </c>
      <c r="B3384" s="1"/>
      <c r="C3384" s="1"/>
      <c r="D3384" s="1"/>
      <c r="E3384" s="1"/>
      <c r="F3384" s="1"/>
      <c r="G3384" s="1" t="s">
        <v>13</v>
      </c>
      <c r="H3384" s="2">
        <v>0</v>
      </c>
      <c r="I3384" s="1" t="s">
        <v>10185</v>
      </c>
      <c r="J3384" s="1" t="s">
        <v>10186</v>
      </c>
      <c r="K3384" s="1" t="s">
        <v>13</v>
      </c>
      <c r="L3384" s="1" t="s">
        <v>13</v>
      </c>
      <c r="M3384" s="6" t="str">
        <f>_xlfn.CONCAT(Table1[[#This Row],[Billing Street]], ", ", Table1[[#This Row],[Billing City]], ", ", Table1[[#This Row],[Billing State/Province]], ", ", Table1[[#This Row],[Billing Zip/Postal Code]])</f>
        <v xml:space="preserve">1515 St Andrews Dr Lawrence, KS, Lawrence, , </v>
      </c>
    </row>
    <row r="3385" spans="1:13" ht="15.6" hidden="1" x14ac:dyDescent="0.3">
      <c r="A3385" s="1" t="s">
        <v>10187</v>
      </c>
      <c r="B3385" s="1"/>
      <c r="C3385" s="1"/>
      <c r="D3385" s="1"/>
      <c r="E3385" s="1"/>
      <c r="F3385" s="1"/>
      <c r="G3385" s="1" t="s">
        <v>98</v>
      </c>
      <c r="H3385" s="2">
        <v>13</v>
      </c>
      <c r="I3385" s="1" t="s">
        <v>10188</v>
      </c>
      <c r="J3385" s="1" t="s">
        <v>1001</v>
      </c>
      <c r="K3385" s="1" t="s">
        <v>101</v>
      </c>
      <c r="L3385" s="1" t="s">
        <v>1002</v>
      </c>
      <c r="M3385" s="6" t="str">
        <f>_xlfn.CONCAT(Table1[[#This Row],[Billing Street]], ", ", Table1[[#This Row],[Billing City]], ", ", Table1[[#This Row],[Billing State/Province]], ", ", Table1[[#This Row],[Billing Zip/Postal Code]])</f>
        <v>1359-A Ellsworth Industrial Blvd, Atlanta, GA, 30318</v>
      </c>
    </row>
    <row r="3386" spans="1:13" ht="15.6" hidden="1" x14ac:dyDescent="0.3">
      <c r="A3386" s="1" t="s">
        <v>10189</v>
      </c>
      <c r="B3386" s="1"/>
      <c r="C3386" s="1"/>
      <c r="D3386" s="1"/>
      <c r="E3386" s="1"/>
      <c r="F3386" s="1"/>
      <c r="G3386" s="1" t="s">
        <v>13</v>
      </c>
      <c r="H3386" s="2">
        <v>0</v>
      </c>
      <c r="I3386" s="1" t="s">
        <v>13</v>
      </c>
      <c r="J3386" s="1" t="s">
        <v>13</v>
      </c>
      <c r="K3386" s="1" t="s">
        <v>13</v>
      </c>
      <c r="L3386" s="1" t="s">
        <v>13</v>
      </c>
      <c r="M3386" s="6" t="str">
        <f>_xlfn.CONCAT(Table1[[#This Row],[Billing Street]], ", ", Table1[[#This Row],[Billing City]], ", ", Table1[[#This Row],[Billing State/Province]], ", ", Table1[[#This Row],[Billing Zip/Postal Code]])</f>
        <v xml:space="preserve">, , , </v>
      </c>
    </row>
    <row r="3387" spans="1:13" ht="15.6" hidden="1" x14ac:dyDescent="0.3">
      <c r="A3387" s="1" t="s">
        <v>10190</v>
      </c>
      <c r="B3387" s="1"/>
      <c r="C3387" s="1"/>
      <c r="D3387" s="1"/>
      <c r="E3387" s="1"/>
      <c r="F3387" s="1"/>
      <c r="G3387" s="1" t="s">
        <v>13</v>
      </c>
      <c r="H3387" s="2">
        <v>0</v>
      </c>
      <c r="I3387" s="1" t="s">
        <v>13</v>
      </c>
      <c r="J3387" s="1" t="s">
        <v>13</v>
      </c>
      <c r="K3387" s="1" t="s">
        <v>13</v>
      </c>
      <c r="L3387" s="1" t="s">
        <v>13</v>
      </c>
      <c r="M3387" s="6" t="str">
        <f>_xlfn.CONCAT(Table1[[#This Row],[Billing Street]], ", ", Table1[[#This Row],[Billing City]], ", ", Table1[[#This Row],[Billing State/Province]], ", ", Table1[[#This Row],[Billing Zip/Postal Code]])</f>
        <v xml:space="preserve">, , , </v>
      </c>
    </row>
    <row r="3388" spans="1:13" ht="15.6" x14ac:dyDescent="0.3">
      <c r="A3388" s="1" t="s">
        <v>10191</v>
      </c>
      <c r="B3388" s="1"/>
      <c r="C3388" s="1"/>
      <c r="D3388" s="1"/>
      <c r="E3388" s="1"/>
      <c r="F3388" s="1"/>
      <c r="G3388" s="1" t="s">
        <v>24</v>
      </c>
      <c r="H3388" s="2">
        <v>5988</v>
      </c>
      <c r="I3388" s="1" t="s">
        <v>10192</v>
      </c>
      <c r="J3388" s="1" t="s">
        <v>10193</v>
      </c>
      <c r="K3388" s="1" t="s">
        <v>26</v>
      </c>
      <c r="L3388" s="1" t="s">
        <v>10194</v>
      </c>
      <c r="M3388" s="6" t="str">
        <f>_xlfn.CONCAT(Table1[[#This Row],[Billing Street]], ", ", Table1[[#This Row],[Billing City]], ", ", Table1[[#This Row],[Billing State/Province]], ", ", Table1[[#This Row],[Billing Zip/Postal Code]])</f>
        <v>16243 AL-216, Brookwood, AL, 35444</v>
      </c>
    </row>
    <row r="3389" spans="1:13" ht="15.6" hidden="1" x14ac:dyDescent="0.3">
      <c r="A3389" s="1" t="s">
        <v>10195</v>
      </c>
      <c r="B3389" s="1"/>
      <c r="C3389" s="1"/>
      <c r="D3389" s="1"/>
      <c r="E3389" s="1"/>
      <c r="F3389" s="1"/>
      <c r="G3389" s="1" t="s">
        <v>8</v>
      </c>
      <c r="H3389" s="2">
        <v>392</v>
      </c>
      <c r="I3389" s="1" t="s">
        <v>10196</v>
      </c>
      <c r="J3389" s="1" t="s">
        <v>2120</v>
      </c>
      <c r="K3389" s="1" t="s">
        <v>208</v>
      </c>
      <c r="L3389" s="1" t="s">
        <v>2739</v>
      </c>
      <c r="M3389" s="6" t="str">
        <f>_xlfn.CONCAT(Table1[[#This Row],[Billing Street]], ", ", Table1[[#This Row],[Billing City]], ", ", Table1[[#This Row],[Billing State/Province]], ", ", Table1[[#This Row],[Billing Zip/Postal Code]])</f>
        <v>2400 Colfax Ave, Burlington, CO, 80807</v>
      </c>
    </row>
    <row r="3390" spans="1:13" ht="15.6" x14ac:dyDescent="0.3">
      <c r="A3390" s="1" t="s">
        <v>10197</v>
      </c>
      <c r="B3390" s="1"/>
      <c r="C3390" s="1"/>
      <c r="D3390" s="1"/>
      <c r="E3390" s="1"/>
      <c r="F3390" s="1"/>
      <c r="G3390" s="1" t="s">
        <v>24</v>
      </c>
      <c r="H3390" s="2">
        <v>5988</v>
      </c>
      <c r="I3390" s="1" t="s">
        <v>10198</v>
      </c>
      <c r="J3390" s="1" t="s">
        <v>2470</v>
      </c>
      <c r="K3390" s="1" t="s">
        <v>10199</v>
      </c>
      <c r="L3390" s="1" t="s">
        <v>10200</v>
      </c>
      <c r="M3390" s="6" t="str">
        <f>_xlfn.CONCAT(Table1[[#This Row],[Billing Street]], ", ", Table1[[#This Row],[Billing City]], ", ", Table1[[#This Row],[Billing State/Province]], ", ", Table1[[#This Row],[Billing Zip/Postal Code]])</f>
        <v>1306 Second St., Muscle Shoals, al, 35661</v>
      </c>
    </row>
    <row r="3391" spans="1:13" ht="15.6" hidden="1" x14ac:dyDescent="0.3">
      <c r="A3391" s="1" t="s">
        <v>10201</v>
      </c>
      <c r="B3391" s="1"/>
      <c r="C3391" s="1"/>
      <c r="D3391" s="1"/>
      <c r="E3391" s="1"/>
      <c r="F3391" s="1"/>
      <c r="G3391" s="1" t="s">
        <v>98</v>
      </c>
      <c r="H3391" s="2">
        <v>249</v>
      </c>
      <c r="I3391" s="1" t="s">
        <v>10202</v>
      </c>
      <c r="J3391" s="1" t="s">
        <v>4792</v>
      </c>
      <c r="K3391" s="1" t="s">
        <v>1178</v>
      </c>
      <c r="L3391" s="1" t="s">
        <v>4793</v>
      </c>
      <c r="M3391" s="6" t="str">
        <f>_xlfn.CONCAT(Table1[[#This Row],[Billing Street]], ", ", Table1[[#This Row],[Billing City]], ", ", Table1[[#This Row],[Billing State/Province]], ", ", Table1[[#This Row],[Billing Zip/Postal Code]])</f>
        <v>907 N Washington St, Wadesboro, NC, 28170</v>
      </c>
    </row>
    <row r="3392" spans="1:13" ht="15.6" hidden="1" x14ac:dyDescent="0.3">
      <c r="A3392" s="1" t="s">
        <v>10203</v>
      </c>
      <c r="B3392" s="1"/>
      <c r="C3392" s="1"/>
      <c r="D3392" s="1"/>
      <c r="E3392" s="1"/>
      <c r="F3392" s="1"/>
      <c r="G3392" s="1" t="s">
        <v>98</v>
      </c>
      <c r="H3392" s="2">
        <v>5887</v>
      </c>
      <c r="I3392" s="1" t="s">
        <v>10204</v>
      </c>
      <c r="J3392" s="1" t="s">
        <v>5064</v>
      </c>
      <c r="K3392" s="1" t="s">
        <v>234</v>
      </c>
      <c r="L3392" s="1" t="s">
        <v>5065</v>
      </c>
      <c r="M3392" s="6" t="str">
        <f>_xlfn.CONCAT(Table1[[#This Row],[Billing Street]], ", ", Table1[[#This Row],[Billing City]], ", ", Table1[[#This Row],[Billing State/Province]], ", ", Table1[[#This Row],[Billing Zip/Postal Code]])</f>
        <v>501 East Main St, Bennettsville, SC, 29512</v>
      </c>
    </row>
    <row r="3393" spans="1:13" ht="15.6" x14ac:dyDescent="0.3">
      <c r="A3393" s="1" t="s">
        <v>10205</v>
      </c>
      <c r="B3393" s="1"/>
      <c r="C3393" s="1"/>
      <c r="D3393" s="1"/>
      <c r="E3393" s="1"/>
      <c r="F3393" s="1"/>
      <c r="G3393" s="1" t="s">
        <v>24</v>
      </c>
      <c r="H3393" s="2">
        <v>110</v>
      </c>
      <c r="I3393" s="1" t="s">
        <v>10206</v>
      </c>
      <c r="J3393" s="1" t="s">
        <v>10207</v>
      </c>
      <c r="K3393" s="1" t="s">
        <v>26</v>
      </c>
      <c r="L3393" s="1" t="s">
        <v>10105</v>
      </c>
      <c r="M3393" s="6" t="str">
        <f>_xlfn.CONCAT(Table1[[#This Row],[Billing Street]], ", ", Table1[[#This Row],[Billing City]], ", ", Table1[[#This Row],[Billing State/Province]], ", ", Table1[[#This Row],[Billing Zip/Postal Code]])</f>
        <v>6065 Perimeter Pkwy  AL 36116, Montgomery,, AL, 36116</v>
      </c>
    </row>
    <row r="3394" spans="1:13" ht="15.6" hidden="1" x14ac:dyDescent="0.3">
      <c r="A3394" s="1" t="s">
        <v>10208</v>
      </c>
      <c r="B3394" s="1"/>
      <c r="C3394" s="1"/>
      <c r="D3394" s="1"/>
      <c r="E3394" s="1"/>
      <c r="F3394" s="1"/>
      <c r="G3394" s="1" t="s">
        <v>48</v>
      </c>
      <c r="H3394" s="2">
        <v>0</v>
      </c>
      <c r="I3394" s="1" t="s">
        <v>10209</v>
      </c>
      <c r="J3394" s="1" t="s">
        <v>10210</v>
      </c>
      <c r="K3394" s="1" t="s">
        <v>720</v>
      </c>
      <c r="L3394" s="1" t="s">
        <v>10211</v>
      </c>
      <c r="M3394" s="6" t="str">
        <f>_xlfn.CONCAT(Table1[[#This Row],[Billing Street]], ", ", Table1[[#This Row],[Billing City]], ", ", Table1[[#This Row],[Billing State/Province]], ", ", Table1[[#This Row],[Billing Zip/Postal Code]])</f>
        <v>36 Newburgh Road, Hackettstown, NJ, 07840</v>
      </c>
    </row>
    <row r="3395" spans="1:13" ht="15.6" hidden="1" x14ac:dyDescent="0.3">
      <c r="A3395" s="1" t="s">
        <v>10212</v>
      </c>
      <c r="B3395" s="1"/>
      <c r="C3395" s="1"/>
      <c r="D3395" s="1"/>
      <c r="E3395" s="1"/>
      <c r="F3395" s="1"/>
      <c r="G3395" s="1" t="s">
        <v>43</v>
      </c>
      <c r="H3395" s="2">
        <v>383</v>
      </c>
      <c r="I3395" s="1" t="s">
        <v>10213</v>
      </c>
      <c r="J3395" s="1" t="s">
        <v>3170</v>
      </c>
      <c r="K3395" s="1" t="s">
        <v>1191</v>
      </c>
      <c r="L3395" s="1" t="s">
        <v>10214</v>
      </c>
      <c r="M3395" s="6" t="str">
        <f>_xlfn.CONCAT(Table1[[#This Row],[Billing Street]], ", ", Table1[[#This Row],[Billing City]], ", ", Table1[[#This Row],[Billing State/Province]], ", ", Table1[[#This Row],[Billing Zip/Postal Code]])</f>
        <v>504 South BroadwayP. O. Box 1298, Glasgow, KY, 42142-1298</v>
      </c>
    </row>
    <row r="3396" spans="1:13" ht="15.6" x14ac:dyDescent="0.3">
      <c r="A3396" s="1" t="s">
        <v>10215</v>
      </c>
      <c r="B3396" s="1"/>
      <c r="C3396" s="1"/>
      <c r="D3396" s="1"/>
      <c r="E3396" s="1"/>
      <c r="F3396" s="1"/>
      <c r="G3396" s="1" t="s">
        <v>24</v>
      </c>
      <c r="H3396" s="2">
        <v>129</v>
      </c>
      <c r="I3396" s="1" t="s">
        <v>5917</v>
      </c>
      <c r="J3396" s="1" t="s">
        <v>5918</v>
      </c>
      <c r="K3396" s="1" t="s">
        <v>26</v>
      </c>
      <c r="L3396" s="1" t="s">
        <v>10216</v>
      </c>
      <c r="M3396" s="6" t="str">
        <f>_xlfn.CONCAT(Table1[[#This Row],[Billing Street]], ", ", Table1[[#This Row],[Billing City]], ", ", Table1[[#This Row],[Billing State/Province]], ", ", Table1[[#This Row],[Billing Zip/Postal Code]])</f>
        <v>103 Jesse Samuel Hunt Blvd, Prattville, AL, 36066</v>
      </c>
    </row>
    <row r="3397" spans="1:13" ht="15.6" hidden="1" x14ac:dyDescent="0.3">
      <c r="A3397" s="1" t="s">
        <v>10217</v>
      </c>
      <c r="B3397" s="1"/>
      <c r="C3397" s="1"/>
      <c r="D3397" s="1"/>
      <c r="E3397" s="1"/>
      <c r="F3397" s="1"/>
      <c r="G3397" s="1" t="s">
        <v>13</v>
      </c>
      <c r="H3397" s="2">
        <v>0</v>
      </c>
      <c r="I3397" s="1" t="s">
        <v>13</v>
      </c>
      <c r="J3397" s="1" t="s">
        <v>13</v>
      </c>
      <c r="K3397" s="1" t="s">
        <v>13</v>
      </c>
      <c r="L3397" s="1" t="s">
        <v>13</v>
      </c>
      <c r="M3397" s="6" t="str">
        <f>_xlfn.CONCAT(Table1[[#This Row],[Billing Street]], ", ", Table1[[#This Row],[Billing City]], ", ", Table1[[#This Row],[Billing State/Province]], ", ", Table1[[#This Row],[Billing Zip/Postal Code]])</f>
        <v xml:space="preserve">, , , </v>
      </c>
    </row>
    <row r="3398" spans="1:13" ht="15.6" x14ac:dyDescent="0.3">
      <c r="A3398" s="1" t="s">
        <v>10218</v>
      </c>
      <c r="B3398" s="1"/>
      <c r="C3398" s="1"/>
      <c r="D3398" s="1"/>
      <c r="E3398" s="1"/>
      <c r="F3398" s="1"/>
      <c r="G3398" s="1" t="s">
        <v>24</v>
      </c>
      <c r="H3398" s="2">
        <v>96</v>
      </c>
      <c r="I3398" s="1" t="s">
        <v>10219</v>
      </c>
      <c r="J3398" s="1" t="s">
        <v>2721</v>
      </c>
      <c r="K3398" s="1" t="s">
        <v>26</v>
      </c>
      <c r="L3398" s="1" t="s">
        <v>10220</v>
      </c>
      <c r="M3398" s="6" t="str">
        <f>_xlfn.CONCAT(Table1[[#This Row],[Billing Street]], ", ", Table1[[#This Row],[Billing City]], ", ", Table1[[#This Row],[Billing State/Province]], ", ", Table1[[#This Row],[Billing Zip/Postal Code]])</f>
        <v>1514 S McKenzie St, Foley, AL, 35635</v>
      </c>
    </row>
    <row r="3399" spans="1:13" ht="15.6" hidden="1" x14ac:dyDescent="0.3">
      <c r="A3399" s="1" t="s">
        <v>10221</v>
      </c>
      <c r="B3399" s="1"/>
      <c r="C3399" s="1"/>
      <c r="D3399" s="1"/>
      <c r="E3399" s="1"/>
      <c r="F3399" s="1"/>
      <c r="G3399" s="1" t="s">
        <v>98</v>
      </c>
      <c r="H3399" s="2">
        <v>335</v>
      </c>
      <c r="I3399" s="1" t="s">
        <v>10222</v>
      </c>
      <c r="J3399" s="1" t="s">
        <v>8440</v>
      </c>
      <c r="K3399" s="1" t="s">
        <v>1178</v>
      </c>
      <c r="L3399" s="1" t="s">
        <v>10223</v>
      </c>
      <c r="M3399" s="6" t="str">
        <f>_xlfn.CONCAT(Table1[[#This Row],[Billing Street]], ", ", Table1[[#This Row],[Billing City]], ", ", Table1[[#This Row],[Billing State/Province]], ", ", Table1[[#This Row],[Billing Zip/Postal Code]])</f>
        <v>405 E. Edgerton Street, Dunn, NC, 28335</v>
      </c>
    </row>
    <row r="3400" spans="1:13" ht="15.6" hidden="1" x14ac:dyDescent="0.3">
      <c r="A3400" s="1" t="s">
        <v>10224</v>
      </c>
      <c r="B3400" s="1"/>
      <c r="C3400" s="1"/>
      <c r="D3400" s="1"/>
      <c r="E3400" s="1"/>
      <c r="F3400" s="1"/>
      <c r="G3400" s="1" t="s">
        <v>98</v>
      </c>
      <c r="H3400" s="2">
        <v>92</v>
      </c>
      <c r="I3400" s="1" t="s">
        <v>10225</v>
      </c>
      <c r="J3400" s="1" t="s">
        <v>10226</v>
      </c>
      <c r="K3400" s="1" t="s">
        <v>101</v>
      </c>
      <c r="L3400" s="1" t="s">
        <v>10227</v>
      </c>
      <c r="M3400" s="6" t="str">
        <f>_xlfn.CONCAT(Table1[[#This Row],[Billing Street]], ", ", Table1[[#This Row],[Billing City]], ", ", Table1[[#This Row],[Billing State/Province]], ", ", Table1[[#This Row],[Billing Zip/Postal Code]])</f>
        <v>900 Hwy. 96PO. Box 6719, Warner Robins, GA, 31095</v>
      </c>
    </row>
    <row r="3401" spans="1:13" ht="15.6" hidden="1" x14ac:dyDescent="0.3">
      <c r="A3401" s="1" t="s">
        <v>10228</v>
      </c>
      <c r="B3401" s="1"/>
      <c r="C3401" s="1"/>
      <c r="D3401" s="1"/>
      <c r="E3401" s="1"/>
      <c r="F3401" s="1"/>
      <c r="G3401" s="1" t="s">
        <v>13</v>
      </c>
      <c r="H3401" s="2">
        <v>0</v>
      </c>
      <c r="I3401" s="1" t="s">
        <v>13</v>
      </c>
      <c r="J3401" s="1" t="s">
        <v>13</v>
      </c>
      <c r="K3401" s="1" t="s">
        <v>13</v>
      </c>
      <c r="L3401" s="1" t="s">
        <v>13</v>
      </c>
      <c r="M3401" s="6" t="str">
        <f>_xlfn.CONCAT(Table1[[#This Row],[Billing Street]], ", ", Table1[[#This Row],[Billing City]], ", ", Table1[[#This Row],[Billing State/Province]], ", ", Table1[[#This Row],[Billing Zip/Postal Code]])</f>
        <v xml:space="preserve">, , , </v>
      </c>
    </row>
    <row r="3402" spans="1:13" ht="15.6" hidden="1" x14ac:dyDescent="0.3">
      <c r="A3402" s="1" t="s">
        <v>10229</v>
      </c>
      <c r="B3402" s="1"/>
      <c r="C3402" s="1"/>
      <c r="D3402" s="1"/>
      <c r="E3402" s="1"/>
      <c r="F3402" s="1"/>
      <c r="G3402" s="1" t="s">
        <v>8</v>
      </c>
      <c r="H3402" s="2">
        <v>153</v>
      </c>
      <c r="I3402" s="1" t="s">
        <v>10230</v>
      </c>
      <c r="J3402" s="1" t="s">
        <v>434</v>
      </c>
      <c r="K3402" s="1" t="s">
        <v>147</v>
      </c>
      <c r="L3402" s="1" t="s">
        <v>10231</v>
      </c>
      <c r="M3402" s="6" t="str">
        <f>_xlfn.CONCAT(Table1[[#This Row],[Billing Street]], ", ", Table1[[#This Row],[Billing City]], ", ", Table1[[#This Row],[Billing State/Province]], ", ", Table1[[#This Row],[Billing Zip/Postal Code]])</f>
        <v>8 SW 29th Street, Oklahoma City, OK, 73109</v>
      </c>
    </row>
    <row r="3403" spans="1:13" ht="15.6" hidden="1" x14ac:dyDescent="0.3">
      <c r="A3403" s="1" t="s">
        <v>10232</v>
      </c>
      <c r="B3403" s="1"/>
      <c r="C3403" s="1"/>
      <c r="D3403" s="1"/>
      <c r="E3403" s="1"/>
      <c r="F3403" s="1"/>
      <c r="G3403" s="1" t="s">
        <v>13</v>
      </c>
      <c r="H3403" s="2">
        <v>0</v>
      </c>
      <c r="I3403" s="1" t="s">
        <v>13</v>
      </c>
      <c r="J3403" s="1" t="s">
        <v>13</v>
      </c>
      <c r="K3403" s="1" t="s">
        <v>13</v>
      </c>
      <c r="L3403" s="1" t="s">
        <v>13</v>
      </c>
      <c r="M3403" s="6" t="str">
        <f>_xlfn.CONCAT(Table1[[#This Row],[Billing Street]], ", ", Table1[[#This Row],[Billing City]], ", ", Table1[[#This Row],[Billing State/Province]], ", ", Table1[[#This Row],[Billing Zip/Postal Code]])</f>
        <v xml:space="preserve">, , , </v>
      </c>
    </row>
    <row r="3404" spans="1:13" ht="15.6" hidden="1" x14ac:dyDescent="0.3">
      <c r="A3404" s="1" t="s">
        <v>10233</v>
      </c>
      <c r="B3404" s="1"/>
      <c r="C3404" s="1"/>
      <c r="D3404" s="1"/>
      <c r="E3404" s="1"/>
      <c r="F3404" s="1"/>
      <c r="G3404" s="1" t="s">
        <v>98</v>
      </c>
      <c r="H3404" s="2">
        <v>349</v>
      </c>
      <c r="I3404" s="1" t="s">
        <v>10234</v>
      </c>
      <c r="J3404" s="1" t="s">
        <v>10235</v>
      </c>
      <c r="K3404" s="1" t="s">
        <v>1178</v>
      </c>
      <c r="L3404" s="1" t="s">
        <v>10236</v>
      </c>
      <c r="M3404" s="6" t="str">
        <f>_xlfn.CONCAT(Table1[[#This Row],[Billing Street]], ", ", Table1[[#This Row],[Billing City]], ", ", Table1[[#This Row],[Billing State/Province]], ", ", Table1[[#This Row],[Billing Zip/Postal Code]])</f>
        <v>1392 Massey Road, Newton Grove, NC, 28366</v>
      </c>
    </row>
    <row r="3405" spans="1:13" ht="15.6" hidden="1" x14ac:dyDescent="0.3">
      <c r="A3405" s="1" t="s">
        <v>10237</v>
      </c>
      <c r="B3405" s="1"/>
      <c r="C3405" s="1"/>
      <c r="D3405" s="1"/>
      <c r="E3405" s="1"/>
      <c r="F3405" s="1"/>
      <c r="G3405" s="1" t="s">
        <v>43</v>
      </c>
      <c r="H3405" s="2">
        <v>451</v>
      </c>
      <c r="I3405" s="1" t="s">
        <v>10238</v>
      </c>
      <c r="J3405" s="1" t="s">
        <v>1858</v>
      </c>
      <c r="K3405" s="1" t="s">
        <v>152</v>
      </c>
      <c r="L3405" s="1" t="s">
        <v>10239</v>
      </c>
      <c r="M3405" s="6" t="str">
        <f>_xlfn.CONCAT(Table1[[#This Row],[Billing Street]], ", ", Table1[[#This Row],[Billing City]], ", ", Table1[[#This Row],[Billing State/Province]], ", ", Table1[[#This Row],[Billing Zip/Postal Code]])</f>
        <v>1 Fisher Lane, Greenville, IL, 62246</v>
      </c>
    </row>
    <row r="3406" spans="1:13" ht="15.6" hidden="1" x14ac:dyDescent="0.3">
      <c r="A3406" s="1" t="s">
        <v>10240</v>
      </c>
      <c r="B3406" s="1"/>
      <c r="C3406" s="1"/>
      <c r="D3406" s="1"/>
      <c r="E3406" s="1"/>
      <c r="F3406" s="1"/>
      <c r="G3406" s="1" t="s">
        <v>8</v>
      </c>
      <c r="H3406" s="2">
        <v>93</v>
      </c>
      <c r="I3406" s="1" t="s">
        <v>10241</v>
      </c>
      <c r="J3406" s="1" t="s">
        <v>8045</v>
      </c>
      <c r="K3406" s="1" t="s">
        <v>147</v>
      </c>
      <c r="L3406" s="1" t="s">
        <v>8046</v>
      </c>
      <c r="M3406" s="6" t="str">
        <f>_xlfn.CONCAT(Table1[[#This Row],[Billing Street]], ", ", Table1[[#This Row],[Billing City]], ", ", Table1[[#This Row],[Billing State/Province]], ", ", Table1[[#This Row],[Billing Zip/Postal Code]])</f>
        <v>6624 E. Main Street, Cushing, OK, 74023</v>
      </c>
    </row>
    <row r="3407" spans="1:13" ht="15.6" hidden="1" x14ac:dyDescent="0.3">
      <c r="A3407" s="1" t="s">
        <v>7776</v>
      </c>
      <c r="B3407" s="1"/>
      <c r="C3407" s="1"/>
      <c r="D3407" s="1"/>
      <c r="E3407" s="1"/>
      <c r="F3407" s="1"/>
      <c r="G3407" s="1" t="s">
        <v>205</v>
      </c>
      <c r="H3407" s="2">
        <v>514</v>
      </c>
      <c r="I3407" s="1" t="s">
        <v>10242</v>
      </c>
      <c r="J3407" s="1" t="s">
        <v>10243</v>
      </c>
      <c r="K3407" s="1" t="s">
        <v>472</v>
      </c>
      <c r="L3407" s="1" t="s">
        <v>10244</v>
      </c>
      <c r="M3407" s="6" t="str">
        <f>_xlfn.CONCAT(Table1[[#This Row],[Billing Street]], ", ", Table1[[#This Row],[Billing City]], ", ", Table1[[#This Row],[Billing State/Province]], ", ", Table1[[#This Row],[Billing Zip/Postal Code]])</f>
        <v>600 West 700 South, Woods Cross, UT, 84087</v>
      </c>
    </row>
    <row r="3408" spans="1:13" ht="15.6" hidden="1" x14ac:dyDescent="0.3">
      <c r="A3408" s="1" t="s">
        <v>10245</v>
      </c>
      <c r="B3408" s="1"/>
      <c r="C3408" s="1"/>
      <c r="D3408" s="1"/>
      <c r="E3408" s="1"/>
      <c r="F3408" s="1"/>
      <c r="G3408" s="1" t="s">
        <v>54</v>
      </c>
      <c r="H3408" s="2">
        <v>127</v>
      </c>
      <c r="I3408" s="1" t="s">
        <v>10246</v>
      </c>
      <c r="J3408" s="1" t="s">
        <v>10247</v>
      </c>
      <c r="K3408" s="1" t="s">
        <v>57</v>
      </c>
      <c r="L3408" s="1" t="s">
        <v>10248</v>
      </c>
      <c r="M3408" s="6" t="str">
        <f>_xlfn.CONCAT(Table1[[#This Row],[Billing Street]], ", ", Table1[[#This Row],[Billing City]], ", ", Table1[[#This Row],[Billing State/Province]], ", ", Table1[[#This Row],[Billing Zip/Postal Code]])</f>
        <v>8740 Avenida Costa Blanca, San Deigo, CA, 92154</v>
      </c>
    </row>
    <row r="3409" spans="1:13" ht="15.6" hidden="1" x14ac:dyDescent="0.3">
      <c r="A3409" s="1" t="s">
        <v>10249</v>
      </c>
      <c r="B3409" s="1"/>
      <c r="C3409" s="1"/>
      <c r="D3409" s="1"/>
      <c r="E3409" s="1"/>
      <c r="F3409" s="1"/>
      <c r="G3409" s="1" t="s">
        <v>8</v>
      </c>
      <c r="H3409" s="2">
        <v>60</v>
      </c>
      <c r="I3409" s="1" t="s">
        <v>10250</v>
      </c>
      <c r="J3409" s="1" t="s">
        <v>6237</v>
      </c>
      <c r="K3409" s="1" t="s">
        <v>147</v>
      </c>
      <c r="L3409" s="1" t="s">
        <v>10251</v>
      </c>
      <c r="M3409" s="6" t="str">
        <f>_xlfn.CONCAT(Table1[[#This Row],[Billing Street]], ", ", Table1[[#This Row],[Billing City]], ", ", Table1[[#This Row],[Billing State/Province]], ", ", Table1[[#This Row],[Billing Zip/Postal Code]])</f>
        <v>1304 N. 143rd East Ave, Tulsa, OK, 74116</v>
      </c>
    </row>
    <row r="3410" spans="1:13" ht="15.6" hidden="1" x14ac:dyDescent="0.3">
      <c r="A3410" s="1" t="s">
        <v>10252</v>
      </c>
      <c r="B3410" s="1"/>
      <c r="C3410" s="1"/>
      <c r="D3410" s="1"/>
      <c r="E3410" s="1"/>
      <c r="F3410" s="1"/>
      <c r="G3410" s="1" t="s">
        <v>13</v>
      </c>
      <c r="H3410" s="2">
        <v>0</v>
      </c>
      <c r="I3410" s="1" t="s">
        <v>10253</v>
      </c>
      <c r="J3410" s="1" t="s">
        <v>10254</v>
      </c>
      <c r="K3410" s="1" t="s">
        <v>13</v>
      </c>
      <c r="L3410" s="1" t="s">
        <v>10255</v>
      </c>
      <c r="M3410" s="6" t="str">
        <f>_xlfn.CONCAT(Table1[[#This Row],[Billing Street]], ", ", Table1[[#This Row],[Billing City]], ", ", Table1[[#This Row],[Billing State/Province]], ", ", Table1[[#This Row],[Billing Zip/Postal Code]])</f>
        <v>1049 Camino Dos Rios, Thousand Oaks, , 91360</v>
      </c>
    </row>
    <row r="3411" spans="1:13" ht="15.6" hidden="1" x14ac:dyDescent="0.3">
      <c r="A3411" s="1" t="s">
        <v>10256</v>
      </c>
      <c r="B3411" s="1"/>
      <c r="C3411" s="1"/>
      <c r="D3411" s="1"/>
      <c r="E3411" s="1"/>
      <c r="F3411" s="1"/>
      <c r="G3411" s="1" t="s">
        <v>43</v>
      </c>
      <c r="H3411" s="2">
        <v>92</v>
      </c>
      <c r="I3411" s="1" t="s">
        <v>10257</v>
      </c>
      <c r="J3411" s="1" t="s">
        <v>10258</v>
      </c>
      <c r="K3411" s="1" t="s">
        <v>45</v>
      </c>
      <c r="L3411" s="1" t="s">
        <v>10259</v>
      </c>
      <c r="M3411" s="6" t="str">
        <f>_xlfn.CONCAT(Table1[[#This Row],[Billing Street]], ", ", Table1[[#This Row],[Billing City]], ", ", Table1[[#This Row],[Billing State/Province]], ", ", Table1[[#This Row],[Billing Zip/Postal Code]])</f>
        <v>601 Miami St, Tiffin, OH, 44883</v>
      </c>
    </row>
    <row r="3412" spans="1:13" ht="15.6" hidden="1" x14ac:dyDescent="0.3">
      <c r="A3412" s="1" t="s">
        <v>10260</v>
      </c>
      <c r="B3412" s="1"/>
      <c r="C3412" s="1"/>
      <c r="D3412" s="1"/>
      <c r="E3412" s="1"/>
      <c r="F3412" s="1"/>
      <c r="G3412" s="1" t="s">
        <v>43</v>
      </c>
      <c r="H3412" s="2">
        <v>273</v>
      </c>
      <c r="I3412" s="1" t="s">
        <v>10261</v>
      </c>
      <c r="J3412" s="1" t="s">
        <v>6979</v>
      </c>
      <c r="K3412" s="1" t="s">
        <v>1115</v>
      </c>
      <c r="L3412" s="1" t="s">
        <v>10262</v>
      </c>
      <c r="M3412" s="6" t="str">
        <f>_xlfn.CONCAT(Table1[[#This Row],[Billing Street]], ", ", Table1[[#This Row],[Billing City]], ", ", Table1[[#This Row],[Billing State/Province]], ", ", Table1[[#This Row],[Billing Zip/Postal Code]])</f>
        <v>Rte 615, New Castle, VA, 24127-0265</v>
      </c>
    </row>
    <row r="3413" spans="1:13" ht="15.6" hidden="1" x14ac:dyDescent="0.3">
      <c r="A3413" s="1" t="s">
        <v>10263</v>
      </c>
      <c r="B3413" s="1"/>
      <c r="C3413" s="1"/>
      <c r="D3413" s="1"/>
      <c r="E3413" s="1"/>
      <c r="F3413" s="1"/>
      <c r="G3413" s="1" t="s">
        <v>43</v>
      </c>
      <c r="H3413" s="2">
        <v>270</v>
      </c>
      <c r="I3413" s="1" t="s">
        <v>10264</v>
      </c>
      <c r="J3413" s="1" t="s">
        <v>10265</v>
      </c>
      <c r="K3413" s="1" t="s">
        <v>1115</v>
      </c>
      <c r="L3413" s="1" t="s">
        <v>10266</v>
      </c>
      <c r="M3413" s="6" t="str">
        <f>_xlfn.CONCAT(Table1[[#This Row],[Billing Street]], ", ", Table1[[#This Row],[Billing City]], ", ", Table1[[#This Row],[Billing State/Province]], ", ", Table1[[#This Row],[Billing Zip/Postal Code]])</f>
        <v>15048 Service Lane, Culpepper, VA, 22701</v>
      </c>
    </row>
    <row r="3414" spans="1:13" ht="15.6" hidden="1" x14ac:dyDescent="0.3">
      <c r="A3414" s="1" t="s">
        <v>10267</v>
      </c>
      <c r="B3414" s="1"/>
      <c r="C3414" s="1"/>
      <c r="D3414" s="1"/>
      <c r="E3414" s="1"/>
      <c r="F3414" s="1"/>
      <c r="G3414" s="1" t="s">
        <v>43</v>
      </c>
      <c r="H3414" s="2">
        <v>404</v>
      </c>
      <c r="I3414" s="1" t="s">
        <v>10268</v>
      </c>
      <c r="J3414" s="1" t="s">
        <v>585</v>
      </c>
      <c r="K3414" s="1" t="s">
        <v>1115</v>
      </c>
      <c r="L3414" s="1" t="s">
        <v>10269</v>
      </c>
      <c r="M3414" s="6" t="str">
        <f>_xlfn.CONCAT(Table1[[#This Row],[Billing Street]], ", ", Table1[[#This Row],[Billing City]], ", ", Table1[[#This Row],[Billing State/Province]], ", ", Table1[[#This Row],[Billing Zip/Postal Code]])</f>
        <v>1050 Pretlow St, Franklin, VA, 23851-0179</v>
      </c>
    </row>
    <row r="3415" spans="1:13" ht="15.6" hidden="1" x14ac:dyDescent="0.3">
      <c r="A3415" s="1" t="s">
        <v>10270</v>
      </c>
      <c r="B3415" s="1"/>
      <c r="C3415" s="1"/>
      <c r="D3415" s="1"/>
      <c r="E3415" s="1"/>
      <c r="F3415" s="1"/>
      <c r="G3415" s="1" t="s">
        <v>43</v>
      </c>
      <c r="H3415" s="2">
        <v>281</v>
      </c>
      <c r="I3415" s="1" t="s">
        <v>10271</v>
      </c>
      <c r="J3415" s="1" t="s">
        <v>10272</v>
      </c>
      <c r="K3415" s="1" t="s">
        <v>671</v>
      </c>
      <c r="L3415" s="1" t="s">
        <v>10273</v>
      </c>
      <c r="M3415" s="6" t="str">
        <f>_xlfn.CONCAT(Table1[[#This Row],[Billing Street]], ", ", Table1[[#This Row],[Billing City]], ", ", Table1[[#This Row],[Billing State/Province]], ", ", Table1[[#This Row],[Billing Zip/Postal Code]])</f>
        <v>46 E. Genesee Street, Skaneateles, NY, NY, 13152</v>
      </c>
    </row>
    <row r="3416" spans="1:13" ht="15.6" hidden="1" x14ac:dyDescent="0.3">
      <c r="A3416" s="1" t="s">
        <v>10274</v>
      </c>
      <c r="B3416" s="1"/>
      <c r="C3416" s="1"/>
      <c r="D3416" s="1"/>
      <c r="E3416" s="1"/>
      <c r="F3416" s="1"/>
      <c r="G3416" s="1" t="s">
        <v>43</v>
      </c>
      <c r="H3416" s="2">
        <v>5776</v>
      </c>
      <c r="I3416" s="1" t="s">
        <v>10275</v>
      </c>
      <c r="J3416" s="1" t="s">
        <v>10276</v>
      </c>
      <c r="K3416" s="1" t="s">
        <v>4012</v>
      </c>
      <c r="L3416" s="1" t="s">
        <v>10277</v>
      </c>
      <c r="M3416" s="6" t="str">
        <f>_xlfn.CONCAT(Table1[[#This Row],[Billing Street]], ", ", Table1[[#This Row],[Billing City]], ", ", Table1[[#This Row],[Billing State/Province]], ", ", Table1[[#This Row],[Billing Zip/Postal Code]])</f>
        <v>21 Telcom Dr., Bangor, ME, 4401</v>
      </c>
    </row>
    <row r="3417" spans="1:13" ht="15.6" hidden="1" x14ac:dyDescent="0.3">
      <c r="A3417" s="1" t="s">
        <v>10278</v>
      </c>
      <c r="B3417" s="1"/>
      <c r="C3417" s="1"/>
      <c r="D3417" s="1"/>
      <c r="E3417" s="1"/>
      <c r="F3417" s="1"/>
      <c r="G3417" s="1" t="s">
        <v>43</v>
      </c>
      <c r="H3417" s="2">
        <v>390</v>
      </c>
      <c r="I3417" s="1" t="s">
        <v>10279</v>
      </c>
      <c r="J3417" s="1" t="s">
        <v>10280</v>
      </c>
      <c r="K3417" s="1" t="s">
        <v>671</v>
      </c>
      <c r="L3417" s="1" t="s">
        <v>10281</v>
      </c>
      <c r="M3417" s="6" t="str">
        <f>_xlfn.CONCAT(Table1[[#This Row],[Billing Street]], ", ", Table1[[#This Row],[Billing City]], ", ", Table1[[#This Row],[Billing State/Province]], ", ", Table1[[#This Row],[Billing Zip/Postal Code]])</f>
        <v>284 South Ave., Poughkeepsie, NY, 12601</v>
      </c>
    </row>
    <row r="3418" spans="1:13" ht="15.6" hidden="1" x14ac:dyDescent="0.3">
      <c r="A3418" s="1" t="s">
        <v>10282</v>
      </c>
      <c r="B3418" s="1"/>
      <c r="C3418" s="1"/>
      <c r="D3418" s="1"/>
      <c r="E3418" s="1"/>
      <c r="F3418" s="1"/>
      <c r="G3418" s="1" t="s">
        <v>13</v>
      </c>
      <c r="H3418" s="2">
        <v>0</v>
      </c>
      <c r="I3418" s="1" t="s">
        <v>13</v>
      </c>
      <c r="J3418" s="1" t="s">
        <v>13</v>
      </c>
      <c r="K3418" s="1" t="s">
        <v>13</v>
      </c>
      <c r="L3418" s="1" t="s">
        <v>13</v>
      </c>
      <c r="M3418" s="6" t="str">
        <f>_xlfn.CONCAT(Table1[[#This Row],[Billing Street]], ", ", Table1[[#This Row],[Billing City]], ", ", Table1[[#This Row],[Billing State/Province]], ", ", Table1[[#This Row],[Billing Zip/Postal Code]])</f>
        <v xml:space="preserve">, , , </v>
      </c>
    </row>
    <row r="3419" spans="1:13" ht="15.6" hidden="1" x14ac:dyDescent="0.3">
      <c r="A3419" s="1" t="s">
        <v>10283</v>
      </c>
      <c r="B3419" s="1"/>
      <c r="C3419" s="1"/>
      <c r="D3419" s="1"/>
      <c r="E3419" s="1"/>
      <c r="F3419" s="1"/>
      <c r="G3419" s="1" t="s">
        <v>13</v>
      </c>
      <c r="H3419" s="2">
        <v>0</v>
      </c>
      <c r="I3419" s="1" t="s">
        <v>13</v>
      </c>
      <c r="J3419" s="1" t="s">
        <v>13</v>
      </c>
      <c r="K3419" s="1" t="s">
        <v>13</v>
      </c>
      <c r="L3419" s="1" t="s">
        <v>13</v>
      </c>
      <c r="M3419" s="6" t="str">
        <f>_xlfn.CONCAT(Table1[[#This Row],[Billing Street]], ", ", Table1[[#This Row],[Billing City]], ", ", Table1[[#This Row],[Billing State/Province]], ", ", Table1[[#This Row],[Billing Zip/Postal Code]])</f>
        <v xml:space="preserve">, , , </v>
      </c>
    </row>
    <row r="3420" spans="1:13" ht="15.6" hidden="1" x14ac:dyDescent="0.3">
      <c r="A3420" s="1" t="s">
        <v>10284</v>
      </c>
      <c r="B3420" s="1"/>
      <c r="C3420" s="1"/>
      <c r="D3420" s="1"/>
      <c r="E3420" s="1"/>
      <c r="F3420" s="1"/>
      <c r="G3420" s="1" t="s">
        <v>43</v>
      </c>
      <c r="H3420" s="2">
        <v>5776</v>
      </c>
      <c r="I3420" s="1" t="s">
        <v>10285</v>
      </c>
      <c r="J3420" s="1" t="s">
        <v>10286</v>
      </c>
      <c r="K3420" s="1" t="s">
        <v>241</v>
      </c>
      <c r="L3420" s="1" t="s">
        <v>10287</v>
      </c>
      <c r="M3420" s="6" t="str">
        <f>_xlfn.CONCAT(Table1[[#This Row],[Billing Street]], ", ", Table1[[#This Row],[Billing City]], ", ", Table1[[#This Row],[Billing State/Province]], ", ", Table1[[#This Row],[Billing Zip/Postal Code]])</f>
        <v>120 Iron St, Johnstown, PA, 15906</v>
      </c>
    </row>
    <row r="3421" spans="1:13" ht="15.6" hidden="1" x14ac:dyDescent="0.3">
      <c r="A3421" s="1" t="s">
        <v>10288</v>
      </c>
      <c r="B3421" s="1"/>
      <c r="C3421" s="1"/>
      <c r="D3421" s="1"/>
      <c r="E3421" s="1"/>
      <c r="F3421" s="1"/>
      <c r="G3421" s="1" t="s">
        <v>43</v>
      </c>
      <c r="H3421" s="2">
        <v>5776</v>
      </c>
      <c r="I3421" s="1" t="s">
        <v>10289</v>
      </c>
      <c r="J3421" s="1" t="s">
        <v>2623</v>
      </c>
      <c r="K3421" s="1" t="s">
        <v>45</v>
      </c>
      <c r="L3421" s="1" t="s">
        <v>13</v>
      </c>
      <c r="M3421" s="6" t="str">
        <f>_xlfn.CONCAT(Table1[[#This Row],[Billing Street]], ", ", Table1[[#This Row],[Billing City]], ", ", Table1[[#This Row],[Billing State/Province]], ", ", Table1[[#This Row],[Billing Zip/Postal Code]])</f>
        <v xml:space="preserve">Wright-Patterson AFB, Dayton, OH, </v>
      </c>
    </row>
    <row r="3422" spans="1:13" ht="15.6" hidden="1" x14ac:dyDescent="0.3">
      <c r="A3422" s="1" t="s">
        <v>10290</v>
      </c>
      <c r="B3422" s="1"/>
      <c r="C3422" s="1"/>
      <c r="D3422" s="1"/>
      <c r="E3422" s="1"/>
      <c r="F3422" s="1"/>
      <c r="G3422" s="1" t="s">
        <v>43</v>
      </c>
      <c r="H3422" s="2">
        <v>348</v>
      </c>
      <c r="I3422" s="1" t="s">
        <v>10291</v>
      </c>
      <c r="J3422" s="1" t="s">
        <v>10292</v>
      </c>
      <c r="K3422" s="1" t="s">
        <v>671</v>
      </c>
      <c r="L3422" s="1" t="s">
        <v>10293</v>
      </c>
      <c r="M3422" s="6" t="str">
        <f>_xlfn.CONCAT(Table1[[#This Row],[Billing Street]], ", ", Table1[[#This Row],[Billing City]], ", ", Table1[[#This Row],[Billing State/Province]], ", ", Table1[[#This Row],[Billing Zip/Postal Code]])</f>
        <v>110 Railroad St, frankfort, NY, 13340</v>
      </c>
    </row>
    <row r="3423" spans="1:13" ht="15.6" hidden="1" x14ac:dyDescent="0.3">
      <c r="A3423" s="1" t="s">
        <v>10294</v>
      </c>
      <c r="B3423" s="1"/>
      <c r="C3423" s="1"/>
      <c r="D3423" s="1"/>
      <c r="E3423" s="1"/>
      <c r="F3423" s="1"/>
      <c r="G3423" s="1" t="s">
        <v>13</v>
      </c>
      <c r="H3423" s="2">
        <v>0</v>
      </c>
      <c r="I3423" s="1" t="s">
        <v>13</v>
      </c>
      <c r="J3423" s="1" t="s">
        <v>13</v>
      </c>
      <c r="K3423" s="1" t="s">
        <v>13</v>
      </c>
      <c r="L3423" s="1" t="s">
        <v>13</v>
      </c>
      <c r="M3423" s="6" t="str">
        <f>_xlfn.CONCAT(Table1[[#This Row],[Billing Street]], ", ", Table1[[#This Row],[Billing City]], ", ", Table1[[#This Row],[Billing State/Province]], ", ", Table1[[#This Row],[Billing Zip/Postal Code]])</f>
        <v xml:space="preserve">, , , </v>
      </c>
    </row>
    <row r="3424" spans="1:13" ht="15.6" x14ac:dyDescent="0.3">
      <c r="A3424" s="1" t="s">
        <v>10295</v>
      </c>
      <c r="B3424" s="1"/>
      <c r="C3424" s="1"/>
      <c r="D3424" s="1"/>
      <c r="E3424" s="1"/>
      <c r="F3424" s="1"/>
      <c r="G3424" s="1" t="s">
        <v>24</v>
      </c>
      <c r="H3424" s="2">
        <v>264</v>
      </c>
      <c r="I3424" s="1" t="s">
        <v>10296</v>
      </c>
      <c r="J3424" s="1" t="s">
        <v>10297</v>
      </c>
      <c r="K3424" s="1" t="s">
        <v>577</v>
      </c>
      <c r="L3424" s="1" t="s">
        <v>10298</v>
      </c>
      <c r="M3424" s="6" t="str">
        <f>_xlfn.CONCAT(Table1[[#This Row],[Billing Street]], ", ", Table1[[#This Row],[Billing City]], ", ", Table1[[#This Row],[Billing State/Province]], ", ", Table1[[#This Row],[Billing Zip/Postal Code]])</f>
        <v>355 Hwy 3142, Hahnville, LA, 70057</v>
      </c>
    </row>
    <row r="3425" spans="1:13" ht="15.6" hidden="1" x14ac:dyDescent="0.3">
      <c r="A3425" s="1" t="s">
        <v>10299</v>
      </c>
      <c r="B3425" s="1"/>
      <c r="C3425" s="1"/>
      <c r="D3425" s="1"/>
      <c r="E3425" s="1"/>
      <c r="F3425" s="1"/>
      <c r="G3425" s="1" t="s">
        <v>43</v>
      </c>
      <c r="H3425" s="2">
        <v>5776</v>
      </c>
      <c r="I3425" s="1" t="s">
        <v>10300</v>
      </c>
      <c r="J3425" s="1" t="s">
        <v>10301</v>
      </c>
      <c r="K3425" s="1" t="s">
        <v>5495</v>
      </c>
      <c r="L3425" s="1" t="s">
        <v>10302</v>
      </c>
      <c r="M3425" s="6" t="str">
        <f>_xlfn.CONCAT(Table1[[#This Row],[Billing Street]], ", ", Table1[[#This Row],[Billing City]], ", ", Table1[[#This Row],[Billing State/Province]], ", ", Table1[[#This Row],[Billing Zip/Postal Code]])</f>
        <v>1306 Grand Central Ave, Lavallette, Nj, 8735</v>
      </c>
    </row>
    <row r="3426" spans="1:13" ht="15.6" hidden="1" x14ac:dyDescent="0.3">
      <c r="A3426" s="1" t="s">
        <v>10303</v>
      </c>
      <c r="B3426" s="1"/>
      <c r="C3426" s="1"/>
      <c r="D3426" s="1"/>
      <c r="E3426" s="1"/>
      <c r="F3426" s="1"/>
      <c r="G3426" s="1" t="s">
        <v>43</v>
      </c>
      <c r="H3426" s="2">
        <v>43</v>
      </c>
      <c r="I3426" s="1" t="s">
        <v>10304</v>
      </c>
      <c r="J3426" s="1" t="s">
        <v>10305</v>
      </c>
      <c r="K3426" s="1" t="s">
        <v>45</v>
      </c>
      <c r="L3426" s="1" t="s">
        <v>10306</v>
      </c>
      <c r="M3426" s="6" t="str">
        <f>_xlfn.CONCAT(Table1[[#This Row],[Billing Street]], ", ", Table1[[#This Row],[Billing City]], ", ", Table1[[#This Row],[Billing State/Province]], ", ", Table1[[#This Row],[Billing Zip/Postal Code]])</f>
        <v>300 4th Street SW, Brewster, OH, 44613</v>
      </c>
    </row>
    <row r="3427" spans="1:13" ht="15.6" hidden="1" x14ac:dyDescent="0.3">
      <c r="A3427" s="1" t="s">
        <v>10307</v>
      </c>
      <c r="B3427" s="1"/>
      <c r="C3427" s="1"/>
      <c r="D3427" s="1"/>
      <c r="E3427" s="1"/>
      <c r="F3427" s="1"/>
      <c r="G3427" s="1" t="s">
        <v>43</v>
      </c>
      <c r="H3427" s="2">
        <v>5776</v>
      </c>
      <c r="I3427" s="1" t="s">
        <v>10308</v>
      </c>
      <c r="J3427" s="1" t="s">
        <v>780</v>
      </c>
      <c r="K3427" s="1" t="s">
        <v>1154</v>
      </c>
      <c r="L3427" s="1" t="s">
        <v>2905</v>
      </c>
      <c r="M3427" s="6" t="str">
        <f>_xlfn.CONCAT(Table1[[#This Row],[Billing Street]], ", ", Table1[[#This Row],[Billing City]], ", ", Table1[[#This Row],[Billing State/Province]], ", ", Table1[[#This Row],[Billing Zip/Postal Code]])</f>
        <v>4100 Frankfort Ave, Philadelphia, Pa, 19124</v>
      </c>
    </row>
    <row r="3428" spans="1:13" ht="15.6" hidden="1" x14ac:dyDescent="0.3">
      <c r="A3428" s="1" t="s">
        <v>10309</v>
      </c>
      <c r="B3428" s="1"/>
      <c r="C3428" s="1"/>
      <c r="D3428" s="1"/>
      <c r="E3428" s="1"/>
      <c r="F3428" s="1"/>
      <c r="G3428" s="1" t="s">
        <v>98</v>
      </c>
      <c r="H3428" s="2">
        <v>5887</v>
      </c>
      <c r="I3428" s="1" t="s">
        <v>13</v>
      </c>
      <c r="J3428" s="1" t="s">
        <v>3754</v>
      </c>
      <c r="K3428" s="1" t="s">
        <v>1135</v>
      </c>
      <c r="L3428" s="1" t="s">
        <v>13</v>
      </c>
      <c r="M3428" s="6" t="str">
        <f>_xlfn.CONCAT(Table1[[#This Row],[Billing Street]], ", ", Table1[[#This Row],[Billing City]], ", ", Table1[[#This Row],[Billing State/Province]], ", ", Table1[[#This Row],[Billing Zip/Postal Code]])</f>
        <v xml:space="preserve">, Rockford, TN, </v>
      </c>
    </row>
    <row r="3429" spans="1:13" ht="15.6" hidden="1" x14ac:dyDescent="0.3">
      <c r="A3429" s="1" t="s">
        <v>10310</v>
      </c>
      <c r="B3429" s="1"/>
      <c r="C3429" s="1"/>
      <c r="D3429" s="1"/>
      <c r="E3429" s="1"/>
      <c r="F3429" s="1"/>
      <c r="G3429" s="1" t="s">
        <v>98</v>
      </c>
      <c r="H3429" s="2">
        <v>138</v>
      </c>
      <c r="I3429" s="1" t="s">
        <v>10311</v>
      </c>
      <c r="J3429" s="1" t="s">
        <v>13</v>
      </c>
      <c r="K3429" s="1" t="s">
        <v>1178</v>
      </c>
      <c r="L3429" s="1" t="s">
        <v>10312</v>
      </c>
      <c r="M3429" s="6" t="str">
        <f>_xlfn.CONCAT(Table1[[#This Row],[Billing Street]], ", ", Table1[[#This Row],[Billing City]], ", ", Table1[[#This Row],[Billing State/Province]], ", ", Table1[[#This Row],[Billing Zip/Postal Code]])</f>
        <v>2025 magna lane, , NC, 28790</v>
      </c>
    </row>
    <row r="3430" spans="1:13" ht="15.6" hidden="1" x14ac:dyDescent="0.3">
      <c r="A3430" s="1" t="s">
        <v>10313</v>
      </c>
      <c r="B3430" s="1"/>
      <c r="C3430" s="1"/>
      <c r="D3430" s="1"/>
      <c r="E3430" s="1"/>
      <c r="F3430" s="1"/>
      <c r="G3430" s="1" t="s">
        <v>43</v>
      </c>
      <c r="H3430" s="2">
        <v>100</v>
      </c>
      <c r="I3430" s="1" t="s">
        <v>10314</v>
      </c>
      <c r="J3430" s="1" t="s">
        <v>10315</v>
      </c>
      <c r="K3430" s="1" t="s">
        <v>45</v>
      </c>
      <c r="L3430" s="1" t="s">
        <v>10316</v>
      </c>
      <c r="M3430" s="6" t="str">
        <f>_xlfn.CONCAT(Table1[[#This Row],[Billing Street]], ", ", Table1[[#This Row],[Billing City]], ", ", Table1[[#This Row],[Billing State/Province]], ", ", Table1[[#This Row],[Billing Zip/Postal Code]])</f>
        <v>102 E. 6th Street, Genoa, OH, 43430</v>
      </c>
    </row>
    <row r="3431" spans="1:13" ht="15.6" hidden="1" x14ac:dyDescent="0.3">
      <c r="A3431" s="1" t="s">
        <v>10317</v>
      </c>
      <c r="B3431" s="1"/>
      <c r="C3431" s="1"/>
      <c r="D3431" s="1"/>
      <c r="E3431" s="1"/>
      <c r="F3431" s="1"/>
      <c r="G3431" s="1" t="s">
        <v>13</v>
      </c>
      <c r="H3431" s="2">
        <v>0</v>
      </c>
      <c r="I3431" s="1" t="s">
        <v>13</v>
      </c>
      <c r="J3431" s="1" t="s">
        <v>13</v>
      </c>
      <c r="K3431" s="1" t="s">
        <v>13</v>
      </c>
      <c r="L3431" s="1" t="s">
        <v>13</v>
      </c>
      <c r="M3431" s="6" t="str">
        <f>_xlfn.CONCAT(Table1[[#This Row],[Billing Street]], ", ", Table1[[#This Row],[Billing City]], ", ", Table1[[#This Row],[Billing State/Province]], ", ", Table1[[#This Row],[Billing Zip/Postal Code]])</f>
        <v xml:space="preserve">, , , </v>
      </c>
    </row>
    <row r="3432" spans="1:13" ht="15.6" hidden="1" x14ac:dyDescent="0.3">
      <c r="A3432" s="1" t="s">
        <v>10318</v>
      </c>
      <c r="B3432" s="1"/>
      <c r="C3432" s="1"/>
      <c r="D3432" s="1"/>
      <c r="E3432" s="1"/>
      <c r="F3432" s="1"/>
      <c r="G3432" s="1" t="s">
        <v>43</v>
      </c>
      <c r="H3432" s="2">
        <v>5776</v>
      </c>
      <c r="I3432" s="1" t="s">
        <v>10319</v>
      </c>
      <c r="J3432" s="1" t="s">
        <v>10276</v>
      </c>
      <c r="K3432" s="1" t="s">
        <v>3339</v>
      </c>
      <c r="L3432" s="1" t="s">
        <v>10277</v>
      </c>
      <c r="M3432" s="6" t="str">
        <f>_xlfn.CONCAT(Table1[[#This Row],[Billing Street]], ", ", Table1[[#This Row],[Billing City]], ", ", Table1[[#This Row],[Billing State/Province]], ", ", Table1[[#This Row],[Billing Zip/Postal Code]])</f>
        <v>287 Godfrey Blvd, Bangor, Me, 4401</v>
      </c>
    </row>
    <row r="3433" spans="1:13" ht="15.6" x14ac:dyDescent="0.3">
      <c r="A3433" s="1" t="s">
        <v>10320</v>
      </c>
      <c r="B3433" s="1"/>
      <c r="C3433" s="1"/>
      <c r="D3433" s="1"/>
      <c r="E3433" s="1"/>
      <c r="F3433" s="1"/>
      <c r="G3433" s="1" t="s">
        <v>24</v>
      </c>
      <c r="H3433" s="2">
        <v>5988</v>
      </c>
      <c r="I3433" s="1" t="s">
        <v>10321</v>
      </c>
      <c r="J3433" s="1" t="s">
        <v>549</v>
      </c>
      <c r="K3433" s="1" t="s">
        <v>26</v>
      </c>
      <c r="L3433" s="1" t="s">
        <v>550</v>
      </c>
      <c r="M3433" s="6" t="str">
        <f>_xlfn.CONCAT(Table1[[#This Row],[Billing Street]], ", ", Table1[[#This Row],[Billing City]], ", ", Table1[[#This Row],[Billing State/Province]], ", ", Table1[[#This Row],[Billing Zip/Postal Code]])</f>
        <v>1 AM/NS Way, Calvert, AL, 36513</v>
      </c>
    </row>
    <row r="3434" spans="1:13" ht="15.6" x14ac:dyDescent="0.3">
      <c r="A3434" s="1" t="s">
        <v>10322</v>
      </c>
      <c r="B3434" s="1"/>
      <c r="C3434" s="1"/>
      <c r="D3434" s="1"/>
      <c r="E3434" s="1"/>
      <c r="F3434" s="1"/>
      <c r="G3434" s="1" t="s">
        <v>24</v>
      </c>
      <c r="H3434" s="2">
        <v>5988</v>
      </c>
      <c r="I3434" s="1" t="s">
        <v>10323</v>
      </c>
      <c r="J3434" s="1" t="s">
        <v>5277</v>
      </c>
      <c r="K3434" s="1" t="s">
        <v>31</v>
      </c>
      <c r="L3434" s="1" t="s">
        <v>10324</v>
      </c>
      <c r="M3434" s="6" t="str">
        <f>_xlfn.CONCAT(Table1[[#This Row],[Billing Street]], ", ", Table1[[#This Row],[Billing City]], ", ", Table1[[#This Row],[Billing State/Province]], ", ", Table1[[#This Row],[Billing Zip/Postal Code]])</f>
        <v>28726 Hwy 32, Oakland, MS, 38948</v>
      </c>
    </row>
    <row r="3435" spans="1:13" ht="15.6" hidden="1" x14ac:dyDescent="0.3">
      <c r="A3435" s="1" t="s">
        <v>10325</v>
      </c>
      <c r="B3435" s="1"/>
      <c r="C3435" s="1"/>
      <c r="D3435" s="1"/>
      <c r="E3435" s="1"/>
      <c r="F3435" s="1"/>
      <c r="G3435" s="1" t="s">
        <v>43</v>
      </c>
      <c r="H3435" s="2">
        <v>5776</v>
      </c>
      <c r="I3435" s="1" t="s">
        <v>10300</v>
      </c>
      <c r="J3435" s="1" t="s">
        <v>10301</v>
      </c>
      <c r="K3435" s="1" t="s">
        <v>5495</v>
      </c>
      <c r="L3435" s="1" t="s">
        <v>10302</v>
      </c>
      <c r="M3435" s="6" t="str">
        <f>_xlfn.CONCAT(Table1[[#This Row],[Billing Street]], ", ", Table1[[#This Row],[Billing City]], ", ", Table1[[#This Row],[Billing State/Province]], ", ", Table1[[#This Row],[Billing Zip/Postal Code]])</f>
        <v>1306 Grand Central Ave, Lavallette, Nj, 8735</v>
      </c>
    </row>
    <row r="3436" spans="1:13" ht="15.6" hidden="1" x14ac:dyDescent="0.3">
      <c r="A3436" s="1" t="s">
        <v>10326</v>
      </c>
      <c r="B3436" s="1"/>
      <c r="C3436" s="1"/>
      <c r="D3436" s="1"/>
      <c r="E3436" s="1"/>
      <c r="F3436" s="1"/>
      <c r="G3436" s="1" t="s">
        <v>43</v>
      </c>
      <c r="H3436" s="2">
        <v>321</v>
      </c>
      <c r="I3436" s="1" t="s">
        <v>10327</v>
      </c>
      <c r="J3436" s="1" t="s">
        <v>518</v>
      </c>
      <c r="K3436" s="1" t="s">
        <v>152</v>
      </c>
      <c r="L3436" s="1" t="s">
        <v>10328</v>
      </c>
      <c r="M3436" s="6" t="str">
        <f>_xlfn.CONCAT(Table1[[#This Row],[Billing Street]], ", ", Table1[[#This Row],[Billing City]], ", ", Table1[[#This Row],[Billing State/Province]], ", ", Table1[[#This Row],[Billing Zip/Postal Code]])</f>
        <v>501 E. 151st Street, Phoenix, IL, 60426</v>
      </c>
    </row>
    <row r="3437" spans="1:13" ht="15.6" hidden="1" x14ac:dyDescent="0.3">
      <c r="A3437" s="1" t="s">
        <v>10329</v>
      </c>
      <c r="B3437" s="1"/>
      <c r="C3437" s="1"/>
      <c r="D3437" s="1"/>
      <c r="E3437" s="1"/>
      <c r="F3437" s="1"/>
      <c r="G3437" s="1" t="s">
        <v>43</v>
      </c>
      <c r="H3437" s="2">
        <v>49</v>
      </c>
      <c r="I3437" s="1" t="s">
        <v>10330</v>
      </c>
      <c r="J3437" s="1" t="s">
        <v>240</v>
      </c>
      <c r="K3437" s="1" t="s">
        <v>241</v>
      </c>
      <c r="L3437" s="1" t="s">
        <v>242</v>
      </c>
      <c r="M3437" s="6" t="str">
        <f>_xlfn.CONCAT(Table1[[#This Row],[Billing Street]], ", ", Table1[[#This Row],[Billing City]], ", ", Table1[[#This Row],[Billing State/Province]], ", ", Table1[[#This Row],[Billing Zip/Postal Code]])</f>
        <v>157 Dayton Way, Sharon, PA, 16146</v>
      </c>
    </row>
    <row r="3438" spans="1:13" ht="15.6" x14ac:dyDescent="0.3">
      <c r="A3438" s="1" t="s">
        <v>10331</v>
      </c>
      <c r="B3438" s="1"/>
      <c r="C3438" s="1"/>
      <c r="D3438" s="1"/>
      <c r="E3438" s="1"/>
      <c r="F3438" s="1"/>
      <c r="G3438" s="1" t="s">
        <v>24</v>
      </c>
      <c r="H3438" s="2">
        <v>365</v>
      </c>
      <c r="I3438" s="1" t="s">
        <v>10332</v>
      </c>
      <c r="J3438" s="1" t="s">
        <v>502</v>
      </c>
      <c r="K3438" s="1" t="s">
        <v>577</v>
      </c>
      <c r="L3438" s="1" t="s">
        <v>9989</v>
      </c>
      <c r="M3438" s="6" t="str">
        <f>_xlfn.CONCAT(Table1[[#This Row],[Billing Street]], ", ", Table1[[#This Row],[Billing City]], ", ", Table1[[#This Row],[Billing State/Province]], ", ", Table1[[#This Row],[Billing Zip/Postal Code]])</f>
        <v>90001 Hwy 4 West, Columbia, LA, 71418</v>
      </c>
    </row>
    <row r="3439" spans="1:13" ht="15.6" hidden="1" x14ac:dyDescent="0.3">
      <c r="A3439" s="1" t="s">
        <v>10333</v>
      </c>
      <c r="B3439" s="1"/>
      <c r="C3439" s="1"/>
      <c r="D3439" s="1"/>
      <c r="E3439" s="1"/>
      <c r="F3439" s="1"/>
      <c r="G3439" s="1" t="s">
        <v>43</v>
      </c>
      <c r="H3439" s="2">
        <v>251</v>
      </c>
      <c r="I3439" s="1" t="s">
        <v>10334</v>
      </c>
      <c r="J3439" s="1" t="s">
        <v>10335</v>
      </c>
      <c r="K3439" s="1" t="s">
        <v>241</v>
      </c>
      <c r="L3439" s="1" t="s">
        <v>10336</v>
      </c>
      <c r="M3439" s="6" t="str">
        <f>_xlfn.CONCAT(Table1[[#This Row],[Billing Street]], ", ", Table1[[#This Row],[Billing City]], ", ", Table1[[#This Row],[Billing State/Province]], ", ", Table1[[#This Row],[Billing Zip/Postal Code]])</f>
        <v>1918 Greenwood Street, Harrisburg, PA, 17104</v>
      </c>
    </row>
    <row r="3440" spans="1:13" ht="15.6" hidden="1" x14ac:dyDescent="0.3">
      <c r="A3440" s="1" t="s">
        <v>10337</v>
      </c>
      <c r="B3440" s="1"/>
      <c r="C3440" s="1"/>
      <c r="D3440" s="1"/>
      <c r="E3440" s="1"/>
      <c r="F3440" s="1"/>
      <c r="G3440" s="1" t="s">
        <v>43</v>
      </c>
      <c r="H3440" s="2">
        <v>32</v>
      </c>
      <c r="I3440" s="1" t="s">
        <v>10338</v>
      </c>
      <c r="J3440" s="1" t="s">
        <v>10339</v>
      </c>
      <c r="K3440" s="1" t="s">
        <v>45</v>
      </c>
      <c r="L3440" s="1" t="s">
        <v>10340</v>
      </c>
      <c r="M3440" s="6" t="str">
        <f>_xlfn.CONCAT(Table1[[#This Row],[Billing Street]], ", ", Table1[[#This Row],[Billing City]], ", ", Table1[[#This Row],[Billing State/Province]], ", ", Table1[[#This Row],[Billing Zip/Postal Code]])</f>
        <v>38 N. Main Street, Marshallville, OH, 44645</v>
      </c>
    </row>
    <row r="3441" spans="1:13" ht="15.6" hidden="1" x14ac:dyDescent="0.3">
      <c r="A3441" s="1" t="s">
        <v>10341</v>
      </c>
      <c r="B3441" s="1"/>
      <c r="C3441" s="1"/>
      <c r="D3441" s="1"/>
      <c r="E3441" s="1"/>
      <c r="F3441" s="1"/>
      <c r="G3441" s="1" t="s">
        <v>13</v>
      </c>
      <c r="H3441" s="2">
        <v>0</v>
      </c>
      <c r="I3441" s="1" t="s">
        <v>4977</v>
      </c>
      <c r="J3441" s="1" t="s">
        <v>13</v>
      </c>
      <c r="K3441" s="1" t="s">
        <v>13</v>
      </c>
      <c r="L3441" s="1" t="s">
        <v>13</v>
      </c>
      <c r="M3441" s="6" t="str">
        <f>_xlfn.CONCAT(Table1[[#This Row],[Billing Street]], ", ", Table1[[#This Row],[Billing City]], ", ", Table1[[#This Row],[Billing State/Province]], ", ", Table1[[#This Row],[Billing Zip/Postal Code]])</f>
        <v xml:space="preserve">Tallahassee, , , </v>
      </c>
    </row>
    <row r="3442" spans="1:13" ht="15.6" hidden="1" x14ac:dyDescent="0.3">
      <c r="A3442" s="1" t="s">
        <v>10342</v>
      </c>
      <c r="B3442" s="1"/>
      <c r="C3442" s="1"/>
      <c r="D3442" s="1"/>
      <c r="E3442" s="1"/>
      <c r="F3442" s="1"/>
      <c r="G3442" s="1" t="s">
        <v>43</v>
      </c>
      <c r="H3442" s="2">
        <v>25</v>
      </c>
      <c r="I3442" s="1" t="s">
        <v>10343</v>
      </c>
      <c r="J3442" s="1" t="s">
        <v>3196</v>
      </c>
      <c r="K3442" s="1" t="s">
        <v>45</v>
      </c>
      <c r="L3442" s="1" t="s">
        <v>3197</v>
      </c>
      <c r="M3442" s="6" t="str">
        <f>_xlfn.CONCAT(Table1[[#This Row],[Billing Street]], ", ", Table1[[#This Row],[Billing City]], ", ", Table1[[#This Row],[Billing State/Province]], ", ", Table1[[#This Row],[Billing Zip/Postal Code]])</f>
        <v>8711 Wadsworth Road, Wadsworth, OH, 44281</v>
      </c>
    </row>
    <row r="3443" spans="1:13" ht="15.6" x14ac:dyDescent="0.3">
      <c r="A3443" s="1" t="s">
        <v>10344</v>
      </c>
      <c r="B3443" s="1"/>
      <c r="C3443" s="1"/>
      <c r="D3443" s="1"/>
      <c r="E3443" s="1"/>
      <c r="F3443" s="1"/>
      <c r="G3443" s="1" t="s">
        <v>24</v>
      </c>
      <c r="H3443" s="2">
        <v>240</v>
      </c>
      <c r="I3443" s="1" t="s">
        <v>10345</v>
      </c>
      <c r="J3443" s="1" t="s">
        <v>6649</v>
      </c>
      <c r="K3443" s="1" t="s">
        <v>577</v>
      </c>
      <c r="L3443" s="1" t="s">
        <v>6651</v>
      </c>
      <c r="M3443" s="6" t="str">
        <f>_xlfn.CONCAT(Table1[[#This Row],[Billing Street]], ", ", Table1[[#This Row],[Billing City]], ", ", Table1[[#This Row],[Billing State/Province]], ", ", Table1[[#This Row],[Billing Zip/Postal Code]])</f>
        <v>120 Herman Drive, Belle Chasse, LA, 70037</v>
      </c>
    </row>
    <row r="3444" spans="1:13" ht="15.6" hidden="1" x14ac:dyDescent="0.3">
      <c r="A3444" s="1" t="s">
        <v>10346</v>
      </c>
      <c r="B3444" s="1"/>
      <c r="C3444" s="1"/>
      <c r="D3444" s="1"/>
      <c r="E3444" s="1"/>
      <c r="F3444" s="1"/>
      <c r="G3444" s="1" t="s">
        <v>13</v>
      </c>
      <c r="H3444" s="2">
        <v>0</v>
      </c>
      <c r="I3444" s="1" t="s">
        <v>13</v>
      </c>
      <c r="J3444" s="1" t="s">
        <v>13</v>
      </c>
      <c r="K3444" s="1" t="s">
        <v>13</v>
      </c>
      <c r="L3444" s="1" t="s">
        <v>13</v>
      </c>
      <c r="M3444" s="6" t="str">
        <f>_xlfn.CONCAT(Table1[[#This Row],[Billing Street]], ", ", Table1[[#This Row],[Billing City]], ", ", Table1[[#This Row],[Billing State/Province]], ", ", Table1[[#This Row],[Billing Zip/Postal Code]])</f>
        <v xml:space="preserve">, , , </v>
      </c>
    </row>
    <row r="3445" spans="1:13" ht="15.6" hidden="1" x14ac:dyDescent="0.3">
      <c r="A3445" s="1" t="s">
        <v>10347</v>
      </c>
      <c r="B3445" s="1"/>
      <c r="C3445" s="1"/>
      <c r="D3445" s="1"/>
      <c r="E3445" s="1"/>
      <c r="F3445" s="1"/>
      <c r="G3445" s="1" t="s">
        <v>13</v>
      </c>
      <c r="H3445" s="2">
        <v>0</v>
      </c>
      <c r="I3445" s="1" t="s">
        <v>13</v>
      </c>
      <c r="J3445" s="1" t="s">
        <v>13</v>
      </c>
      <c r="K3445" s="1" t="s">
        <v>13</v>
      </c>
      <c r="L3445" s="1" t="s">
        <v>13</v>
      </c>
      <c r="M3445" s="6" t="str">
        <f>_xlfn.CONCAT(Table1[[#This Row],[Billing Street]], ", ", Table1[[#This Row],[Billing City]], ", ", Table1[[#This Row],[Billing State/Province]], ", ", Table1[[#This Row],[Billing Zip/Postal Code]])</f>
        <v xml:space="preserve">, , , </v>
      </c>
    </row>
    <row r="3446" spans="1:13" ht="15.6" hidden="1" x14ac:dyDescent="0.3">
      <c r="A3446" s="1" t="s">
        <v>10348</v>
      </c>
      <c r="B3446" s="1"/>
      <c r="C3446" s="1"/>
      <c r="D3446" s="1"/>
      <c r="E3446" s="1"/>
      <c r="F3446" s="1"/>
      <c r="G3446" s="1" t="s">
        <v>54</v>
      </c>
      <c r="H3446" s="2">
        <v>294</v>
      </c>
      <c r="I3446" s="1" t="s">
        <v>10349</v>
      </c>
      <c r="J3446" s="1" t="s">
        <v>10350</v>
      </c>
      <c r="K3446" s="1" t="s">
        <v>57</v>
      </c>
      <c r="L3446" s="1" t="s">
        <v>10351</v>
      </c>
      <c r="M3446" s="6" t="str">
        <f>_xlfn.CONCAT(Table1[[#This Row],[Billing Street]], ", ", Table1[[#This Row],[Billing City]], ", ", Table1[[#This Row],[Billing State/Province]], ", ", Table1[[#This Row],[Billing Zip/Postal Code]])</f>
        <v>210 Encinal Street, Santa Cruz, CA, 95060</v>
      </c>
    </row>
    <row r="3447" spans="1:13" ht="15.6" hidden="1" x14ac:dyDescent="0.3">
      <c r="A3447" s="1" t="s">
        <v>10352</v>
      </c>
      <c r="B3447" s="1"/>
      <c r="C3447" s="1"/>
      <c r="D3447" s="1"/>
      <c r="E3447" s="1"/>
      <c r="F3447" s="1"/>
      <c r="G3447" s="1" t="s">
        <v>13</v>
      </c>
      <c r="H3447" s="2">
        <v>0</v>
      </c>
      <c r="I3447" s="1" t="s">
        <v>13</v>
      </c>
      <c r="J3447" s="1" t="s">
        <v>13</v>
      </c>
      <c r="K3447" s="1" t="s">
        <v>13</v>
      </c>
      <c r="L3447" s="1" t="s">
        <v>13</v>
      </c>
      <c r="M3447" s="6" t="str">
        <f>_xlfn.CONCAT(Table1[[#This Row],[Billing Street]], ", ", Table1[[#This Row],[Billing City]], ", ", Table1[[#This Row],[Billing State/Province]], ", ", Table1[[#This Row],[Billing Zip/Postal Code]])</f>
        <v xml:space="preserve">, , , </v>
      </c>
    </row>
    <row r="3448" spans="1:13" ht="15.6" hidden="1" x14ac:dyDescent="0.3">
      <c r="A3448" s="1" t="s">
        <v>10353</v>
      </c>
      <c r="B3448" s="1"/>
      <c r="C3448" s="1"/>
      <c r="D3448" s="1"/>
      <c r="E3448" s="1"/>
      <c r="F3448" s="1"/>
      <c r="G3448" s="1" t="s">
        <v>13</v>
      </c>
      <c r="H3448" s="2">
        <v>0</v>
      </c>
      <c r="I3448" s="1" t="s">
        <v>13</v>
      </c>
      <c r="J3448" s="1" t="s">
        <v>13</v>
      </c>
      <c r="K3448" s="1" t="s">
        <v>13</v>
      </c>
      <c r="L3448" s="1" t="s">
        <v>13</v>
      </c>
      <c r="M3448" s="6" t="str">
        <f>_xlfn.CONCAT(Table1[[#This Row],[Billing Street]], ", ", Table1[[#This Row],[Billing City]], ", ", Table1[[#This Row],[Billing State/Province]], ", ", Table1[[#This Row],[Billing Zip/Postal Code]])</f>
        <v xml:space="preserve">, , , </v>
      </c>
    </row>
    <row r="3449" spans="1:13" ht="15.6" hidden="1" x14ac:dyDescent="0.3">
      <c r="A3449" s="1" t="s">
        <v>10354</v>
      </c>
      <c r="B3449" s="1"/>
      <c r="C3449" s="1"/>
      <c r="D3449" s="1"/>
      <c r="E3449" s="1"/>
      <c r="F3449" s="1"/>
      <c r="G3449" s="1" t="s">
        <v>43</v>
      </c>
      <c r="H3449" s="2">
        <v>297</v>
      </c>
      <c r="I3449" s="1" t="s">
        <v>10355</v>
      </c>
      <c r="J3449" s="1" t="s">
        <v>1105</v>
      </c>
      <c r="K3449" s="1" t="s">
        <v>1832</v>
      </c>
      <c r="L3449" s="1" t="s">
        <v>10356</v>
      </c>
      <c r="M3449" s="6" t="str">
        <f>_xlfn.CONCAT(Table1[[#This Row],[Billing Street]], ", ", Table1[[#This Row],[Billing City]], ", ", Table1[[#This Row],[Billing State/Province]], ", ", Table1[[#This Row],[Billing Zip/Postal Code]])</f>
        <v>2700 North Point Blvd, Baltimore, Md, 21222</v>
      </c>
    </row>
    <row r="3450" spans="1:13" ht="15.6" hidden="1" x14ac:dyDescent="0.3">
      <c r="A3450" s="1" t="s">
        <v>10357</v>
      </c>
      <c r="B3450" s="1"/>
      <c r="C3450" s="1"/>
      <c r="D3450" s="1"/>
      <c r="E3450" s="1"/>
      <c r="F3450" s="1"/>
      <c r="G3450" s="1" t="s">
        <v>43</v>
      </c>
      <c r="H3450" s="2">
        <v>118</v>
      </c>
      <c r="I3450" s="1" t="s">
        <v>10358</v>
      </c>
      <c r="J3450" s="1" t="s">
        <v>711</v>
      </c>
      <c r="K3450" s="1" t="s">
        <v>45</v>
      </c>
      <c r="L3450" s="1" t="s">
        <v>5136</v>
      </c>
      <c r="M3450" s="6" t="str">
        <f>_xlfn.CONCAT(Table1[[#This Row],[Billing Street]], ", ", Table1[[#This Row],[Billing City]], ", ", Table1[[#This Row],[Billing State/Province]], ", ", Table1[[#This Row],[Billing Zip/Postal Code]])</f>
        <v>5275 Sinclair Road, Columbus, OH, 43229</v>
      </c>
    </row>
    <row r="3451" spans="1:13" ht="15.6" hidden="1" x14ac:dyDescent="0.3">
      <c r="A3451" s="1" t="s">
        <v>10359</v>
      </c>
      <c r="B3451" s="1"/>
      <c r="C3451" s="1"/>
      <c r="D3451" s="1"/>
      <c r="E3451" s="1"/>
      <c r="F3451" s="1"/>
      <c r="G3451" s="1" t="s">
        <v>54</v>
      </c>
      <c r="H3451" s="2">
        <v>64</v>
      </c>
      <c r="I3451" s="1" t="s">
        <v>10360</v>
      </c>
      <c r="J3451" s="1" t="s">
        <v>10361</v>
      </c>
      <c r="K3451" s="1" t="s">
        <v>57</v>
      </c>
      <c r="L3451" s="1" t="s">
        <v>10362</v>
      </c>
      <c r="M3451" s="6" t="str">
        <f>_xlfn.CONCAT(Table1[[#This Row],[Billing Street]], ", ", Table1[[#This Row],[Billing City]], ", ", Table1[[#This Row],[Billing State/Province]], ", ", Table1[[#This Row],[Billing Zip/Postal Code]])</f>
        <v>2270 Trumble Road, Perris, CA, 92570</v>
      </c>
    </row>
    <row r="3452" spans="1:13" ht="15.6" hidden="1" x14ac:dyDescent="0.3">
      <c r="A3452" s="1" t="s">
        <v>10363</v>
      </c>
      <c r="B3452" s="1"/>
      <c r="C3452" s="1"/>
      <c r="D3452" s="1"/>
      <c r="E3452" s="1"/>
      <c r="F3452" s="1"/>
      <c r="G3452" s="1" t="s">
        <v>54</v>
      </c>
      <c r="H3452" s="2">
        <v>0</v>
      </c>
      <c r="I3452" s="1" t="s">
        <v>10364</v>
      </c>
      <c r="J3452" s="1" t="s">
        <v>2048</v>
      </c>
      <c r="K3452" s="1" t="s">
        <v>57</v>
      </c>
      <c r="L3452" s="1" t="s">
        <v>10365</v>
      </c>
      <c r="M3452" s="6" t="str">
        <f>_xlfn.CONCAT(Table1[[#This Row],[Billing Street]], ", ", Table1[[#This Row],[Billing City]], ", ", Table1[[#This Row],[Billing State/Province]], ", ", Table1[[#This Row],[Billing Zip/Postal Code]])</f>
        <v>700 N. Alameda Street, Los Angeles, CA, 90012</v>
      </c>
    </row>
    <row r="3453" spans="1:13" ht="15.6" hidden="1" x14ac:dyDescent="0.3">
      <c r="A3453" s="1" t="s">
        <v>10366</v>
      </c>
      <c r="B3453" s="1"/>
      <c r="C3453" s="1"/>
      <c r="D3453" s="1"/>
      <c r="E3453" s="1"/>
      <c r="F3453" s="1"/>
      <c r="G3453" s="1" t="s">
        <v>54</v>
      </c>
      <c r="H3453" s="2">
        <v>93</v>
      </c>
      <c r="I3453" s="1" t="s">
        <v>10367</v>
      </c>
      <c r="J3453" s="1" t="s">
        <v>10368</v>
      </c>
      <c r="K3453" s="1" t="s">
        <v>57</v>
      </c>
      <c r="L3453" s="1" t="s">
        <v>10369</v>
      </c>
      <c r="M3453" s="6" t="str">
        <f>_xlfn.CONCAT(Table1[[#This Row],[Billing Street]], ", ", Table1[[#This Row],[Billing City]], ", ", Table1[[#This Row],[Billing State/Province]], ", ", Table1[[#This Row],[Billing Zip/Postal Code]])</f>
        <v>35899 Canfield Road, Palomar Mountain, CA, 92060</v>
      </c>
    </row>
    <row r="3454" spans="1:13" ht="15.6" hidden="1" x14ac:dyDescent="0.3">
      <c r="A3454" s="1" t="s">
        <v>10370</v>
      </c>
      <c r="B3454" s="1"/>
      <c r="C3454" s="1"/>
      <c r="D3454" s="1"/>
      <c r="E3454" s="1"/>
      <c r="F3454" s="1"/>
      <c r="G3454" s="1" t="s">
        <v>43</v>
      </c>
      <c r="H3454" s="2">
        <v>153</v>
      </c>
      <c r="I3454" s="1" t="s">
        <v>10371</v>
      </c>
      <c r="J3454" s="1" t="s">
        <v>10372</v>
      </c>
      <c r="K3454" s="1" t="s">
        <v>241</v>
      </c>
      <c r="L3454" s="1" t="s">
        <v>10373</v>
      </c>
      <c r="M3454" s="6" t="str">
        <f>_xlfn.CONCAT(Table1[[#This Row],[Billing Street]], ", ", Table1[[#This Row],[Billing City]], ", ", Table1[[#This Row],[Billing State/Province]], ", ", Table1[[#This Row],[Billing Zip/Postal Code]])</f>
        <v>1009 Carrol Road, Patton, PA, 16668</v>
      </c>
    </row>
    <row r="3455" spans="1:13" ht="15.6" hidden="1" x14ac:dyDescent="0.3">
      <c r="A3455" s="1" t="s">
        <v>10374</v>
      </c>
      <c r="B3455" s="1"/>
      <c r="C3455" s="1"/>
      <c r="D3455" s="1"/>
      <c r="E3455" s="1"/>
      <c r="F3455" s="1"/>
      <c r="G3455" s="1" t="s">
        <v>13</v>
      </c>
      <c r="H3455" s="2">
        <v>0</v>
      </c>
      <c r="I3455" s="1" t="s">
        <v>13</v>
      </c>
      <c r="J3455" s="1" t="s">
        <v>13</v>
      </c>
      <c r="K3455" s="1" t="s">
        <v>13</v>
      </c>
      <c r="L3455" s="1" t="s">
        <v>13</v>
      </c>
      <c r="M3455" s="6" t="str">
        <f>_xlfn.CONCAT(Table1[[#This Row],[Billing Street]], ", ", Table1[[#This Row],[Billing City]], ", ", Table1[[#This Row],[Billing State/Province]], ", ", Table1[[#This Row],[Billing Zip/Postal Code]])</f>
        <v xml:space="preserve">, , , </v>
      </c>
    </row>
    <row r="3456" spans="1:13" ht="15.6" hidden="1" x14ac:dyDescent="0.3">
      <c r="A3456" s="1" t="s">
        <v>10375</v>
      </c>
      <c r="B3456" s="1"/>
      <c r="C3456" s="1"/>
      <c r="D3456" s="1"/>
      <c r="E3456" s="1"/>
      <c r="F3456" s="1"/>
      <c r="G3456" s="1" t="s">
        <v>8</v>
      </c>
      <c r="H3456" s="2">
        <v>6528</v>
      </c>
      <c r="I3456" s="1" t="s">
        <v>13</v>
      </c>
      <c r="J3456" s="1" t="s">
        <v>10376</v>
      </c>
      <c r="K3456" s="1" t="s">
        <v>165</v>
      </c>
      <c r="L3456" s="1" t="s">
        <v>13</v>
      </c>
      <c r="M3456" s="6" t="str">
        <f>_xlfn.CONCAT(Table1[[#This Row],[Billing Street]], ", ", Table1[[#This Row],[Billing City]], ", ", Table1[[#This Row],[Billing State/Province]], ", ", Table1[[#This Row],[Billing Zip/Postal Code]])</f>
        <v xml:space="preserve">, Crossett, AR, </v>
      </c>
    </row>
    <row r="3457" spans="1:13" ht="15.6" hidden="1" x14ac:dyDescent="0.3">
      <c r="A3457" s="1" t="s">
        <v>10377</v>
      </c>
      <c r="B3457" s="1"/>
      <c r="C3457" s="1"/>
      <c r="D3457" s="1"/>
      <c r="E3457" s="1"/>
      <c r="F3457" s="1"/>
      <c r="G3457" s="1" t="s">
        <v>13</v>
      </c>
      <c r="H3457" s="2">
        <v>0</v>
      </c>
      <c r="I3457" s="1" t="s">
        <v>13</v>
      </c>
      <c r="J3457" s="1" t="s">
        <v>13</v>
      </c>
      <c r="K3457" s="1" t="s">
        <v>13</v>
      </c>
      <c r="L3457" s="1" t="s">
        <v>13</v>
      </c>
      <c r="M3457" s="6" t="str">
        <f>_xlfn.CONCAT(Table1[[#This Row],[Billing Street]], ", ", Table1[[#This Row],[Billing City]], ", ", Table1[[#This Row],[Billing State/Province]], ", ", Table1[[#This Row],[Billing Zip/Postal Code]])</f>
        <v xml:space="preserve">, , , </v>
      </c>
    </row>
    <row r="3458" spans="1:13" ht="15.6" hidden="1" x14ac:dyDescent="0.3">
      <c r="A3458" s="1" t="s">
        <v>10378</v>
      </c>
      <c r="B3458" s="1"/>
      <c r="C3458" s="1"/>
      <c r="D3458" s="1"/>
      <c r="E3458" s="1"/>
      <c r="F3458" s="1"/>
      <c r="G3458" s="1" t="s">
        <v>8</v>
      </c>
      <c r="H3458" s="2">
        <v>6528</v>
      </c>
      <c r="I3458" s="1" t="s">
        <v>10379</v>
      </c>
      <c r="J3458" s="1" t="s">
        <v>10380</v>
      </c>
      <c r="K3458" s="1" t="s">
        <v>165</v>
      </c>
      <c r="L3458" s="1" t="s">
        <v>13</v>
      </c>
      <c r="M3458" s="6" t="str">
        <f>_xlfn.CONCAT(Table1[[#This Row],[Billing Street]], ", ", Table1[[#This Row],[Billing City]], ", ", Table1[[#This Row],[Billing State/Province]], ", ", Table1[[#This Row],[Billing Zip/Postal Code]])</f>
        <v xml:space="preserve">829 N. Express Ave., Bradley, AR, </v>
      </c>
    </row>
    <row r="3459" spans="1:13" ht="15.6" hidden="1" x14ac:dyDescent="0.3">
      <c r="A3459" s="1" t="s">
        <v>10381</v>
      </c>
      <c r="B3459" s="1"/>
      <c r="C3459" s="1"/>
      <c r="D3459" s="1"/>
      <c r="E3459" s="1"/>
      <c r="F3459" s="1"/>
      <c r="G3459" s="1" t="s">
        <v>8</v>
      </c>
      <c r="H3459" s="2">
        <v>6528</v>
      </c>
      <c r="I3459" s="1" t="s">
        <v>10382</v>
      </c>
      <c r="J3459" s="1" t="s">
        <v>10383</v>
      </c>
      <c r="K3459" s="1" t="s">
        <v>165</v>
      </c>
      <c r="L3459" s="1" t="s">
        <v>13</v>
      </c>
      <c r="M3459" s="6" t="str">
        <f>_xlfn.CONCAT(Table1[[#This Row],[Billing Street]], ", ", Table1[[#This Row],[Billing City]], ", ", Table1[[#This Row],[Billing State/Province]], ", ", Table1[[#This Row],[Billing Zip/Postal Code]])</f>
        <v xml:space="preserve">110 crosstrails rd, De Queen, AR, </v>
      </c>
    </row>
    <row r="3460" spans="1:13" ht="15.6" hidden="1" x14ac:dyDescent="0.3">
      <c r="A3460" s="1" t="s">
        <v>10384</v>
      </c>
      <c r="B3460" s="1"/>
      <c r="C3460" s="1"/>
      <c r="D3460" s="1"/>
      <c r="E3460" s="1"/>
      <c r="F3460" s="1"/>
      <c r="G3460" s="1" t="s">
        <v>13</v>
      </c>
      <c r="H3460" s="2">
        <v>0</v>
      </c>
      <c r="I3460" s="1" t="s">
        <v>13</v>
      </c>
      <c r="J3460" s="1" t="s">
        <v>13</v>
      </c>
      <c r="K3460" s="1" t="s">
        <v>13</v>
      </c>
      <c r="L3460" s="1" t="s">
        <v>13</v>
      </c>
      <c r="M3460" s="6" t="str">
        <f>_xlfn.CONCAT(Table1[[#This Row],[Billing Street]], ", ", Table1[[#This Row],[Billing City]], ", ", Table1[[#This Row],[Billing State/Province]], ", ", Table1[[#This Row],[Billing Zip/Postal Code]])</f>
        <v xml:space="preserve">, , , </v>
      </c>
    </row>
    <row r="3461" spans="1:13" ht="15.6" x14ac:dyDescent="0.3">
      <c r="A3461" s="1" t="s">
        <v>10385</v>
      </c>
      <c r="B3461" s="1"/>
      <c r="C3461" s="1"/>
      <c r="D3461" s="1"/>
      <c r="E3461" s="1"/>
      <c r="F3461" s="1"/>
      <c r="G3461" s="1" t="s">
        <v>24</v>
      </c>
      <c r="H3461" s="2">
        <v>111</v>
      </c>
      <c r="I3461" s="1" t="s">
        <v>10386</v>
      </c>
      <c r="J3461" s="1" t="s">
        <v>10387</v>
      </c>
      <c r="K3461" s="1" t="s">
        <v>36</v>
      </c>
      <c r="L3461" s="1" t="s">
        <v>10388</v>
      </c>
      <c r="M3461" s="6" t="str">
        <f>_xlfn.CONCAT(Table1[[#This Row],[Billing Street]], ", ", Table1[[#This Row],[Billing City]], ", ", Table1[[#This Row],[Billing State/Province]], ", ", Table1[[#This Row],[Billing Zip/Postal Code]])</f>
        <v>400 E. Gaines Street, Tallahasssee, FL, 32399</v>
      </c>
    </row>
    <row r="3462" spans="1:13" ht="15.6" hidden="1" x14ac:dyDescent="0.3">
      <c r="A3462" s="1" t="s">
        <v>10389</v>
      </c>
      <c r="B3462" s="1"/>
      <c r="C3462" s="1"/>
      <c r="D3462" s="1"/>
      <c r="E3462" s="1"/>
      <c r="F3462" s="1"/>
      <c r="G3462" s="1" t="s">
        <v>13</v>
      </c>
      <c r="H3462" s="2">
        <v>0</v>
      </c>
      <c r="I3462" s="1" t="s">
        <v>13</v>
      </c>
      <c r="J3462" s="1" t="s">
        <v>13</v>
      </c>
      <c r="K3462" s="1" t="s">
        <v>13</v>
      </c>
      <c r="L3462" s="1" t="s">
        <v>13</v>
      </c>
      <c r="M3462" s="6" t="str">
        <f>_xlfn.CONCAT(Table1[[#This Row],[Billing Street]], ", ", Table1[[#This Row],[Billing City]], ", ", Table1[[#This Row],[Billing State/Province]], ", ", Table1[[#This Row],[Billing Zip/Postal Code]])</f>
        <v xml:space="preserve">, , , </v>
      </c>
    </row>
    <row r="3463" spans="1:13" ht="15.6" hidden="1" x14ac:dyDescent="0.3">
      <c r="A3463" s="1" t="s">
        <v>10390</v>
      </c>
      <c r="B3463" s="1"/>
      <c r="C3463" s="1"/>
      <c r="D3463" s="1"/>
      <c r="E3463" s="1"/>
      <c r="F3463" s="1"/>
      <c r="G3463" s="1" t="s">
        <v>13</v>
      </c>
      <c r="H3463" s="2">
        <v>0</v>
      </c>
      <c r="I3463" s="1" t="s">
        <v>13</v>
      </c>
      <c r="J3463" s="1" t="s">
        <v>13</v>
      </c>
      <c r="K3463" s="1" t="s">
        <v>13</v>
      </c>
      <c r="L3463" s="1" t="s">
        <v>13</v>
      </c>
      <c r="M3463" s="6" t="str">
        <f>_xlfn.CONCAT(Table1[[#This Row],[Billing Street]], ", ", Table1[[#This Row],[Billing City]], ", ", Table1[[#This Row],[Billing State/Province]], ", ", Table1[[#This Row],[Billing Zip/Postal Code]])</f>
        <v xml:space="preserve">, , , </v>
      </c>
    </row>
    <row r="3464" spans="1:13" ht="15.6" x14ac:dyDescent="0.3">
      <c r="A3464" s="1" t="s">
        <v>10391</v>
      </c>
      <c r="B3464" s="1"/>
      <c r="C3464" s="1"/>
      <c r="D3464" s="1"/>
      <c r="E3464" s="1"/>
      <c r="F3464" s="1"/>
      <c r="G3464" s="1" t="s">
        <v>24</v>
      </c>
      <c r="H3464" s="2">
        <v>351</v>
      </c>
      <c r="I3464" s="1" t="s">
        <v>10392</v>
      </c>
      <c r="J3464" s="1" t="s">
        <v>10393</v>
      </c>
      <c r="K3464" s="1" t="s">
        <v>577</v>
      </c>
      <c r="L3464" s="1" t="s">
        <v>10394</v>
      </c>
      <c r="M3464" s="6" t="str">
        <f>_xlfn.CONCAT(Table1[[#This Row],[Billing Street]], ", ", Table1[[#This Row],[Billing City]], ", ", Table1[[#This Row],[Billing State/Province]], ", ", Table1[[#This Row],[Billing Zip/Postal Code]])</f>
        <v>1630 Prison Road, Cottonport, LA, 71327</v>
      </c>
    </row>
    <row r="3465" spans="1:13" ht="15.6" hidden="1" x14ac:dyDescent="0.3">
      <c r="A3465" s="1" t="s">
        <v>10395</v>
      </c>
      <c r="B3465" s="1"/>
      <c r="C3465" s="1"/>
      <c r="D3465" s="1"/>
      <c r="E3465" s="1"/>
      <c r="F3465" s="1"/>
      <c r="G3465" s="1" t="s">
        <v>13</v>
      </c>
      <c r="H3465" s="2">
        <v>0</v>
      </c>
      <c r="I3465" s="1" t="s">
        <v>13</v>
      </c>
      <c r="J3465" s="1" t="s">
        <v>13</v>
      </c>
      <c r="K3465" s="1" t="s">
        <v>13</v>
      </c>
      <c r="L3465" s="1" t="s">
        <v>13</v>
      </c>
      <c r="M3465" s="6" t="str">
        <f>_xlfn.CONCAT(Table1[[#This Row],[Billing Street]], ", ", Table1[[#This Row],[Billing City]], ", ", Table1[[#This Row],[Billing State/Province]], ", ", Table1[[#This Row],[Billing Zip/Postal Code]])</f>
        <v xml:space="preserve">, , , </v>
      </c>
    </row>
    <row r="3466" spans="1:13" ht="15.6" x14ac:dyDescent="0.3">
      <c r="A3466" s="1" t="s">
        <v>2021</v>
      </c>
      <c r="B3466" s="1"/>
      <c r="C3466" s="1"/>
      <c r="D3466" s="1"/>
      <c r="E3466" s="1"/>
      <c r="F3466" s="1"/>
      <c r="G3466" s="1" t="s">
        <v>24</v>
      </c>
      <c r="H3466" s="2">
        <v>266</v>
      </c>
      <c r="I3466" s="1" t="s">
        <v>10396</v>
      </c>
      <c r="J3466" s="1" t="s">
        <v>6560</v>
      </c>
      <c r="K3466" s="1" t="s">
        <v>951</v>
      </c>
      <c r="L3466" s="1" t="s">
        <v>6561</v>
      </c>
      <c r="M3466" s="6" t="str">
        <f>_xlfn.CONCAT(Table1[[#This Row],[Billing Street]], ", ", Table1[[#This Row],[Billing City]], ", ", Table1[[#This Row],[Billing State/Province]], ", ", Table1[[#This Row],[Billing Zip/Postal Code]])</f>
        <v>105 Business Park Drive, Ridgeland, Ms, 39157</v>
      </c>
    </row>
    <row r="3467" spans="1:13" ht="15.6" hidden="1" x14ac:dyDescent="0.3">
      <c r="A3467" s="1" t="s">
        <v>10397</v>
      </c>
      <c r="B3467" s="1"/>
      <c r="C3467" s="1"/>
      <c r="D3467" s="1"/>
      <c r="E3467" s="1"/>
      <c r="F3467" s="1"/>
      <c r="G3467" s="1" t="s">
        <v>13</v>
      </c>
      <c r="H3467" s="2">
        <v>0</v>
      </c>
      <c r="I3467" s="1" t="s">
        <v>13</v>
      </c>
      <c r="J3467" s="1" t="s">
        <v>13</v>
      </c>
      <c r="K3467" s="1" t="s">
        <v>13</v>
      </c>
      <c r="L3467" s="1" t="s">
        <v>13</v>
      </c>
      <c r="M3467" s="6" t="str">
        <f>_xlfn.CONCAT(Table1[[#This Row],[Billing Street]], ", ", Table1[[#This Row],[Billing City]], ", ", Table1[[#This Row],[Billing State/Province]], ", ", Table1[[#This Row],[Billing Zip/Postal Code]])</f>
        <v xml:space="preserve">, , , </v>
      </c>
    </row>
    <row r="3468" spans="1:13" ht="15.6" hidden="1" x14ac:dyDescent="0.3">
      <c r="A3468" s="1" t="s">
        <v>10398</v>
      </c>
      <c r="B3468" s="1"/>
      <c r="C3468" s="1"/>
      <c r="D3468" s="1"/>
      <c r="E3468" s="1"/>
      <c r="F3468" s="1"/>
      <c r="G3468" s="1" t="s">
        <v>13</v>
      </c>
      <c r="H3468" s="2">
        <v>0</v>
      </c>
      <c r="I3468" s="1" t="s">
        <v>13</v>
      </c>
      <c r="J3468" s="1" t="s">
        <v>13</v>
      </c>
      <c r="K3468" s="1" t="s">
        <v>13</v>
      </c>
      <c r="L3468" s="1" t="s">
        <v>13</v>
      </c>
      <c r="M3468" s="6" t="str">
        <f>_xlfn.CONCAT(Table1[[#This Row],[Billing Street]], ", ", Table1[[#This Row],[Billing City]], ", ", Table1[[#This Row],[Billing State/Province]], ", ", Table1[[#This Row],[Billing Zip/Postal Code]])</f>
        <v xml:space="preserve">, , , </v>
      </c>
    </row>
    <row r="3469" spans="1:13" ht="15.6" hidden="1" x14ac:dyDescent="0.3">
      <c r="A3469" s="1" t="s">
        <v>10399</v>
      </c>
      <c r="B3469" s="1"/>
      <c r="C3469" s="1"/>
      <c r="D3469" s="1"/>
      <c r="E3469" s="1"/>
      <c r="F3469" s="1"/>
      <c r="G3469" s="1" t="s">
        <v>13</v>
      </c>
      <c r="H3469" s="2">
        <v>0</v>
      </c>
      <c r="I3469" s="1" t="s">
        <v>13</v>
      </c>
      <c r="J3469" s="1" t="s">
        <v>13</v>
      </c>
      <c r="K3469" s="1" t="s">
        <v>13</v>
      </c>
      <c r="L3469" s="1" t="s">
        <v>13</v>
      </c>
      <c r="M3469" s="6" t="str">
        <f>_xlfn.CONCAT(Table1[[#This Row],[Billing Street]], ", ", Table1[[#This Row],[Billing City]], ", ", Table1[[#This Row],[Billing State/Province]], ", ", Table1[[#This Row],[Billing Zip/Postal Code]])</f>
        <v xml:space="preserve">, , , </v>
      </c>
    </row>
    <row r="3470" spans="1:13" ht="15.6" hidden="1" x14ac:dyDescent="0.3">
      <c r="A3470" s="1" t="s">
        <v>10400</v>
      </c>
      <c r="B3470" s="1"/>
      <c r="C3470" s="1"/>
      <c r="D3470" s="1"/>
      <c r="E3470" s="1"/>
      <c r="F3470" s="1"/>
      <c r="G3470" s="1" t="s">
        <v>13</v>
      </c>
      <c r="H3470" s="2">
        <v>0</v>
      </c>
      <c r="I3470" s="1" t="s">
        <v>13</v>
      </c>
      <c r="J3470" s="1" t="s">
        <v>13</v>
      </c>
      <c r="K3470" s="1" t="s">
        <v>13</v>
      </c>
      <c r="L3470" s="1" t="s">
        <v>13</v>
      </c>
      <c r="M3470" s="6" t="str">
        <f>_xlfn.CONCAT(Table1[[#This Row],[Billing Street]], ", ", Table1[[#This Row],[Billing City]], ", ", Table1[[#This Row],[Billing State/Province]], ", ", Table1[[#This Row],[Billing Zip/Postal Code]])</f>
        <v xml:space="preserve">, , , </v>
      </c>
    </row>
    <row r="3471" spans="1:13" ht="15.6" x14ac:dyDescent="0.3">
      <c r="A3471" s="1" t="s">
        <v>10401</v>
      </c>
      <c r="B3471" s="1"/>
      <c r="C3471" s="1"/>
      <c r="D3471" s="1"/>
      <c r="E3471" s="1"/>
      <c r="F3471" s="1"/>
      <c r="G3471" s="1" t="s">
        <v>24</v>
      </c>
      <c r="H3471" s="2">
        <v>5988</v>
      </c>
      <c r="I3471" s="1" t="s">
        <v>13</v>
      </c>
      <c r="J3471" s="1" t="s">
        <v>10402</v>
      </c>
      <c r="K3471" s="1" t="s">
        <v>31</v>
      </c>
      <c r="L3471" s="1" t="s">
        <v>13</v>
      </c>
      <c r="M3471" s="6" t="str">
        <f>_xlfn.CONCAT(Table1[[#This Row],[Billing Street]], ", ", Table1[[#This Row],[Billing City]], ", ", Table1[[#This Row],[Billing State/Province]], ", ", Table1[[#This Row],[Billing Zip/Postal Code]])</f>
        <v xml:space="preserve">, Dekalb, MS, </v>
      </c>
    </row>
    <row r="3472" spans="1:13" ht="15.6" hidden="1" x14ac:dyDescent="0.3">
      <c r="A3472" s="1" t="s">
        <v>10403</v>
      </c>
      <c r="B3472" s="1"/>
      <c r="C3472" s="1"/>
      <c r="D3472" s="1"/>
      <c r="E3472" s="1"/>
      <c r="F3472" s="1"/>
      <c r="G3472" s="1" t="s">
        <v>43</v>
      </c>
      <c r="H3472" s="2">
        <v>18</v>
      </c>
      <c r="I3472" s="1" t="s">
        <v>10404</v>
      </c>
      <c r="J3472" s="1" t="s">
        <v>104</v>
      </c>
      <c r="K3472" s="1" t="s">
        <v>45</v>
      </c>
      <c r="L3472" s="1" t="s">
        <v>10405</v>
      </c>
      <c r="M3472" s="6" t="str">
        <f>_xlfn.CONCAT(Table1[[#This Row],[Billing Street]], ", ", Table1[[#This Row],[Billing City]], ", ", Table1[[#This Row],[Billing State/Province]], ", ", Table1[[#This Row],[Billing Zip/Postal Code]])</f>
        <v>1240 Marquette Street, Cleveland, OH, 44114</v>
      </c>
    </row>
    <row r="3473" spans="1:13" ht="15.6" hidden="1" x14ac:dyDescent="0.3">
      <c r="A3473" s="1" t="s">
        <v>10406</v>
      </c>
      <c r="B3473" s="1"/>
      <c r="C3473" s="1"/>
      <c r="D3473" s="1"/>
      <c r="E3473" s="1"/>
      <c r="F3473" s="1"/>
      <c r="G3473" s="1" t="s">
        <v>13</v>
      </c>
      <c r="H3473" s="2">
        <v>0</v>
      </c>
      <c r="I3473" s="1" t="s">
        <v>13</v>
      </c>
      <c r="J3473" s="1" t="s">
        <v>13</v>
      </c>
      <c r="K3473" s="1" t="s">
        <v>13</v>
      </c>
      <c r="L3473" s="1" t="s">
        <v>13</v>
      </c>
      <c r="M3473" s="6" t="str">
        <f>_xlfn.CONCAT(Table1[[#This Row],[Billing Street]], ", ", Table1[[#This Row],[Billing City]], ", ", Table1[[#This Row],[Billing State/Province]], ", ", Table1[[#This Row],[Billing Zip/Postal Code]])</f>
        <v xml:space="preserve">, , , </v>
      </c>
    </row>
    <row r="3474" spans="1:13" ht="15.6" hidden="1" x14ac:dyDescent="0.3">
      <c r="A3474" s="1" t="s">
        <v>10407</v>
      </c>
      <c r="B3474" s="1"/>
      <c r="C3474" s="1"/>
      <c r="D3474" s="1"/>
      <c r="E3474" s="1"/>
      <c r="F3474" s="1"/>
      <c r="G3474" s="1" t="s">
        <v>13</v>
      </c>
      <c r="H3474" s="2">
        <v>0</v>
      </c>
      <c r="I3474" s="1" t="s">
        <v>13</v>
      </c>
      <c r="J3474" s="1" t="s">
        <v>13</v>
      </c>
      <c r="K3474" s="1" t="s">
        <v>13</v>
      </c>
      <c r="L3474" s="1" t="s">
        <v>13</v>
      </c>
      <c r="M3474" s="6" t="str">
        <f>_xlfn.CONCAT(Table1[[#This Row],[Billing Street]], ", ", Table1[[#This Row],[Billing City]], ", ", Table1[[#This Row],[Billing State/Province]], ", ", Table1[[#This Row],[Billing Zip/Postal Code]])</f>
        <v xml:space="preserve">, , , </v>
      </c>
    </row>
    <row r="3475" spans="1:13" ht="15.6" hidden="1" x14ac:dyDescent="0.3">
      <c r="A3475" s="1" t="s">
        <v>10408</v>
      </c>
      <c r="B3475" s="1"/>
      <c r="C3475" s="1"/>
      <c r="D3475" s="1"/>
      <c r="E3475" s="1"/>
      <c r="F3475" s="1"/>
      <c r="G3475" s="1" t="s">
        <v>98</v>
      </c>
      <c r="H3475" s="2">
        <v>27</v>
      </c>
      <c r="I3475" s="1" t="s">
        <v>10409</v>
      </c>
      <c r="J3475" s="1" t="s">
        <v>1998</v>
      </c>
      <c r="K3475" s="1" t="s">
        <v>101</v>
      </c>
      <c r="L3475" s="1" t="s">
        <v>1999</v>
      </c>
      <c r="M3475" s="6" t="str">
        <f>_xlfn.CONCAT(Table1[[#This Row],[Billing Street]], ", ", Table1[[#This Row],[Billing City]], ", ", Table1[[#This Row],[Billing State/Province]], ", ", Table1[[#This Row],[Billing Zip/Postal Code]])</f>
        <v>7375 Graham Drive, Fairburn, GA, 30213</v>
      </c>
    </row>
    <row r="3476" spans="1:13" ht="15.6" hidden="1" x14ac:dyDescent="0.3">
      <c r="A3476" s="1" t="s">
        <v>10410</v>
      </c>
      <c r="B3476" s="1"/>
      <c r="C3476" s="1"/>
      <c r="D3476" s="1"/>
      <c r="E3476" s="1"/>
      <c r="F3476" s="1"/>
      <c r="G3476" s="1" t="s">
        <v>48</v>
      </c>
      <c r="H3476" s="2">
        <v>0</v>
      </c>
      <c r="I3476" s="1" t="s">
        <v>10411</v>
      </c>
      <c r="J3476" s="1" t="s">
        <v>10412</v>
      </c>
      <c r="K3476" s="1" t="s">
        <v>1115</v>
      </c>
      <c r="L3476" s="1" t="s">
        <v>10413</v>
      </c>
      <c r="M3476" s="6" t="str">
        <f>_xlfn.CONCAT(Table1[[#This Row],[Billing Street]], ", ", Table1[[#This Row],[Billing City]], ", ", Table1[[#This Row],[Billing State/Province]], ", ", Table1[[#This Row],[Billing Zip/Postal Code]])</f>
        <v>10909 Southlake Court, North Chesterfield, VA, 23236</v>
      </c>
    </row>
    <row r="3477" spans="1:13" ht="15.6" hidden="1" x14ac:dyDescent="0.3">
      <c r="A3477" s="1" t="s">
        <v>10414</v>
      </c>
      <c r="B3477" s="1"/>
      <c r="C3477" s="1"/>
      <c r="D3477" s="1"/>
      <c r="E3477" s="1"/>
      <c r="F3477" s="1"/>
      <c r="G3477" s="1" t="s">
        <v>43</v>
      </c>
      <c r="H3477" s="2">
        <v>23</v>
      </c>
      <c r="I3477" s="1" t="s">
        <v>10415</v>
      </c>
      <c r="J3477" s="1" t="s">
        <v>10416</v>
      </c>
      <c r="K3477" s="1" t="s">
        <v>45</v>
      </c>
      <c r="L3477" s="1" t="s">
        <v>10417</v>
      </c>
      <c r="M3477" s="6" t="str">
        <f>_xlfn.CONCAT(Table1[[#This Row],[Billing Street]], ", ", Table1[[#This Row],[Billing City]], ", ", Table1[[#This Row],[Billing State/Province]], ", ", Table1[[#This Row],[Billing Zip/Postal Code]])</f>
        <v>38323 Apollo Parkway, Willoughby, OH, 44094</v>
      </c>
    </row>
    <row r="3478" spans="1:13" ht="15.6" hidden="1" x14ac:dyDescent="0.3">
      <c r="A3478" s="1" t="s">
        <v>10418</v>
      </c>
      <c r="B3478" s="1"/>
      <c r="C3478" s="1"/>
      <c r="D3478" s="1"/>
      <c r="E3478" s="1"/>
      <c r="F3478" s="1"/>
      <c r="G3478" s="1" t="s">
        <v>54</v>
      </c>
      <c r="H3478" s="2">
        <v>289</v>
      </c>
      <c r="I3478" s="1" t="s">
        <v>10419</v>
      </c>
      <c r="J3478" s="1" t="s">
        <v>10420</v>
      </c>
      <c r="K3478" s="1" t="s">
        <v>57</v>
      </c>
      <c r="L3478" s="1" t="s">
        <v>10421</v>
      </c>
      <c r="M3478" s="6" t="str">
        <f>_xlfn.CONCAT(Table1[[#This Row],[Billing Street]], ", ", Table1[[#This Row],[Billing City]], ", ", Table1[[#This Row],[Billing State/Province]], ", ", Table1[[#This Row],[Billing Zip/Postal Code]])</f>
        <v>1917 Foundry Court, Ceres, CA, 95307</v>
      </c>
    </row>
    <row r="3479" spans="1:13" ht="15.6" hidden="1" x14ac:dyDescent="0.3">
      <c r="A3479" s="1" t="s">
        <v>10422</v>
      </c>
      <c r="B3479" s="1"/>
      <c r="C3479" s="1"/>
      <c r="D3479" s="1"/>
      <c r="E3479" s="1"/>
      <c r="F3479" s="1"/>
      <c r="G3479" s="1" t="s">
        <v>43</v>
      </c>
      <c r="H3479" s="2">
        <v>327</v>
      </c>
      <c r="I3479" s="1" t="s">
        <v>10423</v>
      </c>
      <c r="J3479" s="1" t="s">
        <v>10424</v>
      </c>
      <c r="K3479" s="1" t="s">
        <v>241</v>
      </c>
      <c r="L3479" s="1" t="s">
        <v>10425</v>
      </c>
      <c r="M3479" s="6" t="str">
        <f>_xlfn.CONCAT(Table1[[#This Row],[Billing Street]], ", ", Table1[[#This Row],[Billing City]], ", ", Table1[[#This Row],[Billing State/Province]], ", ", Table1[[#This Row],[Billing Zip/Postal Code]])</f>
        <v>128 Glen Mills Road, Glen Mills, PA, 19342</v>
      </c>
    </row>
    <row r="3480" spans="1:13" ht="15.6" hidden="1" x14ac:dyDescent="0.3">
      <c r="A3480" s="1" t="s">
        <v>10426</v>
      </c>
      <c r="B3480" s="1"/>
      <c r="C3480" s="1"/>
      <c r="D3480" s="1"/>
      <c r="E3480" s="1"/>
      <c r="F3480" s="1"/>
      <c r="G3480" s="1" t="s">
        <v>13</v>
      </c>
      <c r="H3480" s="2">
        <v>0</v>
      </c>
      <c r="I3480" s="1" t="s">
        <v>13</v>
      </c>
      <c r="J3480" s="1" t="s">
        <v>13</v>
      </c>
      <c r="K3480" s="1" t="s">
        <v>13</v>
      </c>
      <c r="L3480" s="1" t="s">
        <v>13</v>
      </c>
      <c r="M3480" s="6" t="str">
        <f>_xlfn.CONCAT(Table1[[#This Row],[Billing Street]], ", ", Table1[[#This Row],[Billing City]], ", ", Table1[[#This Row],[Billing State/Province]], ", ", Table1[[#This Row],[Billing Zip/Postal Code]])</f>
        <v xml:space="preserve">, , , </v>
      </c>
    </row>
    <row r="3481" spans="1:13" ht="15.6" hidden="1" x14ac:dyDescent="0.3">
      <c r="A3481" s="1" t="s">
        <v>10427</v>
      </c>
      <c r="B3481" s="1"/>
      <c r="C3481" s="1"/>
      <c r="D3481" s="1"/>
      <c r="E3481" s="1"/>
      <c r="F3481" s="1"/>
      <c r="G3481" s="1" t="s">
        <v>43</v>
      </c>
      <c r="H3481" s="2">
        <v>100</v>
      </c>
      <c r="I3481" s="1" t="s">
        <v>10428</v>
      </c>
      <c r="J3481" s="1" t="s">
        <v>2221</v>
      </c>
      <c r="K3481" s="1" t="s">
        <v>10429</v>
      </c>
      <c r="L3481" s="1" t="s">
        <v>10430</v>
      </c>
      <c r="M3481" s="6" t="str">
        <f>_xlfn.CONCAT(Table1[[#This Row],[Billing Street]], ", ", Table1[[#This Row],[Billing City]], ", ", Table1[[#This Row],[Billing State/Province]], ", ", Table1[[#This Row],[Billing Zip/Postal Code]])</f>
        <v>275 Kappa Dr, Pittsburgh, Pennsylvania, 15238</v>
      </c>
    </row>
    <row r="3482" spans="1:13" ht="15.6" hidden="1" x14ac:dyDescent="0.3">
      <c r="A3482" s="1" t="s">
        <v>10431</v>
      </c>
      <c r="B3482" s="1"/>
      <c r="C3482" s="1"/>
      <c r="D3482" s="1"/>
      <c r="E3482" s="1"/>
      <c r="F3482" s="1"/>
      <c r="G3482" s="1" t="s">
        <v>8</v>
      </c>
      <c r="H3482" s="2">
        <v>602</v>
      </c>
      <c r="I3482" s="1" t="s">
        <v>10432</v>
      </c>
      <c r="J3482" s="1" t="s">
        <v>10433</v>
      </c>
      <c r="K3482" s="1" t="s">
        <v>128</v>
      </c>
      <c r="L3482" s="1" t="s">
        <v>10434</v>
      </c>
      <c r="M3482" s="6" t="str">
        <f>_xlfn.CONCAT(Table1[[#This Row],[Billing Street]], ", ", Table1[[#This Row],[Billing City]], ", ", Table1[[#This Row],[Billing State/Province]], ", ", Table1[[#This Row],[Billing Zip/Postal Code]])</f>
        <v>101 Main St S, Sauk Centre, MN, 56378</v>
      </c>
    </row>
    <row r="3483" spans="1:13" ht="15.6" hidden="1" x14ac:dyDescent="0.3">
      <c r="A3483" s="1" t="s">
        <v>10435</v>
      </c>
      <c r="B3483" s="1"/>
      <c r="C3483" s="1"/>
      <c r="D3483" s="1"/>
      <c r="E3483" s="1"/>
      <c r="F3483" s="1"/>
      <c r="G3483" s="1" t="s">
        <v>8</v>
      </c>
      <c r="H3483" s="2">
        <v>163</v>
      </c>
      <c r="I3483" s="1" t="s">
        <v>10436</v>
      </c>
      <c r="J3483" s="1" t="s">
        <v>10437</v>
      </c>
      <c r="K3483" s="1" t="s">
        <v>554</v>
      </c>
      <c r="L3483" s="1" t="s">
        <v>10438</v>
      </c>
      <c r="M3483" s="6" t="str">
        <f>_xlfn.CONCAT(Table1[[#This Row],[Billing Street]], ", ", Table1[[#This Row],[Billing City]], ", ", Table1[[#This Row],[Billing State/Province]], ", ", Table1[[#This Row],[Billing Zip/Postal Code]])</f>
        <v>117 N. Broadway, Sterling, KS, 67759</v>
      </c>
    </row>
    <row r="3484" spans="1:13" ht="15.6" hidden="1" x14ac:dyDescent="0.3">
      <c r="A3484" s="1" t="s">
        <v>10439</v>
      </c>
      <c r="B3484" s="1"/>
      <c r="C3484" s="1"/>
      <c r="D3484" s="1"/>
      <c r="E3484" s="1"/>
      <c r="F3484" s="1"/>
      <c r="G3484" s="1" t="s">
        <v>8</v>
      </c>
      <c r="H3484" s="2">
        <v>608</v>
      </c>
      <c r="I3484" s="1" t="s">
        <v>10440</v>
      </c>
      <c r="J3484" s="1" t="s">
        <v>6527</v>
      </c>
      <c r="K3484" s="1" t="s">
        <v>128</v>
      </c>
      <c r="L3484" s="1" t="s">
        <v>10441</v>
      </c>
      <c r="M3484" s="6" t="str">
        <f>_xlfn.CONCAT(Table1[[#This Row],[Billing Street]], ", ", Table1[[#This Row],[Billing City]], ", ", Table1[[#This Row],[Billing State/Province]], ", ", Table1[[#This Row],[Billing Zip/Postal Code]])</f>
        <v>6839 Power Ln SW, Alexandria, MN, 56308</v>
      </c>
    </row>
    <row r="3485" spans="1:13" ht="15.6" hidden="1" x14ac:dyDescent="0.3">
      <c r="A3485" s="1" t="s">
        <v>10442</v>
      </c>
      <c r="B3485" s="1"/>
      <c r="C3485" s="1"/>
      <c r="D3485" s="1"/>
      <c r="E3485" s="1"/>
      <c r="F3485" s="1"/>
      <c r="G3485" s="1" t="s">
        <v>8</v>
      </c>
      <c r="H3485" s="2">
        <v>816</v>
      </c>
      <c r="I3485" s="1" t="s">
        <v>10443</v>
      </c>
      <c r="J3485" s="1" t="s">
        <v>10444</v>
      </c>
      <c r="K3485" s="1" t="s">
        <v>128</v>
      </c>
      <c r="L3485" s="1" t="s">
        <v>10445</v>
      </c>
      <c r="M3485" s="6" t="str">
        <f>_xlfn.CONCAT(Table1[[#This Row],[Billing Street]], ", ", Table1[[#This Row],[Billing City]], ", ", Table1[[#This Row],[Billing State/Province]], ", ", Table1[[#This Row],[Billing Zip/Postal Code]])</f>
        <v>1107 3rd St NE, Roseau, MN, 56751</v>
      </c>
    </row>
    <row r="3486" spans="1:13" ht="15.6" hidden="1" x14ac:dyDescent="0.3">
      <c r="A3486" s="1" t="s">
        <v>10446</v>
      </c>
      <c r="B3486" s="1"/>
      <c r="C3486" s="1"/>
      <c r="D3486" s="1"/>
      <c r="E3486" s="1"/>
      <c r="F3486" s="1"/>
      <c r="G3486" s="1" t="s">
        <v>8</v>
      </c>
      <c r="H3486" s="2">
        <v>301</v>
      </c>
      <c r="I3486" s="1" t="s">
        <v>10447</v>
      </c>
      <c r="J3486" s="1" t="s">
        <v>2166</v>
      </c>
      <c r="K3486" s="1" t="s">
        <v>554</v>
      </c>
      <c r="L3486" s="1" t="s">
        <v>2167</v>
      </c>
      <c r="M3486" s="6" t="str">
        <f>_xlfn.CONCAT(Table1[[#This Row],[Billing Street]], ", ", Table1[[#This Row],[Billing City]], ", ", Table1[[#This Row],[Billing State/Province]], ", ", Table1[[#This Row],[Billing Zip/Postal Code]])</f>
        <v>301 E. Washington Street, Norton, KS, 67654</v>
      </c>
    </row>
    <row r="3487" spans="1:13" ht="15.6" hidden="1" x14ac:dyDescent="0.3">
      <c r="A3487" s="1" t="s">
        <v>10448</v>
      </c>
      <c r="B3487" s="1"/>
      <c r="C3487" s="1"/>
      <c r="D3487" s="1"/>
      <c r="E3487" s="1"/>
      <c r="F3487" s="1"/>
      <c r="G3487" s="1" t="s">
        <v>8</v>
      </c>
      <c r="H3487" s="2">
        <v>519</v>
      </c>
      <c r="I3487" s="1" t="s">
        <v>10449</v>
      </c>
      <c r="J3487" s="1" t="s">
        <v>10450</v>
      </c>
      <c r="K3487" s="1" t="s">
        <v>128</v>
      </c>
      <c r="L3487" s="1" t="s">
        <v>10451</v>
      </c>
      <c r="M3487" s="6" t="str">
        <f>_xlfn.CONCAT(Table1[[#This Row],[Billing Street]], ", ", Table1[[#This Row],[Billing City]], ", ", Table1[[#This Row],[Billing State/Province]], ", ", Table1[[#This Row],[Billing Zip/Postal Code]])</f>
        <v>333 S Washington St, Redwood Falls, MN, 56283</v>
      </c>
    </row>
    <row r="3488" spans="1:13" ht="15.6" hidden="1" x14ac:dyDescent="0.3">
      <c r="A3488" s="1" t="s">
        <v>10452</v>
      </c>
      <c r="B3488" s="1"/>
      <c r="C3488" s="1"/>
      <c r="D3488" s="1"/>
      <c r="E3488" s="1"/>
      <c r="F3488" s="1"/>
      <c r="G3488" s="1" t="s">
        <v>8</v>
      </c>
      <c r="H3488" s="2">
        <v>406</v>
      </c>
      <c r="I3488" s="1" t="s">
        <v>13</v>
      </c>
      <c r="J3488" s="1" t="s">
        <v>13</v>
      </c>
      <c r="K3488" s="1" t="s">
        <v>21</v>
      </c>
      <c r="L3488" s="1" t="s">
        <v>10453</v>
      </c>
      <c r="M3488" s="6" t="str">
        <f>_xlfn.CONCAT(Table1[[#This Row],[Billing Street]], ", ", Table1[[#This Row],[Billing City]], ", ", Table1[[#This Row],[Billing State/Province]], ", ", Table1[[#This Row],[Billing Zip/Postal Code]])</f>
        <v>, , IA, 50525</v>
      </c>
    </row>
    <row r="3489" spans="1:13" ht="15.6" hidden="1" x14ac:dyDescent="0.3">
      <c r="A3489" s="1" t="s">
        <v>10454</v>
      </c>
      <c r="B3489" s="1"/>
      <c r="C3489" s="1"/>
      <c r="D3489" s="1"/>
      <c r="E3489" s="1"/>
      <c r="F3489" s="1"/>
      <c r="G3489" s="1" t="s">
        <v>8</v>
      </c>
      <c r="H3489" s="2">
        <v>517</v>
      </c>
      <c r="I3489" s="1" t="s">
        <v>10455</v>
      </c>
      <c r="J3489" s="1" t="s">
        <v>10456</v>
      </c>
      <c r="K3489" s="1" t="s">
        <v>128</v>
      </c>
      <c r="L3489" s="1" t="s">
        <v>10457</v>
      </c>
      <c r="M3489" s="6" t="str">
        <f>_xlfn.CONCAT(Table1[[#This Row],[Billing Street]], ", ", Table1[[#This Row],[Billing City]], ", ", Table1[[#This Row],[Billing State/Province]], ", ", Table1[[#This Row],[Billing Zip/Postal Code]])</f>
        <v>1775 Lake Shady Ave S, Oronoco, MN, 55960</v>
      </c>
    </row>
    <row r="3490" spans="1:13" ht="15.6" hidden="1" x14ac:dyDescent="0.3">
      <c r="A3490" s="1" t="s">
        <v>10458</v>
      </c>
      <c r="B3490" s="1"/>
      <c r="C3490" s="1"/>
      <c r="D3490" s="1"/>
      <c r="E3490" s="1"/>
      <c r="F3490" s="1"/>
      <c r="G3490" s="1" t="s">
        <v>8</v>
      </c>
      <c r="H3490" s="2">
        <v>568</v>
      </c>
      <c r="I3490" s="1" t="s">
        <v>10459</v>
      </c>
      <c r="J3490" s="1" t="s">
        <v>2354</v>
      </c>
      <c r="K3490" s="1" t="s">
        <v>128</v>
      </c>
      <c r="L3490" s="1" t="s">
        <v>10460</v>
      </c>
      <c r="M3490" s="6" t="str">
        <f>_xlfn.CONCAT(Table1[[#This Row],[Billing Street]], ", ", Table1[[#This Row],[Billing City]], ", ", Table1[[#This Row],[Billing State/Province]], ", ", Table1[[#This Row],[Billing Zip/Postal Code]])</f>
        <v>2303 1st St N, St Paul, MN, 55109</v>
      </c>
    </row>
    <row r="3491" spans="1:13" ht="15.6" hidden="1" x14ac:dyDescent="0.3">
      <c r="A3491" s="1" t="s">
        <v>10461</v>
      </c>
      <c r="B3491" s="1"/>
      <c r="C3491" s="1"/>
      <c r="D3491" s="1"/>
      <c r="E3491" s="1"/>
      <c r="F3491" s="1"/>
      <c r="G3491" s="1" t="s">
        <v>8</v>
      </c>
      <c r="H3491" s="2">
        <v>601</v>
      </c>
      <c r="I3491" s="1" t="s">
        <v>10462</v>
      </c>
      <c r="J3491" s="1" t="s">
        <v>10463</v>
      </c>
      <c r="K3491" s="1" t="s">
        <v>128</v>
      </c>
      <c r="L3491" s="1" t="s">
        <v>10464</v>
      </c>
      <c r="M3491" s="6" t="str">
        <f>_xlfn.CONCAT(Table1[[#This Row],[Billing Street]], ", ", Table1[[#This Row],[Billing City]], ", ", Table1[[#This Row],[Billing State/Province]], ", ", Table1[[#This Row],[Billing Zip/Postal Code]])</f>
        <v>6388 Maple St, North Branch, MN, 55056</v>
      </c>
    </row>
    <row r="3492" spans="1:13" ht="15.6" hidden="1" x14ac:dyDescent="0.3">
      <c r="A3492" s="1" t="s">
        <v>10465</v>
      </c>
      <c r="B3492" s="1"/>
      <c r="C3492" s="1"/>
      <c r="D3492" s="1"/>
      <c r="E3492" s="1"/>
      <c r="F3492" s="1"/>
      <c r="G3492" s="1" t="s">
        <v>8</v>
      </c>
      <c r="H3492" s="2">
        <v>754</v>
      </c>
      <c r="I3492" s="1" t="s">
        <v>10466</v>
      </c>
      <c r="J3492" s="1" t="s">
        <v>9256</v>
      </c>
      <c r="K3492" s="1" t="s">
        <v>198</v>
      </c>
      <c r="L3492" s="1" t="s">
        <v>10467</v>
      </c>
      <c r="M3492" s="6" t="str">
        <f>_xlfn.CONCAT(Table1[[#This Row],[Billing Street]], ", ", Table1[[#This Row],[Billing City]], ", ", Table1[[#This Row],[Billing State/Province]], ", ", Table1[[#This Row],[Billing Zip/Postal Code]])</f>
        <v>4000 32nd Ave S, Grand Forks, NE, 58201</v>
      </c>
    </row>
    <row r="3493" spans="1:13" ht="15.6" hidden="1" x14ac:dyDescent="0.3">
      <c r="A3493" s="1" t="s">
        <v>10468</v>
      </c>
      <c r="B3493" s="1"/>
      <c r="C3493" s="1"/>
      <c r="D3493" s="1"/>
      <c r="E3493" s="1"/>
      <c r="F3493" s="1"/>
      <c r="G3493" s="1" t="s">
        <v>8</v>
      </c>
      <c r="H3493" s="2">
        <v>622</v>
      </c>
      <c r="I3493" s="1" t="s">
        <v>10469</v>
      </c>
      <c r="J3493" s="1" t="s">
        <v>10470</v>
      </c>
      <c r="K3493" s="1" t="s">
        <v>128</v>
      </c>
      <c r="L3493" s="1" t="s">
        <v>10471</v>
      </c>
      <c r="M3493" s="6" t="str">
        <f>_xlfn.CONCAT(Table1[[#This Row],[Billing Street]], ", ", Table1[[#This Row],[Billing City]], ", ", Table1[[#This Row],[Billing State/Province]], ", ", Table1[[#This Row],[Billing Zip/Postal Code]])</f>
        <v>101 S Lake St, Mora, MN, 55051</v>
      </c>
    </row>
    <row r="3494" spans="1:13" ht="15.6" hidden="1" x14ac:dyDescent="0.3">
      <c r="A3494" s="1" t="s">
        <v>10472</v>
      </c>
      <c r="B3494" s="1"/>
      <c r="C3494" s="1"/>
      <c r="D3494" s="1"/>
      <c r="E3494" s="1"/>
      <c r="F3494" s="1"/>
      <c r="G3494" s="1" t="s">
        <v>8</v>
      </c>
      <c r="H3494" s="2">
        <v>712</v>
      </c>
      <c r="I3494" s="1" t="s">
        <v>10473</v>
      </c>
      <c r="J3494" s="1" t="s">
        <v>10474</v>
      </c>
      <c r="K3494" s="1" t="s">
        <v>3735</v>
      </c>
      <c r="L3494" s="1" t="s">
        <v>10475</v>
      </c>
      <c r="M3494" s="6" t="str">
        <f>_xlfn.CONCAT(Table1[[#This Row],[Billing Street]], ", ", Table1[[#This Row],[Billing City]], ", ", Table1[[#This Row],[Billing State/Province]], ", ", Table1[[#This Row],[Billing Zip/Postal Code]])</f>
        <v>202 6th Ave W, Flasher, ND, 58535</v>
      </c>
    </row>
    <row r="3495" spans="1:13" ht="15.6" hidden="1" x14ac:dyDescent="0.3">
      <c r="A3495" s="1" t="s">
        <v>10476</v>
      </c>
      <c r="B3495" s="1"/>
      <c r="C3495" s="1"/>
      <c r="D3495" s="1"/>
      <c r="E3495" s="1"/>
      <c r="F3495" s="1"/>
      <c r="G3495" s="1" t="s">
        <v>8</v>
      </c>
      <c r="H3495" s="2">
        <v>682</v>
      </c>
      <c r="I3495" s="1" t="s">
        <v>10477</v>
      </c>
      <c r="J3495" s="1" t="s">
        <v>10478</v>
      </c>
      <c r="K3495" s="1" t="s">
        <v>128</v>
      </c>
      <c r="L3495" s="1" t="s">
        <v>10479</v>
      </c>
      <c r="M3495" s="6" t="str">
        <f>_xlfn.CONCAT(Table1[[#This Row],[Billing Street]], ", ", Table1[[#This Row],[Billing City]], ", ", Table1[[#This Row],[Billing State/Province]], ", ", Table1[[#This Row],[Billing Zip/Postal Code]])</f>
        <v>500 Center Ave, Moorhead, MN, 56560</v>
      </c>
    </row>
    <row r="3496" spans="1:13" ht="15.6" hidden="1" x14ac:dyDescent="0.3">
      <c r="A3496" s="1" t="s">
        <v>10480</v>
      </c>
      <c r="B3496" s="1"/>
      <c r="C3496" s="1"/>
      <c r="D3496" s="1"/>
      <c r="E3496" s="1"/>
      <c r="F3496" s="1"/>
      <c r="G3496" s="1" t="s">
        <v>8</v>
      </c>
      <c r="H3496" s="2">
        <v>753</v>
      </c>
      <c r="I3496" s="1" t="s">
        <v>10481</v>
      </c>
      <c r="J3496" s="1" t="s">
        <v>9256</v>
      </c>
      <c r="K3496" s="1" t="s">
        <v>3735</v>
      </c>
      <c r="L3496" s="1" t="s">
        <v>10467</v>
      </c>
      <c r="M3496" s="6" t="str">
        <f>_xlfn.CONCAT(Table1[[#This Row],[Billing Street]], ", ", Table1[[#This Row],[Billing City]], ", ", Table1[[#This Row],[Billing State/Province]], ", ", Table1[[#This Row],[Billing Zip/Postal Code]])</f>
        <v>5301 32nd Ave S, Grand Forks, ND, 58201</v>
      </c>
    </row>
    <row r="3497" spans="1:13" ht="15.6" hidden="1" x14ac:dyDescent="0.3">
      <c r="A3497" s="1" t="s">
        <v>10482</v>
      </c>
      <c r="B3497" s="1"/>
      <c r="C3497" s="1"/>
      <c r="D3497" s="1"/>
      <c r="E3497" s="1"/>
      <c r="F3497" s="1"/>
      <c r="G3497" s="1" t="s">
        <v>8</v>
      </c>
      <c r="H3497" s="2">
        <v>319</v>
      </c>
      <c r="I3497" s="1" t="s">
        <v>10483</v>
      </c>
      <c r="J3497" s="1" t="s">
        <v>10484</v>
      </c>
      <c r="K3497" s="1" t="s">
        <v>554</v>
      </c>
      <c r="L3497" s="1" t="s">
        <v>10485</v>
      </c>
      <c r="M3497" s="6" t="str">
        <f>_xlfn.CONCAT(Table1[[#This Row],[Billing Street]], ", ", Table1[[#This Row],[Billing City]], ", ", Table1[[#This Row],[Billing State/Province]], ", ", Table1[[#This Row],[Billing Zip/Postal Code]])</f>
        <v>209 Hudson Ave, Oakley, KS, 67748</v>
      </c>
    </row>
    <row r="3498" spans="1:13" ht="15.6" hidden="1" x14ac:dyDescent="0.3">
      <c r="A3498" s="1" t="s">
        <v>10486</v>
      </c>
      <c r="B3498" s="1"/>
      <c r="C3498" s="1"/>
      <c r="D3498" s="1"/>
      <c r="E3498" s="1"/>
      <c r="F3498" s="1"/>
      <c r="G3498" s="1" t="s">
        <v>8</v>
      </c>
      <c r="H3498" s="2">
        <v>664</v>
      </c>
      <c r="I3498" s="1" t="s">
        <v>10487</v>
      </c>
      <c r="J3498" s="1" t="s">
        <v>10488</v>
      </c>
      <c r="K3498" s="1" t="s">
        <v>128</v>
      </c>
      <c r="L3498" s="1" t="s">
        <v>10489</v>
      </c>
      <c r="M3498" s="6" t="str">
        <f>_xlfn.CONCAT(Table1[[#This Row],[Billing Street]], ", ", Table1[[#This Row],[Billing City]], ", ", Table1[[#This Row],[Billing State/Province]], ", ", Table1[[#This Row],[Billing Zip/Postal Code]])</f>
        <v>36559 US-169, Aitkin, MN, 56431</v>
      </c>
    </row>
    <row r="3499" spans="1:13" ht="15.6" hidden="1" x14ac:dyDescent="0.3">
      <c r="A3499" s="1" t="s">
        <v>10490</v>
      </c>
      <c r="B3499" s="1"/>
      <c r="C3499" s="1"/>
      <c r="D3499" s="1"/>
      <c r="E3499" s="1"/>
      <c r="F3499" s="1"/>
      <c r="G3499" s="1" t="s">
        <v>8</v>
      </c>
      <c r="H3499" s="2">
        <v>562</v>
      </c>
      <c r="I3499" s="1" t="s">
        <v>10491</v>
      </c>
      <c r="J3499" s="1" t="s">
        <v>10492</v>
      </c>
      <c r="K3499" s="1" t="s">
        <v>128</v>
      </c>
      <c r="L3499" s="1" t="s">
        <v>10493</v>
      </c>
      <c r="M3499" s="6" t="str">
        <f>_xlfn.CONCAT(Table1[[#This Row],[Billing Street]], ", ", Table1[[#This Row],[Billing City]], ", ", Table1[[#This Row],[Billing State/Province]], ", ", Table1[[#This Row],[Billing Zip/Postal Code]])</f>
        <v>1725 US-12, Litchfield, MN, 55355</v>
      </c>
    </row>
    <row r="3500" spans="1:13" ht="15.6" hidden="1" x14ac:dyDescent="0.3">
      <c r="A3500" s="1" t="s">
        <v>10494</v>
      </c>
      <c r="B3500" s="1"/>
      <c r="C3500" s="1"/>
      <c r="D3500" s="1"/>
      <c r="E3500" s="1"/>
      <c r="F3500" s="1"/>
      <c r="G3500" s="1" t="s">
        <v>8</v>
      </c>
      <c r="H3500" s="2">
        <v>540</v>
      </c>
      <c r="I3500" s="1" t="s">
        <v>10495</v>
      </c>
      <c r="J3500" s="1" t="s">
        <v>10496</v>
      </c>
      <c r="K3500" s="1" t="s">
        <v>128</v>
      </c>
      <c r="L3500" s="1" t="s">
        <v>10497</v>
      </c>
      <c r="M3500" s="6" t="str">
        <f>_xlfn.CONCAT(Table1[[#This Row],[Billing Street]], ", ", Table1[[#This Row],[Billing City]], ", ", Table1[[#This Row],[Billing State/Province]], ", ", Table1[[#This Row],[Billing Zip/Postal Code]])</f>
        <v>3515 11th St E, Glencoe, MN, 55336</v>
      </c>
    </row>
    <row r="3501" spans="1:13" ht="15.6" hidden="1" x14ac:dyDescent="0.3">
      <c r="A3501" s="1" t="s">
        <v>10498</v>
      </c>
      <c r="B3501" s="1"/>
      <c r="C3501" s="1"/>
      <c r="D3501" s="1"/>
      <c r="E3501" s="1"/>
      <c r="F3501" s="1"/>
      <c r="G3501" s="1" t="s">
        <v>8</v>
      </c>
      <c r="H3501" s="2">
        <v>512</v>
      </c>
      <c r="I3501" s="1" t="s">
        <v>10499</v>
      </c>
      <c r="J3501" s="1" t="s">
        <v>1325</v>
      </c>
      <c r="K3501" s="1" t="s">
        <v>128</v>
      </c>
      <c r="L3501" s="1" t="s">
        <v>10500</v>
      </c>
      <c r="M3501" s="6" t="str">
        <f>_xlfn.CONCAT(Table1[[#This Row],[Billing Street]], ", ", Table1[[#This Row],[Billing City]], ", ", Table1[[#This Row],[Billing State/Province]], ", ", Table1[[#This Row],[Billing Zip/Postal Code]])</f>
        <v>113 S 4th St, Marshall, MN, 56258</v>
      </c>
    </row>
    <row r="3502" spans="1:13" ht="15.6" hidden="1" x14ac:dyDescent="0.3">
      <c r="A3502" s="1" t="s">
        <v>10501</v>
      </c>
      <c r="B3502" s="1"/>
      <c r="C3502" s="1"/>
      <c r="D3502" s="1"/>
      <c r="E3502" s="1"/>
      <c r="F3502" s="1"/>
      <c r="G3502" s="1" t="s">
        <v>8</v>
      </c>
      <c r="H3502" s="2">
        <v>446</v>
      </c>
      <c r="I3502" s="1" t="s">
        <v>10502</v>
      </c>
      <c r="J3502" s="1" t="s">
        <v>10503</v>
      </c>
      <c r="K3502" s="1" t="s">
        <v>21</v>
      </c>
      <c r="L3502" s="1" t="s">
        <v>10504</v>
      </c>
      <c r="M3502" s="6" t="str">
        <f>_xlfn.CONCAT(Table1[[#This Row],[Billing Street]], ", ", Table1[[#This Row],[Billing City]], ", ", Table1[[#This Row],[Billing State/Province]], ", ", Table1[[#This Row],[Billing Zip/Postal Code]])</f>
        <v>1020 Broadway St, Larchwood, IA, 51241</v>
      </c>
    </row>
    <row r="3503" spans="1:13" ht="15.6" hidden="1" x14ac:dyDescent="0.3">
      <c r="A3503" s="1" t="s">
        <v>10505</v>
      </c>
      <c r="B3503" s="1"/>
      <c r="C3503" s="1"/>
      <c r="D3503" s="1"/>
      <c r="E3503" s="1"/>
      <c r="F3503" s="1"/>
      <c r="G3503" s="1" t="s">
        <v>8</v>
      </c>
      <c r="H3503" s="2">
        <v>680</v>
      </c>
      <c r="I3503" s="1" t="s">
        <v>10506</v>
      </c>
      <c r="J3503" s="1" t="s">
        <v>10507</v>
      </c>
      <c r="K3503" s="1" t="s">
        <v>3735</v>
      </c>
      <c r="L3503" s="1" t="s">
        <v>10508</v>
      </c>
      <c r="M3503" s="6" t="str">
        <f>_xlfn.CONCAT(Table1[[#This Row],[Billing Street]], ", ", Table1[[#This Row],[Billing City]], ", ", Table1[[#This Row],[Billing State/Province]], ", ", Table1[[#This Row],[Billing Zip/Postal Code]])</f>
        <v>107 S Broadway St, Linton, ND, 58552</v>
      </c>
    </row>
    <row r="3504" spans="1:13" ht="15.6" hidden="1" x14ac:dyDescent="0.3">
      <c r="A3504" s="1" t="s">
        <v>10509</v>
      </c>
      <c r="B3504" s="1"/>
      <c r="C3504" s="1"/>
      <c r="D3504" s="1"/>
      <c r="E3504" s="1"/>
      <c r="F3504" s="1"/>
      <c r="G3504" s="1" t="s">
        <v>8</v>
      </c>
      <c r="H3504" s="2">
        <v>54</v>
      </c>
      <c r="I3504" s="1" t="s">
        <v>10510</v>
      </c>
      <c r="J3504" s="1" t="s">
        <v>7487</v>
      </c>
      <c r="K3504" s="1" t="s">
        <v>554</v>
      </c>
      <c r="L3504" s="1" t="s">
        <v>10511</v>
      </c>
      <c r="M3504" s="6" t="str">
        <f>_xlfn.CONCAT(Table1[[#This Row],[Billing Street]], ", ", Table1[[#This Row],[Billing City]], ", ", Table1[[#This Row],[Billing State/Province]], ", ", Table1[[#This Row],[Billing Zip/Postal Code]])</f>
        <v>313 E Antelope, Girard, KS, 66743</v>
      </c>
    </row>
    <row r="3505" spans="1:13" ht="15.6" hidden="1" x14ac:dyDescent="0.3">
      <c r="A3505" s="1" t="s">
        <v>10512</v>
      </c>
      <c r="B3505" s="1"/>
      <c r="C3505" s="1"/>
      <c r="D3505" s="1"/>
      <c r="E3505" s="1"/>
      <c r="F3505" s="1"/>
      <c r="G3505" s="1" t="s">
        <v>8</v>
      </c>
      <c r="H3505" s="2">
        <v>731</v>
      </c>
      <c r="I3505" s="1" t="s">
        <v>10513</v>
      </c>
      <c r="J3505" s="1" t="s">
        <v>10514</v>
      </c>
      <c r="K3505" s="1" t="s">
        <v>128</v>
      </c>
      <c r="L3505" s="1" t="s">
        <v>10515</v>
      </c>
      <c r="M3505" s="6" t="str">
        <f>_xlfn.CONCAT(Table1[[#This Row],[Billing Street]], ", ", Table1[[#This Row],[Billing City]], ", ", Table1[[#This Row],[Billing State/Province]], ", ", Table1[[#This Row],[Billing Zip/Postal Code]])</f>
        <v>1902 6th Ave E, Hibbing, MN, 55746</v>
      </c>
    </row>
    <row r="3506" spans="1:13" ht="15.6" hidden="1" x14ac:dyDescent="0.3">
      <c r="A3506" s="1" t="s">
        <v>10516</v>
      </c>
      <c r="B3506" s="1"/>
      <c r="C3506" s="1"/>
      <c r="D3506" s="1"/>
      <c r="E3506" s="1"/>
      <c r="F3506" s="1"/>
      <c r="G3506" s="1" t="s">
        <v>8</v>
      </c>
      <c r="H3506" s="2">
        <v>792</v>
      </c>
      <c r="I3506" s="1" t="s">
        <v>10517</v>
      </c>
      <c r="J3506" s="1" t="s">
        <v>1753</v>
      </c>
      <c r="K3506" s="1" t="s">
        <v>3735</v>
      </c>
      <c r="L3506" s="1" t="s">
        <v>10518</v>
      </c>
      <c r="M3506" s="6" t="str">
        <f>_xlfn.CONCAT(Table1[[#This Row],[Billing Street]], ", ", Table1[[#This Row],[Billing City]], ", ", Table1[[#This Row],[Billing State/Province]], ", ", Table1[[#This Row],[Billing Zip/Postal Code]])</f>
        <v>5 East 4th Street, Grafton, ND, 58237</v>
      </c>
    </row>
    <row r="3507" spans="1:13" ht="15.6" hidden="1" x14ac:dyDescent="0.3">
      <c r="A3507" s="1" t="s">
        <v>10519</v>
      </c>
      <c r="B3507" s="1"/>
      <c r="C3507" s="1"/>
      <c r="D3507" s="1"/>
      <c r="E3507" s="1"/>
      <c r="F3507" s="1"/>
      <c r="G3507" s="1" t="s">
        <v>8</v>
      </c>
      <c r="H3507" s="2">
        <v>540</v>
      </c>
      <c r="I3507" s="1" t="s">
        <v>10520</v>
      </c>
      <c r="J3507" s="1" t="s">
        <v>10496</v>
      </c>
      <c r="K3507" s="1" t="s">
        <v>128</v>
      </c>
      <c r="L3507" s="1" t="s">
        <v>10497</v>
      </c>
      <c r="M3507" s="6" t="str">
        <f>_xlfn.CONCAT(Table1[[#This Row],[Billing Street]], ", ", Table1[[#This Row],[Billing City]], ", ", Table1[[#This Row],[Billing State/Province]], ", ", Table1[[#This Row],[Billing Zip/Postal Code]])</f>
        <v>305 11th St E, Glencoe, MN, 55336</v>
      </c>
    </row>
    <row r="3508" spans="1:13" ht="15.6" hidden="1" x14ac:dyDescent="0.3">
      <c r="A3508" s="1" t="s">
        <v>10521</v>
      </c>
      <c r="B3508" s="1"/>
      <c r="C3508" s="1"/>
      <c r="D3508" s="1"/>
      <c r="E3508" s="1"/>
      <c r="F3508" s="1"/>
      <c r="G3508" s="1" t="s">
        <v>8</v>
      </c>
      <c r="H3508" s="2">
        <v>427</v>
      </c>
      <c r="I3508" s="1" t="s">
        <v>10522</v>
      </c>
      <c r="J3508" s="1" t="s">
        <v>8839</v>
      </c>
      <c r="K3508" s="1" t="s">
        <v>21</v>
      </c>
      <c r="L3508" s="1" t="s">
        <v>10523</v>
      </c>
      <c r="M3508" s="6" t="str">
        <f>_xlfn.CONCAT(Table1[[#This Row],[Billing Street]], ", ", Table1[[#This Row],[Billing City]], ", ", Table1[[#This Row],[Billing State/Province]], ", ", Table1[[#This Row],[Billing Zip/Postal Code]])</f>
        <v>500 S 5th St, DeWitt, IA, 52742</v>
      </c>
    </row>
    <row r="3509" spans="1:13" ht="15.6" hidden="1" x14ac:dyDescent="0.3">
      <c r="A3509" s="1" t="s">
        <v>10524</v>
      </c>
      <c r="B3509" s="1"/>
      <c r="C3509" s="1"/>
      <c r="D3509" s="1"/>
      <c r="E3509" s="1"/>
      <c r="F3509" s="1"/>
      <c r="G3509" s="1" t="s">
        <v>8</v>
      </c>
      <c r="H3509" s="2">
        <v>578</v>
      </c>
      <c r="I3509" s="1" t="s">
        <v>10525</v>
      </c>
      <c r="J3509" s="1" t="s">
        <v>10526</v>
      </c>
      <c r="K3509" s="1" t="s">
        <v>128</v>
      </c>
      <c r="L3509" s="1" t="s">
        <v>10527</v>
      </c>
      <c r="M3509" s="6" t="str">
        <f>_xlfn.CONCAT(Table1[[#This Row],[Billing Street]], ", ", Table1[[#This Row],[Billing City]], ", ", Table1[[#This Row],[Billing State/Province]], ", ", Table1[[#This Row],[Billing Zip/Postal Code]])</f>
        <v>14601 Ramsey Blvd NW, Ramsey, MN, 55303</v>
      </c>
    </row>
    <row r="3510" spans="1:13" ht="15.6" hidden="1" x14ac:dyDescent="0.3">
      <c r="A3510" s="1" t="s">
        <v>10528</v>
      </c>
      <c r="B3510" s="1"/>
      <c r="C3510" s="1"/>
      <c r="D3510" s="1"/>
      <c r="E3510" s="1"/>
      <c r="F3510" s="1"/>
      <c r="G3510" s="1" t="s">
        <v>8</v>
      </c>
      <c r="H3510" s="2">
        <v>313</v>
      </c>
      <c r="I3510" s="1" t="s">
        <v>10529</v>
      </c>
      <c r="J3510" s="1" t="s">
        <v>10530</v>
      </c>
      <c r="K3510" s="1" t="s">
        <v>21</v>
      </c>
      <c r="L3510" s="1" t="s">
        <v>10531</v>
      </c>
      <c r="M3510" s="6" t="str">
        <f>_xlfn.CONCAT(Table1[[#This Row],[Billing Street]], ", ", Table1[[#This Row],[Billing City]], ", ", Table1[[#This Row],[Billing State/Province]], ", ", Table1[[#This Row],[Billing Zip/Postal Code]])</f>
        <v>2090 Hwy 5 South, Albia, IA, 52531</v>
      </c>
    </row>
    <row r="3511" spans="1:13" ht="15.6" hidden="1" x14ac:dyDescent="0.3">
      <c r="A3511" s="1" t="s">
        <v>10532</v>
      </c>
      <c r="B3511" s="1"/>
      <c r="C3511" s="1"/>
      <c r="D3511" s="1"/>
      <c r="E3511" s="1"/>
      <c r="F3511" s="1"/>
      <c r="G3511" s="1" t="s">
        <v>8</v>
      </c>
      <c r="H3511" s="2">
        <v>122</v>
      </c>
      <c r="I3511" s="1" t="s">
        <v>3086</v>
      </c>
      <c r="J3511" s="1" t="s">
        <v>10533</v>
      </c>
      <c r="K3511" s="1" t="s">
        <v>554</v>
      </c>
      <c r="L3511" s="1" t="s">
        <v>3088</v>
      </c>
      <c r="M3511" s="6" t="str">
        <f>_xlfn.CONCAT(Table1[[#This Row],[Billing Street]], ", ", Table1[[#This Row],[Billing City]], ", ", Table1[[#This Row],[Billing State/Province]], ", ", Table1[[#This Row],[Billing Zip/Postal Code]])</f>
        <v>609 High Street, Baldwin City, KS, 66006</v>
      </c>
    </row>
    <row r="3512" spans="1:13" ht="15.6" hidden="1" x14ac:dyDescent="0.3">
      <c r="A3512" s="1" t="s">
        <v>10534</v>
      </c>
      <c r="B3512" s="1"/>
      <c r="C3512" s="1"/>
      <c r="D3512" s="1"/>
      <c r="E3512" s="1"/>
      <c r="F3512" s="1"/>
      <c r="G3512" s="1" t="s">
        <v>8</v>
      </c>
      <c r="H3512" s="2">
        <v>434</v>
      </c>
      <c r="I3512" s="1" t="s">
        <v>10535</v>
      </c>
      <c r="J3512" s="1" t="s">
        <v>10536</v>
      </c>
      <c r="K3512" s="1" t="s">
        <v>21</v>
      </c>
      <c r="L3512" s="1" t="s">
        <v>10537</v>
      </c>
      <c r="M3512" s="6" t="str">
        <f>_xlfn.CONCAT(Table1[[#This Row],[Billing Street]], ", ", Table1[[#This Row],[Billing City]], ", ", Table1[[#This Row],[Billing State/Province]], ", ", Table1[[#This Row],[Billing Zip/Postal Code]])</f>
        <v>111 SE 1st St, Hopkinton, IA, 52237</v>
      </c>
    </row>
    <row r="3513" spans="1:13" ht="15.6" hidden="1" x14ac:dyDescent="0.3">
      <c r="A3513" s="1" t="s">
        <v>10538</v>
      </c>
      <c r="B3513" s="1"/>
      <c r="C3513" s="1"/>
      <c r="D3513" s="1"/>
      <c r="E3513" s="1"/>
      <c r="F3513" s="1"/>
      <c r="G3513" s="1" t="s">
        <v>8</v>
      </c>
      <c r="H3513" s="2">
        <v>6528</v>
      </c>
      <c r="I3513" s="1" t="s">
        <v>13</v>
      </c>
      <c r="J3513" s="1" t="s">
        <v>9546</v>
      </c>
      <c r="K3513" s="1" t="s">
        <v>554</v>
      </c>
      <c r="L3513" s="1" t="s">
        <v>13</v>
      </c>
      <c r="M3513" s="6" t="str">
        <f>_xlfn.CONCAT(Table1[[#This Row],[Billing Street]], ", ", Table1[[#This Row],[Billing City]], ", ", Table1[[#This Row],[Billing State/Province]], ", ", Table1[[#This Row],[Billing Zip/Postal Code]])</f>
        <v xml:space="preserve">, Anthony, KS, </v>
      </c>
    </row>
    <row r="3514" spans="1:13" ht="15.6" hidden="1" x14ac:dyDescent="0.3">
      <c r="A3514" s="1" t="s">
        <v>10539</v>
      </c>
      <c r="B3514" s="1"/>
      <c r="C3514" s="1"/>
      <c r="D3514" s="1"/>
      <c r="E3514" s="1"/>
      <c r="F3514" s="1"/>
      <c r="G3514" s="1" t="s">
        <v>43</v>
      </c>
      <c r="H3514" s="2">
        <v>35</v>
      </c>
      <c r="I3514" s="1" t="s">
        <v>10540</v>
      </c>
      <c r="J3514" s="1" t="s">
        <v>69</v>
      </c>
      <c r="K3514" s="1" t="s">
        <v>45</v>
      </c>
      <c r="L3514" s="1" t="s">
        <v>10541</v>
      </c>
      <c r="M3514" s="6" t="str">
        <f>_xlfn.CONCAT(Table1[[#This Row],[Billing Street]], ", ", Table1[[#This Row],[Billing City]], ", ", Table1[[#This Row],[Billing State/Province]], ", ", Table1[[#This Row],[Billing Zip/Postal Code]])</f>
        <v>1776 Constitution Avenue, Louisville, OH, 44641</v>
      </c>
    </row>
    <row r="3515" spans="1:13" ht="15.6" hidden="1" x14ac:dyDescent="0.3">
      <c r="A3515" s="1" t="s">
        <v>10542</v>
      </c>
      <c r="B3515" s="1"/>
      <c r="C3515" s="1"/>
      <c r="D3515" s="1"/>
      <c r="E3515" s="1"/>
      <c r="F3515" s="1"/>
      <c r="G3515" s="1" t="s">
        <v>43</v>
      </c>
      <c r="H3515" s="2">
        <v>312</v>
      </c>
      <c r="I3515" s="1" t="s">
        <v>10543</v>
      </c>
      <c r="J3515" s="1" t="s">
        <v>9200</v>
      </c>
      <c r="K3515" s="1" t="s">
        <v>237</v>
      </c>
      <c r="L3515" s="1" t="s">
        <v>10544</v>
      </c>
      <c r="M3515" s="6" t="str">
        <f>_xlfn.CONCAT(Table1[[#This Row],[Billing Street]], ", ", Table1[[#This Row],[Billing City]], ", ", Table1[[#This Row],[Billing State/Province]], ", ", Table1[[#This Row],[Billing Zip/Postal Code]])</f>
        <v>2501 165th Street, Hammond, IN, 46320</v>
      </c>
    </row>
    <row r="3516" spans="1:13" ht="15.6" hidden="1" x14ac:dyDescent="0.3">
      <c r="A3516" s="1" t="s">
        <v>10545</v>
      </c>
      <c r="B3516" s="1"/>
      <c r="C3516" s="1"/>
      <c r="D3516" s="1"/>
      <c r="E3516" s="1"/>
      <c r="F3516" s="1"/>
      <c r="G3516" s="1" t="s">
        <v>43</v>
      </c>
      <c r="H3516" s="2">
        <v>389</v>
      </c>
      <c r="I3516" s="1" t="s">
        <v>10546</v>
      </c>
      <c r="J3516" s="1" t="s">
        <v>2644</v>
      </c>
      <c r="K3516" s="1" t="s">
        <v>152</v>
      </c>
      <c r="L3516" s="1" t="s">
        <v>10547</v>
      </c>
      <c r="M3516" s="6" t="str">
        <f>_xlfn.CONCAT(Table1[[#This Row],[Billing Street]], ", ", Table1[[#This Row],[Billing City]], ", ", Table1[[#This Row],[Billing State/Province]], ", ", Table1[[#This Row],[Billing Zip/Postal Code]])</f>
        <v>8543 N State Hwy 130 S, Newton, IL, 62448</v>
      </c>
    </row>
    <row r="3517" spans="1:13" ht="15.6" hidden="1" x14ac:dyDescent="0.3">
      <c r="A3517" s="1" t="s">
        <v>10548</v>
      </c>
      <c r="B3517" s="1"/>
      <c r="C3517" s="1"/>
      <c r="D3517" s="1"/>
      <c r="E3517" s="1"/>
      <c r="F3517" s="1"/>
      <c r="G3517" s="1" t="s">
        <v>8</v>
      </c>
      <c r="H3517" s="2">
        <v>507</v>
      </c>
      <c r="I3517" s="1" t="s">
        <v>10549</v>
      </c>
      <c r="J3517" s="1" t="s">
        <v>10550</v>
      </c>
      <c r="K3517" s="1" t="s">
        <v>51</v>
      </c>
      <c r="L3517" s="1" t="s">
        <v>10551</v>
      </c>
      <c r="M3517" s="6" t="str">
        <f>_xlfn.CONCAT(Table1[[#This Row],[Billing Street]], ", ", Table1[[#This Row],[Billing City]], ", ", Table1[[#This Row],[Billing State/Province]], ", ", Table1[[#This Row],[Billing Zip/Postal Code]])</f>
        <v>900 Georgia Avenue, Deer Park, TX, 77536</v>
      </c>
    </row>
    <row r="3518" spans="1:13" ht="15.6" hidden="1" x14ac:dyDescent="0.3">
      <c r="A3518" s="1" t="s">
        <v>10552</v>
      </c>
      <c r="B3518" s="1"/>
      <c r="C3518" s="1"/>
      <c r="D3518" s="1"/>
      <c r="E3518" s="1"/>
      <c r="F3518" s="1"/>
      <c r="G3518" s="1" t="s">
        <v>8</v>
      </c>
      <c r="H3518" s="2">
        <v>86</v>
      </c>
      <c r="I3518" s="1" t="s">
        <v>10553</v>
      </c>
      <c r="J3518" s="1" t="s">
        <v>5318</v>
      </c>
      <c r="K3518" s="1" t="s">
        <v>554</v>
      </c>
      <c r="L3518" s="1" t="s">
        <v>10554</v>
      </c>
      <c r="M3518" s="6" t="str">
        <f>_xlfn.CONCAT(Table1[[#This Row],[Billing Street]], ", ", Table1[[#This Row],[Billing City]], ", ", Table1[[#This Row],[Billing State/Province]], ", ", Table1[[#This Row],[Billing Zip/Postal Code]])</f>
        <v>621 E 12th (P.O. Box 489), Augusta, KS, 67010</v>
      </c>
    </row>
    <row r="3519" spans="1:13" ht="15.6" hidden="1" x14ac:dyDescent="0.3">
      <c r="A3519" s="1" t="s">
        <v>10555</v>
      </c>
      <c r="B3519" s="1"/>
      <c r="C3519" s="1"/>
      <c r="D3519" s="1"/>
      <c r="E3519" s="1"/>
      <c r="F3519" s="1"/>
      <c r="G3519" s="1" t="s">
        <v>43</v>
      </c>
      <c r="H3519" s="2">
        <v>11163</v>
      </c>
      <c r="I3519" s="1" t="s">
        <v>10556</v>
      </c>
      <c r="J3519" s="1" t="s">
        <v>3508</v>
      </c>
      <c r="K3519" s="1" t="s">
        <v>3104</v>
      </c>
      <c r="L3519" s="1" t="s">
        <v>10557</v>
      </c>
      <c r="M3519" s="6" t="str">
        <f>_xlfn.CONCAT(Table1[[#This Row],[Billing Street]], ", ", Table1[[#This Row],[Billing City]], ", ", Table1[[#This Row],[Billing State/Province]], ", ", Table1[[#This Row],[Billing Zip/Postal Code]])</f>
        <v>1353 Boston Post Rd, Clinton, ct, 6413</v>
      </c>
    </row>
    <row r="3520" spans="1:13" ht="15.6" hidden="1" x14ac:dyDescent="0.3">
      <c r="A3520" s="1" t="s">
        <v>10558</v>
      </c>
      <c r="B3520" s="1"/>
      <c r="C3520" s="1"/>
      <c r="D3520" s="1"/>
      <c r="E3520" s="1"/>
      <c r="F3520" s="1"/>
      <c r="G3520" s="1" t="s">
        <v>205</v>
      </c>
      <c r="H3520" s="2">
        <v>14</v>
      </c>
      <c r="I3520" s="1" t="s">
        <v>10559</v>
      </c>
      <c r="J3520" s="1" t="s">
        <v>478</v>
      </c>
      <c r="K3520" s="1" t="s">
        <v>479</v>
      </c>
      <c r="L3520" s="1" t="s">
        <v>10560</v>
      </c>
      <c r="M3520" s="6" t="str">
        <f>_xlfn.CONCAT(Table1[[#This Row],[Billing Street]], ", ", Table1[[#This Row],[Billing City]], ", ", Table1[[#This Row],[Billing State/Province]], ", ", Table1[[#This Row],[Billing Zip/Postal Code]])</f>
        <v>20 East Main Street, Ste 400, Mesa, AZ, 85211</v>
      </c>
    </row>
    <row r="3521" spans="1:13" ht="15.6" hidden="1" x14ac:dyDescent="0.3">
      <c r="A3521" s="1" t="s">
        <v>10561</v>
      </c>
      <c r="B3521" s="1"/>
      <c r="C3521" s="1"/>
      <c r="D3521" s="1"/>
      <c r="E3521" s="1"/>
      <c r="F3521" s="1"/>
      <c r="G3521" s="1" t="s">
        <v>205</v>
      </c>
      <c r="H3521" s="2">
        <v>333</v>
      </c>
      <c r="I3521" s="1" t="s">
        <v>10562</v>
      </c>
      <c r="J3521" s="1" t="s">
        <v>348</v>
      </c>
      <c r="K3521" s="1" t="s">
        <v>266</v>
      </c>
      <c r="L3521" s="1" t="s">
        <v>10563</v>
      </c>
      <c r="M3521" s="6" t="str">
        <f>_xlfn.CONCAT(Table1[[#This Row],[Billing Street]], ", ", Table1[[#This Row],[Billing City]], ", ", Table1[[#This Row],[Billing State/Province]], ", ", Table1[[#This Row],[Billing Zip/Postal Code]])</f>
        <v>120 Madeira Dr. NE, Suite 100-EW, Albuquerque, NM, 87108</v>
      </c>
    </row>
    <row r="3522" spans="1:13" ht="15.6" hidden="1" x14ac:dyDescent="0.3">
      <c r="A3522" s="1" t="s">
        <v>10564</v>
      </c>
      <c r="B3522" s="1"/>
      <c r="C3522" s="1"/>
      <c r="D3522" s="1"/>
      <c r="E3522" s="1"/>
      <c r="F3522" s="1"/>
      <c r="G3522" s="1" t="s">
        <v>8</v>
      </c>
      <c r="H3522" s="2">
        <v>145</v>
      </c>
      <c r="I3522" s="1" t="s">
        <v>10565</v>
      </c>
      <c r="J3522" s="1" t="s">
        <v>10566</v>
      </c>
      <c r="K3522" s="1" t="s">
        <v>554</v>
      </c>
      <c r="L3522" s="1" t="s">
        <v>10567</v>
      </c>
      <c r="M3522" s="6" t="str">
        <f>_xlfn.CONCAT(Table1[[#This Row],[Billing Street]], ", ", Table1[[#This Row],[Billing City]], ", ", Table1[[#This Row],[Billing State/Province]], ", ", Table1[[#This Row],[Billing Zip/Postal Code]])</f>
        <v>412 W Sutherland, McPherson, KS, 67460</v>
      </c>
    </row>
    <row r="3523" spans="1:13" ht="15.6" hidden="1" x14ac:dyDescent="0.3">
      <c r="A3523" s="1" t="s">
        <v>10568</v>
      </c>
      <c r="B3523" s="1"/>
      <c r="C3523" s="1"/>
      <c r="D3523" s="1"/>
      <c r="E3523" s="1"/>
      <c r="F3523" s="1"/>
      <c r="G3523" s="1" t="s">
        <v>205</v>
      </c>
      <c r="H3523" s="2">
        <v>71</v>
      </c>
      <c r="I3523" s="1" t="s">
        <v>10569</v>
      </c>
      <c r="J3523" s="1" t="s">
        <v>10570</v>
      </c>
      <c r="K3523" s="1" t="s">
        <v>479</v>
      </c>
      <c r="L3523" s="1" t="s">
        <v>10571</v>
      </c>
      <c r="M3523" s="6" t="str">
        <f>_xlfn.CONCAT(Table1[[#This Row],[Billing Street]], ", ", Table1[[#This Row],[Billing City]], ", ", Table1[[#This Row],[Billing State/Province]], ", ", Table1[[#This Row],[Billing Zip/Postal Code]])</f>
        <v>4242 US-60,, Claypool, AZ, 85532</v>
      </c>
    </row>
    <row r="3524" spans="1:13" ht="15.6" hidden="1" x14ac:dyDescent="0.3">
      <c r="A3524" s="1" t="s">
        <v>10572</v>
      </c>
      <c r="B3524" s="1"/>
      <c r="C3524" s="1"/>
      <c r="D3524" s="1"/>
      <c r="E3524" s="1"/>
      <c r="F3524" s="1"/>
      <c r="G3524" s="1" t="s">
        <v>8</v>
      </c>
      <c r="H3524" s="2">
        <v>133</v>
      </c>
      <c r="I3524" s="1" t="s">
        <v>10573</v>
      </c>
      <c r="J3524" s="1" t="s">
        <v>3966</v>
      </c>
      <c r="K3524" s="1" t="s">
        <v>554</v>
      </c>
      <c r="L3524" s="1" t="s">
        <v>3967</v>
      </c>
      <c r="M3524" s="6" t="str">
        <f>_xlfn.CONCAT(Table1[[#This Row],[Billing Street]], ", ", Table1[[#This Row],[Billing City]], ", ", Table1[[#This Row],[Billing State/Province]], ", ", Table1[[#This Row],[Billing Zip/Postal Code]])</f>
        <v>120 S Kansas Ave, Haven, KS, 67543</v>
      </c>
    </row>
    <row r="3525" spans="1:13" ht="15.6" hidden="1" x14ac:dyDescent="0.3">
      <c r="A3525" s="1" t="s">
        <v>10574</v>
      </c>
      <c r="B3525" s="1"/>
      <c r="C3525" s="1"/>
      <c r="D3525" s="1"/>
      <c r="E3525" s="1"/>
      <c r="F3525" s="1"/>
      <c r="G3525" s="1" t="s">
        <v>8</v>
      </c>
      <c r="H3525" s="2">
        <v>156</v>
      </c>
      <c r="I3525" s="1" t="s">
        <v>10575</v>
      </c>
      <c r="J3525" s="1" t="s">
        <v>8347</v>
      </c>
      <c r="K3525" s="1" t="s">
        <v>554</v>
      </c>
      <c r="L3525" s="1" t="s">
        <v>10576</v>
      </c>
      <c r="M3525" s="6" t="str">
        <f>_xlfn.CONCAT(Table1[[#This Row],[Billing Street]], ", ", Table1[[#This Row],[Billing City]], ", ", Table1[[#This Row],[Billing State/Province]], ", ", Table1[[#This Row],[Billing Zip/Postal Code]])</f>
        <v>419 N Broadway St, Abilene, KS, 67410</v>
      </c>
    </row>
    <row r="3526" spans="1:13" ht="15.6" hidden="1" x14ac:dyDescent="0.3">
      <c r="A3526" s="1" t="s">
        <v>10577</v>
      </c>
      <c r="B3526" s="1"/>
      <c r="C3526" s="1"/>
      <c r="D3526" s="1"/>
      <c r="E3526" s="1"/>
      <c r="F3526" s="1"/>
      <c r="G3526" s="1" t="s">
        <v>43</v>
      </c>
      <c r="H3526" s="2">
        <v>5776</v>
      </c>
      <c r="I3526" s="1" t="s">
        <v>10578</v>
      </c>
      <c r="J3526" s="1" t="s">
        <v>10579</v>
      </c>
      <c r="K3526" s="1" t="s">
        <v>781</v>
      </c>
      <c r="L3526" s="1" t="s">
        <v>10580</v>
      </c>
      <c r="M3526" s="6" t="str">
        <f>_xlfn.CONCAT(Table1[[#This Row],[Billing Street]], ", ", Table1[[#This Row],[Billing City]], ", ", Table1[[#This Row],[Billing State/Province]], ", ", Table1[[#This Row],[Billing Zip/Postal Code]])</f>
        <v>105 Independence way, coatsville, pa, 19320</v>
      </c>
    </row>
    <row r="3527" spans="1:13" ht="15.6" hidden="1" x14ac:dyDescent="0.3">
      <c r="A3527" s="1" t="s">
        <v>10581</v>
      </c>
      <c r="B3527" s="1"/>
      <c r="C3527" s="1"/>
      <c r="D3527" s="1"/>
      <c r="E3527" s="1"/>
      <c r="F3527" s="1"/>
      <c r="G3527" s="1" t="s">
        <v>98</v>
      </c>
      <c r="H3527" s="2">
        <v>335</v>
      </c>
      <c r="I3527" s="1" t="s">
        <v>10582</v>
      </c>
      <c r="J3527" s="1" t="s">
        <v>10583</v>
      </c>
      <c r="K3527" s="1" t="s">
        <v>1178</v>
      </c>
      <c r="L3527" s="1" t="s">
        <v>10584</v>
      </c>
      <c r="M3527" s="6" t="str">
        <f>_xlfn.CONCAT(Table1[[#This Row],[Billing Street]], ", ", Table1[[#This Row],[Billing City]], ", ", Table1[[#This Row],[Billing State/Province]], ", ", Table1[[#This Row],[Billing Zip/Postal Code]])</f>
        <v>10404 Chapel Hill Road Suite 102, Morrisville, NC, 27580</v>
      </c>
    </row>
    <row r="3528" spans="1:13" ht="15.6" hidden="1" x14ac:dyDescent="0.3">
      <c r="A3528" s="1" t="s">
        <v>10585</v>
      </c>
      <c r="B3528" s="1"/>
      <c r="C3528" s="1"/>
      <c r="D3528" s="1"/>
      <c r="E3528" s="1"/>
      <c r="F3528" s="1"/>
      <c r="G3528" s="1" t="s">
        <v>8</v>
      </c>
      <c r="H3528" s="2">
        <v>168</v>
      </c>
      <c r="I3528" s="1" t="s">
        <v>10586</v>
      </c>
      <c r="J3528" s="1" t="s">
        <v>3110</v>
      </c>
      <c r="K3528" s="1" t="s">
        <v>554</v>
      </c>
      <c r="L3528" s="1" t="s">
        <v>3111</v>
      </c>
      <c r="M3528" s="6" t="str">
        <f>_xlfn.CONCAT(Table1[[#This Row],[Billing Street]], ", ", Table1[[#This Row],[Billing City]], ", ", Table1[[#This Row],[Billing State/Province]], ", ", Table1[[#This Row],[Billing Zip/Postal Code]])</f>
        <v>1112 N Halstead Rd, Salina, KS, 67401</v>
      </c>
    </row>
    <row r="3529" spans="1:13" ht="15.6" hidden="1" x14ac:dyDescent="0.3">
      <c r="A3529" s="1" t="s">
        <v>10587</v>
      </c>
      <c r="B3529" s="1"/>
      <c r="C3529" s="1"/>
      <c r="D3529" s="1"/>
      <c r="E3529" s="1"/>
      <c r="F3529" s="1"/>
      <c r="G3529" s="1" t="s">
        <v>43</v>
      </c>
      <c r="H3529" s="2">
        <v>98</v>
      </c>
      <c r="I3529" s="1" t="s">
        <v>10588</v>
      </c>
      <c r="J3529" s="1" t="s">
        <v>10589</v>
      </c>
      <c r="K3529" s="1" t="s">
        <v>241</v>
      </c>
      <c r="L3529" s="1" t="s">
        <v>1723</v>
      </c>
      <c r="M3529" s="6" t="str">
        <f>_xlfn.CONCAT(Table1[[#This Row],[Billing Street]], ", ", Table1[[#This Row],[Billing City]], ", ", Table1[[#This Row],[Billing State/Province]], ", ", Table1[[#This Row],[Billing Zip/Postal Code]])</f>
        <v>1000 CONSOL Energy Drive, Canonsburg, PA, 15317</v>
      </c>
    </row>
    <row r="3530" spans="1:13" ht="15.6" hidden="1" x14ac:dyDescent="0.3">
      <c r="A3530" s="1" t="s">
        <v>10590</v>
      </c>
      <c r="B3530" s="1"/>
      <c r="C3530" s="1"/>
      <c r="D3530" s="1"/>
      <c r="E3530" s="1"/>
      <c r="F3530" s="1"/>
      <c r="G3530" s="1" t="s">
        <v>8</v>
      </c>
      <c r="H3530" s="2">
        <v>175</v>
      </c>
      <c r="I3530" s="1" t="s">
        <v>10591</v>
      </c>
      <c r="J3530" s="1" t="s">
        <v>10592</v>
      </c>
      <c r="K3530" s="1" t="s">
        <v>11</v>
      </c>
      <c r="L3530" s="1" t="s">
        <v>10593</v>
      </c>
      <c r="M3530" s="6" t="str">
        <f>_xlfn.CONCAT(Table1[[#This Row],[Billing Street]], ", ", Table1[[#This Row],[Billing City]], ", ", Table1[[#This Row],[Billing State/Province]], ", ", Table1[[#This Row],[Billing Zip/Postal Code]])</f>
        <v>1000 West Highway 92, Kearney, MO, 64060</v>
      </c>
    </row>
    <row r="3531" spans="1:13" ht="15.6" x14ac:dyDescent="0.3">
      <c r="A3531" s="1" t="s">
        <v>10594</v>
      </c>
      <c r="B3531" s="1"/>
      <c r="C3531" s="1"/>
      <c r="D3531" s="1"/>
      <c r="E3531" s="1"/>
      <c r="F3531" s="1"/>
      <c r="G3531" s="1" t="s">
        <v>24</v>
      </c>
      <c r="H3531" s="2">
        <v>156</v>
      </c>
      <c r="I3531" s="1" t="s">
        <v>10595</v>
      </c>
      <c r="J3531" s="1" t="s">
        <v>5670</v>
      </c>
      <c r="K3531" s="1" t="s">
        <v>26</v>
      </c>
      <c r="L3531" s="1" t="s">
        <v>10596</v>
      </c>
      <c r="M3531" s="6" t="str">
        <f>_xlfn.CONCAT(Table1[[#This Row],[Billing Street]], ", ", Table1[[#This Row],[Billing City]], ", ", Table1[[#This Row],[Billing State/Province]], ", ", Table1[[#This Row],[Billing Zip/Postal Code]])</f>
        <v>7821 AL-25, Greensboro, AL, 36744</v>
      </c>
    </row>
    <row r="3532" spans="1:13" ht="15.6" hidden="1" x14ac:dyDescent="0.3">
      <c r="A3532" s="1" t="s">
        <v>10597</v>
      </c>
      <c r="B3532" s="1"/>
      <c r="C3532" s="1"/>
      <c r="D3532" s="1"/>
      <c r="E3532" s="1"/>
      <c r="F3532" s="1"/>
      <c r="G3532" s="1" t="s">
        <v>98</v>
      </c>
      <c r="H3532" s="2">
        <v>447</v>
      </c>
      <c r="I3532" s="1" t="s">
        <v>10598</v>
      </c>
      <c r="J3532" s="1" t="s">
        <v>10599</v>
      </c>
      <c r="K3532" s="1" t="s">
        <v>1178</v>
      </c>
      <c r="L3532" s="1" t="s">
        <v>10600</v>
      </c>
      <c r="M3532" s="6" t="str">
        <f>_xlfn.CONCAT(Table1[[#This Row],[Billing Street]], ", ", Table1[[#This Row],[Billing City]], ", ", Table1[[#This Row],[Billing State/Province]], ", ", Table1[[#This Row],[Billing Zip/Postal Code]])</f>
        <v>315 E Main St, Belhaven, NC, 27810</v>
      </c>
    </row>
    <row r="3533" spans="1:13" ht="15.6" hidden="1" x14ac:dyDescent="0.3">
      <c r="A3533" s="1" t="s">
        <v>10601</v>
      </c>
      <c r="B3533" s="1"/>
      <c r="C3533" s="1"/>
      <c r="D3533" s="1"/>
      <c r="E3533" s="1"/>
      <c r="F3533" s="1"/>
      <c r="G3533" s="1" t="s">
        <v>8</v>
      </c>
      <c r="H3533" s="2">
        <v>544</v>
      </c>
      <c r="I3533" s="1" t="s">
        <v>10602</v>
      </c>
      <c r="J3533" s="1" t="s">
        <v>6100</v>
      </c>
      <c r="K3533" s="1" t="s">
        <v>51</v>
      </c>
      <c r="L3533" s="1" t="s">
        <v>10603</v>
      </c>
      <c r="M3533" s="6" t="str">
        <f>_xlfn.CONCAT(Table1[[#This Row],[Billing Street]], ", ", Table1[[#This Row],[Billing City]], ", ", Table1[[#This Row],[Billing State/Province]], ", ", Table1[[#This Row],[Billing Zip/Postal Code]])</f>
        <v>2900 Nacogdoches Rd, San Antonio, TX, 78217</v>
      </c>
    </row>
    <row r="3534" spans="1:13" ht="15.6" hidden="1" x14ac:dyDescent="0.3">
      <c r="A3534" s="1" t="s">
        <v>10604</v>
      </c>
      <c r="B3534" s="1"/>
      <c r="C3534" s="1"/>
      <c r="D3534" s="1"/>
      <c r="E3534" s="1"/>
      <c r="F3534" s="1"/>
      <c r="G3534" s="1" t="s">
        <v>98</v>
      </c>
      <c r="H3534" s="2">
        <v>331</v>
      </c>
      <c r="I3534" s="1" t="s">
        <v>10605</v>
      </c>
      <c r="J3534" s="1" t="s">
        <v>1177</v>
      </c>
      <c r="K3534" s="1" t="s">
        <v>1178</v>
      </c>
      <c r="L3534" s="1" t="s">
        <v>1179</v>
      </c>
      <c r="M3534" s="6" t="str">
        <f>_xlfn.CONCAT(Table1[[#This Row],[Billing Street]], ", ", Table1[[#This Row],[Billing City]], ", ", Table1[[#This Row],[Billing State/Province]], ", ", Table1[[#This Row],[Billing Zip/Postal Code]])</f>
        <v>105 Upchurch St, Apex, NC, 27502</v>
      </c>
    </row>
    <row r="3535" spans="1:13" ht="15.6" hidden="1" x14ac:dyDescent="0.3">
      <c r="A3535" s="1" t="s">
        <v>10606</v>
      </c>
      <c r="B3535" s="1"/>
      <c r="C3535" s="1"/>
      <c r="D3535" s="1"/>
      <c r="E3535" s="1"/>
      <c r="F3535" s="1"/>
      <c r="G3535" s="1" t="s">
        <v>98</v>
      </c>
      <c r="H3535" s="2">
        <v>445</v>
      </c>
      <c r="I3535" s="1" t="s">
        <v>10607</v>
      </c>
      <c r="J3535" s="1" t="s">
        <v>10608</v>
      </c>
      <c r="K3535" s="1" t="s">
        <v>1178</v>
      </c>
      <c r="L3535" s="1" t="s">
        <v>10609</v>
      </c>
      <c r="M3535" s="6" t="str">
        <f>_xlfn.CONCAT(Table1[[#This Row],[Billing Street]], ", ", Table1[[#This Row],[Billing City]], ", ", Table1[[#This Row],[Billing State/Province]], ", ", Table1[[#This Row],[Billing Zip/Postal Code]])</f>
        <v>25831 Hwy 264 E, Pantego, NC, 27860</v>
      </c>
    </row>
    <row r="3536" spans="1:13" ht="15.6" hidden="1" x14ac:dyDescent="0.3">
      <c r="A3536" s="1" t="s">
        <v>10610</v>
      </c>
      <c r="B3536" s="1"/>
      <c r="C3536" s="1"/>
      <c r="D3536" s="1"/>
      <c r="E3536" s="1"/>
      <c r="F3536" s="1"/>
      <c r="G3536" s="1" t="s">
        <v>98</v>
      </c>
      <c r="H3536" s="2">
        <v>363</v>
      </c>
      <c r="I3536" s="1" t="s">
        <v>10611</v>
      </c>
      <c r="J3536" s="1" t="s">
        <v>10612</v>
      </c>
      <c r="K3536" s="1" t="s">
        <v>1178</v>
      </c>
      <c r="L3536" s="1" t="s">
        <v>10613</v>
      </c>
      <c r="M3536" s="6" t="str">
        <f>_xlfn.CONCAT(Table1[[#This Row],[Billing Street]], ", ", Table1[[#This Row],[Billing City]], ", ", Table1[[#This Row],[Billing State/Province]], ", ", Table1[[#This Row],[Billing Zip/Postal Code]])</f>
        <v>1822 Hwy 53 West, Burgaw, NC, 28425</v>
      </c>
    </row>
    <row r="3537" spans="1:13" ht="15.6" hidden="1" x14ac:dyDescent="0.3">
      <c r="A3537" s="1" t="s">
        <v>10614</v>
      </c>
      <c r="B3537" s="1"/>
      <c r="C3537" s="1"/>
      <c r="D3537" s="1"/>
      <c r="E3537" s="1"/>
      <c r="F3537" s="1"/>
      <c r="G3537" s="1" t="s">
        <v>98</v>
      </c>
      <c r="H3537" s="2">
        <v>424</v>
      </c>
      <c r="I3537" s="1" t="s">
        <v>10615</v>
      </c>
      <c r="J3537" s="1" t="s">
        <v>4240</v>
      </c>
      <c r="K3537" s="1" t="s">
        <v>1178</v>
      </c>
      <c r="L3537" s="1" t="s">
        <v>10616</v>
      </c>
      <c r="M3537" s="6" t="str">
        <f>_xlfn.CONCAT(Table1[[#This Row],[Billing Street]], ", ", Table1[[#This Row],[Billing City]], ", ", Table1[[#This Row],[Billing State/Province]], ", ", Table1[[#This Row],[Billing Zip/Postal Code]])</f>
        <v>1300 Highway 24, Newport, NC, 28570</v>
      </c>
    </row>
    <row r="3538" spans="1:13" ht="15.6" x14ac:dyDescent="0.3">
      <c r="A3538" s="1" t="s">
        <v>10617</v>
      </c>
      <c r="B3538" s="1"/>
      <c r="C3538" s="1"/>
      <c r="D3538" s="1"/>
      <c r="E3538" s="1"/>
      <c r="F3538" s="1"/>
      <c r="G3538" s="1" t="s">
        <v>24</v>
      </c>
      <c r="H3538" s="2">
        <v>5988</v>
      </c>
      <c r="I3538" s="1" t="s">
        <v>13</v>
      </c>
      <c r="J3538" s="1" t="s">
        <v>372</v>
      </c>
      <c r="K3538" s="1" t="s">
        <v>10618</v>
      </c>
      <c r="L3538" s="1" t="s">
        <v>13</v>
      </c>
      <c r="M3538" s="6" t="str">
        <f>_xlfn.CONCAT(Table1[[#This Row],[Billing Street]], ", ", Table1[[#This Row],[Billing City]], ", ", Table1[[#This Row],[Billing State/Province]], ", ", Table1[[#This Row],[Billing Zip/Postal Code]])</f>
        <v xml:space="preserve">, Birmingham, Al, </v>
      </c>
    </row>
    <row r="3539" spans="1:13" ht="15.6" hidden="1" x14ac:dyDescent="0.3">
      <c r="A3539" s="1" t="s">
        <v>10619</v>
      </c>
      <c r="B3539" s="1"/>
      <c r="C3539" s="1"/>
      <c r="D3539" s="1"/>
      <c r="E3539" s="1"/>
      <c r="F3539" s="1"/>
      <c r="G3539" s="1" t="s">
        <v>8</v>
      </c>
      <c r="H3539" s="2">
        <v>275</v>
      </c>
      <c r="I3539" s="1" t="s">
        <v>10620</v>
      </c>
      <c r="J3539" s="1" t="s">
        <v>10621</v>
      </c>
      <c r="K3539" s="1" t="s">
        <v>51</v>
      </c>
      <c r="L3539" s="1" t="s">
        <v>10622</v>
      </c>
      <c r="M3539" s="6" t="str">
        <f>_xlfn.CONCAT(Table1[[#This Row],[Billing Street]], ", ", Table1[[#This Row],[Billing City]], ", ", Table1[[#This Row],[Billing State/Province]], ", ", Table1[[#This Row],[Billing Zip/Postal Code]])</f>
        <v>1722 Cooper Creed Road Bldg 10, Denton, TX, 76208</v>
      </c>
    </row>
    <row r="3540" spans="1:13" ht="15.6" hidden="1" x14ac:dyDescent="0.3">
      <c r="A3540" s="1" t="s">
        <v>10623</v>
      </c>
      <c r="B3540" s="1"/>
      <c r="C3540" s="1"/>
      <c r="D3540" s="1"/>
      <c r="E3540" s="1"/>
      <c r="F3540" s="1"/>
      <c r="G3540" s="1" t="s">
        <v>98</v>
      </c>
      <c r="H3540" s="2">
        <v>16</v>
      </c>
      <c r="I3540" s="1" t="s">
        <v>10624</v>
      </c>
      <c r="J3540" s="1" t="s">
        <v>10625</v>
      </c>
      <c r="K3540" s="1" t="s">
        <v>6248</v>
      </c>
      <c r="L3540" s="1" t="s">
        <v>10626</v>
      </c>
      <c r="M3540" s="6" t="str">
        <f>_xlfn.CONCAT(Table1[[#This Row],[Billing Street]], ", ", Table1[[#This Row],[Billing City]], ", ", Table1[[#This Row],[Billing State/Province]], ", ", Table1[[#This Row],[Billing Zip/Postal Code]])</f>
        <v>950 North Point Parkway, Alpharetta, ga, 30005</v>
      </c>
    </row>
    <row r="3541" spans="1:13" ht="15.6" hidden="1" x14ac:dyDescent="0.3">
      <c r="A3541" s="1" t="s">
        <v>10627</v>
      </c>
      <c r="B3541" s="1"/>
      <c r="C3541" s="1"/>
      <c r="D3541" s="1"/>
      <c r="E3541" s="1"/>
      <c r="F3541" s="1"/>
      <c r="G3541" s="1" t="s">
        <v>8</v>
      </c>
      <c r="H3541" s="2">
        <v>452</v>
      </c>
      <c r="I3541" s="1" t="s">
        <v>10628</v>
      </c>
      <c r="J3541" s="1" t="s">
        <v>8395</v>
      </c>
      <c r="K3541" s="1" t="s">
        <v>51</v>
      </c>
      <c r="L3541" s="1" t="s">
        <v>10629</v>
      </c>
      <c r="M3541" s="6" t="str">
        <f>_xlfn.CONCAT(Table1[[#This Row],[Billing Street]], ", ", Table1[[#This Row],[Billing City]], ", ", Table1[[#This Row],[Billing State/Province]], ", ", Table1[[#This Row],[Billing Zip/Postal Code]])</f>
        <v>812 South Margaret Ave, Kirbyville, TX, 75956</v>
      </c>
    </row>
    <row r="3542" spans="1:13" ht="15.6" x14ac:dyDescent="0.3">
      <c r="A3542" s="1" t="s">
        <v>10630</v>
      </c>
      <c r="B3542" s="1"/>
      <c r="C3542" s="1"/>
      <c r="D3542" s="1"/>
      <c r="E3542" s="1"/>
      <c r="F3542" s="1"/>
      <c r="G3542" s="1" t="s">
        <v>24</v>
      </c>
      <c r="H3542" s="2">
        <v>5988</v>
      </c>
      <c r="I3542" s="1" t="s">
        <v>10631</v>
      </c>
      <c r="J3542" s="1" t="s">
        <v>715</v>
      </c>
      <c r="K3542" s="1" t="s">
        <v>36</v>
      </c>
      <c r="L3542" s="1" t="s">
        <v>13</v>
      </c>
      <c r="M3542" s="6" t="str">
        <f>_xlfn.CONCAT(Table1[[#This Row],[Billing Street]], ", ", Table1[[#This Row],[Billing City]], ", ", Table1[[#This Row],[Billing State/Province]], ", ", Table1[[#This Row],[Billing Zip/Postal Code]])</f>
        <v xml:space="preserve">55 North Q St, Pensacola, FL, </v>
      </c>
    </row>
    <row r="3543" spans="1:13" ht="15.6" hidden="1" x14ac:dyDescent="0.3">
      <c r="A3543" s="1" t="s">
        <v>10632</v>
      </c>
      <c r="B3543" s="1"/>
      <c r="C3543" s="1"/>
      <c r="D3543" s="1"/>
      <c r="E3543" s="1"/>
      <c r="F3543" s="1"/>
      <c r="G3543" s="1" t="s">
        <v>8</v>
      </c>
      <c r="H3543" s="2">
        <v>153</v>
      </c>
      <c r="I3543" s="1" t="s">
        <v>10633</v>
      </c>
      <c r="J3543" s="1" t="s">
        <v>896</v>
      </c>
      <c r="K3543" s="1" t="s">
        <v>11</v>
      </c>
      <c r="L3543" s="1" t="s">
        <v>10634</v>
      </c>
      <c r="M3543" s="6" t="str">
        <f>_xlfn.CONCAT(Table1[[#This Row],[Billing Street]], ", ", Table1[[#This Row],[Billing City]], ", ", Table1[[#This Row],[Billing State/Province]], ", ", Table1[[#This Row],[Billing Zip/Postal Code]])</f>
        <v>1600 Genessee Street Suite 754, Kansas City, MO, 64102</v>
      </c>
    </row>
    <row r="3544" spans="1:13" ht="15.6" hidden="1" x14ac:dyDescent="0.3">
      <c r="A3544" s="1" t="s">
        <v>10635</v>
      </c>
      <c r="B3544" s="1"/>
      <c r="C3544" s="1"/>
      <c r="D3544" s="1"/>
      <c r="E3544" s="1"/>
      <c r="F3544" s="1"/>
      <c r="G3544" s="1" t="s">
        <v>8</v>
      </c>
      <c r="H3544" s="2">
        <v>512</v>
      </c>
      <c r="I3544" s="1" t="s">
        <v>10636</v>
      </c>
      <c r="J3544" s="1" t="s">
        <v>5074</v>
      </c>
      <c r="K3544" s="1" t="s">
        <v>1439</v>
      </c>
      <c r="L3544" s="1" t="s">
        <v>5075</v>
      </c>
      <c r="M3544" s="6" t="str">
        <f>_xlfn.CONCAT(Table1[[#This Row],[Billing Street]], ", ", Table1[[#This Row],[Billing City]], ", ", Table1[[#This Row],[Billing State/Province]], ", ", Table1[[#This Row],[Billing Zip/Postal Code]])</f>
        <v>9502 Bayport Blvd, Pasadena, Tx, 77507</v>
      </c>
    </row>
    <row r="3545" spans="1:13" ht="15.6" hidden="1" x14ac:dyDescent="0.3">
      <c r="A3545" s="1" t="s">
        <v>10637</v>
      </c>
      <c r="B3545" s="1"/>
      <c r="C3545" s="1"/>
      <c r="D3545" s="1"/>
      <c r="E3545" s="1"/>
      <c r="F3545" s="1"/>
      <c r="G3545" s="1" t="s">
        <v>98</v>
      </c>
      <c r="H3545" s="2">
        <v>208</v>
      </c>
      <c r="I3545" s="1" t="s">
        <v>10638</v>
      </c>
      <c r="J3545" s="1" t="s">
        <v>585</v>
      </c>
      <c r="K3545" s="1" t="s">
        <v>1135</v>
      </c>
      <c r="L3545" s="1" t="s">
        <v>4768</v>
      </c>
      <c r="M3545" s="6" t="str">
        <f>_xlfn.CONCAT(Table1[[#This Row],[Billing Street]], ", ", Table1[[#This Row],[Billing City]], ", ", Table1[[#This Row],[Billing State/Province]], ", ", Table1[[#This Row],[Billing Zip/Postal Code]])</f>
        <v>127 2nd Ave N, Franklin, TN, 37064</v>
      </c>
    </row>
    <row r="3546" spans="1:13" ht="15.6" hidden="1" x14ac:dyDescent="0.3">
      <c r="A3546" s="1" t="s">
        <v>10639</v>
      </c>
      <c r="B3546" s="1"/>
      <c r="C3546" s="1"/>
      <c r="D3546" s="1"/>
      <c r="E3546" s="1"/>
      <c r="F3546" s="1"/>
      <c r="G3546" s="1" t="s">
        <v>43</v>
      </c>
      <c r="H3546" s="2">
        <v>5776</v>
      </c>
      <c r="I3546" s="1" t="s">
        <v>10640</v>
      </c>
      <c r="J3546" s="1" t="s">
        <v>13</v>
      </c>
      <c r="K3546" s="1" t="s">
        <v>241</v>
      </c>
      <c r="L3546" s="1" t="s">
        <v>13</v>
      </c>
      <c r="M3546" s="6" t="str">
        <f>_xlfn.CONCAT(Table1[[#This Row],[Billing Street]], ", ", Table1[[#This Row],[Billing City]], ", ", Table1[[#This Row],[Billing State/Province]], ", ", Table1[[#This Row],[Billing Zip/Postal Code]])</f>
        <v xml:space="preserve">3 Bala Plaza, , PA, </v>
      </c>
    </row>
    <row r="3547" spans="1:13" ht="15.6" hidden="1" x14ac:dyDescent="0.3">
      <c r="A3547" s="1" t="s">
        <v>10641</v>
      </c>
      <c r="B3547" s="1"/>
      <c r="C3547" s="1"/>
      <c r="D3547" s="1"/>
      <c r="E3547" s="1"/>
      <c r="F3547" s="1"/>
      <c r="G3547" s="1" t="s">
        <v>43</v>
      </c>
      <c r="H3547" s="2">
        <v>278</v>
      </c>
      <c r="I3547" s="1" t="s">
        <v>10642</v>
      </c>
      <c r="J3547" s="1" t="s">
        <v>10643</v>
      </c>
      <c r="K3547" s="1" t="s">
        <v>1115</v>
      </c>
      <c r="L3547" s="1" t="s">
        <v>10644</v>
      </c>
      <c r="M3547" s="6" t="str">
        <f>_xlfn.CONCAT(Table1[[#This Row],[Billing Street]], ", ", Table1[[#This Row],[Billing City]], ", ", Table1[[#This Row],[Billing State/Province]], ", ", Table1[[#This Row],[Billing Zip/Postal Code]])</f>
        <v>8350 Broad Street Suite 2000, Tysons, VA, 22102</v>
      </c>
    </row>
    <row r="3548" spans="1:13" ht="15.6" x14ac:dyDescent="0.3">
      <c r="A3548" s="1" t="s">
        <v>10645</v>
      </c>
      <c r="B3548" s="1"/>
      <c r="C3548" s="1"/>
      <c r="D3548" s="1"/>
      <c r="E3548" s="1"/>
      <c r="F3548" s="1"/>
      <c r="G3548" s="1" t="s">
        <v>24</v>
      </c>
      <c r="H3548" s="2">
        <v>5988</v>
      </c>
      <c r="I3548" s="1" t="s">
        <v>10646</v>
      </c>
      <c r="J3548" s="1" t="s">
        <v>438</v>
      </c>
      <c r="K3548" s="1" t="s">
        <v>26</v>
      </c>
      <c r="L3548" s="1" t="s">
        <v>439</v>
      </c>
      <c r="M3548" s="6" t="str">
        <f>_xlfn.CONCAT(Table1[[#This Row],[Billing Street]], ", ", Table1[[#This Row],[Billing City]], ", ", Table1[[#This Row],[Billing State/Province]], ", ", Table1[[#This Row],[Billing Zip/Postal Code]])</f>
        <v>2201 University Blvd., Tuscaloosa, AL, 35401</v>
      </c>
    </row>
    <row r="3549" spans="1:13" ht="15.6" x14ac:dyDescent="0.3">
      <c r="A3549" s="1" t="s">
        <v>10647</v>
      </c>
      <c r="B3549" s="1"/>
      <c r="C3549" s="1"/>
      <c r="D3549" s="1"/>
      <c r="E3549" s="1"/>
      <c r="F3549" s="1"/>
      <c r="G3549" s="1" t="s">
        <v>24</v>
      </c>
      <c r="H3549" s="2">
        <v>115</v>
      </c>
      <c r="I3549" s="1" t="s">
        <v>10648</v>
      </c>
      <c r="J3549" s="1" t="s">
        <v>25</v>
      </c>
      <c r="K3549" s="1" t="s">
        <v>26</v>
      </c>
      <c r="L3549" s="1" t="s">
        <v>27</v>
      </c>
      <c r="M3549" s="6" t="str">
        <f>_xlfn.CONCAT(Table1[[#This Row],[Billing Street]], ", ", Table1[[#This Row],[Billing City]], ", ", Table1[[#This Row],[Billing State/Province]], ", ", Table1[[#This Row],[Billing Zip/Postal Code]])</f>
        <v>1001 Adams Ave, Montgomery, AL, 36104</v>
      </c>
    </row>
    <row r="3550" spans="1:13" ht="15.6" x14ac:dyDescent="0.3">
      <c r="A3550" s="1" t="s">
        <v>10649</v>
      </c>
      <c r="B3550" s="1"/>
      <c r="C3550" s="1"/>
      <c r="D3550" s="1"/>
      <c r="E3550" s="1"/>
      <c r="F3550" s="1"/>
      <c r="G3550" s="1" t="s">
        <v>24</v>
      </c>
      <c r="H3550" s="2">
        <v>71</v>
      </c>
      <c r="I3550" s="1" t="s">
        <v>9695</v>
      </c>
      <c r="J3550" s="1" t="s">
        <v>715</v>
      </c>
      <c r="K3550" s="1" t="s">
        <v>36</v>
      </c>
      <c r="L3550" s="1" t="s">
        <v>716</v>
      </c>
      <c r="M3550" s="6" t="str">
        <f>_xlfn.CONCAT(Table1[[#This Row],[Billing Street]], ", ", Table1[[#This Row],[Billing City]], ", ", Table1[[#This Row],[Billing State/Province]], ", ", Table1[[#This Row],[Billing Zip/Postal Code]])</f>
        <v>300 South Myrick Street, Pensacola, FL, 32505</v>
      </c>
    </row>
    <row r="3551" spans="1:13" ht="15.6" x14ac:dyDescent="0.3">
      <c r="A3551" s="1" t="s">
        <v>10650</v>
      </c>
      <c r="B3551" s="1"/>
      <c r="C3551" s="1"/>
      <c r="D3551" s="1"/>
      <c r="E3551" s="1"/>
      <c r="F3551" s="1"/>
      <c r="G3551" s="1" t="s">
        <v>24</v>
      </c>
      <c r="H3551" s="2">
        <v>152</v>
      </c>
      <c r="I3551" s="1" t="s">
        <v>10651</v>
      </c>
      <c r="J3551" s="1" t="s">
        <v>542</v>
      </c>
      <c r="K3551" s="1" t="s">
        <v>26</v>
      </c>
      <c r="L3551" s="1" t="s">
        <v>2045</v>
      </c>
      <c r="M3551" s="6" t="str">
        <f>_xlfn.CONCAT(Table1[[#This Row],[Billing Street]], ", ", Table1[[#This Row],[Billing City]], ", ", Table1[[#This Row],[Billing State/Province]], ", ", Table1[[#This Row],[Billing Zip/Postal Code]])</f>
        <v>1919 Radio Tower Road, Alexander City, AL, 35010</v>
      </c>
    </row>
    <row r="3552" spans="1:13" ht="15.6" hidden="1" x14ac:dyDescent="0.3">
      <c r="A3552" s="1" t="s">
        <v>2709</v>
      </c>
      <c r="B3552" s="1"/>
      <c r="C3552" s="1"/>
      <c r="D3552" s="1"/>
      <c r="E3552" s="1"/>
      <c r="F3552" s="1"/>
      <c r="G3552" s="1" t="s">
        <v>8</v>
      </c>
      <c r="H3552" s="2">
        <v>119</v>
      </c>
      <c r="I3552" s="1" t="s">
        <v>10652</v>
      </c>
      <c r="J3552" s="1" t="s">
        <v>2709</v>
      </c>
      <c r="K3552" s="1" t="s">
        <v>554</v>
      </c>
      <c r="L3552" s="1" t="s">
        <v>10653</v>
      </c>
      <c r="M3552" s="6" t="str">
        <f>_xlfn.CONCAT(Table1[[#This Row],[Billing Street]], ", ", Table1[[#This Row],[Billing City]], ", ", Table1[[#This Row],[Billing State/Province]], ", ", Table1[[#This Row],[Billing Zip/Postal Code]])</f>
        <v>208 E Santa Fe, Marion, KS, 66861</v>
      </c>
    </row>
    <row r="3553" spans="1:13" ht="15.6" hidden="1" x14ac:dyDescent="0.3">
      <c r="A3553" s="1" t="s">
        <v>10654</v>
      </c>
      <c r="B3553" s="1"/>
      <c r="C3553" s="1"/>
      <c r="D3553" s="1"/>
      <c r="E3553" s="1"/>
      <c r="F3553" s="1"/>
      <c r="G3553" s="1" t="s">
        <v>8</v>
      </c>
      <c r="H3553" s="2">
        <v>211</v>
      </c>
      <c r="I3553" s="1" t="s">
        <v>10655</v>
      </c>
      <c r="J3553" s="1" t="s">
        <v>10656</v>
      </c>
      <c r="K3553" s="1" t="s">
        <v>554</v>
      </c>
      <c r="L3553" s="1" t="s">
        <v>10657</v>
      </c>
      <c r="M3553" s="6" t="str">
        <f>_xlfn.CONCAT(Table1[[#This Row],[Billing Street]], ", ", Table1[[#This Row],[Billing City]], ", ", Table1[[#This Row],[Billing State/Province]], ", ", Table1[[#This Row],[Billing Zip/Postal Code]])</f>
        <v>201 S Main St, Lucas, KS, 67648</v>
      </c>
    </row>
    <row r="3554" spans="1:13" ht="15.6" hidden="1" x14ac:dyDescent="0.3">
      <c r="A3554" s="1" t="s">
        <v>10658</v>
      </c>
      <c r="B3554" s="1"/>
      <c r="C3554" s="1"/>
      <c r="D3554" s="1"/>
      <c r="E3554" s="1"/>
      <c r="F3554" s="1"/>
      <c r="G3554" s="1" t="s">
        <v>8</v>
      </c>
      <c r="H3554" s="2">
        <v>543</v>
      </c>
      <c r="I3554" s="1" t="s">
        <v>10659</v>
      </c>
      <c r="J3554" s="1" t="s">
        <v>6100</v>
      </c>
      <c r="K3554" s="1" t="s">
        <v>51</v>
      </c>
      <c r="L3554" s="1" t="s">
        <v>13</v>
      </c>
      <c r="M3554" s="6" t="str">
        <f>_xlfn.CONCAT(Table1[[#This Row],[Billing Street]], ", ", Table1[[#This Row],[Billing City]], ", ", Table1[[#This Row],[Billing State/Province]], ", ", Table1[[#This Row],[Billing Zip/Postal Code]])</f>
        <v xml:space="preserve">10830 Nacogdoches Road, San Antonio, TX, </v>
      </c>
    </row>
    <row r="3555" spans="1:13" ht="15.6" hidden="1" x14ac:dyDescent="0.3">
      <c r="A3555" s="1" t="s">
        <v>10660</v>
      </c>
      <c r="B3555" s="1"/>
      <c r="C3555" s="1"/>
      <c r="D3555" s="1"/>
      <c r="E3555" s="1"/>
      <c r="F3555" s="1"/>
      <c r="G3555" s="1" t="s">
        <v>8</v>
      </c>
      <c r="H3555" s="2">
        <v>285</v>
      </c>
      <c r="I3555" s="1" t="s">
        <v>10661</v>
      </c>
      <c r="J3555" s="1" t="s">
        <v>10662</v>
      </c>
      <c r="K3555" s="1" t="s">
        <v>51</v>
      </c>
      <c r="L3555" s="1" t="s">
        <v>10663</v>
      </c>
      <c r="M3555" s="6" t="str">
        <f>_xlfn.CONCAT(Table1[[#This Row],[Billing Street]], ", ", Table1[[#This Row],[Billing City]], ", ", Table1[[#This Row],[Billing State/Province]], ", ", Table1[[#This Row],[Billing Zip/Postal Code]])</f>
        <v>649 Franklin Street, Lewisville, TX, 75057</v>
      </c>
    </row>
    <row r="3556" spans="1:13" ht="15.6" hidden="1" x14ac:dyDescent="0.3">
      <c r="A3556" s="1" t="s">
        <v>10664</v>
      </c>
      <c r="B3556" s="1"/>
      <c r="C3556" s="1"/>
      <c r="D3556" s="1"/>
      <c r="E3556" s="1"/>
      <c r="F3556" s="1"/>
      <c r="G3556" s="1" t="s">
        <v>98</v>
      </c>
      <c r="H3556" s="2">
        <v>217</v>
      </c>
      <c r="I3556" s="1" t="s">
        <v>10665</v>
      </c>
      <c r="J3556" s="1" t="s">
        <v>10666</v>
      </c>
      <c r="K3556" s="1" t="s">
        <v>1178</v>
      </c>
      <c r="L3556" s="1" t="s">
        <v>10667</v>
      </c>
      <c r="M3556" s="6" t="str">
        <f>_xlfn.CONCAT(Table1[[#This Row],[Billing Street]], ", ", Table1[[#This Row],[Billing City]], ", ", Table1[[#This Row],[Billing State/Province]], ", ", Table1[[#This Row],[Billing Zip/Postal Code]])</f>
        <v>146 Faculty St, Boone, NC, 28607</v>
      </c>
    </row>
    <row r="3557" spans="1:13" ht="15.6" hidden="1" x14ac:dyDescent="0.3">
      <c r="A3557" s="1" t="s">
        <v>10668</v>
      </c>
      <c r="B3557" s="1"/>
      <c r="C3557" s="1"/>
      <c r="D3557" s="1"/>
      <c r="E3557" s="1"/>
      <c r="F3557" s="1"/>
      <c r="G3557" s="1" t="s">
        <v>43</v>
      </c>
      <c r="H3557" s="2">
        <v>340</v>
      </c>
      <c r="I3557" s="1" t="s">
        <v>10669</v>
      </c>
      <c r="J3557" s="1" t="s">
        <v>177</v>
      </c>
      <c r="K3557" s="1" t="s">
        <v>152</v>
      </c>
      <c r="L3557" s="1" t="s">
        <v>178</v>
      </c>
      <c r="M3557" s="6" t="str">
        <f>_xlfn.CONCAT(Table1[[#This Row],[Billing Street]], ", ", Table1[[#This Row],[Billing City]], ", ", Table1[[#This Row],[Billing State/Province]], ", ", Table1[[#This Row],[Billing Zip/Postal Code]])</f>
        <v>200 Seegers Avenue, Elk Grove Village, IL, 60007</v>
      </c>
    </row>
    <row r="3558" spans="1:13" ht="15.6" hidden="1" x14ac:dyDescent="0.3">
      <c r="A3558" s="1" t="s">
        <v>10670</v>
      </c>
      <c r="B3558" s="1"/>
      <c r="C3558" s="1"/>
      <c r="D3558" s="1"/>
      <c r="E3558" s="1"/>
      <c r="F3558" s="1"/>
      <c r="G3558" s="1" t="s">
        <v>43</v>
      </c>
      <c r="H3558" s="2">
        <v>285</v>
      </c>
      <c r="I3558" s="1" t="s">
        <v>10671</v>
      </c>
      <c r="J3558" s="1" t="s">
        <v>10672</v>
      </c>
      <c r="K3558" s="1" t="s">
        <v>237</v>
      </c>
      <c r="L3558" s="1" t="s">
        <v>10673</v>
      </c>
      <c r="M3558" s="6" t="str">
        <f>_xlfn.CONCAT(Table1[[#This Row],[Billing Street]], ", ", Table1[[#This Row],[Billing City]], ", ", Table1[[#This Row],[Billing State/Province]], ", ", Table1[[#This Row],[Billing Zip/Postal Code]])</f>
        <v>3155 E Sycamore Lane, Mooresville, IN, 46158</v>
      </c>
    </row>
    <row r="3559" spans="1:13" ht="15.6" x14ac:dyDescent="0.3">
      <c r="A3559" s="1" t="s">
        <v>10674</v>
      </c>
      <c r="B3559" s="1"/>
      <c r="C3559" s="1"/>
      <c r="D3559" s="1"/>
      <c r="E3559" s="1"/>
      <c r="F3559" s="1"/>
      <c r="G3559" s="1" t="s">
        <v>24</v>
      </c>
      <c r="H3559" s="2">
        <v>5988</v>
      </c>
      <c r="I3559" s="1" t="s">
        <v>10675</v>
      </c>
      <c r="J3559" s="1" t="s">
        <v>652</v>
      </c>
      <c r="K3559" s="1" t="s">
        <v>26</v>
      </c>
      <c r="L3559" s="1" t="s">
        <v>1732</v>
      </c>
      <c r="M3559" s="6" t="str">
        <f>_xlfn.CONCAT(Table1[[#This Row],[Billing Street]], ", ", Table1[[#This Row],[Billing City]], ", ", Table1[[#This Row],[Billing State/Province]], ", ", Table1[[#This Row],[Billing Zip/Postal Code]])</f>
        <v>2795 E Cottonwood Rd, Dothan, AL, 36301</v>
      </c>
    </row>
    <row r="3560" spans="1:13" ht="15.6" hidden="1" x14ac:dyDescent="0.3">
      <c r="A3560" s="1" t="s">
        <v>10676</v>
      </c>
      <c r="B3560" s="1"/>
      <c r="C3560" s="1"/>
      <c r="D3560" s="1"/>
      <c r="E3560" s="1"/>
      <c r="F3560" s="1"/>
      <c r="G3560" s="1" t="s">
        <v>8</v>
      </c>
      <c r="H3560" s="2">
        <v>338</v>
      </c>
      <c r="I3560" s="1" t="s">
        <v>10677</v>
      </c>
      <c r="J3560" s="1" t="s">
        <v>10678</v>
      </c>
      <c r="K3560" s="1" t="s">
        <v>51</v>
      </c>
      <c r="L3560" s="1" t="s">
        <v>10679</v>
      </c>
      <c r="M3560" s="6" t="str">
        <f>_xlfn.CONCAT(Table1[[#This Row],[Billing Street]], ", ", Table1[[#This Row],[Billing City]], ", ", Table1[[#This Row],[Billing State/Province]], ", ", Table1[[#This Row],[Billing Zip/Postal Code]])</f>
        <v>3162 STATE HIGHWAY 43 EAST   PO Box 1169, HENDERSON, TX, 75653</v>
      </c>
    </row>
    <row r="3561" spans="1:13" ht="15.6" x14ac:dyDescent="0.3">
      <c r="A3561" s="1" t="s">
        <v>10680</v>
      </c>
      <c r="B3561" s="1"/>
      <c r="C3561" s="1"/>
      <c r="D3561" s="1"/>
      <c r="E3561" s="1"/>
      <c r="F3561" s="1"/>
      <c r="G3561" s="1" t="s">
        <v>24</v>
      </c>
      <c r="H3561" s="2">
        <v>114</v>
      </c>
      <c r="I3561" s="1" t="s">
        <v>10681</v>
      </c>
      <c r="J3561" s="1" t="s">
        <v>4977</v>
      </c>
      <c r="K3561" s="1" t="s">
        <v>36</v>
      </c>
      <c r="L3561" s="1" t="s">
        <v>8541</v>
      </c>
      <c r="M3561" s="6" t="str">
        <f>_xlfn.CONCAT(Table1[[#This Row],[Billing Street]], ", ", Table1[[#This Row],[Billing City]], ", ", Table1[[#This Row],[Billing State/Province]], ", ", Table1[[#This Row],[Billing Zip/Postal Code]])</f>
        <v>501 Capital Circle NE, Tallahassee, FL, 32301</v>
      </c>
    </row>
    <row r="3562" spans="1:13" ht="15.6" hidden="1" x14ac:dyDescent="0.3">
      <c r="A3562" s="1" t="s">
        <v>10682</v>
      </c>
      <c r="B3562" s="1"/>
      <c r="C3562" s="1"/>
      <c r="D3562" s="1"/>
      <c r="E3562" s="1"/>
      <c r="F3562" s="1"/>
      <c r="G3562" s="1" t="s">
        <v>8</v>
      </c>
      <c r="H3562" s="2">
        <v>397</v>
      </c>
      <c r="I3562" s="1" t="s">
        <v>10683</v>
      </c>
      <c r="J3562" s="1" t="s">
        <v>10684</v>
      </c>
      <c r="K3562" s="1" t="s">
        <v>51</v>
      </c>
      <c r="L3562" s="1" t="s">
        <v>10685</v>
      </c>
      <c r="M3562" s="6" t="str">
        <f>_xlfn.CONCAT(Table1[[#This Row],[Billing Street]], ", ", Table1[[#This Row],[Billing City]], ", ", Table1[[#This Row],[Billing State/Province]], ", ", Table1[[#This Row],[Billing Zip/Postal Code]])</f>
        <v>1701 Loop 304 SE, Crockett, TX, 75835</v>
      </c>
    </row>
    <row r="3563" spans="1:13" ht="15.6" hidden="1" x14ac:dyDescent="0.3">
      <c r="A3563" s="1" t="s">
        <v>10686</v>
      </c>
      <c r="B3563" s="1"/>
      <c r="C3563" s="1"/>
      <c r="D3563" s="1"/>
      <c r="E3563" s="1"/>
      <c r="F3563" s="1"/>
      <c r="G3563" s="1" t="s">
        <v>8</v>
      </c>
      <c r="H3563" s="2">
        <v>6528</v>
      </c>
      <c r="I3563" s="1" t="s">
        <v>13</v>
      </c>
      <c r="J3563" s="1" t="s">
        <v>625</v>
      </c>
      <c r="K3563" s="1" t="s">
        <v>51</v>
      </c>
      <c r="L3563" s="1" t="s">
        <v>13</v>
      </c>
      <c r="M3563" s="6" t="str">
        <f>_xlfn.CONCAT(Table1[[#This Row],[Billing Street]], ", ", Table1[[#This Row],[Billing City]], ", ", Table1[[#This Row],[Billing State/Province]], ", ", Table1[[#This Row],[Billing Zip/Postal Code]])</f>
        <v xml:space="preserve">, Dallas, TX, </v>
      </c>
    </row>
    <row r="3564" spans="1:13" ht="15.6" hidden="1" x14ac:dyDescent="0.3">
      <c r="A3564" s="1" t="s">
        <v>10687</v>
      </c>
      <c r="B3564" s="1"/>
      <c r="C3564" s="1"/>
      <c r="D3564" s="1"/>
      <c r="E3564" s="1"/>
      <c r="F3564" s="1"/>
      <c r="G3564" s="1" t="s">
        <v>8</v>
      </c>
      <c r="H3564" s="2">
        <v>320</v>
      </c>
      <c r="I3564" s="1" t="s">
        <v>10688</v>
      </c>
      <c r="J3564" s="1" t="s">
        <v>10689</v>
      </c>
      <c r="K3564" s="1" t="s">
        <v>51</v>
      </c>
      <c r="L3564" s="1" t="s">
        <v>10690</v>
      </c>
      <c r="M3564" s="6" t="str">
        <f>_xlfn.CONCAT(Table1[[#This Row],[Billing Street]], ", ", Table1[[#This Row],[Billing City]], ", ", Table1[[#This Row],[Billing State/Province]], ", ", Table1[[#This Row],[Billing Zip/Postal Code]])</f>
        <v>917 Eureka Street   PO Box 255, Weatherford, TX, 76086</v>
      </c>
    </row>
    <row r="3565" spans="1:13" ht="15.6" hidden="1" x14ac:dyDescent="0.3">
      <c r="A3565" s="1" t="s">
        <v>10691</v>
      </c>
      <c r="B3565" s="1"/>
      <c r="C3565" s="1"/>
      <c r="D3565" s="1"/>
      <c r="E3565" s="1"/>
      <c r="F3565" s="1"/>
      <c r="G3565" s="1" t="s">
        <v>54</v>
      </c>
      <c r="H3565" s="2">
        <v>214</v>
      </c>
      <c r="I3565" s="1" t="s">
        <v>10692</v>
      </c>
      <c r="J3565" s="1" t="s">
        <v>10693</v>
      </c>
      <c r="K3565" s="1" t="s">
        <v>57</v>
      </c>
      <c r="L3565" s="1" t="s">
        <v>10694</v>
      </c>
      <c r="M3565" s="6" t="str">
        <f>_xlfn.CONCAT(Table1[[#This Row],[Billing Street]], ", ", Table1[[#This Row],[Billing City]], ", ", Table1[[#This Row],[Billing State/Province]], ", ", Table1[[#This Row],[Billing Zip/Postal Code]])</f>
        <v>817 Third Street, Needles, CA, 92363</v>
      </c>
    </row>
    <row r="3566" spans="1:13" ht="15.6" hidden="1" x14ac:dyDescent="0.3">
      <c r="A3566" s="1" t="s">
        <v>10695</v>
      </c>
      <c r="B3566" s="1"/>
      <c r="C3566" s="1"/>
      <c r="D3566" s="1"/>
      <c r="E3566" s="1"/>
      <c r="F3566" s="1"/>
      <c r="G3566" s="1" t="s">
        <v>8</v>
      </c>
      <c r="H3566" s="2">
        <v>386</v>
      </c>
      <c r="I3566" s="1" t="s">
        <v>10696</v>
      </c>
      <c r="J3566" s="1" t="s">
        <v>4845</v>
      </c>
      <c r="K3566" s="1" t="s">
        <v>51</v>
      </c>
      <c r="L3566" s="1" t="s">
        <v>4846</v>
      </c>
      <c r="M3566" s="6" t="str">
        <f>_xlfn.CONCAT(Table1[[#This Row],[Billing Street]], ", ", Table1[[#This Row],[Billing City]], ", ", Table1[[#This Row],[Billing State/Province]], ", ", Table1[[#This Row],[Billing Zip/Postal Code]])</f>
        <v>106 N. Hwy 87, Tulia, TX, 79088</v>
      </c>
    </row>
    <row r="3567" spans="1:13" ht="15.6" hidden="1" x14ac:dyDescent="0.3">
      <c r="A3567" s="1" t="s">
        <v>10697</v>
      </c>
      <c r="B3567" s="1"/>
      <c r="C3567" s="1"/>
      <c r="D3567" s="1"/>
      <c r="E3567" s="1"/>
      <c r="F3567" s="1"/>
      <c r="G3567" s="1" t="s">
        <v>54</v>
      </c>
      <c r="H3567" s="2">
        <v>19</v>
      </c>
      <c r="I3567" s="1" t="s">
        <v>10698</v>
      </c>
      <c r="J3567" s="1" t="s">
        <v>10699</v>
      </c>
      <c r="K3567" s="1" t="s">
        <v>57</v>
      </c>
      <c r="L3567" s="1" t="s">
        <v>9039</v>
      </c>
      <c r="M3567" s="6" t="str">
        <f>_xlfn.CONCAT(Table1[[#This Row],[Billing Street]], ", ", Table1[[#This Row],[Billing City]], ", ", Table1[[#This Row],[Billing State/Province]], ", ", Table1[[#This Row],[Billing Zip/Postal Code]])</f>
        <v>1019 walnut avenue, Longbeach, CA, 90813</v>
      </c>
    </row>
    <row r="3568" spans="1:13" ht="15.6" hidden="1" x14ac:dyDescent="0.3">
      <c r="A3568" s="1" t="s">
        <v>10700</v>
      </c>
      <c r="B3568" s="1"/>
      <c r="C3568" s="1"/>
      <c r="D3568" s="1"/>
      <c r="E3568" s="1"/>
      <c r="F3568" s="1"/>
      <c r="G3568" s="1" t="s">
        <v>54</v>
      </c>
      <c r="H3568" s="2">
        <v>47</v>
      </c>
      <c r="I3568" s="1" t="s">
        <v>10701</v>
      </c>
      <c r="J3568" s="1" t="s">
        <v>10702</v>
      </c>
      <c r="K3568" s="1" t="s">
        <v>57</v>
      </c>
      <c r="L3568" s="1" t="s">
        <v>10703</v>
      </c>
      <c r="M3568" s="6" t="str">
        <f>_xlfn.CONCAT(Table1[[#This Row],[Billing Street]], ", ", Table1[[#This Row],[Billing City]], ", ", Table1[[#This Row],[Billing State/Province]], ", ", Table1[[#This Row],[Billing Zip/Postal Code]])</f>
        <v>One University Drive, Camarillo, CA, 93012</v>
      </c>
    </row>
    <row r="3569" spans="1:13" ht="15.6" hidden="1" x14ac:dyDescent="0.3">
      <c r="A3569" s="1" t="s">
        <v>10704</v>
      </c>
      <c r="B3569" s="1"/>
      <c r="C3569" s="1"/>
      <c r="D3569" s="1"/>
      <c r="E3569" s="1"/>
      <c r="F3569" s="1"/>
      <c r="G3569" s="1" t="s">
        <v>8</v>
      </c>
      <c r="H3569" s="2">
        <v>578</v>
      </c>
      <c r="I3569" s="1" t="s">
        <v>10705</v>
      </c>
      <c r="J3569" s="1" t="s">
        <v>10706</v>
      </c>
      <c r="K3569" s="1" t="s">
        <v>51</v>
      </c>
      <c r="L3569" s="1" t="s">
        <v>10707</v>
      </c>
      <c r="M3569" s="6" t="str">
        <f>_xlfn.CONCAT(Table1[[#This Row],[Billing Street]], ", ", Table1[[#This Row],[Billing City]], ", ", Table1[[#This Row],[Billing State/Province]], ", ", Table1[[#This Row],[Billing Zip/Postal Code]])</f>
        <v>1007 TX-123, Karnes City, TX, 78118</v>
      </c>
    </row>
    <row r="3570" spans="1:13" ht="15.6" x14ac:dyDescent="0.3">
      <c r="A3570" s="1" t="s">
        <v>10708</v>
      </c>
      <c r="B3570" s="1"/>
      <c r="C3570" s="1"/>
      <c r="D3570" s="1"/>
      <c r="E3570" s="1"/>
      <c r="F3570" s="1"/>
      <c r="G3570" s="1" t="s">
        <v>24</v>
      </c>
      <c r="H3570" s="2">
        <v>315</v>
      </c>
      <c r="I3570" s="1" t="s">
        <v>10709</v>
      </c>
      <c r="J3570" s="1" t="s">
        <v>10710</v>
      </c>
      <c r="K3570" s="1" t="s">
        <v>577</v>
      </c>
      <c r="L3570" s="1" t="s">
        <v>10711</v>
      </c>
      <c r="M3570" s="6" t="str">
        <f>_xlfn.CONCAT(Table1[[#This Row],[Billing Street]], ", ", Table1[[#This Row],[Billing City]], ", ", Table1[[#This Row],[Billing State/Province]], ", ", Table1[[#This Row],[Billing Zip/Postal Code]])</f>
        <v>215 Oak Street, New Roads, LA, 70760</v>
      </c>
    </row>
    <row r="3571" spans="1:13" ht="15.6" x14ac:dyDescent="0.3">
      <c r="A3571" s="1" t="s">
        <v>10712</v>
      </c>
      <c r="B3571" s="1"/>
      <c r="C3571" s="1"/>
      <c r="D3571" s="1"/>
      <c r="E3571" s="1"/>
      <c r="F3571" s="1"/>
      <c r="G3571" s="1" t="s">
        <v>24</v>
      </c>
      <c r="H3571" s="2">
        <v>272</v>
      </c>
      <c r="I3571" s="1" t="s">
        <v>10713</v>
      </c>
      <c r="J3571" s="1" t="s">
        <v>10714</v>
      </c>
      <c r="K3571" s="1" t="s">
        <v>26</v>
      </c>
      <c r="L3571" s="1" t="s">
        <v>10715</v>
      </c>
      <c r="M3571" s="6" t="str">
        <f>_xlfn.CONCAT(Table1[[#This Row],[Billing Street]], ", ", Table1[[#This Row],[Billing City]], ", ", Table1[[#This Row],[Billing State/Province]], ", ", Table1[[#This Row],[Billing Zip/Postal Code]])</f>
        <v>2402 Belle Hart Dr., Scottsboro, AL, 35768</v>
      </c>
    </row>
    <row r="3572" spans="1:13" ht="15.6" hidden="1" x14ac:dyDescent="0.3">
      <c r="A3572" s="1" t="s">
        <v>10716</v>
      </c>
      <c r="B3572" s="1"/>
      <c r="C3572" s="1"/>
      <c r="D3572" s="1"/>
      <c r="E3572" s="1"/>
      <c r="F3572" s="1"/>
      <c r="G3572" s="1" t="s">
        <v>43</v>
      </c>
      <c r="H3572" s="2">
        <v>311</v>
      </c>
      <c r="I3572" s="1" t="s">
        <v>10717</v>
      </c>
      <c r="J3572" s="1" t="s">
        <v>69</v>
      </c>
      <c r="K3572" s="1" t="s">
        <v>1191</v>
      </c>
      <c r="L3572" s="1" t="s">
        <v>10718</v>
      </c>
      <c r="M3572" s="6" t="str">
        <f>_xlfn.CONCAT(Table1[[#This Row],[Billing Street]], ", ", Table1[[#This Row],[Billing City]], ", ", Table1[[#This Row],[Billing State/Province]], ", ", Table1[[#This Row],[Billing Zip/Postal Code]])</f>
        <v>1338 Hull St, Louisville, KY, 40204</v>
      </c>
    </row>
    <row r="3573" spans="1:13" ht="15.6" x14ac:dyDescent="0.3">
      <c r="A3573" s="1" t="s">
        <v>10719</v>
      </c>
      <c r="B3573" s="1"/>
      <c r="C3573" s="1"/>
      <c r="D3573" s="1"/>
      <c r="E3573" s="1"/>
      <c r="F3573" s="1"/>
      <c r="G3573" s="1" t="s">
        <v>24</v>
      </c>
      <c r="H3573" s="2">
        <v>286</v>
      </c>
      <c r="I3573" s="1" t="s">
        <v>10720</v>
      </c>
      <c r="J3573" s="1" t="s">
        <v>10721</v>
      </c>
      <c r="K3573" s="1" t="s">
        <v>26</v>
      </c>
      <c r="L3573" s="1" t="s">
        <v>10722</v>
      </c>
      <c r="M3573" s="6" t="str">
        <f>_xlfn.CONCAT(Table1[[#This Row],[Billing Street]], ", ", Table1[[#This Row],[Billing City]], ", ", Table1[[#This Row],[Billing State/Province]], ", ", Table1[[#This Row],[Billing Zip/Postal Code]])</f>
        <v>41103 US Hwy72, Stevenson, AL, 36772</v>
      </c>
    </row>
    <row r="3574" spans="1:13" ht="15.6" x14ac:dyDescent="0.3">
      <c r="A3574" s="1" t="s">
        <v>10723</v>
      </c>
      <c r="B3574" s="1"/>
      <c r="C3574" s="1"/>
      <c r="D3574" s="1"/>
      <c r="E3574" s="1"/>
      <c r="F3574" s="1"/>
      <c r="G3574" s="1" t="s">
        <v>24</v>
      </c>
      <c r="H3574" s="2">
        <v>285</v>
      </c>
      <c r="I3574" s="1" t="s">
        <v>10724</v>
      </c>
      <c r="J3574" s="1" t="s">
        <v>5356</v>
      </c>
      <c r="K3574" s="1" t="s">
        <v>577</v>
      </c>
      <c r="L3574" s="1" t="s">
        <v>5374</v>
      </c>
      <c r="M3574" s="6" t="str">
        <f>_xlfn.CONCAT(Table1[[#This Row],[Billing Street]], ", ", Table1[[#This Row],[Billing City]], ", ", Table1[[#This Row],[Billing State/Province]], ", ", Table1[[#This Row],[Billing Zip/Postal Code]])</f>
        <v>2028 Coteau Road, Hwy 660, Houma, LA, 70364</v>
      </c>
    </row>
    <row r="3575" spans="1:13" ht="15.6" hidden="1" x14ac:dyDescent="0.3">
      <c r="A3575" s="1" t="s">
        <v>10725</v>
      </c>
      <c r="B3575" s="1"/>
      <c r="C3575" s="1"/>
      <c r="D3575" s="1"/>
      <c r="E3575" s="1"/>
      <c r="F3575" s="1"/>
      <c r="G3575" s="1" t="s">
        <v>98</v>
      </c>
      <c r="H3575" s="2">
        <v>213</v>
      </c>
      <c r="I3575" s="1" t="s">
        <v>10726</v>
      </c>
      <c r="J3575" s="1" t="s">
        <v>10727</v>
      </c>
      <c r="K3575" s="1" t="s">
        <v>1178</v>
      </c>
      <c r="L3575" s="1" t="s">
        <v>10728</v>
      </c>
      <c r="M3575" s="6" t="str">
        <f>_xlfn.CONCAT(Table1[[#This Row],[Billing Street]], ", ", Table1[[#This Row],[Billing City]], ", ", Table1[[#This Row],[Billing State/Province]], ", ", Table1[[#This Row],[Billing Zip/Postal Code]])</f>
        <v>6120 Brookshire Boulevard T, Charlette, NC, 28216</v>
      </c>
    </row>
    <row r="3576" spans="1:13" ht="15.6" x14ac:dyDescent="0.3">
      <c r="A3576" s="1" t="s">
        <v>10729</v>
      </c>
      <c r="B3576" s="1"/>
      <c r="C3576" s="1"/>
      <c r="D3576" s="1"/>
      <c r="E3576" s="1"/>
      <c r="F3576" s="1"/>
      <c r="G3576" s="1" t="s">
        <v>24</v>
      </c>
      <c r="H3576" s="2">
        <v>343</v>
      </c>
      <c r="I3576" s="1" t="s">
        <v>10730</v>
      </c>
      <c r="J3576" s="1" t="s">
        <v>10731</v>
      </c>
      <c r="K3576" s="1" t="s">
        <v>577</v>
      </c>
      <c r="L3576" s="1" t="s">
        <v>10732</v>
      </c>
      <c r="M3576" s="6" t="str">
        <f>_xlfn.CONCAT(Table1[[#This Row],[Billing Street]], ", ", Table1[[#This Row],[Billing City]], ", ", Table1[[#This Row],[Billing State/Province]], ", ", Table1[[#This Row],[Billing Zip/Postal Code]])</f>
        <v>120 New Market, St. Martinsville, LA, 70582</v>
      </c>
    </row>
    <row r="3577" spans="1:13" ht="15.6" hidden="1" x14ac:dyDescent="0.3">
      <c r="A3577" s="1" t="s">
        <v>10733</v>
      </c>
      <c r="B3577" s="1"/>
      <c r="C3577" s="1"/>
      <c r="D3577" s="1"/>
      <c r="E3577" s="1"/>
      <c r="F3577" s="1"/>
      <c r="G3577" s="1" t="s">
        <v>8</v>
      </c>
      <c r="H3577" s="2">
        <v>578</v>
      </c>
      <c r="I3577" s="1" t="s">
        <v>10734</v>
      </c>
      <c r="J3577" s="1" t="s">
        <v>10735</v>
      </c>
      <c r="K3577" s="1" t="s">
        <v>410</v>
      </c>
      <c r="L3577" s="1" t="s">
        <v>10736</v>
      </c>
      <c r="M3577" s="6" t="str">
        <f>_xlfn.CONCAT(Table1[[#This Row],[Billing Street]], ", ", Table1[[#This Row],[Billing City]], ", ", Table1[[#This Row],[Billing State/Province]], ", ", Table1[[#This Row],[Billing Zip/Postal Code]])</f>
        <v>1526 Horse Creek Road, Cheyenne, WY, 82009</v>
      </c>
    </row>
    <row r="3578" spans="1:13" ht="15.6" hidden="1" x14ac:dyDescent="0.3">
      <c r="A3578" s="1" t="s">
        <v>10737</v>
      </c>
      <c r="B3578" s="1"/>
      <c r="C3578" s="1"/>
      <c r="D3578" s="1"/>
      <c r="E3578" s="1"/>
      <c r="F3578" s="1"/>
      <c r="G3578" s="1" t="s">
        <v>205</v>
      </c>
      <c r="H3578" s="2">
        <v>9</v>
      </c>
      <c r="I3578" s="1" t="s">
        <v>10738</v>
      </c>
      <c r="J3578" s="1" t="s">
        <v>1039</v>
      </c>
      <c r="K3578" s="1" t="s">
        <v>479</v>
      </c>
      <c r="L3578" s="1" t="s">
        <v>13</v>
      </c>
      <c r="M3578" s="6" t="str">
        <f>_xlfn.CONCAT(Table1[[#This Row],[Billing Street]], ", ", Table1[[#This Row],[Billing City]], ", ", Table1[[#This Row],[Billing State/Province]], ", ", Table1[[#This Row],[Billing Zip/Postal Code]])</f>
        <v xml:space="preserve">59th ave and Glendale Road, Glendale, AZ, </v>
      </c>
    </row>
    <row r="3579" spans="1:13" ht="15.6" x14ac:dyDescent="0.3">
      <c r="A3579" s="1" t="s">
        <v>10739</v>
      </c>
      <c r="B3579" s="1"/>
      <c r="C3579" s="1"/>
      <c r="D3579" s="1"/>
      <c r="E3579" s="1"/>
      <c r="F3579" s="1"/>
      <c r="G3579" s="1" t="s">
        <v>24</v>
      </c>
      <c r="H3579" s="2">
        <v>345</v>
      </c>
      <c r="I3579" s="1" t="s">
        <v>10740</v>
      </c>
      <c r="J3579" s="1" t="s">
        <v>1727</v>
      </c>
      <c r="K3579" s="1" t="s">
        <v>577</v>
      </c>
      <c r="L3579" s="1" t="s">
        <v>10741</v>
      </c>
      <c r="M3579" s="6" t="str">
        <f>_xlfn.CONCAT(Table1[[#This Row],[Billing Street]], ", ", Table1[[#This Row],[Billing City]], ", ", Table1[[#This Row],[Billing State/Province]], ", ", Table1[[#This Row],[Billing Zip/Postal Code]])</f>
        <v>1411 Landis Street, Winnsboro, LA, 71295</v>
      </c>
    </row>
    <row r="3580" spans="1:13" ht="15.6" x14ac:dyDescent="0.3">
      <c r="A3580" s="1" t="s">
        <v>10742</v>
      </c>
      <c r="B3580" s="1"/>
      <c r="C3580" s="1"/>
      <c r="D3580" s="1"/>
      <c r="E3580" s="1"/>
      <c r="F3580" s="1"/>
      <c r="G3580" s="1" t="s">
        <v>24</v>
      </c>
      <c r="H3580" s="2">
        <v>371</v>
      </c>
      <c r="I3580" s="1" t="s">
        <v>10743</v>
      </c>
      <c r="J3580" s="1" t="s">
        <v>10744</v>
      </c>
      <c r="K3580" s="1" t="s">
        <v>577</v>
      </c>
      <c r="L3580" s="1" t="s">
        <v>10745</v>
      </c>
      <c r="M3580" s="6" t="str">
        <f>_xlfn.CONCAT(Table1[[#This Row],[Billing Street]], ", ", Table1[[#This Row],[Billing City]], ", ", Table1[[#This Row],[Billing State/Province]], ", ", Table1[[#This Row],[Billing Zip/Postal Code]])</f>
        <v>511 North Cushing Ave, Kaplan, LA, 70548</v>
      </c>
    </row>
    <row r="3581" spans="1:13" ht="15.6" x14ac:dyDescent="0.3">
      <c r="A3581" s="1" t="s">
        <v>10746</v>
      </c>
      <c r="B3581" s="1"/>
      <c r="C3581" s="1"/>
      <c r="D3581" s="1"/>
      <c r="E3581" s="1"/>
      <c r="F3581" s="1"/>
      <c r="G3581" s="1" t="s">
        <v>24</v>
      </c>
      <c r="H3581" s="2">
        <v>85</v>
      </c>
      <c r="I3581" s="1" t="s">
        <v>10747</v>
      </c>
      <c r="J3581" s="1" t="s">
        <v>9844</v>
      </c>
      <c r="K3581" s="1" t="s">
        <v>26</v>
      </c>
      <c r="L3581" s="1" t="s">
        <v>9845</v>
      </c>
      <c r="M3581" s="6" t="str">
        <f>_xlfn.CONCAT(Table1[[#This Row],[Billing Street]], ", ", Table1[[#This Row],[Billing City]], ", ", Table1[[#This Row],[Billing State/Province]], ", ", Table1[[#This Row],[Billing Zip/Postal Code]])</f>
        <v>1450 Swift Mill Rd, Atmore, AL, 36502</v>
      </c>
    </row>
    <row r="3582" spans="1:13" ht="15.6" hidden="1" x14ac:dyDescent="0.3">
      <c r="A3582" s="1" t="s">
        <v>10748</v>
      </c>
      <c r="B3582" s="1"/>
      <c r="C3582" s="1"/>
      <c r="D3582" s="1"/>
      <c r="E3582" s="1"/>
      <c r="F3582" s="1"/>
      <c r="G3582" s="1" t="s">
        <v>98</v>
      </c>
      <c r="H3582" s="2">
        <v>5887</v>
      </c>
      <c r="I3582" s="1" t="s">
        <v>13</v>
      </c>
      <c r="J3582" s="1" t="s">
        <v>7027</v>
      </c>
      <c r="K3582" s="1" t="s">
        <v>101</v>
      </c>
      <c r="L3582" s="1" t="s">
        <v>13</v>
      </c>
      <c r="M3582" s="6" t="str">
        <f>_xlfn.CONCAT(Table1[[#This Row],[Billing Street]], ", ", Table1[[#This Row],[Billing City]], ", ", Table1[[#This Row],[Billing State/Province]], ", ", Table1[[#This Row],[Billing Zip/Postal Code]])</f>
        <v xml:space="preserve">, Mansfield, GA, </v>
      </c>
    </row>
    <row r="3583" spans="1:13" ht="15.6" x14ac:dyDescent="0.3">
      <c r="A3583" s="1" t="s">
        <v>10749</v>
      </c>
      <c r="B3583" s="1"/>
      <c r="C3583" s="1"/>
      <c r="D3583" s="1"/>
      <c r="E3583" s="1"/>
      <c r="F3583" s="1"/>
      <c r="G3583" s="1" t="s">
        <v>24</v>
      </c>
      <c r="H3583" s="2">
        <v>431</v>
      </c>
      <c r="I3583" s="1" t="s">
        <v>10750</v>
      </c>
      <c r="J3583" s="1" t="s">
        <v>10751</v>
      </c>
      <c r="K3583" s="1" t="s">
        <v>577</v>
      </c>
      <c r="L3583" s="1" t="s">
        <v>10752</v>
      </c>
      <c r="M3583" s="6" t="str">
        <f>_xlfn.CONCAT(Table1[[#This Row],[Billing Street]], ", ", Table1[[#This Row],[Billing City]], ", ", Table1[[#This Row],[Billing State/Province]], ", ", Table1[[#This Row],[Billing Zip/Postal Code]])</f>
        <v>12525 Hwy 9, Homer, LA, 71040</v>
      </c>
    </row>
    <row r="3584" spans="1:13" ht="15.6" hidden="1" x14ac:dyDescent="0.3">
      <c r="A3584" s="1" t="s">
        <v>10753</v>
      </c>
      <c r="B3584" s="1"/>
      <c r="C3584" s="1"/>
      <c r="D3584" s="1"/>
      <c r="E3584" s="1"/>
      <c r="F3584" s="1"/>
      <c r="G3584" s="1" t="s">
        <v>8</v>
      </c>
      <c r="H3584" s="2">
        <v>274</v>
      </c>
      <c r="I3584" s="1" t="s">
        <v>10754</v>
      </c>
      <c r="J3584" s="1" t="s">
        <v>10755</v>
      </c>
      <c r="K3584" s="1" t="s">
        <v>11</v>
      </c>
      <c r="L3584" s="1" t="s">
        <v>10756</v>
      </c>
      <c r="M3584" s="6" t="str">
        <f>_xlfn.CONCAT(Table1[[#This Row],[Billing Street]], ", ", Table1[[#This Row],[Billing City]], ", ", Table1[[#This Row],[Billing State/Province]], ", ", Table1[[#This Row],[Billing Zip/Postal Code]])</f>
        <v>200 East Park, Vandalia, MO, 63382</v>
      </c>
    </row>
    <row r="3585" spans="1:13" ht="15.6" x14ac:dyDescent="0.3">
      <c r="A3585" s="1" t="s">
        <v>10757</v>
      </c>
      <c r="B3585" s="1"/>
      <c r="C3585" s="1"/>
      <c r="D3585" s="1"/>
      <c r="E3585" s="1"/>
      <c r="F3585" s="1"/>
      <c r="G3585" s="1" t="s">
        <v>24</v>
      </c>
      <c r="H3585" s="2">
        <v>320</v>
      </c>
      <c r="I3585" s="1" t="s">
        <v>10758</v>
      </c>
      <c r="J3585" s="1" t="s">
        <v>10759</v>
      </c>
      <c r="K3585" s="1" t="s">
        <v>577</v>
      </c>
      <c r="L3585" s="1" t="s">
        <v>10760</v>
      </c>
      <c r="M3585" s="6" t="str">
        <f>_xlfn.CONCAT(Table1[[#This Row],[Billing Street]], ", ", Table1[[#This Row],[Billing City]], ", ", Table1[[#This Row],[Billing State/Province]], ", ", Table1[[#This Row],[Billing Zip/Postal Code]])</f>
        <v>501 Sycamore Street, Vidalia, LA, 71373</v>
      </c>
    </row>
    <row r="3586" spans="1:13" ht="15.6" hidden="1" x14ac:dyDescent="0.3">
      <c r="A3586" s="1" t="s">
        <v>10761</v>
      </c>
      <c r="B3586" s="1"/>
      <c r="C3586" s="1"/>
      <c r="D3586" s="1"/>
      <c r="E3586" s="1"/>
      <c r="F3586" s="1"/>
      <c r="G3586" s="1" t="s">
        <v>43</v>
      </c>
      <c r="H3586" s="2">
        <v>426</v>
      </c>
      <c r="I3586" s="1" t="s">
        <v>10762</v>
      </c>
      <c r="J3586" s="1" t="s">
        <v>10763</v>
      </c>
      <c r="K3586" s="1" t="s">
        <v>152</v>
      </c>
      <c r="L3586" s="1" t="s">
        <v>10764</v>
      </c>
      <c r="M3586" s="6" t="str">
        <f>_xlfn.CONCAT(Table1[[#This Row],[Billing Street]], ", ", Table1[[#This Row],[Billing City]], ", ", Table1[[#This Row],[Billing State/Province]], ", ", Table1[[#This Row],[Billing Zip/Postal Code]])</f>
        <v>1109 Industrial Park Rd., Rock Falls, IL, 61071</v>
      </c>
    </row>
    <row r="3587" spans="1:13" ht="15.6" hidden="1" x14ac:dyDescent="0.3">
      <c r="A3587" s="1" t="s">
        <v>10765</v>
      </c>
      <c r="B3587" s="1"/>
      <c r="C3587" s="1"/>
      <c r="D3587" s="1"/>
      <c r="E3587" s="1"/>
      <c r="F3587" s="1"/>
      <c r="G3587" s="1" t="s">
        <v>43</v>
      </c>
      <c r="H3587" s="2">
        <v>451</v>
      </c>
      <c r="I3587" s="1" t="s">
        <v>10766</v>
      </c>
      <c r="J3587" s="1" t="s">
        <v>8979</v>
      </c>
      <c r="K3587" s="1" t="s">
        <v>152</v>
      </c>
      <c r="L3587" s="1" t="s">
        <v>10767</v>
      </c>
      <c r="M3587" s="6" t="str">
        <f>_xlfn.CONCAT(Table1[[#This Row],[Billing Street]], ", ", Table1[[#This Row],[Billing City]], ", ", Table1[[#This Row],[Billing State/Province]], ", ", Table1[[#This Row],[Billing Zip/Postal Code]])</f>
        <v>433 E North St, Geneseo, IL, 61254</v>
      </c>
    </row>
    <row r="3588" spans="1:13" ht="15.6" x14ac:dyDescent="0.3">
      <c r="A3588" s="1" t="s">
        <v>10768</v>
      </c>
      <c r="B3588" s="1"/>
      <c r="C3588" s="1"/>
      <c r="D3588" s="1"/>
      <c r="E3588" s="1"/>
      <c r="F3588" s="1"/>
      <c r="G3588" s="1" t="s">
        <v>24</v>
      </c>
      <c r="H3588" s="2">
        <v>368</v>
      </c>
      <c r="I3588" s="1" t="s">
        <v>10769</v>
      </c>
      <c r="J3588" s="1" t="s">
        <v>10770</v>
      </c>
      <c r="K3588" s="1" t="s">
        <v>577</v>
      </c>
      <c r="L3588" s="1" t="s">
        <v>10771</v>
      </c>
      <c r="M3588" s="6" t="str">
        <f>_xlfn.CONCAT(Table1[[#This Row],[Billing Street]], ", ", Table1[[#This Row],[Billing City]], ", ", Table1[[#This Row],[Billing State/Province]], ", ", Table1[[#This Row],[Billing Zip/Postal Code]])</f>
        <v>201 3rd Street, Rayne, LA, 70578</v>
      </c>
    </row>
    <row r="3589" spans="1:13" ht="15.6" hidden="1" x14ac:dyDescent="0.3">
      <c r="A3589" s="1" t="s">
        <v>10772</v>
      </c>
      <c r="B3589" s="1"/>
      <c r="C3589" s="1"/>
      <c r="D3589" s="1"/>
      <c r="E3589" s="1"/>
      <c r="F3589" s="1"/>
      <c r="G3589" s="1" t="s">
        <v>8</v>
      </c>
      <c r="H3589" s="2">
        <v>444</v>
      </c>
      <c r="I3589" s="1" t="s">
        <v>10773</v>
      </c>
      <c r="J3589" s="1" t="s">
        <v>4962</v>
      </c>
      <c r="K3589" s="1" t="s">
        <v>21</v>
      </c>
      <c r="L3589" s="1" t="s">
        <v>10774</v>
      </c>
      <c r="M3589" s="6" t="str">
        <f>_xlfn.CONCAT(Table1[[#This Row],[Billing Street]], ", ", Table1[[#This Row],[Billing City]], ", ", Table1[[#This Row],[Billing State/Province]], ", ", Table1[[#This Row],[Billing Zip/Postal Code]])</f>
        <v>217 N Market St, Lake Park, IA, 51347</v>
      </c>
    </row>
    <row r="3590" spans="1:13" ht="15.6" x14ac:dyDescent="0.3">
      <c r="A3590" s="1" t="s">
        <v>10775</v>
      </c>
      <c r="B3590" s="1"/>
      <c r="C3590" s="1"/>
      <c r="D3590" s="1"/>
      <c r="E3590" s="1"/>
      <c r="F3590" s="1"/>
      <c r="G3590" s="1" t="s">
        <v>24</v>
      </c>
      <c r="H3590" s="2">
        <v>340</v>
      </c>
      <c r="I3590" s="1" t="s">
        <v>10776</v>
      </c>
      <c r="J3590" s="1" t="s">
        <v>5995</v>
      </c>
      <c r="K3590" s="1" t="s">
        <v>577</v>
      </c>
      <c r="L3590" s="1" t="s">
        <v>10777</v>
      </c>
      <c r="M3590" s="6" t="str">
        <f>_xlfn.CONCAT(Table1[[#This Row],[Billing Street]], ", ", Table1[[#This Row],[Billing City]], ", ", Table1[[#This Row],[Billing State/Province]], ", ", Table1[[#This Row],[Billing Zip/Postal Code]])</f>
        <v>304 Darnall Road, New Iberia, LA, 70560</v>
      </c>
    </row>
    <row r="3591" spans="1:13" ht="15.6" hidden="1" x14ac:dyDescent="0.3">
      <c r="A3591" s="1" t="s">
        <v>10778</v>
      </c>
      <c r="B3591" s="1"/>
      <c r="C3591" s="1"/>
      <c r="D3591" s="1"/>
      <c r="E3591" s="1"/>
      <c r="F3591" s="1"/>
      <c r="G3591" s="1" t="s">
        <v>98</v>
      </c>
      <c r="H3591" s="2">
        <v>126</v>
      </c>
      <c r="I3591" s="1" t="s">
        <v>10779</v>
      </c>
      <c r="J3591" s="1" t="s">
        <v>5318</v>
      </c>
      <c r="K3591" s="1" t="s">
        <v>101</v>
      </c>
      <c r="L3591" s="1" t="s">
        <v>10780</v>
      </c>
      <c r="M3591" s="6" t="str">
        <f>_xlfn.CONCAT(Table1[[#This Row],[Billing Street]], ", ", Table1[[#This Row],[Billing City]], ", ", Table1[[#This Row],[Billing State/Province]], ", ", Table1[[#This Row],[Billing Zip/Postal Code]])</f>
        <v>1912 Barton Chapel Rd, Augusta, GA, 30904</v>
      </c>
    </row>
    <row r="3592" spans="1:13" ht="15.6" hidden="1" x14ac:dyDescent="0.3">
      <c r="A3592" s="1" t="s">
        <v>489</v>
      </c>
      <c r="B3592" s="1"/>
      <c r="C3592" s="1"/>
      <c r="D3592" s="1"/>
      <c r="E3592" s="1"/>
      <c r="F3592" s="1"/>
      <c r="G3592" s="1" t="s">
        <v>8</v>
      </c>
      <c r="H3592" s="2">
        <v>577</v>
      </c>
      <c r="I3592" s="1" t="s">
        <v>10781</v>
      </c>
      <c r="J3592" s="1" t="s">
        <v>10782</v>
      </c>
      <c r="K3592" s="1" t="s">
        <v>128</v>
      </c>
      <c r="L3592" s="1" t="s">
        <v>10527</v>
      </c>
      <c r="M3592" s="6" t="str">
        <f>_xlfn.CONCAT(Table1[[#This Row],[Billing Street]], ", ", Table1[[#This Row],[Billing City]], ", ", Table1[[#This Row],[Billing State/Province]], ", ", Table1[[#This Row],[Billing Zip/Postal Code]])</f>
        <v>1000 Lund Blvd, Anoka, MN, 55303</v>
      </c>
    </row>
    <row r="3593" spans="1:13" ht="15.6" hidden="1" x14ac:dyDescent="0.3">
      <c r="A3593" s="1" t="s">
        <v>10783</v>
      </c>
      <c r="B3593" s="1"/>
      <c r="C3593" s="1"/>
      <c r="D3593" s="1"/>
      <c r="E3593" s="1"/>
      <c r="F3593" s="1"/>
      <c r="G3593" s="1" t="s">
        <v>205</v>
      </c>
      <c r="H3593" s="2">
        <v>403</v>
      </c>
      <c r="I3593" s="1" t="s">
        <v>10784</v>
      </c>
      <c r="J3593" s="1" t="s">
        <v>10785</v>
      </c>
      <c r="K3593" s="1" t="s">
        <v>472</v>
      </c>
      <c r="L3593" s="1" t="s">
        <v>10786</v>
      </c>
      <c r="M3593" s="6" t="str">
        <f>_xlfn.CONCAT(Table1[[#This Row],[Billing Street]], ", ", Table1[[#This Row],[Billing City]], ", ", Table1[[#This Row],[Billing State/Province]], ", ", Table1[[#This Row],[Billing Zip/Postal Code]])</f>
        <v>50 S Main St #1, Manti, UT, 84642</v>
      </c>
    </row>
    <row r="3594" spans="1:13" ht="15.6" hidden="1" x14ac:dyDescent="0.3">
      <c r="A3594" s="1" t="s">
        <v>10787</v>
      </c>
      <c r="B3594" s="1"/>
      <c r="C3594" s="1"/>
      <c r="D3594" s="1"/>
      <c r="E3594" s="1"/>
      <c r="F3594" s="1"/>
      <c r="G3594" s="1" t="s">
        <v>8</v>
      </c>
      <c r="H3594" s="2">
        <v>202</v>
      </c>
      <c r="I3594" s="1" t="s">
        <v>10788</v>
      </c>
      <c r="J3594" s="1" t="s">
        <v>10789</v>
      </c>
      <c r="K3594" s="1" t="s">
        <v>11</v>
      </c>
      <c r="L3594" s="1" t="s">
        <v>10790</v>
      </c>
      <c r="M3594" s="6" t="str">
        <f>_xlfn.CONCAT(Table1[[#This Row],[Billing Street]], ", ", Table1[[#This Row],[Billing City]], ", ", Table1[[#This Row],[Billing State/Province]], ", ", Table1[[#This Row],[Billing Zip/Postal Code]])</f>
        <v>1001 W. Grand Avenue, Cameron, MO, 64429</v>
      </c>
    </row>
    <row r="3595" spans="1:13" ht="15.6" hidden="1" x14ac:dyDescent="0.3">
      <c r="A3595" s="1" t="s">
        <v>10791</v>
      </c>
      <c r="B3595" s="1"/>
      <c r="C3595" s="1"/>
      <c r="D3595" s="1"/>
      <c r="E3595" s="1"/>
      <c r="F3595" s="1"/>
      <c r="G3595" s="1" t="s">
        <v>8</v>
      </c>
      <c r="H3595" s="2">
        <v>276</v>
      </c>
      <c r="I3595" s="1" t="s">
        <v>10792</v>
      </c>
      <c r="J3595" s="1" t="s">
        <v>10793</v>
      </c>
      <c r="K3595" s="1" t="s">
        <v>11</v>
      </c>
      <c r="L3595" s="1" t="s">
        <v>10794</v>
      </c>
      <c r="M3595" s="6" t="str">
        <f>_xlfn.CONCAT(Table1[[#This Row],[Billing Street]], ", ", Table1[[#This Row],[Billing City]], ", ", Table1[[#This Row],[Billing State/Province]], ", ", Table1[[#This Row],[Billing Zip/Postal Code]])</f>
        <v>2221 Main St, Unionville, MO, 63565</v>
      </c>
    </row>
    <row r="3596" spans="1:13" ht="15.6" hidden="1" x14ac:dyDescent="0.3">
      <c r="A3596" s="1" t="s">
        <v>10795</v>
      </c>
      <c r="B3596" s="1"/>
      <c r="C3596" s="1"/>
      <c r="D3596" s="1"/>
      <c r="E3596" s="1"/>
      <c r="F3596" s="1"/>
      <c r="G3596" s="1" t="s">
        <v>8</v>
      </c>
      <c r="H3596" s="2">
        <v>293</v>
      </c>
      <c r="I3596" s="1" t="s">
        <v>10796</v>
      </c>
      <c r="J3596" s="1" t="s">
        <v>1517</v>
      </c>
      <c r="K3596" s="1" t="s">
        <v>11</v>
      </c>
      <c r="L3596" s="1" t="s">
        <v>10797</v>
      </c>
      <c r="M3596" s="6" t="str">
        <f>_xlfn.CONCAT(Table1[[#This Row],[Billing Street]], ", ", Table1[[#This Row],[Billing City]], ", ", Table1[[#This Row],[Billing State/Province]], ", ", Table1[[#This Row],[Billing Zip/Postal Code]])</f>
        <v>16894 US Hwy 63, Lancaster, MO, 63548</v>
      </c>
    </row>
    <row r="3597" spans="1:13" ht="15.6" hidden="1" x14ac:dyDescent="0.3">
      <c r="A3597" s="1" t="s">
        <v>10798</v>
      </c>
      <c r="B3597" s="1"/>
      <c r="C3597" s="1"/>
      <c r="D3597" s="1"/>
      <c r="E3597" s="1"/>
      <c r="F3597" s="1"/>
      <c r="G3597" s="1" t="s">
        <v>8</v>
      </c>
      <c r="H3597" s="2">
        <v>267</v>
      </c>
      <c r="I3597" s="1" t="s">
        <v>10799</v>
      </c>
      <c r="J3597" s="1" t="s">
        <v>10800</v>
      </c>
      <c r="K3597" s="1" t="s">
        <v>11</v>
      </c>
      <c r="L3597" s="1" t="s">
        <v>10801</v>
      </c>
      <c r="M3597" s="6" t="str">
        <f>_xlfn.CONCAT(Table1[[#This Row],[Billing Street]], ", ", Table1[[#This Row],[Billing City]], ", ", Table1[[#This Row],[Billing State/Province]], ", ", Table1[[#This Row],[Billing Zip/Postal Code]])</f>
        <v>116 E. Walnut, Shelbina, MO, 63468</v>
      </c>
    </row>
    <row r="3598" spans="1:13" ht="15.6" hidden="1" x14ac:dyDescent="0.3">
      <c r="A3598" s="1" t="s">
        <v>10802</v>
      </c>
      <c r="B3598" s="1"/>
      <c r="C3598" s="1"/>
      <c r="D3598" s="1"/>
      <c r="E3598" s="1"/>
      <c r="F3598" s="1"/>
      <c r="G3598" s="1" t="s">
        <v>8</v>
      </c>
      <c r="H3598" s="2">
        <v>288</v>
      </c>
      <c r="I3598" s="1" t="s">
        <v>10803</v>
      </c>
      <c r="J3598" s="1" t="s">
        <v>224</v>
      </c>
      <c r="K3598" s="1" t="s">
        <v>11</v>
      </c>
      <c r="L3598" s="1" t="s">
        <v>10804</v>
      </c>
      <c r="M3598" s="6" t="str">
        <f>_xlfn.CONCAT(Table1[[#This Row],[Billing Street]], ", ", Table1[[#This Row],[Billing City]], ", ", Table1[[#This Row],[Billing State/Province]], ", ", Table1[[#This Row],[Billing Zip/Postal Code]])</f>
        <v>17594 MO-19, New London, MO, 63459</v>
      </c>
    </row>
    <row r="3599" spans="1:13" ht="15.6" hidden="1" x14ac:dyDescent="0.3">
      <c r="A3599" s="1" t="s">
        <v>10805</v>
      </c>
      <c r="B3599" s="1"/>
      <c r="C3599" s="1"/>
      <c r="D3599" s="1"/>
      <c r="E3599" s="1"/>
      <c r="F3599" s="1"/>
      <c r="G3599" s="1" t="s">
        <v>8</v>
      </c>
      <c r="H3599" s="2">
        <v>259</v>
      </c>
      <c r="I3599" s="1" t="s">
        <v>10806</v>
      </c>
      <c r="J3599" s="1" t="s">
        <v>1970</v>
      </c>
      <c r="K3599" s="1" t="s">
        <v>11</v>
      </c>
      <c r="L3599" s="1" t="s">
        <v>10807</v>
      </c>
      <c r="M3599" s="6" t="str">
        <f>_xlfn.CONCAT(Table1[[#This Row],[Billing Street]], ", ", Table1[[#This Row],[Billing City]], ", ", Table1[[#This Row],[Billing State/Province]], ", ", Table1[[#This Row],[Billing Zip/Postal Code]])</f>
        <v>112 South Main St., Paris, MO, 65275</v>
      </c>
    </row>
    <row r="3600" spans="1:13" ht="15.6" hidden="1" x14ac:dyDescent="0.3">
      <c r="A3600" s="1" t="s">
        <v>10808</v>
      </c>
      <c r="B3600" s="1"/>
      <c r="C3600" s="1"/>
      <c r="D3600" s="1"/>
      <c r="E3600" s="1"/>
      <c r="F3600" s="1"/>
      <c r="G3600" s="1" t="s">
        <v>8</v>
      </c>
      <c r="H3600" s="2">
        <v>293</v>
      </c>
      <c r="I3600" s="1" t="s">
        <v>10809</v>
      </c>
      <c r="J3600" s="1" t="s">
        <v>1924</v>
      </c>
      <c r="K3600" s="1" t="s">
        <v>11</v>
      </c>
      <c r="L3600" s="1" t="s">
        <v>10810</v>
      </c>
      <c r="M3600" s="6" t="str">
        <f>_xlfn.CONCAT(Table1[[#This Row],[Billing Street]], ", ", Table1[[#This Row],[Billing City]], ", ", Table1[[#This Row],[Billing State/Province]], ", ", Table1[[#This Row],[Billing Zip/Postal Code]])</f>
        <v>301 S Main St, Palmyra, MO, 63461</v>
      </c>
    </row>
    <row r="3601" spans="1:13" ht="15.6" hidden="1" x14ac:dyDescent="0.3">
      <c r="A3601" s="1" t="s">
        <v>10811</v>
      </c>
      <c r="B3601" s="1"/>
      <c r="C3601" s="1"/>
      <c r="D3601" s="1"/>
      <c r="E3601" s="1"/>
      <c r="F3601" s="1"/>
      <c r="G3601" s="1" t="s">
        <v>8</v>
      </c>
      <c r="H3601" s="2">
        <v>294</v>
      </c>
      <c r="I3601" s="1" t="s">
        <v>10812</v>
      </c>
      <c r="J3601" s="1" t="s">
        <v>1924</v>
      </c>
      <c r="K3601" s="1" t="s">
        <v>11</v>
      </c>
      <c r="L3601" s="1" t="s">
        <v>10810</v>
      </c>
      <c r="M3601" s="6" t="str">
        <f>_xlfn.CONCAT(Table1[[#This Row],[Billing Street]], ", ", Table1[[#This Row],[Billing City]], ", ", Table1[[#This Row],[Billing State/Province]], ", ", Table1[[#This Row],[Billing Zip/Postal Code]])</f>
        <v>3705 Business 61, Palmyra, MO, 63461</v>
      </c>
    </row>
    <row r="3602" spans="1:13" ht="15.6" hidden="1" x14ac:dyDescent="0.3">
      <c r="A3602" s="1" t="s">
        <v>10813</v>
      </c>
      <c r="B3602" s="1"/>
      <c r="C3602" s="1"/>
      <c r="D3602" s="1"/>
      <c r="E3602" s="1"/>
      <c r="F3602" s="1"/>
      <c r="G3602" s="1" t="s">
        <v>8</v>
      </c>
      <c r="H3602" s="2">
        <v>256</v>
      </c>
      <c r="I3602" s="1" t="s">
        <v>10814</v>
      </c>
      <c r="J3602" s="1" t="s">
        <v>5824</v>
      </c>
      <c r="K3602" s="1" t="s">
        <v>11</v>
      </c>
      <c r="L3602" s="1" t="s">
        <v>5825</v>
      </c>
      <c r="M3602" s="6" t="str">
        <f>_xlfn.CONCAT(Table1[[#This Row],[Billing Street]], ", ", Table1[[#This Row],[Billing City]], ", ", Table1[[#This Row],[Billing State/Province]], ", ", Table1[[#This Row],[Billing Zip/Postal Code]])</f>
        <v>Hwy E West - PO Box 220, Milan, MO, 63556</v>
      </c>
    </row>
    <row r="3603" spans="1:13" ht="15.6" hidden="1" x14ac:dyDescent="0.3">
      <c r="A3603" s="1" t="s">
        <v>10815</v>
      </c>
      <c r="B3603" s="1"/>
      <c r="C3603" s="1"/>
      <c r="D3603" s="1"/>
      <c r="E3603" s="1"/>
      <c r="F3603" s="1"/>
      <c r="G3603" s="1" t="s">
        <v>8</v>
      </c>
      <c r="H3603" s="2">
        <v>292</v>
      </c>
      <c r="I3603" s="1" t="s">
        <v>10816</v>
      </c>
      <c r="J3603" s="1" t="s">
        <v>1924</v>
      </c>
      <c r="K3603" s="1" t="s">
        <v>11</v>
      </c>
      <c r="L3603" s="1" t="s">
        <v>10810</v>
      </c>
      <c r="M3603" s="6" t="str">
        <f>_xlfn.CONCAT(Table1[[#This Row],[Billing Street]], ", ", Table1[[#This Row],[Billing City]], ", ", Table1[[#This Row],[Billing State/Province]], ", ", Table1[[#This Row],[Billing Zip/Postal Code]])</f>
        <v>975 W Ross St, Palmyra, MO, 63461</v>
      </c>
    </row>
    <row r="3604" spans="1:13" ht="15.6" hidden="1" x14ac:dyDescent="0.3">
      <c r="A3604" s="1" t="s">
        <v>10817</v>
      </c>
      <c r="B3604" s="1"/>
      <c r="C3604" s="1"/>
      <c r="D3604" s="1"/>
      <c r="E3604" s="1"/>
      <c r="F3604" s="1"/>
      <c r="G3604" s="1" t="s">
        <v>8</v>
      </c>
      <c r="H3604" s="2">
        <v>253</v>
      </c>
      <c r="I3604" s="1" t="s">
        <v>10818</v>
      </c>
      <c r="J3604" s="1" t="s">
        <v>10819</v>
      </c>
      <c r="K3604" s="1" t="s">
        <v>11</v>
      </c>
      <c r="L3604" s="1" t="s">
        <v>10820</v>
      </c>
      <c r="M3604" s="6" t="str">
        <f>_xlfn.CONCAT(Table1[[#This Row],[Billing Street]], ", ", Table1[[#This Row],[Billing City]], ", ", Table1[[#This Row],[Billing State/Province]], ", ", Table1[[#This Row],[Billing Zip/Postal Code]])</f>
        <v>106 W. Bourke St., Macon, MO, 63552</v>
      </c>
    </row>
    <row r="3605" spans="1:13" ht="15.6" x14ac:dyDescent="0.3">
      <c r="A3605" s="1" t="s">
        <v>10821</v>
      </c>
      <c r="B3605" s="1"/>
      <c r="C3605" s="1"/>
      <c r="D3605" s="1"/>
      <c r="E3605" s="1"/>
      <c r="F3605" s="1"/>
      <c r="G3605" s="1" t="s">
        <v>24</v>
      </c>
      <c r="H3605" s="2">
        <v>318</v>
      </c>
      <c r="I3605" s="1" t="s">
        <v>10822</v>
      </c>
      <c r="J3605" s="1" t="s">
        <v>10710</v>
      </c>
      <c r="K3605" s="1" t="s">
        <v>577</v>
      </c>
      <c r="L3605" s="1" t="s">
        <v>10711</v>
      </c>
      <c r="M3605" s="6" t="str">
        <f>_xlfn.CONCAT(Table1[[#This Row],[Billing Street]], ", ", Table1[[#This Row],[Billing City]], ", ", Table1[[#This Row],[Billing State/Province]], ", ", Table1[[#This Row],[Billing Zip/Postal Code]])</f>
        <v>2506 False River Drive, New Roads, LA, 70760</v>
      </c>
    </row>
    <row r="3606" spans="1:13" ht="15.6" hidden="1" x14ac:dyDescent="0.3">
      <c r="A3606" s="1" t="s">
        <v>10823</v>
      </c>
      <c r="B3606" s="1"/>
      <c r="C3606" s="1"/>
      <c r="D3606" s="1"/>
      <c r="E3606" s="1"/>
      <c r="F3606" s="1"/>
      <c r="G3606" s="1" t="s">
        <v>8</v>
      </c>
      <c r="H3606" s="2">
        <v>254</v>
      </c>
      <c r="I3606" s="1" t="s">
        <v>10824</v>
      </c>
      <c r="J3606" s="1" t="s">
        <v>10819</v>
      </c>
      <c r="K3606" s="1" t="s">
        <v>11</v>
      </c>
      <c r="L3606" s="1" t="s">
        <v>10820</v>
      </c>
      <c r="M3606" s="6" t="str">
        <f>_xlfn.CONCAT(Table1[[#This Row],[Billing Street]], ", ", Table1[[#This Row],[Billing City]], ", ", Table1[[#This Row],[Billing State/Province]], ", ", Table1[[#This Row],[Billing Zip/Postal Code]])</f>
        <v>31571 Business Hwy 36, Macon, MO, 63552</v>
      </c>
    </row>
    <row r="3607" spans="1:13" ht="15.6" x14ac:dyDescent="0.3">
      <c r="A3607" s="1" t="s">
        <v>10825</v>
      </c>
      <c r="B3607" s="1"/>
      <c r="C3607" s="1"/>
      <c r="D3607" s="1"/>
      <c r="E3607" s="1"/>
      <c r="F3607" s="1"/>
      <c r="G3607" s="1" t="s">
        <v>24</v>
      </c>
      <c r="H3607" s="2">
        <v>356</v>
      </c>
      <c r="I3607" s="1" t="s">
        <v>10826</v>
      </c>
      <c r="J3607" s="1" t="s">
        <v>10827</v>
      </c>
      <c r="K3607" s="1" t="s">
        <v>577</v>
      </c>
      <c r="L3607" s="1" t="s">
        <v>10828</v>
      </c>
      <c r="M3607" s="6" t="str">
        <f>_xlfn.CONCAT(Table1[[#This Row],[Billing Street]], ", ", Table1[[#This Row],[Billing City]], ", ", Table1[[#This Row],[Billing State/Province]], ", ", Table1[[#This Row],[Billing Zip/Postal Code]])</f>
        <v>501 Veterans Memorial, Erath, LA, 70533</v>
      </c>
    </row>
    <row r="3608" spans="1:13" ht="15.6" hidden="1" x14ac:dyDescent="0.3">
      <c r="A3608" s="1" t="s">
        <v>10829</v>
      </c>
      <c r="B3608" s="1"/>
      <c r="C3608" s="1"/>
      <c r="D3608" s="1"/>
      <c r="E3608" s="1"/>
      <c r="F3608" s="1"/>
      <c r="G3608" s="1" t="s">
        <v>8</v>
      </c>
      <c r="H3608" s="2">
        <v>296</v>
      </c>
      <c r="I3608" s="1" t="s">
        <v>10830</v>
      </c>
      <c r="J3608" s="1" t="s">
        <v>7459</v>
      </c>
      <c r="K3608" s="1" t="s">
        <v>11</v>
      </c>
      <c r="L3608" s="1" t="s">
        <v>10831</v>
      </c>
      <c r="M3608" s="6" t="str">
        <f>_xlfn.CONCAT(Table1[[#This Row],[Billing Street]], ", ", Table1[[#This Row],[Billing City]], ", ", Table1[[#This Row],[Billing State/Province]], ", ", Table1[[#This Row],[Billing Zip/Postal Code]])</f>
        <v>18256 MO-16, Lewistown, MO, 63452</v>
      </c>
    </row>
    <row r="3609" spans="1:13" ht="15.6" hidden="1" x14ac:dyDescent="0.3">
      <c r="A3609" s="1" t="s">
        <v>10832</v>
      </c>
      <c r="B3609" s="1"/>
      <c r="C3609" s="1"/>
      <c r="D3609" s="1"/>
      <c r="E3609" s="1"/>
      <c r="F3609" s="1"/>
      <c r="G3609" s="1" t="s">
        <v>8</v>
      </c>
      <c r="H3609" s="2">
        <v>236</v>
      </c>
      <c r="I3609" s="1" t="s">
        <v>10833</v>
      </c>
      <c r="J3609" s="1" t="s">
        <v>10834</v>
      </c>
      <c r="K3609" s="1" t="s">
        <v>11</v>
      </c>
      <c r="L3609" s="1" t="s">
        <v>10835</v>
      </c>
      <c r="M3609" s="6" t="str">
        <f>_xlfn.CONCAT(Table1[[#This Row],[Billing Street]], ", ", Table1[[#This Row],[Billing City]], ", ", Table1[[#This Row],[Billing State/Province]], ", ", Table1[[#This Row],[Billing Zip/Postal Code]])</f>
        <v>207 E State St, Linneus, MO, 64653</v>
      </c>
    </row>
    <row r="3610" spans="1:13" ht="15.6" hidden="1" x14ac:dyDescent="0.3">
      <c r="A3610" s="1" t="s">
        <v>10836</v>
      </c>
      <c r="B3610" s="1"/>
      <c r="C3610" s="1"/>
      <c r="D3610" s="1"/>
      <c r="E3610" s="1"/>
      <c r="F3610" s="1"/>
      <c r="G3610" s="1" t="s">
        <v>8</v>
      </c>
      <c r="H3610" s="2">
        <v>267</v>
      </c>
      <c r="I3610" s="1" t="s">
        <v>10837</v>
      </c>
      <c r="J3610" s="1" t="s">
        <v>10838</v>
      </c>
      <c r="K3610" s="1" t="s">
        <v>11</v>
      </c>
      <c r="L3610" s="1" t="s">
        <v>10839</v>
      </c>
      <c r="M3610" s="6" t="str">
        <f>_xlfn.CONCAT(Table1[[#This Row],[Billing Street]], ", ", Table1[[#This Row],[Billing City]], ", ", Table1[[#This Row],[Billing State/Province]], ", ", Table1[[#This Row],[Billing Zip/Postal Code]])</f>
        <v>113 S Gex St, La Plata, MO, 63549</v>
      </c>
    </row>
    <row r="3611" spans="1:13" ht="15.6" hidden="1" x14ac:dyDescent="0.3">
      <c r="A3611" s="1" t="s">
        <v>10840</v>
      </c>
      <c r="B3611" s="1"/>
      <c r="C3611" s="1"/>
      <c r="D3611" s="1"/>
      <c r="E3611" s="1"/>
      <c r="F3611" s="1"/>
      <c r="G3611" s="1" t="s">
        <v>8</v>
      </c>
      <c r="H3611" s="2">
        <v>314</v>
      </c>
      <c r="I3611" s="1" t="s">
        <v>10841</v>
      </c>
      <c r="J3611" s="1" t="s">
        <v>10842</v>
      </c>
      <c r="K3611" s="1" t="s">
        <v>11</v>
      </c>
      <c r="L3611" s="1" t="s">
        <v>10843</v>
      </c>
      <c r="M3611" s="6" t="str">
        <f>_xlfn.CONCAT(Table1[[#This Row],[Billing Street]], ", ", Table1[[#This Row],[Billing City]], ", ", Table1[[#This Row],[Billing State/Province]], ", ", Table1[[#This Row],[Billing Zip/Postal Code]])</f>
        <v>250 N. Morgan St., Kahoka, MO, 63445</v>
      </c>
    </row>
    <row r="3612" spans="1:13" ht="15.6" hidden="1" x14ac:dyDescent="0.3">
      <c r="A3612" s="1" t="s">
        <v>10844</v>
      </c>
      <c r="B3612" s="1"/>
      <c r="C3612" s="1"/>
      <c r="D3612" s="1"/>
      <c r="E3612" s="1"/>
      <c r="F3612" s="1"/>
      <c r="G3612" s="1" t="s">
        <v>8</v>
      </c>
      <c r="H3612" s="2">
        <v>273</v>
      </c>
      <c r="I3612" s="1" t="s">
        <v>10845</v>
      </c>
      <c r="J3612" s="1" t="s">
        <v>10846</v>
      </c>
      <c r="K3612" s="1" t="s">
        <v>11</v>
      </c>
      <c r="L3612" s="1" t="s">
        <v>10847</v>
      </c>
      <c r="M3612" s="6" t="str">
        <f>_xlfn.CONCAT(Table1[[#This Row],[Billing Street]], ", ", Table1[[#This Row],[Billing City]], ", ", Table1[[#This Row],[Billing State/Province]], ", ", Table1[[#This Row],[Billing Zip/Postal Code]])</f>
        <v>108 W. Maple, Hunnewell, MO, 63443</v>
      </c>
    </row>
    <row r="3613" spans="1:13" ht="15.6" x14ac:dyDescent="0.3">
      <c r="A3613" s="1" t="s">
        <v>10848</v>
      </c>
      <c r="B3613" s="1"/>
      <c r="C3613" s="1"/>
      <c r="D3613" s="1"/>
      <c r="E3613" s="1"/>
      <c r="F3613" s="1"/>
      <c r="G3613" s="1" t="s">
        <v>24</v>
      </c>
      <c r="H3613" s="2">
        <v>384</v>
      </c>
      <c r="I3613" s="1" t="s">
        <v>10849</v>
      </c>
      <c r="J3613" s="1" t="s">
        <v>10850</v>
      </c>
      <c r="K3613" s="1" t="s">
        <v>577</v>
      </c>
      <c r="L3613" s="1" t="s">
        <v>10851</v>
      </c>
      <c r="M3613" s="6" t="str">
        <f>_xlfn.CONCAT(Table1[[#This Row],[Billing Street]], ", ", Table1[[#This Row],[Billing City]], ", ", Table1[[#This Row],[Billing State/Province]], ", ", Table1[[#This Row],[Billing Zip/Postal Code]])</f>
        <v>600 Main Street, Gueydan, LA, 70542</v>
      </c>
    </row>
    <row r="3614" spans="1:13" ht="15.6" x14ac:dyDescent="0.3">
      <c r="A3614" s="1" t="s">
        <v>10852</v>
      </c>
      <c r="B3614" s="1"/>
      <c r="C3614" s="1"/>
      <c r="D3614" s="1"/>
      <c r="E3614" s="1"/>
      <c r="F3614" s="1"/>
      <c r="G3614" s="1" t="s">
        <v>24</v>
      </c>
      <c r="H3614" s="2">
        <v>355</v>
      </c>
      <c r="I3614" s="1" t="s">
        <v>10853</v>
      </c>
      <c r="J3614" s="1" t="s">
        <v>997</v>
      </c>
      <c r="K3614" s="1" t="s">
        <v>577</v>
      </c>
      <c r="L3614" s="1" t="s">
        <v>10854</v>
      </c>
      <c r="M3614" s="6" t="str">
        <f>_xlfn.CONCAT(Table1[[#This Row],[Billing Street]], ", ", Table1[[#This Row],[Billing City]], ", ", Table1[[#This Row],[Billing State/Province]], ", ", Table1[[#This Row],[Billing Zip/Postal Code]])</f>
        <v>731 Brothers RD., Lafayette, LA, 79507</v>
      </c>
    </row>
    <row r="3615" spans="1:13" ht="15.6" x14ac:dyDescent="0.3">
      <c r="A3615" s="1" t="s">
        <v>10855</v>
      </c>
      <c r="B3615" s="1"/>
      <c r="C3615" s="1"/>
      <c r="D3615" s="1"/>
      <c r="E3615" s="1"/>
      <c r="F3615" s="1"/>
      <c r="G3615" s="1" t="s">
        <v>24</v>
      </c>
      <c r="H3615" s="2">
        <v>240</v>
      </c>
      <c r="I3615" s="1" t="s">
        <v>10856</v>
      </c>
      <c r="J3615" s="1" t="s">
        <v>10857</v>
      </c>
      <c r="K3615" s="1" t="s">
        <v>577</v>
      </c>
      <c r="L3615" s="1" t="s">
        <v>10858</v>
      </c>
      <c r="M3615" s="6" t="str">
        <f>_xlfn.CONCAT(Table1[[#This Row],[Billing Street]], ", ", Table1[[#This Row],[Billing City]], ", ", Table1[[#This Row],[Billing State/Province]], ", ", Table1[[#This Row],[Billing Zip/Postal Code]])</f>
        <v>950 Pearl Street, Franklinton, LA, 70438</v>
      </c>
    </row>
    <row r="3616" spans="1:13" ht="15.6" hidden="1" x14ac:dyDescent="0.3">
      <c r="A3616" s="1" t="s">
        <v>10859</v>
      </c>
      <c r="B3616" s="1"/>
      <c r="C3616" s="1"/>
      <c r="D3616" s="1"/>
      <c r="E3616" s="1"/>
      <c r="F3616" s="1"/>
      <c r="G3616" s="1" t="s">
        <v>205</v>
      </c>
      <c r="H3616" s="2">
        <v>253</v>
      </c>
      <c r="I3616" s="1" t="s">
        <v>10860</v>
      </c>
      <c r="J3616" s="1" t="s">
        <v>10861</v>
      </c>
      <c r="K3616" s="1" t="s">
        <v>1695</v>
      </c>
      <c r="L3616" s="1" t="s">
        <v>10862</v>
      </c>
      <c r="M3616" s="6" t="str">
        <f>_xlfn.CONCAT(Table1[[#This Row],[Billing Street]], ", ", Table1[[#This Row],[Billing City]], ", ", Table1[[#This Row],[Billing State/Province]], ", ", Table1[[#This Row],[Billing Zip/Postal Code]])</f>
        <v>615 N Moapa Valley Blvd, Moapa Valley, NV, 89040</v>
      </c>
    </row>
    <row r="3617" spans="1:13" ht="15.6" x14ac:dyDescent="0.3">
      <c r="A3617" s="1" t="s">
        <v>10863</v>
      </c>
      <c r="B3617" s="1"/>
      <c r="C3617" s="1"/>
      <c r="D3617" s="1"/>
      <c r="E3617" s="1"/>
      <c r="F3617" s="1"/>
      <c r="G3617" s="1" t="s">
        <v>24</v>
      </c>
      <c r="H3617" s="2">
        <v>446</v>
      </c>
      <c r="I3617" s="1" t="s">
        <v>10864</v>
      </c>
      <c r="J3617" s="1" t="s">
        <v>9477</v>
      </c>
      <c r="K3617" s="1" t="s">
        <v>577</v>
      </c>
      <c r="L3617" s="1" t="s">
        <v>10865</v>
      </c>
      <c r="M3617" s="6" t="str">
        <f>_xlfn.CONCAT(Table1[[#This Row],[Billing Street]], ", ", Table1[[#This Row],[Billing City]], ", ", Table1[[#This Row],[Billing State/Province]], ", ", Table1[[#This Row],[Billing Zip/Postal Code]])</f>
        <v>1200 Horridge Street, Vinton, LA, 70668</v>
      </c>
    </row>
    <row r="3618" spans="1:13" ht="15.6" hidden="1" x14ac:dyDescent="0.3">
      <c r="A3618" s="1" t="s">
        <v>10866</v>
      </c>
      <c r="B3618" s="1"/>
      <c r="C3618" s="1"/>
      <c r="D3618" s="1"/>
      <c r="E3618" s="1"/>
      <c r="F3618" s="1"/>
      <c r="G3618" s="1" t="s">
        <v>8</v>
      </c>
      <c r="H3618" s="2">
        <v>484</v>
      </c>
      <c r="I3618" s="1" t="s">
        <v>10867</v>
      </c>
      <c r="J3618" s="1" t="s">
        <v>6595</v>
      </c>
      <c r="K3618" s="1" t="s">
        <v>229</v>
      </c>
      <c r="L3618" s="1" t="s">
        <v>6596</v>
      </c>
      <c r="M3618" s="6" t="str">
        <f>_xlfn.CONCAT(Table1[[#This Row],[Billing Street]], ", ", Table1[[#This Row],[Billing City]], ", ", Table1[[#This Row],[Billing State/Province]], ", ", Table1[[#This Row],[Billing Zip/Postal Code]])</f>
        <v>23476 469th Avenue, Colman, SD, 57017</v>
      </c>
    </row>
    <row r="3619" spans="1:13" ht="15.6" hidden="1" x14ac:dyDescent="0.3">
      <c r="A3619" s="1" t="s">
        <v>10868</v>
      </c>
      <c r="B3619" s="1"/>
      <c r="C3619" s="1"/>
      <c r="D3619" s="1"/>
      <c r="E3619" s="1"/>
      <c r="F3619" s="1"/>
      <c r="G3619" s="1" t="s">
        <v>205</v>
      </c>
      <c r="H3619" s="2">
        <v>514</v>
      </c>
      <c r="I3619" s="1" t="s">
        <v>10869</v>
      </c>
      <c r="J3619" s="1" t="s">
        <v>10870</v>
      </c>
      <c r="K3619" s="1" t="s">
        <v>472</v>
      </c>
      <c r="L3619" s="1" t="s">
        <v>10871</v>
      </c>
      <c r="M3619" s="6" t="str">
        <f>_xlfn.CONCAT(Table1[[#This Row],[Billing Street]], ", ", Table1[[#This Row],[Billing City]], ", ", Table1[[#This Row],[Billing State/Province]], ", ", Table1[[#This Row],[Billing Zip/Postal Code]])</f>
        <v>198 S 200 W, Bountiful, UT, 84010</v>
      </c>
    </row>
    <row r="3620" spans="1:13" ht="15.6" x14ac:dyDescent="0.3">
      <c r="A3620" s="1" t="s">
        <v>10872</v>
      </c>
      <c r="B3620" s="1"/>
      <c r="C3620" s="1"/>
      <c r="D3620" s="1"/>
      <c r="E3620" s="1"/>
      <c r="F3620" s="1"/>
      <c r="G3620" s="1" t="s">
        <v>24</v>
      </c>
      <c r="H3620" s="2">
        <v>5988</v>
      </c>
      <c r="I3620" s="1" t="s">
        <v>13</v>
      </c>
      <c r="J3620" s="1" t="s">
        <v>10873</v>
      </c>
      <c r="K3620" s="1" t="s">
        <v>577</v>
      </c>
      <c r="L3620" s="1" t="s">
        <v>13</v>
      </c>
      <c r="M3620" s="6" t="str">
        <f>_xlfn.CONCAT(Table1[[#This Row],[Billing Street]], ", ", Table1[[#This Row],[Billing City]], ", ", Table1[[#This Row],[Billing State/Province]], ", ", Table1[[#This Row],[Billing Zip/Postal Code]])</f>
        <v xml:space="preserve">, Cuttoff, LA, </v>
      </c>
    </row>
    <row r="3621" spans="1:13" ht="15.6" x14ac:dyDescent="0.3">
      <c r="A3621" s="1" t="s">
        <v>10874</v>
      </c>
      <c r="B3621" s="1"/>
      <c r="C3621" s="1"/>
      <c r="D3621" s="1"/>
      <c r="E3621" s="1"/>
      <c r="F3621" s="1"/>
      <c r="G3621" s="1" t="s">
        <v>24</v>
      </c>
      <c r="H3621" s="2">
        <v>287</v>
      </c>
      <c r="I3621" s="1" t="s">
        <v>10875</v>
      </c>
      <c r="J3621" s="1" t="s">
        <v>4870</v>
      </c>
      <c r="K3621" s="1" t="s">
        <v>577</v>
      </c>
      <c r="L3621" s="1" t="s">
        <v>9740</v>
      </c>
      <c r="M3621" s="6" t="str">
        <f>_xlfn.CONCAT(Table1[[#This Row],[Billing Street]], ", ", Table1[[#This Row],[Billing City]], ", ", Table1[[#This Row],[Billing State/Province]], ", ", Table1[[#This Row],[Billing Zip/Postal Code]])</f>
        <v>1129 EAST HWY 30, Gonzales, LA, 70737</v>
      </c>
    </row>
    <row r="3622" spans="1:13" ht="15.6" hidden="1" x14ac:dyDescent="0.3">
      <c r="A3622" s="1" t="s">
        <v>10876</v>
      </c>
      <c r="B3622" s="1"/>
      <c r="C3622" s="1"/>
      <c r="D3622" s="1"/>
      <c r="E3622" s="1"/>
      <c r="F3622" s="1"/>
      <c r="G3622" s="1" t="s">
        <v>43</v>
      </c>
      <c r="H3622" s="2">
        <v>167</v>
      </c>
      <c r="I3622" s="1" t="s">
        <v>10877</v>
      </c>
      <c r="J3622" s="1" t="s">
        <v>10878</v>
      </c>
      <c r="K3622" s="1" t="s">
        <v>82</v>
      </c>
      <c r="L3622" s="1" t="s">
        <v>10879</v>
      </c>
      <c r="M3622" s="6" t="str">
        <f>_xlfn.CONCAT(Table1[[#This Row],[Billing Street]], ", ", Table1[[#This Row],[Billing City]], ", ", Table1[[#This Row],[Billing State/Province]], ", ", Table1[[#This Row],[Billing Zip/Postal Code]])</f>
        <v>G-5305 N. Dort Highway, Flint, MI, 48505</v>
      </c>
    </row>
    <row r="3623" spans="1:13" ht="15.6" x14ac:dyDescent="0.3">
      <c r="A3623" s="1" t="s">
        <v>10880</v>
      </c>
      <c r="B3623" s="1"/>
      <c r="C3623" s="1"/>
      <c r="D3623" s="1"/>
      <c r="E3623" s="1"/>
      <c r="F3623" s="1"/>
      <c r="G3623" s="1" t="s">
        <v>24</v>
      </c>
      <c r="H3623" s="2">
        <v>302</v>
      </c>
      <c r="I3623" s="1" t="s">
        <v>10881</v>
      </c>
      <c r="J3623" s="1" t="s">
        <v>4402</v>
      </c>
      <c r="K3623" s="1" t="s">
        <v>577</v>
      </c>
      <c r="L3623" s="1" t="s">
        <v>10882</v>
      </c>
      <c r="M3623" s="6" t="str">
        <f>_xlfn.CONCAT(Table1[[#This Row],[Billing Street]], ", ", Table1[[#This Row],[Billing City]], ", ", Table1[[#This Row],[Billing State/Province]], ", ", Table1[[#This Row],[Billing Zip/Postal Code]])</f>
        <v>1201 N. Third Street, Suite 2-160, Baton Rouge, LA, 70802</v>
      </c>
    </row>
    <row r="3624" spans="1:13" ht="15.6" hidden="1" x14ac:dyDescent="0.3">
      <c r="A3624" s="1" t="s">
        <v>10883</v>
      </c>
      <c r="B3624" s="1"/>
      <c r="C3624" s="1"/>
      <c r="D3624" s="1"/>
      <c r="E3624" s="1"/>
      <c r="F3624" s="1"/>
      <c r="G3624" s="1" t="s">
        <v>8</v>
      </c>
      <c r="H3624" s="2">
        <v>471</v>
      </c>
      <c r="I3624" s="1" t="s">
        <v>10884</v>
      </c>
      <c r="J3624" s="1" t="s">
        <v>10885</v>
      </c>
      <c r="K3624" s="1" t="s">
        <v>51</v>
      </c>
      <c r="L3624" s="1" t="s">
        <v>10886</v>
      </c>
      <c r="M3624" s="6" t="str">
        <f>_xlfn.CONCAT(Table1[[#This Row],[Billing Street]], ", ", Table1[[#This Row],[Billing City]], ", ", Table1[[#This Row],[Billing State/Province]], ", ", Table1[[#This Row],[Billing Zip/Postal Code]])</f>
        <v>1421 W Wells Branch Pkwy, Pflugerville, TX, 78660</v>
      </c>
    </row>
    <row r="3625" spans="1:13" ht="15.6" x14ac:dyDescent="0.3">
      <c r="A3625" s="1" t="s">
        <v>10887</v>
      </c>
      <c r="B3625" s="1"/>
      <c r="C3625" s="1"/>
      <c r="D3625" s="1"/>
      <c r="E3625" s="1"/>
      <c r="F3625" s="1"/>
      <c r="G3625" s="1" t="s">
        <v>24</v>
      </c>
      <c r="H3625" s="2">
        <v>259</v>
      </c>
      <c r="I3625" s="1" t="s">
        <v>10888</v>
      </c>
      <c r="J3625" s="1" t="s">
        <v>9200</v>
      </c>
      <c r="K3625" s="1" t="s">
        <v>577</v>
      </c>
      <c r="L3625" s="1" t="s">
        <v>10889</v>
      </c>
      <c r="M3625" s="6" t="str">
        <f>_xlfn.CONCAT(Table1[[#This Row],[Billing Street]], ", ", Table1[[#This Row],[Billing City]], ", ", Table1[[#This Row],[Billing State/Province]], ", ", Table1[[#This Row],[Billing Zip/Postal Code]])</f>
        <v>500 W. University Ave, Hammond, LA, 70402</v>
      </c>
    </row>
    <row r="3626" spans="1:13" ht="15.6" hidden="1" x14ac:dyDescent="0.3">
      <c r="A3626" s="1" t="s">
        <v>10890</v>
      </c>
      <c r="B3626" s="1"/>
      <c r="C3626" s="1"/>
      <c r="D3626" s="1"/>
      <c r="E3626" s="1"/>
      <c r="F3626" s="1"/>
      <c r="G3626" s="1" t="s">
        <v>8</v>
      </c>
      <c r="H3626" s="2">
        <v>229</v>
      </c>
      <c r="I3626" s="1" t="s">
        <v>10891</v>
      </c>
      <c r="J3626" s="1" t="s">
        <v>10890</v>
      </c>
      <c r="K3626" s="1" t="s">
        <v>554</v>
      </c>
      <c r="L3626" s="1" t="s">
        <v>10892</v>
      </c>
      <c r="M3626" s="6" t="str">
        <f>_xlfn.CONCAT(Table1[[#This Row],[Billing Street]], ", ", Table1[[#This Row],[Billing City]], ", ", Table1[[#This Row],[Billing State/Province]], ", ", Table1[[#This Row],[Billing Zip/Postal Code]])</f>
        <v>804 Locust St, Cawker City, KS, 67430</v>
      </c>
    </row>
    <row r="3627" spans="1:13" ht="15.6" x14ac:dyDescent="0.3">
      <c r="A3627" s="1" t="s">
        <v>10893</v>
      </c>
      <c r="B3627" s="1"/>
      <c r="C3627" s="1"/>
      <c r="D3627" s="1"/>
      <c r="E3627" s="1"/>
      <c r="F3627" s="1"/>
      <c r="G3627" s="1" t="s">
        <v>24</v>
      </c>
      <c r="H3627" s="2">
        <v>214</v>
      </c>
      <c r="I3627" s="1" t="s">
        <v>10894</v>
      </c>
      <c r="J3627" s="1" t="s">
        <v>10895</v>
      </c>
      <c r="K3627" s="1" t="s">
        <v>31</v>
      </c>
      <c r="L3627" s="1" t="s">
        <v>10896</v>
      </c>
      <c r="M3627" s="6" t="str">
        <f>_xlfn.CONCAT(Table1[[#This Row],[Billing Street]], ", ", Table1[[#This Row],[Billing City]], ", ", Table1[[#This Row],[Billing State/Province]], ", ", Table1[[#This Row],[Billing Zip/Postal Code]])</f>
        <v>Old Hwy 49, Collins, MS, 39428</v>
      </c>
    </row>
    <row r="3628" spans="1:13" ht="15.6" x14ac:dyDescent="0.3">
      <c r="A3628" s="1" t="s">
        <v>10897</v>
      </c>
      <c r="B3628" s="1"/>
      <c r="C3628" s="1"/>
      <c r="D3628" s="1"/>
      <c r="E3628" s="1"/>
      <c r="F3628" s="1"/>
      <c r="G3628" s="1" t="s">
        <v>24</v>
      </c>
      <c r="H3628" s="2">
        <v>283</v>
      </c>
      <c r="I3628" s="1" t="s">
        <v>10898</v>
      </c>
      <c r="J3628" s="1" t="s">
        <v>4402</v>
      </c>
      <c r="K3628" s="1" t="s">
        <v>577</v>
      </c>
      <c r="L3628" s="1" t="s">
        <v>10899</v>
      </c>
      <c r="M3628" s="6" t="str">
        <f>_xlfn.CONCAT(Table1[[#This Row],[Billing Street]], ", ", Table1[[#This Row],[Billing City]], ", ", Table1[[#This Row],[Billing State/Province]], ", ", Table1[[#This Row],[Billing Zip/Postal Code]])</f>
        <v>24907 Wlaker South Road, Baton Rouge, LA, 70726</v>
      </c>
    </row>
    <row r="3629" spans="1:13" ht="15.6" hidden="1" x14ac:dyDescent="0.3">
      <c r="A3629" s="1" t="s">
        <v>10900</v>
      </c>
      <c r="B3629" s="1"/>
      <c r="C3629" s="1"/>
      <c r="D3629" s="1"/>
      <c r="E3629" s="1"/>
      <c r="F3629" s="1"/>
      <c r="G3629" s="1" t="s">
        <v>54</v>
      </c>
      <c r="H3629" s="2">
        <v>58</v>
      </c>
      <c r="I3629" s="1" t="s">
        <v>10901</v>
      </c>
      <c r="J3629" s="1" t="s">
        <v>10902</v>
      </c>
      <c r="K3629" s="1" t="s">
        <v>57</v>
      </c>
      <c r="L3629" s="1" t="s">
        <v>10903</v>
      </c>
      <c r="M3629" s="6" t="str">
        <f>_xlfn.CONCAT(Table1[[#This Row],[Billing Street]], ", ", Table1[[#This Row],[Billing City]], ", ", Table1[[#This Row],[Billing State/Province]], ", ", Table1[[#This Row],[Billing Zip/Postal Code]])</f>
        <v>1694 Eastman Ave, Ventura, CA, 93003</v>
      </c>
    </row>
    <row r="3630" spans="1:13" ht="15.6" hidden="1" x14ac:dyDescent="0.3">
      <c r="A3630" s="1" t="s">
        <v>10904</v>
      </c>
      <c r="B3630" s="1"/>
      <c r="C3630" s="1"/>
      <c r="D3630" s="1"/>
      <c r="E3630" s="1"/>
      <c r="F3630" s="1"/>
      <c r="G3630" s="1" t="s">
        <v>54</v>
      </c>
      <c r="H3630" s="2">
        <v>959</v>
      </c>
      <c r="I3630" s="1" t="s">
        <v>10905</v>
      </c>
      <c r="J3630" s="1" t="s">
        <v>404</v>
      </c>
      <c r="K3630" s="1" t="s">
        <v>405</v>
      </c>
      <c r="L3630" s="1" t="s">
        <v>10906</v>
      </c>
      <c r="M3630" s="6" t="str">
        <f>_xlfn.CONCAT(Table1[[#This Row],[Billing Street]], ", ", Table1[[#This Row],[Billing City]], ", ", Table1[[#This Row],[Billing State/Province]], ", ", Table1[[#This Row],[Billing Zip/Postal Code]])</f>
        <v>1501 1st AVE S. Suite 300, Seattle, WA, 98314</v>
      </c>
    </row>
    <row r="3631" spans="1:13" ht="15.6" hidden="1" x14ac:dyDescent="0.3">
      <c r="A3631" s="1" t="s">
        <v>10907</v>
      </c>
      <c r="B3631" s="1"/>
      <c r="C3631" s="1"/>
      <c r="D3631" s="1"/>
      <c r="E3631" s="1"/>
      <c r="F3631" s="1"/>
      <c r="G3631" s="1" t="s">
        <v>43</v>
      </c>
      <c r="H3631" s="2">
        <v>5776</v>
      </c>
      <c r="I3631" s="1" t="s">
        <v>10908</v>
      </c>
      <c r="J3631" s="1" t="s">
        <v>10909</v>
      </c>
      <c r="K3631" s="1" t="s">
        <v>95</v>
      </c>
      <c r="L3631" s="1" t="s">
        <v>10910</v>
      </c>
      <c r="M3631" s="6" t="str">
        <f>_xlfn.CONCAT(Table1[[#This Row],[Billing Street]], ", ", Table1[[#This Row],[Billing City]], ", ", Table1[[#This Row],[Billing State/Province]], ", ", Table1[[#This Row],[Billing Zip/Postal Code]])</f>
        <v>25 Avco Dr., Haverhill, MA, 1835</v>
      </c>
    </row>
    <row r="3632" spans="1:13" ht="15.6" hidden="1" x14ac:dyDescent="0.3">
      <c r="A3632" s="1" t="s">
        <v>10911</v>
      </c>
      <c r="B3632" s="1"/>
      <c r="C3632" s="1"/>
      <c r="D3632" s="1"/>
      <c r="E3632" s="1"/>
      <c r="F3632" s="1"/>
      <c r="G3632" s="1" t="s">
        <v>54</v>
      </c>
      <c r="H3632" s="2">
        <v>1</v>
      </c>
      <c r="I3632" s="1" t="s">
        <v>10912</v>
      </c>
      <c r="J3632" s="1" t="s">
        <v>2048</v>
      </c>
      <c r="K3632" s="1" t="s">
        <v>57</v>
      </c>
      <c r="L3632" s="1" t="s">
        <v>10365</v>
      </c>
      <c r="M3632" s="6" t="str">
        <f>_xlfn.CONCAT(Table1[[#This Row],[Billing Street]], ", ", Table1[[#This Row],[Billing City]], ", ", Table1[[#This Row],[Billing State/Province]], ", ", Table1[[#This Row],[Billing Zip/Postal Code]])</f>
        <v>636 NORTH HILL PLACE #204B, Los Angeles, CA, 90012</v>
      </c>
    </row>
    <row r="3633" spans="1:13" ht="15.6" x14ac:dyDescent="0.3">
      <c r="A3633" s="1" t="s">
        <v>10913</v>
      </c>
      <c r="B3633" s="1"/>
      <c r="C3633" s="1"/>
      <c r="D3633" s="1"/>
      <c r="E3633" s="1"/>
      <c r="F3633" s="1"/>
      <c r="G3633" s="1" t="s">
        <v>24</v>
      </c>
      <c r="H3633" s="2">
        <v>319</v>
      </c>
      <c r="I3633" s="1" t="s">
        <v>10914</v>
      </c>
      <c r="J3633" s="1" t="s">
        <v>10915</v>
      </c>
      <c r="K3633" s="1" t="s">
        <v>577</v>
      </c>
      <c r="L3633" s="1" t="s">
        <v>10916</v>
      </c>
      <c r="M3633" s="6" t="str">
        <f>_xlfn.CONCAT(Table1[[#This Row],[Billing Street]], ", ", Table1[[#This Row],[Billing City]], ", ", Table1[[#This Row],[Billing State/Province]], ", ", Table1[[#This Row],[Billing Zip/Postal Code]])</f>
        <v>116 Burnside Dr., Tallulah, LA, 71282</v>
      </c>
    </row>
    <row r="3634" spans="1:13" ht="15.6" hidden="1" x14ac:dyDescent="0.3">
      <c r="A3634" s="1" t="s">
        <v>10917</v>
      </c>
      <c r="B3634" s="1"/>
      <c r="C3634" s="1"/>
      <c r="D3634" s="1"/>
      <c r="E3634" s="1"/>
      <c r="F3634" s="1"/>
      <c r="G3634" s="1" t="s">
        <v>205</v>
      </c>
      <c r="H3634" s="2">
        <v>263</v>
      </c>
      <c r="I3634" s="1" t="s">
        <v>10918</v>
      </c>
      <c r="J3634" s="1" t="s">
        <v>10919</v>
      </c>
      <c r="K3634" s="1" t="s">
        <v>266</v>
      </c>
      <c r="L3634" s="1" t="s">
        <v>10920</v>
      </c>
      <c r="M3634" s="6" t="str">
        <f>_xlfn.CONCAT(Table1[[#This Row],[Billing Street]], ", ", Table1[[#This Row],[Billing City]], ", ", Table1[[#This Row],[Billing State/Province]], ", ", Table1[[#This Row],[Billing Zip/Postal Code]])</f>
        <v>900 N. Gold, Deming, NM, 80031</v>
      </c>
    </row>
    <row r="3635" spans="1:13" ht="15.6" x14ac:dyDescent="0.3">
      <c r="A3635" s="1" t="s">
        <v>10921</v>
      </c>
      <c r="B3635" s="1"/>
      <c r="C3635" s="1"/>
      <c r="D3635" s="1"/>
      <c r="E3635" s="1"/>
      <c r="F3635" s="1"/>
      <c r="G3635" s="1" t="s">
        <v>24</v>
      </c>
      <c r="H3635" s="2">
        <v>306</v>
      </c>
      <c r="I3635" s="1" t="s">
        <v>10922</v>
      </c>
      <c r="J3635" s="1" t="s">
        <v>6674</v>
      </c>
      <c r="K3635" s="1" t="s">
        <v>577</v>
      </c>
      <c r="L3635" s="1" t="s">
        <v>5410</v>
      </c>
      <c r="M3635" s="6" t="str">
        <f>_xlfn.CONCAT(Table1[[#This Row],[Billing Street]], ", ", Table1[[#This Row],[Billing City]], ", ", Table1[[#This Row],[Billing State/Province]], ", ", Table1[[#This Row],[Billing Zip/Postal Code]])</f>
        <v>23640 Railroad Ave., Plaquemine, LA, 70764</v>
      </c>
    </row>
    <row r="3636" spans="1:13" ht="15.6" x14ac:dyDescent="0.3">
      <c r="A3636" s="1" t="s">
        <v>10923</v>
      </c>
      <c r="B3636" s="1"/>
      <c r="C3636" s="1"/>
      <c r="D3636" s="1"/>
      <c r="E3636" s="1"/>
      <c r="F3636" s="1"/>
      <c r="G3636" s="1" t="s">
        <v>24</v>
      </c>
      <c r="H3636" s="2">
        <v>321</v>
      </c>
      <c r="I3636" s="1" t="s">
        <v>10924</v>
      </c>
      <c r="J3636" s="1" t="s">
        <v>10759</v>
      </c>
      <c r="K3636" s="1" t="s">
        <v>577</v>
      </c>
      <c r="L3636" s="1" t="s">
        <v>10760</v>
      </c>
      <c r="M3636" s="6" t="str">
        <f>_xlfn.CONCAT(Table1[[#This Row],[Billing Street]], ", ", Table1[[#This Row],[Billing City]], ", ", Table1[[#This Row],[Billing State/Province]], ", ", Table1[[#This Row],[Billing Zip/Postal Code]])</f>
        <v>1830 Carter Street, Vidalia, LA, 71373</v>
      </c>
    </row>
    <row r="3637" spans="1:13" ht="15.6" x14ac:dyDescent="0.3">
      <c r="A3637" s="1" t="s">
        <v>10925</v>
      </c>
      <c r="B3637" s="1"/>
      <c r="C3637" s="1"/>
      <c r="D3637" s="1"/>
      <c r="E3637" s="1"/>
      <c r="F3637" s="1"/>
      <c r="G3637" s="1" t="s">
        <v>24</v>
      </c>
      <c r="H3637" s="2">
        <v>295</v>
      </c>
      <c r="I3637" s="1" t="s">
        <v>10926</v>
      </c>
      <c r="J3637" s="1" t="s">
        <v>4402</v>
      </c>
      <c r="K3637" s="1" t="s">
        <v>577</v>
      </c>
      <c r="L3637" s="1" t="s">
        <v>10927</v>
      </c>
      <c r="M3637" s="6" t="str">
        <f>_xlfn.CONCAT(Table1[[#This Row],[Billing Street]], ", ", Table1[[#This Row],[Billing City]], ", ", Table1[[#This Row],[Billing State/Province]], ", ", Table1[[#This Row],[Billing Zip/Postal Code]])</f>
        <v>10725 Airline Hwy., Baton Rouge, LA, 70816</v>
      </c>
    </row>
    <row r="3638" spans="1:13" ht="15.6" hidden="1" x14ac:dyDescent="0.3">
      <c r="A3638" s="1" t="s">
        <v>10928</v>
      </c>
      <c r="B3638" s="1"/>
      <c r="C3638" s="1"/>
      <c r="D3638" s="1"/>
      <c r="E3638" s="1"/>
      <c r="F3638" s="1"/>
      <c r="G3638" s="1" t="s">
        <v>43</v>
      </c>
      <c r="H3638" s="2">
        <v>5776</v>
      </c>
      <c r="I3638" s="1" t="s">
        <v>13</v>
      </c>
      <c r="J3638" s="1" t="s">
        <v>13</v>
      </c>
      <c r="K3638" s="1" t="s">
        <v>4012</v>
      </c>
      <c r="L3638" s="1" t="s">
        <v>13</v>
      </c>
      <c r="M3638" s="6" t="str">
        <f>_xlfn.CONCAT(Table1[[#This Row],[Billing Street]], ", ", Table1[[#This Row],[Billing City]], ", ", Table1[[#This Row],[Billing State/Province]], ", ", Table1[[#This Row],[Billing Zip/Postal Code]])</f>
        <v xml:space="preserve">, , ME, </v>
      </c>
    </row>
    <row r="3639" spans="1:13" ht="15.6" hidden="1" x14ac:dyDescent="0.3">
      <c r="A3639" s="1" t="s">
        <v>10929</v>
      </c>
      <c r="B3639" s="1"/>
      <c r="C3639" s="1"/>
      <c r="D3639" s="1"/>
      <c r="E3639" s="1"/>
      <c r="F3639" s="1"/>
      <c r="G3639" s="1" t="s">
        <v>8</v>
      </c>
      <c r="H3639" s="2">
        <v>6528</v>
      </c>
      <c r="I3639" s="1" t="s">
        <v>10930</v>
      </c>
      <c r="J3639" s="1" t="s">
        <v>8457</v>
      </c>
      <c r="K3639" s="1" t="s">
        <v>51</v>
      </c>
      <c r="L3639" s="1" t="s">
        <v>13</v>
      </c>
      <c r="M3639" s="6" t="str">
        <f>_xlfn.CONCAT(Table1[[#This Row],[Billing Street]], ", ", Table1[[#This Row],[Billing City]], ", ", Table1[[#This Row],[Billing State/Province]], ", ", Table1[[#This Row],[Billing Zip/Postal Code]])</f>
        <v xml:space="preserve">301 S Harrison St, San Augustine, TX, </v>
      </c>
    </row>
    <row r="3640" spans="1:13" ht="15.6" hidden="1" x14ac:dyDescent="0.3">
      <c r="A3640" s="1" t="s">
        <v>10931</v>
      </c>
      <c r="B3640" s="1"/>
      <c r="C3640" s="1"/>
      <c r="D3640" s="1"/>
      <c r="E3640" s="1"/>
      <c r="F3640" s="1"/>
      <c r="G3640" s="1" t="s">
        <v>43</v>
      </c>
      <c r="H3640" s="2">
        <v>5776</v>
      </c>
      <c r="I3640" s="1" t="s">
        <v>13</v>
      </c>
      <c r="J3640" s="1" t="s">
        <v>13</v>
      </c>
      <c r="K3640" s="1" t="s">
        <v>4012</v>
      </c>
      <c r="L3640" s="1" t="s">
        <v>13</v>
      </c>
      <c r="M3640" s="6" t="str">
        <f>_xlfn.CONCAT(Table1[[#This Row],[Billing Street]], ", ", Table1[[#This Row],[Billing City]], ", ", Table1[[#This Row],[Billing State/Province]], ", ", Table1[[#This Row],[Billing Zip/Postal Code]])</f>
        <v xml:space="preserve">, , ME, </v>
      </c>
    </row>
    <row r="3641" spans="1:13" ht="15.6" hidden="1" x14ac:dyDescent="0.3">
      <c r="A3641" s="1" t="s">
        <v>10932</v>
      </c>
      <c r="B3641" s="1"/>
      <c r="C3641" s="1"/>
      <c r="D3641" s="1"/>
      <c r="E3641" s="1"/>
      <c r="F3641" s="1"/>
      <c r="G3641" s="1" t="s">
        <v>43</v>
      </c>
      <c r="H3641" s="2">
        <v>5776</v>
      </c>
      <c r="I3641" s="1" t="s">
        <v>13</v>
      </c>
      <c r="J3641" s="1" t="s">
        <v>13</v>
      </c>
      <c r="K3641" s="1" t="s">
        <v>4012</v>
      </c>
      <c r="L3641" s="1" t="s">
        <v>13</v>
      </c>
      <c r="M3641" s="6" t="str">
        <f>_xlfn.CONCAT(Table1[[#This Row],[Billing Street]], ", ", Table1[[#This Row],[Billing City]], ", ", Table1[[#This Row],[Billing State/Province]], ", ", Table1[[#This Row],[Billing Zip/Postal Code]])</f>
        <v xml:space="preserve">, , ME, </v>
      </c>
    </row>
    <row r="3642" spans="1:13" ht="15.6" hidden="1" x14ac:dyDescent="0.3">
      <c r="A3642" s="1" t="s">
        <v>10933</v>
      </c>
      <c r="B3642" s="1"/>
      <c r="C3642" s="1"/>
      <c r="D3642" s="1"/>
      <c r="E3642" s="1"/>
      <c r="F3642" s="1"/>
      <c r="G3642" s="1" t="s">
        <v>43</v>
      </c>
      <c r="H3642" s="2">
        <v>5776</v>
      </c>
      <c r="I3642" s="1" t="s">
        <v>13</v>
      </c>
      <c r="J3642" s="1" t="s">
        <v>13</v>
      </c>
      <c r="K3642" s="1" t="s">
        <v>4012</v>
      </c>
      <c r="L3642" s="1" t="s">
        <v>13</v>
      </c>
      <c r="M3642" s="6" t="str">
        <f>_xlfn.CONCAT(Table1[[#This Row],[Billing Street]], ", ", Table1[[#This Row],[Billing City]], ", ", Table1[[#This Row],[Billing State/Province]], ", ", Table1[[#This Row],[Billing Zip/Postal Code]])</f>
        <v xml:space="preserve">, , ME, </v>
      </c>
    </row>
    <row r="3643" spans="1:13" ht="15.6" x14ac:dyDescent="0.3">
      <c r="A3643" s="1" t="s">
        <v>10934</v>
      </c>
      <c r="B3643" s="1"/>
      <c r="C3643" s="1"/>
      <c r="D3643" s="1"/>
      <c r="E3643" s="1"/>
      <c r="F3643" s="1"/>
      <c r="G3643" s="1" t="s">
        <v>24</v>
      </c>
      <c r="H3643" s="2">
        <v>69</v>
      </c>
      <c r="I3643" s="1" t="s">
        <v>10935</v>
      </c>
      <c r="J3643" s="1" t="s">
        <v>715</v>
      </c>
      <c r="K3643" s="1" t="s">
        <v>36</v>
      </c>
      <c r="L3643" s="1" t="s">
        <v>716</v>
      </c>
      <c r="M3643" s="6" t="str">
        <f>_xlfn.CONCAT(Table1[[#This Row],[Billing Street]], ", ", Table1[[#This Row],[Billing City]], ", ", Table1[[#This Row],[Billing State/Province]], ", ", Table1[[#This Row],[Billing Zip/Postal Code]])</f>
        <v>4085 North Pace Blvd, Pensacola, FL, 32505</v>
      </c>
    </row>
    <row r="3644" spans="1:13" ht="15.6" hidden="1" x14ac:dyDescent="0.3">
      <c r="A3644" s="1" t="s">
        <v>10936</v>
      </c>
      <c r="B3644" s="1"/>
      <c r="C3644" s="1"/>
      <c r="D3644" s="1"/>
      <c r="E3644" s="1"/>
      <c r="F3644" s="1"/>
      <c r="G3644" s="1" t="s">
        <v>8</v>
      </c>
      <c r="H3644" s="2">
        <v>6528</v>
      </c>
      <c r="I3644" s="1" t="s">
        <v>10937</v>
      </c>
      <c r="J3644" s="1" t="s">
        <v>10938</v>
      </c>
      <c r="K3644" s="1" t="s">
        <v>2414</v>
      </c>
      <c r="L3644" s="1" t="s">
        <v>10939</v>
      </c>
      <c r="M3644" s="6" t="str">
        <f>_xlfn.CONCAT(Table1[[#This Row],[Billing Street]], ", ", Table1[[#This Row],[Billing City]], ", ", Table1[[#This Row],[Billing State/Province]], ", ", Table1[[#This Row],[Billing Zip/Postal Code]])</f>
        <v>242 S. 64th Street, West Billings, MT, 59106</v>
      </c>
    </row>
    <row r="3645" spans="1:13" ht="15.6" hidden="1" x14ac:dyDescent="0.3">
      <c r="A3645" s="1" t="s">
        <v>10940</v>
      </c>
      <c r="B3645" s="1"/>
      <c r="C3645" s="1"/>
      <c r="D3645" s="1"/>
      <c r="E3645" s="1"/>
      <c r="F3645" s="1"/>
      <c r="G3645" s="1" t="s">
        <v>8</v>
      </c>
      <c r="H3645" s="2">
        <v>549</v>
      </c>
      <c r="I3645" s="1" t="s">
        <v>10941</v>
      </c>
      <c r="J3645" s="1" t="s">
        <v>10942</v>
      </c>
      <c r="K3645" s="1" t="s">
        <v>208</v>
      </c>
      <c r="L3645" s="1" t="s">
        <v>10943</v>
      </c>
      <c r="M3645" s="6" t="str">
        <f>_xlfn.CONCAT(Table1[[#This Row],[Billing Street]], ", ", Table1[[#This Row],[Billing City]], ", ", Table1[[#This Row],[Billing State/Province]], ", ", Table1[[#This Row],[Billing Zip/Postal Code]])</f>
        <v>12725 W. 54th Drive, Arvada, CO, 80002</v>
      </c>
    </row>
    <row r="3646" spans="1:13" ht="15.6" hidden="1" x14ac:dyDescent="0.3">
      <c r="A3646" s="1" t="s">
        <v>10944</v>
      </c>
      <c r="B3646" s="1"/>
      <c r="C3646" s="1"/>
      <c r="D3646" s="1"/>
      <c r="E3646" s="1"/>
      <c r="F3646" s="1"/>
      <c r="G3646" s="1" t="s">
        <v>43</v>
      </c>
      <c r="H3646" s="2">
        <v>5776</v>
      </c>
      <c r="I3646" s="1" t="s">
        <v>13</v>
      </c>
      <c r="J3646" s="1" t="s">
        <v>13</v>
      </c>
      <c r="K3646" s="1" t="s">
        <v>4012</v>
      </c>
      <c r="L3646" s="1" t="s">
        <v>13</v>
      </c>
      <c r="M3646" s="6" t="str">
        <f>_xlfn.CONCAT(Table1[[#This Row],[Billing Street]], ", ", Table1[[#This Row],[Billing City]], ", ", Table1[[#This Row],[Billing State/Province]], ", ", Table1[[#This Row],[Billing Zip/Postal Code]])</f>
        <v xml:space="preserve">, , ME, </v>
      </c>
    </row>
    <row r="3647" spans="1:13" ht="15.6" hidden="1" x14ac:dyDescent="0.3">
      <c r="A3647" s="1" t="s">
        <v>10945</v>
      </c>
      <c r="B3647" s="1"/>
      <c r="C3647" s="1"/>
      <c r="D3647" s="1"/>
      <c r="E3647" s="1"/>
      <c r="F3647" s="1"/>
      <c r="G3647" s="1" t="s">
        <v>8</v>
      </c>
      <c r="H3647" s="2">
        <v>151</v>
      </c>
      <c r="I3647" s="1" t="s">
        <v>10946</v>
      </c>
      <c r="J3647" s="1" t="s">
        <v>434</v>
      </c>
      <c r="K3647" s="1" t="s">
        <v>147</v>
      </c>
      <c r="L3647" s="1" t="s">
        <v>10947</v>
      </c>
      <c r="M3647" s="6" t="str">
        <f>_xlfn.CONCAT(Table1[[#This Row],[Billing Street]], ", ", Table1[[#This Row],[Billing City]], ", ", Table1[[#This Row],[Billing State/Province]], ", ", Table1[[#This Row],[Billing Zip/Postal Code]])</f>
        <v>6501 SE 74th St, Oklahoma City, OK, 73135</v>
      </c>
    </row>
    <row r="3648" spans="1:13" ht="15.6" hidden="1" x14ac:dyDescent="0.3">
      <c r="A3648" s="1" t="s">
        <v>10948</v>
      </c>
      <c r="B3648" s="1"/>
      <c r="C3648" s="1"/>
      <c r="D3648" s="1"/>
      <c r="E3648" s="1"/>
      <c r="F3648" s="1"/>
      <c r="G3648" s="1" t="s">
        <v>98</v>
      </c>
      <c r="H3648" s="2">
        <v>27</v>
      </c>
      <c r="I3648" s="1" t="s">
        <v>10949</v>
      </c>
      <c r="J3648" s="1" t="s">
        <v>4351</v>
      </c>
      <c r="K3648" s="1" t="s">
        <v>101</v>
      </c>
      <c r="L3648" s="1" t="s">
        <v>4352</v>
      </c>
      <c r="M3648" s="6" t="str">
        <f>_xlfn.CONCAT(Table1[[#This Row],[Billing Street]], ", ", Table1[[#This Row],[Billing City]], ", ", Table1[[#This Row],[Billing State/Province]], ", ", Table1[[#This Row],[Billing Zip/Postal Code]])</f>
        <v>2194 Emory Street NW, Covington, GA, 30014</v>
      </c>
    </row>
    <row r="3649" spans="1:13" ht="15.6" hidden="1" x14ac:dyDescent="0.3">
      <c r="A3649" s="1" t="s">
        <v>10950</v>
      </c>
      <c r="B3649" s="1"/>
      <c r="C3649" s="1"/>
      <c r="D3649" s="1"/>
      <c r="E3649" s="1"/>
      <c r="F3649" s="1"/>
      <c r="G3649" s="1" t="s">
        <v>98</v>
      </c>
      <c r="H3649" s="2">
        <v>24</v>
      </c>
      <c r="I3649" s="1" t="s">
        <v>10951</v>
      </c>
      <c r="J3649" s="1" t="s">
        <v>4351</v>
      </c>
      <c r="K3649" s="1" t="s">
        <v>101</v>
      </c>
      <c r="L3649" s="1" t="s">
        <v>10952</v>
      </c>
      <c r="M3649" s="6" t="str">
        <f>_xlfn.CONCAT(Table1[[#This Row],[Billing Street]], ", ", Table1[[#This Row],[Billing City]], ", ", Table1[[#This Row],[Billing State/Province]], ", ", Table1[[#This Row],[Billing Zip/Postal Code]])</f>
        <v>14750 Brown Bridge Rd., Covington, GA, 30016</v>
      </c>
    </row>
    <row r="3650" spans="1:13" ht="15.6" hidden="1" x14ac:dyDescent="0.3">
      <c r="A3650" s="1" t="s">
        <v>10953</v>
      </c>
      <c r="B3650" s="1"/>
      <c r="C3650" s="1"/>
      <c r="D3650" s="1"/>
      <c r="E3650" s="1"/>
      <c r="F3650" s="1"/>
      <c r="G3650" s="1" t="s">
        <v>43</v>
      </c>
      <c r="H3650" s="2">
        <v>313</v>
      </c>
      <c r="I3650" s="1" t="s">
        <v>10954</v>
      </c>
      <c r="J3650" s="1" t="s">
        <v>10955</v>
      </c>
      <c r="K3650" s="1" t="s">
        <v>2610</v>
      </c>
      <c r="L3650" s="1" t="s">
        <v>10956</v>
      </c>
      <c r="M3650" s="6" t="str">
        <f>_xlfn.CONCAT(Table1[[#This Row],[Billing Street]], ", ", Table1[[#This Row],[Billing City]], ", ", Table1[[#This Row],[Billing State/Province]], ", ", Table1[[#This Row],[Billing Zip/Postal Code]])</f>
        <v>14950 Cooperative Place, Hughesville, MD, 20637</v>
      </c>
    </row>
    <row r="3651" spans="1:13" ht="15.6" x14ac:dyDescent="0.3">
      <c r="A3651" s="1" t="s">
        <v>10957</v>
      </c>
      <c r="B3651" s="1"/>
      <c r="C3651" s="1"/>
      <c r="D3651" s="1"/>
      <c r="E3651" s="1"/>
      <c r="F3651" s="1"/>
      <c r="G3651" s="1" t="s">
        <v>24</v>
      </c>
      <c r="H3651" s="2">
        <v>5988</v>
      </c>
      <c r="I3651" s="1" t="s">
        <v>10958</v>
      </c>
      <c r="J3651" s="1" t="s">
        <v>652</v>
      </c>
      <c r="K3651" s="1" t="s">
        <v>26</v>
      </c>
      <c r="L3651" s="1" t="s">
        <v>1732</v>
      </c>
      <c r="M3651" s="6" t="str">
        <f>_xlfn.CONCAT(Table1[[#This Row],[Billing Street]], ", ", Table1[[#This Row],[Billing City]], ", ", Table1[[#This Row],[Billing State/Province]], ", ", Table1[[#This Row],[Billing Zip/Postal Code]])</f>
        <v>1390 Columbia Hwy, Dothan, AL, 36301</v>
      </c>
    </row>
    <row r="3652" spans="1:13" ht="15.6" hidden="1" x14ac:dyDescent="0.3">
      <c r="A3652" s="1" t="s">
        <v>10959</v>
      </c>
      <c r="B3652" s="1"/>
      <c r="C3652" s="1"/>
      <c r="D3652" s="1"/>
      <c r="E3652" s="1"/>
      <c r="F3652" s="1"/>
      <c r="G3652" s="1" t="s">
        <v>43</v>
      </c>
      <c r="H3652" s="2">
        <v>5776</v>
      </c>
      <c r="I3652" s="1" t="s">
        <v>13</v>
      </c>
      <c r="J3652" s="1" t="s">
        <v>13</v>
      </c>
      <c r="K3652" s="1" t="s">
        <v>2610</v>
      </c>
      <c r="L3652" s="1" t="s">
        <v>13</v>
      </c>
      <c r="M3652" s="6" t="str">
        <f>_xlfn.CONCAT(Table1[[#This Row],[Billing Street]], ", ", Table1[[#This Row],[Billing City]], ", ", Table1[[#This Row],[Billing State/Province]], ", ", Table1[[#This Row],[Billing Zip/Postal Code]])</f>
        <v xml:space="preserve">, , MD, </v>
      </c>
    </row>
    <row r="3653" spans="1:13" ht="15.6" hidden="1" x14ac:dyDescent="0.3">
      <c r="A3653" s="1" t="s">
        <v>10960</v>
      </c>
      <c r="B3653" s="1"/>
      <c r="C3653" s="1"/>
      <c r="D3653" s="1"/>
      <c r="E3653" s="1"/>
      <c r="F3653" s="1"/>
      <c r="G3653" s="1" t="s">
        <v>43</v>
      </c>
      <c r="H3653" s="2">
        <v>5776</v>
      </c>
      <c r="I3653" s="1" t="s">
        <v>13</v>
      </c>
      <c r="J3653" s="1" t="s">
        <v>13</v>
      </c>
      <c r="K3653" s="1" t="s">
        <v>2610</v>
      </c>
      <c r="L3653" s="1" t="s">
        <v>13</v>
      </c>
      <c r="M3653" s="6" t="str">
        <f>_xlfn.CONCAT(Table1[[#This Row],[Billing Street]], ", ", Table1[[#This Row],[Billing City]], ", ", Table1[[#This Row],[Billing State/Province]], ", ", Table1[[#This Row],[Billing Zip/Postal Code]])</f>
        <v xml:space="preserve">, , MD, </v>
      </c>
    </row>
    <row r="3654" spans="1:13" ht="15.6" x14ac:dyDescent="0.3">
      <c r="A3654" s="1" t="s">
        <v>10961</v>
      </c>
      <c r="B3654" s="1"/>
      <c r="C3654" s="1"/>
      <c r="D3654" s="1"/>
      <c r="E3654" s="1"/>
      <c r="F3654" s="1"/>
      <c r="G3654" s="1" t="s">
        <v>24</v>
      </c>
      <c r="H3654" s="2">
        <v>108</v>
      </c>
      <c r="I3654" s="1" t="s">
        <v>10962</v>
      </c>
      <c r="J3654" s="1" t="s">
        <v>25</v>
      </c>
      <c r="K3654" s="1" t="s">
        <v>26</v>
      </c>
      <c r="L3654" s="1" t="s">
        <v>7913</v>
      </c>
      <c r="M3654" s="6" t="str">
        <f>_xlfn.CONCAT(Table1[[#This Row],[Billing Street]], ", ", Table1[[#This Row],[Billing City]], ", ", Table1[[#This Row],[Billing State/Province]], ", ", Table1[[#This Row],[Billing Zip/Postal Code]])</f>
        <v>150 Folmar Pkwy, Montgomery, AL, 36105</v>
      </c>
    </row>
    <row r="3655" spans="1:13" ht="15.6" x14ac:dyDescent="0.3">
      <c r="A3655" s="1" t="s">
        <v>10963</v>
      </c>
      <c r="B3655" s="1"/>
      <c r="C3655" s="1"/>
      <c r="D3655" s="1"/>
      <c r="E3655" s="1"/>
      <c r="F3655" s="1"/>
      <c r="G3655" s="1" t="s">
        <v>24</v>
      </c>
      <c r="H3655" s="2">
        <v>466</v>
      </c>
      <c r="I3655" s="1" t="s">
        <v>10964</v>
      </c>
      <c r="J3655" s="1" t="s">
        <v>10965</v>
      </c>
      <c r="K3655" s="1" t="s">
        <v>577</v>
      </c>
      <c r="L3655" s="1" t="s">
        <v>10966</v>
      </c>
      <c r="M3655" s="6" t="str">
        <f>_xlfn.CONCAT(Table1[[#This Row],[Billing Street]], ", ", Table1[[#This Row],[Billing City]], ", ", Table1[[#This Row],[Billing State/Province]], ", ", Table1[[#This Row],[Billing Zip/Postal Code]])</f>
        <v>6130 Union St, Shreveport, LA, 71108</v>
      </c>
    </row>
    <row r="3656" spans="1:13" ht="15.6" x14ac:dyDescent="0.3">
      <c r="A3656" s="1" t="s">
        <v>10967</v>
      </c>
      <c r="B3656" s="1"/>
      <c r="C3656" s="1"/>
      <c r="D3656" s="1"/>
      <c r="E3656" s="1"/>
      <c r="F3656" s="1"/>
      <c r="G3656" s="1" t="s">
        <v>24</v>
      </c>
      <c r="H3656" s="2">
        <v>5988</v>
      </c>
      <c r="I3656" s="1" t="s">
        <v>10968</v>
      </c>
      <c r="J3656" s="1" t="s">
        <v>10969</v>
      </c>
      <c r="K3656" s="1" t="s">
        <v>951</v>
      </c>
      <c r="L3656" s="1" t="s">
        <v>10970</v>
      </c>
      <c r="M3656" s="6" t="str">
        <f>_xlfn.CONCAT(Table1[[#This Row],[Billing Street]], ", ", Table1[[#This Row],[Billing City]], ", ", Table1[[#This Row],[Billing State/Province]], ", ", Table1[[#This Row],[Billing Zip/Postal Code]])</f>
        <v>320 North Front Street, Tupelo, Ms, 38801</v>
      </c>
    </row>
    <row r="3657" spans="1:13" ht="15.6" hidden="1" x14ac:dyDescent="0.3">
      <c r="A3657" s="1" t="s">
        <v>10971</v>
      </c>
      <c r="B3657" s="1"/>
      <c r="C3657" s="1"/>
      <c r="D3657" s="1"/>
      <c r="E3657" s="1"/>
      <c r="F3657" s="1"/>
      <c r="G3657" s="1" t="s">
        <v>98</v>
      </c>
      <c r="H3657" s="2">
        <v>101</v>
      </c>
      <c r="I3657" s="1" t="s">
        <v>10972</v>
      </c>
      <c r="J3657" s="1" t="s">
        <v>9268</v>
      </c>
      <c r="K3657" s="1" t="s">
        <v>1135</v>
      </c>
      <c r="L3657" s="1" t="s">
        <v>9269</v>
      </c>
      <c r="M3657" s="6" t="str">
        <f>_xlfn.CONCAT(Table1[[#This Row],[Billing Street]], ", ", Table1[[#This Row],[Billing City]], ", ", Table1[[#This Row],[Billing State/Province]], ", ", Table1[[#This Row],[Billing Zip/Postal Code]])</f>
        <v>1631 East 25th St, Chattanooga, TN, 37404</v>
      </c>
    </row>
    <row r="3658" spans="1:13" ht="15.6" x14ac:dyDescent="0.3">
      <c r="A3658" s="1" t="s">
        <v>10973</v>
      </c>
      <c r="B3658" s="1"/>
      <c r="C3658" s="1"/>
      <c r="D3658" s="1"/>
      <c r="E3658" s="1"/>
      <c r="F3658" s="1"/>
      <c r="G3658" s="1" t="s">
        <v>24</v>
      </c>
      <c r="H3658" s="2">
        <v>322</v>
      </c>
      <c r="I3658" s="1" t="s">
        <v>10974</v>
      </c>
      <c r="J3658" s="1" t="s">
        <v>7899</v>
      </c>
      <c r="K3658" s="1" t="s">
        <v>31</v>
      </c>
      <c r="L3658" s="1" t="s">
        <v>10975</v>
      </c>
      <c r="M3658" s="6" t="str">
        <f>_xlfn.CONCAT(Table1[[#This Row],[Billing Street]], ", ", Table1[[#This Row],[Billing City]], ", ", Table1[[#This Row],[Billing State/Province]], ", ", Table1[[#This Row],[Billing Zip/Postal Code]])</f>
        <v>109 e. Cooper Street, Ripley, MS, 386638</v>
      </c>
    </row>
    <row r="3659" spans="1:13" ht="15.6" hidden="1" x14ac:dyDescent="0.3">
      <c r="A3659" s="1" t="s">
        <v>10976</v>
      </c>
      <c r="B3659" s="1"/>
      <c r="C3659" s="1"/>
      <c r="D3659" s="1"/>
      <c r="E3659" s="1"/>
      <c r="F3659" s="1"/>
      <c r="G3659" s="1" t="s">
        <v>98</v>
      </c>
      <c r="H3659" s="2">
        <v>188</v>
      </c>
      <c r="I3659" s="1" t="s">
        <v>10977</v>
      </c>
      <c r="J3659" s="1" t="s">
        <v>10978</v>
      </c>
      <c r="K3659" s="1" t="s">
        <v>1135</v>
      </c>
      <c r="L3659" s="1" t="s">
        <v>10979</v>
      </c>
      <c r="M3659" s="6" t="str">
        <f>_xlfn.CONCAT(Table1[[#This Row],[Billing Street]], ", ", Table1[[#This Row],[Billing City]], ", ", Table1[[#This Row],[Billing State/Province]], ", ", Table1[[#This Row],[Billing Zip/Postal Code]])</f>
        <v>244 love st., Erwin, TN, 37650</v>
      </c>
    </row>
    <row r="3660" spans="1:13" ht="15.6" hidden="1" x14ac:dyDescent="0.3">
      <c r="A3660" s="1" t="s">
        <v>10980</v>
      </c>
      <c r="B3660" s="1"/>
      <c r="C3660" s="1"/>
      <c r="D3660" s="1"/>
      <c r="E3660" s="1"/>
      <c r="F3660" s="1"/>
      <c r="G3660" s="1" t="s">
        <v>43</v>
      </c>
      <c r="H3660" s="2">
        <v>5776</v>
      </c>
      <c r="I3660" s="1" t="s">
        <v>13</v>
      </c>
      <c r="J3660" s="1" t="s">
        <v>13</v>
      </c>
      <c r="K3660" s="1" t="s">
        <v>2610</v>
      </c>
      <c r="L3660" s="1" t="s">
        <v>13</v>
      </c>
      <c r="M3660" s="6" t="str">
        <f>_xlfn.CONCAT(Table1[[#This Row],[Billing Street]], ", ", Table1[[#This Row],[Billing City]], ", ", Table1[[#This Row],[Billing State/Province]], ", ", Table1[[#This Row],[Billing Zip/Postal Code]])</f>
        <v xml:space="preserve">, , MD, </v>
      </c>
    </row>
    <row r="3661" spans="1:13" ht="15.6" hidden="1" x14ac:dyDescent="0.3">
      <c r="A3661" s="1" t="s">
        <v>10981</v>
      </c>
      <c r="B3661" s="1"/>
      <c r="C3661" s="1"/>
      <c r="D3661" s="1"/>
      <c r="E3661" s="1"/>
      <c r="F3661" s="1"/>
      <c r="G3661" s="1" t="s">
        <v>98</v>
      </c>
      <c r="H3661" s="2">
        <v>5887</v>
      </c>
      <c r="I3661" s="1" t="s">
        <v>10982</v>
      </c>
      <c r="J3661" s="1" t="s">
        <v>637</v>
      </c>
      <c r="K3661" s="1" t="s">
        <v>101</v>
      </c>
      <c r="L3661" s="1" t="s">
        <v>13</v>
      </c>
      <c r="M3661" s="6" t="str">
        <f>_xlfn.CONCAT(Table1[[#This Row],[Billing Street]], ", ", Table1[[#This Row],[Billing City]], ", ", Table1[[#This Row],[Billing State/Province]], ", ", Table1[[#This Row],[Billing Zip/Postal Code]])</f>
        <v xml:space="preserve">923 Mulberry St., Jackson, GA, </v>
      </c>
    </row>
    <row r="3662" spans="1:13" ht="15.6" hidden="1" x14ac:dyDescent="0.3">
      <c r="A3662" s="1" t="s">
        <v>10983</v>
      </c>
      <c r="B3662" s="1"/>
      <c r="C3662" s="1"/>
      <c r="D3662" s="1"/>
      <c r="E3662" s="1"/>
      <c r="F3662" s="1"/>
      <c r="G3662" s="1" t="s">
        <v>43</v>
      </c>
      <c r="H3662" s="2">
        <v>311</v>
      </c>
      <c r="I3662" s="1" t="s">
        <v>10984</v>
      </c>
      <c r="J3662" s="1" t="s">
        <v>9200</v>
      </c>
      <c r="K3662" s="1" t="s">
        <v>237</v>
      </c>
      <c r="L3662" s="1" t="s">
        <v>10985</v>
      </c>
      <c r="M3662" s="6" t="str">
        <f>_xlfn.CONCAT(Table1[[#This Row],[Billing Street]], ", ", Table1[[#This Row],[Billing City]], ", ", Table1[[#This Row],[Billing State/Province]], ", ", Table1[[#This Row],[Billing Zip/Postal Code]])</f>
        <v>3400 179th Street   Building 2, Hammond, IN, 46323</v>
      </c>
    </row>
    <row r="3663" spans="1:13" ht="15.6" hidden="1" x14ac:dyDescent="0.3">
      <c r="A3663" s="1" t="s">
        <v>10986</v>
      </c>
      <c r="B3663" s="1"/>
      <c r="C3663" s="1"/>
      <c r="D3663" s="1"/>
      <c r="E3663" s="1"/>
      <c r="F3663" s="1"/>
      <c r="G3663" s="1" t="s">
        <v>8</v>
      </c>
      <c r="H3663" s="2">
        <v>601</v>
      </c>
      <c r="I3663" s="1" t="s">
        <v>10987</v>
      </c>
      <c r="J3663" s="1" t="s">
        <v>10988</v>
      </c>
      <c r="K3663" s="1" t="s">
        <v>51</v>
      </c>
      <c r="L3663" s="1" t="s">
        <v>10989</v>
      </c>
      <c r="M3663" s="6" t="str">
        <f>_xlfn.CONCAT(Table1[[#This Row],[Billing Street]], ", ", Table1[[#This Row],[Billing City]], ", ", Table1[[#This Row],[Billing State/Province]], ", ", Table1[[#This Row],[Billing Zip/Postal Code]])</f>
        <v>778 E US Hwy 90, Bracketville, TX, 78832</v>
      </c>
    </row>
    <row r="3664" spans="1:13" ht="15.6" hidden="1" x14ac:dyDescent="0.3">
      <c r="A3664" s="1" t="s">
        <v>10990</v>
      </c>
      <c r="B3664" s="1"/>
      <c r="C3664" s="1"/>
      <c r="D3664" s="1"/>
      <c r="E3664" s="1"/>
      <c r="F3664" s="1"/>
      <c r="G3664" s="1" t="s">
        <v>43</v>
      </c>
      <c r="H3664" s="2">
        <v>5776</v>
      </c>
      <c r="I3664" s="1" t="s">
        <v>13</v>
      </c>
      <c r="J3664" s="1" t="s">
        <v>13</v>
      </c>
      <c r="K3664" s="1" t="s">
        <v>2610</v>
      </c>
      <c r="L3664" s="1" t="s">
        <v>13</v>
      </c>
      <c r="M3664" s="6" t="str">
        <f>_xlfn.CONCAT(Table1[[#This Row],[Billing Street]], ", ", Table1[[#This Row],[Billing City]], ", ", Table1[[#This Row],[Billing State/Province]], ", ", Table1[[#This Row],[Billing Zip/Postal Code]])</f>
        <v xml:space="preserve">, , MD, </v>
      </c>
    </row>
    <row r="3665" spans="1:13" ht="15.6" hidden="1" x14ac:dyDescent="0.3">
      <c r="A3665" s="1" t="s">
        <v>10991</v>
      </c>
      <c r="B3665" s="1"/>
      <c r="C3665" s="1"/>
      <c r="D3665" s="1"/>
      <c r="E3665" s="1"/>
      <c r="F3665" s="1"/>
      <c r="G3665" s="1" t="s">
        <v>43</v>
      </c>
      <c r="H3665" s="2">
        <v>5776</v>
      </c>
      <c r="I3665" s="1" t="s">
        <v>13</v>
      </c>
      <c r="J3665" s="1" t="s">
        <v>13</v>
      </c>
      <c r="K3665" s="1" t="s">
        <v>2610</v>
      </c>
      <c r="L3665" s="1" t="s">
        <v>13</v>
      </c>
      <c r="M3665" s="6" t="str">
        <f>_xlfn.CONCAT(Table1[[#This Row],[Billing Street]], ", ", Table1[[#This Row],[Billing City]], ", ", Table1[[#This Row],[Billing State/Province]], ", ", Table1[[#This Row],[Billing Zip/Postal Code]])</f>
        <v xml:space="preserve">, , MD, </v>
      </c>
    </row>
    <row r="3666" spans="1:13" ht="15.6" hidden="1" x14ac:dyDescent="0.3">
      <c r="A3666" s="1" t="s">
        <v>10992</v>
      </c>
      <c r="B3666" s="1"/>
      <c r="C3666" s="1"/>
      <c r="D3666" s="1"/>
      <c r="E3666" s="1"/>
      <c r="F3666" s="1"/>
      <c r="G3666" s="1" t="s">
        <v>43</v>
      </c>
      <c r="H3666" s="2">
        <v>5776</v>
      </c>
      <c r="I3666" s="1" t="s">
        <v>13</v>
      </c>
      <c r="J3666" s="1" t="s">
        <v>13</v>
      </c>
      <c r="K3666" s="1" t="s">
        <v>2610</v>
      </c>
      <c r="L3666" s="1" t="s">
        <v>13</v>
      </c>
      <c r="M3666" s="6" t="str">
        <f>_xlfn.CONCAT(Table1[[#This Row],[Billing Street]], ", ", Table1[[#This Row],[Billing City]], ", ", Table1[[#This Row],[Billing State/Province]], ", ", Table1[[#This Row],[Billing Zip/Postal Code]])</f>
        <v xml:space="preserve">, , MD, </v>
      </c>
    </row>
    <row r="3667" spans="1:13" ht="15.6" hidden="1" x14ac:dyDescent="0.3">
      <c r="A3667" s="1" t="s">
        <v>10993</v>
      </c>
      <c r="B3667" s="1"/>
      <c r="C3667" s="1"/>
      <c r="D3667" s="1"/>
      <c r="E3667" s="1"/>
      <c r="F3667" s="1"/>
      <c r="G3667" s="1" t="s">
        <v>43</v>
      </c>
      <c r="H3667" s="2">
        <v>5776</v>
      </c>
      <c r="I3667" s="1" t="s">
        <v>13</v>
      </c>
      <c r="J3667" s="1" t="s">
        <v>10994</v>
      </c>
      <c r="K3667" s="1" t="s">
        <v>2610</v>
      </c>
      <c r="L3667" s="1" t="s">
        <v>13</v>
      </c>
      <c r="M3667" s="6" t="str">
        <f>_xlfn.CONCAT(Table1[[#This Row],[Billing Street]], ", ", Table1[[#This Row],[Billing City]], ", ", Table1[[#This Row],[Billing State/Province]], ", ", Table1[[#This Row],[Billing Zip/Postal Code]])</f>
        <v xml:space="preserve">, Ft. Meade Garrison, MD, </v>
      </c>
    </row>
    <row r="3668" spans="1:13" ht="15.6" hidden="1" x14ac:dyDescent="0.3">
      <c r="A3668" s="1" t="s">
        <v>10995</v>
      </c>
      <c r="B3668" s="1"/>
      <c r="C3668" s="1"/>
      <c r="D3668" s="1"/>
      <c r="E3668" s="1"/>
      <c r="F3668" s="1"/>
      <c r="G3668" s="1" t="s">
        <v>43</v>
      </c>
      <c r="H3668" s="2">
        <v>105</v>
      </c>
      <c r="I3668" s="1" t="s">
        <v>10996</v>
      </c>
      <c r="J3668" s="1" t="s">
        <v>10997</v>
      </c>
      <c r="K3668" s="1" t="s">
        <v>241</v>
      </c>
      <c r="L3668" s="1" t="s">
        <v>10998</v>
      </c>
      <c r="M3668" s="6" t="str">
        <f>_xlfn.CONCAT(Table1[[#This Row],[Billing Street]], ", ", Table1[[#This Row],[Billing City]], ", ", Table1[[#This Row],[Billing State/Province]], ", ", Table1[[#This Row],[Billing Zip/Postal Code]])</f>
        <v>814 Pittsburgh-McKeesport Blvd., West Mifflin, PA, 15122</v>
      </c>
    </row>
    <row r="3669" spans="1:13" ht="15.6" hidden="1" x14ac:dyDescent="0.3">
      <c r="A3669" s="1" t="s">
        <v>6094</v>
      </c>
      <c r="B3669" s="1"/>
      <c r="C3669" s="1"/>
      <c r="D3669" s="1"/>
      <c r="E3669" s="1"/>
      <c r="F3669" s="1"/>
      <c r="G3669" s="1" t="s">
        <v>8</v>
      </c>
      <c r="H3669" s="2">
        <v>484</v>
      </c>
      <c r="I3669" s="1" t="s">
        <v>10999</v>
      </c>
      <c r="J3669" s="1" t="s">
        <v>11000</v>
      </c>
      <c r="K3669" s="1" t="s">
        <v>208</v>
      </c>
      <c r="L3669" s="1" t="s">
        <v>11001</v>
      </c>
      <c r="M3669" s="6" t="str">
        <f>_xlfn.CONCAT(Table1[[#This Row],[Billing Street]], ", ", Table1[[#This Row],[Billing City]], ", ", Table1[[#This Row],[Billing State/Province]], ", ", Table1[[#This Row],[Billing Zip/Postal Code]])</f>
        <v>17532 Highway 71, Brush, CO, 80732</v>
      </c>
    </row>
    <row r="3670" spans="1:13" ht="15.6" hidden="1" x14ac:dyDescent="0.3">
      <c r="A3670" s="1" t="s">
        <v>11002</v>
      </c>
      <c r="B3670" s="1"/>
      <c r="C3670" s="1"/>
      <c r="D3670" s="1"/>
      <c r="E3670" s="1"/>
      <c r="F3670" s="1"/>
      <c r="G3670" s="1" t="s">
        <v>8</v>
      </c>
      <c r="H3670" s="2">
        <v>195</v>
      </c>
      <c r="I3670" s="1" t="s">
        <v>11003</v>
      </c>
      <c r="J3670" s="1" t="s">
        <v>2292</v>
      </c>
      <c r="K3670" s="1" t="s">
        <v>11</v>
      </c>
      <c r="L3670" s="1" t="s">
        <v>11004</v>
      </c>
      <c r="M3670" s="6" t="str">
        <f>_xlfn.CONCAT(Table1[[#This Row],[Billing Street]], ", ", Table1[[#This Row],[Billing City]], ", ", Table1[[#This Row],[Billing State/Province]], ", ", Table1[[#This Row],[Billing Zip/Postal Code]])</f>
        <v>201 North St., Waynesville, MO, 65583</v>
      </c>
    </row>
    <row r="3671" spans="1:13" ht="15.6" hidden="1" x14ac:dyDescent="0.3">
      <c r="A3671" s="1" t="s">
        <v>11005</v>
      </c>
      <c r="B3671" s="1"/>
      <c r="C3671" s="1"/>
      <c r="D3671" s="1"/>
      <c r="E3671" s="1"/>
      <c r="F3671" s="1"/>
      <c r="G3671" s="1" t="s">
        <v>8</v>
      </c>
      <c r="H3671" s="2">
        <v>390</v>
      </c>
      <c r="I3671" s="1" t="s">
        <v>11006</v>
      </c>
      <c r="J3671" s="1" t="s">
        <v>5981</v>
      </c>
      <c r="K3671" s="1" t="s">
        <v>208</v>
      </c>
      <c r="L3671" s="1" t="s">
        <v>11007</v>
      </c>
      <c r="M3671" s="6" t="str">
        <f>_xlfn.CONCAT(Table1[[#This Row],[Billing Street]], ", ", Table1[[#This Row],[Billing City]], ", ", Table1[[#This Row],[Billing State/Province]], ", ", Table1[[#This Row],[Billing Zip/Postal Code]])</f>
        <v>3601 so Main St, Lamar, CO, 81052</v>
      </c>
    </row>
    <row r="3672" spans="1:13" ht="15.6" hidden="1" x14ac:dyDescent="0.3">
      <c r="A3672" s="1" t="s">
        <v>11008</v>
      </c>
      <c r="B3672" s="1"/>
      <c r="C3672" s="1"/>
      <c r="D3672" s="1"/>
      <c r="E3672" s="1"/>
      <c r="F3672" s="1"/>
      <c r="G3672" s="1" t="s">
        <v>8</v>
      </c>
      <c r="H3672" s="2">
        <v>72</v>
      </c>
      <c r="I3672" s="1" t="s">
        <v>11009</v>
      </c>
      <c r="J3672" s="1" t="s">
        <v>10141</v>
      </c>
      <c r="K3672" s="1" t="s">
        <v>11</v>
      </c>
      <c r="L3672" s="1" t="s">
        <v>11010</v>
      </c>
      <c r="M3672" s="6" t="str">
        <f>_xlfn.CONCAT(Table1[[#This Row],[Billing Street]], ", ", Table1[[#This Row],[Billing City]], ", ", Table1[[#This Row],[Billing State/Province]], ", ", Table1[[#This Row],[Billing Zip/Postal Code]])</f>
        <v>627 W. Centennial Ave., Carthage, MO, 64836</v>
      </c>
    </row>
    <row r="3673" spans="1:13" ht="15.6" hidden="1" x14ac:dyDescent="0.3">
      <c r="A3673" s="1" t="s">
        <v>11011</v>
      </c>
      <c r="B3673" s="1"/>
      <c r="C3673" s="1"/>
      <c r="D3673" s="1"/>
      <c r="E3673" s="1"/>
      <c r="F3673" s="1"/>
      <c r="G3673" s="1" t="s">
        <v>8</v>
      </c>
      <c r="H3673" s="2">
        <v>127</v>
      </c>
      <c r="I3673" s="1" t="s">
        <v>11012</v>
      </c>
      <c r="J3673" s="1" t="s">
        <v>8133</v>
      </c>
      <c r="K3673" s="1" t="s">
        <v>11</v>
      </c>
      <c r="L3673" s="1" t="s">
        <v>11013</v>
      </c>
      <c r="M3673" s="6" t="str">
        <f>_xlfn.CONCAT(Table1[[#This Row],[Billing Street]], ", ", Table1[[#This Row],[Billing City]], ", ", Table1[[#This Row],[Billing State/Province]], ", ", Table1[[#This Row],[Billing Zip/Postal Code]])</f>
        <v>1111 W Kathrine Street, Nixa, MO, 65714</v>
      </c>
    </row>
    <row r="3674" spans="1:13" ht="15.6" hidden="1" x14ac:dyDescent="0.3">
      <c r="A3674" s="1" t="s">
        <v>11014</v>
      </c>
      <c r="B3674" s="1"/>
      <c r="C3674" s="1"/>
      <c r="D3674" s="1"/>
      <c r="E3674" s="1"/>
      <c r="F3674" s="1"/>
      <c r="G3674" s="1" t="s">
        <v>8</v>
      </c>
      <c r="H3674" s="2">
        <v>71</v>
      </c>
      <c r="I3674" s="1" t="s">
        <v>11015</v>
      </c>
      <c r="J3674" s="1" t="s">
        <v>11016</v>
      </c>
      <c r="K3674" s="1" t="s">
        <v>11</v>
      </c>
      <c r="L3674" s="1" t="s">
        <v>11017</v>
      </c>
      <c r="M3674" s="6" t="str">
        <f>_xlfn.CONCAT(Table1[[#This Row],[Billing Street]], ", ", Table1[[#This Row],[Billing City]], ", ", Table1[[#This Row],[Billing State/Province]], ", ", Table1[[#This Row],[Billing Zip/Postal Code]])</f>
        <v>209 N Main St, Liberal, MO, 64762</v>
      </c>
    </row>
    <row r="3675" spans="1:13" ht="15.6" hidden="1" x14ac:dyDescent="0.3">
      <c r="A3675" s="1" t="s">
        <v>11018</v>
      </c>
      <c r="B3675" s="1"/>
      <c r="C3675" s="1"/>
      <c r="D3675" s="1"/>
      <c r="E3675" s="1"/>
      <c r="F3675" s="1"/>
      <c r="G3675" s="1" t="s">
        <v>8</v>
      </c>
      <c r="H3675" s="2">
        <v>78</v>
      </c>
      <c r="I3675" s="1" t="s">
        <v>11019</v>
      </c>
      <c r="J3675" s="1" t="s">
        <v>5981</v>
      </c>
      <c r="K3675" s="1" t="s">
        <v>11</v>
      </c>
      <c r="L3675" s="1" t="s">
        <v>5982</v>
      </c>
      <c r="M3675" s="6" t="str">
        <f>_xlfn.CONCAT(Table1[[#This Row],[Billing Street]], ", ", Table1[[#This Row],[Billing City]], ", ", Table1[[#This Row],[Billing State/Province]], ", ", Table1[[#This Row],[Billing Zip/Postal Code]])</f>
        <v>91 West Highway 160, Lamar, MO, 64759</v>
      </c>
    </row>
    <row r="3676" spans="1:13" ht="15.6" hidden="1" x14ac:dyDescent="0.3">
      <c r="A3676" s="1" t="s">
        <v>11020</v>
      </c>
      <c r="B3676" s="1"/>
      <c r="C3676" s="1"/>
      <c r="D3676" s="1"/>
      <c r="E3676" s="1"/>
      <c r="F3676" s="1"/>
      <c r="G3676" s="1" t="s">
        <v>8</v>
      </c>
      <c r="H3676" s="2">
        <v>159</v>
      </c>
      <c r="I3676" s="1" t="s">
        <v>11021</v>
      </c>
      <c r="J3676" s="1" t="s">
        <v>1766</v>
      </c>
      <c r="K3676" s="1" t="s">
        <v>11</v>
      </c>
      <c r="L3676" s="1" t="s">
        <v>11022</v>
      </c>
      <c r="M3676" s="6" t="str">
        <f>_xlfn.CONCAT(Table1[[#This Row],[Billing Street]], ", ", Table1[[#This Row],[Billing City]], ", ", Table1[[#This Row],[Billing State/Province]], ", ", Table1[[#This Row],[Billing Zip/Postal Code]])</f>
        <v>21500 E Truman Rd., Independence, MO, 64056</v>
      </c>
    </row>
    <row r="3677" spans="1:13" ht="15.6" hidden="1" x14ac:dyDescent="0.3">
      <c r="A3677" s="1" t="s">
        <v>11023</v>
      </c>
      <c r="B3677" s="1"/>
      <c r="C3677" s="1"/>
      <c r="D3677" s="1"/>
      <c r="E3677" s="1"/>
      <c r="F3677" s="1"/>
      <c r="G3677" s="1" t="s">
        <v>8</v>
      </c>
      <c r="H3677" s="2">
        <v>435</v>
      </c>
      <c r="I3677" s="1" t="s">
        <v>486</v>
      </c>
      <c r="J3677" s="1" t="s">
        <v>487</v>
      </c>
      <c r="K3677" s="1" t="s">
        <v>208</v>
      </c>
      <c r="L3677" s="1" t="s">
        <v>488</v>
      </c>
      <c r="M3677" s="6" t="str">
        <f>_xlfn.CONCAT(Table1[[#This Row],[Billing Street]], ", ", Table1[[#This Row],[Billing City]], ", ", Table1[[#This Row],[Billing State/Province]], ", ", Table1[[#This Row],[Billing Zip/Postal Code]])</f>
        <v>407 East Denver Street, Holyoke, CO, 80734</v>
      </c>
    </row>
    <row r="3678" spans="1:13" ht="15.6" hidden="1" x14ac:dyDescent="0.3">
      <c r="A3678" s="1" t="s">
        <v>11024</v>
      </c>
      <c r="B3678" s="1"/>
      <c r="C3678" s="1"/>
      <c r="D3678" s="1"/>
      <c r="E3678" s="1"/>
      <c r="F3678" s="1"/>
      <c r="G3678" s="1" t="s">
        <v>43</v>
      </c>
      <c r="H3678" s="2">
        <v>448</v>
      </c>
      <c r="I3678" s="1" t="s">
        <v>11025</v>
      </c>
      <c r="J3678" s="1" t="s">
        <v>11026</v>
      </c>
      <c r="K3678" s="1" t="s">
        <v>152</v>
      </c>
      <c r="L3678" s="1" t="s">
        <v>11027</v>
      </c>
      <c r="M3678" s="6" t="str">
        <f>_xlfn.CONCAT(Table1[[#This Row],[Billing Street]], ", ", Table1[[#This Row],[Billing City]], ", ", Table1[[#This Row],[Billing State/Province]], ", ", Table1[[#This Row],[Billing Zip/Postal Code]])</f>
        <v>3906 Broadway Street, Mount Vernon, IL, 62864-0309</v>
      </c>
    </row>
    <row r="3679" spans="1:13" ht="15.6" hidden="1" x14ac:dyDescent="0.3">
      <c r="A3679" s="1" t="s">
        <v>11028</v>
      </c>
      <c r="B3679" s="1"/>
      <c r="C3679" s="1"/>
      <c r="D3679" s="1"/>
      <c r="E3679" s="1"/>
      <c r="F3679" s="1"/>
      <c r="G3679" s="1" t="s">
        <v>8</v>
      </c>
      <c r="H3679" s="2">
        <v>533</v>
      </c>
      <c r="I3679" s="1" t="s">
        <v>11029</v>
      </c>
      <c r="J3679" s="1" t="s">
        <v>11030</v>
      </c>
      <c r="K3679" s="1" t="s">
        <v>208</v>
      </c>
      <c r="L3679" s="1" t="s">
        <v>11031</v>
      </c>
      <c r="M3679" s="6" t="str">
        <f>_xlfn.CONCAT(Table1[[#This Row],[Billing Street]], ", ", Table1[[#This Row],[Billing City]], ", ", Table1[[#This Row],[Billing State/Province]], ", ", Table1[[#This Row],[Billing Zip/Postal Code]])</f>
        <v>6200 S Quebec, Greenwood Village, CO, 80111</v>
      </c>
    </row>
    <row r="3680" spans="1:13" ht="15.6" x14ac:dyDescent="0.3">
      <c r="A3680" s="1" t="s">
        <v>11032</v>
      </c>
      <c r="B3680" s="1"/>
      <c r="C3680" s="1"/>
      <c r="D3680" s="1"/>
      <c r="E3680" s="1"/>
      <c r="F3680" s="1"/>
      <c r="G3680" s="1" t="s">
        <v>24</v>
      </c>
      <c r="H3680" s="2">
        <v>213</v>
      </c>
      <c r="I3680" s="1" t="s">
        <v>11033</v>
      </c>
      <c r="J3680" s="1" t="s">
        <v>11034</v>
      </c>
      <c r="K3680" s="1" t="s">
        <v>36</v>
      </c>
      <c r="L3680" s="1" t="s">
        <v>11035</v>
      </c>
      <c r="M3680" s="6" t="str">
        <f>_xlfn.CONCAT(Table1[[#This Row],[Billing Street]], ", ", Table1[[#This Row],[Billing City]], ", ", Table1[[#This Row],[Billing State/Province]], ", ", Table1[[#This Row],[Billing Zip/Postal Code]])</f>
        <v>11497 NW 50th Ave, Chiefland, FL, 32626</v>
      </c>
    </row>
    <row r="3681" spans="1:13" ht="15.6" hidden="1" x14ac:dyDescent="0.3">
      <c r="A3681" s="1" t="s">
        <v>11036</v>
      </c>
      <c r="B3681" s="1"/>
      <c r="C3681" s="1"/>
      <c r="D3681" s="1"/>
      <c r="E3681" s="1"/>
      <c r="F3681" s="1"/>
      <c r="G3681" s="1" t="s">
        <v>43</v>
      </c>
      <c r="H3681" s="2">
        <v>5776</v>
      </c>
      <c r="I3681" s="1" t="s">
        <v>11037</v>
      </c>
      <c r="J3681" s="1" t="s">
        <v>11038</v>
      </c>
      <c r="K3681" s="1" t="s">
        <v>1154</v>
      </c>
      <c r="L3681" s="1" t="s">
        <v>11039</v>
      </c>
      <c r="M3681" s="6" t="str">
        <f>_xlfn.CONCAT(Table1[[#This Row],[Billing Street]], ", ", Table1[[#This Row],[Billing City]], ", ", Table1[[#This Row],[Billing State/Province]], ", ", Table1[[#This Row],[Billing Zip/Postal Code]])</f>
        <v>149 railroad Drive, Ivyland, Pa, 18974</v>
      </c>
    </row>
    <row r="3682" spans="1:13" ht="15.6" hidden="1" x14ac:dyDescent="0.3">
      <c r="A3682" s="1" t="s">
        <v>11040</v>
      </c>
      <c r="B3682" s="1"/>
      <c r="C3682" s="1"/>
      <c r="D3682" s="1"/>
      <c r="E3682" s="1"/>
      <c r="F3682" s="1"/>
      <c r="G3682" s="1" t="s">
        <v>8</v>
      </c>
      <c r="H3682" s="2">
        <v>6528</v>
      </c>
      <c r="I3682" s="1" t="s">
        <v>13</v>
      </c>
      <c r="J3682" s="1" t="s">
        <v>13</v>
      </c>
      <c r="K3682" s="1" t="s">
        <v>208</v>
      </c>
      <c r="L3682" s="1" t="s">
        <v>13</v>
      </c>
      <c r="M3682" s="6" t="str">
        <f>_xlfn.CONCAT(Table1[[#This Row],[Billing Street]], ", ", Table1[[#This Row],[Billing City]], ", ", Table1[[#This Row],[Billing State/Province]], ", ", Table1[[#This Row],[Billing Zip/Postal Code]])</f>
        <v xml:space="preserve">, , CO, </v>
      </c>
    </row>
    <row r="3683" spans="1:13" ht="15.6" hidden="1" x14ac:dyDescent="0.3">
      <c r="A3683" s="1" t="s">
        <v>11041</v>
      </c>
      <c r="B3683" s="1"/>
      <c r="C3683" s="1"/>
      <c r="D3683" s="1"/>
      <c r="E3683" s="1"/>
      <c r="F3683" s="1"/>
      <c r="G3683" s="1" t="s">
        <v>43</v>
      </c>
      <c r="H3683" s="2">
        <v>5776</v>
      </c>
      <c r="I3683" s="1" t="s">
        <v>11042</v>
      </c>
      <c r="J3683" s="1" t="s">
        <v>8375</v>
      </c>
      <c r="K3683" s="1" t="s">
        <v>5495</v>
      </c>
      <c r="L3683" s="1" t="s">
        <v>11043</v>
      </c>
      <c r="M3683" s="6" t="str">
        <f>_xlfn.CONCAT(Table1[[#This Row],[Billing Street]], ", ", Table1[[#This Row],[Billing City]], ", ", Table1[[#This Row],[Billing State/Province]], ", ", Table1[[#This Row],[Billing Zip/Postal Code]])</f>
        <v>600 Cenco BLVD, Clayton, Nj, 8312</v>
      </c>
    </row>
    <row r="3684" spans="1:13" ht="15.6" hidden="1" x14ac:dyDescent="0.3">
      <c r="A3684" s="1" t="s">
        <v>11044</v>
      </c>
      <c r="B3684" s="1"/>
      <c r="C3684" s="1"/>
      <c r="D3684" s="1"/>
      <c r="E3684" s="1"/>
      <c r="F3684" s="1"/>
      <c r="G3684" s="1" t="s">
        <v>205</v>
      </c>
      <c r="H3684" s="2">
        <v>130</v>
      </c>
      <c r="I3684" s="1" t="s">
        <v>11045</v>
      </c>
      <c r="J3684" s="1" t="s">
        <v>11046</v>
      </c>
      <c r="K3684" s="1" t="s">
        <v>479</v>
      </c>
      <c r="L3684" s="1" t="s">
        <v>11047</v>
      </c>
      <c r="M3684" s="6" t="str">
        <f>_xlfn.CONCAT(Table1[[#This Row],[Billing Street]], ", ", Table1[[#This Row],[Billing City]], ", ", Table1[[#This Row],[Billing State/Province]], ", ", Table1[[#This Row],[Billing Zip/Postal Code]])</f>
        <v>1878 West White Mountain Blvd, Lakeside, AZ, 85929</v>
      </c>
    </row>
    <row r="3685" spans="1:13" ht="15.6" hidden="1" x14ac:dyDescent="0.3">
      <c r="A3685" s="1" t="s">
        <v>11048</v>
      </c>
      <c r="B3685" s="1"/>
      <c r="C3685" s="1"/>
      <c r="D3685" s="1"/>
      <c r="E3685" s="1"/>
      <c r="F3685" s="1"/>
      <c r="G3685" s="1" t="s">
        <v>8</v>
      </c>
      <c r="H3685" s="2">
        <v>712</v>
      </c>
      <c r="I3685" s="1" t="s">
        <v>11049</v>
      </c>
      <c r="J3685" s="1" t="s">
        <v>8755</v>
      </c>
      <c r="K3685" s="1" t="s">
        <v>208</v>
      </c>
      <c r="L3685" s="1" t="s">
        <v>11050</v>
      </c>
      <c r="M3685" s="6" t="str">
        <f>_xlfn.CONCAT(Table1[[#This Row],[Billing Street]], ", ", Table1[[#This Row],[Billing City]], ", ", Table1[[#This Row],[Billing State/Province]], ", ", Table1[[#This Row],[Billing Zip/Postal Code]])</f>
        <v>3183 Mesa Ave., Grand Junction, CO, 81504</v>
      </c>
    </row>
    <row r="3686" spans="1:13" ht="15.6" hidden="1" x14ac:dyDescent="0.3">
      <c r="A3686" s="1" t="s">
        <v>11051</v>
      </c>
      <c r="B3686" s="1"/>
      <c r="C3686" s="1"/>
      <c r="D3686" s="1"/>
      <c r="E3686" s="1"/>
      <c r="F3686" s="1"/>
      <c r="G3686" s="1" t="s">
        <v>8</v>
      </c>
      <c r="H3686" s="2">
        <v>490</v>
      </c>
      <c r="I3686" s="1" t="s">
        <v>11052</v>
      </c>
      <c r="J3686" s="1" t="s">
        <v>11053</v>
      </c>
      <c r="K3686" s="1" t="s">
        <v>208</v>
      </c>
      <c r="L3686" s="1" t="s">
        <v>11054</v>
      </c>
      <c r="M3686" s="6" t="str">
        <f>_xlfn.CONCAT(Table1[[#This Row],[Billing Street]], ", ", Table1[[#This Row],[Billing City]], ", ", Table1[[#This Row],[Billing State/Province]], ", ", Table1[[#This Row],[Billing Zip/Postal Code]])</f>
        <v>135 N Animas Street, Trinidad, CO, 81082</v>
      </c>
    </row>
    <row r="3687" spans="1:13" ht="15.6" hidden="1" x14ac:dyDescent="0.3">
      <c r="A3687" s="1" t="s">
        <v>11055</v>
      </c>
      <c r="B3687" s="1"/>
      <c r="C3687" s="1"/>
      <c r="D3687" s="1"/>
      <c r="E3687" s="1"/>
      <c r="F3687" s="1"/>
      <c r="G3687" s="1" t="s">
        <v>8</v>
      </c>
      <c r="H3687" s="2">
        <v>6528</v>
      </c>
      <c r="I3687" s="1" t="s">
        <v>13</v>
      </c>
      <c r="J3687" s="1" t="s">
        <v>13</v>
      </c>
      <c r="K3687" s="1" t="s">
        <v>208</v>
      </c>
      <c r="L3687" s="1" t="s">
        <v>13</v>
      </c>
      <c r="M3687" s="6" t="str">
        <f>_xlfn.CONCAT(Table1[[#This Row],[Billing Street]], ", ", Table1[[#This Row],[Billing City]], ", ", Table1[[#This Row],[Billing State/Province]], ", ", Table1[[#This Row],[Billing Zip/Postal Code]])</f>
        <v xml:space="preserve">, , CO, </v>
      </c>
    </row>
    <row r="3688" spans="1:13" ht="15.6" hidden="1" x14ac:dyDescent="0.3">
      <c r="A3688" s="1" t="s">
        <v>11056</v>
      </c>
      <c r="B3688" s="1"/>
      <c r="C3688" s="1"/>
      <c r="D3688" s="1"/>
      <c r="E3688" s="1"/>
      <c r="F3688" s="1"/>
      <c r="G3688" s="1" t="s">
        <v>43</v>
      </c>
      <c r="H3688" s="2">
        <v>5776</v>
      </c>
      <c r="I3688" s="1" t="s">
        <v>13</v>
      </c>
      <c r="J3688" s="1" t="s">
        <v>13</v>
      </c>
      <c r="K3688" s="1" t="s">
        <v>4987</v>
      </c>
      <c r="L3688" s="1" t="s">
        <v>13</v>
      </c>
      <c r="M3688" s="6" t="str">
        <f>_xlfn.CONCAT(Table1[[#This Row],[Billing Street]], ", ", Table1[[#This Row],[Billing City]], ", ", Table1[[#This Row],[Billing State/Province]], ", ", Table1[[#This Row],[Billing Zip/Postal Code]])</f>
        <v xml:space="preserve">, , CT, </v>
      </c>
    </row>
    <row r="3689" spans="1:13" ht="15.6" x14ac:dyDescent="0.3">
      <c r="A3689" s="1" t="s">
        <v>11057</v>
      </c>
      <c r="B3689" s="1"/>
      <c r="C3689" s="1"/>
      <c r="D3689" s="1"/>
      <c r="E3689" s="1"/>
      <c r="F3689" s="1"/>
      <c r="G3689" s="1" t="s">
        <v>24</v>
      </c>
      <c r="H3689" s="2">
        <v>5988</v>
      </c>
      <c r="I3689" s="1" t="s">
        <v>11058</v>
      </c>
      <c r="J3689" s="1" t="s">
        <v>11059</v>
      </c>
      <c r="K3689" s="1" t="s">
        <v>31</v>
      </c>
      <c r="L3689" s="1" t="s">
        <v>11060</v>
      </c>
      <c r="M3689" s="6" t="str">
        <f>_xlfn.CONCAT(Table1[[#This Row],[Billing Street]], ", ", Table1[[#This Row],[Billing City]], ", ", Table1[[#This Row],[Billing State/Province]], ", ", Table1[[#This Row],[Billing Zip/Postal Code]])</f>
        <v>101 Deer Creek Dr., Leland, MS, 38756</v>
      </c>
    </row>
    <row r="3690" spans="1:13" ht="15.6" x14ac:dyDescent="0.3">
      <c r="A3690" s="1" t="s">
        <v>11061</v>
      </c>
      <c r="B3690" s="1"/>
      <c r="C3690" s="1"/>
      <c r="D3690" s="1"/>
      <c r="E3690" s="1"/>
      <c r="F3690" s="1"/>
      <c r="G3690" s="1" t="s">
        <v>24</v>
      </c>
      <c r="H3690" s="2">
        <v>95</v>
      </c>
      <c r="I3690" s="1" t="s">
        <v>11062</v>
      </c>
      <c r="J3690" s="1" t="s">
        <v>1029</v>
      </c>
      <c r="K3690" s="1" t="s">
        <v>26</v>
      </c>
      <c r="L3690" s="1" t="s">
        <v>1030</v>
      </c>
      <c r="M3690" s="6" t="str">
        <f>_xlfn.CONCAT(Table1[[#This Row],[Billing Street]], ", ", Table1[[#This Row],[Billing City]], ", ", Table1[[#This Row],[Billing State/Province]], ", ", Table1[[#This Row],[Billing Zip/Postal Code]])</f>
        <v>22650 E. Chicago St., Robertsdale, AL, 36567</v>
      </c>
    </row>
    <row r="3691" spans="1:13" ht="15.6" x14ac:dyDescent="0.3">
      <c r="A3691" s="1" t="s">
        <v>11063</v>
      </c>
      <c r="B3691" s="1"/>
      <c r="C3691" s="1"/>
      <c r="D3691" s="1"/>
      <c r="E3691" s="1"/>
      <c r="F3691" s="1"/>
      <c r="G3691" s="1" t="s">
        <v>24</v>
      </c>
      <c r="H3691" s="2">
        <v>96</v>
      </c>
      <c r="I3691" s="1" t="s">
        <v>11064</v>
      </c>
      <c r="J3691" s="1" t="s">
        <v>11065</v>
      </c>
      <c r="K3691" s="1" t="s">
        <v>26</v>
      </c>
      <c r="L3691" s="1" t="s">
        <v>1030</v>
      </c>
      <c r="M3691" s="6" t="str">
        <f>_xlfn.CONCAT(Table1[[#This Row],[Billing Street]], ", ", Table1[[#This Row],[Billing City]], ", ", Table1[[#This Row],[Billing State/Province]], ", ", Table1[[#This Row],[Billing Zip/Postal Code]])</f>
        <v>23402 McAuliffe Dr, Robertsdale,, AL, 36567</v>
      </c>
    </row>
    <row r="3692" spans="1:13" ht="15.6" hidden="1" x14ac:dyDescent="0.3">
      <c r="A3692" s="1" t="s">
        <v>11066</v>
      </c>
      <c r="B3692" s="1"/>
      <c r="C3692" s="1"/>
      <c r="D3692" s="1"/>
      <c r="E3692" s="1"/>
      <c r="F3692" s="1"/>
      <c r="G3692" s="1" t="s">
        <v>54</v>
      </c>
      <c r="H3692" s="2">
        <v>338</v>
      </c>
      <c r="I3692" s="1" t="s">
        <v>11067</v>
      </c>
      <c r="J3692" s="1" t="s">
        <v>5277</v>
      </c>
      <c r="K3692" s="1" t="s">
        <v>57</v>
      </c>
      <c r="L3692" s="1" t="s">
        <v>5278</v>
      </c>
      <c r="M3692" s="6" t="str">
        <f>_xlfn.CONCAT(Table1[[#This Row],[Billing Street]], ", ", Table1[[#This Row],[Billing City]], ", ", Table1[[#This Row],[Billing State/Province]], ", ", Table1[[#This Row],[Billing Zip/Postal Code]])</f>
        <v>7677 Oakport Street, Oakland, CA, 94621</v>
      </c>
    </row>
    <row r="3693" spans="1:13" ht="15.6" hidden="1" x14ac:dyDescent="0.3">
      <c r="A3693" s="1" t="s">
        <v>11068</v>
      </c>
      <c r="B3693" s="1"/>
      <c r="C3693" s="1"/>
      <c r="D3693" s="1"/>
      <c r="E3693" s="1"/>
      <c r="F3693" s="1"/>
      <c r="G3693" s="1" t="s">
        <v>43</v>
      </c>
      <c r="H3693" s="2">
        <v>5776</v>
      </c>
      <c r="I3693" s="1" t="s">
        <v>13</v>
      </c>
      <c r="J3693" s="1" t="s">
        <v>13</v>
      </c>
      <c r="K3693" s="1" t="s">
        <v>4987</v>
      </c>
      <c r="L3693" s="1" t="s">
        <v>13</v>
      </c>
      <c r="M3693" s="6" t="str">
        <f>_xlfn.CONCAT(Table1[[#This Row],[Billing Street]], ", ", Table1[[#This Row],[Billing City]], ", ", Table1[[#This Row],[Billing State/Province]], ", ", Table1[[#This Row],[Billing Zip/Postal Code]])</f>
        <v xml:space="preserve">, , CT, </v>
      </c>
    </row>
    <row r="3694" spans="1:13" ht="15.6" hidden="1" x14ac:dyDescent="0.3">
      <c r="A3694" s="1" t="s">
        <v>11069</v>
      </c>
      <c r="B3694" s="1"/>
      <c r="C3694" s="1"/>
      <c r="D3694" s="1"/>
      <c r="E3694" s="1"/>
      <c r="F3694" s="1"/>
      <c r="G3694" s="1" t="s">
        <v>43</v>
      </c>
      <c r="H3694" s="2">
        <v>5776</v>
      </c>
      <c r="I3694" s="1" t="s">
        <v>13</v>
      </c>
      <c r="J3694" s="1" t="s">
        <v>13</v>
      </c>
      <c r="K3694" s="1" t="s">
        <v>4987</v>
      </c>
      <c r="L3694" s="1" t="s">
        <v>13</v>
      </c>
      <c r="M3694" s="6" t="str">
        <f>_xlfn.CONCAT(Table1[[#This Row],[Billing Street]], ", ", Table1[[#This Row],[Billing City]], ", ", Table1[[#This Row],[Billing State/Province]], ", ", Table1[[#This Row],[Billing Zip/Postal Code]])</f>
        <v xml:space="preserve">, , CT, </v>
      </c>
    </row>
    <row r="3695" spans="1:13" ht="15.6" hidden="1" x14ac:dyDescent="0.3">
      <c r="A3695" s="1" t="s">
        <v>11070</v>
      </c>
      <c r="B3695" s="1"/>
      <c r="C3695" s="1"/>
      <c r="D3695" s="1"/>
      <c r="E3695" s="1"/>
      <c r="F3695" s="1"/>
      <c r="G3695" s="1" t="s">
        <v>43</v>
      </c>
      <c r="H3695" s="2">
        <v>5776</v>
      </c>
      <c r="I3695" s="1" t="s">
        <v>13</v>
      </c>
      <c r="J3695" s="1" t="s">
        <v>13</v>
      </c>
      <c r="K3695" s="1" t="s">
        <v>4987</v>
      </c>
      <c r="L3695" s="1" t="s">
        <v>13</v>
      </c>
      <c r="M3695" s="6" t="str">
        <f>_xlfn.CONCAT(Table1[[#This Row],[Billing Street]], ", ", Table1[[#This Row],[Billing City]], ", ", Table1[[#This Row],[Billing State/Province]], ", ", Table1[[#This Row],[Billing Zip/Postal Code]])</f>
        <v xml:space="preserve">, , CT, </v>
      </c>
    </row>
    <row r="3696" spans="1:13" ht="15.6" x14ac:dyDescent="0.3">
      <c r="A3696" s="1" t="s">
        <v>11071</v>
      </c>
      <c r="B3696" s="1"/>
      <c r="C3696" s="1"/>
      <c r="D3696" s="1"/>
      <c r="E3696" s="1"/>
      <c r="F3696" s="1"/>
      <c r="G3696" s="1" t="s">
        <v>24</v>
      </c>
      <c r="H3696" s="2">
        <v>5988</v>
      </c>
      <c r="I3696" s="1" t="s">
        <v>11072</v>
      </c>
      <c r="J3696" s="1" t="s">
        <v>11073</v>
      </c>
      <c r="K3696" s="1" t="s">
        <v>26</v>
      </c>
      <c r="L3696" s="1" t="s">
        <v>11074</v>
      </c>
      <c r="M3696" s="6" t="str">
        <f>_xlfn.CONCAT(Table1[[#This Row],[Billing Street]], ", ", Table1[[#This Row],[Billing City]], ", ", Table1[[#This Row],[Billing State/Province]], ", ", Table1[[#This Row],[Billing Zip/Postal Code]])</f>
        <v>69220 Alabama Highway 77, Talladega, AL, 35161</v>
      </c>
    </row>
    <row r="3697" spans="1:13" ht="15.6" hidden="1" x14ac:dyDescent="0.3">
      <c r="A3697" s="1" t="s">
        <v>11075</v>
      </c>
      <c r="B3697" s="1"/>
      <c r="C3697" s="1"/>
      <c r="D3697" s="1"/>
      <c r="E3697" s="1"/>
      <c r="F3697" s="1"/>
      <c r="G3697" s="1" t="s">
        <v>43</v>
      </c>
      <c r="H3697" s="2">
        <v>5776</v>
      </c>
      <c r="I3697" s="1" t="s">
        <v>13</v>
      </c>
      <c r="J3697" s="1" t="s">
        <v>13</v>
      </c>
      <c r="K3697" s="1" t="s">
        <v>4987</v>
      </c>
      <c r="L3697" s="1" t="s">
        <v>13</v>
      </c>
      <c r="M3697" s="6" t="str">
        <f>_xlfn.CONCAT(Table1[[#This Row],[Billing Street]], ", ", Table1[[#This Row],[Billing City]], ", ", Table1[[#This Row],[Billing State/Province]], ", ", Table1[[#This Row],[Billing Zip/Postal Code]])</f>
        <v xml:space="preserve">, , CT, </v>
      </c>
    </row>
    <row r="3698" spans="1:13" ht="15.6" x14ac:dyDescent="0.3">
      <c r="A3698" s="1" t="s">
        <v>11076</v>
      </c>
      <c r="B3698" s="1"/>
      <c r="C3698" s="1"/>
      <c r="D3698" s="1"/>
      <c r="E3698" s="1"/>
      <c r="F3698" s="1"/>
      <c r="G3698" s="1" t="s">
        <v>24</v>
      </c>
      <c r="H3698" s="2">
        <v>5988</v>
      </c>
      <c r="I3698" s="1" t="s">
        <v>11077</v>
      </c>
      <c r="J3698" s="1" t="s">
        <v>2721</v>
      </c>
      <c r="K3698" s="1" t="s">
        <v>26</v>
      </c>
      <c r="L3698" s="1" t="s">
        <v>2722</v>
      </c>
      <c r="M3698" s="6" t="str">
        <f>_xlfn.CONCAT(Table1[[#This Row],[Billing Street]], ", ", Table1[[#This Row],[Billing City]], ", ", Table1[[#This Row],[Billing State/Province]], ", ", Table1[[#This Row],[Billing Zip/Postal Code]])</f>
        <v>21775 US-98, Foley, AL, 36535</v>
      </c>
    </row>
    <row r="3699" spans="1:13" ht="15.6" x14ac:dyDescent="0.3">
      <c r="A3699" s="1" t="s">
        <v>11078</v>
      </c>
      <c r="B3699" s="1"/>
      <c r="C3699" s="1"/>
      <c r="D3699" s="1"/>
      <c r="E3699" s="1"/>
      <c r="F3699" s="1"/>
      <c r="G3699" s="1" t="s">
        <v>24</v>
      </c>
      <c r="H3699" s="2">
        <v>249</v>
      </c>
      <c r="I3699" s="1" t="s">
        <v>11079</v>
      </c>
      <c r="J3699" s="1" t="s">
        <v>11080</v>
      </c>
      <c r="K3699" s="1" t="s">
        <v>26</v>
      </c>
      <c r="L3699" s="1" t="s">
        <v>11081</v>
      </c>
      <c r="M3699" s="6" t="str">
        <f>_xlfn.CONCAT(Table1[[#This Row],[Billing Street]], ", ", Table1[[#This Row],[Billing City]], ", ", Table1[[#This Row],[Billing State/Province]], ", ", Table1[[#This Row],[Billing Zip/Postal Code]])</f>
        <v>331 S Brindlee Mtn Parkway, Arab, AL, 35016</v>
      </c>
    </row>
    <row r="3700" spans="1:13" ht="15.6" hidden="1" x14ac:dyDescent="0.3">
      <c r="A3700" s="1" t="s">
        <v>11082</v>
      </c>
      <c r="B3700" s="1"/>
      <c r="C3700" s="1"/>
      <c r="D3700" s="1"/>
      <c r="E3700" s="1"/>
      <c r="F3700" s="1"/>
      <c r="G3700" s="1" t="s">
        <v>43</v>
      </c>
      <c r="H3700" s="2">
        <v>5776</v>
      </c>
      <c r="I3700" s="1" t="s">
        <v>13</v>
      </c>
      <c r="J3700" s="1" t="s">
        <v>13</v>
      </c>
      <c r="K3700" s="1" t="s">
        <v>4987</v>
      </c>
      <c r="L3700" s="1" t="s">
        <v>13</v>
      </c>
      <c r="M3700" s="6" t="str">
        <f>_xlfn.CONCAT(Table1[[#This Row],[Billing Street]], ", ", Table1[[#This Row],[Billing City]], ", ", Table1[[#This Row],[Billing State/Province]], ", ", Table1[[#This Row],[Billing Zip/Postal Code]])</f>
        <v xml:space="preserve">, , CT, </v>
      </c>
    </row>
    <row r="3701" spans="1:13" ht="15.6" hidden="1" x14ac:dyDescent="0.3">
      <c r="A3701" s="1" t="s">
        <v>11083</v>
      </c>
      <c r="B3701" s="1"/>
      <c r="C3701" s="1"/>
      <c r="D3701" s="1"/>
      <c r="E3701" s="1"/>
      <c r="F3701" s="1"/>
      <c r="G3701" s="1" t="s">
        <v>43</v>
      </c>
      <c r="H3701" s="2">
        <v>5776</v>
      </c>
      <c r="I3701" s="1" t="s">
        <v>13</v>
      </c>
      <c r="J3701" s="1" t="s">
        <v>13</v>
      </c>
      <c r="K3701" s="1" t="s">
        <v>4987</v>
      </c>
      <c r="L3701" s="1" t="s">
        <v>13</v>
      </c>
      <c r="M3701" s="6" t="str">
        <f>_xlfn.CONCAT(Table1[[#This Row],[Billing Street]], ", ", Table1[[#This Row],[Billing City]], ", ", Table1[[#This Row],[Billing State/Province]], ", ", Table1[[#This Row],[Billing Zip/Postal Code]])</f>
        <v xml:space="preserve">, , CT, </v>
      </c>
    </row>
    <row r="3702" spans="1:13" ht="15.6" x14ac:dyDescent="0.3">
      <c r="A3702" s="1" t="s">
        <v>11084</v>
      </c>
      <c r="B3702" s="1"/>
      <c r="C3702" s="1"/>
      <c r="D3702" s="1"/>
      <c r="E3702" s="1"/>
      <c r="F3702" s="1"/>
      <c r="G3702" s="1" t="s">
        <v>24</v>
      </c>
      <c r="H3702" s="2">
        <v>239</v>
      </c>
      <c r="I3702" s="1" t="s">
        <v>11085</v>
      </c>
      <c r="J3702" s="1" t="s">
        <v>11086</v>
      </c>
      <c r="K3702" s="1" t="s">
        <v>26</v>
      </c>
      <c r="L3702" s="1" t="s">
        <v>11087</v>
      </c>
      <c r="M3702" s="6" t="str">
        <f>_xlfn.CONCAT(Table1[[#This Row],[Billing Street]], ", ", Table1[[#This Row],[Billing City]], ", ", Table1[[#This Row],[Billing State/Province]], ", ", Table1[[#This Row],[Billing Zip/Postal Code]])</f>
        <v>1550 Clarence E Chesnut Jr Bypass, Centre, AL, 35960</v>
      </c>
    </row>
    <row r="3703" spans="1:13" ht="15.6" x14ac:dyDescent="0.3">
      <c r="A3703" s="1" t="s">
        <v>11088</v>
      </c>
      <c r="B3703" s="1"/>
      <c r="C3703" s="1"/>
      <c r="D3703" s="1"/>
      <c r="E3703" s="1"/>
      <c r="F3703" s="1"/>
      <c r="G3703" s="1" t="s">
        <v>24</v>
      </c>
      <c r="H3703" s="2">
        <v>5988</v>
      </c>
      <c r="I3703" s="1" t="s">
        <v>11089</v>
      </c>
      <c r="J3703" s="1" t="s">
        <v>824</v>
      </c>
      <c r="K3703" s="1" t="s">
        <v>26</v>
      </c>
      <c r="L3703" s="1" t="s">
        <v>13</v>
      </c>
      <c r="M3703" s="6" t="str">
        <f>_xlfn.CONCAT(Table1[[#This Row],[Billing Street]], ", ", Table1[[#This Row],[Billing City]], ", ", Table1[[#This Row],[Billing State/Province]], ", ", Table1[[#This Row],[Billing Zip/Postal Code]])</f>
        <v xml:space="preserve">1414 Edwards St, Sylacauga, AL, </v>
      </c>
    </row>
    <row r="3704" spans="1:13" ht="15.6" x14ac:dyDescent="0.3">
      <c r="A3704" s="1" t="s">
        <v>11090</v>
      </c>
      <c r="B3704" s="1"/>
      <c r="C3704" s="1"/>
      <c r="D3704" s="1"/>
      <c r="E3704" s="1"/>
      <c r="F3704" s="1"/>
      <c r="G3704" s="1" t="s">
        <v>24</v>
      </c>
      <c r="H3704" s="2">
        <v>39</v>
      </c>
      <c r="I3704" s="1" t="s">
        <v>11091</v>
      </c>
      <c r="J3704" s="1" t="s">
        <v>4004</v>
      </c>
      <c r="K3704" s="1" t="s">
        <v>36</v>
      </c>
      <c r="L3704" s="1" t="s">
        <v>13</v>
      </c>
      <c r="M3704" s="6" t="str">
        <f>_xlfn.CONCAT(Table1[[#This Row],[Billing Street]], ", ", Table1[[#This Row],[Billing City]], ", ", Table1[[#This Row],[Billing State/Province]], ", ", Table1[[#This Row],[Billing Zip/Postal Code]])</f>
        <v xml:space="preserve">9434 FL-77, Southport, FL, </v>
      </c>
    </row>
    <row r="3705" spans="1:13" ht="15.6" hidden="1" x14ac:dyDescent="0.3">
      <c r="A3705" s="1" t="s">
        <v>11092</v>
      </c>
      <c r="B3705" s="1"/>
      <c r="C3705" s="1"/>
      <c r="D3705" s="1"/>
      <c r="E3705" s="1"/>
      <c r="F3705" s="1"/>
      <c r="G3705" s="1" t="s">
        <v>8</v>
      </c>
      <c r="H3705" s="2">
        <v>336</v>
      </c>
      <c r="I3705" s="1" t="s">
        <v>4966</v>
      </c>
      <c r="J3705" s="1" t="s">
        <v>4967</v>
      </c>
      <c r="K3705" s="1" t="s">
        <v>11</v>
      </c>
      <c r="L3705" s="1" t="s">
        <v>4968</v>
      </c>
      <c r="M3705" s="6" t="str">
        <f>_xlfn.CONCAT(Table1[[#This Row],[Billing Street]], ", ", Table1[[#This Row],[Billing City]], ", ", Table1[[#This Row],[Billing State/Province]], ", ", Table1[[#This Row],[Billing Zip/Postal Code]])</f>
        <v>391 St. Jude Industrial Park, Marston, MO, 63866</v>
      </c>
    </row>
    <row r="3706" spans="1:13" ht="15.6" hidden="1" x14ac:dyDescent="0.3">
      <c r="A3706" s="1" t="s">
        <v>11093</v>
      </c>
      <c r="B3706" s="1"/>
      <c r="C3706" s="1"/>
      <c r="D3706" s="1"/>
      <c r="E3706" s="1"/>
      <c r="F3706" s="1"/>
      <c r="G3706" s="1" t="s">
        <v>43</v>
      </c>
      <c r="H3706" s="2">
        <v>511</v>
      </c>
      <c r="I3706" s="1" t="s">
        <v>11094</v>
      </c>
      <c r="J3706" s="1" t="s">
        <v>11095</v>
      </c>
      <c r="K3706" s="1" t="s">
        <v>152</v>
      </c>
      <c r="L3706" s="1" t="s">
        <v>11096</v>
      </c>
      <c r="M3706" s="6" t="str">
        <f>_xlfn.CONCAT(Table1[[#This Row],[Billing Street]], ", ", Table1[[#This Row],[Billing City]], ", ", Table1[[#This Row],[Billing State/Province]], ", ", Table1[[#This Row],[Billing Zip/Postal Code]])</f>
        <v>700 E Wood Street, Camp Point, IL, 62320</v>
      </c>
    </row>
    <row r="3707" spans="1:13" ht="15.6" hidden="1" x14ac:dyDescent="0.3">
      <c r="A3707" s="1" t="s">
        <v>11097</v>
      </c>
      <c r="B3707" s="1"/>
      <c r="C3707" s="1"/>
      <c r="D3707" s="1"/>
      <c r="E3707" s="1"/>
      <c r="F3707" s="1"/>
      <c r="G3707" s="1" t="s">
        <v>43</v>
      </c>
      <c r="H3707" s="2">
        <v>509</v>
      </c>
      <c r="I3707" s="1" t="s">
        <v>11098</v>
      </c>
      <c r="J3707" s="1" t="s">
        <v>1045</v>
      </c>
      <c r="K3707" s="1" t="s">
        <v>152</v>
      </c>
      <c r="L3707" s="1" t="s">
        <v>11099</v>
      </c>
      <c r="M3707" s="6" t="str">
        <f>_xlfn.CONCAT(Table1[[#This Row],[Billing Street]], ", ", Table1[[#This Row],[Billing City]], ", ", Table1[[#This Row],[Billing State/Province]], ", ", Table1[[#This Row],[Billing Zip/Postal Code]])</f>
        <v>1100 Commercial Ave, Cairo, IL, 62914</v>
      </c>
    </row>
    <row r="3708" spans="1:13" ht="15.6" x14ac:dyDescent="0.3">
      <c r="A3708" s="1" t="s">
        <v>11100</v>
      </c>
      <c r="B3708" s="1"/>
      <c r="C3708" s="1"/>
      <c r="D3708" s="1"/>
      <c r="E3708" s="1"/>
      <c r="F3708" s="1"/>
      <c r="G3708" s="1" t="s">
        <v>24</v>
      </c>
      <c r="H3708" s="2">
        <v>5988</v>
      </c>
      <c r="I3708" s="1" t="s">
        <v>11101</v>
      </c>
      <c r="J3708" s="1" t="s">
        <v>372</v>
      </c>
      <c r="K3708" s="1" t="s">
        <v>26</v>
      </c>
      <c r="L3708" s="1" t="s">
        <v>1906</v>
      </c>
      <c r="M3708" s="6" t="str">
        <f>_xlfn.CONCAT(Table1[[#This Row],[Billing Street]], ", ", Table1[[#This Row],[Billing City]], ", ", Table1[[#This Row],[Billing State/Province]], ", ", Table1[[#This Row],[Billing Zip/Postal Code]])</f>
        <v>3901 2nd Avenue South, Birmingham, AL, 35222</v>
      </c>
    </row>
    <row r="3709" spans="1:13" ht="15.6" hidden="1" x14ac:dyDescent="0.3">
      <c r="A3709" s="1" t="s">
        <v>11102</v>
      </c>
      <c r="B3709" s="1"/>
      <c r="C3709" s="1"/>
      <c r="D3709" s="1"/>
      <c r="E3709" s="1"/>
      <c r="F3709" s="1"/>
      <c r="G3709" s="1" t="s">
        <v>43</v>
      </c>
      <c r="H3709" s="2">
        <v>403</v>
      </c>
      <c r="I3709" s="1" t="s">
        <v>11103</v>
      </c>
      <c r="J3709" s="1" t="s">
        <v>11104</v>
      </c>
      <c r="K3709" s="1" t="s">
        <v>152</v>
      </c>
      <c r="L3709" s="1" t="s">
        <v>11105</v>
      </c>
      <c r="M3709" s="6" t="str">
        <f>_xlfn.CONCAT(Table1[[#This Row],[Billing Street]], ", ", Table1[[#This Row],[Billing City]], ", ", Table1[[#This Row],[Billing State/Province]], ", ", Table1[[#This Row],[Billing Zip/Postal Code]])</f>
        <v>121 N. Main Street, Ladd, IL, 61329</v>
      </c>
    </row>
    <row r="3710" spans="1:13" ht="15.6" hidden="1" x14ac:dyDescent="0.3">
      <c r="A3710" s="1" t="s">
        <v>11106</v>
      </c>
      <c r="B3710" s="1"/>
      <c r="C3710" s="1"/>
      <c r="D3710" s="1"/>
      <c r="E3710" s="1"/>
      <c r="F3710" s="1"/>
      <c r="G3710" s="1" t="s">
        <v>205</v>
      </c>
      <c r="H3710" s="2">
        <v>238</v>
      </c>
      <c r="I3710" s="1" t="s">
        <v>11107</v>
      </c>
      <c r="J3710" s="1" t="s">
        <v>11108</v>
      </c>
      <c r="K3710" s="1" t="s">
        <v>266</v>
      </c>
      <c r="L3710" s="1" t="s">
        <v>11109</v>
      </c>
      <c r="M3710" s="6" t="str">
        <f>_xlfn.CONCAT(Table1[[#This Row],[Billing Street]], ", ", Table1[[#This Row],[Billing City]], ", ", Table1[[#This Row],[Billing State/Province]], ", ", Table1[[#This Row],[Billing Zip/Postal Code]])</f>
        <v>110 W Aztec Ave, Gallup, NM, 87301</v>
      </c>
    </row>
    <row r="3711" spans="1:13" ht="15.6" hidden="1" x14ac:dyDescent="0.3">
      <c r="A3711" s="1" t="s">
        <v>11110</v>
      </c>
      <c r="B3711" s="1"/>
      <c r="C3711" s="1"/>
      <c r="D3711" s="1"/>
      <c r="E3711" s="1"/>
      <c r="F3711" s="1"/>
      <c r="G3711" s="1" t="s">
        <v>43</v>
      </c>
      <c r="H3711" s="2">
        <v>5776</v>
      </c>
      <c r="I3711" s="1" t="s">
        <v>13</v>
      </c>
      <c r="J3711" s="1" t="s">
        <v>13</v>
      </c>
      <c r="K3711" s="1" t="s">
        <v>4987</v>
      </c>
      <c r="L3711" s="1" t="s">
        <v>13</v>
      </c>
      <c r="M3711" s="6" t="str">
        <f>_xlfn.CONCAT(Table1[[#This Row],[Billing Street]], ", ", Table1[[#This Row],[Billing City]], ", ", Table1[[#This Row],[Billing State/Province]], ", ", Table1[[#This Row],[Billing Zip/Postal Code]])</f>
        <v xml:space="preserve">, , CT, </v>
      </c>
    </row>
    <row r="3712" spans="1:13" ht="15.6" hidden="1" x14ac:dyDescent="0.3">
      <c r="A3712" s="1" t="s">
        <v>11111</v>
      </c>
      <c r="B3712" s="1"/>
      <c r="C3712" s="1"/>
      <c r="D3712" s="1"/>
      <c r="E3712" s="1"/>
      <c r="F3712" s="1"/>
      <c r="G3712" s="1" t="s">
        <v>43</v>
      </c>
      <c r="H3712" s="2">
        <v>5776</v>
      </c>
      <c r="I3712" s="1" t="s">
        <v>13</v>
      </c>
      <c r="J3712" s="1" t="s">
        <v>13</v>
      </c>
      <c r="K3712" s="1" t="s">
        <v>4987</v>
      </c>
      <c r="L3712" s="1" t="s">
        <v>13</v>
      </c>
      <c r="M3712" s="6" t="str">
        <f>_xlfn.CONCAT(Table1[[#This Row],[Billing Street]], ", ", Table1[[#This Row],[Billing City]], ", ", Table1[[#This Row],[Billing State/Province]], ", ", Table1[[#This Row],[Billing Zip/Postal Code]])</f>
        <v xml:space="preserve">, , CT, </v>
      </c>
    </row>
    <row r="3713" spans="1:13" ht="15.6" x14ac:dyDescent="0.3">
      <c r="A3713" s="1" t="s">
        <v>11112</v>
      </c>
      <c r="B3713" s="1"/>
      <c r="C3713" s="1"/>
      <c r="D3713" s="1"/>
      <c r="E3713" s="1"/>
      <c r="F3713" s="1"/>
      <c r="G3713" s="1" t="s">
        <v>24</v>
      </c>
      <c r="H3713" s="2">
        <v>5988</v>
      </c>
      <c r="I3713" s="1" t="s">
        <v>11113</v>
      </c>
      <c r="J3713" s="1" t="s">
        <v>11114</v>
      </c>
      <c r="K3713" s="1" t="s">
        <v>31</v>
      </c>
      <c r="L3713" s="1" t="s">
        <v>11115</v>
      </c>
      <c r="M3713" s="6" t="str">
        <f>_xlfn.CONCAT(Table1[[#This Row],[Billing Street]], ", ", Table1[[#This Row],[Billing City]], ", ", Table1[[#This Row],[Billing State/Province]], ", ", Table1[[#This Row],[Billing Zip/Postal Code]])</f>
        <v>6601 N. Hills Drive, Meridian, MS, 39307</v>
      </c>
    </row>
    <row r="3714" spans="1:13" ht="15.6" hidden="1" x14ac:dyDescent="0.3">
      <c r="A3714" s="1" t="s">
        <v>11116</v>
      </c>
      <c r="B3714" s="1"/>
      <c r="C3714" s="1"/>
      <c r="D3714" s="1"/>
      <c r="E3714" s="1"/>
      <c r="F3714" s="1"/>
      <c r="G3714" s="1" t="s">
        <v>8</v>
      </c>
      <c r="H3714" s="2">
        <v>132</v>
      </c>
      <c r="I3714" s="1" t="s">
        <v>11117</v>
      </c>
      <c r="J3714" s="1" t="s">
        <v>2189</v>
      </c>
      <c r="K3714" s="1" t="s">
        <v>11</v>
      </c>
      <c r="L3714" s="1" t="s">
        <v>2190</v>
      </c>
      <c r="M3714" s="6" t="str">
        <f>_xlfn.CONCAT(Table1[[#This Row],[Billing Street]], ", ", Table1[[#This Row],[Billing City]], ", ", Table1[[#This Row],[Billing State/Province]], ", ", Table1[[#This Row],[Billing Zip/Postal Code]])</f>
        <v>300 E. Pearl Street, Harrisonville, MO, 64701</v>
      </c>
    </row>
    <row r="3715" spans="1:13" ht="15.6" hidden="1" x14ac:dyDescent="0.3">
      <c r="A3715" s="1" t="s">
        <v>11118</v>
      </c>
      <c r="B3715" s="1"/>
      <c r="C3715" s="1"/>
      <c r="D3715" s="1"/>
      <c r="E3715" s="1"/>
      <c r="F3715" s="1"/>
      <c r="G3715" s="1" t="s">
        <v>8</v>
      </c>
      <c r="H3715" s="2">
        <v>67</v>
      </c>
      <c r="I3715" s="1" t="s">
        <v>11119</v>
      </c>
      <c r="J3715" s="1" t="s">
        <v>11120</v>
      </c>
      <c r="K3715" s="1" t="s">
        <v>11</v>
      </c>
      <c r="L3715" s="1" t="s">
        <v>13</v>
      </c>
      <c r="M3715" s="6" t="str">
        <f>_xlfn.CONCAT(Table1[[#This Row],[Billing Street]], ", ", Table1[[#This Row],[Billing City]], ", ", Table1[[#This Row],[Billing State/Province]], ", ", Table1[[#This Row],[Billing Zip/Postal Code]])</f>
        <v xml:space="preserve">12105 MO-86, Neosho, MO, </v>
      </c>
    </row>
    <row r="3716" spans="1:13" ht="15.6" hidden="1" x14ac:dyDescent="0.3">
      <c r="A3716" s="1" t="s">
        <v>11121</v>
      </c>
      <c r="B3716" s="1"/>
      <c r="C3716" s="1"/>
      <c r="D3716" s="1"/>
      <c r="E3716" s="1"/>
      <c r="F3716" s="1"/>
      <c r="G3716" s="1" t="s">
        <v>8</v>
      </c>
      <c r="H3716" s="2">
        <v>128</v>
      </c>
      <c r="I3716" s="1" t="s">
        <v>11122</v>
      </c>
      <c r="J3716" s="1" t="s">
        <v>11123</v>
      </c>
      <c r="K3716" s="1" t="s">
        <v>11</v>
      </c>
      <c r="L3716" s="1" t="s">
        <v>11124</v>
      </c>
      <c r="M3716" s="6" t="str">
        <f>_xlfn.CONCAT(Table1[[#This Row],[Billing Street]], ", ", Table1[[#This Row],[Billing City]], ", ", Table1[[#This Row],[Billing State/Province]], ", ", Table1[[#This Row],[Billing Zip/Postal Code]])</f>
        <v>1023 S. Springfield Ave, Bolivar, MO, 65613</v>
      </c>
    </row>
    <row r="3717" spans="1:13" ht="15.6" x14ac:dyDescent="0.3">
      <c r="A3717" s="1" t="s">
        <v>11125</v>
      </c>
      <c r="B3717" s="1"/>
      <c r="C3717" s="1"/>
      <c r="D3717" s="1"/>
      <c r="E3717" s="1"/>
      <c r="F3717" s="1"/>
      <c r="G3717" s="1" t="s">
        <v>24</v>
      </c>
      <c r="H3717" s="2">
        <v>267</v>
      </c>
      <c r="I3717" s="1" t="s">
        <v>11126</v>
      </c>
      <c r="J3717" s="1" t="s">
        <v>6576</v>
      </c>
      <c r="K3717" s="1" t="s">
        <v>36</v>
      </c>
      <c r="L3717" s="1" t="s">
        <v>6577</v>
      </c>
      <c r="M3717" s="6" t="str">
        <f>_xlfn.CONCAT(Table1[[#This Row],[Billing Street]], ", ", Table1[[#This Row],[Billing City]], ", ", Table1[[#This Row],[Billing State/Province]], ", ", Table1[[#This Row],[Billing Zip/Postal Code]])</f>
        <v>4169 CR15A, Green Cove Springs, FL, 32043</v>
      </c>
    </row>
    <row r="3718" spans="1:13" ht="15.6" hidden="1" x14ac:dyDescent="0.3">
      <c r="A3718" s="1" t="s">
        <v>11127</v>
      </c>
      <c r="B3718" s="1"/>
      <c r="C3718" s="1"/>
      <c r="D3718" s="1"/>
      <c r="E3718" s="1"/>
      <c r="F3718" s="1"/>
      <c r="G3718" s="1" t="s">
        <v>98</v>
      </c>
      <c r="H3718" s="2">
        <v>5887</v>
      </c>
      <c r="I3718" s="1" t="s">
        <v>13</v>
      </c>
      <c r="J3718" s="1" t="s">
        <v>11128</v>
      </c>
      <c r="K3718" s="1" t="s">
        <v>101</v>
      </c>
      <c r="L3718" s="1" t="s">
        <v>13</v>
      </c>
      <c r="M3718" s="6" t="str">
        <f>_xlfn.CONCAT(Table1[[#This Row],[Billing Street]], ", ", Table1[[#This Row],[Billing City]], ", ", Table1[[#This Row],[Billing State/Province]], ", ", Table1[[#This Row],[Billing Zip/Postal Code]])</f>
        <v xml:space="preserve">, Ellaville, GA, </v>
      </c>
    </row>
    <row r="3719" spans="1:13" ht="15.6" hidden="1" x14ac:dyDescent="0.3">
      <c r="A3719" s="1" t="s">
        <v>11129</v>
      </c>
      <c r="B3719" s="1"/>
      <c r="C3719" s="1"/>
      <c r="D3719" s="1"/>
      <c r="E3719" s="1"/>
      <c r="F3719" s="1"/>
      <c r="G3719" s="1" t="s">
        <v>43</v>
      </c>
      <c r="H3719" s="2">
        <v>5776</v>
      </c>
      <c r="I3719" s="1" t="s">
        <v>13</v>
      </c>
      <c r="J3719" s="1" t="s">
        <v>13</v>
      </c>
      <c r="K3719" s="1" t="s">
        <v>671</v>
      </c>
      <c r="L3719" s="1" t="s">
        <v>13</v>
      </c>
      <c r="M3719" s="6" t="str">
        <f>_xlfn.CONCAT(Table1[[#This Row],[Billing Street]], ", ", Table1[[#This Row],[Billing City]], ", ", Table1[[#This Row],[Billing State/Province]], ", ", Table1[[#This Row],[Billing Zip/Postal Code]])</f>
        <v xml:space="preserve">, , NY, </v>
      </c>
    </row>
    <row r="3720" spans="1:13" ht="15.6" hidden="1" x14ac:dyDescent="0.3">
      <c r="A3720" s="1" t="s">
        <v>11130</v>
      </c>
      <c r="B3720" s="1"/>
      <c r="C3720" s="1"/>
      <c r="D3720" s="1"/>
      <c r="E3720" s="1"/>
      <c r="F3720" s="1"/>
      <c r="G3720" s="1" t="s">
        <v>8</v>
      </c>
      <c r="H3720" s="2">
        <v>396</v>
      </c>
      <c r="I3720" s="1" t="s">
        <v>11131</v>
      </c>
      <c r="J3720" s="1" t="s">
        <v>11132</v>
      </c>
      <c r="K3720" s="1" t="s">
        <v>21</v>
      </c>
      <c r="L3720" s="1" t="s">
        <v>11133</v>
      </c>
      <c r="M3720" s="6" t="str">
        <f>_xlfn.CONCAT(Table1[[#This Row],[Billing Street]], ", ", Table1[[#This Row],[Billing City]], ", ", Table1[[#This Row],[Billing State/Province]], ", ", Table1[[#This Row],[Billing Zip/Postal Code]])</f>
        <v>601 Wilson St, Dysart, IA, 52224</v>
      </c>
    </row>
    <row r="3721" spans="1:13" ht="15.6" x14ac:dyDescent="0.3">
      <c r="A3721" s="1" t="s">
        <v>11134</v>
      </c>
      <c r="B3721" s="1"/>
      <c r="C3721" s="1"/>
      <c r="D3721" s="1"/>
      <c r="E3721" s="1"/>
      <c r="F3721" s="1"/>
      <c r="G3721" s="1" t="s">
        <v>24</v>
      </c>
      <c r="H3721" s="2">
        <v>5988</v>
      </c>
      <c r="I3721" s="1" t="s">
        <v>11135</v>
      </c>
      <c r="J3721" s="1" t="s">
        <v>11136</v>
      </c>
      <c r="K3721" s="1" t="s">
        <v>26</v>
      </c>
      <c r="L3721" s="1" t="s">
        <v>11137</v>
      </c>
      <c r="M3721" s="6" t="str">
        <f>_xlfn.CONCAT(Table1[[#This Row],[Billing Street]], ", ", Table1[[#This Row],[Billing City]], ", ", Table1[[#This Row],[Billing State/Province]], ", ", Table1[[#This Row],[Billing Zip/Postal Code]])</f>
        <v>8497 Spanish Fort Blvd, Spanish Fort, AL, 36527</v>
      </c>
    </row>
    <row r="3722" spans="1:13" ht="15.6" x14ac:dyDescent="0.3">
      <c r="A3722" s="1" t="s">
        <v>11138</v>
      </c>
      <c r="B3722" s="1"/>
      <c r="C3722" s="1"/>
      <c r="D3722" s="1"/>
      <c r="E3722" s="1"/>
      <c r="F3722" s="1"/>
      <c r="G3722" s="1" t="s">
        <v>24</v>
      </c>
      <c r="H3722" s="2">
        <v>118</v>
      </c>
      <c r="I3722" s="1" t="s">
        <v>11139</v>
      </c>
      <c r="J3722" s="1" t="s">
        <v>633</v>
      </c>
      <c r="K3722" s="1" t="s">
        <v>26</v>
      </c>
      <c r="L3722" s="1" t="s">
        <v>11140</v>
      </c>
      <c r="M3722" s="6" t="str">
        <f>_xlfn.CONCAT(Table1[[#This Row],[Billing Street]], ", ", Table1[[#This Row],[Billing City]], ", ", Table1[[#This Row],[Billing State/Province]], ", ", Table1[[#This Row],[Billing Zip/Postal Code]])</f>
        <v>2488 Halls Mill Rd., Mobile, AL, 36606</v>
      </c>
    </row>
    <row r="3723" spans="1:13" ht="15.6" hidden="1" x14ac:dyDescent="0.3">
      <c r="A3723" s="1" t="s">
        <v>11141</v>
      </c>
      <c r="B3723" s="1"/>
      <c r="C3723" s="1"/>
      <c r="D3723" s="1"/>
      <c r="E3723" s="1"/>
      <c r="F3723" s="1"/>
      <c r="G3723" s="1" t="s">
        <v>43</v>
      </c>
      <c r="H3723" s="2">
        <v>5776</v>
      </c>
      <c r="I3723" s="1" t="s">
        <v>13</v>
      </c>
      <c r="J3723" s="1" t="s">
        <v>13</v>
      </c>
      <c r="K3723" s="1" t="s">
        <v>671</v>
      </c>
      <c r="L3723" s="1" t="s">
        <v>13</v>
      </c>
      <c r="M3723" s="6" t="str">
        <f>_xlfn.CONCAT(Table1[[#This Row],[Billing Street]], ", ", Table1[[#This Row],[Billing City]], ", ", Table1[[#This Row],[Billing State/Province]], ", ", Table1[[#This Row],[Billing Zip/Postal Code]])</f>
        <v xml:space="preserve">, , NY, </v>
      </c>
    </row>
    <row r="3724" spans="1:13" ht="15.6" x14ac:dyDescent="0.3">
      <c r="A3724" s="1" t="s">
        <v>11142</v>
      </c>
      <c r="B3724" s="1"/>
      <c r="C3724" s="1"/>
      <c r="D3724" s="1"/>
      <c r="E3724" s="1"/>
      <c r="F3724" s="1"/>
      <c r="G3724" s="1" t="s">
        <v>24</v>
      </c>
      <c r="H3724" s="2">
        <v>69</v>
      </c>
      <c r="I3724" s="1" t="s">
        <v>11143</v>
      </c>
      <c r="J3724" s="1" t="s">
        <v>715</v>
      </c>
      <c r="K3724" s="1" t="s">
        <v>36</v>
      </c>
      <c r="L3724" s="1" t="s">
        <v>716</v>
      </c>
      <c r="M3724" s="6" t="str">
        <f>_xlfn.CONCAT(Table1[[#This Row],[Billing Street]], ", ", Table1[[#This Row],[Billing City]], ", ", Table1[[#This Row],[Billing State/Province]], ", ", Table1[[#This Row],[Billing Zip/Postal Code]])</f>
        <v>4320 N Palafox St,, Pensacola, FL, 32505</v>
      </c>
    </row>
    <row r="3725" spans="1:13" ht="15.6" hidden="1" x14ac:dyDescent="0.3">
      <c r="A3725" s="1" t="s">
        <v>11144</v>
      </c>
      <c r="B3725" s="1"/>
      <c r="C3725" s="1"/>
      <c r="D3725" s="1"/>
      <c r="E3725" s="1"/>
      <c r="F3725" s="1"/>
      <c r="G3725" s="1" t="s">
        <v>8</v>
      </c>
      <c r="H3725" s="2">
        <v>427</v>
      </c>
      <c r="I3725" s="1" t="s">
        <v>11145</v>
      </c>
      <c r="J3725" s="1" t="s">
        <v>1618</v>
      </c>
      <c r="K3725" s="1" t="s">
        <v>21</v>
      </c>
      <c r="L3725" s="1" t="s">
        <v>11146</v>
      </c>
      <c r="M3725" s="6" t="str">
        <f>_xlfn.CONCAT(Table1[[#This Row],[Billing Street]], ", ", Table1[[#This Row],[Billing City]], ", ", Table1[[#This Row],[Billing State/Province]], ", ", Table1[[#This Row],[Billing Zip/Postal Code]])</f>
        <v>100 Washington St, Denver, IA, 50622</v>
      </c>
    </row>
    <row r="3726" spans="1:13" ht="15.6" hidden="1" x14ac:dyDescent="0.3">
      <c r="A3726" s="1" t="s">
        <v>11147</v>
      </c>
      <c r="B3726" s="1"/>
      <c r="C3726" s="1"/>
      <c r="D3726" s="1"/>
      <c r="E3726" s="1"/>
      <c r="F3726" s="1"/>
      <c r="G3726" s="1" t="s">
        <v>8</v>
      </c>
      <c r="H3726" s="2">
        <v>315</v>
      </c>
      <c r="I3726" s="1" t="s">
        <v>11148</v>
      </c>
      <c r="J3726" s="1" t="s">
        <v>1309</v>
      </c>
      <c r="K3726" s="1" t="s">
        <v>11</v>
      </c>
      <c r="L3726" s="1" t="s">
        <v>6573</v>
      </c>
      <c r="M3726" s="6" t="str">
        <f>_xlfn.CONCAT(Table1[[#This Row],[Billing Street]], ", ", Table1[[#This Row],[Billing City]], ", ", Table1[[#This Row],[Billing State/Province]], ", ", Table1[[#This Row],[Billing Zip/Postal Code]])</f>
        <v>P.O. Box 78099, St. Louis, MO, 63178</v>
      </c>
    </row>
    <row r="3727" spans="1:13" ht="15.6" hidden="1" x14ac:dyDescent="0.3">
      <c r="A3727" s="1" t="s">
        <v>11149</v>
      </c>
      <c r="B3727" s="1"/>
      <c r="C3727" s="1"/>
      <c r="D3727" s="1"/>
      <c r="E3727" s="1"/>
      <c r="F3727" s="1"/>
      <c r="G3727" s="1" t="s">
        <v>8</v>
      </c>
      <c r="H3727" s="2">
        <v>370</v>
      </c>
      <c r="I3727" s="1" t="s">
        <v>11150</v>
      </c>
      <c r="J3727" s="1" t="s">
        <v>2623</v>
      </c>
      <c r="K3727" s="1" t="s">
        <v>21</v>
      </c>
      <c r="L3727" s="1" t="s">
        <v>11151</v>
      </c>
      <c r="M3727" s="6" t="str">
        <f>_xlfn.CONCAT(Table1[[#This Row],[Billing Street]], ", ", Table1[[#This Row],[Billing City]], ", ", Table1[[#This Row],[Billing State/Province]], ", ", Table1[[#This Row],[Billing Zip/Postal Code]])</f>
        <v>202 1st Ave SW, Dayton, IA, 50530</v>
      </c>
    </row>
    <row r="3728" spans="1:13" ht="15.6" hidden="1" x14ac:dyDescent="0.3">
      <c r="A3728" s="1" t="s">
        <v>11152</v>
      </c>
      <c r="B3728" s="1"/>
      <c r="C3728" s="1"/>
      <c r="D3728" s="1"/>
      <c r="E3728" s="1"/>
      <c r="F3728" s="1"/>
      <c r="G3728" s="1" t="s">
        <v>8</v>
      </c>
      <c r="H3728" s="2">
        <v>351</v>
      </c>
      <c r="I3728" s="1" t="s">
        <v>11153</v>
      </c>
      <c r="J3728" s="1" t="s">
        <v>1566</v>
      </c>
      <c r="K3728" s="1" t="s">
        <v>21</v>
      </c>
      <c r="L3728" s="1" t="s">
        <v>11154</v>
      </c>
      <c r="M3728" s="6" t="str">
        <f>_xlfn.CONCAT(Table1[[#This Row],[Billing Street]], ", ", Table1[[#This Row],[Billing City]], ", ", Table1[[#This Row],[Billing State/Province]], ", ", Table1[[#This Row],[Billing Zip/Postal Code]])</f>
        <v>105 West Shepherd Street, Danville, IA, 52623</v>
      </c>
    </row>
    <row r="3729" spans="1:13" ht="15.6" x14ac:dyDescent="0.3">
      <c r="A3729" s="1" t="s">
        <v>11155</v>
      </c>
      <c r="B3729" s="1"/>
      <c r="C3729" s="1"/>
      <c r="D3729" s="1"/>
      <c r="E3729" s="1"/>
      <c r="F3729" s="1"/>
      <c r="G3729" s="1" t="s">
        <v>24</v>
      </c>
      <c r="H3729" s="2">
        <v>316</v>
      </c>
      <c r="I3729" s="1" t="s">
        <v>11156</v>
      </c>
      <c r="J3729" s="1" t="s">
        <v>2886</v>
      </c>
      <c r="K3729" s="1" t="s">
        <v>36</v>
      </c>
      <c r="L3729" s="1" t="s">
        <v>2887</v>
      </c>
      <c r="M3729" s="6" t="str">
        <f>_xlfn.CONCAT(Table1[[#This Row],[Billing Street]], ", ", Table1[[#This Row],[Billing City]], ", ", Table1[[#This Row],[Billing State/Province]], ", ", Table1[[#This Row],[Billing Zip/Postal Code]])</f>
        <v>430 W Drive, Altamonte Springs, FL, 32714</v>
      </c>
    </row>
    <row r="3730" spans="1:13" ht="15.6" hidden="1" x14ac:dyDescent="0.3">
      <c r="A3730" s="1" t="s">
        <v>11157</v>
      </c>
      <c r="B3730" s="1"/>
      <c r="C3730" s="1"/>
      <c r="D3730" s="1"/>
      <c r="E3730" s="1"/>
      <c r="F3730" s="1"/>
      <c r="G3730" s="1" t="s">
        <v>98</v>
      </c>
      <c r="H3730" s="2">
        <v>5887</v>
      </c>
      <c r="I3730" s="1" t="s">
        <v>13</v>
      </c>
      <c r="J3730" s="1" t="s">
        <v>11158</v>
      </c>
      <c r="K3730" s="1" t="s">
        <v>1135</v>
      </c>
      <c r="L3730" s="1" t="s">
        <v>13</v>
      </c>
      <c r="M3730" s="6" t="str">
        <f>_xlfn.CONCAT(Table1[[#This Row],[Billing Street]], ", ", Table1[[#This Row],[Billing City]], ", ", Table1[[#This Row],[Billing State/Province]], ", ", Table1[[#This Row],[Billing Zip/Postal Code]])</f>
        <v xml:space="preserve">, Knoxville, TN, </v>
      </c>
    </row>
    <row r="3731" spans="1:13" ht="15.6" hidden="1" x14ac:dyDescent="0.3">
      <c r="A3731" s="1" t="s">
        <v>11159</v>
      </c>
      <c r="B3731" s="1"/>
      <c r="C3731" s="1"/>
      <c r="D3731" s="1"/>
      <c r="E3731" s="1"/>
      <c r="F3731" s="1"/>
      <c r="G3731" s="1" t="s">
        <v>8</v>
      </c>
      <c r="H3731" s="2">
        <v>421</v>
      </c>
      <c r="I3731" s="1" t="s">
        <v>11160</v>
      </c>
      <c r="J3731" s="1" t="s">
        <v>11161</v>
      </c>
      <c r="K3731" s="1" t="s">
        <v>21</v>
      </c>
      <c r="L3731" s="1" t="s">
        <v>11162</v>
      </c>
      <c r="M3731" s="6" t="str">
        <f>_xlfn.CONCAT(Table1[[#This Row],[Billing Street]], ", ", Table1[[#This Row],[Billing City]], ", ", Table1[[#This Row],[Billing State/Province]], ", ", Table1[[#This Row],[Billing Zip/Postal Code]])</f>
        <v>108 NW Elem St, Corwith, IA, 50430</v>
      </c>
    </row>
    <row r="3732" spans="1:13" ht="15.6" hidden="1" x14ac:dyDescent="0.3">
      <c r="A3732" s="1" t="s">
        <v>11163</v>
      </c>
      <c r="B3732" s="1"/>
      <c r="C3732" s="1"/>
      <c r="D3732" s="1"/>
      <c r="E3732" s="1"/>
      <c r="F3732" s="1"/>
      <c r="G3732" s="1" t="s">
        <v>8</v>
      </c>
      <c r="H3732" s="2">
        <v>277</v>
      </c>
      <c r="I3732" s="1" t="s">
        <v>11164</v>
      </c>
      <c r="J3732" s="1" t="s">
        <v>9109</v>
      </c>
      <c r="K3732" s="1" t="s">
        <v>21</v>
      </c>
      <c r="L3732" s="1" t="s">
        <v>11165</v>
      </c>
      <c r="M3732" s="6" t="str">
        <f>_xlfn.CONCAT(Table1[[#This Row],[Billing Street]], ", ", Table1[[#This Row],[Billing City]], ", ", Table1[[#This Row],[Billing State/Province]], ", ", Table1[[#This Row],[Billing Zip/Postal Code]])</f>
        <v>601 6th St, Corning, IA, 50841</v>
      </c>
    </row>
    <row r="3733" spans="1:13" ht="15.6" hidden="1" x14ac:dyDescent="0.3">
      <c r="A3733" s="1" t="s">
        <v>11166</v>
      </c>
      <c r="B3733" s="1"/>
      <c r="C3733" s="1"/>
      <c r="D3733" s="1"/>
      <c r="E3733" s="1"/>
      <c r="F3733" s="1"/>
      <c r="G3733" s="1" t="s">
        <v>43</v>
      </c>
      <c r="H3733" s="2">
        <v>5776</v>
      </c>
      <c r="I3733" s="1" t="s">
        <v>13</v>
      </c>
      <c r="J3733" s="1" t="s">
        <v>13</v>
      </c>
      <c r="K3733" s="1" t="s">
        <v>671</v>
      </c>
      <c r="L3733" s="1" t="s">
        <v>13</v>
      </c>
      <c r="M3733" s="6" t="str">
        <f>_xlfn.CONCAT(Table1[[#This Row],[Billing Street]], ", ", Table1[[#This Row],[Billing City]], ", ", Table1[[#This Row],[Billing State/Province]], ", ", Table1[[#This Row],[Billing Zip/Postal Code]])</f>
        <v xml:space="preserve">, , NY, </v>
      </c>
    </row>
    <row r="3734" spans="1:13" ht="15.6" hidden="1" x14ac:dyDescent="0.3">
      <c r="A3734" s="1" t="s">
        <v>11167</v>
      </c>
      <c r="B3734" s="1"/>
      <c r="C3734" s="1"/>
      <c r="D3734" s="1"/>
      <c r="E3734" s="1"/>
      <c r="F3734" s="1"/>
      <c r="G3734" s="1" t="s">
        <v>205</v>
      </c>
      <c r="H3734" s="2">
        <v>323</v>
      </c>
      <c r="I3734" s="1" t="s">
        <v>11168</v>
      </c>
      <c r="J3734" s="1" t="s">
        <v>11169</v>
      </c>
      <c r="K3734" s="1" t="s">
        <v>472</v>
      </c>
      <c r="L3734" s="1" t="s">
        <v>11170</v>
      </c>
      <c r="M3734" s="6" t="str">
        <f>_xlfn.CONCAT(Table1[[#This Row],[Billing Street]], ", ", Table1[[#This Row],[Billing City]], ", ", Table1[[#This Row],[Billing State/Province]], ", ", Table1[[#This Row],[Billing Zip/Postal Code]])</f>
        <v>50 W 100 S, Blanding, UT, 84511</v>
      </c>
    </row>
    <row r="3735" spans="1:13" ht="15.6" hidden="1" x14ac:dyDescent="0.3">
      <c r="A3735" s="1" t="s">
        <v>11171</v>
      </c>
      <c r="B3735" s="1"/>
      <c r="C3735" s="1"/>
      <c r="D3735" s="1"/>
      <c r="E3735" s="1"/>
      <c r="F3735" s="1"/>
      <c r="G3735" s="1" t="s">
        <v>43</v>
      </c>
      <c r="H3735" s="2">
        <v>5776</v>
      </c>
      <c r="I3735" s="1" t="s">
        <v>13</v>
      </c>
      <c r="J3735" s="1" t="s">
        <v>13</v>
      </c>
      <c r="K3735" s="1" t="s">
        <v>671</v>
      </c>
      <c r="L3735" s="1" t="s">
        <v>13</v>
      </c>
      <c r="M3735" s="6" t="str">
        <f>_xlfn.CONCAT(Table1[[#This Row],[Billing Street]], ", ", Table1[[#This Row],[Billing City]], ", ", Table1[[#This Row],[Billing State/Province]], ", ", Table1[[#This Row],[Billing Zip/Postal Code]])</f>
        <v xml:space="preserve">, , NY, </v>
      </c>
    </row>
    <row r="3736" spans="1:13" ht="15.6" hidden="1" x14ac:dyDescent="0.3">
      <c r="A3736" s="1" t="s">
        <v>11172</v>
      </c>
      <c r="B3736" s="1"/>
      <c r="C3736" s="1"/>
      <c r="D3736" s="1"/>
      <c r="E3736" s="1"/>
      <c r="F3736" s="1"/>
      <c r="G3736" s="1" t="s">
        <v>43</v>
      </c>
      <c r="H3736" s="2">
        <v>391</v>
      </c>
      <c r="I3736" s="1" t="s">
        <v>11173</v>
      </c>
      <c r="J3736" s="1" t="s">
        <v>11174</v>
      </c>
      <c r="K3736" s="1" t="s">
        <v>671</v>
      </c>
      <c r="L3736" s="1" t="s">
        <v>13</v>
      </c>
      <c r="M3736" s="6" t="str">
        <f>_xlfn.CONCAT(Table1[[#This Row],[Billing Street]], ", ", Table1[[#This Row],[Billing City]], ", ", Table1[[#This Row],[Billing State/Province]], ", ", Table1[[#This Row],[Billing Zip/Postal Code]])</f>
        <v xml:space="preserve">4 Irving Place, New York, NY, </v>
      </c>
    </row>
    <row r="3737" spans="1:13" ht="15.6" hidden="1" x14ac:dyDescent="0.3">
      <c r="A3737" s="1" t="s">
        <v>11175</v>
      </c>
      <c r="B3737" s="1"/>
      <c r="C3737" s="1"/>
      <c r="D3737" s="1"/>
      <c r="E3737" s="1"/>
      <c r="F3737" s="1"/>
      <c r="G3737" s="1" t="s">
        <v>43</v>
      </c>
      <c r="H3737" s="2">
        <v>412</v>
      </c>
      <c r="I3737" s="1" t="s">
        <v>11176</v>
      </c>
      <c r="J3737" s="1" t="s">
        <v>11177</v>
      </c>
      <c r="K3737" s="1" t="s">
        <v>671</v>
      </c>
      <c r="L3737" s="1" t="s">
        <v>11178</v>
      </c>
      <c r="M3737" s="6" t="str">
        <f>_xlfn.CONCAT(Table1[[#This Row],[Billing Street]], ", ", Table1[[#This Row],[Billing City]], ", ", Table1[[#This Row],[Billing State/Province]], ", ", Table1[[#This Row],[Billing Zip/Postal Code]])</f>
        <v>220 West Sunrise Ave., Freeport, NY, 11520</v>
      </c>
    </row>
    <row r="3738" spans="1:13" ht="15.6" hidden="1" x14ac:dyDescent="0.3">
      <c r="A3738" s="1" t="s">
        <v>11179</v>
      </c>
      <c r="B3738" s="1"/>
      <c r="C3738" s="1"/>
      <c r="D3738" s="1"/>
      <c r="E3738" s="1"/>
      <c r="F3738" s="1"/>
      <c r="G3738" s="1" t="s">
        <v>43</v>
      </c>
      <c r="H3738" s="2">
        <v>400</v>
      </c>
      <c r="I3738" s="1" t="s">
        <v>11180</v>
      </c>
      <c r="J3738" s="1" t="s">
        <v>11181</v>
      </c>
      <c r="K3738" s="1" t="s">
        <v>671</v>
      </c>
      <c r="L3738" s="1" t="s">
        <v>11182</v>
      </c>
      <c r="M3738" s="6" t="str">
        <f>_xlfn.CONCAT(Table1[[#This Row],[Billing Street]], ", ", Table1[[#This Row],[Billing City]], ", ", Table1[[#This Row],[Billing State/Province]], ", ", Table1[[#This Row],[Billing Zip/Postal Code]])</f>
        <v>123 Main Street, White Plains, NY, 10601</v>
      </c>
    </row>
    <row r="3739" spans="1:13" ht="15.6" hidden="1" x14ac:dyDescent="0.3">
      <c r="A3739" s="1" t="s">
        <v>11183</v>
      </c>
      <c r="B3739" s="1"/>
      <c r="C3739" s="1"/>
      <c r="D3739" s="1"/>
      <c r="E3739" s="1"/>
      <c r="F3739" s="1"/>
      <c r="G3739" s="1" t="s">
        <v>43</v>
      </c>
      <c r="H3739" s="2">
        <v>216</v>
      </c>
      <c r="I3739" s="1" t="s">
        <v>11184</v>
      </c>
      <c r="J3739" s="1" t="s">
        <v>8979</v>
      </c>
      <c r="K3739" s="1" t="s">
        <v>671</v>
      </c>
      <c r="L3739" s="1" t="s">
        <v>11185</v>
      </c>
      <c r="M3739" s="6" t="str">
        <f>_xlfn.CONCAT(Table1[[#This Row],[Billing Street]], ", ", Table1[[#This Row],[Billing City]], ", ", Table1[[#This Row],[Billing State/Province]], ", ", Table1[[#This Row],[Billing Zip/Postal Code]])</f>
        <v>5029 West Lake Rd., Geneseo, NY, 14454</v>
      </c>
    </row>
    <row r="3740" spans="1:13" ht="15.6" hidden="1" x14ac:dyDescent="0.3">
      <c r="A3740" s="1" t="s">
        <v>11186</v>
      </c>
      <c r="B3740" s="1"/>
      <c r="C3740" s="1"/>
      <c r="D3740" s="1"/>
      <c r="E3740" s="1"/>
      <c r="F3740" s="1"/>
      <c r="G3740" s="1" t="s">
        <v>43</v>
      </c>
      <c r="H3740" s="2">
        <v>410</v>
      </c>
      <c r="I3740" s="1" t="s">
        <v>11187</v>
      </c>
      <c r="J3740" s="1" t="s">
        <v>11188</v>
      </c>
      <c r="K3740" s="1" t="s">
        <v>671</v>
      </c>
      <c r="L3740" s="1" t="s">
        <v>11189</v>
      </c>
      <c r="M3740" s="6" t="str">
        <f>_xlfn.CONCAT(Table1[[#This Row],[Billing Street]], ", ", Table1[[#This Row],[Billing City]], ", ", Table1[[#This Row],[Billing State/Province]], ", ", Table1[[#This Row],[Billing Zip/Postal Code]])</f>
        <v>628 Saratoga St, Cohoes, NY, 12047</v>
      </c>
    </row>
    <row r="3741" spans="1:13" ht="15.6" hidden="1" x14ac:dyDescent="0.3">
      <c r="A3741" s="1" t="s">
        <v>11190</v>
      </c>
      <c r="B3741" s="1"/>
      <c r="C3741" s="1"/>
      <c r="D3741" s="1"/>
      <c r="E3741" s="1"/>
      <c r="F3741" s="1"/>
      <c r="G3741" s="1" t="s">
        <v>43</v>
      </c>
      <c r="H3741" s="2">
        <v>126</v>
      </c>
      <c r="I3741" s="1" t="s">
        <v>11191</v>
      </c>
      <c r="J3741" s="1" t="s">
        <v>2479</v>
      </c>
      <c r="K3741" s="1" t="s">
        <v>671</v>
      </c>
      <c r="L3741" s="1" t="s">
        <v>13</v>
      </c>
      <c r="M3741" s="6" t="str">
        <f>_xlfn.CONCAT(Table1[[#This Row],[Billing Street]], ", ", Table1[[#This Row],[Billing City]], ", ", Table1[[#This Row],[Billing State/Province]], ", ", Table1[[#This Row],[Billing Zip/Postal Code]])</f>
        <v xml:space="preserve">92 Steele St, Jamestown, NY, </v>
      </c>
    </row>
    <row r="3742" spans="1:13" ht="15.6" hidden="1" x14ac:dyDescent="0.3">
      <c r="A3742" s="1" t="s">
        <v>11192</v>
      </c>
      <c r="B3742" s="1"/>
      <c r="C3742" s="1"/>
      <c r="D3742" s="1"/>
      <c r="E3742" s="1"/>
      <c r="F3742" s="1"/>
      <c r="G3742" s="1" t="s">
        <v>43</v>
      </c>
      <c r="H3742" s="2">
        <v>239</v>
      </c>
      <c r="I3742" s="1" t="s">
        <v>11193</v>
      </c>
      <c r="J3742" s="1" t="s">
        <v>11194</v>
      </c>
      <c r="K3742" s="1" t="s">
        <v>671</v>
      </c>
      <c r="L3742" s="1" t="s">
        <v>11195</v>
      </c>
      <c r="M3742" s="6" t="str">
        <f>_xlfn.CONCAT(Table1[[#This Row],[Billing Street]], ", ", Table1[[#This Row],[Billing City]], ", ", Table1[[#This Row],[Billing State/Province]], ", ", Table1[[#This Row],[Billing Zip/Postal Code]])</f>
        <v>31 south Main st, fairport, NY, 14450</v>
      </c>
    </row>
    <row r="3743" spans="1:13" ht="15.6" x14ac:dyDescent="0.3">
      <c r="A3743" s="1" t="s">
        <v>11196</v>
      </c>
      <c r="B3743" s="1"/>
      <c r="C3743" s="1"/>
      <c r="D3743" s="1"/>
      <c r="E3743" s="1"/>
      <c r="F3743" s="1"/>
      <c r="G3743" s="1" t="s">
        <v>24</v>
      </c>
      <c r="H3743" s="2">
        <v>121</v>
      </c>
      <c r="I3743" s="1" t="s">
        <v>11197</v>
      </c>
      <c r="J3743" s="1" t="s">
        <v>633</v>
      </c>
      <c r="K3743" s="1" t="s">
        <v>26</v>
      </c>
      <c r="L3743" s="1" t="s">
        <v>11198</v>
      </c>
      <c r="M3743" s="6" t="str">
        <f>_xlfn.CONCAT(Table1[[#This Row],[Billing Street]], ", ", Table1[[#This Row],[Billing City]], ", ", Table1[[#This Row],[Billing State/Province]], ", ", Table1[[#This Row],[Billing Zip/Postal Code]])</f>
        <v>4655 Halls Mill Rd, Mobile, AL, 36693</v>
      </c>
    </row>
    <row r="3744" spans="1:13" ht="15.6" hidden="1" x14ac:dyDescent="0.3">
      <c r="A3744" s="1" t="s">
        <v>11199</v>
      </c>
      <c r="B3744" s="1"/>
      <c r="C3744" s="1"/>
      <c r="D3744" s="1"/>
      <c r="E3744" s="1"/>
      <c r="F3744" s="1"/>
      <c r="G3744" s="1" t="s">
        <v>43</v>
      </c>
      <c r="H3744" s="2">
        <v>5776</v>
      </c>
      <c r="I3744" s="1" t="s">
        <v>13</v>
      </c>
      <c r="J3744" s="1" t="s">
        <v>13</v>
      </c>
      <c r="K3744" s="1" t="s">
        <v>671</v>
      </c>
      <c r="L3744" s="1" t="s">
        <v>13</v>
      </c>
      <c r="M3744" s="6" t="str">
        <f>_xlfn.CONCAT(Table1[[#This Row],[Billing Street]], ", ", Table1[[#This Row],[Billing City]], ", ", Table1[[#This Row],[Billing State/Province]], ", ", Table1[[#This Row],[Billing Zip/Postal Code]])</f>
        <v xml:space="preserve">, , NY, </v>
      </c>
    </row>
    <row r="3745" spans="1:13" ht="15.6" hidden="1" x14ac:dyDescent="0.3">
      <c r="A3745" s="1" t="s">
        <v>11200</v>
      </c>
      <c r="B3745" s="1"/>
      <c r="C3745" s="1"/>
      <c r="D3745" s="1"/>
      <c r="E3745" s="1"/>
      <c r="F3745" s="1"/>
      <c r="G3745" s="1" t="s">
        <v>8</v>
      </c>
      <c r="H3745" s="2">
        <v>186</v>
      </c>
      <c r="I3745" s="1" t="s">
        <v>11201</v>
      </c>
      <c r="J3745" s="1" t="s">
        <v>11202</v>
      </c>
      <c r="K3745" s="1" t="s">
        <v>554</v>
      </c>
      <c r="L3745" s="1" t="s">
        <v>11203</v>
      </c>
      <c r="M3745" s="6" t="str">
        <f>_xlfn.CONCAT(Table1[[#This Row],[Billing Street]], ", ", Table1[[#This Row],[Billing City]], ", ", Table1[[#This Row],[Billing State/Province]], ", ", Table1[[#This Row],[Billing Zip/Postal Code]])</f>
        <v>P.O. Box 367, Saint John, KS, 67576</v>
      </c>
    </row>
    <row r="3746" spans="1:13" ht="15.6" hidden="1" x14ac:dyDescent="0.3">
      <c r="A3746" s="1" t="s">
        <v>11204</v>
      </c>
      <c r="B3746" s="1"/>
      <c r="C3746" s="1"/>
      <c r="D3746" s="1"/>
      <c r="E3746" s="1"/>
      <c r="F3746" s="1"/>
      <c r="G3746" s="1" t="s">
        <v>43</v>
      </c>
      <c r="H3746" s="2">
        <v>5776</v>
      </c>
      <c r="I3746" s="1" t="s">
        <v>13</v>
      </c>
      <c r="J3746" s="1" t="s">
        <v>13</v>
      </c>
      <c r="K3746" s="1" t="s">
        <v>671</v>
      </c>
      <c r="L3746" s="1" t="s">
        <v>13</v>
      </c>
      <c r="M3746" s="6" t="str">
        <f>_xlfn.CONCAT(Table1[[#This Row],[Billing Street]], ", ", Table1[[#This Row],[Billing City]], ", ", Table1[[#This Row],[Billing State/Province]], ", ", Table1[[#This Row],[Billing Zip/Postal Code]])</f>
        <v xml:space="preserve">, , NY, </v>
      </c>
    </row>
    <row r="3747" spans="1:13" ht="15.6" hidden="1" x14ac:dyDescent="0.3">
      <c r="A3747" s="1" t="s">
        <v>11205</v>
      </c>
      <c r="B3747" s="1"/>
      <c r="C3747" s="1"/>
      <c r="D3747" s="1"/>
      <c r="E3747" s="1"/>
      <c r="F3747" s="1"/>
      <c r="G3747" s="1" t="s">
        <v>43</v>
      </c>
      <c r="H3747" s="2">
        <v>178</v>
      </c>
      <c r="I3747" s="1" t="s">
        <v>11206</v>
      </c>
      <c r="J3747" s="1" t="s">
        <v>11207</v>
      </c>
      <c r="K3747" s="1" t="s">
        <v>241</v>
      </c>
      <c r="L3747" s="1" t="s">
        <v>11208</v>
      </c>
      <c r="M3747" s="6" t="str">
        <f>_xlfn.CONCAT(Table1[[#This Row],[Billing Street]], ", ", Table1[[#This Row],[Billing City]], ", ", Table1[[#This Row],[Billing State/Province]], ", ", Table1[[#This Row],[Billing Zip/Postal Code]])</f>
        <v>3596 Brumbaugh Rd, New Enterprise, PA, 16664-0075</v>
      </c>
    </row>
    <row r="3748" spans="1:13" ht="15.6" hidden="1" x14ac:dyDescent="0.3">
      <c r="A3748" s="1" t="s">
        <v>11209</v>
      </c>
      <c r="B3748" s="1"/>
      <c r="C3748" s="1"/>
      <c r="D3748" s="1"/>
      <c r="E3748" s="1"/>
      <c r="F3748" s="1"/>
      <c r="G3748" s="1" t="s">
        <v>43</v>
      </c>
      <c r="H3748" s="2">
        <v>5776</v>
      </c>
      <c r="I3748" s="1" t="s">
        <v>13</v>
      </c>
      <c r="J3748" s="1" t="s">
        <v>13</v>
      </c>
      <c r="K3748" s="1" t="s">
        <v>671</v>
      </c>
      <c r="L3748" s="1" t="s">
        <v>13</v>
      </c>
      <c r="M3748" s="6" t="str">
        <f>_xlfn.CONCAT(Table1[[#This Row],[Billing Street]], ", ", Table1[[#This Row],[Billing City]], ", ", Table1[[#This Row],[Billing State/Province]], ", ", Table1[[#This Row],[Billing Zip/Postal Code]])</f>
        <v xml:space="preserve">, , NY, </v>
      </c>
    </row>
    <row r="3749" spans="1:13" ht="15.6" hidden="1" x14ac:dyDescent="0.3">
      <c r="A3749" s="1" t="s">
        <v>11210</v>
      </c>
      <c r="B3749" s="1"/>
      <c r="C3749" s="1"/>
      <c r="D3749" s="1"/>
      <c r="E3749" s="1"/>
      <c r="F3749" s="1"/>
      <c r="G3749" s="1" t="s">
        <v>205</v>
      </c>
      <c r="H3749" s="2">
        <v>45</v>
      </c>
      <c r="I3749" s="1" t="s">
        <v>11211</v>
      </c>
      <c r="J3749" s="1" t="s">
        <v>11212</v>
      </c>
      <c r="K3749" s="1" t="s">
        <v>479</v>
      </c>
      <c r="L3749" s="1" t="s">
        <v>11213</v>
      </c>
      <c r="M3749" s="6" t="str">
        <f>_xlfn.CONCAT(Table1[[#This Row],[Billing Street]], ", ", Table1[[#This Row],[Billing City]], ", ", Table1[[#This Row],[Billing State/Province]], ", ", Table1[[#This Row],[Billing Zip/Postal Code]])</f>
        <v>142 S Arizona Blvd, Coolidge, AZ, 85128</v>
      </c>
    </row>
    <row r="3750" spans="1:13" ht="15.6" hidden="1" x14ac:dyDescent="0.3">
      <c r="A3750" s="1" t="s">
        <v>11214</v>
      </c>
      <c r="B3750" s="1"/>
      <c r="C3750" s="1"/>
      <c r="D3750" s="1"/>
      <c r="E3750" s="1"/>
      <c r="F3750" s="1"/>
      <c r="G3750" s="1" t="s">
        <v>205</v>
      </c>
      <c r="H3750" s="2">
        <v>553</v>
      </c>
      <c r="I3750" s="1" t="s">
        <v>11215</v>
      </c>
      <c r="J3750" s="1" t="s">
        <v>3321</v>
      </c>
      <c r="K3750" s="1" t="s">
        <v>1695</v>
      </c>
      <c r="L3750" s="1" t="s">
        <v>11216</v>
      </c>
      <c r="M3750" s="6" t="str">
        <f>_xlfn.CONCAT(Table1[[#This Row],[Billing Street]], ", ", Table1[[#This Row],[Billing City]], ", ", Table1[[#This Row],[Billing State/Province]], ", ", Table1[[#This Row],[Billing Zip/Postal Code]])</f>
        <v>1451 Humboldt Ave, Wells, NV, 89835</v>
      </c>
    </row>
    <row r="3751" spans="1:13" ht="15.6" hidden="1" x14ac:dyDescent="0.3">
      <c r="A3751" s="1" t="s">
        <v>11217</v>
      </c>
      <c r="B3751" s="1"/>
      <c r="C3751" s="1"/>
      <c r="D3751" s="1"/>
      <c r="E3751" s="1"/>
      <c r="F3751" s="1"/>
      <c r="G3751" s="1" t="s">
        <v>8</v>
      </c>
      <c r="H3751" s="2">
        <v>390</v>
      </c>
      <c r="I3751" s="1" t="s">
        <v>11218</v>
      </c>
      <c r="J3751" s="1" t="s">
        <v>5981</v>
      </c>
      <c r="K3751" s="1" t="s">
        <v>208</v>
      </c>
      <c r="L3751" s="1" t="s">
        <v>11007</v>
      </c>
      <c r="M3751" s="6" t="str">
        <f>_xlfn.CONCAT(Table1[[#This Row],[Billing Street]], ", ", Table1[[#This Row],[Billing City]], ", ", Table1[[#This Row],[Billing State/Province]], ", ", Table1[[#This Row],[Billing Zip/Postal Code]])</f>
        <v>100 N 2nd St, Lamar, CO, 81052</v>
      </c>
    </row>
    <row r="3752" spans="1:13" ht="15.6" hidden="1" x14ac:dyDescent="0.3">
      <c r="A3752" s="1" t="s">
        <v>11219</v>
      </c>
      <c r="B3752" s="1"/>
      <c r="C3752" s="1"/>
      <c r="D3752" s="1"/>
      <c r="E3752" s="1"/>
      <c r="F3752" s="1"/>
      <c r="G3752" s="1" t="s">
        <v>8</v>
      </c>
      <c r="H3752" s="2">
        <v>840</v>
      </c>
      <c r="I3752" s="1" t="s">
        <v>11220</v>
      </c>
      <c r="J3752" s="1" t="s">
        <v>6945</v>
      </c>
      <c r="K3752" s="1" t="s">
        <v>410</v>
      </c>
      <c r="L3752" s="1" t="s">
        <v>11221</v>
      </c>
      <c r="M3752" s="6" t="str">
        <f>_xlfn.CONCAT(Table1[[#This Row],[Billing Street]], ", ", Table1[[#This Row],[Billing City]], ", ", Table1[[#This Row],[Billing State/Province]], ", ", Table1[[#This Row],[Billing Zip/Postal Code]])</f>
        <v>40014 Business Loop, 80, Lyman, WY, 82937</v>
      </c>
    </row>
    <row r="3753" spans="1:13" ht="15.6" hidden="1" x14ac:dyDescent="0.3">
      <c r="A3753" s="1" t="s">
        <v>11222</v>
      </c>
      <c r="B3753" s="1"/>
      <c r="C3753" s="1"/>
      <c r="D3753" s="1"/>
      <c r="E3753" s="1"/>
      <c r="F3753" s="1"/>
      <c r="G3753" s="1" t="s">
        <v>98</v>
      </c>
      <c r="H3753" s="2">
        <v>5887</v>
      </c>
      <c r="I3753" s="1" t="s">
        <v>11223</v>
      </c>
      <c r="J3753" s="1" t="s">
        <v>11158</v>
      </c>
      <c r="K3753" s="1" t="s">
        <v>1135</v>
      </c>
      <c r="L3753" s="1" t="s">
        <v>13</v>
      </c>
      <c r="M3753" s="6" t="str">
        <f>_xlfn.CONCAT(Table1[[#This Row],[Billing Street]], ", ", Table1[[#This Row],[Billing City]], ", ", Table1[[#This Row],[Billing State/Province]], ", ", Table1[[#This Row],[Billing Zip/Postal Code]])</f>
        <v xml:space="preserve">1 Bethel Valley Road, Knoxville, TN, </v>
      </c>
    </row>
    <row r="3754" spans="1:13" ht="15.6" hidden="1" x14ac:dyDescent="0.3">
      <c r="A3754" s="1" t="s">
        <v>11224</v>
      </c>
      <c r="B3754" s="1"/>
      <c r="C3754" s="1"/>
      <c r="D3754" s="1"/>
      <c r="E3754" s="1"/>
      <c r="F3754" s="1"/>
      <c r="G3754" s="1" t="s">
        <v>43</v>
      </c>
      <c r="H3754" s="2">
        <v>5776</v>
      </c>
      <c r="I3754" s="1" t="s">
        <v>13</v>
      </c>
      <c r="J3754" s="1" t="s">
        <v>13</v>
      </c>
      <c r="K3754" s="1" t="s">
        <v>671</v>
      </c>
      <c r="L3754" s="1" t="s">
        <v>13</v>
      </c>
      <c r="M3754" s="6" t="str">
        <f>_xlfn.CONCAT(Table1[[#This Row],[Billing Street]], ", ", Table1[[#This Row],[Billing City]], ", ", Table1[[#This Row],[Billing State/Province]], ", ", Table1[[#This Row],[Billing Zip/Postal Code]])</f>
        <v xml:space="preserve">, , NY, </v>
      </c>
    </row>
    <row r="3755" spans="1:13" ht="15.6" hidden="1" x14ac:dyDescent="0.3">
      <c r="A3755" s="1" t="s">
        <v>11225</v>
      </c>
      <c r="B3755" s="1"/>
      <c r="C3755" s="1"/>
      <c r="D3755" s="1"/>
      <c r="E3755" s="1"/>
      <c r="F3755" s="1"/>
      <c r="G3755" s="1" t="s">
        <v>43</v>
      </c>
      <c r="H3755" s="2">
        <v>5776</v>
      </c>
      <c r="I3755" s="1" t="s">
        <v>13</v>
      </c>
      <c r="J3755" s="1" t="s">
        <v>13</v>
      </c>
      <c r="K3755" s="1" t="s">
        <v>671</v>
      </c>
      <c r="L3755" s="1" t="s">
        <v>13</v>
      </c>
      <c r="M3755" s="6" t="str">
        <f>_xlfn.CONCAT(Table1[[#This Row],[Billing Street]], ", ", Table1[[#This Row],[Billing City]], ", ", Table1[[#This Row],[Billing State/Province]], ", ", Table1[[#This Row],[Billing Zip/Postal Code]])</f>
        <v xml:space="preserve">, , NY, </v>
      </c>
    </row>
    <row r="3756" spans="1:13" ht="15.6" hidden="1" x14ac:dyDescent="0.3">
      <c r="A3756" s="1" t="s">
        <v>11226</v>
      </c>
      <c r="B3756" s="1"/>
      <c r="C3756" s="1"/>
      <c r="D3756" s="1"/>
      <c r="E3756" s="1"/>
      <c r="F3756" s="1"/>
      <c r="G3756" s="1" t="s">
        <v>8</v>
      </c>
      <c r="H3756" s="2">
        <v>871</v>
      </c>
      <c r="I3756" s="1" t="s">
        <v>11227</v>
      </c>
      <c r="J3756" s="1" t="s">
        <v>11228</v>
      </c>
      <c r="K3756" s="1" t="s">
        <v>410</v>
      </c>
      <c r="L3756" s="1" t="s">
        <v>11229</v>
      </c>
      <c r="M3756" s="6" t="str">
        <f>_xlfn.CONCAT(Table1[[#This Row],[Billing Street]], ", ", Table1[[#This Row],[Billing City]], ", ", Table1[[#This Row],[Billing State/Province]], ", ", Table1[[#This Row],[Billing Zip/Postal Code]])</f>
        <v>225 19th St, Cody, WY, 82414</v>
      </c>
    </row>
    <row r="3757" spans="1:13" ht="15.6" hidden="1" x14ac:dyDescent="0.3">
      <c r="A3757" s="1" t="s">
        <v>11230</v>
      </c>
      <c r="B3757" s="1"/>
      <c r="C3757" s="1"/>
      <c r="D3757" s="1"/>
      <c r="E3757" s="1"/>
      <c r="F3757" s="1"/>
      <c r="G3757" s="1" t="s">
        <v>8</v>
      </c>
      <c r="H3757" s="2">
        <v>493</v>
      </c>
      <c r="I3757" s="1" t="s">
        <v>11231</v>
      </c>
      <c r="J3757" s="1" t="s">
        <v>11232</v>
      </c>
      <c r="K3757" s="1" t="s">
        <v>208</v>
      </c>
      <c r="L3757" s="1" t="s">
        <v>11233</v>
      </c>
      <c r="M3757" s="6" t="str">
        <f>_xlfn.CONCAT(Table1[[#This Row],[Billing Street]], ", ", Table1[[#This Row],[Billing City]], ", ", Table1[[#This Row],[Billing State/Province]], ", ", Table1[[#This Row],[Billing Zip/Postal Code]])</f>
        <v>734 Barlow rd, Fort Morgan, CO, 80701</v>
      </c>
    </row>
    <row r="3758" spans="1:13" ht="15.6" hidden="1" x14ac:dyDescent="0.3">
      <c r="A3758" s="1" t="s">
        <v>11234</v>
      </c>
      <c r="B3758" s="1"/>
      <c r="C3758" s="1"/>
      <c r="D3758" s="1"/>
      <c r="E3758" s="1"/>
      <c r="F3758" s="1"/>
      <c r="G3758" s="1" t="s">
        <v>8</v>
      </c>
      <c r="H3758" s="2">
        <v>463</v>
      </c>
      <c r="I3758" s="1" t="s">
        <v>11235</v>
      </c>
      <c r="J3758" s="1" t="s">
        <v>4704</v>
      </c>
      <c r="K3758" s="1" t="s">
        <v>208</v>
      </c>
      <c r="L3758" s="1" t="s">
        <v>11236</v>
      </c>
      <c r="M3758" s="6" t="str">
        <f>_xlfn.CONCAT(Table1[[#This Row],[Billing Street]], ", ", Table1[[#This Row],[Billing City]], ", ", Table1[[#This Row],[Billing State/Province]], ", ", Table1[[#This Row],[Billing Zip/Postal Code]])</f>
        <v>250 Main Ave, Akron, CO, 80720</v>
      </c>
    </row>
    <row r="3759" spans="1:13" ht="15.6" hidden="1" x14ac:dyDescent="0.3">
      <c r="A3759" s="1" t="s">
        <v>11237</v>
      </c>
      <c r="B3759" s="1"/>
      <c r="C3759" s="1"/>
      <c r="D3759" s="1"/>
      <c r="E3759" s="1"/>
      <c r="F3759" s="1"/>
      <c r="G3759" s="1" t="s">
        <v>13</v>
      </c>
      <c r="H3759" s="2">
        <v>0</v>
      </c>
      <c r="I3759" s="1" t="s">
        <v>11238</v>
      </c>
      <c r="J3759" s="1" t="s">
        <v>11239</v>
      </c>
      <c r="K3759" s="1" t="s">
        <v>13</v>
      </c>
      <c r="L3759" s="1" t="s">
        <v>11240</v>
      </c>
      <c r="M3759" s="6" t="str">
        <f>_xlfn.CONCAT(Table1[[#This Row],[Billing Street]], ", ", Table1[[#This Row],[Billing City]], ", ", Table1[[#This Row],[Billing State/Province]], ", ", Table1[[#This Row],[Billing Zip/Postal Code]])</f>
        <v>426 swedesboro, Pilesgrove, , 8098</v>
      </c>
    </row>
    <row r="3760" spans="1:13" ht="15.6" hidden="1" x14ac:dyDescent="0.3">
      <c r="A3760" s="1" t="s">
        <v>11241</v>
      </c>
      <c r="B3760" s="1"/>
      <c r="C3760" s="1"/>
      <c r="D3760" s="1"/>
      <c r="E3760" s="1"/>
      <c r="F3760" s="1"/>
      <c r="G3760" s="1" t="s">
        <v>98</v>
      </c>
      <c r="H3760" s="2">
        <v>5887</v>
      </c>
      <c r="I3760" s="1" t="s">
        <v>13</v>
      </c>
      <c r="J3760" s="1" t="s">
        <v>13</v>
      </c>
      <c r="K3760" s="1" t="s">
        <v>1178</v>
      </c>
      <c r="L3760" s="1" t="s">
        <v>13</v>
      </c>
      <c r="M3760" s="6" t="str">
        <f>_xlfn.CONCAT(Table1[[#This Row],[Billing Street]], ", ", Table1[[#This Row],[Billing City]], ", ", Table1[[#This Row],[Billing State/Province]], ", ", Table1[[#This Row],[Billing Zip/Postal Code]])</f>
        <v xml:space="preserve">, , NC, </v>
      </c>
    </row>
    <row r="3761" spans="1:13" ht="15.6" hidden="1" x14ac:dyDescent="0.3">
      <c r="A3761" s="1" t="s">
        <v>11242</v>
      </c>
      <c r="B3761" s="1"/>
      <c r="C3761" s="1"/>
      <c r="D3761" s="1"/>
      <c r="E3761" s="1"/>
      <c r="F3761" s="1"/>
      <c r="G3761" s="1" t="s">
        <v>98</v>
      </c>
      <c r="H3761" s="2">
        <v>288</v>
      </c>
      <c r="I3761" s="1" t="s">
        <v>11243</v>
      </c>
      <c r="J3761" s="1" t="s">
        <v>5670</v>
      </c>
      <c r="K3761" s="1" t="s">
        <v>1178</v>
      </c>
      <c r="L3761" s="1" t="s">
        <v>5671</v>
      </c>
      <c r="M3761" s="6" t="str">
        <f>_xlfn.CONCAT(Table1[[#This Row],[Billing Street]], ", ", Table1[[#This Row],[Billing City]], ", ", Table1[[#This Row],[Billing State/Province]], ", ", Table1[[#This Row],[Billing Zip/Postal Code]])</f>
        <v>4716 Hilltop Road, Greensboro, NC, 27407</v>
      </c>
    </row>
    <row r="3762" spans="1:13" ht="15.6" hidden="1" x14ac:dyDescent="0.3">
      <c r="A3762" s="1" t="s">
        <v>11244</v>
      </c>
      <c r="B3762" s="1"/>
      <c r="C3762" s="1"/>
      <c r="D3762" s="1"/>
      <c r="E3762" s="1"/>
      <c r="F3762" s="1"/>
      <c r="G3762" s="1" t="s">
        <v>8</v>
      </c>
      <c r="H3762" s="2">
        <v>720</v>
      </c>
      <c r="I3762" s="1" t="s">
        <v>11245</v>
      </c>
      <c r="J3762" s="1" t="s">
        <v>11246</v>
      </c>
      <c r="K3762" s="1" t="s">
        <v>410</v>
      </c>
      <c r="L3762" s="1" t="s">
        <v>11247</v>
      </c>
      <c r="M3762" s="6" t="str">
        <f>_xlfn.CONCAT(Table1[[#This Row],[Billing Street]], ", ", Table1[[#This Row],[Billing City]], ", ", Table1[[#This Row],[Billing State/Province]], ", ", Table1[[#This Row],[Billing Zip/Postal Code]])</f>
        <v>201 E 5th St, Gillette, WY, 82716</v>
      </c>
    </row>
    <row r="3763" spans="1:13" ht="15.6" hidden="1" x14ac:dyDescent="0.3">
      <c r="A3763" s="1" t="s">
        <v>11248</v>
      </c>
      <c r="B3763" s="1"/>
      <c r="C3763" s="1"/>
      <c r="D3763" s="1"/>
      <c r="E3763" s="1"/>
      <c r="F3763" s="1"/>
      <c r="G3763" s="1" t="s">
        <v>98</v>
      </c>
      <c r="H3763" s="2">
        <v>344</v>
      </c>
      <c r="I3763" s="1" t="s">
        <v>11249</v>
      </c>
      <c r="J3763" s="1" t="s">
        <v>6657</v>
      </c>
      <c r="K3763" s="1" t="s">
        <v>1178</v>
      </c>
      <c r="L3763" s="1" t="s">
        <v>11250</v>
      </c>
      <c r="M3763" s="6" t="str">
        <f>_xlfn.CONCAT(Table1[[#This Row],[Billing Street]], ", ", Table1[[#This Row],[Billing City]], ", ", Table1[[#This Row],[Billing State/Province]], ", ", Table1[[#This Row],[Billing Zip/Postal Code]])</f>
        <v>4601 Six Forks Road, Raleigh, NC, 27609</v>
      </c>
    </row>
    <row r="3764" spans="1:13" ht="15.6" hidden="1" x14ac:dyDescent="0.3">
      <c r="A3764" s="1" t="s">
        <v>11251</v>
      </c>
      <c r="B3764" s="1"/>
      <c r="C3764" s="1"/>
      <c r="D3764" s="1"/>
      <c r="E3764" s="1"/>
      <c r="F3764" s="1"/>
      <c r="G3764" s="1" t="s">
        <v>8</v>
      </c>
      <c r="H3764" s="2">
        <v>680</v>
      </c>
      <c r="I3764" s="1" t="s">
        <v>11252</v>
      </c>
      <c r="J3764" s="1" t="s">
        <v>11253</v>
      </c>
      <c r="K3764" s="1" t="s">
        <v>3735</v>
      </c>
      <c r="L3764" s="1" t="s">
        <v>11254</v>
      </c>
      <c r="M3764" s="6" t="str">
        <f>_xlfn.CONCAT(Table1[[#This Row],[Billing Street]], ", ", Table1[[#This Row],[Billing City]], ", ", Table1[[#This Row],[Billing State/Province]], ", ", Table1[[#This Row],[Billing Zip/Postal Code]])</f>
        <v>4100 32nd Ave S, Fargo, ND, 58104</v>
      </c>
    </row>
    <row r="3765" spans="1:13" ht="15.6" hidden="1" x14ac:dyDescent="0.3">
      <c r="A3765" s="1" t="s">
        <v>11255</v>
      </c>
      <c r="B3765" s="1"/>
      <c r="C3765" s="1"/>
      <c r="D3765" s="1"/>
      <c r="E3765" s="1"/>
      <c r="F3765" s="1"/>
      <c r="G3765" s="1" t="s">
        <v>8</v>
      </c>
      <c r="H3765" s="2">
        <v>596</v>
      </c>
      <c r="I3765" s="1" t="s">
        <v>11256</v>
      </c>
      <c r="J3765" s="1" t="s">
        <v>11257</v>
      </c>
      <c r="K3765" s="1" t="s">
        <v>208</v>
      </c>
      <c r="L3765" s="1" t="s">
        <v>11258</v>
      </c>
      <c r="M3765" s="6" t="str">
        <f>_xlfn.CONCAT(Table1[[#This Row],[Billing Street]], ", ", Table1[[#This Row],[Billing City]], ", ", Table1[[#This Row],[Billing State/Province]], ", ", Table1[[#This Row],[Billing Zip/Postal Code]])</f>
        <v>321 W Agate Ave, Grandy, CO, 80446</v>
      </c>
    </row>
    <row r="3766" spans="1:13" ht="15.6" hidden="1" x14ac:dyDescent="0.3">
      <c r="A3766" s="1" t="s">
        <v>11259</v>
      </c>
      <c r="B3766" s="1"/>
      <c r="C3766" s="1"/>
      <c r="D3766" s="1"/>
      <c r="E3766" s="1"/>
      <c r="F3766" s="1"/>
      <c r="G3766" s="1" t="s">
        <v>8</v>
      </c>
      <c r="H3766" s="2">
        <v>6528</v>
      </c>
      <c r="I3766" s="1" t="s">
        <v>13</v>
      </c>
      <c r="J3766" s="1" t="s">
        <v>13</v>
      </c>
      <c r="K3766" s="1" t="s">
        <v>3735</v>
      </c>
      <c r="L3766" s="1" t="s">
        <v>13</v>
      </c>
      <c r="M3766" s="6" t="str">
        <f>_xlfn.CONCAT(Table1[[#This Row],[Billing Street]], ", ", Table1[[#This Row],[Billing City]], ", ", Table1[[#This Row],[Billing State/Province]], ", ", Table1[[#This Row],[Billing Zip/Postal Code]])</f>
        <v xml:space="preserve">, , ND, </v>
      </c>
    </row>
    <row r="3767" spans="1:13" ht="15.6" hidden="1" x14ac:dyDescent="0.3">
      <c r="A3767" s="1" t="s">
        <v>11260</v>
      </c>
      <c r="B3767" s="1"/>
      <c r="C3767" s="1"/>
      <c r="D3767" s="1"/>
      <c r="E3767" s="1"/>
      <c r="F3767" s="1"/>
      <c r="G3767" s="1" t="s">
        <v>43</v>
      </c>
      <c r="H3767" s="2">
        <v>5776</v>
      </c>
      <c r="I3767" s="1" t="s">
        <v>13</v>
      </c>
      <c r="J3767" s="1" t="s">
        <v>13</v>
      </c>
      <c r="K3767" s="1" t="s">
        <v>2610</v>
      </c>
      <c r="L3767" s="1" t="s">
        <v>13</v>
      </c>
      <c r="M3767" s="6" t="str">
        <f>_xlfn.CONCAT(Table1[[#This Row],[Billing Street]], ", ", Table1[[#This Row],[Billing City]], ", ", Table1[[#This Row],[Billing State/Province]], ", ", Table1[[#This Row],[Billing Zip/Postal Code]])</f>
        <v xml:space="preserve">, , MD, </v>
      </c>
    </row>
    <row r="3768" spans="1:13" ht="15.6" hidden="1" x14ac:dyDescent="0.3">
      <c r="A3768" s="1" t="s">
        <v>11261</v>
      </c>
      <c r="B3768" s="1"/>
      <c r="C3768" s="1"/>
      <c r="D3768" s="1"/>
      <c r="E3768" s="1"/>
      <c r="F3768" s="1"/>
      <c r="G3768" s="1" t="s">
        <v>8</v>
      </c>
      <c r="H3768" s="2">
        <v>556</v>
      </c>
      <c r="I3768" s="1" t="s">
        <v>11262</v>
      </c>
      <c r="J3768" s="1" t="s">
        <v>11263</v>
      </c>
      <c r="K3768" s="1" t="s">
        <v>51</v>
      </c>
      <c r="L3768" s="1" t="s">
        <v>11264</v>
      </c>
      <c r="M3768" s="6" t="str">
        <f>_xlfn.CONCAT(Table1[[#This Row],[Billing Street]], ", ", Table1[[#This Row],[Billing City]], ", ", Table1[[#This Row],[Billing State/Province]], ", ", Table1[[#This Row],[Billing Zip/Postal Code]])</f>
        <v>8925 TX 111 111 E, Ganado, TX, 77962</v>
      </c>
    </row>
    <row r="3769" spans="1:13" ht="15.6" hidden="1" x14ac:dyDescent="0.3">
      <c r="A3769" s="1" t="s">
        <v>11265</v>
      </c>
      <c r="B3769" s="1"/>
      <c r="C3769" s="1"/>
      <c r="D3769" s="1"/>
      <c r="E3769" s="1"/>
      <c r="F3769" s="1"/>
      <c r="G3769" s="1" t="s">
        <v>13</v>
      </c>
      <c r="H3769" s="2">
        <v>0</v>
      </c>
      <c r="I3769" s="1" t="s">
        <v>13</v>
      </c>
      <c r="J3769" s="1" t="s">
        <v>13</v>
      </c>
      <c r="K3769" s="1" t="s">
        <v>13</v>
      </c>
      <c r="L3769" s="1" t="s">
        <v>13</v>
      </c>
      <c r="M3769" s="6" t="str">
        <f>_xlfn.CONCAT(Table1[[#This Row],[Billing Street]], ", ", Table1[[#This Row],[Billing City]], ", ", Table1[[#This Row],[Billing State/Province]], ", ", Table1[[#This Row],[Billing Zip/Postal Code]])</f>
        <v xml:space="preserve">, , , </v>
      </c>
    </row>
    <row r="3770" spans="1:13" ht="15.6" hidden="1" x14ac:dyDescent="0.3">
      <c r="A3770" s="1" t="s">
        <v>11266</v>
      </c>
      <c r="B3770" s="1"/>
      <c r="C3770" s="1"/>
      <c r="D3770" s="1"/>
      <c r="E3770" s="1"/>
      <c r="F3770" s="1"/>
      <c r="G3770" s="1" t="s">
        <v>13</v>
      </c>
      <c r="H3770" s="2">
        <v>0</v>
      </c>
      <c r="I3770" s="1" t="s">
        <v>13</v>
      </c>
      <c r="J3770" s="1" t="s">
        <v>13</v>
      </c>
      <c r="K3770" s="1" t="s">
        <v>13</v>
      </c>
      <c r="L3770" s="1" t="s">
        <v>13</v>
      </c>
      <c r="M3770" s="6" t="str">
        <f>_xlfn.CONCAT(Table1[[#This Row],[Billing Street]], ", ", Table1[[#This Row],[Billing City]], ", ", Table1[[#This Row],[Billing State/Province]], ", ", Table1[[#This Row],[Billing Zip/Postal Code]])</f>
        <v xml:space="preserve">, , , </v>
      </c>
    </row>
    <row r="3771" spans="1:13" ht="15.6" hidden="1" x14ac:dyDescent="0.3">
      <c r="A3771" s="1" t="s">
        <v>11267</v>
      </c>
      <c r="B3771" s="1"/>
      <c r="C3771" s="1"/>
      <c r="D3771" s="1"/>
      <c r="E3771" s="1"/>
      <c r="F3771" s="1"/>
      <c r="G3771" s="1" t="s">
        <v>13</v>
      </c>
      <c r="H3771" s="2">
        <v>0</v>
      </c>
      <c r="I3771" s="1" t="s">
        <v>13</v>
      </c>
      <c r="J3771" s="1" t="s">
        <v>13</v>
      </c>
      <c r="K3771" s="1" t="s">
        <v>13</v>
      </c>
      <c r="L3771" s="1" t="s">
        <v>13</v>
      </c>
      <c r="M3771" s="6" t="str">
        <f>_xlfn.CONCAT(Table1[[#This Row],[Billing Street]], ", ", Table1[[#This Row],[Billing City]], ", ", Table1[[#This Row],[Billing State/Province]], ", ", Table1[[#This Row],[Billing Zip/Postal Code]])</f>
        <v xml:space="preserve">, , , </v>
      </c>
    </row>
    <row r="3772" spans="1:13" ht="15.6" hidden="1" x14ac:dyDescent="0.3">
      <c r="A3772" s="1" t="s">
        <v>11268</v>
      </c>
      <c r="B3772" s="1"/>
      <c r="C3772" s="1"/>
      <c r="D3772" s="1"/>
      <c r="E3772" s="1"/>
      <c r="F3772" s="1"/>
      <c r="G3772" s="1" t="s">
        <v>13</v>
      </c>
      <c r="H3772" s="2">
        <v>0</v>
      </c>
      <c r="I3772" s="1" t="s">
        <v>13</v>
      </c>
      <c r="J3772" s="1" t="s">
        <v>13</v>
      </c>
      <c r="K3772" s="1" t="s">
        <v>13</v>
      </c>
      <c r="L3772" s="1" t="s">
        <v>13</v>
      </c>
      <c r="M3772" s="6" t="str">
        <f>_xlfn.CONCAT(Table1[[#This Row],[Billing Street]], ", ", Table1[[#This Row],[Billing City]], ", ", Table1[[#This Row],[Billing State/Province]], ", ", Table1[[#This Row],[Billing Zip/Postal Code]])</f>
        <v xml:space="preserve">, , , </v>
      </c>
    </row>
    <row r="3773" spans="1:13" ht="15.6" hidden="1" x14ac:dyDescent="0.3">
      <c r="A3773" s="1" t="s">
        <v>11269</v>
      </c>
      <c r="B3773" s="1"/>
      <c r="C3773" s="1"/>
      <c r="D3773" s="1"/>
      <c r="E3773" s="1"/>
      <c r="F3773" s="1"/>
      <c r="G3773" s="1" t="s">
        <v>13</v>
      </c>
      <c r="H3773" s="2">
        <v>0</v>
      </c>
      <c r="I3773" s="1" t="s">
        <v>13</v>
      </c>
      <c r="J3773" s="1" t="s">
        <v>13</v>
      </c>
      <c r="K3773" s="1" t="s">
        <v>13</v>
      </c>
      <c r="L3773" s="1" t="s">
        <v>13</v>
      </c>
      <c r="M3773" s="6" t="str">
        <f>_xlfn.CONCAT(Table1[[#This Row],[Billing Street]], ", ", Table1[[#This Row],[Billing City]], ", ", Table1[[#This Row],[Billing State/Province]], ", ", Table1[[#This Row],[Billing Zip/Postal Code]])</f>
        <v xml:space="preserve">, , , </v>
      </c>
    </row>
    <row r="3774" spans="1:13" ht="15.6" hidden="1" x14ac:dyDescent="0.3">
      <c r="A3774" s="1" t="s">
        <v>11270</v>
      </c>
      <c r="B3774" s="1"/>
      <c r="C3774" s="1"/>
      <c r="D3774" s="1"/>
      <c r="E3774" s="1"/>
      <c r="F3774" s="1"/>
      <c r="G3774" s="1" t="s">
        <v>13</v>
      </c>
      <c r="H3774" s="2">
        <v>0</v>
      </c>
      <c r="I3774" s="1" t="s">
        <v>13</v>
      </c>
      <c r="J3774" s="1" t="s">
        <v>13</v>
      </c>
      <c r="K3774" s="1" t="s">
        <v>13</v>
      </c>
      <c r="L3774" s="1" t="s">
        <v>13</v>
      </c>
      <c r="M3774" s="6" t="str">
        <f>_xlfn.CONCAT(Table1[[#This Row],[Billing Street]], ", ", Table1[[#This Row],[Billing City]], ", ", Table1[[#This Row],[Billing State/Province]], ", ", Table1[[#This Row],[Billing Zip/Postal Code]])</f>
        <v xml:space="preserve">, , , </v>
      </c>
    </row>
    <row r="3775" spans="1:13" ht="15.6" hidden="1" x14ac:dyDescent="0.3">
      <c r="A3775" s="1" t="s">
        <v>11271</v>
      </c>
      <c r="B3775" s="1"/>
      <c r="C3775" s="1"/>
      <c r="D3775" s="1"/>
      <c r="E3775" s="1"/>
      <c r="F3775" s="1"/>
      <c r="G3775" s="1" t="s">
        <v>13</v>
      </c>
      <c r="H3775" s="2">
        <v>0</v>
      </c>
      <c r="I3775" s="1" t="s">
        <v>13</v>
      </c>
      <c r="J3775" s="1" t="s">
        <v>13</v>
      </c>
      <c r="K3775" s="1" t="s">
        <v>13</v>
      </c>
      <c r="L3775" s="1" t="s">
        <v>13</v>
      </c>
      <c r="M3775" s="6" t="str">
        <f>_xlfn.CONCAT(Table1[[#This Row],[Billing Street]], ", ", Table1[[#This Row],[Billing City]], ", ", Table1[[#This Row],[Billing State/Province]], ", ", Table1[[#This Row],[Billing Zip/Postal Code]])</f>
        <v xml:space="preserve">, , , </v>
      </c>
    </row>
    <row r="3776" spans="1:13" ht="15.6" hidden="1" x14ac:dyDescent="0.3">
      <c r="A3776" s="1" t="s">
        <v>11272</v>
      </c>
      <c r="B3776" s="1"/>
      <c r="C3776" s="1"/>
      <c r="D3776" s="1"/>
      <c r="E3776" s="1"/>
      <c r="F3776" s="1"/>
      <c r="G3776" s="1" t="s">
        <v>13</v>
      </c>
      <c r="H3776" s="2">
        <v>0</v>
      </c>
      <c r="I3776" s="1" t="s">
        <v>13</v>
      </c>
      <c r="J3776" s="1" t="s">
        <v>13</v>
      </c>
      <c r="K3776" s="1" t="s">
        <v>13</v>
      </c>
      <c r="L3776" s="1" t="s">
        <v>13</v>
      </c>
      <c r="M3776" s="6" t="str">
        <f>_xlfn.CONCAT(Table1[[#This Row],[Billing Street]], ", ", Table1[[#This Row],[Billing City]], ", ", Table1[[#This Row],[Billing State/Province]], ", ", Table1[[#This Row],[Billing Zip/Postal Code]])</f>
        <v xml:space="preserve">, , , </v>
      </c>
    </row>
    <row r="3777" spans="1:13" ht="15.6" hidden="1" x14ac:dyDescent="0.3">
      <c r="A3777" s="1" t="s">
        <v>11273</v>
      </c>
      <c r="B3777" s="1"/>
      <c r="C3777" s="1"/>
      <c r="D3777" s="1"/>
      <c r="E3777" s="1"/>
      <c r="F3777" s="1"/>
      <c r="G3777" s="1" t="s">
        <v>13</v>
      </c>
      <c r="H3777" s="2">
        <v>0</v>
      </c>
      <c r="I3777" s="1" t="s">
        <v>13</v>
      </c>
      <c r="J3777" s="1" t="s">
        <v>13</v>
      </c>
      <c r="K3777" s="1" t="s">
        <v>13</v>
      </c>
      <c r="L3777" s="1" t="s">
        <v>13</v>
      </c>
      <c r="M3777" s="6" t="str">
        <f>_xlfn.CONCAT(Table1[[#This Row],[Billing Street]], ", ", Table1[[#This Row],[Billing City]], ", ", Table1[[#This Row],[Billing State/Province]], ", ", Table1[[#This Row],[Billing Zip/Postal Code]])</f>
        <v xml:space="preserve">, , , </v>
      </c>
    </row>
    <row r="3778" spans="1:13" ht="15.6" hidden="1" x14ac:dyDescent="0.3">
      <c r="A3778" s="1" t="s">
        <v>11274</v>
      </c>
      <c r="B3778" s="1"/>
      <c r="C3778" s="1"/>
      <c r="D3778" s="1"/>
      <c r="E3778" s="1"/>
      <c r="F3778" s="1"/>
      <c r="G3778" s="1" t="s">
        <v>13</v>
      </c>
      <c r="H3778" s="2">
        <v>0</v>
      </c>
      <c r="I3778" s="1" t="s">
        <v>13</v>
      </c>
      <c r="J3778" s="1" t="s">
        <v>13</v>
      </c>
      <c r="K3778" s="1" t="s">
        <v>13</v>
      </c>
      <c r="L3778" s="1" t="s">
        <v>13</v>
      </c>
      <c r="M3778" s="6" t="str">
        <f>_xlfn.CONCAT(Table1[[#This Row],[Billing Street]], ", ", Table1[[#This Row],[Billing City]], ", ", Table1[[#This Row],[Billing State/Province]], ", ", Table1[[#This Row],[Billing Zip/Postal Code]])</f>
        <v xml:space="preserve">, , , </v>
      </c>
    </row>
    <row r="3779" spans="1:13" ht="15.6" hidden="1" x14ac:dyDescent="0.3">
      <c r="A3779" s="1" t="s">
        <v>11275</v>
      </c>
      <c r="B3779" s="1"/>
      <c r="C3779" s="1"/>
      <c r="D3779" s="1"/>
      <c r="E3779" s="1"/>
      <c r="F3779" s="1"/>
      <c r="G3779" s="1" t="s">
        <v>13</v>
      </c>
      <c r="H3779" s="2">
        <v>0</v>
      </c>
      <c r="I3779" s="1" t="s">
        <v>13</v>
      </c>
      <c r="J3779" s="1" t="s">
        <v>13</v>
      </c>
      <c r="K3779" s="1" t="s">
        <v>13</v>
      </c>
      <c r="L3779" s="1" t="s">
        <v>13</v>
      </c>
      <c r="M3779" s="6" t="str">
        <f>_xlfn.CONCAT(Table1[[#This Row],[Billing Street]], ", ", Table1[[#This Row],[Billing City]], ", ", Table1[[#This Row],[Billing State/Province]], ", ", Table1[[#This Row],[Billing Zip/Postal Code]])</f>
        <v xml:space="preserve">, , , </v>
      </c>
    </row>
    <row r="3780" spans="1:13" ht="15.6" hidden="1" x14ac:dyDescent="0.3">
      <c r="A3780" s="1" t="s">
        <v>11276</v>
      </c>
      <c r="B3780" s="1"/>
      <c r="C3780" s="1"/>
      <c r="D3780" s="1"/>
      <c r="E3780" s="1"/>
      <c r="F3780" s="1"/>
      <c r="G3780" s="1" t="s">
        <v>13</v>
      </c>
      <c r="H3780" s="2">
        <v>0</v>
      </c>
      <c r="I3780" s="1" t="s">
        <v>13</v>
      </c>
      <c r="J3780" s="1" t="s">
        <v>13</v>
      </c>
      <c r="K3780" s="1" t="s">
        <v>13</v>
      </c>
      <c r="L3780" s="1" t="s">
        <v>13</v>
      </c>
      <c r="M3780" s="6" t="str">
        <f>_xlfn.CONCAT(Table1[[#This Row],[Billing Street]], ", ", Table1[[#This Row],[Billing City]], ", ", Table1[[#This Row],[Billing State/Province]], ", ", Table1[[#This Row],[Billing Zip/Postal Code]])</f>
        <v xml:space="preserve">, , , </v>
      </c>
    </row>
    <row r="3781" spans="1:13" ht="15.6" hidden="1" x14ac:dyDescent="0.3">
      <c r="A3781" s="1" t="s">
        <v>11277</v>
      </c>
      <c r="B3781" s="1"/>
      <c r="C3781" s="1"/>
      <c r="D3781" s="1"/>
      <c r="E3781" s="1"/>
      <c r="F3781" s="1"/>
      <c r="G3781" s="1" t="s">
        <v>13</v>
      </c>
      <c r="H3781" s="2">
        <v>0</v>
      </c>
      <c r="I3781" s="1" t="s">
        <v>13</v>
      </c>
      <c r="J3781" s="1" t="s">
        <v>13</v>
      </c>
      <c r="K3781" s="1" t="s">
        <v>13</v>
      </c>
      <c r="L3781" s="1" t="s">
        <v>13</v>
      </c>
      <c r="M3781" s="6" t="str">
        <f>_xlfn.CONCAT(Table1[[#This Row],[Billing Street]], ", ", Table1[[#This Row],[Billing City]], ", ", Table1[[#This Row],[Billing State/Province]], ", ", Table1[[#This Row],[Billing Zip/Postal Code]])</f>
        <v xml:space="preserve">, , , </v>
      </c>
    </row>
    <row r="3782" spans="1:13" ht="15.6" hidden="1" x14ac:dyDescent="0.3">
      <c r="A3782" s="1" t="s">
        <v>11278</v>
      </c>
      <c r="B3782" s="1"/>
      <c r="C3782" s="1"/>
      <c r="D3782" s="1"/>
      <c r="E3782" s="1"/>
      <c r="F3782" s="1"/>
      <c r="G3782" s="1" t="s">
        <v>13</v>
      </c>
      <c r="H3782" s="2">
        <v>0</v>
      </c>
      <c r="I3782" s="1" t="s">
        <v>13</v>
      </c>
      <c r="J3782" s="1" t="s">
        <v>13</v>
      </c>
      <c r="K3782" s="1" t="s">
        <v>13</v>
      </c>
      <c r="L3782" s="1" t="s">
        <v>13</v>
      </c>
      <c r="M3782" s="6" t="str">
        <f>_xlfn.CONCAT(Table1[[#This Row],[Billing Street]], ", ", Table1[[#This Row],[Billing City]], ", ", Table1[[#This Row],[Billing State/Province]], ", ", Table1[[#This Row],[Billing Zip/Postal Code]])</f>
        <v xml:space="preserve">, , , </v>
      </c>
    </row>
    <row r="3783" spans="1:13" ht="15.6" hidden="1" x14ac:dyDescent="0.3">
      <c r="A3783" s="1" t="s">
        <v>11279</v>
      </c>
      <c r="B3783" s="1"/>
      <c r="C3783" s="1"/>
      <c r="D3783" s="1"/>
      <c r="E3783" s="1"/>
      <c r="F3783" s="1"/>
      <c r="G3783" s="1" t="s">
        <v>13</v>
      </c>
      <c r="H3783" s="2">
        <v>0</v>
      </c>
      <c r="I3783" s="1" t="s">
        <v>13</v>
      </c>
      <c r="J3783" s="1" t="s">
        <v>13</v>
      </c>
      <c r="K3783" s="1" t="s">
        <v>13</v>
      </c>
      <c r="L3783" s="1" t="s">
        <v>13</v>
      </c>
      <c r="M3783" s="6" t="str">
        <f>_xlfn.CONCAT(Table1[[#This Row],[Billing Street]], ", ", Table1[[#This Row],[Billing City]], ", ", Table1[[#This Row],[Billing State/Province]], ", ", Table1[[#This Row],[Billing Zip/Postal Code]])</f>
        <v xml:space="preserve">, , , </v>
      </c>
    </row>
    <row r="3784" spans="1:13" ht="15.6" hidden="1" x14ac:dyDescent="0.3">
      <c r="A3784" s="1" t="s">
        <v>11280</v>
      </c>
      <c r="B3784" s="1"/>
      <c r="C3784" s="1"/>
      <c r="D3784" s="1"/>
      <c r="E3784" s="1"/>
      <c r="F3784" s="1"/>
      <c r="G3784" s="1" t="s">
        <v>13</v>
      </c>
      <c r="H3784" s="2">
        <v>0</v>
      </c>
      <c r="I3784" s="1" t="s">
        <v>13</v>
      </c>
      <c r="J3784" s="1" t="s">
        <v>13</v>
      </c>
      <c r="K3784" s="1" t="s">
        <v>13</v>
      </c>
      <c r="L3784" s="1" t="s">
        <v>13</v>
      </c>
      <c r="M3784" s="6" t="str">
        <f>_xlfn.CONCAT(Table1[[#This Row],[Billing Street]], ", ", Table1[[#This Row],[Billing City]], ", ", Table1[[#This Row],[Billing State/Province]], ", ", Table1[[#This Row],[Billing Zip/Postal Code]])</f>
        <v xml:space="preserve">, , , </v>
      </c>
    </row>
    <row r="3785" spans="1:13" ht="15.6" hidden="1" x14ac:dyDescent="0.3">
      <c r="A3785" s="1" t="s">
        <v>11281</v>
      </c>
      <c r="B3785" s="1"/>
      <c r="C3785" s="1"/>
      <c r="D3785" s="1"/>
      <c r="E3785" s="1"/>
      <c r="F3785" s="1"/>
      <c r="G3785" s="1" t="s">
        <v>13</v>
      </c>
      <c r="H3785" s="2">
        <v>0</v>
      </c>
      <c r="I3785" s="1" t="s">
        <v>13</v>
      </c>
      <c r="J3785" s="1" t="s">
        <v>13</v>
      </c>
      <c r="K3785" s="1" t="s">
        <v>13</v>
      </c>
      <c r="L3785" s="1" t="s">
        <v>13</v>
      </c>
      <c r="M3785" s="6" t="str">
        <f>_xlfn.CONCAT(Table1[[#This Row],[Billing Street]], ", ", Table1[[#This Row],[Billing City]], ", ", Table1[[#This Row],[Billing State/Province]], ", ", Table1[[#This Row],[Billing Zip/Postal Code]])</f>
        <v xml:space="preserve">, , , </v>
      </c>
    </row>
    <row r="3786" spans="1:13" ht="15.6" hidden="1" x14ac:dyDescent="0.3">
      <c r="A3786" s="1" t="s">
        <v>11282</v>
      </c>
      <c r="B3786" s="1"/>
      <c r="C3786" s="1"/>
      <c r="D3786" s="1"/>
      <c r="E3786" s="1"/>
      <c r="F3786" s="1"/>
      <c r="G3786" s="1" t="s">
        <v>13</v>
      </c>
      <c r="H3786" s="2">
        <v>0</v>
      </c>
      <c r="I3786" s="1" t="s">
        <v>13</v>
      </c>
      <c r="J3786" s="1" t="s">
        <v>13</v>
      </c>
      <c r="K3786" s="1" t="s">
        <v>13</v>
      </c>
      <c r="L3786" s="1" t="s">
        <v>13</v>
      </c>
      <c r="M3786" s="6" t="str">
        <f>_xlfn.CONCAT(Table1[[#This Row],[Billing Street]], ", ", Table1[[#This Row],[Billing City]], ", ", Table1[[#This Row],[Billing State/Province]], ", ", Table1[[#This Row],[Billing Zip/Postal Code]])</f>
        <v xml:space="preserve">, , , </v>
      </c>
    </row>
    <row r="3787" spans="1:13" ht="15.6" hidden="1" x14ac:dyDescent="0.3">
      <c r="A3787" s="1" t="s">
        <v>11283</v>
      </c>
      <c r="B3787" s="1"/>
      <c r="C3787" s="1"/>
      <c r="D3787" s="1"/>
      <c r="E3787" s="1"/>
      <c r="F3787" s="1"/>
      <c r="G3787" s="1" t="s">
        <v>13</v>
      </c>
      <c r="H3787" s="2">
        <v>0</v>
      </c>
      <c r="I3787" s="1" t="s">
        <v>13</v>
      </c>
      <c r="J3787" s="1" t="s">
        <v>13</v>
      </c>
      <c r="K3787" s="1" t="s">
        <v>13</v>
      </c>
      <c r="L3787" s="1" t="s">
        <v>13</v>
      </c>
      <c r="M3787" s="6" t="str">
        <f>_xlfn.CONCAT(Table1[[#This Row],[Billing Street]], ", ", Table1[[#This Row],[Billing City]], ", ", Table1[[#This Row],[Billing State/Province]], ", ", Table1[[#This Row],[Billing Zip/Postal Code]])</f>
        <v xml:space="preserve">, , , </v>
      </c>
    </row>
    <row r="3788" spans="1:13" ht="15.6" hidden="1" x14ac:dyDescent="0.3">
      <c r="A3788" s="1" t="s">
        <v>11284</v>
      </c>
      <c r="B3788" s="1"/>
      <c r="C3788" s="1"/>
      <c r="D3788" s="1"/>
      <c r="E3788" s="1"/>
      <c r="F3788" s="1"/>
      <c r="G3788" s="1" t="s">
        <v>13</v>
      </c>
      <c r="H3788" s="2">
        <v>0</v>
      </c>
      <c r="I3788" s="1" t="s">
        <v>13</v>
      </c>
      <c r="J3788" s="1" t="s">
        <v>13</v>
      </c>
      <c r="K3788" s="1" t="s">
        <v>13</v>
      </c>
      <c r="L3788" s="1" t="s">
        <v>13</v>
      </c>
      <c r="M3788" s="6" t="str">
        <f>_xlfn.CONCAT(Table1[[#This Row],[Billing Street]], ", ", Table1[[#This Row],[Billing City]], ", ", Table1[[#This Row],[Billing State/Province]], ", ", Table1[[#This Row],[Billing Zip/Postal Code]])</f>
        <v xml:space="preserve">, , , </v>
      </c>
    </row>
    <row r="3789" spans="1:13" ht="15.6" hidden="1" x14ac:dyDescent="0.3">
      <c r="A3789" s="1" t="s">
        <v>11285</v>
      </c>
      <c r="B3789" s="1"/>
      <c r="C3789" s="1"/>
      <c r="D3789" s="1"/>
      <c r="E3789" s="1"/>
      <c r="F3789" s="1"/>
      <c r="G3789" s="1" t="s">
        <v>13</v>
      </c>
      <c r="H3789" s="2">
        <v>0</v>
      </c>
      <c r="I3789" s="1" t="s">
        <v>13</v>
      </c>
      <c r="J3789" s="1" t="s">
        <v>13</v>
      </c>
      <c r="K3789" s="1" t="s">
        <v>13</v>
      </c>
      <c r="L3789" s="1" t="s">
        <v>13</v>
      </c>
      <c r="M3789" s="6" t="str">
        <f>_xlfn.CONCAT(Table1[[#This Row],[Billing Street]], ", ", Table1[[#This Row],[Billing City]], ", ", Table1[[#This Row],[Billing State/Province]], ", ", Table1[[#This Row],[Billing Zip/Postal Code]])</f>
        <v xml:space="preserve">, , , </v>
      </c>
    </row>
    <row r="3790" spans="1:13" ht="15.6" hidden="1" x14ac:dyDescent="0.3">
      <c r="A3790" s="1" t="s">
        <v>11286</v>
      </c>
      <c r="B3790" s="1"/>
      <c r="C3790" s="1"/>
      <c r="D3790" s="1"/>
      <c r="E3790" s="1"/>
      <c r="F3790" s="1"/>
      <c r="G3790" s="1" t="s">
        <v>13</v>
      </c>
      <c r="H3790" s="2">
        <v>0</v>
      </c>
      <c r="I3790" s="1" t="s">
        <v>13</v>
      </c>
      <c r="J3790" s="1" t="s">
        <v>13</v>
      </c>
      <c r="K3790" s="1" t="s">
        <v>13</v>
      </c>
      <c r="L3790" s="1" t="s">
        <v>13</v>
      </c>
      <c r="M3790" s="6" t="str">
        <f>_xlfn.CONCAT(Table1[[#This Row],[Billing Street]], ", ", Table1[[#This Row],[Billing City]], ", ", Table1[[#This Row],[Billing State/Province]], ", ", Table1[[#This Row],[Billing Zip/Postal Code]])</f>
        <v xml:space="preserve">, , , </v>
      </c>
    </row>
    <row r="3791" spans="1:13" ht="15.6" hidden="1" x14ac:dyDescent="0.3">
      <c r="A3791" s="1" t="s">
        <v>11287</v>
      </c>
      <c r="B3791" s="1"/>
      <c r="C3791" s="1"/>
      <c r="D3791" s="1"/>
      <c r="E3791" s="1"/>
      <c r="F3791" s="1"/>
      <c r="G3791" s="1" t="s">
        <v>13</v>
      </c>
      <c r="H3791" s="2">
        <v>0</v>
      </c>
      <c r="I3791" s="1" t="s">
        <v>13</v>
      </c>
      <c r="J3791" s="1" t="s">
        <v>13</v>
      </c>
      <c r="K3791" s="1" t="s">
        <v>13</v>
      </c>
      <c r="L3791" s="1" t="s">
        <v>13</v>
      </c>
      <c r="M3791" s="6" t="str">
        <f>_xlfn.CONCAT(Table1[[#This Row],[Billing Street]], ", ", Table1[[#This Row],[Billing City]], ", ", Table1[[#This Row],[Billing State/Province]], ", ", Table1[[#This Row],[Billing Zip/Postal Code]])</f>
        <v xml:space="preserve">, , , </v>
      </c>
    </row>
    <row r="3792" spans="1:13" ht="15.6" hidden="1" x14ac:dyDescent="0.3">
      <c r="A3792" s="1" t="s">
        <v>11288</v>
      </c>
      <c r="B3792" s="1"/>
      <c r="C3792" s="1"/>
      <c r="D3792" s="1"/>
      <c r="E3792" s="1"/>
      <c r="F3792" s="1"/>
      <c r="G3792" s="1" t="s">
        <v>13</v>
      </c>
      <c r="H3792" s="2">
        <v>0</v>
      </c>
      <c r="I3792" s="1" t="s">
        <v>13</v>
      </c>
      <c r="J3792" s="1" t="s">
        <v>13</v>
      </c>
      <c r="K3792" s="1" t="s">
        <v>13</v>
      </c>
      <c r="L3792" s="1" t="s">
        <v>13</v>
      </c>
      <c r="M3792" s="6" t="str">
        <f>_xlfn.CONCAT(Table1[[#This Row],[Billing Street]], ", ", Table1[[#This Row],[Billing City]], ", ", Table1[[#This Row],[Billing State/Province]], ", ", Table1[[#This Row],[Billing Zip/Postal Code]])</f>
        <v xml:space="preserve">, , , </v>
      </c>
    </row>
    <row r="3793" spans="1:13" ht="15.6" hidden="1" x14ac:dyDescent="0.3">
      <c r="A3793" s="1" t="s">
        <v>11289</v>
      </c>
      <c r="B3793" s="1"/>
      <c r="C3793" s="1"/>
      <c r="D3793" s="1"/>
      <c r="E3793" s="1"/>
      <c r="F3793" s="1"/>
      <c r="G3793" s="1" t="s">
        <v>13</v>
      </c>
      <c r="H3793" s="2">
        <v>0</v>
      </c>
      <c r="I3793" s="1" t="s">
        <v>13</v>
      </c>
      <c r="J3793" s="1" t="s">
        <v>13</v>
      </c>
      <c r="K3793" s="1" t="s">
        <v>13</v>
      </c>
      <c r="L3793" s="1" t="s">
        <v>13</v>
      </c>
      <c r="M3793" s="6" t="str">
        <f>_xlfn.CONCAT(Table1[[#This Row],[Billing Street]], ", ", Table1[[#This Row],[Billing City]], ", ", Table1[[#This Row],[Billing State/Province]], ", ", Table1[[#This Row],[Billing Zip/Postal Code]])</f>
        <v xml:space="preserve">, , , </v>
      </c>
    </row>
    <row r="3794" spans="1:13" ht="15.6" hidden="1" x14ac:dyDescent="0.3">
      <c r="A3794" s="1" t="s">
        <v>11290</v>
      </c>
      <c r="B3794" s="1"/>
      <c r="C3794" s="1"/>
      <c r="D3794" s="1"/>
      <c r="E3794" s="1"/>
      <c r="F3794" s="1"/>
      <c r="G3794" s="1" t="s">
        <v>13</v>
      </c>
      <c r="H3794" s="2">
        <v>0</v>
      </c>
      <c r="I3794" s="1" t="s">
        <v>13</v>
      </c>
      <c r="J3794" s="1" t="s">
        <v>13</v>
      </c>
      <c r="K3794" s="1" t="s">
        <v>13</v>
      </c>
      <c r="L3794" s="1" t="s">
        <v>13</v>
      </c>
      <c r="M3794" s="6" t="str">
        <f>_xlfn.CONCAT(Table1[[#This Row],[Billing Street]], ", ", Table1[[#This Row],[Billing City]], ", ", Table1[[#This Row],[Billing State/Province]], ", ", Table1[[#This Row],[Billing Zip/Postal Code]])</f>
        <v xml:space="preserve">, , , </v>
      </c>
    </row>
    <row r="3795" spans="1:13" ht="15.6" hidden="1" x14ac:dyDescent="0.3">
      <c r="A3795" s="1" t="s">
        <v>11291</v>
      </c>
      <c r="B3795" s="1"/>
      <c r="C3795" s="1"/>
      <c r="D3795" s="1"/>
      <c r="E3795" s="1"/>
      <c r="F3795" s="1"/>
      <c r="G3795" s="1" t="s">
        <v>13</v>
      </c>
      <c r="H3795" s="2">
        <v>0</v>
      </c>
      <c r="I3795" s="1" t="s">
        <v>13</v>
      </c>
      <c r="J3795" s="1" t="s">
        <v>13</v>
      </c>
      <c r="K3795" s="1" t="s">
        <v>13</v>
      </c>
      <c r="L3795" s="1" t="s">
        <v>13</v>
      </c>
      <c r="M3795" s="6" t="str">
        <f>_xlfn.CONCAT(Table1[[#This Row],[Billing Street]], ", ", Table1[[#This Row],[Billing City]], ", ", Table1[[#This Row],[Billing State/Province]], ", ", Table1[[#This Row],[Billing Zip/Postal Code]])</f>
        <v xml:space="preserve">, , , </v>
      </c>
    </row>
    <row r="3796" spans="1:13" ht="15.6" hidden="1" x14ac:dyDescent="0.3">
      <c r="A3796" s="1" t="s">
        <v>11292</v>
      </c>
      <c r="B3796" s="1"/>
      <c r="C3796" s="1"/>
      <c r="D3796" s="1"/>
      <c r="E3796" s="1"/>
      <c r="F3796" s="1"/>
      <c r="G3796" s="1" t="s">
        <v>13</v>
      </c>
      <c r="H3796" s="2">
        <v>0</v>
      </c>
      <c r="I3796" s="1" t="s">
        <v>13</v>
      </c>
      <c r="J3796" s="1" t="s">
        <v>13</v>
      </c>
      <c r="K3796" s="1" t="s">
        <v>13</v>
      </c>
      <c r="L3796" s="1" t="s">
        <v>13</v>
      </c>
      <c r="M3796" s="6" t="str">
        <f>_xlfn.CONCAT(Table1[[#This Row],[Billing Street]], ", ", Table1[[#This Row],[Billing City]], ", ", Table1[[#This Row],[Billing State/Province]], ", ", Table1[[#This Row],[Billing Zip/Postal Code]])</f>
        <v xml:space="preserve">, , , </v>
      </c>
    </row>
    <row r="3797" spans="1:13" ht="15.6" hidden="1" x14ac:dyDescent="0.3">
      <c r="A3797" s="1" t="s">
        <v>11293</v>
      </c>
      <c r="B3797" s="1"/>
      <c r="C3797" s="1"/>
      <c r="D3797" s="1"/>
      <c r="E3797" s="1"/>
      <c r="F3797" s="1"/>
      <c r="G3797" s="1" t="s">
        <v>43</v>
      </c>
      <c r="H3797" s="2">
        <v>290</v>
      </c>
      <c r="I3797" s="1" t="s">
        <v>13</v>
      </c>
      <c r="J3797" s="1" t="s">
        <v>11294</v>
      </c>
      <c r="K3797" s="1" t="s">
        <v>671</v>
      </c>
      <c r="L3797" s="1" t="s">
        <v>11295</v>
      </c>
      <c r="M3797" s="6" t="str">
        <f>_xlfn.CONCAT(Table1[[#This Row],[Billing Street]], ", ", Table1[[#This Row],[Billing City]], ", ", Table1[[#This Row],[Billing State/Province]], ", ", Table1[[#This Row],[Billing Zip/Postal Code]])</f>
        <v>, Warners, NY, 13164</v>
      </c>
    </row>
    <row r="3798" spans="1:13" ht="15.6" hidden="1" x14ac:dyDescent="0.3">
      <c r="A3798" s="1" t="s">
        <v>11296</v>
      </c>
      <c r="B3798" s="1"/>
      <c r="C3798" s="1"/>
      <c r="D3798" s="1"/>
      <c r="E3798" s="1"/>
      <c r="F3798" s="1"/>
      <c r="G3798" s="1" t="s">
        <v>43</v>
      </c>
      <c r="H3798" s="2">
        <v>501</v>
      </c>
      <c r="I3798" s="1" t="s">
        <v>11297</v>
      </c>
      <c r="J3798" s="1" t="s">
        <v>9294</v>
      </c>
      <c r="K3798" s="1" t="s">
        <v>1191</v>
      </c>
      <c r="L3798" s="1" t="s">
        <v>9295</v>
      </c>
      <c r="M3798" s="6" t="str">
        <f>_xlfn.CONCAT(Table1[[#This Row],[Billing Street]], ", ", Table1[[#This Row],[Billing City]], ", ", Table1[[#This Row],[Billing State/Province]], ", ", Table1[[#This Row],[Billing Zip/Postal Code]])</f>
        <v>111 Ingersoll Rand Road, Mayfield, KY, 42066</v>
      </c>
    </row>
    <row r="3799" spans="1:13" ht="15.6" hidden="1" x14ac:dyDescent="0.3">
      <c r="A3799" s="1" t="s">
        <v>11298</v>
      </c>
      <c r="B3799" s="1"/>
      <c r="C3799" s="1"/>
      <c r="D3799" s="1"/>
      <c r="E3799" s="1"/>
      <c r="F3799" s="1"/>
      <c r="G3799" s="1" t="s">
        <v>8</v>
      </c>
      <c r="H3799" s="2">
        <v>337</v>
      </c>
      <c r="I3799" s="1" t="s">
        <v>11299</v>
      </c>
      <c r="J3799" s="1" t="s">
        <v>11300</v>
      </c>
      <c r="K3799" s="1" t="s">
        <v>554</v>
      </c>
      <c r="L3799" s="1" t="s">
        <v>11301</v>
      </c>
      <c r="M3799" s="6" t="str">
        <f>_xlfn.CONCAT(Table1[[#This Row],[Billing Street]], ", ", Table1[[#This Row],[Billing City]], ", ", Table1[[#This Row],[Billing State/Province]], ", ", Table1[[#This Row],[Billing Zip/Postal Code]])</f>
        <v>585 N Franklin Ave, Colby, KS, 67701</v>
      </c>
    </row>
    <row r="3800" spans="1:13" ht="15.6" hidden="1" x14ac:dyDescent="0.3">
      <c r="A3800" s="1" t="s">
        <v>11302</v>
      </c>
      <c r="B3800" s="1"/>
      <c r="C3800" s="1"/>
      <c r="D3800" s="1"/>
      <c r="E3800" s="1"/>
      <c r="F3800" s="1"/>
      <c r="G3800" s="1" t="s">
        <v>8</v>
      </c>
      <c r="H3800" s="2">
        <v>216</v>
      </c>
      <c r="I3800" s="1" t="s">
        <v>13</v>
      </c>
      <c r="J3800" s="1" t="s">
        <v>11303</v>
      </c>
      <c r="K3800" s="1" t="s">
        <v>554</v>
      </c>
      <c r="L3800" s="1" t="s">
        <v>11304</v>
      </c>
      <c r="M3800" s="6" t="str">
        <f>_xlfn.CONCAT(Table1[[#This Row],[Billing Street]], ", ", Table1[[#This Row],[Billing City]], ", ", Table1[[#This Row],[Billing State/Province]], ", ", Table1[[#This Row],[Billing Zip/Postal Code]])</f>
        <v>, Russell, KS, 67665</v>
      </c>
    </row>
    <row r="3801" spans="1:13" ht="15.6" hidden="1" x14ac:dyDescent="0.3">
      <c r="A3801" s="1" t="s">
        <v>11305</v>
      </c>
      <c r="B3801" s="1"/>
      <c r="C3801" s="1"/>
      <c r="D3801" s="1"/>
      <c r="E3801" s="1"/>
      <c r="F3801" s="1"/>
      <c r="G3801" s="1" t="s">
        <v>8</v>
      </c>
      <c r="H3801" s="2">
        <v>6528</v>
      </c>
      <c r="I3801" s="1" t="s">
        <v>13</v>
      </c>
      <c r="J3801" s="1" t="s">
        <v>2125</v>
      </c>
      <c r="K3801" s="1" t="s">
        <v>554</v>
      </c>
      <c r="L3801" s="1" t="s">
        <v>13</v>
      </c>
      <c r="M3801" s="6" t="str">
        <f>_xlfn.CONCAT(Table1[[#This Row],[Billing Street]], ", ", Table1[[#This Row],[Billing City]], ", ", Table1[[#This Row],[Billing State/Province]], ", ", Table1[[#This Row],[Billing Zip/Postal Code]])</f>
        <v xml:space="preserve">, Pratt, KS, </v>
      </c>
    </row>
    <row r="3802" spans="1:13" ht="15.6" x14ac:dyDescent="0.3">
      <c r="A3802" s="1" t="s">
        <v>11306</v>
      </c>
      <c r="B3802" s="1"/>
      <c r="C3802" s="1"/>
      <c r="D3802" s="1"/>
      <c r="E3802" s="1"/>
      <c r="F3802" s="1"/>
      <c r="G3802" s="1" t="s">
        <v>24</v>
      </c>
      <c r="H3802" s="2">
        <v>327</v>
      </c>
      <c r="I3802" s="1" t="s">
        <v>11307</v>
      </c>
      <c r="J3802" s="1" t="s">
        <v>11308</v>
      </c>
      <c r="K3802" s="1" t="s">
        <v>11309</v>
      </c>
      <c r="L3802" s="1" t="s">
        <v>11310</v>
      </c>
      <c r="M3802" s="6" t="str">
        <f>_xlfn.CONCAT(Table1[[#This Row],[Billing Street]], ", ", Table1[[#This Row],[Billing City]], ", ", Table1[[#This Row],[Billing State/Province]], ", ", Table1[[#This Row],[Billing Zip/Postal Code]])</f>
        <v>2850 N John Young Parkway, Kissimmee, fl, 34742</v>
      </c>
    </row>
    <row r="3803" spans="1:13" ht="15.6" hidden="1" x14ac:dyDescent="0.3">
      <c r="A3803" s="1" t="s">
        <v>11311</v>
      </c>
      <c r="B3803" s="1"/>
      <c r="C3803" s="1"/>
      <c r="D3803" s="1"/>
      <c r="E3803" s="1"/>
      <c r="F3803" s="1"/>
      <c r="G3803" s="1" t="s">
        <v>43</v>
      </c>
      <c r="H3803" s="2">
        <v>88</v>
      </c>
      <c r="I3803" s="1" t="s">
        <v>11312</v>
      </c>
      <c r="J3803" s="1" t="s">
        <v>11313</v>
      </c>
      <c r="K3803" s="1" t="s">
        <v>45</v>
      </c>
      <c r="L3803" s="1" t="s">
        <v>11314</v>
      </c>
      <c r="M3803" s="6" t="str">
        <f>_xlfn.CONCAT(Table1[[#This Row],[Billing Street]], ", ", Table1[[#This Row],[Billing City]], ", ", Table1[[#This Row],[Billing State/Province]], ", ", Table1[[#This Row],[Billing Zip/Postal Code]])</f>
        <v>4136 Martel Road, Martel, OH, 43314</v>
      </c>
    </row>
    <row r="3804" spans="1:13" ht="15.6" hidden="1" x14ac:dyDescent="0.3">
      <c r="A3804" s="1" t="s">
        <v>11315</v>
      </c>
      <c r="B3804" s="1"/>
      <c r="C3804" s="1"/>
      <c r="D3804" s="1"/>
      <c r="E3804" s="1"/>
      <c r="F3804" s="1"/>
      <c r="G3804" s="1" t="s">
        <v>43</v>
      </c>
      <c r="H3804" s="2">
        <v>156</v>
      </c>
      <c r="I3804" s="1" t="s">
        <v>11316</v>
      </c>
      <c r="J3804" s="1" t="s">
        <v>7120</v>
      </c>
      <c r="K3804" s="1" t="s">
        <v>241</v>
      </c>
      <c r="L3804" s="1" t="s">
        <v>11317</v>
      </c>
      <c r="M3804" s="6" t="str">
        <f>_xlfn.CONCAT(Table1[[#This Row],[Billing Street]], ", ", Table1[[#This Row],[Billing City]], ", ", Table1[[#This Row],[Billing State/Province]], ", ", Table1[[#This Row],[Billing Zip/Postal Code]])</f>
        <v>223 Industrial Park Rd., Somerset, PA, 15501-0270</v>
      </c>
    </row>
    <row r="3805" spans="1:13" ht="15.6" hidden="1" x14ac:dyDescent="0.3">
      <c r="A3805" s="1" t="s">
        <v>11318</v>
      </c>
      <c r="B3805" s="1"/>
      <c r="C3805" s="1"/>
      <c r="D3805" s="1"/>
      <c r="E3805" s="1"/>
      <c r="F3805" s="1"/>
      <c r="G3805" s="1" t="s">
        <v>8</v>
      </c>
      <c r="H3805" s="2">
        <v>86</v>
      </c>
      <c r="I3805" s="1" t="s">
        <v>11319</v>
      </c>
      <c r="J3805" s="1" t="s">
        <v>5318</v>
      </c>
      <c r="K3805" s="1" t="s">
        <v>554</v>
      </c>
      <c r="L3805" s="1" t="s">
        <v>10554</v>
      </c>
      <c r="M3805" s="6" t="str">
        <f>_xlfn.CONCAT(Table1[[#This Row],[Billing Street]], ", ", Table1[[#This Row],[Billing City]], ", ", Table1[[#This Row],[Billing State/Province]], ", ", Table1[[#This Row],[Billing Zip/Postal Code]])</f>
        <v>621 E 12th Ave, Augusta, KS, 67010</v>
      </c>
    </row>
    <row r="3806" spans="1:13" ht="15.6" hidden="1" x14ac:dyDescent="0.3">
      <c r="A3806" s="1" t="s">
        <v>11320</v>
      </c>
      <c r="B3806" s="1"/>
      <c r="C3806" s="1"/>
      <c r="D3806" s="1"/>
      <c r="E3806" s="1"/>
      <c r="F3806" s="1"/>
      <c r="G3806" s="1" t="s">
        <v>43</v>
      </c>
      <c r="H3806" s="2">
        <v>76</v>
      </c>
      <c r="I3806" s="1" t="s">
        <v>11321</v>
      </c>
      <c r="J3806" s="1" t="s">
        <v>11322</v>
      </c>
      <c r="K3806" s="1" t="s">
        <v>45</v>
      </c>
      <c r="L3806" s="1" t="s">
        <v>11323</v>
      </c>
      <c r="M3806" s="6" t="str">
        <f>_xlfn.CONCAT(Table1[[#This Row],[Billing Street]], ", ", Table1[[#This Row],[Billing City]], ", ", Table1[[#This Row],[Billing State/Province]], ", ", Table1[[#This Row],[Billing Zip/Postal Code]])</f>
        <v>2028 State Road, Port Clinton, OH, 43452</v>
      </c>
    </row>
    <row r="3807" spans="1:13" ht="15.6" hidden="1" x14ac:dyDescent="0.3">
      <c r="A3807" s="1" t="s">
        <v>11324</v>
      </c>
      <c r="B3807" s="1"/>
      <c r="C3807" s="1"/>
      <c r="D3807" s="1"/>
      <c r="E3807" s="1"/>
      <c r="F3807" s="1"/>
      <c r="G3807" s="1" t="s">
        <v>43</v>
      </c>
      <c r="H3807" s="2">
        <v>371</v>
      </c>
      <c r="I3807" s="1" t="s">
        <v>11325</v>
      </c>
      <c r="J3807" s="1" t="s">
        <v>1270</v>
      </c>
      <c r="K3807" s="1" t="s">
        <v>152</v>
      </c>
      <c r="L3807" s="1" t="s">
        <v>11326</v>
      </c>
      <c r="M3807" s="6" t="str">
        <f>_xlfn.CONCAT(Table1[[#This Row],[Billing Street]], ", ", Table1[[#This Row],[Billing City]], ", ", Table1[[#This Row],[Billing State/Province]], ", ", Table1[[#This Row],[Billing Zip/Postal Code]])</f>
        <v>18202 W. Union Road, Union, IL, 60180</v>
      </c>
    </row>
    <row r="3808" spans="1:13" ht="15.6" hidden="1" x14ac:dyDescent="0.3">
      <c r="A3808" s="1" t="s">
        <v>11327</v>
      </c>
      <c r="B3808" s="1"/>
      <c r="C3808" s="1"/>
      <c r="D3808" s="1"/>
      <c r="E3808" s="1"/>
      <c r="F3808" s="1"/>
      <c r="G3808" s="1" t="s">
        <v>43</v>
      </c>
      <c r="H3808" s="2">
        <v>5776</v>
      </c>
      <c r="I3808" s="1" t="s">
        <v>13</v>
      </c>
      <c r="J3808" s="1" t="s">
        <v>11328</v>
      </c>
      <c r="K3808" s="1" t="s">
        <v>152</v>
      </c>
      <c r="L3808" s="1" t="s">
        <v>13</v>
      </c>
      <c r="M3808" s="6" t="str">
        <f>_xlfn.CONCAT(Table1[[#This Row],[Billing Street]], ", ", Table1[[#This Row],[Billing City]], ", ", Table1[[#This Row],[Billing State/Province]], ", ", Table1[[#This Row],[Billing Zip/Postal Code]])</f>
        <v xml:space="preserve">, Mascoutah, IL, </v>
      </c>
    </row>
    <row r="3809" spans="1:13" ht="15.6" hidden="1" x14ac:dyDescent="0.3">
      <c r="A3809" s="1" t="s">
        <v>11329</v>
      </c>
      <c r="B3809" s="1"/>
      <c r="C3809" s="1"/>
      <c r="D3809" s="1"/>
      <c r="E3809" s="1"/>
      <c r="F3809" s="1"/>
      <c r="G3809" s="1" t="s">
        <v>8</v>
      </c>
      <c r="H3809" s="2">
        <v>122</v>
      </c>
      <c r="I3809" s="1" t="s">
        <v>11330</v>
      </c>
      <c r="J3809" s="1" t="s">
        <v>11331</v>
      </c>
      <c r="K3809" s="1" t="s">
        <v>165</v>
      </c>
      <c r="L3809" s="1" t="s">
        <v>11332</v>
      </c>
      <c r="M3809" s="6" t="str">
        <f>_xlfn.CONCAT(Table1[[#This Row],[Billing Street]], ", ", Table1[[#This Row],[Billing City]], ", ", Table1[[#This Row],[Billing State/Province]], ", ", Table1[[#This Row],[Billing Zip/Postal Code]])</f>
        <v>920 West Hwy 62 Spur, Berryville, AR, 72616</v>
      </c>
    </row>
    <row r="3810" spans="1:13" ht="15.6" hidden="1" x14ac:dyDescent="0.3">
      <c r="A3810" s="1" t="s">
        <v>11333</v>
      </c>
      <c r="B3810" s="1"/>
      <c r="C3810" s="1"/>
      <c r="D3810" s="1"/>
      <c r="E3810" s="1"/>
      <c r="F3810" s="1"/>
      <c r="G3810" s="1" t="s">
        <v>43</v>
      </c>
      <c r="H3810" s="2">
        <v>502</v>
      </c>
      <c r="I3810" s="1" t="s">
        <v>11334</v>
      </c>
      <c r="J3810" s="1" t="s">
        <v>11335</v>
      </c>
      <c r="K3810" s="1" t="s">
        <v>152</v>
      </c>
      <c r="L3810" s="1" t="s">
        <v>11336</v>
      </c>
      <c r="M3810" s="6" t="str">
        <f>_xlfn.CONCAT(Table1[[#This Row],[Billing Street]], ", ", Table1[[#This Row],[Billing City]], ", ", Table1[[#This Row],[Billing State/Province]], ", ", Table1[[#This Row],[Billing Zip/Postal Code]])</f>
        <v>525 Power Street, Red Bud, IL, 62278</v>
      </c>
    </row>
    <row r="3811" spans="1:13" ht="15.6" hidden="1" x14ac:dyDescent="0.3">
      <c r="A3811" s="1" t="s">
        <v>11337</v>
      </c>
      <c r="B3811" s="1"/>
      <c r="C3811" s="1"/>
      <c r="D3811" s="1"/>
      <c r="E3811" s="1"/>
      <c r="F3811" s="1"/>
      <c r="G3811" s="1" t="s">
        <v>98</v>
      </c>
      <c r="H3811" s="2">
        <v>11</v>
      </c>
      <c r="I3811" s="1" t="s">
        <v>11338</v>
      </c>
      <c r="J3811" s="1" t="s">
        <v>11339</v>
      </c>
      <c r="K3811" s="1" t="s">
        <v>6248</v>
      </c>
      <c r="L3811" s="1" t="s">
        <v>11340</v>
      </c>
      <c r="M3811" s="6" t="str">
        <f>_xlfn.CONCAT(Table1[[#This Row],[Billing Street]], ", ", Table1[[#This Row],[Billing City]], ", ", Table1[[#This Row],[Billing State/Province]], ", ", Table1[[#This Row],[Billing Zip/Postal Code]])</f>
        <v>10 10th St suite 1400, atlanta, ga, 30309</v>
      </c>
    </row>
    <row r="3812" spans="1:13" ht="15.6" hidden="1" x14ac:dyDescent="0.3">
      <c r="A3812" s="1" t="s">
        <v>11341</v>
      </c>
      <c r="B3812" s="1"/>
      <c r="C3812" s="1"/>
      <c r="D3812" s="1"/>
      <c r="E3812" s="1"/>
      <c r="F3812" s="1"/>
      <c r="G3812" s="1" t="s">
        <v>8</v>
      </c>
      <c r="H3812" s="2">
        <v>312</v>
      </c>
      <c r="I3812" s="1" t="s">
        <v>11342</v>
      </c>
      <c r="J3812" s="1" t="s">
        <v>11343</v>
      </c>
      <c r="K3812" s="1" t="s">
        <v>152</v>
      </c>
      <c r="L3812" s="1" t="s">
        <v>11344</v>
      </c>
      <c r="M3812" s="6" t="str">
        <f>_xlfn.CONCAT(Table1[[#This Row],[Billing Street]], ", ", Table1[[#This Row],[Billing City]], ", ", Table1[[#This Row],[Billing State/Province]], ", ", Table1[[#This Row],[Billing Zip/Postal Code]])</f>
        <v>104 W. Fourth St., Waterloo, IL, 62298</v>
      </c>
    </row>
    <row r="3813" spans="1:13" ht="15.6" hidden="1" x14ac:dyDescent="0.3">
      <c r="A3813" s="1" t="s">
        <v>11345</v>
      </c>
      <c r="B3813" s="1"/>
      <c r="C3813" s="1"/>
      <c r="D3813" s="1"/>
      <c r="E3813" s="1"/>
      <c r="F3813" s="1"/>
      <c r="G3813" s="1" t="s">
        <v>8</v>
      </c>
      <c r="H3813" s="2">
        <v>92</v>
      </c>
      <c r="I3813" s="1" t="s">
        <v>11346</v>
      </c>
      <c r="J3813" s="1" t="s">
        <v>6379</v>
      </c>
      <c r="K3813" s="1" t="s">
        <v>165</v>
      </c>
      <c r="L3813" s="1" t="s">
        <v>11347</v>
      </c>
      <c r="M3813" s="6" t="str">
        <f>_xlfn.CONCAT(Table1[[#This Row],[Billing Street]], ", ", Table1[[#This Row],[Billing City]], ", ", Table1[[#This Row],[Billing State/Province]], ", ", Table1[[#This Row],[Billing Zip/Postal Code]])</f>
        <v>501 SW 28th Street, Bentonville, AR, 72712</v>
      </c>
    </row>
    <row r="3814" spans="1:13" ht="15.6" hidden="1" x14ac:dyDescent="0.3">
      <c r="A3814" s="1" t="s">
        <v>11348</v>
      </c>
      <c r="B3814" s="1"/>
      <c r="C3814" s="1"/>
      <c r="D3814" s="1"/>
      <c r="E3814" s="1"/>
      <c r="F3814" s="1"/>
      <c r="G3814" s="1" t="s">
        <v>8</v>
      </c>
      <c r="H3814" s="2">
        <v>84</v>
      </c>
      <c r="I3814" s="1" t="s">
        <v>11349</v>
      </c>
      <c r="J3814" s="1" t="s">
        <v>11350</v>
      </c>
      <c r="K3814" s="1" t="s">
        <v>165</v>
      </c>
      <c r="L3814" s="1" t="s">
        <v>11351</v>
      </c>
      <c r="M3814" s="6" t="str">
        <f>_xlfn.CONCAT(Table1[[#This Row],[Billing Street]], ", ", Table1[[#This Row],[Billing City]], ", ", Table1[[#This Row],[Billing State/Province]], ", ", Table1[[#This Row],[Billing Zip/Postal Code]])</f>
        <v>1600 W. Quarter Rd., Siloam Springs, AR, 72761</v>
      </c>
    </row>
    <row r="3815" spans="1:13" ht="15.6" hidden="1" x14ac:dyDescent="0.3">
      <c r="A3815" s="1" t="s">
        <v>11352</v>
      </c>
      <c r="B3815" s="1"/>
      <c r="C3815" s="1"/>
      <c r="D3815" s="1"/>
      <c r="E3815" s="1"/>
      <c r="F3815" s="1"/>
      <c r="G3815" s="1" t="s">
        <v>98</v>
      </c>
      <c r="H3815" s="2">
        <v>5887</v>
      </c>
      <c r="I3815" s="1" t="s">
        <v>11353</v>
      </c>
      <c r="J3815" s="1" t="s">
        <v>856</v>
      </c>
      <c r="K3815" s="1" t="s">
        <v>11354</v>
      </c>
      <c r="L3815" s="1" t="s">
        <v>13</v>
      </c>
      <c r="M3815" s="6" t="str">
        <f>_xlfn.CONCAT(Table1[[#This Row],[Billing Street]], ", ", Table1[[#This Row],[Billing City]], ", ", Table1[[#This Row],[Billing State/Province]], ", ", Table1[[#This Row],[Billing Zip/Postal Code]])</f>
        <v xml:space="preserve">16 Wolf Street, Hampton, Ga, </v>
      </c>
    </row>
    <row r="3816" spans="1:13" ht="15.6" hidden="1" x14ac:dyDescent="0.3">
      <c r="A3816" s="1" t="s">
        <v>11355</v>
      </c>
      <c r="B3816" s="1"/>
      <c r="C3816" s="1"/>
      <c r="D3816" s="1"/>
      <c r="E3816" s="1"/>
      <c r="F3816" s="1"/>
      <c r="G3816" s="1" t="s">
        <v>43</v>
      </c>
      <c r="H3816" s="2">
        <v>175</v>
      </c>
      <c r="I3816" s="1" t="s">
        <v>11356</v>
      </c>
      <c r="J3816" s="1" t="s">
        <v>5152</v>
      </c>
      <c r="K3816" s="1" t="s">
        <v>671</v>
      </c>
      <c r="L3816" s="1" t="s">
        <v>11357</v>
      </c>
      <c r="M3816" s="6" t="str">
        <f>_xlfn.CONCAT(Table1[[#This Row],[Billing Street]], ", ", Table1[[#This Row],[Billing City]], ", ", Table1[[#This Row],[Billing State/Province]], ", ", Table1[[#This Row],[Billing Zip/Postal Code]])</f>
        <v>2137 Fairfield Avenue, Niagara Falls, NY, 14305</v>
      </c>
    </row>
    <row r="3817" spans="1:13" ht="15.6" x14ac:dyDescent="0.3">
      <c r="A3817" s="1" t="s">
        <v>11358</v>
      </c>
      <c r="B3817" s="1"/>
      <c r="C3817" s="1"/>
      <c r="D3817" s="1"/>
      <c r="E3817" s="1"/>
      <c r="F3817" s="1"/>
      <c r="G3817" s="1" t="s">
        <v>24</v>
      </c>
      <c r="H3817" s="2">
        <v>204</v>
      </c>
      <c r="I3817" s="1" t="s">
        <v>11359</v>
      </c>
      <c r="J3817" s="1" t="s">
        <v>11360</v>
      </c>
      <c r="K3817" s="1" t="s">
        <v>26</v>
      </c>
      <c r="L3817" s="1" t="s">
        <v>11361</v>
      </c>
      <c r="M3817" s="6" t="str">
        <f>_xlfn.CONCAT(Table1[[#This Row],[Billing Street]], ", ", Table1[[#This Row],[Billing City]], ", ", Table1[[#This Row],[Billing State/Province]], ", ", Table1[[#This Row],[Billing Zip/Postal Code]])</f>
        <v>1501 W 17th St, Anniston, AL, 36201</v>
      </c>
    </row>
    <row r="3818" spans="1:13" ht="15.6" hidden="1" x14ac:dyDescent="0.3">
      <c r="A3818" s="1" t="s">
        <v>11362</v>
      </c>
      <c r="B3818" s="1"/>
      <c r="C3818" s="1"/>
      <c r="D3818" s="1"/>
      <c r="E3818" s="1"/>
      <c r="F3818" s="1"/>
      <c r="G3818" s="1" t="s">
        <v>8</v>
      </c>
      <c r="H3818" s="2">
        <v>111</v>
      </c>
      <c r="I3818" s="1" t="s">
        <v>11363</v>
      </c>
      <c r="J3818" s="1" t="s">
        <v>11364</v>
      </c>
      <c r="K3818" s="1" t="s">
        <v>554</v>
      </c>
      <c r="L3818" s="1" t="s">
        <v>11365</v>
      </c>
      <c r="M3818" s="6" t="str">
        <f>_xlfn.CONCAT(Table1[[#This Row],[Billing Street]], ", ", Table1[[#This Row],[Billing City]], ", ", Table1[[#This Row],[Billing State/Province]], ", ", Table1[[#This Row],[Billing Zip/Postal Code]])</f>
        <v>324 Beech St, Ottawa, KS, 66067</v>
      </c>
    </row>
    <row r="3819" spans="1:13" ht="15.6" hidden="1" x14ac:dyDescent="0.3">
      <c r="A3819" s="1" t="s">
        <v>11366</v>
      </c>
      <c r="B3819" s="1"/>
      <c r="C3819" s="1"/>
      <c r="D3819" s="1"/>
      <c r="E3819" s="1"/>
      <c r="F3819" s="1"/>
      <c r="G3819" s="1" t="s">
        <v>8</v>
      </c>
      <c r="H3819" s="2">
        <v>77</v>
      </c>
      <c r="I3819" s="1" t="s">
        <v>11367</v>
      </c>
      <c r="J3819" s="1" t="s">
        <v>11368</v>
      </c>
      <c r="K3819" s="1" t="s">
        <v>554</v>
      </c>
      <c r="L3819" s="1" t="s">
        <v>11369</v>
      </c>
      <c r="M3819" s="6" t="str">
        <f>_xlfn.CONCAT(Table1[[#This Row],[Billing Street]], ", ", Table1[[#This Row],[Billing City]], ", ", Table1[[#This Row],[Billing State/Province]], ", ", Table1[[#This Row],[Billing Zip/Postal Code]])</f>
        <v>200 E. 9th P.O. Box 646, Winfield, KS, 67156</v>
      </c>
    </row>
    <row r="3820" spans="1:13" ht="15.6" hidden="1" x14ac:dyDescent="0.3">
      <c r="A3820" s="1" t="s">
        <v>11370</v>
      </c>
      <c r="B3820" s="1"/>
      <c r="C3820" s="1"/>
      <c r="D3820" s="1"/>
      <c r="E3820" s="1"/>
      <c r="F3820" s="1"/>
      <c r="G3820" s="1" t="s">
        <v>98</v>
      </c>
      <c r="H3820" s="2">
        <v>330</v>
      </c>
      <c r="I3820" s="1" t="s">
        <v>11371</v>
      </c>
      <c r="J3820" s="1" t="s">
        <v>4351</v>
      </c>
      <c r="K3820" s="1" t="s">
        <v>1135</v>
      </c>
      <c r="L3820" s="1" t="s">
        <v>11372</v>
      </c>
      <c r="M3820" s="6" t="str">
        <f>_xlfn.CONCAT(Table1[[#This Row],[Billing Street]], ", ", Table1[[#This Row],[Billing City]], ", ", Table1[[#This Row],[Billing State/Province]], ", ", Table1[[#This Row],[Billing Zip/Postal Code]])</f>
        <v>104 Witherington Drive, Covington, TN, 30819</v>
      </c>
    </row>
    <row r="3821" spans="1:13" ht="15.6" hidden="1" x14ac:dyDescent="0.3">
      <c r="A3821" s="1" t="s">
        <v>11373</v>
      </c>
      <c r="B3821" s="1"/>
      <c r="C3821" s="1"/>
      <c r="D3821" s="1"/>
      <c r="E3821" s="1"/>
      <c r="F3821" s="1"/>
      <c r="G3821" s="1" t="s">
        <v>54</v>
      </c>
      <c r="H3821" s="2">
        <v>85</v>
      </c>
      <c r="I3821" s="1" t="s">
        <v>11374</v>
      </c>
      <c r="J3821" s="1" t="s">
        <v>61</v>
      </c>
      <c r="K3821" s="1" t="s">
        <v>57</v>
      </c>
      <c r="L3821" s="1" t="s">
        <v>62</v>
      </c>
      <c r="M3821" s="6" t="str">
        <f>_xlfn.CONCAT(Table1[[#This Row],[Billing Street]], ", ", Table1[[#This Row],[Billing City]], ", ", Table1[[#This Row],[Billing State/Province]], ", ", Table1[[#This Row],[Billing Zip/Postal Code]])</f>
        <v>2440 Grand Ave. Suite B, Vista, CA, 92081</v>
      </c>
    </row>
    <row r="3822" spans="1:13" ht="15.6" hidden="1" x14ac:dyDescent="0.3">
      <c r="A3822" s="1" t="s">
        <v>11375</v>
      </c>
      <c r="B3822" s="1"/>
      <c r="C3822" s="1"/>
      <c r="D3822" s="1"/>
      <c r="E3822" s="1"/>
      <c r="F3822" s="1"/>
      <c r="G3822" s="1" t="s">
        <v>8</v>
      </c>
      <c r="H3822" s="2">
        <v>161</v>
      </c>
      <c r="I3822" s="1" t="s">
        <v>11376</v>
      </c>
      <c r="J3822" s="1" t="s">
        <v>11377</v>
      </c>
      <c r="K3822" s="1" t="s">
        <v>554</v>
      </c>
      <c r="L3822" s="1" t="s">
        <v>11378</v>
      </c>
      <c r="M3822" s="6" t="str">
        <f>_xlfn.CONCAT(Table1[[#This Row],[Billing Street]], ", ", Table1[[#This Row],[Billing City]], ", ", Table1[[#This Row],[Billing State/Province]], ", ", Table1[[#This Row],[Billing Zip/Postal Code]])</f>
        <v>103 W. Main St, Solomon, KS, 67480</v>
      </c>
    </row>
    <row r="3823" spans="1:13" ht="15.6" hidden="1" x14ac:dyDescent="0.3">
      <c r="A3823" s="1" t="s">
        <v>11379</v>
      </c>
      <c r="B3823" s="1"/>
      <c r="C3823" s="1"/>
      <c r="D3823" s="1"/>
      <c r="E3823" s="1"/>
      <c r="F3823" s="1"/>
      <c r="G3823" s="1" t="s">
        <v>43</v>
      </c>
      <c r="H3823" s="2">
        <v>401</v>
      </c>
      <c r="I3823" s="1" t="s">
        <v>11380</v>
      </c>
      <c r="J3823" s="1" t="s">
        <v>4359</v>
      </c>
      <c r="K3823" s="1" t="s">
        <v>133</v>
      </c>
      <c r="L3823" s="1" t="s">
        <v>4360</v>
      </c>
      <c r="M3823" s="6" t="str">
        <f>_xlfn.CONCAT(Table1[[#This Row],[Billing Street]], ", ", Table1[[#This Row],[Billing City]], ", ", Table1[[#This Row],[Billing State/Province]], ", ", Table1[[#This Row],[Billing Zip/Postal Code]])</f>
        <v>1361 Glory Road, Green Bay, WI, 54304</v>
      </c>
    </row>
    <row r="3824" spans="1:13" ht="15.6" hidden="1" x14ac:dyDescent="0.3">
      <c r="A3824" s="1" t="s">
        <v>11381</v>
      </c>
      <c r="B3824" s="1"/>
      <c r="C3824" s="1"/>
      <c r="D3824" s="1"/>
      <c r="E3824" s="1"/>
      <c r="F3824" s="1"/>
      <c r="G3824" s="1" t="s">
        <v>8</v>
      </c>
      <c r="H3824" s="2">
        <v>319</v>
      </c>
      <c r="I3824" s="1" t="s">
        <v>11382</v>
      </c>
      <c r="J3824" s="1" t="s">
        <v>553</v>
      </c>
      <c r="K3824" s="1" t="s">
        <v>554</v>
      </c>
      <c r="L3824" s="1" t="s">
        <v>11383</v>
      </c>
      <c r="M3824" s="6" t="str">
        <f>_xlfn.CONCAT(Table1[[#This Row],[Billing Street]], ", ", Table1[[#This Row],[Billing City]], ", ", Table1[[#This Row],[Billing State/Province]], ", ", Table1[[#This Row],[Billing Zip/Postal Code]])</f>
        <v>1850 West Oklahoma, Ulysses, KS, 67880</v>
      </c>
    </row>
    <row r="3825" spans="1:13" ht="15.6" hidden="1" x14ac:dyDescent="0.3">
      <c r="A3825" s="1" t="s">
        <v>11384</v>
      </c>
      <c r="B3825" s="1"/>
      <c r="C3825" s="1"/>
      <c r="D3825" s="1"/>
      <c r="E3825" s="1"/>
      <c r="F3825" s="1"/>
      <c r="G3825" s="1" t="s">
        <v>8</v>
      </c>
      <c r="H3825" s="2">
        <v>164</v>
      </c>
      <c r="I3825" s="1" t="s">
        <v>11385</v>
      </c>
      <c r="J3825" s="1" t="s">
        <v>3110</v>
      </c>
      <c r="K3825" s="1" t="s">
        <v>554</v>
      </c>
      <c r="L3825" s="1" t="s">
        <v>3111</v>
      </c>
      <c r="M3825" s="6" t="str">
        <f>_xlfn.CONCAT(Table1[[#This Row],[Billing Street]], ", ", Table1[[#This Row],[Billing City]], ", ", Table1[[#This Row],[Billing State/Province]], ", ", Table1[[#This Row],[Billing Zip/Postal Code]])</f>
        <v>P.O. Box 446, Salina, KS, 67401</v>
      </c>
    </row>
    <row r="3826" spans="1:13" ht="15.6" hidden="1" x14ac:dyDescent="0.3">
      <c r="A3826" s="1" t="s">
        <v>11386</v>
      </c>
      <c r="B3826" s="1"/>
      <c r="C3826" s="1"/>
      <c r="D3826" s="1"/>
      <c r="E3826" s="1"/>
      <c r="F3826" s="1"/>
      <c r="G3826" s="1" t="s">
        <v>43</v>
      </c>
      <c r="H3826" s="2">
        <v>114</v>
      </c>
      <c r="I3826" s="1" t="s">
        <v>11387</v>
      </c>
      <c r="J3826" s="1" t="s">
        <v>1770</v>
      </c>
      <c r="K3826" s="1" t="s">
        <v>45</v>
      </c>
      <c r="L3826" s="1" t="s">
        <v>1771</v>
      </c>
      <c r="M3826" s="6" t="str">
        <f>_xlfn.CONCAT(Table1[[#This Row],[Billing Street]], ", ", Table1[[#This Row],[Billing City]], ", ", Table1[[#This Row],[Billing State/Province]], ", ", Table1[[#This Row],[Billing Zip/Postal Code]])</f>
        <v>1752 W. Romick Parkway, Findlay, OH, 45840</v>
      </c>
    </row>
    <row r="3827" spans="1:13" ht="15.6" hidden="1" x14ac:dyDescent="0.3">
      <c r="A3827" s="1" t="s">
        <v>11388</v>
      </c>
      <c r="B3827" s="1"/>
      <c r="C3827" s="1"/>
      <c r="D3827" s="1"/>
      <c r="E3827" s="1"/>
      <c r="F3827" s="1"/>
      <c r="G3827" s="1" t="s">
        <v>8</v>
      </c>
      <c r="H3827" s="2">
        <v>208</v>
      </c>
      <c r="I3827" s="1" t="s">
        <v>11389</v>
      </c>
      <c r="J3827" s="1" t="s">
        <v>4590</v>
      </c>
      <c r="K3827" s="1" t="s">
        <v>554</v>
      </c>
      <c r="L3827" s="1" t="s">
        <v>11390</v>
      </c>
      <c r="M3827" s="6" t="str">
        <f>_xlfn.CONCAT(Table1[[#This Row],[Billing Street]], ", ", Table1[[#This Row],[Billing City]], ", ", Table1[[#This Row],[Billing State/Province]], ", ", Table1[[#This Row],[Billing Zip/Postal Code]])</f>
        <v>1001 Park Road, Washington, KS, 66968</v>
      </c>
    </row>
    <row r="3828" spans="1:13" ht="15.6" hidden="1" x14ac:dyDescent="0.3">
      <c r="A3828" s="1" t="s">
        <v>11391</v>
      </c>
      <c r="B3828" s="1"/>
      <c r="C3828" s="1"/>
      <c r="D3828" s="1"/>
      <c r="E3828" s="1"/>
      <c r="F3828" s="1"/>
      <c r="G3828" s="1" t="s">
        <v>8</v>
      </c>
      <c r="H3828" s="2">
        <v>29</v>
      </c>
      <c r="I3828" s="1" t="s">
        <v>11392</v>
      </c>
      <c r="J3828" s="1" t="s">
        <v>11393</v>
      </c>
      <c r="K3828" s="1" t="s">
        <v>554</v>
      </c>
      <c r="L3828" s="1" t="s">
        <v>11394</v>
      </c>
      <c r="M3828" s="6" t="str">
        <f>_xlfn.CONCAT(Table1[[#This Row],[Billing Street]], ", ", Table1[[#This Row],[Billing City]], ", ", Table1[[#This Row],[Billing State/Province]], ", ", Table1[[#This Row],[Billing Zip/Postal Code]])</f>
        <v>618 N 11th St., Chetopa, KS, 67336</v>
      </c>
    </row>
    <row r="3829" spans="1:13" ht="15.6" hidden="1" x14ac:dyDescent="0.3">
      <c r="A3829" s="1" t="s">
        <v>11395</v>
      </c>
      <c r="B3829" s="1"/>
      <c r="C3829" s="1"/>
      <c r="D3829" s="1"/>
      <c r="E3829" s="1"/>
      <c r="F3829" s="1"/>
      <c r="G3829" s="1" t="s">
        <v>8</v>
      </c>
      <c r="H3829" s="2">
        <v>294</v>
      </c>
      <c r="I3829" s="1" t="s">
        <v>11396</v>
      </c>
      <c r="J3829" s="1" t="s">
        <v>7682</v>
      </c>
      <c r="K3829" s="1" t="s">
        <v>198</v>
      </c>
      <c r="L3829" s="1" t="s">
        <v>11397</v>
      </c>
      <c r="M3829" s="6" t="str">
        <f>_xlfn.CONCAT(Table1[[#This Row],[Billing Street]], ", ", Table1[[#This Row],[Billing City]], ", ", Table1[[#This Row],[Billing State/Province]], ", ", Table1[[#This Row],[Billing Zip/Postal Code]])</f>
        <v>1101 N 180th St, Elkhorn, NE, 68022</v>
      </c>
    </row>
    <row r="3830" spans="1:13" ht="15.6" hidden="1" x14ac:dyDescent="0.3">
      <c r="A3830" s="1" t="s">
        <v>11398</v>
      </c>
      <c r="B3830" s="1"/>
      <c r="C3830" s="1"/>
      <c r="D3830" s="1"/>
      <c r="E3830" s="1"/>
      <c r="F3830" s="1"/>
      <c r="G3830" s="1" t="s">
        <v>8</v>
      </c>
      <c r="H3830" s="2">
        <v>414</v>
      </c>
      <c r="I3830" s="1" t="s">
        <v>11399</v>
      </c>
      <c r="J3830" s="1" t="s">
        <v>2701</v>
      </c>
      <c r="K3830" s="1" t="s">
        <v>21</v>
      </c>
      <c r="L3830" s="1" t="s">
        <v>11400</v>
      </c>
      <c r="M3830" s="6" t="str">
        <f>_xlfn.CONCAT(Table1[[#This Row],[Billing Street]], ", ", Table1[[#This Row],[Billing City]], ", ", Table1[[#This Row],[Billing State/Province]], ", ", Table1[[#This Row],[Billing Zip/Postal Code]])</f>
        <v>6225 N Brady Street, Davenport, IA, 52806</v>
      </c>
    </row>
    <row r="3831" spans="1:13" ht="15.6" hidden="1" x14ac:dyDescent="0.3">
      <c r="A3831" s="1" t="s">
        <v>11401</v>
      </c>
      <c r="B3831" s="1"/>
      <c r="C3831" s="1"/>
      <c r="D3831" s="1"/>
      <c r="E3831" s="1"/>
      <c r="F3831" s="1"/>
      <c r="G3831" s="1" t="s">
        <v>8</v>
      </c>
      <c r="H3831" s="2">
        <v>6528</v>
      </c>
      <c r="I3831" s="1" t="s">
        <v>11402</v>
      </c>
      <c r="J3831" s="1" t="s">
        <v>11403</v>
      </c>
      <c r="K3831" s="1" t="s">
        <v>2414</v>
      </c>
      <c r="L3831" s="1" t="s">
        <v>11404</v>
      </c>
      <c r="M3831" s="6" t="str">
        <f>_xlfn.CONCAT(Table1[[#This Row],[Billing Street]], ", ", Table1[[#This Row],[Billing City]], ", ", Table1[[#This Row],[Billing State/Province]], ", ", Table1[[#This Row],[Billing Zip/Postal Code]])</f>
        <v>36079 Pablo West Road, Pablo, MT, 59855</v>
      </c>
    </row>
    <row r="3832" spans="1:13" ht="15.6" hidden="1" x14ac:dyDescent="0.3">
      <c r="A3832" s="1" t="s">
        <v>11405</v>
      </c>
      <c r="B3832" s="1"/>
      <c r="C3832" s="1"/>
      <c r="D3832" s="1"/>
      <c r="E3832" s="1"/>
      <c r="F3832" s="1"/>
      <c r="G3832" s="1" t="s">
        <v>8</v>
      </c>
      <c r="H3832" s="2">
        <v>205</v>
      </c>
      <c r="I3832" s="1" t="s">
        <v>11406</v>
      </c>
      <c r="J3832" s="1" t="s">
        <v>9281</v>
      </c>
      <c r="K3832" s="1" t="s">
        <v>11</v>
      </c>
      <c r="L3832" s="1" t="s">
        <v>11407</v>
      </c>
      <c r="M3832" s="6" t="str">
        <f>_xlfn.CONCAT(Table1[[#This Row],[Billing Street]], ", ", Table1[[#This Row],[Billing City]], ", ", Table1[[#This Row],[Billing State/Province]], ", ", Table1[[#This Row],[Billing Zip/Postal Code]])</f>
        <v>401 US-71 BUS, Savannah, MO, 64485</v>
      </c>
    </row>
    <row r="3833" spans="1:13" ht="15.6" hidden="1" x14ac:dyDescent="0.3">
      <c r="A3833" s="1" t="s">
        <v>11408</v>
      </c>
      <c r="B3833" s="1"/>
      <c r="C3833" s="1"/>
      <c r="D3833" s="1"/>
      <c r="E3833" s="1"/>
      <c r="F3833" s="1"/>
      <c r="G3833" s="1" t="s">
        <v>8</v>
      </c>
      <c r="H3833" s="2">
        <v>6528</v>
      </c>
      <c r="I3833" s="1" t="s">
        <v>13</v>
      </c>
      <c r="J3833" s="1" t="s">
        <v>1598</v>
      </c>
      <c r="K3833" s="1" t="s">
        <v>554</v>
      </c>
      <c r="L3833" s="1" t="s">
        <v>13</v>
      </c>
      <c r="M3833" s="6" t="str">
        <f>_xlfn.CONCAT(Table1[[#This Row],[Billing Street]], ", ", Table1[[#This Row],[Billing City]], ", ", Table1[[#This Row],[Billing State/Province]], ", ", Table1[[#This Row],[Billing Zip/Postal Code]])</f>
        <v xml:space="preserve">, Topeka, KS, </v>
      </c>
    </row>
    <row r="3834" spans="1:13" ht="15.6" hidden="1" x14ac:dyDescent="0.3">
      <c r="A3834" s="1" t="s">
        <v>11409</v>
      </c>
      <c r="B3834" s="1"/>
      <c r="C3834" s="1"/>
      <c r="D3834" s="1"/>
      <c r="E3834" s="1"/>
      <c r="F3834" s="1"/>
      <c r="G3834" s="1" t="s">
        <v>8</v>
      </c>
      <c r="H3834" s="2">
        <v>293</v>
      </c>
      <c r="I3834" s="1" t="s">
        <v>11410</v>
      </c>
      <c r="J3834" s="1" t="s">
        <v>11411</v>
      </c>
      <c r="K3834" s="1" t="s">
        <v>554</v>
      </c>
      <c r="L3834" s="1" t="s">
        <v>11412</v>
      </c>
      <c r="M3834" s="6" t="str">
        <f>_xlfn.CONCAT(Table1[[#This Row],[Billing Street]], ", ", Table1[[#This Row],[Billing City]], ", ", Table1[[#This Row],[Billing State/Province]], ", ", Table1[[#This Row],[Billing Zip/Postal Code]])</f>
        <v>140 Harvest St,, Garden City, KS, 67846</v>
      </c>
    </row>
    <row r="3835" spans="1:13" ht="15.6" hidden="1" x14ac:dyDescent="0.3">
      <c r="A3835" s="1" t="s">
        <v>11413</v>
      </c>
      <c r="B3835" s="1"/>
      <c r="C3835" s="1"/>
      <c r="D3835" s="1"/>
      <c r="E3835" s="1"/>
      <c r="F3835" s="1"/>
      <c r="G3835" s="1" t="s">
        <v>8</v>
      </c>
      <c r="H3835" s="2">
        <v>328</v>
      </c>
      <c r="I3835" s="1" t="s">
        <v>11414</v>
      </c>
      <c r="J3835" s="1" t="s">
        <v>7321</v>
      </c>
      <c r="K3835" s="1" t="s">
        <v>554</v>
      </c>
      <c r="L3835" s="1" t="s">
        <v>11415</v>
      </c>
      <c r="M3835" s="6" t="str">
        <f>_xlfn.CONCAT(Table1[[#This Row],[Billing Street]], ", ", Table1[[#This Row],[Billing City]], ", ", Table1[[#This Row],[Billing State/Province]], ", ", Table1[[#This Row],[Billing Zip/Postal Code]])</f>
        <v>1 Morgan Drive, Oberlin, KS, 67749</v>
      </c>
    </row>
    <row r="3836" spans="1:13" ht="15.6" hidden="1" x14ac:dyDescent="0.3">
      <c r="A3836" s="1" t="s">
        <v>11416</v>
      </c>
      <c r="B3836" s="1"/>
      <c r="C3836" s="1"/>
      <c r="D3836" s="1"/>
      <c r="E3836" s="1"/>
      <c r="F3836" s="1"/>
      <c r="G3836" s="1" t="s">
        <v>8</v>
      </c>
      <c r="H3836" s="2">
        <v>235</v>
      </c>
      <c r="I3836" s="1" t="s">
        <v>11417</v>
      </c>
      <c r="J3836" s="1" t="s">
        <v>11418</v>
      </c>
      <c r="K3836" s="1" t="s">
        <v>11</v>
      </c>
      <c r="L3836" s="1" t="s">
        <v>11419</v>
      </c>
      <c r="M3836" s="6" t="str">
        <f>_xlfn.CONCAT(Table1[[#This Row],[Billing Street]], ", ", Table1[[#This Row],[Billing City]], ", ", Table1[[#This Row],[Billing State/Province]], ", ", Table1[[#This Row],[Billing Zip/Postal Code]])</f>
        <v>429 Main St, Gilman City, MO, 64642</v>
      </c>
    </row>
    <row r="3837" spans="1:13" ht="15.6" hidden="1" x14ac:dyDescent="0.3">
      <c r="A3837" s="1" t="s">
        <v>11420</v>
      </c>
      <c r="B3837" s="1"/>
      <c r="C3837" s="1"/>
      <c r="D3837" s="1"/>
      <c r="E3837" s="1"/>
      <c r="F3837" s="1"/>
      <c r="G3837" s="1" t="s">
        <v>8</v>
      </c>
      <c r="H3837" s="2">
        <v>378</v>
      </c>
      <c r="I3837" s="1" t="s">
        <v>11421</v>
      </c>
      <c r="J3837" s="1" t="s">
        <v>11422</v>
      </c>
      <c r="K3837" s="1" t="s">
        <v>21</v>
      </c>
      <c r="L3837" s="1" t="s">
        <v>11423</v>
      </c>
      <c r="M3837" s="6" t="str">
        <f>_xlfn.CONCAT(Table1[[#This Row],[Billing Street]], ", ", Table1[[#This Row],[Billing City]], ", ", Table1[[#This Row],[Billing State/Province]], ", ", Table1[[#This Row],[Billing Zip/Postal Code]])</f>
        <v>1495 Humbolt Ave, Moville, IA, 51039</v>
      </c>
    </row>
    <row r="3838" spans="1:13" ht="15.6" hidden="1" x14ac:dyDescent="0.3">
      <c r="A3838" s="1" t="s">
        <v>11424</v>
      </c>
      <c r="B3838" s="1"/>
      <c r="C3838" s="1"/>
      <c r="D3838" s="1"/>
      <c r="E3838" s="1"/>
      <c r="F3838" s="1"/>
      <c r="G3838" s="1" t="s">
        <v>8</v>
      </c>
      <c r="H3838" s="2">
        <v>559</v>
      </c>
      <c r="I3838" s="1" t="s">
        <v>11425</v>
      </c>
      <c r="J3838" s="1" t="s">
        <v>11426</v>
      </c>
      <c r="K3838" s="1" t="s">
        <v>128</v>
      </c>
      <c r="L3838" s="1" t="s">
        <v>11427</v>
      </c>
      <c r="M3838" s="6" t="str">
        <f>_xlfn.CONCAT(Table1[[#This Row],[Billing Street]], ", ", Table1[[#This Row],[Billing City]], ", ", Table1[[#This Row],[Billing State/Province]], ", ", Table1[[#This Row],[Billing Zip/Postal Code]])</f>
        <v>700 Litchfield Ave SW, Willmar, MN, 56201</v>
      </c>
    </row>
    <row r="3839" spans="1:13" ht="15.6" hidden="1" x14ac:dyDescent="0.3">
      <c r="A3839" s="1" t="s">
        <v>11428</v>
      </c>
      <c r="B3839" s="1"/>
      <c r="C3839" s="1"/>
      <c r="D3839" s="1"/>
      <c r="E3839" s="1"/>
      <c r="F3839" s="1"/>
      <c r="G3839" s="1" t="s">
        <v>8</v>
      </c>
      <c r="H3839" s="2">
        <v>258</v>
      </c>
      <c r="I3839" s="1" t="s">
        <v>11429</v>
      </c>
      <c r="J3839" s="1" t="s">
        <v>11430</v>
      </c>
      <c r="K3839" s="1" t="s">
        <v>554</v>
      </c>
      <c r="L3839" s="1" t="s">
        <v>11431</v>
      </c>
      <c r="M3839" s="6" t="str">
        <f>_xlfn.CONCAT(Table1[[#This Row],[Billing Street]], ", ", Table1[[#This Row],[Billing City]], ", ", Table1[[#This Row],[Billing State/Province]], ", ", Table1[[#This Row],[Billing Zip/Postal Code]])</f>
        <v>115 South Walnut, Stockton, KS, 67669</v>
      </c>
    </row>
    <row r="3840" spans="1:13" ht="15.6" hidden="1" x14ac:dyDescent="0.3">
      <c r="A3840" s="1" t="s">
        <v>11432</v>
      </c>
      <c r="B3840" s="1"/>
      <c r="C3840" s="1"/>
      <c r="D3840" s="1"/>
      <c r="E3840" s="1"/>
      <c r="F3840" s="1"/>
      <c r="G3840" s="1" t="s">
        <v>8</v>
      </c>
      <c r="H3840" s="2">
        <v>499</v>
      </c>
      <c r="I3840" s="1" t="s">
        <v>11433</v>
      </c>
      <c r="J3840" s="1" t="s">
        <v>11434</v>
      </c>
      <c r="K3840" s="1" t="s">
        <v>128</v>
      </c>
      <c r="L3840" s="1" t="s">
        <v>11435</v>
      </c>
      <c r="M3840" s="6" t="str">
        <f>_xlfn.CONCAT(Table1[[#This Row],[Billing Street]], ", ", Table1[[#This Row],[Billing City]], ", ", Table1[[#This Row],[Billing State/Province]], ", ", Table1[[#This Row],[Billing Zip/Postal Code]])</f>
        <v>508 S State St, Waseca, MN, 56093</v>
      </c>
    </row>
    <row r="3841" spans="1:13" ht="15.6" hidden="1" x14ac:dyDescent="0.3">
      <c r="A3841" s="1" t="s">
        <v>11436</v>
      </c>
      <c r="B3841" s="1"/>
      <c r="C3841" s="1"/>
      <c r="D3841" s="1"/>
      <c r="E3841" s="1"/>
      <c r="F3841" s="1"/>
      <c r="G3841" s="1" t="s">
        <v>8</v>
      </c>
      <c r="H3841" s="2">
        <v>650</v>
      </c>
      <c r="I3841" s="1" t="s">
        <v>11437</v>
      </c>
      <c r="J3841" s="1" t="s">
        <v>3257</v>
      </c>
      <c r="K3841" s="1" t="s">
        <v>128</v>
      </c>
      <c r="L3841" s="1" t="s">
        <v>3258</v>
      </c>
      <c r="M3841" s="6" t="str">
        <f>_xlfn.CONCAT(Table1[[#This Row],[Billing Street]], ", ", Table1[[#This Row],[Billing City]], ", ", Table1[[#This Row],[Billing State/Province]], ", ", Table1[[#This Row],[Billing Zip/Postal Code]])</f>
        <v>222 2nd St SE, Wadena, MN, 56482</v>
      </c>
    </row>
    <row r="3842" spans="1:13" ht="15.6" hidden="1" x14ac:dyDescent="0.3">
      <c r="A3842" s="1" t="s">
        <v>11438</v>
      </c>
      <c r="B3842" s="1"/>
      <c r="C3842" s="1"/>
      <c r="D3842" s="1"/>
      <c r="E3842" s="1"/>
      <c r="F3842" s="1"/>
      <c r="G3842" s="1" t="s">
        <v>8</v>
      </c>
      <c r="H3842" s="2">
        <v>719</v>
      </c>
      <c r="I3842" s="1" t="s">
        <v>11439</v>
      </c>
      <c r="J3842" s="1" t="s">
        <v>11440</v>
      </c>
      <c r="K3842" s="1" t="s">
        <v>128</v>
      </c>
      <c r="L3842" s="1" t="s">
        <v>11441</v>
      </c>
      <c r="M3842" s="6" t="str">
        <f>_xlfn.CONCAT(Table1[[#This Row],[Billing Street]], ", ", Table1[[#This Row],[Billing City]], ", ", Table1[[#This Row],[Billing State/Province]], ", ", Table1[[#This Row],[Billing Zip/Postal Code]])</f>
        <v>522 First Avenue,, Two Harbors, MN, 55616</v>
      </c>
    </row>
    <row r="3843" spans="1:13" ht="15.6" hidden="1" x14ac:dyDescent="0.3">
      <c r="A3843" s="1" t="s">
        <v>11442</v>
      </c>
      <c r="B3843" s="1"/>
      <c r="C3843" s="1"/>
      <c r="D3843" s="1"/>
      <c r="E3843" s="1"/>
      <c r="F3843" s="1"/>
      <c r="G3843" s="1" t="s">
        <v>8</v>
      </c>
      <c r="H3843" s="2">
        <v>592</v>
      </c>
      <c r="I3843" s="1" t="s">
        <v>11443</v>
      </c>
      <c r="J3843" s="1" t="s">
        <v>11444</v>
      </c>
      <c r="K3843" s="1" t="s">
        <v>128</v>
      </c>
      <c r="L3843" s="1" t="s">
        <v>11445</v>
      </c>
      <c r="M3843" s="6" t="str">
        <f>_xlfn.CONCAT(Table1[[#This Row],[Billing Street]], ", ", Table1[[#This Row],[Billing City]], ", ", Table1[[#This Row],[Billing State/Province]], ", ", Table1[[#This Row],[Billing Zip/Postal Code]])</f>
        <v>29643 Frontage Rd, St Joseph, MN, 56374</v>
      </c>
    </row>
    <row r="3844" spans="1:13" ht="15.6" hidden="1" x14ac:dyDescent="0.3">
      <c r="A3844" s="1" t="s">
        <v>11446</v>
      </c>
      <c r="B3844" s="1"/>
      <c r="C3844" s="1"/>
      <c r="D3844" s="1"/>
      <c r="E3844" s="1"/>
      <c r="F3844" s="1"/>
      <c r="G3844" s="1" t="s">
        <v>8</v>
      </c>
      <c r="H3844" s="2">
        <v>229</v>
      </c>
      <c r="I3844" s="1" t="s">
        <v>11447</v>
      </c>
      <c r="J3844" s="1" t="s">
        <v>11448</v>
      </c>
      <c r="K3844" s="1" t="s">
        <v>128</v>
      </c>
      <c r="L3844" s="1" t="s">
        <v>7753</v>
      </c>
      <c r="M3844" s="6" t="str">
        <f>_xlfn.CONCAT(Table1[[#This Row],[Billing Street]], ", ", Table1[[#This Row],[Billing City]], ", ", Table1[[#This Row],[Billing State/Province]], ", ", Table1[[#This Row],[Billing Zip/Postal Code]])</f>
        <v>100 S Jefferson St, St James, MN, 65559</v>
      </c>
    </row>
    <row r="3845" spans="1:13" ht="15.6" hidden="1" x14ac:dyDescent="0.3">
      <c r="A3845" s="1" t="s">
        <v>11449</v>
      </c>
      <c r="B3845" s="1"/>
      <c r="C3845" s="1"/>
      <c r="D3845" s="1"/>
      <c r="E3845" s="1"/>
      <c r="F3845" s="1"/>
      <c r="G3845" s="1" t="s">
        <v>8</v>
      </c>
      <c r="H3845" s="2">
        <v>514</v>
      </c>
      <c r="I3845" s="1" t="s">
        <v>11450</v>
      </c>
      <c r="J3845" s="1" t="s">
        <v>11451</v>
      </c>
      <c r="K3845" s="1" t="s">
        <v>128</v>
      </c>
      <c r="L3845" s="1" t="s">
        <v>11452</v>
      </c>
      <c r="M3845" s="6" t="str">
        <f>_xlfn.CONCAT(Table1[[#This Row],[Billing Street]], ", ", Table1[[#This Row],[Billing City]], ", ", Table1[[#This Row],[Billing State/Province]], ", ", Table1[[#This Row],[Billing Zip/Postal Code]])</f>
        <v>830 Whitewater Avenue, St. Charles, MN, 55972</v>
      </c>
    </row>
    <row r="3846" spans="1:13" ht="15.6" hidden="1" x14ac:dyDescent="0.3">
      <c r="A3846" s="1" t="s">
        <v>11453</v>
      </c>
      <c r="B3846" s="1"/>
      <c r="C3846" s="1"/>
      <c r="D3846" s="1"/>
      <c r="E3846" s="1"/>
      <c r="F3846" s="1"/>
      <c r="G3846" s="1" t="s">
        <v>8</v>
      </c>
      <c r="H3846" s="2">
        <v>423</v>
      </c>
      <c r="I3846" s="1" t="s">
        <v>11454</v>
      </c>
      <c r="J3846" s="1" t="s">
        <v>11455</v>
      </c>
      <c r="K3846" s="1" t="s">
        <v>21</v>
      </c>
      <c r="L3846" s="1" t="s">
        <v>11456</v>
      </c>
      <c r="M3846" s="6" t="str">
        <f>_xlfn.CONCAT(Table1[[#This Row],[Billing Street]], ", ", Table1[[#This Row],[Billing City]], ", ", Table1[[#This Row],[Billing State/Province]], ", ", Table1[[#This Row],[Billing Zip/Postal Code]])</f>
        <v>520 2nd Ave E #1, Spencer, IA, 51301</v>
      </c>
    </row>
    <row r="3847" spans="1:13" ht="15.6" hidden="1" x14ac:dyDescent="0.3">
      <c r="A3847" s="1" t="s">
        <v>11457</v>
      </c>
      <c r="B3847" s="1"/>
      <c r="C3847" s="1"/>
      <c r="D3847" s="1"/>
      <c r="E3847" s="1"/>
      <c r="F3847" s="1"/>
      <c r="G3847" s="1" t="s">
        <v>8</v>
      </c>
      <c r="H3847" s="2">
        <v>455</v>
      </c>
      <c r="I3847" s="1" t="s">
        <v>11458</v>
      </c>
      <c r="J3847" s="1" t="s">
        <v>1753</v>
      </c>
      <c r="K3847" s="1" t="s">
        <v>21</v>
      </c>
      <c r="L3847" s="1" t="s">
        <v>11459</v>
      </c>
      <c r="M3847" s="6" t="str">
        <f>_xlfn.CONCAT(Table1[[#This Row],[Billing Street]], ", ", Table1[[#This Row],[Billing City]], ", ", Table1[[#This Row],[Billing State/Province]], ", ", Table1[[#This Row],[Billing Zip/Postal Code]])</f>
        <v>109 Third Avenue, Grafton, IA, 50440</v>
      </c>
    </row>
    <row r="3848" spans="1:13" ht="15.6" hidden="1" x14ac:dyDescent="0.3">
      <c r="A3848" s="1" t="s">
        <v>11460</v>
      </c>
      <c r="B3848" s="1"/>
      <c r="C3848" s="1"/>
      <c r="D3848" s="1"/>
      <c r="E3848" s="1"/>
      <c r="F3848" s="1"/>
      <c r="G3848" s="1" t="s">
        <v>43</v>
      </c>
      <c r="H3848" s="2">
        <v>5776</v>
      </c>
      <c r="I3848" s="1" t="s">
        <v>13</v>
      </c>
      <c r="J3848" s="1" t="s">
        <v>13</v>
      </c>
      <c r="K3848" s="1" t="s">
        <v>45</v>
      </c>
      <c r="L3848" s="1" t="s">
        <v>13</v>
      </c>
      <c r="M3848" s="6" t="str">
        <f>_xlfn.CONCAT(Table1[[#This Row],[Billing Street]], ", ", Table1[[#This Row],[Billing City]], ", ", Table1[[#This Row],[Billing State/Province]], ", ", Table1[[#This Row],[Billing Zip/Postal Code]])</f>
        <v xml:space="preserve">, , OH, </v>
      </c>
    </row>
    <row r="3849" spans="1:13" ht="15.6" hidden="1" x14ac:dyDescent="0.3">
      <c r="A3849" s="1" t="s">
        <v>11461</v>
      </c>
      <c r="B3849" s="1"/>
      <c r="C3849" s="1"/>
      <c r="D3849" s="1"/>
      <c r="E3849" s="1"/>
      <c r="F3849" s="1"/>
      <c r="G3849" s="1" t="s">
        <v>43</v>
      </c>
      <c r="H3849" s="2">
        <v>165</v>
      </c>
      <c r="I3849" s="1" t="s">
        <v>11462</v>
      </c>
      <c r="J3849" s="1" t="s">
        <v>454</v>
      </c>
      <c r="K3849" s="1" t="s">
        <v>45</v>
      </c>
      <c r="L3849" s="1" t="s">
        <v>455</v>
      </c>
      <c r="M3849" s="6" t="str">
        <f>_xlfn.CONCAT(Table1[[#This Row],[Billing Street]], ", ", Table1[[#This Row],[Billing City]], ", ", Table1[[#This Row],[Billing State/Province]], ", ", Table1[[#This Row],[Billing Zip/Postal Code]])</f>
        <v>344 W. US Route 36, Piqua, OH, 45356</v>
      </c>
    </row>
    <row r="3850" spans="1:13" ht="15.6" hidden="1" x14ac:dyDescent="0.3">
      <c r="A3850" s="1" t="s">
        <v>11463</v>
      </c>
      <c r="B3850" s="1"/>
      <c r="C3850" s="1"/>
      <c r="D3850" s="1"/>
      <c r="E3850" s="1"/>
      <c r="F3850" s="1"/>
      <c r="G3850" s="1" t="s">
        <v>54</v>
      </c>
      <c r="H3850" s="2">
        <v>992</v>
      </c>
      <c r="I3850" s="1" t="s">
        <v>11464</v>
      </c>
      <c r="J3850" s="1" t="s">
        <v>11465</v>
      </c>
      <c r="K3850" s="1" t="s">
        <v>405</v>
      </c>
      <c r="L3850" s="1" t="s">
        <v>11466</v>
      </c>
      <c r="M3850" s="6" t="str">
        <f>_xlfn.CONCAT(Table1[[#This Row],[Billing Street]], ", ", Table1[[#This Row],[Billing City]], ", ", Table1[[#This Row],[Billing State/Province]], ", ", Table1[[#This Row],[Billing Zip/Postal Code]])</f>
        <v>1331 2nd Ave N, Okanogan, WA, 98840</v>
      </c>
    </row>
    <row r="3851" spans="1:13" ht="15.6" hidden="1" x14ac:dyDescent="0.3">
      <c r="A3851" s="1" t="s">
        <v>11467</v>
      </c>
      <c r="B3851" s="1"/>
      <c r="C3851" s="1"/>
      <c r="D3851" s="1"/>
      <c r="E3851" s="1"/>
      <c r="F3851" s="1"/>
      <c r="G3851" s="1" t="s">
        <v>205</v>
      </c>
      <c r="H3851" s="2">
        <v>544</v>
      </c>
      <c r="I3851" s="1" t="s">
        <v>11468</v>
      </c>
      <c r="J3851" s="1" t="s">
        <v>8375</v>
      </c>
      <c r="K3851" s="1" t="s">
        <v>266</v>
      </c>
      <c r="L3851" s="1" t="s">
        <v>11469</v>
      </c>
      <c r="M3851" s="6" t="str">
        <f>_xlfn.CONCAT(Table1[[#This Row],[Billing Street]], ", ", Table1[[#This Row],[Billing City]], ", ", Table1[[#This Row],[Billing State/Province]], ", ", Table1[[#This Row],[Billing Zip/Postal Code]])</f>
        <v>216 Main St, Clayton, NM, 88415</v>
      </c>
    </row>
    <row r="3852" spans="1:13" ht="15.6" hidden="1" x14ac:dyDescent="0.3">
      <c r="A3852" s="1" t="s">
        <v>11470</v>
      </c>
      <c r="B3852" s="1"/>
      <c r="C3852" s="1"/>
      <c r="D3852" s="1"/>
      <c r="E3852" s="1"/>
      <c r="F3852" s="1"/>
      <c r="G3852" s="1" t="s">
        <v>8</v>
      </c>
      <c r="H3852" s="2">
        <v>6528</v>
      </c>
      <c r="I3852" s="1" t="s">
        <v>11471</v>
      </c>
      <c r="J3852" s="1" t="s">
        <v>8889</v>
      </c>
      <c r="K3852" s="1" t="s">
        <v>51</v>
      </c>
      <c r="L3852" s="1" t="s">
        <v>13</v>
      </c>
      <c r="M3852" s="6" t="str">
        <f>_xlfn.CONCAT(Table1[[#This Row],[Billing Street]], ", ", Table1[[#This Row],[Billing City]], ", ", Table1[[#This Row],[Billing State/Province]], ", ", Table1[[#This Row],[Billing Zip/Postal Code]])</f>
        <v xml:space="preserve">1530 Silo Road, Bonham, TX, </v>
      </c>
    </row>
    <row r="3853" spans="1:13" ht="15.6" hidden="1" x14ac:dyDescent="0.3">
      <c r="A3853" s="1" t="s">
        <v>11472</v>
      </c>
      <c r="B3853" s="1"/>
      <c r="C3853" s="1"/>
      <c r="D3853" s="1"/>
      <c r="E3853" s="1"/>
      <c r="F3853" s="1"/>
      <c r="G3853" s="1" t="s">
        <v>43</v>
      </c>
      <c r="H3853" s="2">
        <v>115</v>
      </c>
      <c r="I3853" s="1" t="s">
        <v>11473</v>
      </c>
      <c r="J3853" s="1" t="s">
        <v>11474</v>
      </c>
      <c r="K3853" s="1" t="s">
        <v>45</v>
      </c>
      <c r="L3853" s="1" t="s">
        <v>13</v>
      </c>
      <c r="M3853" s="6" t="str">
        <f>_xlfn.CONCAT(Table1[[#This Row],[Billing Street]], ", ", Table1[[#This Row],[Billing City]], ", ", Table1[[#This Row],[Billing State/Province]], ", ", Table1[[#This Row],[Billing Zip/Postal Code]])</f>
        <v xml:space="preserve">1399 Business Park Drive South, North Baltimore, OH, </v>
      </c>
    </row>
    <row r="3854" spans="1:13" ht="15.6" hidden="1" x14ac:dyDescent="0.3">
      <c r="A3854" s="1" t="s">
        <v>11475</v>
      </c>
      <c r="B3854" s="1"/>
      <c r="C3854" s="1"/>
      <c r="D3854" s="1"/>
      <c r="E3854" s="1"/>
      <c r="F3854" s="1"/>
      <c r="G3854" s="1" t="s">
        <v>98</v>
      </c>
      <c r="H3854" s="2">
        <v>328</v>
      </c>
      <c r="I3854" s="1" t="s">
        <v>11476</v>
      </c>
      <c r="J3854" s="1" t="s">
        <v>11477</v>
      </c>
      <c r="K3854" s="1" t="s">
        <v>1178</v>
      </c>
      <c r="L3854" s="1" t="s">
        <v>11478</v>
      </c>
      <c r="M3854" s="6" t="str">
        <f>_xlfn.CONCAT(Table1[[#This Row],[Billing Street]], ", ", Table1[[#This Row],[Billing City]], ", ", Table1[[#This Row],[Billing State/Province]], ", ", Table1[[#This Row],[Billing Zip/Postal Code]])</f>
        <v>2500 NC 86, Hillsborough, NC, 27278</v>
      </c>
    </row>
    <row r="3855" spans="1:13" ht="15.6" hidden="1" x14ac:dyDescent="0.3">
      <c r="A3855" s="1" t="s">
        <v>11479</v>
      </c>
      <c r="B3855" s="1"/>
      <c r="C3855" s="1"/>
      <c r="D3855" s="1"/>
      <c r="E3855" s="1"/>
      <c r="F3855" s="1"/>
      <c r="G3855" s="1" t="s">
        <v>54</v>
      </c>
      <c r="H3855" s="2">
        <v>776</v>
      </c>
      <c r="I3855" s="1" t="s">
        <v>11480</v>
      </c>
      <c r="J3855" s="1" t="s">
        <v>11481</v>
      </c>
      <c r="K3855" s="1" t="s">
        <v>2254</v>
      </c>
      <c r="L3855" s="1" t="s">
        <v>11482</v>
      </c>
      <c r="M3855" s="6" t="str">
        <f>_xlfn.CONCAT(Table1[[#This Row],[Billing Street]], ", ", Table1[[#This Row],[Billing City]], ", ", Table1[[#This Row],[Billing State/Province]], ", ", Table1[[#This Row],[Billing Zip/Postal Code]])</f>
        <v>6990 W Hills Rd, Philomath, OR, 97370</v>
      </c>
    </row>
    <row r="3856" spans="1:13" ht="15.6" x14ac:dyDescent="0.3">
      <c r="A3856" s="1" t="s">
        <v>11483</v>
      </c>
      <c r="B3856" s="1"/>
      <c r="C3856" s="1"/>
      <c r="D3856" s="1"/>
      <c r="E3856" s="1"/>
      <c r="F3856" s="1"/>
      <c r="G3856" s="1" t="s">
        <v>24</v>
      </c>
      <c r="H3856" s="2">
        <v>119</v>
      </c>
      <c r="I3856" s="1" t="s">
        <v>11484</v>
      </c>
      <c r="J3856" s="1" t="s">
        <v>633</v>
      </c>
      <c r="K3856" s="1" t="s">
        <v>26</v>
      </c>
      <c r="L3856" s="1" t="s">
        <v>11198</v>
      </c>
      <c r="M3856" s="6" t="str">
        <f>_xlfn.CONCAT(Table1[[#This Row],[Billing Street]], ", ", Table1[[#This Row],[Billing City]], ", ", Table1[[#This Row],[Billing State/Province]], ", ", Table1[[#This Row],[Billing Zip/Postal Code]])</f>
        <v>780 Lakeside Dt, Mobile, AL, 36693</v>
      </c>
    </row>
    <row r="3857" spans="1:13" ht="15.6" hidden="1" x14ac:dyDescent="0.3">
      <c r="A3857" s="1" t="s">
        <v>11485</v>
      </c>
      <c r="B3857" s="1"/>
      <c r="C3857" s="1"/>
      <c r="D3857" s="1"/>
      <c r="E3857" s="1"/>
      <c r="F3857" s="1"/>
      <c r="G3857" s="1" t="s">
        <v>54</v>
      </c>
      <c r="H3857" s="2">
        <v>845</v>
      </c>
      <c r="I3857" s="1" t="s">
        <v>11486</v>
      </c>
      <c r="J3857" s="1" t="s">
        <v>1165</v>
      </c>
      <c r="K3857" s="1" t="s">
        <v>2304</v>
      </c>
      <c r="L3857" s="1" t="s">
        <v>11487</v>
      </c>
      <c r="M3857" s="6" t="str">
        <f>_xlfn.CONCAT(Table1[[#This Row],[Billing Street]], ", ", Table1[[#This Row],[Billing City]], ", ", Table1[[#This Row],[Billing State/Province]], ", ", Table1[[#This Row],[Billing Zip/Postal Code]])</f>
        <v>2700 Duportail st, Richland, Wa, 99352</v>
      </c>
    </row>
    <row r="3858" spans="1:13" ht="15.6" hidden="1" x14ac:dyDescent="0.3">
      <c r="A3858" s="1" t="s">
        <v>11488</v>
      </c>
      <c r="B3858" s="1"/>
      <c r="C3858" s="1"/>
      <c r="D3858" s="1"/>
      <c r="E3858" s="1"/>
      <c r="F3858" s="1"/>
      <c r="G3858" s="1" t="s">
        <v>54</v>
      </c>
      <c r="H3858" s="2">
        <v>843</v>
      </c>
      <c r="I3858" s="1" t="s">
        <v>11489</v>
      </c>
      <c r="J3858" s="1" t="s">
        <v>11490</v>
      </c>
      <c r="K3858" s="1" t="s">
        <v>2304</v>
      </c>
      <c r="L3858" s="1" t="s">
        <v>11491</v>
      </c>
      <c r="M3858" s="6" t="str">
        <f>_xlfn.CONCAT(Table1[[#This Row],[Billing Street]], ", ", Table1[[#This Row],[Billing City]], ", ", Table1[[#This Row],[Billing State/Province]], ", ", Table1[[#This Row],[Billing Zip/Postal Code]])</f>
        <v>1411 W. Clark st, Paavo, Wa, 99302</v>
      </c>
    </row>
    <row r="3859" spans="1:13" ht="15.6" hidden="1" x14ac:dyDescent="0.3">
      <c r="A3859" s="1" t="s">
        <v>11492</v>
      </c>
      <c r="B3859" s="1"/>
      <c r="C3859" s="1"/>
      <c r="D3859" s="1"/>
      <c r="E3859" s="1"/>
      <c r="F3859" s="1"/>
      <c r="G3859" s="1" t="s">
        <v>54</v>
      </c>
      <c r="H3859" s="2">
        <v>725</v>
      </c>
      <c r="I3859" s="1" t="s">
        <v>11493</v>
      </c>
      <c r="J3859" s="1" t="s">
        <v>11494</v>
      </c>
      <c r="K3859" s="1" t="s">
        <v>2254</v>
      </c>
      <c r="L3859" s="1" t="s">
        <v>11495</v>
      </c>
      <c r="M3859" s="6" t="str">
        <f>_xlfn.CONCAT(Table1[[#This Row],[Billing Street]], ", ", Table1[[#This Row],[Billing City]], ", ", Table1[[#This Row],[Billing State/Province]], ", ", Table1[[#This Row],[Billing Zip/Postal Code]])</f>
        <v>2098 NW 6th St., Redmond, OR, 97756</v>
      </c>
    </row>
    <row r="3860" spans="1:13" ht="15.6" hidden="1" x14ac:dyDescent="0.3">
      <c r="A3860" s="1" t="s">
        <v>11496</v>
      </c>
      <c r="B3860" s="1"/>
      <c r="C3860" s="1"/>
      <c r="D3860" s="1"/>
      <c r="E3860" s="1"/>
      <c r="F3860" s="1"/>
      <c r="G3860" s="1" t="s">
        <v>43</v>
      </c>
      <c r="H3860" s="2">
        <v>220</v>
      </c>
      <c r="I3860" s="1" t="s">
        <v>11497</v>
      </c>
      <c r="J3860" s="1" t="s">
        <v>4683</v>
      </c>
      <c r="K3860" s="1" t="s">
        <v>45</v>
      </c>
      <c r="L3860" s="1" t="s">
        <v>11498</v>
      </c>
      <c r="M3860" s="6" t="str">
        <f>_xlfn.CONCAT(Table1[[#This Row],[Billing Street]], ", ", Table1[[#This Row],[Billing City]], ", ", Table1[[#This Row],[Billing State/Province]], ", ", Table1[[#This Row],[Billing Zip/Postal Code]])</f>
        <v>4650 Spring Grove Ave, Cincinnati, OH, 45232</v>
      </c>
    </row>
    <row r="3861" spans="1:13" ht="15.6" hidden="1" x14ac:dyDescent="0.3">
      <c r="A3861" s="1" t="s">
        <v>11499</v>
      </c>
      <c r="B3861" s="1"/>
      <c r="C3861" s="1"/>
      <c r="D3861" s="1"/>
      <c r="E3861" s="1"/>
      <c r="F3861" s="1"/>
      <c r="G3861" s="1" t="s">
        <v>43</v>
      </c>
      <c r="H3861" s="2">
        <v>211</v>
      </c>
      <c r="I3861" s="1" t="s">
        <v>11500</v>
      </c>
      <c r="J3861" s="1" t="s">
        <v>1203</v>
      </c>
      <c r="K3861" s="1" t="s">
        <v>45</v>
      </c>
      <c r="L3861" s="1" t="s">
        <v>11501</v>
      </c>
      <c r="M3861" s="6" t="str">
        <f>_xlfn.CONCAT(Table1[[#This Row],[Billing Street]], ", ", Table1[[#This Row],[Billing City]], ", ", Table1[[#This Row],[Billing State/Province]], ", ", Table1[[#This Row],[Billing Zip/Postal Code]])</f>
        <v>345 High Street, Hamilton, OH, 45011</v>
      </c>
    </row>
    <row r="3862" spans="1:13" ht="15.6" hidden="1" x14ac:dyDescent="0.3">
      <c r="A3862" s="1" t="s">
        <v>11502</v>
      </c>
      <c r="B3862" s="1"/>
      <c r="C3862" s="1"/>
      <c r="D3862" s="1"/>
      <c r="E3862" s="1"/>
      <c r="F3862" s="1"/>
      <c r="G3862" s="1" t="s">
        <v>8</v>
      </c>
      <c r="H3862" s="2">
        <v>376</v>
      </c>
      <c r="I3862" s="1" t="s">
        <v>11503</v>
      </c>
      <c r="J3862" s="1" t="s">
        <v>11504</v>
      </c>
      <c r="K3862" s="1" t="s">
        <v>21</v>
      </c>
      <c r="L3862" s="1" t="s">
        <v>11505</v>
      </c>
      <c r="M3862" s="6" t="str">
        <f>_xlfn.CONCAT(Table1[[#This Row],[Billing Street]], ", ", Table1[[#This Row],[Billing City]], ", ", Table1[[#This Row],[Billing State/Province]], ", ", Table1[[#This Row],[Billing Zip/Postal Code]])</f>
        <v>600 Main St, Stanhope, IA, 50246</v>
      </c>
    </row>
    <row r="3863" spans="1:13" ht="15.6" x14ac:dyDescent="0.3">
      <c r="A3863" s="1" t="s">
        <v>11506</v>
      </c>
      <c r="B3863" s="1"/>
      <c r="C3863" s="1"/>
      <c r="D3863" s="1"/>
      <c r="E3863" s="1"/>
      <c r="F3863" s="1"/>
      <c r="G3863" s="1" t="s">
        <v>24</v>
      </c>
      <c r="H3863" s="2">
        <v>47</v>
      </c>
      <c r="I3863" s="1" t="s">
        <v>11507</v>
      </c>
      <c r="J3863" s="1" t="s">
        <v>1699</v>
      </c>
      <c r="K3863" s="1" t="s">
        <v>36</v>
      </c>
      <c r="L3863" s="1" t="s">
        <v>3365</v>
      </c>
      <c r="M3863" s="6" t="str">
        <f>_xlfn.CONCAT(Table1[[#This Row],[Billing Street]], ", ", Table1[[#This Row],[Billing City]], ", ", Table1[[#This Row],[Billing State/Province]], ", ", Table1[[#This Row],[Billing Zip/Postal Code]])</f>
        <v>2436 N. East Ave, Panama City, FL, 32405</v>
      </c>
    </row>
    <row r="3864" spans="1:13" ht="15.6" x14ac:dyDescent="0.3">
      <c r="A3864" s="1" t="s">
        <v>11508</v>
      </c>
      <c r="B3864" s="1"/>
      <c r="C3864" s="1"/>
      <c r="D3864" s="1"/>
      <c r="E3864" s="1"/>
      <c r="F3864" s="1"/>
      <c r="G3864" s="1" t="s">
        <v>24</v>
      </c>
      <c r="H3864" s="2">
        <v>5988</v>
      </c>
      <c r="I3864" s="1" t="s">
        <v>11509</v>
      </c>
      <c r="J3864" s="1" t="s">
        <v>3209</v>
      </c>
      <c r="K3864" s="1" t="s">
        <v>36</v>
      </c>
      <c r="L3864" s="1" t="s">
        <v>11510</v>
      </c>
      <c r="M3864" s="6" t="str">
        <f>_xlfn.CONCAT(Table1[[#This Row],[Billing Street]], ", ", Table1[[#This Row],[Billing City]], ", ", Table1[[#This Row],[Billing State/Province]], ", ", Table1[[#This Row],[Billing Zip/Postal Code]])</f>
        <v>1509 S Byron Butler Pkwy, Perry, FL, 323248</v>
      </c>
    </row>
    <row r="3865" spans="1:13" ht="15.6" hidden="1" x14ac:dyDescent="0.3">
      <c r="A3865" s="1" t="s">
        <v>11511</v>
      </c>
      <c r="B3865" s="1"/>
      <c r="C3865" s="1"/>
      <c r="D3865" s="1"/>
      <c r="E3865" s="1"/>
      <c r="F3865" s="1"/>
      <c r="G3865" s="1" t="s">
        <v>13</v>
      </c>
      <c r="H3865" s="2">
        <v>0</v>
      </c>
      <c r="I3865" s="1" t="s">
        <v>13</v>
      </c>
      <c r="J3865" s="1" t="s">
        <v>13</v>
      </c>
      <c r="K3865" s="1" t="s">
        <v>13</v>
      </c>
      <c r="L3865" s="1" t="s">
        <v>13</v>
      </c>
      <c r="M3865" s="6" t="str">
        <f>_xlfn.CONCAT(Table1[[#This Row],[Billing Street]], ", ", Table1[[#This Row],[Billing City]], ", ", Table1[[#This Row],[Billing State/Province]], ", ", Table1[[#This Row],[Billing Zip/Postal Code]])</f>
        <v xml:space="preserve">, , , </v>
      </c>
    </row>
    <row r="3866" spans="1:13" ht="15.6" x14ac:dyDescent="0.3">
      <c r="A3866" s="1" t="s">
        <v>11512</v>
      </c>
      <c r="B3866" s="1"/>
      <c r="C3866" s="1"/>
      <c r="D3866" s="1"/>
      <c r="E3866" s="1"/>
      <c r="F3866" s="1"/>
      <c r="G3866" s="1" t="s">
        <v>24</v>
      </c>
      <c r="H3866" s="2">
        <v>268</v>
      </c>
      <c r="I3866" s="1" t="s">
        <v>11513</v>
      </c>
      <c r="J3866" s="1" t="s">
        <v>1668</v>
      </c>
      <c r="K3866" s="1" t="s">
        <v>36</v>
      </c>
      <c r="L3866" s="1" t="s">
        <v>8560</v>
      </c>
      <c r="M3866" s="6" t="str">
        <f>_xlfn.CONCAT(Table1[[#This Row],[Billing Street]], ", ", Table1[[#This Row],[Billing City]], ", ", Table1[[#This Row],[Billing State/Province]], ", ", Table1[[#This Row],[Billing Zip/Postal Code]])</f>
        <v>1150 Talleyrand Av, Jacksonville, FL, 32206</v>
      </c>
    </row>
    <row r="3867" spans="1:13" ht="15.6" x14ac:dyDescent="0.3">
      <c r="A3867" s="1" t="s">
        <v>11514</v>
      </c>
      <c r="B3867" s="1"/>
      <c r="C3867" s="1"/>
      <c r="D3867" s="1"/>
      <c r="E3867" s="1"/>
      <c r="F3867" s="1"/>
      <c r="G3867" s="1" t="s">
        <v>24</v>
      </c>
      <c r="H3867" s="2">
        <v>268</v>
      </c>
      <c r="I3867" s="1" t="s">
        <v>11515</v>
      </c>
      <c r="J3867" s="1" t="s">
        <v>1668</v>
      </c>
      <c r="K3867" s="1" t="s">
        <v>36</v>
      </c>
      <c r="L3867" s="1" t="s">
        <v>8560</v>
      </c>
      <c r="M3867" s="6" t="str">
        <f>_xlfn.CONCAT(Table1[[#This Row],[Billing Street]], ", ", Table1[[#This Row],[Billing City]], ", ", Table1[[#This Row],[Billing State/Province]], ", ", Table1[[#This Row],[Billing Zip/Postal Code]])</f>
        <v>1915 Wigmore St, Jacksonville, FL, 32206</v>
      </c>
    </row>
    <row r="3868" spans="1:13" ht="15.6" x14ac:dyDescent="0.3">
      <c r="A3868" s="1" t="s">
        <v>11516</v>
      </c>
      <c r="B3868" s="1"/>
      <c r="C3868" s="1"/>
      <c r="D3868" s="1"/>
      <c r="E3868" s="1"/>
      <c r="F3868" s="1"/>
      <c r="G3868" s="1" t="s">
        <v>24</v>
      </c>
      <c r="H3868" s="2">
        <v>268</v>
      </c>
      <c r="I3868" s="1" t="s">
        <v>11517</v>
      </c>
      <c r="J3868" s="1" t="s">
        <v>1668</v>
      </c>
      <c r="K3868" s="1" t="s">
        <v>36</v>
      </c>
      <c r="L3868" s="1" t="s">
        <v>11518</v>
      </c>
      <c r="M3868" s="6" t="str">
        <f>_xlfn.CONCAT(Table1[[#This Row],[Billing Street]], ", ", Table1[[#This Row],[Billing City]], ", ", Table1[[#This Row],[Billing State/Province]], ", ", Table1[[#This Row],[Billing Zip/Postal Code]])</f>
        <v>640 Talleyrand Av, Jacksonville, FL, 32006</v>
      </c>
    </row>
    <row r="3869" spans="1:13" ht="15.6" x14ac:dyDescent="0.3">
      <c r="A3869" s="1" t="s">
        <v>11519</v>
      </c>
      <c r="B3869" s="1"/>
      <c r="C3869" s="1"/>
      <c r="D3869" s="1"/>
      <c r="E3869" s="1"/>
      <c r="F3869" s="1"/>
      <c r="G3869" s="1" t="s">
        <v>24</v>
      </c>
      <c r="H3869" s="2">
        <v>268</v>
      </c>
      <c r="I3869" s="1" t="s">
        <v>11520</v>
      </c>
      <c r="J3869" s="1" t="s">
        <v>1668</v>
      </c>
      <c r="K3869" s="1" t="s">
        <v>36</v>
      </c>
      <c r="L3869" s="1" t="s">
        <v>8603</v>
      </c>
      <c r="M3869" s="6" t="str">
        <f>_xlfn.CONCAT(Table1[[#This Row],[Billing Street]], ", ", Table1[[#This Row],[Billing City]], ", ", Table1[[#This Row],[Billing State/Province]], ", ", Table1[[#This Row],[Billing Zip/Postal Code]])</f>
        <v>6825 Evergreen Av, Jacksonville, FL, 32208</v>
      </c>
    </row>
    <row r="3870" spans="1:13" ht="15.6" x14ac:dyDescent="0.3">
      <c r="A3870" s="1" t="s">
        <v>11521</v>
      </c>
      <c r="B3870" s="1"/>
      <c r="C3870" s="1"/>
      <c r="D3870" s="1"/>
      <c r="E3870" s="1"/>
      <c r="F3870" s="1"/>
      <c r="G3870" s="1" t="s">
        <v>24</v>
      </c>
      <c r="H3870" s="2">
        <v>291</v>
      </c>
      <c r="I3870" s="1" t="s">
        <v>11522</v>
      </c>
      <c r="J3870" s="1" t="s">
        <v>2133</v>
      </c>
      <c r="K3870" s="1" t="s">
        <v>577</v>
      </c>
      <c r="L3870" s="1" t="s">
        <v>2134</v>
      </c>
      <c r="M3870" s="6" t="str">
        <f>_xlfn.CONCAT(Table1[[#This Row],[Billing Street]], ", ", Table1[[#This Row],[Billing City]], ", ", Table1[[#This Row],[Billing State/Province]], ", ", Table1[[#This Row],[Billing Zip/Postal Code]])</f>
        <v>8318 Ashland Road, Geismar, LA, 70734</v>
      </c>
    </row>
    <row r="3871" spans="1:13" ht="15.6" hidden="1" x14ac:dyDescent="0.3">
      <c r="A3871" s="1" t="s">
        <v>11523</v>
      </c>
      <c r="B3871" s="1"/>
      <c r="C3871" s="1"/>
      <c r="D3871" s="1"/>
      <c r="E3871" s="1"/>
      <c r="F3871" s="1"/>
      <c r="G3871" s="1" t="s">
        <v>13</v>
      </c>
      <c r="H3871" s="2">
        <v>0</v>
      </c>
      <c r="I3871" s="1" t="s">
        <v>13</v>
      </c>
      <c r="J3871" s="1" t="s">
        <v>13</v>
      </c>
      <c r="K3871" s="1" t="s">
        <v>13</v>
      </c>
      <c r="L3871" s="1" t="s">
        <v>13</v>
      </c>
      <c r="M3871" s="6" t="str">
        <f>_xlfn.CONCAT(Table1[[#This Row],[Billing Street]], ", ", Table1[[#This Row],[Billing City]], ", ", Table1[[#This Row],[Billing State/Province]], ", ", Table1[[#This Row],[Billing Zip/Postal Code]])</f>
        <v xml:space="preserve">, , , </v>
      </c>
    </row>
    <row r="3872" spans="1:13" ht="15.6" x14ac:dyDescent="0.3">
      <c r="A3872" s="1" t="s">
        <v>11524</v>
      </c>
      <c r="B3872" s="1"/>
      <c r="C3872" s="1"/>
      <c r="D3872" s="1"/>
      <c r="E3872" s="1"/>
      <c r="F3872" s="1"/>
      <c r="G3872" s="1" t="s">
        <v>24</v>
      </c>
      <c r="H3872" s="2">
        <v>292</v>
      </c>
      <c r="I3872" s="1" t="s">
        <v>11525</v>
      </c>
      <c r="J3872" s="1" t="s">
        <v>11526</v>
      </c>
      <c r="K3872" s="1" t="s">
        <v>36</v>
      </c>
      <c r="L3872" s="1" t="s">
        <v>11527</v>
      </c>
      <c r="M3872" s="6" t="str">
        <f>_xlfn.CONCAT(Table1[[#This Row],[Billing Street]], ", ", Table1[[#This Row],[Billing City]], ", ", Table1[[#This Row],[Billing State/Province]], ", ", Table1[[#This Row],[Billing Zip/Postal Code]])</f>
        <v>3885 FL-19, Umatilla, FL, 32784</v>
      </c>
    </row>
    <row r="3873" spans="1:13" ht="15.6" x14ac:dyDescent="0.3">
      <c r="A3873" s="1" t="s">
        <v>11528</v>
      </c>
      <c r="B3873" s="1"/>
      <c r="C3873" s="1"/>
      <c r="D3873" s="1"/>
      <c r="E3873" s="1"/>
      <c r="F3873" s="1"/>
      <c r="G3873" s="1" t="s">
        <v>24</v>
      </c>
      <c r="H3873" s="2">
        <v>409</v>
      </c>
      <c r="I3873" s="1" t="s">
        <v>11529</v>
      </c>
      <c r="J3873" s="1" t="s">
        <v>7074</v>
      </c>
      <c r="K3873" s="1" t="s">
        <v>36</v>
      </c>
      <c r="L3873" s="1" t="s">
        <v>7076</v>
      </c>
      <c r="M3873" s="6" t="str">
        <f>_xlfn.CONCAT(Table1[[#This Row],[Billing Street]], ", ", Table1[[#This Row],[Billing City]], ", ", Table1[[#This Row],[Billing State/Province]], ", ", Table1[[#This Row],[Billing Zip/Postal Code]])</f>
        <v>1820 CR 833, Clewiston, FL, 33440</v>
      </c>
    </row>
    <row r="3874" spans="1:13" ht="15.6" x14ac:dyDescent="0.3">
      <c r="A3874" s="1" t="s">
        <v>11530</v>
      </c>
      <c r="B3874" s="1"/>
      <c r="C3874" s="1"/>
      <c r="D3874" s="1"/>
      <c r="E3874" s="1"/>
      <c r="F3874" s="1"/>
      <c r="G3874" s="1" t="s">
        <v>24</v>
      </c>
      <c r="H3874" s="2">
        <v>430</v>
      </c>
      <c r="I3874" s="1" t="s">
        <v>11531</v>
      </c>
      <c r="J3874" s="1" t="s">
        <v>11532</v>
      </c>
      <c r="K3874" s="1" t="s">
        <v>36</v>
      </c>
      <c r="L3874" s="1" t="s">
        <v>11533</v>
      </c>
      <c r="M3874" s="6" t="str">
        <f>_xlfn.CONCAT(Table1[[#This Row],[Billing Street]], ", ", Table1[[#This Row],[Billing City]], ", ", Table1[[#This Row],[Billing State/Province]], ", ", Table1[[#This Row],[Billing Zip/Postal Code]])</f>
        <v>12201 US Hwy 27 S, South Bay, FL, 33493</v>
      </c>
    </row>
    <row r="3875" spans="1:13" ht="15.6" hidden="1" x14ac:dyDescent="0.3">
      <c r="A3875" s="1" t="s">
        <v>11534</v>
      </c>
      <c r="B3875" s="1"/>
      <c r="C3875" s="1"/>
      <c r="D3875" s="1"/>
      <c r="E3875" s="1"/>
      <c r="F3875" s="1"/>
      <c r="G3875" s="1" t="s">
        <v>43</v>
      </c>
      <c r="H3875" s="2">
        <v>5776</v>
      </c>
      <c r="I3875" s="1" t="s">
        <v>13</v>
      </c>
      <c r="J3875" s="1" t="s">
        <v>11535</v>
      </c>
      <c r="K3875" s="1" t="s">
        <v>1191</v>
      </c>
      <c r="L3875" s="1" t="s">
        <v>13</v>
      </c>
      <c r="M3875" s="6" t="str">
        <f>_xlfn.CONCAT(Table1[[#This Row],[Billing Street]], ", ", Table1[[#This Row],[Billing City]], ", ", Table1[[#This Row],[Billing State/Province]], ", ", Table1[[#This Row],[Billing Zip/Postal Code]])</f>
        <v xml:space="preserve">, Pikeville, KY, </v>
      </c>
    </row>
    <row r="3876" spans="1:13" ht="15.6" hidden="1" x14ac:dyDescent="0.3">
      <c r="A3876" s="1" t="s">
        <v>11536</v>
      </c>
      <c r="B3876" s="1"/>
      <c r="C3876" s="1"/>
      <c r="D3876" s="1"/>
      <c r="E3876" s="1"/>
      <c r="F3876" s="1"/>
      <c r="G3876" s="1" t="s">
        <v>43</v>
      </c>
      <c r="H3876" s="2">
        <v>38</v>
      </c>
      <c r="I3876" s="1" t="s">
        <v>11537</v>
      </c>
      <c r="J3876" s="1" t="s">
        <v>1940</v>
      </c>
      <c r="K3876" s="1" t="s">
        <v>45</v>
      </c>
      <c r="L3876" s="1" t="s">
        <v>11538</v>
      </c>
      <c r="M3876" s="6" t="str">
        <f>_xlfn.CONCAT(Table1[[#This Row],[Billing Street]], ", ", Table1[[#This Row],[Billing City]], ", ", Table1[[#This Row],[Billing State/Province]], ", ", Table1[[#This Row],[Billing Zip/Postal Code]])</f>
        <v>2300 Allen Avenue SE, Canton, OH, 44707</v>
      </c>
    </row>
    <row r="3877" spans="1:13" ht="15.6" x14ac:dyDescent="0.3">
      <c r="A3877" s="1" t="s">
        <v>11539</v>
      </c>
      <c r="B3877" s="1"/>
      <c r="C3877" s="1"/>
      <c r="D3877" s="1"/>
      <c r="E3877" s="1"/>
      <c r="F3877" s="1"/>
      <c r="G3877" s="1" t="s">
        <v>24</v>
      </c>
      <c r="H3877" s="2">
        <v>287</v>
      </c>
      <c r="I3877" s="1" t="s">
        <v>11540</v>
      </c>
      <c r="J3877" s="1" t="s">
        <v>2013</v>
      </c>
      <c r="K3877" s="1" t="s">
        <v>577</v>
      </c>
      <c r="L3877" s="1" t="s">
        <v>11541</v>
      </c>
      <c r="M3877" s="6" t="str">
        <f>_xlfn.CONCAT(Table1[[#This Row],[Billing Street]], ", ", Table1[[#This Row],[Billing City]], ", ", Table1[[#This Row],[Billing State/Province]], ", ", Table1[[#This Row],[Billing Zip/Postal Code]])</f>
        <v>253 Trinity Lane, Gray, LA, 70359</v>
      </c>
    </row>
    <row r="3878" spans="1:13" ht="15.6" x14ac:dyDescent="0.3">
      <c r="A3878" s="1" t="s">
        <v>11542</v>
      </c>
      <c r="B3878" s="1"/>
      <c r="C3878" s="1"/>
      <c r="D3878" s="1"/>
      <c r="E3878" s="1"/>
      <c r="F3878" s="1"/>
      <c r="G3878" s="1" t="s">
        <v>24</v>
      </c>
      <c r="H3878" s="2">
        <v>309</v>
      </c>
      <c r="I3878" s="1" t="s">
        <v>11543</v>
      </c>
      <c r="J3878" s="1" t="s">
        <v>1944</v>
      </c>
      <c r="K3878" s="1" t="s">
        <v>36</v>
      </c>
      <c r="L3878" s="1" t="s">
        <v>1945</v>
      </c>
      <c r="M3878" s="6" t="str">
        <f>_xlfn.CONCAT(Table1[[#This Row],[Billing Street]], ", ", Table1[[#This Row],[Billing City]], ", ", Table1[[#This Row],[Billing State/Province]], ", ", Table1[[#This Row],[Billing Zip/Postal Code]])</f>
        <v>3045 New Tampa Hwy, Lakeland, FL, 33815</v>
      </c>
    </row>
    <row r="3879" spans="1:13" ht="15.6" hidden="1" x14ac:dyDescent="0.3">
      <c r="A3879" s="1" t="s">
        <v>11544</v>
      </c>
      <c r="B3879" s="1"/>
      <c r="C3879" s="1"/>
      <c r="D3879" s="1"/>
      <c r="E3879" s="1"/>
      <c r="F3879" s="1"/>
      <c r="G3879" s="1" t="s">
        <v>43</v>
      </c>
      <c r="H3879" s="2">
        <v>407</v>
      </c>
      <c r="I3879" s="1" t="s">
        <v>11545</v>
      </c>
      <c r="J3879" s="1" t="s">
        <v>11546</v>
      </c>
      <c r="K3879" s="1" t="s">
        <v>275</v>
      </c>
      <c r="L3879" s="1" t="s">
        <v>11547</v>
      </c>
      <c r="M3879" s="6" t="str">
        <f>_xlfn.CONCAT(Table1[[#This Row],[Billing Street]], ", ", Table1[[#This Row],[Billing City]], ", ", Table1[[#This Row],[Billing State/Province]], ", ", Table1[[#This Row],[Billing Zip/Postal Code]])</f>
        <v>1 Fairchild Square Suite 110, Clifton Park, ny, 12065</v>
      </c>
    </row>
    <row r="3880" spans="1:13" ht="15.6" hidden="1" x14ac:dyDescent="0.3">
      <c r="A3880" s="1" t="s">
        <v>11548</v>
      </c>
      <c r="B3880" s="1"/>
      <c r="C3880" s="1"/>
      <c r="D3880" s="1"/>
      <c r="E3880" s="1"/>
      <c r="F3880" s="1"/>
      <c r="G3880" s="1" t="s">
        <v>43</v>
      </c>
      <c r="H3880" s="2">
        <v>136</v>
      </c>
      <c r="I3880" s="1" t="s">
        <v>11549</v>
      </c>
      <c r="J3880" s="1" t="s">
        <v>4788</v>
      </c>
      <c r="K3880" s="1" t="s">
        <v>82</v>
      </c>
      <c r="L3880" s="1" t="s">
        <v>11550</v>
      </c>
      <c r="M3880" s="6" t="str">
        <f>_xlfn.CONCAT(Table1[[#This Row],[Billing Street]], ", ", Table1[[#This Row],[Billing City]], ", ", Table1[[#This Row],[Billing State/Province]], ", ", Table1[[#This Row],[Billing Zip/Postal Code]])</f>
        <v>110 E. Huron Street, Ann Arbor, MI, 48109</v>
      </c>
    </row>
    <row r="3881" spans="1:13" ht="15.6" hidden="1" x14ac:dyDescent="0.3">
      <c r="A3881" s="1" t="s">
        <v>11551</v>
      </c>
      <c r="B3881" s="1"/>
      <c r="C3881" s="1"/>
      <c r="D3881" s="1"/>
      <c r="E3881" s="1"/>
      <c r="F3881" s="1"/>
      <c r="G3881" s="1" t="s">
        <v>43</v>
      </c>
      <c r="H3881" s="2">
        <v>122</v>
      </c>
      <c r="I3881" s="1" t="s">
        <v>11552</v>
      </c>
      <c r="J3881" s="1" t="s">
        <v>3269</v>
      </c>
      <c r="K3881" s="1" t="s">
        <v>82</v>
      </c>
      <c r="L3881" s="1" t="s">
        <v>11553</v>
      </c>
      <c r="M3881" s="6" t="str">
        <f>_xlfn.CONCAT(Table1[[#This Row],[Billing Street]], ", ", Table1[[#This Row],[Billing City]], ", ", Table1[[#This Row],[Billing State/Province]], ", ", Table1[[#This Row],[Billing Zip/Postal Code]])</f>
        <v>22100 Telegraph Road, Southfield, MI, 48033</v>
      </c>
    </row>
    <row r="3882" spans="1:13" ht="15.6" hidden="1" x14ac:dyDescent="0.3">
      <c r="A3882" s="1" t="s">
        <v>11554</v>
      </c>
      <c r="B3882" s="1"/>
      <c r="C3882" s="1"/>
      <c r="D3882" s="1"/>
      <c r="E3882" s="1"/>
      <c r="F3882" s="1"/>
      <c r="G3882" s="1" t="s">
        <v>43</v>
      </c>
      <c r="H3882" s="2">
        <v>15</v>
      </c>
      <c r="I3882" s="1" t="s">
        <v>11555</v>
      </c>
      <c r="J3882" s="1" t="s">
        <v>4704</v>
      </c>
      <c r="K3882" s="1" t="s">
        <v>45</v>
      </c>
      <c r="L3882" s="1" t="s">
        <v>11556</v>
      </c>
      <c r="M3882" s="6" t="str">
        <f>_xlfn.CONCAT(Table1[[#This Row],[Billing Street]], ", ", Table1[[#This Row],[Billing City]], ", ", Table1[[#This Row],[Billing State/Province]], ", ", Table1[[#This Row],[Billing Zip/Postal Code]])</f>
        <v>1095 Home Avenue, Akron, OH, 44310</v>
      </c>
    </row>
    <row r="3883" spans="1:13" ht="15.6" x14ac:dyDescent="0.3">
      <c r="A3883" s="1" t="s">
        <v>11557</v>
      </c>
      <c r="B3883" s="1"/>
      <c r="C3883" s="1"/>
      <c r="D3883" s="1"/>
      <c r="E3883" s="1"/>
      <c r="F3883" s="1"/>
      <c r="G3883" s="1" t="s">
        <v>24</v>
      </c>
      <c r="H3883" s="2">
        <v>316</v>
      </c>
      <c r="I3883" s="1" t="s">
        <v>11558</v>
      </c>
      <c r="J3883" s="1" t="s">
        <v>10710</v>
      </c>
      <c r="K3883" s="1" t="s">
        <v>577</v>
      </c>
      <c r="L3883" s="1" t="s">
        <v>10711</v>
      </c>
      <c r="M3883" s="6" t="str">
        <f>_xlfn.CONCAT(Table1[[#This Row],[Billing Street]], ", ", Table1[[#This Row],[Billing City]], ", ", Table1[[#This Row],[Billing State/Province]], ", ", Table1[[#This Row],[Billing Zip/Postal Code]])</f>
        <v>10431 Cajun II Road, New Roads, LA, 70760</v>
      </c>
    </row>
    <row r="3884" spans="1:13" ht="15.6" x14ac:dyDescent="0.3">
      <c r="A3884" s="1" t="s">
        <v>11559</v>
      </c>
      <c r="B3884" s="1"/>
      <c r="C3884" s="1"/>
      <c r="D3884" s="1"/>
      <c r="E3884" s="1"/>
      <c r="F3884" s="1"/>
      <c r="G3884" s="1" t="s">
        <v>24</v>
      </c>
      <c r="H3884" s="2">
        <v>5988</v>
      </c>
      <c r="I3884" s="1" t="s">
        <v>11560</v>
      </c>
      <c r="J3884" s="1" t="s">
        <v>11561</v>
      </c>
      <c r="K3884" s="1" t="s">
        <v>31</v>
      </c>
      <c r="L3884" s="1" t="s">
        <v>11562</v>
      </c>
      <c r="M3884" s="6" t="str">
        <f>_xlfn.CONCAT(Table1[[#This Row],[Billing Street]], ", ", Table1[[#This Row],[Billing City]], ", ", Table1[[#This Row],[Billing State/Province]], ", ", Table1[[#This Row],[Billing Zip/Postal Code]])</f>
        <v>900 South Court Street, Ellisville, MS, 39437</v>
      </c>
    </row>
    <row r="3885" spans="1:13" ht="15.6" x14ac:dyDescent="0.3">
      <c r="A3885" s="1" t="s">
        <v>11563</v>
      </c>
      <c r="B3885" s="1"/>
      <c r="C3885" s="1"/>
      <c r="D3885" s="1"/>
      <c r="E3885" s="1"/>
      <c r="F3885" s="1"/>
      <c r="G3885" s="1" t="s">
        <v>24</v>
      </c>
      <c r="H3885" s="2">
        <v>5988</v>
      </c>
      <c r="I3885" s="1" t="s">
        <v>11564</v>
      </c>
      <c r="J3885" s="1" t="s">
        <v>3800</v>
      </c>
      <c r="K3885" s="1" t="s">
        <v>31</v>
      </c>
      <c r="L3885" s="1" t="s">
        <v>6478</v>
      </c>
      <c r="M3885" s="6" t="str">
        <f>_xlfn.CONCAT(Table1[[#This Row],[Billing Street]], ", ", Table1[[#This Row],[Billing City]], ", ", Table1[[#This Row],[Billing State/Province]], ", ", Table1[[#This Row],[Billing Zip/Postal Code]])</f>
        <v>54 Sgt Prentiss Drive, Natchez, MS, 39120</v>
      </c>
    </row>
    <row r="3886" spans="1:13" ht="15.6" x14ac:dyDescent="0.3">
      <c r="A3886" s="1" t="s">
        <v>11565</v>
      </c>
      <c r="B3886" s="1"/>
      <c r="C3886" s="1"/>
      <c r="D3886" s="1"/>
      <c r="E3886" s="1"/>
      <c r="F3886" s="1"/>
      <c r="G3886" s="1" t="s">
        <v>24</v>
      </c>
      <c r="H3886" s="2">
        <v>240</v>
      </c>
      <c r="I3886" s="1" t="s">
        <v>11566</v>
      </c>
      <c r="J3886" s="1" t="s">
        <v>3356</v>
      </c>
      <c r="K3886" s="1" t="s">
        <v>577</v>
      </c>
      <c r="L3886" s="1" t="s">
        <v>11567</v>
      </c>
      <c r="M3886" s="6" t="str">
        <f>_xlfn.CONCAT(Table1[[#This Row],[Billing Street]], ", ", Table1[[#This Row],[Billing City]], ", ", Table1[[#This Row],[Billing State/Province]], ", ", Table1[[#This Row],[Billing Zip/Postal Code]])</f>
        <v>2000 Lakeshore Drive, New Orleans, LA, 70148</v>
      </c>
    </row>
    <row r="3887" spans="1:13" ht="15.6" x14ac:dyDescent="0.3">
      <c r="A3887" s="1" t="s">
        <v>11568</v>
      </c>
      <c r="B3887" s="1"/>
      <c r="C3887" s="1"/>
      <c r="D3887" s="1"/>
      <c r="E3887" s="1"/>
      <c r="F3887" s="1"/>
      <c r="G3887" s="1" t="s">
        <v>24</v>
      </c>
      <c r="H3887" s="2">
        <v>5988</v>
      </c>
      <c r="I3887" s="1" t="s">
        <v>11569</v>
      </c>
      <c r="J3887" s="1" t="s">
        <v>11570</v>
      </c>
      <c r="K3887" s="1" t="s">
        <v>31</v>
      </c>
      <c r="L3887" s="1" t="s">
        <v>11571</v>
      </c>
      <c r="M3887" s="6" t="str">
        <f>_xlfn.CONCAT(Table1[[#This Row],[Billing Street]], ", ", Table1[[#This Row],[Billing City]], ", ", Table1[[#This Row],[Billing State/Province]], ", ", Table1[[#This Row],[Billing Zip/Postal Code]])</f>
        <v>1156 College Drive, Summit, MS, 39666</v>
      </c>
    </row>
    <row r="3888" spans="1:13" ht="15.6" x14ac:dyDescent="0.3">
      <c r="A3888" s="1" t="s">
        <v>11572</v>
      </c>
      <c r="B3888" s="1"/>
      <c r="C3888" s="1"/>
      <c r="D3888" s="1"/>
      <c r="E3888" s="1"/>
      <c r="F3888" s="1"/>
      <c r="G3888" s="1" t="s">
        <v>24</v>
      </c>
      <c r="H3888" s="2">
        <v>474</v>
      </c>
      <c r="I3888" s="1" t="s">
        <v>11573</v>
      </c>
      <c r="J3888" s="1" t="s">
        <v>11574</v>
      </c>
      <c r="K3888" s="1" t="s">
        <v>36</v>
      </c>
      <c r="L3888" s="1" t="s">
        <v>11575</v>
      </c>
      <c r="M3888" s="6" t="str">
        <f>_xlfn.CONCAT(Table1[[#This Row],[Billing Street]], ", ", Table1[[#This Row],[Billing City]], ", ", Table1[[#This Row],[Billing State/Province]], ", ", Table1[[#This Row],[Billing Zip/Postal Code]])</f>
        <v>1700 S Powerline Rd, Deerfield Beach, FL, 33442</v>
      </c>
    </row>
    <row r="3889" spans="1:13" ht="15.6" x14ac:dyDescent="0.3">
      <c r="A3889" s="1" t="s">
        <v>11576</v>
      </c>
      <c r="B3889" s="1"/>
      <c r="C3889" s="1"/>
      <c r="D3889" s="1"/>
      <c r="E3889" s="1"/>
      <c r="F3889" s="1"/>
      <c r="G3889" s="1" t="s">
        <v>24</v>
      </c>
      <c r="H3889" s="2">
        <v>300</v>
      </c>
      <c r="I3889" s="1" t="s">
        <v>11577</v>
      </c>
      <c r="J3889" s="1" t="s">
        <v>3405</v>
      </c>
      <c r="K3889" s="1" t="s">
        <v>36</v>
      </c>
      <c r="L3889" s="1" t="s">
        <v>11578</v>
      </c>
      <c r="M3889" s="6" t="str">
        <f>_xlfn.CONCAT(Table1[[#This Row],[Billing Street]], ", ", Table1[[#This Row],[Billing City]], ", ", Table1[[#This Row],[Billing State/Province]], ", ", Table1[[#This Row],[Billing Zip/Postal Code]])</f>
        <v>71 Hargrove Grade, Palm Coast, FL, 32137</v>
      </c>
    </row>
    <row r="3890" spans="1:13" ht="15.6" x14ac:dyDescent="0.3">
      <c r="A3890" s="1" t="s">
        <v>11579</v>
      </c>
      <c r="B3890" s="1"/>
      <c r="C3890" s="1"/>
      <c r="D3890" s="1"/>
      <c r="E3890" s="1"/>
      <c r="F3890" s="1"/>
      <c r="G3890" s="1" t="s">
        <v>24</v>
      </c>
      <c r="H3890" s="2">
        <v>278</v>
      </c>
      <c r="I3890" s="1" t="s">
        <v>11580</v>
      </c>
      <c r="J3890" s="1" t="s">
        <v>613</v>
      </c>
      <c r="K3890" s="1" t="s">
        <v>36</v>
      </c>
      <c r="L3890" s="1" t="s">
        <v>9218</v>
      </c>
      <c r="M3890" s="6" t="str">
        <f>_xlfn.CONCAT(Table1[[#This Row],[Billing Street]], ", ", Table1[[#This Row],[Billing City]], ", ", Table1[[#This Row],[Billing State/Province]], ", ", Table1[[#This Row],[Billing Zip/Postal Code]])</f>
        <v>3512 US 301 S, Bushnell, FL, 33513</v>
      </c>
    </row>
    <row r="3891" spans="1:13" ht="15.6" x14ac:dyDescent="0.3">
      <c r="A3891" s="1" t="s">
        <v>11581</v>
      </c>
      <c r="B3891" s="1"/>
      <c r="C3891" s="1"/>
      <c r="D3891" s="1"/>
      <c r="E3891" s="1"/>
      <c r="F3891" s="1"/>
      <c r="G3891" s="1" t="s">
        <v>24</v>
      </c>
      <c r="H3891" s="2">
        <v>263</v>
      </c>
      <c r="I3891" s="1" t="s">
        <v>11582</v>
      </c>
      <c r="J3891" s="1" t="s">
        <v>1668</v>
      </c>
      <c r="K3891" s="1" t="s">
        <v>36</v>
      </c>
      <c r="L3891" s="1" t="s">
        <v>3470</v>
      </c>
      <c r="M3891" s="6" t="str">
        <f>_xlfn.CONCAT(Table1[[#This Row],[Billing Street]], ", ", Table1[[#This Row],[Billing City]], ", ", Table1[[#This Row],[Billing State/Province]], ", ", Table1[[#This Row],[Billing Zip/Postal Code]])</f>
        <v>3547 , 140 Eillis Rd S, Jacksonville, FL, 32254</v>
      </c>
    </row>
    <row r="3892" spans="1:13" ht="15.6" hidden="1" x14ac:dyDescent="0.3">
      <c r="A3892" s="1" t="s">
        <v>11583</v>
      </c>
      <c r="B3892" s="1"/>
      <c r="C3892" s="1"/>
      <c r="D3892" s="1"/>
      <c r="E3892" s="1"/>
      <c r="F3892" s="1"/>
      <c r="G3892" s="1" t="s">
        <v>8</v>
      </c>
      <c r="H3892" s="2">
        <v>532</v>
      </c>
      <c r="I3892" s="1" t="s">
        <v>11584</v>
      </c>
      <c r="J3892" s="1" t="s">
        <v>11585</v>
      </c>
      <c r="K3892" s="1" t="s">
        <v>229</v>
      </c>
      <c r="L3892" s="1" t="s">
        <v>11586</v>
      </c>
      <c r="M3892" s="6" t="str">
        <f>_xlfn.CONCAT(Table1[[#This Row],[Billing Street]], ", ", Table1[[#This Row],[Billing City]], ", ", Table1[[#This Row],[Billing State/Province]], ", ", Table1[[#This Row],[Billing Zip/Postal Code]])</f>
        <v>121 N. Harold St., Box 220, Martin, SD, 57551</v>
      </c>
    </row>
    <row r="3893" spans="1:13" ht="15.6" hidden="1" x14ac:dyDescent="0.3">
      <c r="A3893" s="1" t="s">
        <v>11587</v>
      </c>
      <c r="B3893" s="1"/>
      <c r="C3893" s="1"/>
      <c r="D3893" s="1"/>
      <c r="E3893" s="1"/>
      <c r="F3893" s="1"/>
      <c r="G3893" s="1" t="s">
        <v>8</v>
      </c>
      <c r="H3893" s="2">
        <v>559</v>
      </c>
      <c r="I3893" s="1" t="s">
        <v>11588</v>
      </c>
      <c r="J3893" s="1" t="s">
        <v>11177</v>
      </c>
      <c r="K3893" s="1" t="s">
        <v>51</v>
      </c>
      <c r="L3893" s="1" t="s">
        <v>11589</v>
      </c>
      <c r="M3893" s="6" t="str">
        <f>_xlfn.CONCAT(Table1[[#This Row],[Billing Street]], ", ", Table1[[#This Row],[Billing City]], ", ", Table1[[#This Row],[Billing State/Province]], ", ", Table1[[#This Row],[Billing Zip/Postal Code]])</f>
        <v>302 Midway Rd, Freeport, TX, 77542</v>
      </c>
    </row>
    <row r="3894" spans="1:13" ht="15.6" hidden="1" x14ac:dyDescent="0.3">
      <c r="A3894" s="1" t="s">
        <v>11590</v>
      </c>
      <c r="B3894" s="1"/>
      <c r="C3894" s="1"/>
      <c r="D3894" s="1"/>
      <c r="E3894" s="1"/>
      <c r="F3894" s="1"/>
      <c r="G3894" s="1" t="s">
        <v>43</v>
      </c>
      <c r="H3894" s="2">
        <v>357</v>
      </c>
      <c r="I3894" s="1" t="s">
        <v>11591</v>
      </c>
      <c r="J3894" s="1" t="s">
        <v>11592</v>
      </c>
      <c r="K3894" s="1" t="s">
        <v>275</v>
      </c>
      <c r="L3894" s="1" t="s">
        <v>11593</v>
      </c>
      <c r="M3894" s="6" t="str">
        <f>_xlfn.CONCAT(Table1[[#This Row],[Billing Street]], ", ", Table1[[#This Row],[Billing City]], ", ", Table1[[#This Row],[Billing State/Province]], ", ", Table1[[#This Row],[Billing Zip/Postal Code]])</f>
        <v>501 West Main St, Little Falls, ny, 13365</v>
      </c>
    </row>
    <row r="3895" spans="1:13" ht="15.6" x14ac:dyDescent="0.3">
      <c r="A3895" s="1" t="s">
        <v>11594</v>
      </c>
      <c r="B3895" s="1"/>
      <c r="C3895" s="1"/>
      <c r="D3895" s="1"/>
      <c r="E3895" s="1"/>
      <c r="F3895" s="1"/>
      <c r="G3895" s="1" t="s">
        <v>24</v>
      </c>
      <c r="H3895" s="2">
        <v>290</v>
      </c>
      <c r="I3895" s="1" t="s">
        <v>11595</v>
      </c>
      <c r="J3895" s="1" t="s">
        <v>1882</v>
      </c>
      <c r="K3895" s="1" t="s">
        <v>36</v>
      </c>
      <c r="L3895" s="1" t="s">
        <v>3429</v>
      </c>
      <c r="M3895" s="6" t="str">
        <f>_xlfn.CONCAT(Table1[[#This Row],[Billing Street]], ", ", Table1[[#This Row],[Billing City]], ", ", Table1[[#This Row],[Billing State/Province]], ", ", Table1[[#This Row],[Billing Zip/Postal Code]])</f>
        <v>10824 CR 44, Leesburg, FL, 34788</v>
      </c>
    </row>
    <row r="3896" spans="1:13" ht="15.6" hidden="1" x14ac:dyDescent="0.3">
      <c r="A3896" s="1" t="s">
        <v>11596</v>
      </c>
      <c r="B3896" s="1"/>
      <c r="C3896" s="1"/>
      <c r="D3896" s="1"/>
      <c r="E3896" s="1"/>
      <c r="F3896" s="1"/>
      <c r="G3896" s="1" t="s">
        <v>13</v>
      </c>
      <c r="H3896" s="2">
        <v>0</v>
      </c>
      <c r="I3896" s="1" t="s">
        <v>13</v>
      </c>
      <c r="J3896" s="1" t="s">
        <v>13</v>
      </c>
      <c r="K3896" s="1" t="s">
        <v>13</v>
      </c>
      <c r="L3896" s="1" t="s">
        <v>13</v>
      </c>
      <c r="M3896" s="6" t="str">
        <f>_xlfn.CONCAT(Table1[[#This Row],[Billing Street]], ", ", Table1[[#This Row],[Billing City]], ", ", Table1[[#This Row],[Billing State/Province]], ", ", Table1[[#This Row],[Billing Zip/Postal Code]])</f>
        <v xml:space="preserve">, , , </v>
      </c>
    </row>
    <row r="3897" spans="1:13" ht="15.6" hidden="1" x14ac:dyDescent="0.3">
      <c r="A3897" s="1" t="s">
        <v>11597</v>
      </c>
      <c r="B3897" s="1"/>
      <c r="C3897" s="1"/>
      <c r="D3897" s="1"/>
      <c r="E3897" s="1"/>
      <c r="F3897" s="1"/>
      <c r="G3897" s="1" t="s">
        <v>13</v>
      </c>
      <c r="H3897" s="2">
        <v>0</v>
      </c>
      <c r="I3897" s="1" t="s">
        <v>13</v>
      </c>
      <c r="J3897" s="1" t="s">
        <v>13</v>
      </c>
      <c r="K3897" s="1" t="s">
        <v>13</v>
      </c>
      <c r="L3897" s="1" t="s">
        <v>13</v>
      </c>
      <c r="M3897" s="6" t="str">
        <f>_xlfn.CONCAT(Table1[[#This Row],[Billing Street]], ", ", Table1[[#This Row],[Billing City]], ", ", Table1[[#This Row],[Billing State/Province]], ", ", Table1[[#This Row],[Billing Zip/Postal Code]])</f>
        <v xml:space="preserve">, , , </v>
      </c>
    </row>
    <row r="3898" spans="1:13" ht="15.6" hidden="1" x14ac:dyDescent="0.3">
      <c r="A3898" s="1" t="s">
        <v>11598</v>
      </c>
      <c r="B3898" s="1"/>
      <c r="C3898" s="1"/>
      <c r="D3898" s="1"/>
      <c r="E3898" s="1"/>
      <c r="F3898" s="1"/>
      <c r="G3898" s="1" t="s">
        <v>13</v>
      </c>
      <c r="H3898" s="2">
        <v>0</v>
      </c>
      <c r="I3898" s="1" t="s">
        <v>13</v>
      </c>
      <c r="J3898" s="1" t="s">
        <v>13</v>
      </c>
      <c r="K3898" s="1" t="s">
        <v>13</v>
      </c>
      <c r="L3898" s="1" t="s">
        <v>13</v>
      </c>
      <c r="M3898" s="6" t="str">
        <f>_xlfn.CONCAT(Table1[[#This Row],[Billing Street]], ", ", Table1[[#This Row],[Billing City]], ", ", Table1[[#This Row],[Billing State/Province]], ", ", Table1[[#This Row],[Billing Zip/Postal Code]])</f>
        <v xml:space="preserve">, , , </v>
      </c>
    </row>
    <row r="3899" spans="1:13" ht="15.6" x14ac:dyDescent="0.3">
      <c r="A3899" s="1" t="s">
        <v>11599</v>
      </c>
      <c r="B3899" s="1"/>
      <c r="C3899" s="1"/>
      <c r="D3899" s="1"/>
      <c r="E3899" s="1"/>
      <c r="F3899" s="1"/>
      <c r="G3899" s="1" t="s">
        <v>24</v>
      </c>
      <c r="H3899" s="2">
        <v>320</v>
      </c>
      <c r="I3899" s="1" t="s">
        <v>11600</v>
      </c>
      <c r="J3899" s="1" t="s">
        <v>4034</v>
      </c>
      <c r="K3899" s="1" t="s">
        <v>36</v>
      </c>
      <c r="L3899" s="1" t="s">
        <v>4035</v>
      </c>
      <c r="M3899" s="6" t="str">
        <f>_xlfn.CONCAT(Table1[[#This Row],[Billing Street]], ", ", Table1[[#This Row],[Billing City]], ", ", Table1[[#This Row],[Billing State/Province]], ", ", Table1[[#This Row],[Billing Zip/Postal Code]])</f>
        <v>One Daytona Blvd, Daytona Beach, FL, 32114</v>
      </c>
    </row>
    <row r="3900" spans="1:13" ht="15.6" hidden="1" x14ac:dyDescent="0.3">
      <c r="A3900" s="1" t="s">
        <v>8207</v>
      </c>
      <c r="B3900" s="1"/>
      <c r="C3900" s="1"/>
      <c r="D3900" s="1"/>
      <c r="E3900" s="1"/>
      <c r="F3900" s="1"/>
      <c r="G3900" s="1" t="s">
        <v>13</v>
      </c>
      <c r="H3900" s="2">
        <v>0</v>
      </c>
      <c r="I3900" s="1" t="s">
        <v>13</v>
      </c>
      <c r="J3900" s="1" t="s">
        <v>13</v>
      </c>
      <c r="K3900" s="1" t="s">
        <v>13</v>
      </c>
      <c r="L3900" s="1" t="s">
        <v>13</v>
      </c>
      <c r="M3900" s="6" t="str">
        <f>_xlfn.CONCAT(Table1[[#This Row],[Billing Street]], ", ", Table1[[#This Row],[Billing City]], ", ", Table1[[#This Row],[Billing State/Province]], ", ", Table1[[#This Row],[Billing Zip/Postal Code]])</f>
        <v xml:space="preserve">, , , </v>
      </c>
    </row>
    <row r="3901" spans="1:13" ht="15.6" hidden="1" x14ac:dyDescent="0.3">
      <c r="A3901" s="1" t="s">
        <v>11601</v>
      </c>
      <c r="B3901" s="1"/>
      <c r="C3901" s="1"/>
      <c r="D3901" s="1"/>
      <c r="E3901" s="1"/>
      <c r="F3901" s="1"/>
      <c r="G3901" s="1" t="s">
        <v>13</v>
      </c>
      <c r="H3901" s="2">
        <v>0</v>
      </c>
      <c r="I3901" s="1" t="s">
        <v>13</v>
      </c>
      <c r="J3901" s="1" t="s">
        <v>13</v>
      </c>
      <c r="K3901" s="1" t="s">
        <v>13</v>
      </c>
      <c r="L3901" s="1" t="s">
        <v>13</v>
      </c>
      <c r="M3901" s="6" t="str">
        <f>_xlfn.CONCAT(Table1[[#This Row],[Billing Street]], ", ", Table1[[#This Row],[Billing City]], ", ", Table1[[#This Row],[Billing State/Province]], ", ", Table1[[#This Row],[Billing Zip/Postal Code]])</f>
        <v xml:space="preserve">, , , </v>
      </c>
    </row>
    <row r="3902" spans="1:13" ht="15.6" hidden="1" x14ac:dyDescent="0.3">
      <c r="A3902" s="1" t="s">
        <v>11602</v>
      </c>
      <c r="B3902" s="1"/>
      <c r="C3902" s="1"/>
      <c r="D3902" s="1"/>
      <c r="E3902" s="1"/>
      <c r="F3902" s="1"/>
      <c r="G3902" s="1" t="s">
        <v>43</v>
      </c>
      <c r="H3902" s="2">
        <v>320</v>
      </c>
      <c r="I3902" s="1" t="s">
        <v>11603</v>
      </c>
      <c r="J3902" s="1" t="s">
        <v>3146</v>
      </c>
      <c r="K3902" s="1" t="s">
        <v>11604</v>
      </c>
      <c r="L3902" s="1" t="s">
        <v>11605</v>
      </c>
      <c r="M3902" s="6" t="str">
        <f>_xlfn.CONCAT(Table1[[#This Row],[Billing Street]], ", ", Table1[[#This Row],[Billing City]], ", ", Table1[[#This Row],[Billing State/Province]], ", ", Table1[[#This Row],[Billing Zip/Postal Code]])</f>
        <v>220 south Main St., Newark, de, 19711</v>
      </c>
    </row>
    <row r="3903" spans="1:13" ht="15.6" hidden="1" x14ac:dyDescent="0.3">
      <c r="A3903" s="1" t="s">
        <v>11606</v>
      </c>
      <c r="B3903" s="1"/>
      <c r="C3903" s="1"/>
      <c r="D3903" s="1"/>
      <c r="E3903" s="1"/>
      <c r="F3903" s="1"/>
      <c r="G3903" s="1" t="s">
        <v>13</v>
      </c>
      <c r="H3903" s="2">
        <v>0</v>
      </c>
      <c r="I3903" s="1" t="s">
        <v>13</v>
      </c>
      <c r="J3903" s="1" t="s">
        <v>13</v>
      </c>
      <c r="K3903" s="1" t="s">
        <v>13</v>
      </c>
      <c r="L3903" s="1" t="s">
        <v>13</v>
      </c>
      <c r="M3903" s="6" t="str">
        <f>_xlfn.CONCAT(Table1[[#This Row],[Billing Street]], ", ", Table1[[#This Row],[Billing City]], ", ", Table1[[#This Row],[Billing State/Province]], ", ", Table1[[#This Row],[Billing Zip/Postal Code]])</f>
        <v xml:space="preserve">, , , </v>
      </c>
    </row>
    <row r="3904" spans="1:13" ht="15.6" x14ac:dyDescent="0.3">
      <c r="A3904" s="1" t="s">
        <v>11607</v>
      </c>
      <c r="B3904" s="1"/>
      <c r="C3904" s="1"/>
      <c r="D3904" s="1"/>
      <c r="E3904" s="1"/>
      <c r="F3904" s="1"/>
      <c r="G3904" s="1" t="s">
        <v>24</v>
      </c>
      <c r="H3904" s="2">
        <v>319</v>
      </c>
      <c r="I3904" s="1" t="s">
        <v>11608</v>
      </c>
      <c r="J3904" s="1" t="s">
        <v>11609</v>
      </c>
      <c r="K3904" s="1" t="s">
        <v>36</v>
      </c>
      <c r="L3904" s="1" t="s">
        <v>11610</v>
      </c>
      <c r="M3904" s="6" t="str">
        <f>_xlfn.CONCAT(Table1[[#This Row],[Billing Street]], ", ", Table1[[#This Row],[Billing City]], ", ", Table1[[#This Row],[Billing State/Province]], ", ", Table1[[#This Row],[Billing Zip/Postal Code]])</f>
        <v>410 North St Suite 130, Longwood, FL, 32750</v>
      </c>
    </row>
    <row r="3905" spans="1:13" ht="15.6" x14ac:dyDescent="0.3">
      <c r="A3905" s="1" t="s">
        <v>11611</v>
      </c>
      <c r="B3905" s="1"/>
      <c r="C3905" s="1"/>
      <c r="D3905" s="1"/>
      <c r="E3905" s="1"/>
      <c r="F3905" s="1"/>
      <c r="G3905" s="1" t="s">
        <v>24</v>
      </c>
      <c r="H3905" s="2">
        <v>320</v>
      </c>
      <c r="I3905" s="1" t="s">
        <v>11612</v>
      </c>
      <c r="J3905" s="1" t="s">
        <v>11613</v>
      </c>
      <c r="K3905" s="1" t="s">
        <v>36</v>
      </c>
      <c r="L3905" s="1" t="s">
        <v>11614</v>
      </c>
      <c r="M3905" s="6" t="str">
        <f>_xlfn.CONCAT(Table1[[#This Row],[Billing Street]], ", ", Table1[[#This Row],[Billing City]], ", ", Table1[[#This Row],[Billing State/Province]], ", ", Table1[[#This Row],[Billing Zip/Postal Code]])</f>
        <v>1030 Ridge Rd, Winter Springs, FL, 32708</v>
      </c>
    </row>
    <row r="3906" spans="1:13" ht="15.6" x14ac:dyDescent="0.3">
      <c r="A3906" s="1" t="s">
        <v>11615</v>
      </c>
      <c r="B3906" s="1"/>
      <c r="C3906" s="1"/>
      <c r="D3906" s="1"/>
      <c r="E3906" s="1"/>
      <c r="F3906" s="1"/>
      <c r="G3906" s="1" t="s">
        <v>24</v>
      </c>
      <c r="H3906" s="2">
        <v>474</v>
      </c>
      <c r="I3906" s="1" t="s">
        <v>11616</v>
      </c>
      <c r="J3906" s="1" t="s">
        <v>11574</v>
      </c>
      <c r="K3906" s="1" t="s">
        <v>36</v>
      </c>
      <c r="L3906" s="1" t="s">
        <v>11617</v>
      </c>
      <c r="M3906" s="6" t="str">
        <f>_xlfn.CONCAT(Table1[[#This Row],[Billing Street]], ", ", Table1[[#This Row],[Billing City]], ", ", Table1[[#This Row],[Billing State/Province]], ", ", Table1[[#This Row],[Billing Zip/Postal Code]])</f>
        <v>445 Fairway Dr, Deerfield Beach, FL, 33441</v>
      </c>
    </row>
    <row r="3907" spans="1:13" ht="15.6" hidden="1" x14ac:dyDescent="0.3">
      <c r="A3907" s="1" t="s">
        <v>11618</v>
      </c>
      <c r="B3907" s="1"/>
      <c r="C3907" s="1"/>
      <c r="D3907" s="1"/>
      <c r="E3907" s="1"/>
      <c r="F3907" s="1"/>
      <c r="G3907" s="1" t="s">
        <v>13</v>
      </c>
      <c r="H3907" s="2">
        <v>0</v>
      </c>
      <c r="I3907" s="1" t="s">
        <v>13</v>
      </c>
      <c r="J3907" s="1" t="s">
        <v>13</v>
      </c>
      <c r="K3907" s="1" t="s">
        <v>13</v>
      </c>
      <c r="L3907" s="1" t="s">
        <v>13</v>
      </c>
      <c r="M3907" s="6" t="str">
        <f>_xlfn.CONCAT(Table1[[#This Row],[Billing Street]], ", ", Table1[[#This Row],[Billing City]], ", ", Table1[[#This Row],[Billing State/Province]], ", ", Table1[[#This Row],[Billing Zip/Postal Code]])</f>
        <v xml:space="preserve">, , , </v>
      </c>
    </row>
    <row r="3908" spans="1:13" ht="15.6" x14ac:dyDescent="0.3">
      <c r="A3908" s="1" t="s">
        <v>11619</v>
      </c>
      <c r="B3908" s="1"/>
      <c r="C3908" s="1"/>
      <c r="D3908" s="1"/>
      <c r="E3908" s="1"/>
      <c r="F3908" s="1"/>
      <c r="G3908" s="1" t="s">
        <v>24</v>
      </c>
      <c r="H3908" s="2">
        <v>262</v>
      </c>
      <c r="I3908" s="1" t="s">
        <v>11620</v>
      </c>
      <c r="J3908" s="1" t="s">
        <v>1668</v>
      </c>
      <c r="K3908" s="1" t="s">
        <v>36</v>
      </c>
      <c r="L3908" s="1" t="s">
        <v>3470</v>
      </c>
      <c r="M3908" s="6" t="str">
        <f>_xlfn.CONCAT(Table1[[#This Row],[Billing Street]], ", ", Table1[[#This Row],[Billing City]], ", ", Table1[[#This Row],[Billing State/Province]], ", ", Table1[[#This Row],[Billing Zip/Postal Code]])</f>
        <v>1100 Ellis Rd, Jacksonville, FL, 32254</v>
      </c>
    </row>
    <row r="3909" spans="1:13" ht="15.6" hidden="1" x14ac:dyDescent="0.3">
      <c r="A3909" s="1" t="s">
        <v>11621</v>
      </c>
      <c r="B3909" s="1"/>
      <c r="C3909" s="1"/>
      <c r="D3909" s="1"/>
      <c r="E3909" s="1"/>
      <c r="F3909" s="1"/>
      <c r="G3909" s="1" t="s">
        <v>13</v>
      </c>
      <c r="H3909" s="2">
        <v>0</v>
      </c>
      <c r="I3909" s="1" t="s">
        <v>13</v>
      </c>
      <c r="J3909" s="1" t="s">
        <v>13</v>
      </c>
      <c r="K3909" s="1" t="s">
        <v>13</v>
      </c>
      <c r="L3909" s="1" t="s">
        <v>13</v>
      </c>
      <c r="M3909" s="6" t="str">
        <f>_xlfn.CONCAT(Table1[[#This Row],[Billing Street]], ", ", Table1[[#This Row],[Billing City]], ", ", Table1[[#This Row],[Billing State/Province]], ", ", Table1[[#This Row],[Billing Zip/Postal Code]])</f>
        <v xml:space="preserve">, , , </v>
      </c>
    </row>
    <row r="3910" spans="1:13" ht="15.6" hidden="1" x14ac:dyDescent="0.3">
      <c r="A3910" s="1" t="s">
        <v>11622</v>
      </c>
      <c r="B3910" s="1"/>
      <c r="C3910" s="1"/>
      <c r="D3910" s="1"/>
      <c r="E3910" s="1"/>
      <c r="F3910" s="1"/>
      <c r="G3910" s="1" t="s">
        <v>13</v>
      </c>
      <c r="H3910" s="2">
        <v>0</v>
      </c>
      <c r="I3910" s="1" t="s">
        <v>11623</v>
      </c>
      <c r="J3910" s="1" t="s">
        <v>11624</v>
      </c>
      <c r="K3910" s="1" t="s">
        <v>13</v>
      </c>
      <c r="L3910" s="1" t="s">
        <v>11625</v>
      </c>
      <c r="M3910" s="6" t="str">
        <f>_xlfn.CONCAT(Table1[[#This Row],[Billing Street]], ", ", Table1[[#This Row],[Billing City]], ", ", Table1[[#This Row],[Billing State/Province]], ", ", Table1[[#This Row],[Billing Zip/Postal Code]])</f>
        <v>183 Bridge  st, Phoenixville, , 19460</v>
      </c>
    </row>
    <row r="3911" spans="1:13" ht="15.6" x14ac:dyDescent="0.3">
      <c r="A3911" s="1" t="s">
        <v>11626</v>
      </c>
      <c r="B3911" s="1"/>
      <c r="C3911" s="1"/>
      <c r="D3911" s="1"/>
      <c r="E3911" s="1"/>
      <c r="F3911" s="1"/>
      <c r="G3911" s="1" t="s">
        <v>24</v>
      </c>
      <c r="H3911" s="2">
        <v>263</v>
      </c>
      <c r="I3911" s="1" t="s">
        <v>11627</v>
      </c>
      <c r="J3911" s="1" t="s">
        <v>5652</v>
      </c>
      <c r="K3911" s="1" t="s">
        <v>36</v>
      </c>
      <c r="L3911" s="1" t="s">
        <v>11628</v>
      </c>
      <c r="M3911" s="6" t="str">
        <f>_xlfn.CONCAT(Table1[[#This Row],[Billing Street]], ", ", Table1[[#This Row],[Billing City]], ", ", Table1[[#This Row],[Billing State/Province]], ", ", Table1[[#This Row],[Billing Zip/Postal Code]])</f>
        <v>2441 E. Fort King St, Ocala, FL, 34471</v>
      </c>
    </row>
    <row r="3912" spans="1:13" ht="15.6" hidden="1" x14ac:dyDescent="0.3">
      <c r="A3912" s="1" t="s">
        <v>11629</v>
      </c>
      <c r="B3912" s="1"/>
      <c r="C3912" s="1"/>
      <c r="D3912" s="1"/>
      <c r="E3912" s="1"/>
      <c r="F3912" s="1"/>
      <c r="G3912" s="1" t="s">
        <v>8</v>
      </c>
      <c r="H3912" s="2">
        <v>423</v>
      </c>
      <c r="I3912" s="1" t="s">
        <v>11630</v>
      </c>
      <c r="J3912" s="1" t="s">
        <v>11631</v>
      </c>
      <c r="K3912" s="1" t="s">
        <v>21</v>
      </c>
      <c r="L3912" s="1" t="s">
        <v>11632</v>
      </c>
      <c r="M3912" s="6" t="str">
        <f>_xlfn.CONCAT(Table1[[#This Row],[Billing Street]], ", ", Table1[[#This Row],[Billing City]], ", ", Table1[[#This Row],[Billing State/Province]], ", ", Table1[[#This Row],[Billing Zip/Postal Code]])</f>
        <v>131 W Main St, Coggon, IA, 52218</v>
      </c>
    </row>
    <row r="3913" spans="1:13" ht="15.6" hidden="1" x14ac:dyDescent="0.3">
      <c r="A3913" s="1" t="s">
        <v>11633</v>
      </c>
      <c r="B3913" s="1"/>
      <c r="C3913" s="1"/>
      <c r="D3913" s="1"/>
      <c r="E3913" s="1"/>
      <c r="F3913" s="1"/>
      <c r="G3913" s="1" t="s">
        <v>8</v>
      </c>
      <c r="H3913" s="2">
        <v>438</v>
      </c>
      <c r="I3913" s="1" t="s">
        <v>11634</v>
      </c>
      <c r="J3913" s="1" t="s">
        <v>11635</v>
      </c>
      <c r="K3913" s="1" t="s">
        <v>21</v>
      </c>
      <c r="L3913" s="1" t="s">
        <v>11636</v>
      </c>
      <c r="M3913" s="6" t="str">
        <f>_xlfn.CONCAT(Table1[[#This Row],[Billing Street]], ", ", Table1[[#This Row],[Billing City]], ", ", Table1[[#This Row],[Billing State/Province]], ", ", Table1[[#This Row],[Billing Zip/Postal Code]])</f>
        <v>320 1st Ave W, Cascade, IA, 52033</v>
      </c>
    </row>
    <row r="3914" spans="1:13" ht="15.6" hidden="1" x14ac:dyDescent="0.3">
      <c r="A3914" s="1" t="s">
        <v>11637</v>
      </c>
      <c r="B3914" s="1"/>
      <c r="C3914" s="1"/>
      <c r="D3914" s="1"/>
      <c r="E3914" s="1"/>
      <c r="F3914" s="1"/>
      <c r="G3914" s="1" t="s">
        <v>8</v>
      </c>
      <c r="H3914" s="2">
        <v>375</v>
      </c>
      <c r="I3914" s="1" t="s">
        <v>11638</v>
      </c>
      <c r="J3914" s="1" t="s">
        <v>11639</v>
      </c>
      <c r="K3914" s="1" t="s">
        <v>21</v>
      </c>
      <c r="L3914" s="1" t="s">
        <v>11640</v>
      </c>
      <c r="M3914" s="6" t="str">
        <f>_xlfn.CONCAT(Table1[[#This Row],[Billing Street]], ", ", Table1[[#This Row],[Billing City]], ", ", Table1[[#This Row],[Billing State/Province]], ", ", Table1[[#This Row],[Billing Zip/Postal Code]])</f>
        <v>415 Thomas Street, Callender, IA, 50523</v>
      </c>
    </row>
    <row r="3915" spans="1:13" ht="15.6" hidden="1" x14ac:dyDescent="0.3">
      <c r="A3915" s="1" t="s">
        <v>11641</v>
      </c>
      <c r="B3915" s="1"/>
      <c r="C3915" s="1"/>
      <c r="D3915" s="1"/>
      <c r="E3915" s="1"/>
      <c r="F3915" s="1"/>
      <c r="G3915" s="1" t="s">
        <v>8</v>
      </c>
      <c r="H3915" s="2">
        <v>432</v>
      </c>
      <c r="I3915" s="1" t="s">
        <v>11642</v>
      </c>
      <c r="J3915" s="1" t="s">
        <v>11643</v>
      </c>
      <c r="K3915" s="1" t="s">
        <v>21</v>
      </c>
      <c r="L3915" s="1" t="s">
        <v>11644</v>
      </c>
      <c r="M3915" s="6" t="str">
        <f>_xlfn.CONCAT(Table1[[#This Row],[Billing Street]], ", ", Table1[[#This Row],[Billing City]], ", ", Table1[[#This Row],[Billing State/Province]], ", ", Table1[[#This Row],[Billing Zip/Postal Code]])</f>
        <v>119 Walnut St., Burt, IA, 50522</v>
      </c>
    </row>
    <row r="3916" spans="1:13" ht="15.6" hidden="1" x14ac:dyDescent="0.3">
      <c r="A3916" s="1" t="s">
        <v>11645</v>
      </c>
      <c r="B3916" s="1"/>
      <c r="C3916" s="1"/>
      <c r="D3916" s="1"/>
      <c r="E3916" s="1"/>
      <c r="F3916" s="1"/>
      <c r="G3916" s="1" t="s">
        <v>8</v>
      </c>
      <c r="H3916" s="2">
        <v>403</v>
      </c>
      <c r="I3916" s="1" t="s">
        <v>11646</v>
      </c>
      <c r="J3916" s="1" t="s">
        <v>3372</v>
      </c>
      <c r="K3916" s="1" t="s">
        <v>21</v>
      </c>
      <c r="L3916" s="1" t="s">
        <v>11647</v>
      </c>
      <c r="M3916" s="6" t="str">
        <f>_xlfn.CONCAT(Table1[[#This Row],[Billing Street]], ", ", Table1[[#This Row],[Billing City]], ", ", Table1[[#This Row],[Billing State/Province]], ", ", Table1[[#This Row],[Billing Zip/Postal Code]])</f>
        <v>329 Dodge Street, Buffalo, IA, 52728</v>
      </c>
    </row>
    <row r="3917" spans="1:13" ht="15.6" hidden="1" x14ac:dyDescent="0.3">
      <c r="A3917" s="1" t="s">
        <v>11648</v>
      </c>
      <c r="B3917" s="1"/>
      <c r="C3917" s="1"/>
      <c r="D3917" s="1"/>
      <c r="E3917" s="1"/>
      <c r="F3917" s="1"/>
      <c r="G3917" s="1" t="s">
        <v>8</v>
      </c>
      <c r="H3917" s="2">
        <v>357</v>
      </c>
      <c r="I3917" s="1" t="s">
        <v>11649</v>
      </c>
      <c r="J3917" s="1" t="s">
        <v>11650</v>
      </c>
      <c r="K3917" s="1" t="s">
        <v>21</v>
      </c>
      <c r="L3917" s="1" t="s">
        <v>11651</v>
      </c>
      <c r="M3917" s="6" t="str">
        <f>_xlfn.CONCAT(Table1[[#This Row],[Billing Street]], ", ", Table1[[#This Row],[Billing City]], ", ", Table1[[#This Row],[Billing State/Province]], ", ", Table1[[#This Row],[Billing Zip/Postal Code]])</f>
        <v>108 N 2nd Street, Breda, IA, 51436</v>
      </c>
    </row>
    <row r="3918" spans="1:13" ht="15.6" hidden="1" x14ac:dyDescent="0.3">
      <c r="A3918" s="1" t="s">
        <v>11652</v>
      </c>
      <c r="B3918" s="1"/>
      <c r="C3918" s="1"/>
      <c r="D3918" s="1"/>
      <c r="E3918" s="1"/>
      <c r="F3918" s="1"/>
      <c r="G3918" s="1" t="s">
        <v>8</v>
      </c>
      <c r="H3918" s="2">
        <v>454</v>
      </c>
      <c r="I3918" s="1" t="s">
        <v>11653</v>
      </c>
      <c r="J3918" s="1" t="s">
        <v>11654</v>
      </c>
      <c r="K3918" s="1" t="s">
        <v>21</v>
      </c>
      <c r="L3918" s="1" t="s">
        <v>11655</v>
      </c>
      <c r="M3918" s="6" t="str">
        <f>_xlfn.CONCAT(Table1[[#This Row],[Billing Street]], ", ", Table1[[#This Row],[Billing City]], ", ", Table1[[#This Row],[Billing State/Province]], ", ", Table1[[#This Row],[Billing Zip/Postal Code]])</f>
        <v>900 Riverview, Bellevue, IA, 52031</v>
      </c>
    </row>
    <row r="3919" spans="1:13" ht="15.6" hidden="1" x14ac:dyDescent="0.3">
      <c r="A3919" s="1" t="s">
        <v>11656</v>
      </c>
      <c r="B3919" s="1"/>
      <c r="C3919" s="1"/>
      <c r="D3919" s="1"/>
      <c r="E3919" s="1"/>
      <c r="F3919" s="1"/>
      <c r="G3919" s="1" t="s">
        <v>8</v>
      </c>
      <c r="H3919" s="2">
        <v>439</v>
      </c>
      <c r="I3919" s="1" t="s">
        <v>11657</v>
      </c>
      <c r="J3919" s="1" t="s">
        <v>11658</v>
      </c>
      <c r="K3919" s="1" t="s">
        <v>21</v>
      </c>
      <c r="L3919" s="1" t="s">
        <v>11659</v>
      </c>
      <c r="M3919" s="6" t="str">
        <f>_xlfn.CONCAT(Table1[[#This Row],[Billing Street]], ", ", Table1[[#This Row],[Billing City]], ", ", Table1[[#This Row],[Billing State/Province]], ", ", Table1[[#This Row],[Billing Zip/Postal Code]])</f>
        <v>105 E Ramsey St, Bancroft, IA, 50517</v>
      </c>
    </row>
    <row r="3920" spans="1:13" ht="15.6" hidden="1" x14ac:dyDescent="0.3">
      <c r="A3920" s="1" t="s">
        <v>11660</v>
      </c>
      <c r="B3920" s="1"/>
      <c r="C3920" s="1"/>
      <c r="D3920" s="1"/>
      <c r="E3920" s="1"/>
      <c r="F3920" s="1"/>
      <c r="G3920" s="1" t="s">
        <v>8</v>
      </c>
      <c r="H3920" s="2">
        <v>392</v>
      </c>
      <c r="I3920" s="1" t="s">
        <v>11661</v>
      </c>
      <c r="J3920" s="1" t="s">
        <v>11662</v>
      </c>
      <c r="K3920" s="1" t="s">
        <v>21</v>
      </c>
      <c r="L3920" s="1" t="s">
        <v>11663</v>
      </c>
      <c r="M3920" s="6" t="str">
        <f>_xlfn.CONCAT(Table1[[#This Row],[Billing Street]], ", ", Table1[[#This Row],[Billing City]], ", ", Table1[[#This Row],[Billing State/Province]], ", ", Table1[[#This Row],[Billing Zip/Postal Code]])</f>
        <v>236 Main Street, Aurelia, IA, 51005</v>
      </c>
    </row>
    <row r="3921" spans="1:13" ht="15.6" hidden="1" x14ac:dyDescent="0.3">
      <c r="A3921" s="1" t="s">
        <v>11664</v>
      </c>
      <c r="B3921" s="1"/>
      <c r="C3921" s="1"/>
      <c r="D3921" s="1"/>
      <c r="E3921" s="1"/>
      <c r="F3921" s="1"/>
      <c r="G3921" s="1" t="s">
        <v>8</v>
      </c>
      <c r="H3921" s="2">
        <v>362</v>
      </c>
      <c r="I3921" s="1" t="s">
        <v>11665</v>
      </c>
      <c r="J3921" s="1" t="s">
        <v>197</v>
      </c>
      <c r="K3921" s="1" t="s">
        <v>21</v>
      </c>
      <c r="L3921" s="1" t="s">
        <v>11666</v>
      </c>
      <c r="M3921" s="6" t="str">
        <f>_xlfn.CONCAT(Table1[[#This Row],[Billing Street]], ", ", Table1[[#This Row],[Billing City]], ", ", Table1[[#This Row],[Billing State/Province]], ", ", Table1[[#This Row],[Billing Zip/Postal Code]])</f>
        <v>209 Pine Street, Auburn, IA, 51433</v>
      </c>
    </row>
    <row r="3922" spans="1:13" ht="15.6" hidden="1" x14ac:dyDescent="0.3">
      <c r="A3922" s="1" t="s">
        <v>11667</v>
      </c>
      <c r="B3922" s="1"/>
      <c r="C3922" s="1"/>
      <c r="D3922" s="1"/>
      <c r="E3922" s="1"/>
      <c r="F3922" s="1"/>
      <c r="G3922" s="1" t="s">
        <v>8</v>
      </c>
      <c r="H3922" s="2">
        <v>410</v>
      </c>
      <c r="I3922" s="1" t="s">
        <v>11668</v>
      </c>
      <c r="J3922" s="1" t="s">
        <v>11669</v>
      </c>
      <c r="K3922" s="1" t="s">
        <v>21</v>
      </c>
      <c r="L3922" s="1" t="s">
        <v>11670</v>
      </c>
      <c r="M3922" s="6" t="str">
        <f>_xlfn.CONCAT(Table1[[#This Row],[Billing Street]], ", ", Table1[[#This Row],[Billing City]], ", ", Table1[[#This Row],[Billing State/Province]], ", ", Table1[[#This Row],[Billing Zip/Postal Code]])</f>
        <v>409 10th St, Aplington, IA, 50604</v>
      </c>
    </row>
    <row r="3923" spans="1:13" ht="15.6" hidden="1" x14ac:dyDescent="0.3">
      <c r="A3923" s="1" t="s">
        <v>11671</v>
      </c>
      <c r="B3923" s="1"/>
      <c r="C3923" s="1"/>
      <c r="D3923" s="1"/>
      <c r="E3923" s="1"/>
      <c r="F3923" s="1"/>
      <c r="G3923" s="1" t="s">
        <v>8</v>
      </c>
      <c r="H3923" s="2">
        <v>403</v>
      </c>
      <c r="I3923" s="1" t="s">
        <v>11672</v>
      </c>
      <c r="J3923" s="1" t="s">
        <v>4704</v>
      </c>
      <c r="K3923" s="1" t="s">
        <v>21</v>
      </c>
      <c r="L3923" s="1" t="s">
        <v>11673</v>
      </c>
      <c r="M3923" s="6" t="str">
        <f>_xlfn.CONCAT(Table1[[#This Row],[Billing Street]], ", ", Table1[[#This Row],[Billing City]], ", ", Table1[[#This Row],[Billing State/Province]], ", ", Table1[[#This Row],[Billing Zip/Postal Code]])</f>
        <v>220 Reed Street, Akron, IA, 51001</v>
      </c>
    </row>
    <row r="3924" spans="1:13" ht="15.6" hidden="1" x14ac:dyDescent="0.3">
      <c r="A3924" s="1" t="s">
        <v>11674</v>
      </c>
      <c r="B3924" s="1"/>
      <c r="C3924" s="1"/>
      <c r="D3924" s="1"/>
      <c r="E3924" s="1"/>
      <c r="F3924" s="1"/>
      <c r="G3924" s="1" t="s">
        <v>8</v>
      </c>
      <c r="H3924" s="2">
        <v>385</v>
      </c>
      <c r="I3924" s="1" t="s">
        <v>11675</v>
      </c>
      <c r="J3924" s="1" t="s">
        <v>11676</v>
      </c>
      <c r="K3924" s="1" t="s">
        <v>21</v>
      </c>
      <c r="L3924" s="1" t="s">
        <v>11677</v>
      </c>
      <c r="M3924" s="6" t="str">
        <f>_xlfn.CONCAT(Table1[[#This Row],[Billing Street]], ", ", Table1[[#This Row],[Billing City]], ", ", Table1[[#This Row],[Billing State/Province]], ", ", Table1[[#This Row],[Billing Zip/Postal Code]])</f>
        <v>708 49th Ave., Amana, IA, 52203</v>
      </c>
    </row>
    <row r="3925" spans="1:13" ht="15.6" x14ac:dyDescent="0.3">
      <c r="A3925" s="1" t="s">
        <v>11678</v>
      </c>
      <c r="B3925" s="1"/>
      <c r="C3925" s="1"/>
      <c r="D3925" s="1"/>
      <c r="E3925" s="1"/>
      <c r="F3925" s="1"/>
      <c r="G3925" s="1" t="s">
        <v>24</v>
      </c>
      <c r="H3925" s="2">
        <v>48</v>
      </c>
      <c r="I3925" s="1" t="s">
        <v>11679</v>
      </c>
      <c r="J3925" s="1" t="s">
        <v>11680</v>
      </c>
      <c r="K3925" s="1" t="s">
        <v>26</v>
      </c>
      <c r="L3925" s="1" t="s">
        <v>11681</v>
      </c>
      <c r="M3925" s="6" t="str">
        <f>_xlfn.CONCAT(Table1[[#This Row],[Billing Street]], ", ", Table1[[#This Row],[Billing City]], ", ", Table1[[#This Row],[Billing State/Province]], ", ", Table1[[#This Row],[Billing Zip/Postal Code]])</f>
        <v>485 Hwy 203, Elba, AL, 36323</v>
      </c>
    </row>
    <row r="3926" spans="1:13" ht="15.6" hidden="1" x14ac:dyDescent="0.3">
      <c r="A3926" s="1" t="s">
        <v>11682</v>
      </c>
      <c r="B3926" s="1"/>
      <c r="C3926" s="1"/>
      <c r="D3926" s="1"/>
      <c r="E3926" s="1"/>
      <c r="F3926" s="1"/>
      <c r="G3926" s="1" t="s">
        <v>8</v>
      </c>
      <c r="H3926" s="2">
        <v>399</v>
      </c>
      <c r="I3926" s="1" t="s">
        <v>11683</v>
      </c>
      <c r="J3926" s="1" t="s">
        <v>20</v>
      </c>
      <c r="K3926" s="1" t="s">
        <v>21</v>
      </c>
      <c r="L3926" s="1" t="s">
        <v>22</v>
      </c>
      <c r="M3926" s="6" t="str">
        <f>_xlfn.CONCAT(Table1[[#This Row],[Billing Street]], ", ", Table1[[#This Row],[Billing City]], ", ", Table1[[#This Row],[Billing State/Province]], ", ", Table1[[#This Row],[Billing Zip/Postal Code]])</f>
        <v>303 North Park Ave, Grundy Center, IA, 50638</v>
      </c>
    </row>
    <row r="3927" spans="1:13" ht="15.6" x14ac:dyDescent="0.3">
      <c r="A3927" s="1" t="s">
        <v>11684</v>
      </c>
      <c r="B3927" s="1"/>
      <c r="C3927" s="1"/>
      <c r="D3927" s="1"/>
      <c r="E3927" s="1"/>
      <c r="F3927" s="1"/>
      <c r="G3927" s="1" t="s">
        <v>24</v>
      </c>
      <c r="H3927" s="2">
        <v>295</v>
      </c>
      <c r="I3927" s="1" t="s">
        <v>11685</v>
      </c>
      <c r="J3927" s="1" t="s">
        <v>4402</v>
      </c>
      <c r="K3927" s="1" t="s">
        <v>577</v>
      </c>
      <c r="L3927" s="1" t="s">
        <v>10927</v>
      </c>
      <c r="M3927" s="6" t="str">
        <f>_xlfn.CONCAT(Table1[[#This Row],[Billing Street]], ", ", Table1[[#This Row],[Billing City]], ", ", Table1[[#This Row],[Billing State/Province]], ", ", Table1[[#This Row],[Billing Zip/Postal Code]])</f>
        <v>11036 Airline Highway, Baton Rouge, LA, 70816</v>
      </c>
    </row>
    <row r="3928" spans="1:13" ht="15.6" hidden="1" x14ac:dyDescent="0.3">
      <c r="A3928" s="1" t="s">
        <v>11686</v>
      </c>
      <c r="B3928" s="1"/>
      <c r="C3928" s="1"/>
      <c r="D3928" s="1"/>
      <c r="E3928" s="1"/>
      <c r="F3928" s="1"/>
      <c r="G3928" s="1" t="s">
        <v>54</v>
      </c>
      <c r="H3928" s="2">
        <v>959</v>
      </c>
      <c r="I3928" s="1" t="s">
        <v>11687</v>
      </c>
      <c r="J3928" s="1" t="s">
        <v>404</v>
      </c>
      <c r="K3928" s="1" t="s">
        <v>405</v>
      </c>
      <c r="L3928" s="1" t="s">
        <v>11688</v>
      </c>
      <c r="M3928" s="6" t="str">
        <f>_xlfn.CONCAT(Table1[[#This Row],[Billing Street]], ", ", Table1[[#This Row],[Billing City]], ", ", Table1[[#This Row],[Billing State/Province]], ", ", Table1[[#This Row],[Billing Zip/Postal Code]])</f>
        <v>1919 Sixth Avenue S, Seattle, WA, 98134-1610</v>
      </c>
    </row>
    <row r="3929" spans="1:13" ht="15.6" hidden="1" x14ac:dyDescent="0.3">
      <c r="A3929" s="1" t="s">
        <v>11689</v>
      </c>
      <c r="B3929" s="1"/>
      <c r="C3929" s="1"/>
      <c r="D3929" s="1"/>
      <c r="E3929" s="1"/>
      <c r="F3929" s="1"/>
      <c r="G3929" s="1" t="s">
        <v>8</v>
      </c>
      <c r="H3929" s="2">
        <v>419</v>
      </c>
      <c r="I3929" s="1" t="s">
        <v>11690</v>
      </c>
      <c r="J3929" s="1" t="s">
        <v>11691</v>
      </c>
      <c r="K3929" s="1" t="s">
        <v>21</v>
      </c>
      <c r="L3929" s="1" t="s">
        <v>11692</v>
      </c>
      <c r="M3929" s="6" t="str">
        <f>_xlfn.CONCAT(Table1[[#This Row],[Billing Street]], ", ", Table1[[#This Row],[Billing City]], ", ", Table1[[#This Row],[Billing State/Province]], ", ", Table1[[#This Row],[Billing Zip/Postal Code]])</f>
        <v>335 1st Ave NW, Sioux Center, IA, 51250</v>
      </c>
    </row>
    <row r="3930" spans="1:13" ht="15.6" hidden="1" x14ac:dyDescent="0.3">
      <c r="A3930" s="1" t="s">
        <v>11693</v>
      </c>
      <c r="B3930" s="1"/>
      <c r="C3930" s="1"/>
      <c r="D3930" s="1"/>
      <c r="E3930" s="1"/>
      <c r="F3930" s="1"/>
      <c r="G3930" s="1" t="s">
        <v>8</v>
      </c>
      <c r="H3930" s="2">
        <v>319</v>
      </c>
      <c r="I3930" s="1" t="s">
        <v>11694</v>
      </c>
      <c r="J3930" s="1" t="s">
        <v>6967</v>
      </c>
      <c r="K3930" s="1" t="s">
        <v>21</v>
      </c>
      <c r="L3930" s="1" t="s">
        <v>6968</v>
      </c>
      <c r="M3930" s="6" t="str">
        <f>_xlfn.CONCAT(Table1[[#This Row],[Billing Street]], ", ", Table1[[#This Row],[Billing City]], ", ", Table1[[#This Row],[Billing State/Province]], ", ", Table1[[#This Row],[Billing Zip/Postal Code]])</f>
        <v>2412 Southwest Ave, Harlan, IA, 51537</v>
      </c>
    </row>
    <row r="3931" spans="1:13" ht="15.6" hidden="1" x14ac:dyDescent="0.3">
      <c r="A3931" s="1" t="s">
        <v>11695</v>
      </c>
      <c r="B3931" s="1"/>
      <c r="C3931" s="1"/>
      <c r="D3931" s="1"/>
      <c r="E3931" s="1"/>
      <c r="F3931" s="1"/>
      <c r="G3931" s="1" t="s">
        <v>8</v>
      </c>
      <c r="H3931" s="2">
        <v>425</v>
      </c>
      <c r="I3931" s="1" t="s">
        <v>11696</v>
      </c>
      <c r="J3931" s="1" t="s">
        <v>1766</v>
      </c>
      <c r="K3931" s="1" t="s">
        <v>21</v>
      </c>
      <c r="L3931" s="1" t="s">
        <v>11697</v>
      </c>
      <c r="M3931" s="6" t="str">
        <f>_xlfn.CONCAT(Table1[[#This Row],[Billing Street]], ", ", Table1[[#This Row],[Billing City]], ", ", Table1[[#This Row],[Billing State/Province]], ", ", Table1[[#This Row],[Billing Zip/Postal Code]])</f>
        <v>700 7th Ave NE, Independence, IA, 50644</v>
      </c>
    </row>
    <row r="3932" spans="1:13" ht="15.6" hidden="1" x14ac:dyDescent="0.3">
      <c r="A3932" s="1" t="s">
        <v>11698</v>
      </c>
      <c r="B3932" s="1"/>
      <c r="C3932" s="1"/>
      <c r="D3932" s="1"/>
      <c r="E3932" s="1"/>
      <c r="F3932" s="1"/>
      <c r="G3932" s="1" t="s">
        <v>8</v>
      </c>
      <c r="H3932" s="2">
        <v>6528</v>
      </c>
      <c r="I3932" s="1" t="s">
        <v>13</v>
      </c>
      <c r="J3932" s="1" t="s">
        <v>13</v>
      </c>
      <c r="K3932" s="1" t="s">
        <v>21</v>
      </c>
      <c r="L3932" s="1" t="s">
        <v>13</v>
      </c>
      <c r="M3932" s="6" t="str">
        <f>_xlfn.CONCAT(Table1[[#This Row],[Billing Street]], ", ", Table1[[#This Row],[Billing City]], ", ", Table1[[#This Row],[Billing State/Province]], ", ", Table1[[#This Row],[Billing Zip/Postal Code]])</f>
        <v xml:space="preserve">, , IA, </v>
      </c>
    </row>
    <row r="3933" spans="1:13" ht="15.6" hidden="1" x14ac:dyDescent="0.3">
      <c r="A3933" s="1" t="s">
        <v>11699</v>
      </c>
      <c r="B3933" s="1"/>
      <c r="C3933" s="1"/>
      <c r="D3933" s="1"/>
      <c r="E3933" s="1"/>
      <c r="F3933" s="1"/>
      <c r="G3933" s="1" t="s">
        <v>8</v>
      </c>
      <c r="H3933" s="2">
        <v>403</v>
      </c>
      <c r="I3933" s="1" t="s">
        <v>11700</v>
      </c>
      <c r="J3933" s="1" t="s">
        <v>8485</v>
      </c>
      <c r="K3933" s="1" t="s">
        <v>21</v>
      </c>
      <c r="L3933" s="1" t="s">
        <v>11701</v>
      </c>
      <c r="M3933" s="6" t="str">
        <f>_xlfn.CONCAT(Table1[[#This Row],[Billing Street]], ", ", Table1[[#This Row],[Billing City]], ", ", Table1[[#This Row],[Billing State/Province]], ", ", Table1[[#This Row],[Billing Zip/Postal Code]])</f>
        <v>1400 Highway 13 SE, Cedar Rapids, IA, 52403</v>
      </c>
    </row>
    <row r="3934" spans="1:13" ht="15.6" hidden="1" x14ac:dyDescent="0.3">
      <c r="A3934" s="1" t="s">
        <v>11702</v>
      </c>
      <c r="B3934" s="1"/>
      <c r="C3934" s="1"/>
      <c r="D3934" s="1"/>
      <c r="E3934" s="1"/>
      <c r="F3934" s="1"/>
      <c r="G3934" s="1" t="s">
        <v>205</v>
      </c>
      <c r="H3934" s="2">
        <v>16</v>
      </c>
      <c r="I3934" s="1" t="s">
        <v>11703</v>
      </c>
      <c r="J3934" s="1" t="s">
        <v>2920</v>
      </c>
      <c r="K3934" s="1" t="s">
        <v>479</v>
      </c>
      <c r="L3934" s="1" t="s">
        <v>8014</v>
      </c>
      <c r="M3934" s="6" t="str">
        <f>_xlfn.CONCAT(Table1[[#This Row],[Billing Street]], ", ", Table1[[#This Row],[Billing City]], ", ", Table1[[#This Row],[Billing State/Province]], ", ", Table1[[#This Row],[Billing Zip/Postal Code]])</f>
        <v>1450 W Guadalupe RD, Gilbert, AZ, 85233</v>
      </c>
    </row>
    <row r="3935" spans="1:13" ht="15.6" x14ac:dyDescent="0.3">
      <c r="A3935" s="1" t="s">
        <v>11704</v>
      </c>
      <c r="B3935" s="1"/>
      <c r="C3935" s="1"/>
      <c r="D3935" s="1"/>
      <c r="E3935" s="1"/>
      <c r="F3935" s="1"/>
      <c r="G3935" s="1" t="s">
        <v>24</v>
      </c>
      <c r="H3935" s="2">
        <v>430</v>
      </c>
      <c r="I3935" s="1" t="s">
        <v>11705</v>
      </c>
      <c r="J3935" s="1" t="s">
        <v>8253</v>
      </c>
      <c r="K3935" s="1" t="s">
        <v>577</v>
      </c>
      <c r="L3935" s="1" t="s">
        <v>11706</v>
      </c>
      <c r="M3935" s="6" t="str">
        <f>_xlfn.CONCAT(Table1[[#This Row],[Billing Street]], ", ", Table1[[#This Row],[Billing City]], ", ", Table1[[#This Row],[Billing State/Province]], ", ", Table1[[#This Row],[Billing Zip/Postal Code]])</f>
        <v>4760 E Napoleon St, Sulphur, LA, 70663</v>
      </c>
    </row>
    <row r="3936" spans="1:13" ht="15.6" x14ac:dyDescent="0.3">
      <c r="A3936" s="1" t="s">
        <v>11707</v>
      </c>
      <c r="B3936" s="1"/>
      <c r="C3936" s="1"/>
      <c r="D3936" s="1"/>
      <c r="E3936" s="1"/>
      <c r="F3936" s="1"/>
      <c r="G3936" s="1" t="s">
        <v>24</v>
      </c>
      <c r="H3936" s="2">
        <v>5988</v>
      </c>
      <c r="I3936" s="1" t="s">
        <v>11708</v>
      </c>
      <c r="J3936" s="1" t="s">
        <v>438</v>
      </c>
      <c r="K3936" s="1" t="s">
        <v>26</v>
      </c>
      <c r="L3936" s="1" t="s">
        <v>439</v>
      </c>
      <c r="M3936" s="6" t="str">
        <f>_xlfn.CONCAT(Table1[[#This Row],[Billing Street]], ", ", Table1[[#This Row],[Billing City]], ", ", Table1[[#This Row],[Billing State/Province]], ", ", Table1[[#This Row],[Billing Zip/Postal Code]])</f>
        <v>2901 Tenth Ave, Tuscaloosa, AL, 35401</v>
      </c>
    </row>
    <row r="3937" spans="1:13" ht="15.6" hidden="1" x14ac:dyDescent="0.3">
      <c r="A3937" s="1" t="s">
        <v>11709</v>
      </c>
      <c r="B3937" s="1"/>
      <c r="C3937" s="1"/>
      <c r="D3937" s="1"/>
      <c r="E3937" s="1"/>
      <c r="F3937" s="1"/>
      <c r="G3937" s="1" t="s">
        <v>8</v>
      </c>
      <c r="H3937" s="2">
        <v>448</v>
      </c>
      <c r="I3937" s="1" t="s">
        <v>11710</v>
      </c>
      <c r="J3937" s="1" t="s">
        <v>11711</v>
      </c>
      <c r="K3937" s="1" t="s">
        <v>21</v>
      </c>
      <c r="L3937" s="1" t="s">
        <v>11712</v>
      </c>
      <c r="M3937" s="6" t="str">
        <f>_xlfn.CONCAT(Table1[[#This Row],[Billing Street]], ", ", Table1[[#This Row],[Billing City]], ", ", Table1[[#This Row],[Billing State/Province]], ", ", Table1[[#This Row],[Billing Zip/Postal Code]])</f>
        <v>216 Jackson St., Thompson, IA, 50478</v>
      </c>
    </row>
    <row r="3938" spans="1:13" ht="15.6" hidden="1" x14ac:dyDescent="0.3">
      <c r="A3938" s="1" t="s">
        <v>11713</v>
      </c>
      <c r="B3938" s="1"/>
      <c r="C3938" s="1"/>
      <c r="D3938" s="1"/>
      <c r="E3938" s="1"/>
      <c r="F3938" s="1"/>
      <c r="G3938" s="1" t="s">
        <v>54</v>
      </c>
      <c r="H3938" s="2">
        <v>306</v>
      </c>
      <c r="I3938" s="1" t="s">
        <v>11714</v>
      </c>
      <c r="J3938" s="1" t="s">
        <v>1390</v>
      </c>
      <c r="K3938" s="1" t="s">
        <v>57</v>
      </c>
      <c r="L3938" s="1" t="s">
        <v>11715</v>
      </c>
      <c r="M3938" s="6" t="str">
        <f>_xlfn.CONCAT(Table1[[#This Row],[Billing Street]], ", ", Table1[[#This Row],[Billing City]], ", ", Table1[[#This Row],[Billing State/Province]], ", ", Table1[[#This Row],[Billing Zip/Postal Code]])</f>
        <v>967 Mabury Road, San Jose, CA, 95133</v>
      </c>
    </row>
    <row r="3939" spans="1:13" ht="15.6" hidden="1" x14ac:dyDescent="0.3">
      <c r="A3939" s="1" t="s">
        <v>11716</v>
      </c>
      <c r="B3939" s="1"/>
      <c r="C3939" s="1"/>
      <c r="D3939" s="1"/>
      <c r="E3939" s="1"/>
      <c r="F3939" s="1"/>
      <c r="G3939" s="1" t="s">
        <v>98</v>
      </c>
      <c r="H3939" s="2">
        <v>84</v>
      </c>
      <c r="I3939" s="1" t="s">
        <v>11717</v>
      </c>
      <c r="J3939" s="1" t="s">
        <v>4590</v>
      </c>
      <c r="K3939" s="1" t="s">
        <v>101</v>
      </c>
      <c r="L3939" s="1" t="s">
        <v>5103</v>
      </c>
      <c r="M3939" s="6" t="str">
        <f>_xlfn.CONCAT(Table1[[#This Row],[Billing Street]], ", ", Table1[[#This Row],[Billing City]], ", ", Table1[[#This Row],[Billing State/Province]], ", ", Table1[[#This Row],[Billing Zip/Postal Code]])</f>
        <v>616 Lexington Ave, Washington, GA, 30673</v>
      </c>
    </row>
    <row r="3940" spans="1:13" ht="15.6" hidden="1" x14ac:dyDescent="0.3">
      <c r="A3940" s="1" t="s">
        <v>11718</v>
      </c>
      <c r="B3940" s="1"/>
      <c r="C3940" s="1"/>
      <c r="D3940" s="1"/>
      <c r="E3940" s="1"/>
      <c r="F3940" s="1"/>
      <c r="G3940" s="1" t="s">
        <v>8</v>
      </c>
      <c r="H3940" s="2">
        <v>503</v>
      </c>
      <c r="I3940" s="1" t="s">
        <v>11719</v>
      </c>
      <c r="J3940" s="1" t="s">
        <v>557</v>
      </c>
      <c r="K3940" s="1" t="s">
        <v>51</v>
      </c>
      <c r="L3940" s="1" t="s">
        <v>11720</v>
      </c>
      <c r="M3940" s="6" t="str">
        <f>_xlfn.CONCAT(Table1[[#This Row],[Billing Street]], ", ", Table1[[#This Row],[Billing City]], ", ", Table1[[#This Row],[Billing State/Province]], ", ", Table1[[#This Row],[Billing Zip/Postal Code]])</f>
        <v>5543 Armour Drive, Houston, TX, 77020</v>
      </c>
    </row>
    <row r="3941" spans="1:13" ht="15.6" hidden="1" x14ac:dyDescent="0.3">
      <c r="A3941" s="1" t="s">
        <v>11721</v>
      </c>
      <c r="B3941" s="1"/>
      <c r="C3941" s="1"/>
      <c r="D3941" s="1"/>
      <c r="E3941" s="1"/>
      <c r="F3941" s="1"/>
      <c r="G3941" s="1" t="s">
        <v>8</v>
      </c>
      <c r="H3941" s="2">
        <v>370</v>
      </c>
      <c r="I3941" s="1" t="s">
        <v>11722</v>
      </c>
      <c r="J3941" s="1" t="s">
        <v>11723</v>
      </c>
      <c r="K3941" s="1" t="s">
        <v>21</v>
      </c>
      <c r="L3941" s="1" t="s">
        <v>11724</v>
      </c>
      <c r="M3941" s="6" t="str">
        <f>_xlfn.CONCAT(Table1[[#This Row],[Billing Street]], ", ", Table1[[#This Row],[Billing City]], ", ", Table1[[#This Row],[Billing State/Province]], ", ", Table1[[#This Row],[Billing Zip/Postal Code]])</f>
        <v>2074 242nd Street, Marshalltown, IA, 50158</v>
      </c>
    </row>
    <row r="3942" spans="1:13" ht="15.6" hidden="1" x14ac:dyDescent="0.3">
      <c r="A3942" s="1" t="s">
        <v>11725</v>
      </c>
      <c r="B3942" s="1"/>
      <c r="C3942" s="1"/>
      <c r="D3942" s="1"/>
      <c r="E3942" s="1"/>
      <c r="F3942" s="1"/>
      <c r="G3942" s="1" t="s">
        <v>43</v>
      </c>
      <c r="H3942" s="2">
        <v>467</v>
      </c>
      <c r="I3942" s="1" t="s">
        <v>11726</v>
      </c>
      <c r="J3942" s="1" t="s">
        <v>11727</v>
      </c>
      <c r="K3942" s="1" t="s">
        <v>82</v>
      </c>
      <c r="L3942" s="1" t="s">
        <v>11728</v>
      </c>
      <c r="M3942" s="6" t="str">
        <f>_xlfn.CONCAT(Table1[[#This Row],[Billing Street]], ", ", Table1[[#This Row],[Billing City]], ", ", Table1[[#This Row],[Billing State/Province]], ", ", Table1[[#This Row],[Billing Zip/Postal Code]])</f>
        <v>101 Empire Mine road, Palmer, MI, 49871</v>
      </c>
    </row>
    <row r="3943" spans="1:13" ht="15.6" x14ac:dyDescent="0.3">
      <c r="A3943" s="1" t="s">
        <v>11729</v>
      </c>
      <c r="B3943" s="1"/>
      <c r="C3943" s="1"/>
      <c r="D3943" s="1"/>
      <c r="E3943" s="1"/>
      <c r="F3943" s="1"/>
      <c r="G3943" s="1" t="s">
        <v>24</v>
      </c>
      <c r="H3943" s="2">
        <v>66</v>
      </c>
      <c r="I3943" s="1" t="s">
        <v>11730</v>
      </c>
      <c r="J3943" s="1" t="s">
        <v>715</v>
      </c>
      <c r="K3943" s="1" t="s">
        <v>36</v>
      </c>
      <c r="L3943" s="1" t="s">
        <v>2957</v>
      </c>
      <c r="M3943" s="6" t="str">
        <f>_xlfn.CONCAT(Table1[[#This Row],[Billing Street]], ", ", Table1[[#This Row],[Billing City]], ", ", Table1[[#This Row],[Billing State/Province]], ", ", Table1[[#This Row],[Billing Zip/Postal Code]])</f>
        <v>8195 Kipling St, Pensacola, FL, 32514</v>
      </c>
    </row>
    <row r="3944" spans="1:13" ht="15.6" hidden="1" x14ac:dyDescent="0.3">
      <c r="A3944" s="1" t="s">
        <v>11731</v>
      </c>
      <c r="B3944" s="1"/>
      <c r="C3944" s="1"/>
      <c r="D3944" s="1"/>
      <c r="E3944" s="1"/>
      <c r="F3944" s="1"/>
      <c r="G3944" s="1" t="s">
        <v>8</v>
      </c>
      <c r="H3944" s="2">
        <v>401</v>
      </c>
      <c r="I3944" s="1" t="s">
        <v>11732</v>
      </c>
      <c r="J3944" s="1" t="s">
        <v>8485</v>
      </c>
      <c r="K3944" s="1" t="s">
        <v>21</v>
      </c>
      <c r="L3944" s="1" t="s">
        <v>11733</v>
      </c>
      <c r="M3944" s="6" t="str">
        <f>_xlfn.CONCAT(Table1[[#This Row],[Billing Street]], ", ", Table1[[#This Row],[Billing City]], ", ", Table1[[#This Row],[Billing State/Province]], ", ", Table1[[#This Row],[Billing Zip/Postal Code]])</f>
        <v>123 Fifth Street SE, Cedar Rapids, IA, 52401</v>
      </c>
    </row>
    <row r="3945" spans="1:13" ht="15.6" hidden="1" x14ac:dyDescent="0.3">
      <c r="A3945" s="1" t="s">
        <v>11734</v>
      </c>
      <c r="B3945" s="1"/>
      <c r="C3945" s="1"/>
      <c r="D3945" s="1"/>
      <c r="E3945" s="1"/>
      <c r="F3945" s="1"/>
      <c r="G3945" s="1" t="s">
        <v>205</v>
      </c>
      <c r="H3945" s="2">
        <v>44</v>
      </c>
      <c r="I3945" s="1" t="s">
        <v>11735</v>
      </c>
      <c r="J3945" s="1" t="s">
        <v>11212</v>
      </c>
      <c r="K3945" s="1" t="s">
        <v>479</v>
      </c>
      <c r="L3945" s="1" t="s">
        <v>11213</v>
      </c>
      <c r="M3945" s="6" t="str">
        <f>_xlfn.CONCAT(Table1[[#This Row],[Billing Street]], ", ", Table1[[#This Row],[Billing City]], ", ", Table1[[#This Row],[Billing State/Province]], ", ", Table1[[#This Row],[Billing Zip/Postal Code]])</f>
        <v>13805 North Arizona Blvd, Coolidge, AZ, 85128</v>
      </c>
    </row>
    <row r="3946" spans="1:13" ht="15.6" hidden="1" x14ac:dyDescent="0.3">
      <c r="A3946" s="1" t="s">
        <v>11736</v>
      </c>
      <c r="B3946" s="1"/>
      <c r="C3946" s="1"/>
      <c r="D3946" s="1"/>
      <c r="E3946" s="1"/>
      <c r="F3946" s="1"/>
      <c r="G3946" s="1" t="s">
        <v>8</v>
      </c>
      <c r="H3946" s="2">
        <v>361</v>
      </c>
      <c r="I3946" s="1" t="s">
        <v>11737</v>
      </c>
      <c r="J3946" s="1" t="s">
        <v>3205</v>
      </c>
      <c r="K3946" s="1" t="s">
        <v>21</v>
      </c>
      <c r="L3946" s="1" t="s">
        <v>7442</v>
      </c>
      <c r="M3946" s="6" t="str">
        <f>_xlfn.CONCAT(Table1[[#This Row],[Billing Street]], ", ", Table1[[#This Row],[Billing City]], ", ", Table1[[#This Row],[Billing State/Province]], ", ", Table1[[#This Row],[Billing Zip/Postal Code]])</f>
        <v>104 S Hazel Ave, Ames, IA, 50010</v>
      </c>
    </row>
    <row r="3947" spans="1:13" ht="15.6" hidden="1" x14ac:dyDescent="0.3">
      <c r="A3947" s="1" t="s">
        <v>11738</v>
      </c>
      <c r="B3947" s="1"/>
      <c r="C3947" s="1"/>
      <c r="D3947" s="1"/>
      <c r="E3947" s="1"/>
      <c r="F3947" s="1"/>
      <c r="G3947" s="1" t="s">
        <v>8</v>
      </c>
      <c r="H3947" s="2">
        <v>423</v>
      </c>
      <c r="I3947" s="1" t="s">
        <v>11739</v>
      </c>
      <c r="J3947" s="1" t="s">
        <v>11740</v>
      </c>
      <c r="K3947" s="1" t="s">
        <v>21</v>
      </c>
      <c r="L3947" s="1" t="s">
        <v>11741</v>
      </c>
      <c r="M3947" s="6" t="str">
        <f>_xlfn.CONCAT(Table1[[#This Row],[Billing Street]], ", ", Table1[[#This Row],[Billing City]], ", ", Table1[[#This Row],[Billing State/Province]], ", ", Table1[[#This Row],[Billing Zip/Postal Code]])</f>
        <v>521 N. Main, Allison, IA, 50602</v>
      </c>
    </row>
    <row r="3948" spans="1:13" ht="15.6" hidden="1" x14ac:dyDescent="0.3">
      <c r="A3948" s="1" t="s">
        <v>11742</v>
      </c>
      <c r="B3948" s="1"/>
      <c r="C3948" s="1"/>
      <c r="D3948" s="1"/>
      <c r="E3948" s="1"/>
      <c r="F3948" s="1"/>
      <c r="G3948" s="1" t="s">
        <v>8</v>
      </c>
      <c r="H3948" s="2">
        <v>415</v>
      </c>
      <c r="I3948" s="1" t="s">
        <v>11743</v>
      </c>
      <c r="J3948" s="1" t="s">
        <v>11744</v>
      </c>
      <c r="K3948" s="1" t="s">
        <v>21</v>
      </c>
      <c r="L3948" s="1" t="s">
        <v>11745</v>
      </c>
      <c r="M3948" s="6" t="str">
        <f>_xlfn.CONCAT(Table1[[#This Row],[Billing Street]], ", ", Table1[[#This Row],[Billing City]], ", ", Table1[[#This Row],[Billing State/Province]], ", ", Table1[[#This Row],[Billing Zip/Postal Code]])</f>
        <v>1 Utility Pkwy, Cedar Falls, IA, 50613</v>
      </c>
    </row>
    <row r="3949" spans="1:13" ht="15.6" hidden="1" x14ac:dyDescent="0.3">
      <c r="A3949" s="1" t="s">
        <v>11746</v>
      </c>
      <c r="B3949" s="1"/>
      <c r="C3949" s="1"/>
      <c r="D3949" s="1"/>
      <c r="E3949" s="1"/>
      <c r="F3949" s="1"/>
      <c r="G3949" s="1" t="s">
        <v>205</v>
      </c>
      <c r="H3949" s="2">
        <v>267</v>
      </c>
      <c r="I3949" s="1" t="s">
        <v>11747</v>
      </c>
      <c r="J3949" s="1" t="s">
        <v>4590</v>
      </c>
      <c r="K3949" s="1" t="s">
        <v>472</v>
      </c>
      <c r="L3949" s="1" t="s">
        <v>11748</v>
      </c>
      <c r="M3949" s="6" t="str">
        <f>_xlfn.CONCAT(Table1[[#This Row],[Billing Street]], ", ", Table1[[#This Row],[Billing City]], ", ", Table1[[#This Row],[Billing State/Province]], ", ", Table1[[#This Row],[Billing Zip/Postal Code]])</f>
        <v>4250 Telegraph St, Washington, UT, 84780</v>
      </c>
    </row>
    <row r="3950" spans="1:13" ht="15.6" hidden="1" x14ac:dyDescent="0.3">
      <c r="A3950" s="1" t="s">
        <v>11749</v>
      </c>
      <c r="B3950" s="1"/>
      <c r="C3950" s="1"/>
      <c r="D3950" s="1"/>
      <c r="E3950" s="1"/>
      <c r="F3950" s="1"/>
      <c r="G3950" s="1" t="s">
        <v>8</v>
      </c>
      <c r="H3950" s="2">
        <v>309</v>
      </c>
      <c r="I3950" s="1" t="s">
        <v>11750</v>
      </c>
      <c r="J3950" s="1" t="s">
        <v>5232</v>
      </c>
      <c r="K3950" s="1" t="s">
        <v>21</v>
      </c>
      <c r="L3950" s="1" t="s">
        <v>5766</v>
      </c>
      <c r="M3950" s="6" t="str">
        <f>_xlfn.CONCAT(Table1[[#This Row],[Billing Street]], ", ", Table1[[#This Row],[Billing City]], ", ", Table1[[#This Row],[Billing State/Province]], ", ", Table1[[#This Row],[Billing Zip/Postal Code]])</f>
        <v>22458 Highway 2, Bloomfield, IA, 52537</v>
      </c>
    </row>
    <row r="3951" spans="1:13" ht="15.6" x14ac:dyDescent="0.3">
      <c r="A3951" s="1" t="s">
        <v>11751</v>
      </c>
      <c r="B3951" s="1"/>
      <c r="C3951" s="1"/>
      <c r="D3951" s="1"/>
      <c r="E3951" s="1"/>
      <c r="F3951" s="1"/>
      <c r="G3951" s="1" t="s">
        <v>24</v>
      </c>
      <c r="H3951" s="2">
        <v>494</v>
      </c>
      <c r="I3951" s="1" t="s">
        <v>11752</v>
      </c>
      <c r="J3951" s="1" t="s">
        <v>11753</v>
      </c>
      <c r="K3951" s="1" t="s">
        <v>36</v>
      </c>
      <c r="L3951" s="1" t="s">
        <v>11754</v>
      </c>
      <c r="M3951" s="6" t="str">
        <f>_xlfn.CONCAT(Table1[[#This Row],[Billing Street]], ", ", Table1[[#This Row],[Billing City]], ", ", Table1[[#This Row],[Billing State/Province]], ", ", Table1[[#This Row],[Billing Zip/Postal Code]])</f>
        <v>1111 Kane Concourse Suite 518, Bay Harbor Islands, FL, 33154</v>
      </c>
    </row>
    <row r="3952" spans="1:13" ht="15.6" x14ac:dyDescent="0.3">
      <c r="A3952" s="1" t="s">
        <v>11755</v>
      </c>
      <c r="B3952" s="1"/>
      <c r="C3952" s="1"/>
      <c r="D3952" s="1"/>
      <c r="E3952" s="1"/>
      <c r="F3952" s="1"/>
      <c r="G3952" s="1" t="s">
        <v>24</v>
      </c>
      <c r="H3952" s="2">
        <v>69</v>
      </c>
      <c r="I3952" s="1" t="s">
        <v>11756</v>
      </c>
      <c r="J3952" s="1" t="s">
        <v>715</v>
      </c>
      <c r="K3952" s="1" t="s">
        <v>36</v>
      </c>
      <c r="L3952" s="1" t="s">
        <v>716</v>
      </c>
      <c r="M3952" s="6" t="str">
        <f>_xlfn.CONCAT(Table1[[#This Row],[Billing Street]], ", ", Table1[[#This Row],[Billing City]], ", ", Table1[[#This Row],[Billing State/Province]], ", ", Table1[[#This Row],[Billing Zip/Postal Code]])</f>
        <v>6 West 41st Lane, Pensacola, FL, 32505</v>
      </c>
    </row>
    <row r="3953" spans="1:13" ht="15.6" hidden="1" x14ac:dyDescent="0.3">
      <c r="A3953" s="1" t="s">
        <v>11757</v>
      </c>
      <c r="B3953" s="1"/>
      <c r="C3953" s="1"/>
      <c r="D3953" s="1"/>
      <c r="E3953" s="1"/>
      <c r="F3953" s="1"/>
      <c r="G3953" s="1" t="s">
        <v>8</v>
      </c>
      <c r="H3953" s="2">
        <v>6528</v>
      </c>
      <c r="I3953" s="1" t="s">
        <v>13</v>
      </c>
      <c r="J3953" s="1" t="s">
        <v>13</v>
      </c>
      <c r="K3953" s="1" t="s">
        <v>21</v>
      </c>
      <c r="L3953" s="1" t="s">
        <v>13</v>
      </c>
      <c r="M3953" s="6" t="str">
        <f>_xlfn.CONCAT(Table1[[#This Row],[Billing Street]], ", ", Table1[[#This Row],[Billing City]], ", ", Table1[[#This Row],[Billing State/Province]], ", ", Table1[[#This Row],[Billing Zip/Postal Code]])</f>
        <v xml:space="preserve">, , IA, </v>
      </c>
    </row>
    <row r="3954" spans="1:13" ht="15.6" hidden="1" x14ac:dyDescent="0.3">
      <c r="A3954" s="1" t="s">
        <v>11758</v>
      </c>
      <c r="B3954" s="1"/>
      <c r="C3954" s="1"/>
      <c r="D3954" s="1"/>
      <c r="E3954" s="1"/>
      <c r="F3954" s="1"/>
      <c r="G3954" s="1" t="s">
        <v>43</v>
      </c>
      <c r="H3954" s="2">
        <v>5776</v>
      </c>
      <c r="I3954" s="1" t="s">
        <v>9402</v>
      </c>
      <c r="J3954" s="1" t="s">
        <v>9403</v>
      </c>
      <c r="K3954" s="1" t="s">
        <v>241</v>
      </c>
      <c r="L3954" s="1" t="s">
        <v>11759</v>
      </c>
      <c r="M3954" s="6" t="str">
        <f>_xlfn.CONCAT(Table1[[#This Row],[Billing Street]], ", ", Table1[[#This Row],[Billing City]], ", ", Table1[[#This Row],[Billing State/Province]], ", ", Table1[[#This Row],[Billing Zip/Postal Code]])</f>
        <v>3 Almy Dr, Malvern, PA, 1935512</v>
      </c>
    </row>
    <row r="3955" spans="1:13" ht="15.6" hidden="1" x14ac:dyDescent="0.3">
      <c r="A3955" s="1" t="s">
        <v>11760</v>
      </c>
      <c r="B3955" s="1"/>
      <c r="C3955" s="1"/>
      <c r="D3955" s="1"/>
      <c r="E3955" s="1"/>
      <c r="F3955" s="1"/>
      <c r="G3955" s="1" t="s">
        <v>8</v>
      </c>
      <c r="H3955" s="2">
        <v>6528</v>
      </c>
      <c r="I3955" s="1" t="s">
        <v>13</v>
      </c>
      <c r="J3955" s="1" t="s">
        <v>13</v>
      </c>
      <c r="K3955" s="1" t="s">
        <v>21</v>
      </c>
      <c r="L3955" s="1" t="s">
        <v>13</v>
      </c>
      <c r="M3955" s="6" t="str">
        <f>_xlfn.CONCAT(Table1[[#This Row],[Billing Street]], ", ", Table1[[#This Row],[Billing City]], ", ", Table1[[#This Row],[Billing State/Province]], ", ", Table1[[#This Row],[Billing Zip/Postal Code]])</f>
        <v xml:space="preserve">, , IA, </v>
      </c>
    </row>
    <row r="3956" spans="1:13" ht="15.6" hidden="1" x14ac:dyDescent="0.3">
      <c r="A3956" s="1" t="s">
        <v>11761</v>
      </c>
      <c r="B3956" s="1"/>
      <c r="C3956" s="1"/>
      <c r="D3956" s="1"/>
      <c r="E3956" s="1"/>
      <c r="F3956" s="1"/>
      <c r="G3956" s="1" t="s">
        <v>8</v>
      </c>
      <c r="H3956" s="2">
        <v>158</v>
      </c>
      <c r="I3956" s="1" t="s">
        <v>11762</v>
      </c>
      <c r="J3956" s="1" t="s">
        <v>11763</v>
      </c>
      <c r="K3956" s="1" t="s">
        <v>554</v>
      </c>
      <c r="L3956" s="1" t="s">
        <v>11764</v>
      </c>
      <c r="M3956" s="6" t="str">
        <f>_xlfn.CONCAT(Table1[[#This Row],[Billing Street]], ", ", Table1[[#This Row],[Billing City]], ", ", Table1[[#This Row],[Billing State/Province]], ", ", Table1[[#This Row],[Billing Zip/Postal Code]])</f>
        <v>117A Dykstra Hall 1628 Claflin Road, Manhattan, KS, 66506-0903</v>
      </c>
    </row>
    <row r="3957" spans="1:13" ht="15.6" hidden="1" x14ac:dyDescent="0.3">
      <c r="A3957" s="1" t="s">
        <v>11765</v>
      </c>
      <c r="B3957" s="1"/>
      <c r="C3957" s="1"/>
      <c r="D3957" s="1"/>
      <c r="E3957" s="1"/>
      <c r="F3957" s="1"/>
      <c r="G3957" s="1" t="s">
        <v>8</v>
      </c>
      <c r="H3957" s="2">
        <v>161</v>
      </c>
      <c r="I3957" s="1" t="s">
        <v>11766</v>
      </c>
      <c r="J3957" s="1" t="s">
        <v>11377</v>
      </c>
      <c r="K3957" s="1" t="s">
        <v>554</v>
      </c>
      <c r="L3957" s="1" t="s">
        <v>11378</v>
      </c>
      <c r="M3957" s="6" t="str">
        <f>_xlfn.CONCAT(Table1[[#This Row],[Billing Street]], ", ", Table1[[#This Row],[Billing City]], ", ", Table1[[#This Row],[Billing State/Province]], ", ", Table1[[#This Row],[Billing Zip/Postal Code]])</f>
        <v>129 W Main St, Solomon, KS, 67480</v>
      </c>
    </row>
    <row r="3958" spans="1:13" ht="15.6" hidden="1" x14ac:dyDescent="0.3">
      <c r="A3958" s="1" t="s">
        <v>11767</v>
      </c>
      <c r="B3958" s="1"/>
      <c r="C3958" s="1"/>
      <c r="D3958" s="1"/>
      <c r="E3958" s="1"/>
      <c r="F3958" s="1"/>
      <c r="G3958" s="1" t="s">
        <v>8</v>
      </c>
      <c r="H3958" s="2">
        <v>81</v>
      </c>
      <c r="I3958" s="1" t="s">
        <v>11768</v>
      </c>
      <c r="J3958" s="1" t="s">
        <v>2120</v>
      </c>
      <c r="K3958" s="1" t="s">
        <v>554</v>
      </c>
      <c r="L3958" s="1" t="s">
        <v>2121</v>
      </c>
      <c r="M3958" s="6" t="str">
        <f>_xlfn.CONCAT(Table1[[#This Row],[Billing Street]], ", ", Table1[[#This Row],[Billing City]], ", ", Table1[[#This Row],[Billing State/Province]], ", ", Table1[[#This Row],[Billing Zip/Postal Code]])</f>
        <v>1013 N 4th St, Burlington, KS, 66839</v>
      </c>
    </row>
    <row r="3959" spans="1:13" ht="15.6" hidden="1" x14ac:dyDescent="0.3">
      <c r="A3959" s="1" t="s">
        <v>11769</v>
      </c>
      <c r="B3959" s="1"/>
      <c r="C3959" s="1"/>
      <c r="D3959" s="1"/>
      <c r="E3959" s="1"/>
      <c r="F3959" s="1"/>
      <c r="G3959" s="1" t="s">
        <v>8</v>
      </c>
      <c r="H3959" s="2">
        <v>45</v>
      </c>
      <c r="I3959" s="1" t="s">
        <v>11770</v>
      </c>
      <c r="J3959" s="1" t="s">
        <v>6521</v>
      </c>
      <c r="K3959" s="1" t="s">
        <v>554</v>
      </c>
      <c r="L3959" s="1" t="s">
        <v>6522</v>
      </c>
      <c r="M3959" s="6" t="str">
        <f>_xlfn.CONCAT(Table1[[#This Row],[Billing Street]], ", ", Table1[[#This Row],[Billing City]], ", ", Table1[[#This Row],[Billing State/Province]], ", ", Table1[[#This Row],[Billing Zip/Postal Code]])</f>
        <v>101 South Lincoln, Chanute, KS, 66720</v>
      </c>
    </row>
    <row r="3960" spans="1:13" ht="15.6" hidden="1" x14ac:dyDescent="0.3">
      <c r="A3960" s="1" t="s">
        <v>11771</v>
      </c>
      <c r="B3960" s="1"/>
      <c r="C3960" s="1"/>
      <c r="D3960" s="1"/>
      <c r="E3960" s="1"/>
      <c r="F3960" s="1"/>
      <c r="G3960" s="1" t="s">
        <v>8</v>
      </c>
      <c r="H3960" s="2">
        <v>107</v>
      </c>
      <c r="I3960" s="1" t="s">
        <v>11772</v>
      </c>
      <c r="J3960" s="1" t="s">
        <v>11773</v>
      </c>
      <c r="K3960" s="1" t="s">
        <v>554</v>
      </c>
      <c r="L3960" s="1" t="s">
        <v>11774</v>
      </c>
      <c r="M3960" s="6" t="str">
        <f>_xlfn.CONCAT(Table1[[#This Row],[Billing Street]], ", ", Table1[[#This Row],[Billing City]], ", ", Table1[[#This Row],[Billing State/Province]], ", ", Table1[[#This Row],[Billing Zip/Postal Code]])</f>
        <v>9th and Lincoln, Osawatomie, KS, 66064</v>
      </c>
    </row>
    <row r="3961" spans="1:13" ht="15.6" hidden="1" x14ac:dyDescent="0.3">
      <c r="A3961" s="1" t="s">
        <v>11775</v>
      </c>
      <c r="B3961" s="1"/>
      <c r="C3961" s="1"/>
      <c r="D3961" s="1"/>
      <c r="E3961" s="1"/>
      <c r="F3961" s="1"/>
      <c r="G3961" s="1" t="s">
        <v>8</v>
      </c>
      <c r="H3961" s="2">
        <v>154</v>
      </c>
      <c r="I3961" s="1" t="s">
        <v>11776</v>
      </c>
      <c r="J3961" s="1" t="s">
        <v>11777</v>
      </c>
      <c r="K3961" s="1" t="s">
        <v>554</v>
      </c>
      <c r="L3961" s="1" t="s">
        <v>11778</v>
      </c>
      <c r="M3961" s="6" t="str">
        <f>_xlfn.CONCAT(Table1[[#This Row],[Billing Street]], ", ", Table1[[#This Row],[Billing City]], ", ", Table1[[#This Row],[Billing State/Province]], ", ", Table1[[#This Row],[Billing Zip/Postal Code]])</f>
        <v>202 E Lincoln, Lindsborg, KS, 67456</v>
      </c>
    </row>
    <row r="3962" spans="1:13" ht="15.6" hidden="1" x14ac:dyDescent="0.3">
      <c r="A3962" s="1" t="s">
        <v>11779</v>
      </c>
      <c r="B3962" s="1"/>
      <c r="C3962" s="1"/>
      <c r="D3962" s="1"/>
      <c r="E3962" s="1"/>
      <c r="F3962" s="1"/>
      <c r="G3962" s="1" t="s">
        <v>8</v>
      </c>
      <c r="H3962" s="2">
        <v>388</v>
      </c>
      <c r="I3962" s="1" t="s">
        <v>11780</v>
      </c>
      <c r="J3962" s="1" t="s">
        <v>11781</v>
      </c>
      <c r="K3962" s="1" t="s">
        <v>21</v>
      </c>
      <c r="L3962" s="1" t="s">
        <v>11782</v>
      </c>
      <c r="M3962" s="6" t="str">
        <f>_xlfn.CONCAT(Table1[[#This Row],[Billing Street]], ", ", Table1[[#This Row],[Billing City]], ", ", Table1[[#This Row],[Billing State/Province]], ", ", Table1[[#This Row],[Billing Zip/Postal Code]])</f>
        <v>205 W. Main, Hinton, IA, 51024</v>
      </c>
    </row>
    <row r="3963" spans="1:13" ht="15.6" hidden="1" x14ac:dyDescent="0.3">
      <c r="A3963" s="1" t="s">
        <v>11783</v>
      </c>
      <c r="B3963" s="1"/>
      <c r="C3963" s="1"/>
      <c r="D3963" s="1"/>
      <c r="E3963" s="1"/>
      <c r="F3963" s="1"/>
      <c r="G3963" s="1" t="s">
        <v>8</v>
      </c>
      <c r="H3963" s="2">
        <v>444</v>
      </c>
      <c r="I3963" s="1" t="s">
        <v>11784</v>
      </c>
      <c r="J3963" s="1" t="s">
        <v>11785</v>
      </c>
      <c r="K3963" s="1" t="s">
        <v>21</v>
      </c>
      <c r="L3963" s="1" t="s">
        <v>11786</v>
      </c>
      <c r="M3963" s="6" t="str">
        <f>_xlfn.CONCAT(Table1[[#This Row],[Billing Street]], ", ", Table1[[#This Row],[Billing City]], ", ", Table1[[#This Row],[Billing State/Province]], ", ", Table1[[#This Row],[Billing Zip/Postal Code]])</f>
        <v>1 W Gillet, Preston, IA, 52069</v>
      </c>
    </row>
    <row r="3964" spans="1:13" ht="15.6" hidden="1" x14ac:dyDescent="0.3">
      <c r="A3964" s="1" t="s">
        <v>11787</v>
      </c>
      <c r="B3964" s="1"/>
      <c r="C3964" s="1"/>
      <c r="D3964" s="1"/>
      <c r="E3964" s="1"/>
      <c r="F3964" s="1"/>
      <c r="G3964" s="1" t="s">
        <v>43</v>
      </c>
      <c r="H3964" s="2">
        <v>214</v>
      </c>
      <c r="I3964" s="1" t="s">
        <v>11788</v>
      </c>
      <c r="J3964" s="1" t="s">
        <v>3184</v>
      </c>
      <c r="K3964" s="1" t="s">
        <v>45</v>
      </c>
      <c r="L3964" s="1" t="s">
        <v>11789</v>
      </c>
      <c r="M3964" s="6" t="str">
        <f>_xlfn.CONCAT(Table1[[#This Row],[Billing Street]], ", ", Table1[[#This Row],[Billing City]], ", ", Table1[[#This Row],[Billing State/Province]], ", ", Table1[[#This Row],[Billing Zip/Postal Code]])</f>
        <v>3888 Stillwell Beckett Rd, Oxford, OH, 45056</v>
      </c>
    </row>
    <row r="3965" spans="1:13" ht="15.6" hidden="1" x14ac:dyDescent="0.3">
      <c r="A3965" s="1" t="s">
        <v>11790</v>
      </c>
      <c r="B3965" s="1"/>
      <c r="C3965" s="1"/>
      <c r="D3965" s="1"/>
      <c r="E3965" s="1"/>
      <c r="F3965" s="1"/>
      <c r="G3965" s="1" t="s">
        <v>43</v>
      </c>
      <c r="H3965" s="2">
        <v>54</v>
      </c>
      <c r="I3965" s="1" t="s">
        <v>11791</v>
      </c>
      <c r="J3965" s="1" t="s">
        <v>11792</v>
      </c>
      <c r="K3965" s="1" t="s">
        <v>45</v>
      </c>
      <c r="L3965" s="1" t="s">
        <v>11793</v>
      </c>
      <c r="M3965" s="6" t="str">
        <f>_xlfn.CONCAT(Table1[[#This Row],[Billing Street]], ", ", Table1[[#This Row],[Billing City]], ", ", Table1[[#This Row],[Billing State/Province]], ", ", Table1[[#This Row],[Billing Zip/Postal Code]])</f>
        <v>3325 Middle Road, Ashtabula, OH, 44404</v>
      </c>
    </row>
    <row r="3966" spans="1:13" ht="15.6" hidden="1" x14ac:dyDescent="0.3">
      <c r="A3966" s="1" t="s">
        <v>11794</v>
      </c>
      <c r="B3966" s="1"/>
      <c r="C3966" s="1"/>
      <c r="D3966" s="1"/>
      <c r="E3966" s="1"/>
      <c r="F3966" s="1"/>
      <c r="G3966" s="1" t="s">
        <v>8</v>
      </c>
      <c r="H3966" s="2">
        <v>425</v>
      </c>
      <c r="I3966" s="1" t="s">
        <v>11795</v>
      </c>
      <c r="J3966" s="1" t="s">
        <v>11796</v>
      </c>
      <c r="K3966" s="1" t="s">
        <v>21</v>
      </c>
      <c r="L3966" s="1" t="s">
        <v>11797</v>
      </c>
      <c r="M3966" s="6" t="str">
        <f>_xlfn.CONCAT(Table1[[#This Row],[Billing Street]], ", ", Table1[[#This Row],[Billing City]], ", ", Table1[[#This Row],[Billing State/Province]], ", ", Table1[[#This Row],[Billing Zip/Postal Code]])</f>
        <v>102 Main St, Sanborn, IA, 51248</v>
      </c>
    </row>
    <row r="3967" spans="1:13" ht="15.6" hidden="1" x14ac:dyDescent="0.3">
      <c r="A3967" s="1" t="s">
        <v>11798</v>
      </c>
      <c r="B3967" s="1"/>
      <c r="C3967" s="1"/>
      <c r="D3967" s="1"/>
      <c r="E3967" s="1"/>
      <c r="F3967" s="1"/>
      <c r="G3967" s="1" t="s">
        <v>43</v>
      </c>
      <c r="H3967" s="2">
        <v>5776</v>
      </c>
      <c r="I3967" s="1" t="s">
        <v>13</v>
      </c>
      <c r="J3967" s="1" t="s">
        <v>13</v>
      </c>
      <c r="K3967" s="1" t="s">
        <v>45</v>
      </c>
      <c r="L3967" s="1" t="s">
        <v>13</v>
      </c>
      <c r="M3967" s="6" t="str">
        <f>_xlfn.CONCAT(Table1[[#This Row],[Billing Street]], ", ", Table1[[#This Row],[Billing City]], ", ", Table1[[#This Row],[Billing State/Province]], ", ", Table1[[#This Row],[Billing Zip/Postal Code]])</f>
        <v xml:space="preserve">, , OH, </v>
      </c>
    </row>
    <row r="3968" spans="1:13" ht="15.6" hidden="1" x14ac:dyDescent="0.3">
      <c r="A3968" s="1" t="s">
        <v>11799</v>
      </c>
      <c r="B3968" s="1"/>
      <c r="C3968" s="1"/>
      <c r="D3968" s="1"/>
      <c r="E3968" s="1"/>
      <c r="F3968" s="1"/>
      <c r="G3968" s="1" t="s">
        <v>43</v>
      </c>
      <c r="H3968" s="2">
        <v>77</v>
      </c>
      <c r="I3968" s="1" t="s">
        <v>11800</v>
      </c>
      <c r="J3968" s="1" t="s">
        <v>11801</v>
      </c>
      <c r="K3968" s="1" t="s">
        <v>45</v>
      </c>
      <c r="L3968" s="1" t="s">
        <v>11802</v>
      </c>
      <c r="M3968" s="6" t="str">
        <f>_xlfn.CONCAT(Table1[[#This Row],[Billing Street]], ", ", Table1[[#This Row],[Billing City]], ", ", Table1[[#This Row],[Billing State/Province]], ", ", Table1[[#This Row],[Billing Zip/Postal Code]])</f>
        <v>350 Stump Pike Road, Attica, OH, 44807</v>
      </c>
    </row>
    <row r="3969" spans="1:13" ht="15.6" x14ac:dyDescent="0.3">
      <c r="A3969" s="1" t="s">
        <v>11803</v>
      </c>
      <c r="B3969" s="1"/>
      <c r="C3969" s="1"/>
      <c r="D3969" s="1"/>
      <c r="E3969" s="1"/>
      <c r="F3969" s="1"/>
      <c r="G3969" s="1" t="s">
        <v>24</v>
      </c>
      <c r="H3969" s="2">
        <v>155</v>
      </c>
      <c r="I3969" s="1" t="s">
        <v>11804</v>
      </c>
      <c r="J3969" s="1" t="s">
        <v>542</v>
      </c>
      <c r="K3969" s="1" t="s">
        <v>26</v>
      </c>
      <c r="L3969" s="1" t="s">
        <v>2045</v>
      </c>
      <c r="M3969" s="6" t="str">
        <f>_xlfn.CONCAT(Table1[[#This Row],[Billing Street]], ", ", Table1[[#This Row],[Billing City]], ", ", Table1[[#This Row],[Billing State/Province]], ", ", Table1[[#This Row],[Billing Zip/Postal Code]])</f>
        <v>3364 Washington Streer, Alexander City, AL, 35010</v>
      </c>
    </row>
    <row r="3970" spans="1:13" ht="15.6" hidden="1" x14ac:dyDescent="0.3">
      <c r="A3970" s="1" t="s">
        <v>11805</v>
      </c>
      <c r="B3970" s="1"/>
      <c r="C3970" s="1"/>
      <c r="D3970" s="1"/>
      <c r="E3970" s="1"/>
      <c r="F3970" s="1"/>
      <c r="G3970" s="1" t="s">
        <v>8</v>
      </c>
      <c r="H3970" s="2">
        <v>166</v>
      </c>
      <c r="I3970" s="1" t="s">
        <v>11806</v>
      </c>
      <c r="J3970" s="1" t="s">
        <v>11807</v>
      </c>
      <c r="K3970" s="1" t="s">
        <v>11</v>
      </c>
      <c r="L3970" s="1" t="s">
        <v>11808</v>
      </c>
      <c r="M3970" s="6" t="str">
        <f>_xlfn.CONCAT(Table1[[#This Row],[Billing Street]], ", ", Table1[[#This Row],[Billing City]], ", ", Table1[[#This Row],[Billing State/Province]], ", ", Table1[[#This Row],[Billing Zip/Postal Code]])</f>
        <v>9525 Ne 89Th St, Kansas CIty, MO, 64157</v>
      </c>
    </row>
    <row r="3971" spans="1:13" ht="15.6" hidden="1" x14ac:dyDescent="0.3">
      <c r="A3971" s="1" t="s">
        <v>11809</v>
      </c>
      <c r="B3971" s="1"/>
      <c r="C3971" s="1"/>
      <c r="D3971" s="1"/>
      <c r="E3971" s="1"/>
      <c r="F3971" s="1"/>
      <c r="G3971" s="1" t="s">
        <v>43</v>
      </c>
      <c r="H3971" s="2">
        <v>148</v>
      </c>
      <c r="I3971" s="1" t="s">
        <v>11810</v>
      </c>
      <c r="J3971" s="1" t="s">
        <v>11811</v>
      </c>
      <c r="K3971" s="1" t="s">
        <v>45</v>
      </c>
      <c r="L3971" s="1" t="s">
        <v>11812</v>
      </c>
      <c r="M3971" s="6" t="str">
        <f>_xlfn.CONCAT(Table1[[#This Row],[Billing Street]], ", ", Table1[[#This Row],[Billing City]], ", ", Table1[[#This Row],[Billing State/Province]], ", ", Table1[[#This Row],[Billing Zip/Postal Code]])</f>
        <v>29371 Wheelabout Road, McArthur, OH, 45651</v>
      </c>
    </row>
    <row r="3972" spans="1:13" ht="15.6" hidden="1" x14ac:dyDescent="0.3">
      <c r="A3972" s="1" t="s">
        <v>11813</v>
      </c>
      <c r="B3972" s="1"/>
      <c r="C3972" s="1"/>
      <c r="D3972" s="1"/>
      <c r="E3972" s="1"/>
      <c r="F3972" s="1"/>
      <c r="G3972" s="1" t="s">
        <v>54</v>
      </c>
      <c r="H3972" s="2">
        <v>1002</v>
      </c>
      <c r="I3972" s="1" t="s">
        <v>11814</v>
      </c>
      <c r="J3972" s="1" t="s">
        <v>11815</v>
      </c>
      <c r="K3972" s="1" t="s">
        <v>405</v>
      </c>
      <c r="L3972" s="1" t="s">
        <v>11816</v>
      </c>
      <c r="M3972" s="6" t="str">
        <f>_xlfn.CONCAT(Table1[[#This Row],[Billing Street]], ", ", Table1[[#This Row],[Billing City]], ", ", Table1[[#This Row],[Billing State/Province]], ", ", Table1[[#This Row],[Billing Zip/Postal Code]])</f>
        <v>104 Hooker Rd, Sequim, WA, 98382</v>
      </c>
    </row>
    <row r="3973" spans="1:13" ht="15.6" hidden="1" x14ac:dyDescent="0.3">
      <c r="A3973" s="1" t="s">
        <v>11817</v>
      </c>
      <c r="B3973" s="1"/>
      <c r="C3973" s="1"/>
      <c r="D3973" s="1"/>
      <c r="E3973" s="1"/>
      <c r="F3973" s="1"/>
      <c r="G3973" s="1" t="s">
        <v>54</v>
      </c>
      <c r="H3973" s="2">
        <v>779</v>
      </c>
      <c r="I3973" s="1" t="s">
        <v>11818</v>
      </c>
      <c r="J3973" s="1" t="s">
        <v>11819</v>
      </c>
      <c r="K3973" s="1" t="s">
        <v>2254</v>
      </c>
      <c r="L3973" s="1" t="s">
        <v>11820</v>
      </c>
      <c r="M3973" s="6" t="str">
        <f>_xlfn.CONCAT(Table1[[#This Row],[Billing Street]], ", ", Table1[[#This Row],[Billing City]], ", ", Table1[[#This Row],[Billing State/Province]], ", ", Table1[[#This Row],[Billing Zip/Postal Code]])</f>
        <v>2408 Cove Ave, La Grande, OR, 97850</v>
      </c>
    </row>
    <row r="3974" spans="1:13" ht="15.6" hidden="1" x14ac:dyDescent="0.3">
      <c r="A3974" s="1" t="s">
        <v>11821</v>
      </c>
      <c r="B3974" s="1"/>
      <c r="C3974" s="1"/>
      <c r="D3974" s="1"/>
      <c r="E3974" s="1"/>
      <c r="F3974" s="1"/>
      <c r="G3974" s="1" t="s">
        <v>54</v>
      </c>
      <c r="H3974" s="2">
        <v>903</v>
      </c>
      <c r="I3974" s="1" t="s">
        <v>11822</v>
      </c>
      <c r="J3974" s="1" t="s">
        <v>11823</v>
      </c>
      <c r="K3974" s="1" t="s">
        <v>405</v>
      </c>
      <c r="L3974" s="1" t="s">
        <v>11824</v>
      </c>
      <c r="M3974" s="6" t="str">
        <f>_xlfn.CONCAT(Table1[[#This Row],[Billing Street]], ", ", Table1[[#This Row],[Billing City]], ", ", Table1[[#This Row],[Billing State/Province]], ", ", Table1[[#This Row],[Billing Zip/Postal Code]])</f>
        <v>321 NW Pacific Ave, Chehalis, WA 98532, Chehalis, WA, 98532</v>
      </c>
    </row>
    <row r="3975" spans="1:13" ht="15.6" hidden="1" x14ac:dyDescent="0.3">
      <c r="A3975" s="1" t="s">
        <v>11825</v>
      </c>
      <c r="B3975" s="1"/>
      <c r="C3975" s="1"/>
      <c r="D3975" s="1"/>
      <c r="E3975" s="1"/>
      <c r="F3975" s="1"/>
      <c r="G3975" s="1" t="s">
        <v>54</v>
      </c>
      <c r="H3975" s="2">
        <v>736</v>
      </c>
      <c r="I3975" s="1" t="s">
        <v>11826</v>
      </c>
      <c r="J3975" s="1" t="s">
        <v>418</v>
      </c>
      <c r="K3975" s="1" t="s">
        <v>2254</v>
      </c>
      <c r="L3975" s="1" t="s">
        <v>11827</v>
      </c>
      <c r="M3975" s="6" t="str">
        <f>_xlfn.CONCAT(Table1[[#This Row],[Billing Street]], ", ", Table1[[#This Row],[Billing City]], ", ", Table1[[#This Row],[Billing State/Province]], ", ", Table1[[#This Row],[Billing Zip/Postal Code]])</f>
        <v>250 A Street, PO Box 300, Springfield, OR, 97477</v>
      </c>
    </row>
    <row r="3976" spans="1:13" ht="15.6" hidden="1" x14ac:dyDescent="0.3">
      <c r="A3976" s="1" t="s">
        <v>11828</v>
      </c>
      <c r="B3976" s="1"/>
      <c r="C3976" s="1"/>
      <c r="D3976" s="1"/>
      <c r="E3976" s="1"/>
      <c r="F3976" s="1"/>
      <c r="G3976" s="1" t="s">
        <v>54</v>
      </c>
      <c r="H3976" s="2">
        <v>946</v>
      </c>
      <c r="I3976" s="1" t="s">
        <v>11829</v>
      </c>
      <c r="J3976" s="1" t="s">
        <v>6606</v>
      </c>
      <c r="K3976" s="1" t="s">
        <v>405</v>
      </c>
      <c r="L3976" s="1" t="s">
        <v>6607</v>
      </c>
      <c r="M3976" s="6" t="str">
        <f>_xlfn.CONCAT(Table1[[#This Row],[Billing Street]], ", ", Table1[[#This Row],[Billing City]], ", ", Table1[[#This Row],[Billing State/Province]], ", ", Table1[[#This Row],[Billing Zip/Postal Code]])</f>
        <v>2621 E Johns Prairie Rd, Shelton, WA, 98584</v>
      </c>
    </row>
    <row r="3977" spans="1:13" ht="15.6" hidden="1" x14ac:dyDescent="0.3">
      <c r="A3977" s="1" t="s">
        <v>11830</v>
      </c>
      <c r="B3977" s="1"/>
      <c r="C3977" s="1"/>
      <c r="D3977" s="1"/>
      <c r="E3977" s="1"/>
      <c r="F3977" s="1"/>
      <c r="G3977" s="1" t="s">
        <v>43</v>
      </c>
      <c r="H3977" s="2">
        <v>5776</v>
      </c>
      <c r="I3977" s="1" t="s">
        <v>13</v>
      </c>
      <c r="J3977" s="1" t="s">
        <v>13</v>
      </c>
      <c r="K3977" s="1" t="s">
        <v>45</v>
      </c>
      <c r="L3977" s="1" t="s">
        <v>13</v>
      </c>
      <c r="M3977" s="6" t="str">
        <f>_xlfn.CONCAT(Table1[[#This Row],[Billing Street]], ", ", Table1[[#This Row],[Billing City]], ", ", Table1[[#This Row],[Billing State/Province]], ", ", Table1[[#This Row],[Billing Zip/Postal Code]])</f>
        <v xml:space="preserve">, , OH, </v>
      </c>
    </row>
    <row r="3978" spans="1:13" ht="15.6" hidden="1" x14ac:dyDescent="0.3">
      <c r="A3978" s="1" t="s">
        <v>11831</v>
      </c>
      <c r="B3978" s="1"/>
      <c r="C3978" s="1"/>
      <c r="D3978" s="1"/>
      <c r="E3978" s="1"/>
      <c r="F3978" s="1"/>
      <c r="G3978" s="1" t="s">
        <v>54</v>
      </c>
      <c r="H3978" s="2">
        <v>936</v>
      </c>
      <c r="I3978" s="1" t="s">
        <v>11832</v>
      </c>
      <c r="J3978" s="1" t="s">
        <v>1818</v>
      </c>
      <c r="K3978" s="1" t="s">
        <v>405</v>
      </c>
      <c r="L3978" s="1" t="s">
        <v>6587</v>
      </c>
      <c r="M3978" s="6" t="str">
        <f>_xlfn.CONCAT(Table1[[#This Row],[Billing Street]], ", ", Table1[[#This Row],[Billing City]], ", ", Table1[[#This Row],[Billing State/Province]], ", ", Table1[[#This Row],[Billing Zip/Postal Code]])</f>
        <v>10110 W Hallett Road, Spokane, WA, 99224</v>
      </c>
    </row>
    <row r="3979" spans="1:13" ht="15.6" hidden="1" x14ac:dyDescent="0.3">
      <c r="A3979" s="1" t="s">
        <v>11833</v>
      </c>
      <c r="B3979" s="1"/>
      <c r="C3979" s="1"/>
      <c r="D3979" s="1"/>
      <c r="E3979" s="1"/>
      <c r="F3979" s="1"/>
      <c r="G3979" s="1" t="s">
        <v>8</v>
      </c>
      <c r="H3979" s="2">
        <v>260</v>
      </c>
      <c r="I3979" s="1" t="s">
        <v>11834</v>
      </c>
      <c r="J3979" s="1" t="s">
        <v>2177</v>
      </c>
      <c r="K3979" s="1" t="s">
        <v>11835</v>
      </c>
      <c r="L3979" s="1" t="s">
        <v>2179</v>
      </c>
      <c r="M3979" s="6" t="str">
        <f>_xlfn.CONCAT(Table1[[#This Row],[Billing Street]], ", ", Table1[[#This Row],[Billing City]], ", ", Table1[[#This Row],[Billing State/Province]], ", ", Table1[[#This Row],[Billing Zip/Postal Code]])</f>
        <v>623 E Carpthage, Meade, co, 67864</v>
      </c>
    </row>
    <row r="3980" spans="1:13" ht="15.6" hidden="1" x14ac:dyDescent="0.3">
      <c r="A3980" s="1" t="s">
        <v>11836</v>
      </c>
      <c r="B3980" s="1"/>
      <c r="C3980" s="1"/>
      <c r="D3980" s="1"/>
      <c r="E3980" s="1"/>
      <c r="F3980" s="1"/>
      <c r="G3980" s="1" t="s">
        <v>8</v>
      </c>
      <c r="H3980" s="2">
        <v>126</v>
      </c>
      <c r="I3980" s="1" t="s">
        <v>11837</v>
      </c>
      <c r="J3980" s="1" t="s">
        <v>418</v>
      </c>
      <c r="K3980" s="1" t="s">
        <v>11</v>
      </c>
      <c r="L3980" s="1" t="s">
        <v>11838</v>
      </c>
      <c r="M3980" s="6" t="str">
        <f>_xlfn.CONCAT(Table1[[#This Row],[Billing Street]], ", ", Table1[[#This Row],[Billing City]], ", ", Table1[[#This Row],[Billing State/Province]], ", ", Table1[[#This Row],[Billing Zip/Postal Code]])</f>
        <v>2814 S Golden, Springfield, MO, 65801</v>
      </c>
    </row>
    <row r="3981" spans="1:13" ht="15.6" hidden="1" x14ac:dyDescent="0.3">
      <c r="A3981" s="1" t="s">
        <v>11839</v>
      </c>
      <c r="B3981" s="1"/>
      <c r="C3981" s="1"/>
      <c r="D3981" s="1"/>
      <c r="E3981" s="1"/>
      <c r="F3981" s="1"/>
      <c r="G3981" s="1" t="s">
        <v>8</v>
      </c>
      <c r="H3981" s="2">
        <v>404</v>
      </c>
      <c r="I3981" s="1" t="s">
        <v>11840</v>
      </c>
      <c r="J3981" s="1" t="s">
        <v>8464</v>
      </c>
      <c r="K3981" s="1" t="s">
        <v>21</v>
      </c>
      <c r="L3981" s="1" t="s">
        <v>11841</v>
      </c>
      <c r="M3981" s="6" t="str">
        <f>_xlfn.CONCAT(Table1[[#This Row],[Billing Street]], ", ", Table1[[#This Row],[Billing City]], ", ", Table1[[#This Row],[Billing State/Province]], ", ", Table1[[#This Row],[Billing Zip/Postal Code]])</f>
        <v>272 N 3rd St, Laurens, IA, 50554</v>
      </c>
    </row>
    <row r="3982" spans="1:13" ht="15.6" hidden="1" x14ac:dyDescent="0.3">
      <c r="A3982" s="1" t="s">
        <v>11842</v>
      </c>
      <c r="B3982" s="1"/>
      <c r="C3982" s="1"/>
      <c r="D3982" s="1"/>
      <c r="E3982" s="1"/>
      <c r="F3982" s="1"/>
      <c r="G3982" s="1" t="s">
        <v>54</v>
      </c>
      <c r="H3982" s="2">
        <v>754</v>
      </c>
      <c r="I3982" s="1" t="s">
        <v>11843</v>
      </c>
      <c r="J3982" s="1" t="s">
        <v>9443</v>
      </c>
      <c r="K3982" s="1" t="s">
        <v>2254</v>
      </c>
      <c r="L3982" s="1" t="s">
        <v>11844</v>
      </c>
      <c r="M3982" s="6" t="str">
        <f>_xlfn.CONCAT(Table1[[#This Row],[Billing Street]], ", ", Table1[[#This Row],[Billing City]], ", ", Table1[[#This Row],[Billing State/Province]], ", ", Table1[[#This Row],[Billing Zip/Postal Code]])</f>
        <v>966 Highway 101, Florence, OR, 97439</v>
      </c>
    </row>
    <row r="3983" spans="1:13" ht="15.6" hidden="1" x14ac:dyDescent="0.3">
      <c r="A3983" s="1" t="s">
        <v>11845</v>
      </c>
      <c r="B3983" s="1"/>
      <c r="C3983" s="1"/>
      <c r="D3983" s="1"/>
      <c r="E3983" s="1"/>
      <c r="F3983" s="1"/>
      <c r="G3983" s="1" t="s">
        <v>8</v>
      </c>
      <c r="H3983" s="2">
        <v>316</v>
      </c>
      <c r="I3983" s="1" t="s">
        <v>13</v>
      </c>
      <c r="J3983" s="1" t="s">
        <v>11846</v>
      </c>
      <c r="K3983" s="1" t="s">
        <v>11</v>
      </c>
      <c r="L3983" s="1" t="s">
        <v>11847</v>
      </c>
      <c r="M3983" s="6" t="str">
        <f>_xlfn.CONCAT(Table1[[#This Row],[Billing Street]], ", ", Table1[[#This Row],[Billing City]], ", ", Table1[[#This Row],[Billing State/Province]], ", ", Table1[[#This Row],[Billing Zip/Postal Code]])</f>
        <v>, Chesterfield, MO, 63107</v>
      </c>
    </row>
    <row r="3984" spans="1:13" ht="15.6" hidden="1" x14ac:dyDescent="0.3">
      <c r="A3984" s="1" t="s">
        <v>11848</v>
      </c>
      <c r="B3984" s="1"/>
      <c r="C3984" s="1"/>
      <c r="D3984" s="1"/>
      <c r="E3984" s="1"/>
      <c r="F3984" s="1"/>
      <c r="G3984" s="1" t="s">
        <v>43</v>
      </c>
      <c r="H3984" s="2">
        <v>22</v>
      </c>
      <c r="I3984" s="1" t="s">
        <v>11849</v>
      </c>
      <c r="J3984" s="1" t="s">
        <v>10416</v>
      </c>
      <c r="K3984" s="1" t="s">
        <v>45</v>
      </c>
      <c r="L3984" s="1" t="s">
        <v>10417</v>
      </c>
      <c r="M3984" s="6" t="str">
        <f>_xlfn.CONCAT(Table1[[#This Row],[Billing Street]], ", ", Table1[[#This Row],[Billing City]], ", ", Table1[[#This Row],[Billing State/Province]], ", ", Table1[[#This Row],[Billing Zip/Postal Code]])</f>
        <v>37611 Euclid Ave, Willoughby, OH, 44094</v>
      </c>
    </row>
    <row r="3985" spans="1:13" ht="15.6" hidden="1" x14ac:dyDescent="0.3">
      <c r="A3985" s="1" t="s">
        <v>11850</v>
      </c>
      <c r="B3985" s="1"/>
      <c r="C3985" s="1"/>
      <c r="D3985" s="1"/>
      <c r="E3985" s="1"/>
      <c r="F3985" s="1"/>
      <c r="G3985" s="1" t="s">
        <v>54</v>
      </c>
      <c r="H3985" s="2">
        <v>872</v>
      </c>
      <c r="I3985" s="1" t="s">
        <v>11851</v>
      </c>
      <c r="J3985" s="1" t="s">
        <v>6207</v>
      </c>
      <c r="K3985" s="1" t="s">
        <v>405</v>
      </c>
      <c r="L3985" s="1" t="s">
        <v>11852</v>
      </c>
      <c r="M3985" s="6" t="str">
        <f>_xlfn.CONCAT(Table1[[#This Row],[Billing Street]], ", ", Table1[[#This Row],[Billing City]], ", ", Table1[[#This Row],[Billing State/Province]], ", ", Table1[[#This Row],[Billing Zip/Postal Code]])</f>
        <v>961 12th Ave, Longview, WA 98632, Longview, WA, 98632</v>
      </c>
    </row>
    <row r="3986" spans="1:13" ht="15.6" hidden="1" x14ac:dyDescent="0.3">
      <c r="A3986" s="1" t="s">
        <v>11853</v>
      </c>
      <c r="B3986" s="1"/>
      <c r="C3986" s="1"/>
      <c r="D3986" s="1"/>
      <c r="E3986" s="1"/>
      <c r="F3986" s="1"/>
      <c r="G3986" s="1" t="s">
        <v>54</v>
      </c>
      <c r="H3986" s="2">
        <v>931</v>
      </c>
      <c r="I3986" s="1" t="s">
        <v>11854</v>
      </c>
      <c r="J3986" s="1" t="s">
        <v>11855</v>
      </c>
      <c r="K3986" s="1" t="s">
        <v>405</v>
      </c>
      <c r="L3986" s="1" t="s">
        <v>11856</v>
      </c>
      <c r="M3986" s="6" t="str">
        <f>_xlfn.CONCAT(Table1[[#This Row],[Billing Street]], ", ", Table1[[#This Row],[Billing City]], ", ", Table1[[#This Row],[Billing State/Province]], ", ", Table1[[#This Row],[Billing Zip/Postal Code]])</f>
        <v>327 N Wenatchee Ave, Wenatchee, WA, 98801</v>
      </c>
    </row>
    <row r="3987" spans="1:13" ht="15.6" hidden="1" x14ac:dyDescent="0.3">
      <c r="A3987" s="1" t="s">
        <v>11857</v>
      </c>
      <c r="B3987" s="1"/>
      <c r="C3987" s="1"/>
      <c r="D3987" s="1"/>
      <c r="E3987" s="1"/>
      <c r="F3987" s="1"/>
      <c r="G3987" s="1" t="s">
        <v>8</v>
      </c>
      <c r="H3987" s="2">
        <v>400</v>
      </c>
      <c r="I3987" s="1" t="s">
        <v>11858</v>
      </c>
      <c r="J3987" s="1" t="s">
        <v>11859</v>
      </c>
      <c r="K3987" s="1" t="s">
        <v>21</v>
      </c>
      <c r="L3987" s="1" t="s">
        <v>11860</v>
      </c>
      <c r="M3987" s="6" t="str">
        <f>_xlfn.CONCAT(Table1[[#This Row],[Billing Street]], ", ", Table1[[#This Row],[Billing City]], ", ", Table1[[#This Row],[Billing State/Province]], ", ", Table1[[#This Row],[Billing Zip/Postal Code]])</f>
        <v>8 W 2nd St, Remsen, IA, 51050</v>
      </c>
    </row>
    <row r="3988" spans="1:13" ht="15.6" hidden="1" x14ac:dyDescent="0.3">
      <c r="A3988" s="1" t="s">
        <v>11861</v>
      </c>
      <c r="B3988" s="1"/>
      <c r="C3988" s="1"/>
      <c r="D3988" s="1"/>
      <c r="E3988" s="1"/>
      <c r="F3988" s="1"/>
      <c r="G3988" s="1" t="s">
        <v>43</v>
      </c>
      <c r="H3988" s="2">
        <v>165</v>
      </c>
      <c r="I3988" s="1" t="s">
        <v>11862</v>
      </c>
      <c r="J3988" s="1" t="s">
        <v>11863</v>
      </c>
      <c r="K3988" s="1" t="s">
        <v>45</v>
      </c>
      <c r="L3988" s="1" t="s">
        <v>11864</v>
      </c>
      <c r="M3988" s="6" t="str">
        <f>_xlfn.CONCAT(Table1[[#This Row],[Billing Street]], ", ", Table1[[#This Row],[Billing City]], ", ", Table1[[#This Row],[Billing State/Province]], ", ", Table1[[#This Row],[Billing Zip/Postal Code]])</f>
        <v>555 Streine Dr., New Bremen, OH, 45869</v>
      </c>
    </row>
    <row r="3989" spans="1:13" ht="15.6" hidden="1" x14ac:dyDescent="0.3">
      <c r="A3989" s="1" t="s">
        <v>11865</v>
      </c>
      <c r="B3989" s="1"/>
      <c r="C3989" s="1"/>
      <c r="D3989" s="1"/>
      <c r="E3989" s="1"/>
      <c r="F3989" s="1"/>
      <c r="G3989" s="1" t="s">
        <v>54</v>
      </c>
      <c r="H3989" s="2">
        <v>20</v>
      </c>
      <c r="I3989" s="1" t="s">
        <v>11866</v>
      </c>
      <c r="J3989" s="1" t="s">
        <v>11867</v>
      </c>
      <c r="K3989" s="1" t="s">
        <v>57</v>
      </c>
      <c r="L3989" s="1" t="s">
        <v>11868</v>
      </c>
      <c r="M3989" s="6" t="str">
        <f>_xlfn.CONCAT(Table1[[#This Row],[Billing Street]], ", ", Table1[[#This Row],[Billing City]], ", ", Table1[[#This Row],[Billing State/Province]], ", ", Table1[[#This Row],[Billing Zip/Postal Code]])</f>
        <v>809 N Angeleno Ave., Azusa, CA, 91702</v>
      </c>
    </row>
    <row r="3990" spans="1:13" ht="15.6" hidden="1" x14ac:dyDescent="0.3">
      <c r="A3990" s="1" t="s">
        <v>11869</v>
      </c>
      <c r="B3990" s="1"/>
      <c r="C3990" s="1"/>
      <c r="D3990" s="1"/>
      <c r="E3990" s="1"/>
      <c r="F3990" s="1"/>
      <c r="G3990" s="1" t="s">
        <v>8</v>
      </c>
      <c r="H3990" s="2">
        <v>390</v>
      </c>
      <c r="I3990" s="1" t="s">
        <v>11870</v>
      </c>
      <c r="J3990" s="1" t="s">
        <v>11871</v>
      </c>
      <c r="K3990" s="1" t="s">
        <v>21</v>
      </c>
      <c r="L3990" s="1" t="s">
        <v>11872</v>
      </c>
      <c r="M3990" s="6" t="str">
        <f>_xlfn.CONCAT(Table1[[#This Row],[Billing Street]], ", ", Table1[[#This Row],[Billing City]], ", ", Table1[[#This Row],[Billing State/Province]], ", ", Table1[[#This Row],[Billing Zip/Postal Code]])</f>
        <v>223 Main St, Alta, IA, 51002</v>
      </c>
    </row>
    <row r="3991" spans="1:13" ht="15.6" hidden="1" x14ac:dyDescent="0.3">
      <c r="A3991" s="1" t="s">
        <v>11873</v>
      </c>
      <c r="B3991" s="1"/>
      <c r="C3991" s="1"/>
      <c r="D3991" s="1"/>
      <c r="E3991" s="1"/>
      <c r="F3991" s="1"/>
      <c r="G3991" s="1" t="s">
        <v>8</v>
      </c>
      <c r="H3991" s="2">
        <v>439</v>
      </c>
      <c r="I3991" s="1" t="s">
        <v>11874</v>
      </c>
      <c r="J3991" s="1" t="s">
        <v>3932</v>
      </c>
      <c r="K3991" s="1" t="s">
        <v>21</v>
      </c>
      <c r="L3991" s="1" t="s">
        <v>5787</v>
      </c>
      <c r="M3991" s="6" t="str">
        <f>_xlfn.CONCAT(Table1[[#This Row],[Billing Street]], ", ", Table1[[#This Row],[Billing City]], ", ", Table1[[#This Row],[Billing State/Province]], ", ", Table1[[#This Row],[Billing Zip/Postal Code]])</f>
        <v>1102 Egret Ln, Sibley, IA, 51249</v>
      </c>
    </row>
    <row r="3992" spans="1:13" ht="15.6" hidden="1" x14ac:dyDescent="0.3">
      <c r="A3992" s="1" t="s">
        <v>11875</v>
      </c>
      <c r="B3992" s="1"/>
      <c r="C3992" s="1"/>
      <c r="D3992" s="1"/>
      <c r="E3992" s="1"/>
      <c r="F3992" s="1"/>
      <c r="G3992" s="1" t="s">
        <v>8</v>
      </c>
      <c r="H3992" s="2">
        <v>455</v>
      </c>
      <c r="I3992" s="1" t="s">
        <v>11876</v>
      </c>
      <c r="J3992" s="1" t="s">
        <v>11877</v>
      </c>
      <c r="K3992" s="1" t="s">
        <v>21</v>
      </c>
      <c r="L3992" s="1" t="s">
        <v>11878</v>
      </c>
      <c r="M3992" s="6" t="str">
        <f>_xlfn.CONCAT(Table1[[#This Row],[Billing Street]], ", ", Table1[[#This Row],[Billing City]], ", ", Table1[[#This Row],[Billing State/Province]], ", ", Table1[[#This Row],[Billing Zip/Postal Code]])</f>
        <v>105 W Main St, Lake Mills, IA, 50450</v>
      </c>
    </row>
    <row r="3993" spans="1:13" ht="15.6" hidden="1" x14ac:dyDescent="0.3">
      <c r="A3993" s="1" t="s">
        <v>11879</v>
      </c>
      <c r="B3993" s="1"/>
      <c r="C3993" s="1"/>
      <c r="D3993" s="1"/>
      <c r="E3993" s="1"/>
      <c r="F3993" s="1"/>
      <c r="G3993" s="1" t="s">
        <v>8</v>
      </c>
      <c r="H3993" s="2">
        <v>415</v>
      </c>
      <c r="I3993" s="1" t="s">
        <v>11880</v>
      </c>
      <c r="J3993" s="1" t="s">
        <v>11881</v>
      </c>
      <c r="K3993" s="1" t="s">
        <v>21</v>
      </c>
      <c r="L3993" s="1" t="s">
        <v>11882</v>
      </c>
      <c r="M3993" s="6" t="str">
        <f>_xlfn.CONCAT(Table1[[#This Row],[Billing Street]], ", ", Table1[[#This Row],[Billing City]], ", ", Table1[[#This Row],[Billing State/Province]], ", ", Table1[[#This Row],[Billing Zip/Postal Code]])</f>
        <v>1150 Central Ave, Hawarden, IA, 51023</v>
      </c>
    </row>
    <row r="3994" spans="1:13" ht="15.6" hidden="1" x14ac:dyDescent="0.3">
      <c r="A3994" s="1" t="s">
        <v>11883</v>
      </c>
      <c r="B3994" s="1"/>
      <c r="C3994" s="1"/>
      <c r="D3994" s="1"/>
      <c r="E3994" s="1"/>
      <c r="F3994" s="1"/>
      <c r="G3994" s="1" t="s">
        <v>8</v>
      </c>
      <c r="H3994" s="2">
        <v>443</v>
      </c>
      <c r="I3994" s="1" t="s">
        <v>11884</v>
      </c>
      <c r="J3994" s="1" t="s">
        <v>5798</v>
      </c>
      <c r="K3994" s="1" t="s">
        <v>21</v>
      </c>
      <c r="L3994" s="1" t="s">
        <v>5799</v>
      </c>
      <c r="M3994" s="6" t="str">
        <f>_xlfn.CONCAT(Table1[[#This Row],[Billing Street]], ", ", Table1[[#This Row],[Billing City]], ", ", Table1[[#This Row],[Billing State/Province]], ", ", Table1[[#This Row],[Billing Zip/Postal Code]])</f>
        <v>310 S 3rd Ave, Rock Rapids, IA, 51246</v>
      </c>
    </row>
    <row r="3995" spans="1:13" ht="15.6" hidden="1" x14ac:dyDescent="0.3">
      <c r="A3995" s="1" t="s">
        <v>11885</v>
      </c>
      <c r="B3995" s="1"/>
      <c r="C3995" s="1"/>
      <c r="D3995" s="1"/>
      <c r="E3995" s="1"/>
      <c r="F3995" s="1"/>
      <c r="G3995" s="1" t="s">
        <v>8</v>
      </c>
      <c r="H3995" s="2">
        <v>6528</v>
      </c>
      <c r="I3995" s="1" t="s">
        <v>11886</v>
      </c>
      <c r="J3995" s="1" t="s">
        <v>11887</v>
      </c>
      <c r="K3995" s="1" t="s">
        <v>2414</v>
      </c>
      <c r="L3995" s="1" t="s">
        <v>11888</v>
      </c>
      <c r="M3995" s="6" t="str">
        <f>_xlfn.CONCAT(Table1[[#This Row],[Billing Street]], ", ", Table1[[#This Row],[Billing City]], ", ", Table1[[#This Row],[Billing State/Province]], ", ", Table1[[#This Row],[Billing Zip/Postal Code]])</f>
        <v>2510 US Hwy 2 E, Kalispell, MT, 59901</v>
      </c>
    </row>
    <row r="3996" spans="1:13" ht="15.6" hidden="1" x14ac:dyDescent="0.3">
      <c r="A3996" s="1" t="s">
        <v>11889</v>
      </c>
      <c r="B3996" s="1"/>
      <c r="C3996" s="1"/>
      <c r="D3996" s="1"/>
      <c r="E3996" s="1"/>
      <c r="F3996" s="1"/>
      <c r="G3996" s="1" t="s">
        <v>8</v>
      </c>
      <c r="H3996" s="2">
        <v>6528</v>
      </c>
      <c r="I3996" s="1" t="s">
        <v>13</v>
      </c>
      <c r="J3996" s="1" t="s">
        <v>2120</v>
      </c>
      <c r="K3996" s="1" t="s">
        <v>147</v>
      </c>
      <c r="L3996" s="1" t="s">
        <v>13</v>
      </c>
      <c r="M3996" s="6" t="str">
        <f>_xlfn.CONCAT(Table1[[#This Row],[Billing Street]], ", ", Table1[[#This Row],[Billing City]], ", ", Table1[[#This Row],[Billing State/Province]], ", ", Table1[[#This Row],[Billing Zip/Postal Code]])</f>
        <v xml:space="preserve">, Burlington, OK, </v>
      </c>
    </row>
    <row r="3997" spans="1:13" ht="15.6" hidden="1" x14ac:dyDescent="0.3">
      <c r="A3997" s="1" t="s">
        <v>11890</v>
      </c>
      <c r="B3997" s="1"/>
      <c r="C3997" s="1"/>
      <c r="D3997" s="1"/>
      <c r="E3997" s="1"/>
      <c r="F3997" s="1"/>
      <c r="G3997" s="1" t="s">
        <v>98</v>
      </c>
      <c r="H3997" s="2">
        <v>181</v>
      </c>
      <c r="I3997" s="1" t="s">
        <v>11891</v>
      </c>
      <c r="J3997" s="1" t="s">
        <v>11892</v>
      </c>
      <c r="K3997" s="1" t="s">
        <v>101</v>
      </c>
      <c r="L3997" s="1" t="s">
        <v>11893</v>
      </c>
      <c r="M3997" s="6" t="str">
        <f>_xlfn.CONCAT(Table1[[#This Row],[Billing Street]], ", ", Table1[[#This Row],[Billing City]], ", ", Table1[[#This Row],[Billing State/Province]], ", ", Table1[[#This Row],[Billing Zip/Postal Code]])</f>
        <v>123 W Cherry Street, Douglas, GA, 31533</v>
      </c>
    </row>
    <row r="3998" spans="1:13" ht="15.6" hidden="1" x14ac:dyDescent="0.3">
      <c r="A3998" s="1" t="s">
        <v>11894</v>
      </c>
      <c r="B3998" s="1"/>
      <c r="C3998" s="1"/>
      <c r="D3998" s="1"/>
      <c r="E3998" s="1"/>
      <c r="F3998" s="1"/>
      <c r="G3998" s="1" t="s">
        <v>8</v>
      </c>
      <c r="H3998" s="2">
        <v>6528</v>
      </c>
      <c r="I3998" s="1" t="s">
        <v>13</v>
      </c>
      <c r="J3998" s="1" t="s">
        <v>13</v>
      </c>
      <c r="K3998" s="1" t="s">
        <v>128</v>
      </c>
      <c r="L3998" s="1" t="s">
        <v>13</v>
      </c>
      <c r="M3998" s="6" t="str">
        <f>_xlfn.CONCAT(Table1[[#This Row],[Billing Street]], ", ", Table1[[#This Row],[Billing City]], ", ", Table1[[#This Row],[Billing State/Province]], ", ", Table1[[#This Row],[Billing Zip/Postal Code]])</f>
        <v xml:space="preserve">, , MN, </v>
      </c>
    </row>
    <row r="3999" spans="1:13" ht="15.6" hidden="1" x14ac:dyDescent="0.3">
      <c r="A3999" s="1" t="s">
        <v>11895</v>
      </c>
      <c r="B3999" s="1"/>
      <c r="C3999" s="1"/>
      <c r="D3999" s="1"/>
      <c r="E3999" s="1"/>
      <c r="F3999" s="1"/>
      <c r="G3999" s="1" t="s">
        <v>8</v>
      </c>
      <c r="H3999" s="2">
        <v>570</v>
      </c>
      <c r="I3999" s="1" t="s">
        <v>11896</v>
      </c>
      <c r="J3999" s="1" t="s">
        <v>3372</v>
      </c>
      <c r="K3999" s="1" t="s">
        <v>128</v>
      </c>
      <c r="L3999" s="1" t="s">
        <v>11897</v>
      </c>
      <c r="M3999" s="6" t="str">
        <f>_xlfn.CONCAT(Table1[[#This Row],[Billing Street]], ", ", Table1[[#This Row],[Billing City]], ", ", Table1[[#This Row],[Billing State/Province]], ", ", Table1[[#This Row],[Billing Zip/Postal Code]])</f>
        <v>212 Central Ave, Buffalo, MN, 55313</v>
      </c>
    </row>
    <row r="4000" spans="1:13" ht="15.6" hidden="1" x14ac:dyDescent="0.3">
      <c r="A4000" s="1" t="s">
        <v>11898</v>
      </c>
      <c r="B4000" s="1"/>
      <c r="C4000" s="1"/>
      <c r="D4000" s="1"/>
      <c r="E4000" s="1"/>
      <c r="F4000" s="1"/>
      <c r="G4000" s="1" t="s">
        <v>8</v>
      </c>
      <c r="H4000" s="2">
        <v>6528</v>
      </c>
      <c r="I4000" s="1" t="s">
        <v>13</v>
      </c>
      <c r="J4000" s="1" t="s">
        <v>13</v>
      </c>
      <c r="K4000" s="1" t="s">
        <v>128</v>
      </c>
      <c r="L4000" s="1" t="s">
        <v>13</v>
      </c>
      <c r="M4000" s="6" t="str">
        <f>_xlfn.CONCAT(Table1[[#This Row],[Billing Street]], ", ", Table1[[#This Row],[Billing City]], ", ", Table1[[#This Row],[Billing State/Province]], ", ", Table1[[#This Row],[Billing Zip/Postal Code]])</f>
        <v xml:space="preserve">, , MN, </v>
      </c>
    </row>
    <row r="4001" spans="1:13" ht="15.6" hidden="1" x14ac:dyDescent="0.3">
      <c r="A4001" s="1" t="s">
        <v>11899</v>
      </c>
      <c r="B4001" s="1"/>
      <c r="C4001" s="1"/>
      <c r="D4001" s="1"/>
      <c r="E4001" s="1"/>
      <c r="F4001" s="1"/>
      <c r="G4001" s="1" t="s">
        <v>8</v>
      </c>
      <c r="H4001" s="2">
        <v>345</v>
      </c>
      <c r="I4001" s="1" t="s">
        <v>11900</v>
      </c>
      <c r="J4001" s="1" t="s">
        <v>3663</v>
      </c>
      <c r="K4001" s="1" t="s">
        <v>21</v>
      </c>
      <c r="L4001" s="1" t="s">
        <v>3664</v>
      </c>
      <c r="M4001" s="6" t="str">
        <f>_xlfn.CONCAT(Table1[[#This Row],[Billing Street]], ", ", Table1[[#This Row],[Billing City]], ", ", Table1[[#This Row],[Billing State/Province]], ", ", Table1[[#This Row],[Billing Zip/Postal Code]])</f>
        <v>809 Hwy 39 N, Denison, IA, 51442</v>
      </c>
    </row>
    <row r="4002" spans="1:13" ht="15.6" hidden="1" x14ac:dyDescent="0.3">
      <c r="A4002" s="1" t="s">
        <v>11901</v>
      </c>
      <c r="B4002" s="1"/>
      <c r="C4002" s="1"/>
      <c r="D4002" s="1"/>
      <c r="E4002" s="1"/>
      <c r="F4002" s="1"/>
      <c r="G4002" s="1" t="s">
        <v>98</v>
      </c>
      <c r="H4002" s="2">
        <v>190</v>
      </c>
      <c r="I4002" s="1" t="s">
        <v>11902</v>
      </c>
      <c r="J4002" s="1" t="s">
        <v>9554</v>
      </c>
      <c r="K4002" s="1" t="s">
        <v>101</v>
      </c>
      <c r="L4002" s="1" t="s">
        <v>11903</v>
      </c>
      <c r="M4002" s="6" t="str">
        <f>_xlfn.CONCAT(Table1[[#This Row],[Billing Street]], ", ", Table1[[#This Row],[Billing City]], ", ", Table1[[#This Row],[Billing State/Province]], ", ", Table1[[#This Row],[Billing Zip/Postal Code]])</f>
        <v>928 Ga Highway 32E, Alma, GA, 31510</v>
      </c>
    </row>
    <row r="4003" spans="1:13" ht="15.6" hidden="1" x14ac:dyDescent="0.3">
      <c r="A4003" s="1" t="s">
        <v>11904</v>
      </c>
      <c r="B4003" s="1"/>
      <c r="C4003" s="1"/>
      <c r="D4003" s="1"/>
      <c r="E4003" s="1"/>
      <c r="F4003" s="1"/>
      <c r="G4003" s="1" t="s">
        <v>8</v>
      </c>
      <c r="H4003" s="2">
        <v>6528</v>
      </c>
      <c r="I4003" s="1" t="s">
        <v>13</v>
      </c>
      <c r="J4003" s="1" t="s">
        <v>13</v>
      </c>
      <c r="K4003" s="1" t="s">
        <v>128</v>
      </c>
      <c r="L4003" s="1" t="s">
        <v>13</v>
      </c>
      <c r="M4003" s="6" t="str">
        <f>_xlfn.CONCAT(Table1[[#This Row],[Billing Street]], ", ", Table1[[#This Row],[Billing City]], ", ", Table1[[#This Row],[Billing State/Province]], ", ", Table1[[#This Row],[Billing Zip/Postal Code]])</f>
        <v xml:space="preserve">, , MN, </v>
      </c>
    </row>
    <row r="4004" spans="1:13" ht="15.6" hidden="1" x14ac:dyDescent="0.3">
      <c r="A4004" s="1" t="s">
        <v>11905</v>
      </c>
      <c r="B4004" s="1"/>
      <c r="C4004" s="1"/>
      <c r="D4004" s="1"/>
      <c r="E4004" s="1"/>
      <c r="F4004" s="1"/>
      <c r="G4004" s="1" t="s">
        <v>8</v>
      </c>
      <c r="H4004" s="2">
        <v>6528</v>
      </c>
      <c r="I4004" s="1" t="s">
        <v>13</v>
      </c>
      <c r="J4004" s="1" t="s">
        <v>13</v>
      </c>
      <c r="K4004" s="1" t="s">
        <v>128</v>
      </c>
      <c r="L4004" s="1" t="s">
        <v>13</v>
      </c>
      <c r="M4004" s="6" t="str">
        <f>_xlfn.CONCAT(Table1[[#This Row],[Billing Street]], ", ", Table1[[#This Row],[Billing City]], ", ", Table1[[#This Row],[Billing State/Province]], ", ", Table1[[#This Row],[Billing Zip/Postal Code]])</f>
        <v xml:space="preserve">, , MN, </v>
      </c>
    </row>
    <row r="4005" spans="1:13" ht="15.6" hidden="1" x14ac:dyDescent="0.3">
      <c r="A4005" s="1" t="s">
        <v>11906</v>
      </c>
      <c r="B4005" s="1"/>
      <c r="C4005" s="1"/>
      <c r="D4005" s="1"/>
      <c r="E4005" s="1"/>
      <c r="F4005" s="1"/>
      <c r="G4005" s="1" t="s">
        <v>8</v>
      </c>
      <c r="H4005" s="2">
        <v>6528</v>
      </c>
      <c r="I4005" s="1" t="s">
        <v>13</v>
      </c>
      <c r="J4005" s="1" t="s">
        <v>13</v>
      </c>
      <c r="K4005" s="1" t="s">
        <v>128</v>
      </c>
      <c r="L4005" s="1" t="s">
        <v>13</v>
      </c>
      <c r="M4005" s="6" t="str">
        <f>_xlfn.CONCAT(Table1[[#This Row],[Billing Street]], ", ", Table1[[#This Row],[Billing City]], ", ", Table1[[#This Row],[Billing State/Province]], ", ", Table1[[#This Row],[Billing Zip/Postal Code]])</f>
        <v xml:space="preserve">, , MN, </v>
      </c>
    </row>
    <row r="4006" spans="1:13" ht="15.6" hidden="1" x14ac:dyDescent="0.3">
      <c r="A4006" s="1" t="s">
        <v>11907</v>
      </c>
      <c r="B4006" s="1"/>
      <c r="C4006" s="1"/>
      <c r="D4006" s="1"/>
      <c r="E4006" s="1"/>
      <c r="F4006" s="1"/>
      <c r="G4006" s="1" t="s">
        <v>8</v>
      </c>
      <c r="H4006" s="2">
        <v>6528</v>
      </c>
      <c r="I4006" s="1" t="s">
        <v>13</v>
      </c>
      <c r="J4006" s="1" t="s">
        <v>13</v>
      </c>
      <c r="K4006" s="1" t="s">
        <v>128</v>
      </c>
      <c r="L4006" s="1" t="s">
        <v>13</v>
      </c>
      <c r="M4006" s="6" t="str">
        <f>_xlfn.CONCAT(Table1[[#This Row],[Billing Street]], ", ", Table1[[#This Row],[Billing City]], ", ", Table1[[#This Row],[Billing State/Province]], ", ", Table1[[#This Row],[Billing Zip/Postal Code]])</f>
        <v xml:space="preserve">, , MN, </v>
      </c>
    </row>
    <row r="4007" spans="1:13" ht="15.6" x14ac:dyDescent="0.3">
      <c r="A4007" s="1" t="s">
        <v>11908</v>
      </c>
      <c r="B4007" s="1"/>
      <c r="C4007" s="1"/>
      <c r="D4007" s="1"/>
      <c r="E4007" s="1"/>
      <c r="F4007" s="1"/>
      <c r="G4007" s="1" t="s">
        <v>24</v>
      </c>
      <c r="H4007" s="2">
        <v>5988</v>
      </c>
      <c r="I4007" s="1" t="s">
        <v>11909</v>
      </c>
      <c r="J4007" s="1" t="s">
        <v>4259</v>
      </c>
      <c r="K4007" s="1" t="s">
        <v>31</v>
      </c>
      <c r="L4007" s="1" t="s">
        <v>13</v>
      </c>
      <c r="M4007" s="6" t="str">
        <f>_xlfn.CONCAT(Table1[[#This Row],[Billing Street]], ", ", Table1[[#This Row],[Billing City]], ", ", Table1[[#This Row],[Billing State/Province]], ", ", Table1[[#This Row],[Billing Zip/Postal Code]])</f>
        <v xml:space="preserve">40886 Hwy. 45 South, Aberdeen, MS, </v>
      </c>
    </row>
    <row r="4008" spans="1:13" ht="15.6" hidden="1" x14ac:dyDescent="0.3">
      <c r="A4008" s="1" t="s">
        <v>11910</v>
      </c>
      <c r="B4008" s="1"/>
      <c r="C4008" s="1"/>
      <c r="D4008" s="1"/>
      <c r="E4008" s="1"/>
      <c r="F4008" s="1"/>
      <c r="G4008" s="1" t="s">
        <v>8</v>
      </c>
      <c r="H4008" s="2">
        <v>6528</v>
      </c>
      <c r="I4008" s="1" t="s">
        <v>13</v>
      </c>
      <c r="J4008" s="1" t="s">
        <v>13</v>
      </c>
      <c r="K4008" s="1" t="s">
        <v>128</v>
      </c>
      <c r="L4008" s="1" t="s">
        <v>13</v>
      </c>
      <c r="M4008" s="6" t="str">
        <f>_xlfn.CONCAT(Table1[[#This Row],[Billing Street]], ", ", Table1[[#This Row],[Billing City]], ", ", Table1[[#This Row],[Billing State/Province]], ", ", Table1[[#This Row],[Billing Zip/Postal Code]])</f>
        <v xml:space="preserve">, , MN, </v>
      </c>
    </row>
    <row r="4009" spans="1:13" ht="15.6" hidden="1" x14ac:dyDescent="0.3">
      <c r="A4009" s="1" t="s">
        <v>11911</v>
      </c>
      <c r="B4009" s="1"/>
      <c r="C4009" s="1"/>
      <c r="D4009" s="1"/>
      <c r="E4009" s="1"/>
      <c r="F4009" s="1"/>
      <c r="G4009" s="1" t="s">
        <v>43</v>
      </c>
      <c r="H4009" s="2">
        <v>357</v>
      </c>
      <c r="I4009" s="1" t="s">
        <v>11912</v>
      </c>
      <c r="J4009" s="1" t="s">
        <v>11913</v>
      </c>
      <c r="K4009" s="1" t="s">
        <v>152</v>
      </c>
      <c r="L4009" s="1" t="s">
        <v>11914</v>
      </c>
      <c r="M4009" s="6" t="str">
        <f>_xlfn.CONCAT(Table1[[#This Row],[Billing Street]], ", ", Table1[[#This Row],[Billing City]], ", ", Table1[[#This Row],[Billing State/Province]], ", ", Table1[[#This Row],[Billing Zip/Postal Code]])</f>
        <v>100 W. Grove St., Rantoul, IL, 61866</v>
      </c>
    </row>
    <row r="4010" spans="1:13" ht="15.6" hidden="1" x14ac:dyDescent="0.3">
      <c r="A4010" s="1" t="s">
        <v>11915</v>
      </c>
      <c r="B4010" s="1"/>
      <c r="C4010" s="1"/>
      <c r="D4010" s="1"/>
      <c r="E4010" s="1"/>
      <c r="F4010" s="1"/>
      <c r="G4010" s="1" t="s">
        <v>43</v>
      </c>
      <c r="H4010" s="2">
        <v>117</v>
      </c>
      <c r="I4010" s="1" t="s">
        <v>11916</v>
      </c>
      <c r="J4010" s="1" t="s">
        <v>11917</v>
      </c>
      <c r="K4010" s="1" t="s">
        <v>82</v>
      </c>
      <c r="L4010" s="1" t="s">
        <v>11918</v>
      </c>
      <c r="M4010" s="6" t="str">
        <f>_xlfn.CONCAT(Table1[[#This Row],[Billing Street]], ", ", Table1[[#This Row],[Billing City]], ", ", Table1[[#This Row],[Billing State/Province]], ", ", Table1[[#This Row],[Billing Zip/Postal Code]])</f>
        <v>915 E. Drayton Avenue, Ferndale, MI, 48220</v>
      </c>
    </row>
    <row r="4011" spans="1:13" ht="15.6" x14ac:dyDescent="0.3">
      <c r="A4011" s="1" t="s">
        <v>11919</v>
      </c>
      <c r="B4011" s="1"/>
      <c r="C4011" s="1"/>
      <c r="D4011" s="1"/>
      <c r="E4011" s="1"/>
      <c r="F4011" s="1"/>
      <c r="G4011" s="1" t="s">
        <v>24</v>
      </c>
      <c r="H4011" s="2">
        <v>5988</v>
      </c>
      <c r="I4011" s="1" t="s">
        <v>11920</v>
      </c>
      <c r="J4011" s="1" t="s">
        <v>11921</v>
      </c>
      <c r="K4011" s="1" t="s">
        <v>31</v>
      </c>
      <c r="L4011" s="1" t="s">
        <v>11922</v>
      </c>
      <c r="M4011" s="6" t="str">
        <f>_xlfn.CONCAT(Table1[[#This Row],[Billing Street]], ", ", Table1[[#This Row],[Billing City]], ", ", Table1[[#This Row],[Billing State/Province]], ", ", Table1[[#This Row],[Billing Zip/Postal Code]])</f>
        <v>205 Constitution Dr, Iuka, MS, 38852</v>
      </c>
    </row>
    <row r="4012" spans="1:13" ht="15.6" hidden="1" x14ac:dyDescent="0.3">
      <c r="A4012" s="1" t="s">
        <v>11923</v>
      </c>
      <c r="B4012" s="1"/>
      <c r="C4012" s="1"/>
      <c r="D4012" s="1"/>
      <c r="E4012" s="1"/>
      <c r="F4012" s="1"/>
      <c r="G4012" s="1" t="s">
        <v>98</v>
      </c>
      <c r="H4012" s="2">
        <v>5887</v>
      </c>
      <c r="I4012" s="1" t="s">
        <v>13</v>
      </c>
      <c r="J4012" s="1" t="s">
        <v>11924</v>
      </c>
      <c r="K4012" s="1" t="s">
        <v>101</v>
      </c>
      <c r="L4012" s="1" t="s">
        <v>13</v>
      </c>
      <c r="M4012" s="6" t="str">
        <f>_xlfn.CONCAT(Table1[[#This Row],[Billing Street]], ", ", Table1[[#This Row],[Billing City]], ", ", Table1[[#This Row],[Billing State/Province]], ", ", Table1[[#This Row],[Billing Zip/Postal Code]])</f>
        <v xml:space="preserve">, Ocilla, GA, </v>
      </c>
    </row>
    <row r="4013" spans="1:13" ht="15.6" hidden="1" x14ac:dyDescent="0.3">
      <c r="A4013" s="1" t="s">
        <v>11925</v>
      </c>
      <c r="B4013" s="1"/>
      <c r="C4013" s="1"/>
      <c r="D4013" s="1"/>
      <c r="E4013" s="1"/>
      <c r="F4013" s="1"/>
      <c r="G4013" s="1" t="s">
        <v>8</v>
      </c>
      <c r="H4013" s="2">
        <v>427</v>
      </c>
      <c r="I4013" s="1" t="s">
        <v>11926</v>
      </c>
      <c r="J4013" s="1" t="s">
        <v>8638</v>
      </c>
      <c r="K4013" s="1" t="s">
        <v>198</v>
      </c>
      <c r="L4013" s="1" t="s">
        <v>11927</v>
      </c>
      <c r="M4013" s="6" t="str">
        <f>_xlfn.CONCAT(Table1[[#This Row],[Billing Street]], ", ", Table1[[#This Row],[Billing City]], ", ", Table1[[#This Row],[Billing State/Province]], ", ", Table1[[#This Row],[Billing Zip/Postal Code]])</f>
        <v>111 W 2nd St, Stuart, NE, 68780</v>
      </c>
    </row>
    <row r="4014" spans="1:13" ht="15.6" hidden="1" x14ac:dyDescent="0.3">
      <c r="A4014" s="1" t="s">
        <v>11928</v>
      </c>
      <c r="B4014" s="1"/>
      <c r="C4014" s="1"/>
      <c r="D4014" s="1"/>
      <c r="E4014" s="1"/>
      <c r="F4014" s="1"/>
      <c r="G4014" s="1" t="s">
        <v>205</v>
      </c>
      <c r="H4014" s="2">
        <v>2</v>
      </c>
      <c r="I4014" s="1" t="s">
        <v>11929</v>
      </c>
      <c r="J4014" s="1" t="s">
        <v>518</v>
      </c>
      <c r="K4014" s="1" t="s">
        <v>479</v>
      </c>
      <c r="L4014" s="1" t="s">
        <v>4924</v>
      </c>
      <c r="M4014" s="6" t="str">
        <f>_xlfn.CONCAT(Table1[[#This Row],[Billing Street]], ", ", Table1[[#This Row],[Billing City]], ", ", Table1[[#This Row],[Billing State/Province]], ", ", Table1[[#This Row],[Billing Zip/Postal Code]])</f>
        <v>420 South 19th Ave, Phoenix, AZ, 85009</v>
      </c>
    </row>
    <row r="4015" spans="1:13" ht="15.6" x14ac:dyDescent="0.3">
      <c r="A4015" s="1" t="s">
        <v>11930</v>
      </c>
      <c r="B4015" s="1"/>
      <c r="C4015" s="1"/>
      <c r="D4015" s="1"/>
      <c r="E4015" s="1"/>
      <c r="F4015" s="1"/>
      <c r="G4015" s="1" t="s">
        <v>24</v>
      </c>
      <c r="H4015" s="2">
        <v>190</v>
      </c>
      <c r="I4015" s="1" t="s">
        <v>11931</v>
      </c>
      <c r="J4015" s="1" t="s">
        <v>11114</v>
      </c>
      <c r="K4015" s="1" t="s">
        <v>31</v>
      </c>
      <c r="L4015" s="1" t="s">
        <v>11932</v>
      </c>
      <c r="M4015" s="6" t="str">
        <f>_xlfn.CONCAT(Table1[[#This Row],[Billing Street]], ", ", Table1[[#This Row],[Billing City]], ", ", Table1[[#This Row],[Billing State/Province]], ", ", Table1[[#This Row],[Billing Zip/Postal Code]])</f>
        <v>2128  Hwy 39 North, Meridian, MS, 39302</v>
      </c>
    </row>
    <row r="4016" spans="1:13" ht="15.6" hidden="1" x14ac:dyDescent="0.3">
      <c r="A4016" s="1" t="s">
        <v>11933</v>
      </c>
      <c r="B4016" s="1"/>
      <c r="C4016" s="1"/>
      <c r="D4016" s="1"/>
      <c r="E4016" s="1"/>
      <c r="F4016" s="1"/>
      <c r="G4016" s="1" t="s">
        <v>8</v>
      </c>
      <c r="H4016" s="2">
        <v>427</v>
      </c>
      <c r="I4016" s="1" t="s">
        <v>11934</v>
      </c>
      <c r="J4016" s="1" t="s">
        <v>8638</v>
      </c>
      <c r="K4016" s="1" t="s">
        <v>198</v>
      </c>
      <c r="L4016" s="1" t="s">
        <v>11927</v>
      </c>
      <c r="M4016" s="6" t="str">
        <f>_xlfn.CONCAT(Table1[[#This Row],[Billing Street]], ", ", Table1[[#This Row],[Billing City]], ", ", Table1[[#This Row],[Billing State/Province]], ", ", Table1[[#This Row],[Billing Zip/Postal Code]])</f>
        <v>109 W 1st St, Stuart, NE, 68780</v>
      </c>
    </row>
    <row r="4017" spans="1:13" ht="15.6" hidden="1" x14ac:dyDescent="0.3">
      <c r="A4017" s="1" t="s">
        <v>11935</v>
      </c>
      <c r="B4017" s="1"/>
      <c r="C4017" s="1"/>
      <c r="D4017" s="1"/>
      <c r="E4017" s="1"/>
      <c r="F4017" s="1"/>
      <c r="G4017" s="1" t="s">
        <v>8</v>
      </c>
      <c r="H4017" s="2">
        <v>371</v>
      </c>
      <c r="I4017" s="1" t="s">
        <v>11936</v>
      </c>
      <c r="J4017" s="1" t="s">
        <v>11937</v>
      </c>
      <c r="K4017" s="1" t="s">
        <v>198</v>
      </c>
      <c r="L4017" s="1" t="s">
        <v>11938</v>
      </c>
      <c r="M4017" s="6" t="str">
        <f>_xlfn.CONCAT(Table1[[#This Row],[Billing Street]], ", ", Table1[[#This Row],[Billing City]], ", ", Table1[[#This Row],[Billing State/Province]], ", ", Table1[[#This Row],[Billing Zip/Postal Code]])</f>
        <v>311 Bailey Street, Stratton, NE, 69043</v>
      </c>
    </row>
    <row r="4018" spans="1:13" ht="15.6" hidden="1" x14ac:dyDescent="0.3">
      <c r="A4018" s="1" t="s">
        <v>11939</v>
      </c>
      <c r="B4018" s="1"/>
      <c r="C4018" s="1"/>
      <c r="D4018" s="1"/>
      <c r="E4018" s="1"/>
      <c r="F4018" s="1"/>
      <c r="G4018" s="1" t="s">
        <v>8</v>
      </c>
      <c r="H4018" s="2">
        <v>435</v>
      </c>
      <c r="I4018" s="1" t="s">
        <v>11940</v>
      </c>
      <c r="J4018" s="1" t="s">
        <v>11455</v>
      </c>
      <c r="K4018" s="1" t="s">
        <v>198</v>
      </c>
      <c r="L4018" s="1" t="s">
        <v>11941</v>
      </c>
      <c r="M4018" s="6" t="str">
        <f>_xlfn.CONCAT(Table1[[#This Row],[Billing Street]], ", ", Table1[[#This Row],[Billing City]], ", ", Table1[[#This Row],[Billing State/Province]], ", ", Table1[[#This Row],[Billing Zip/Postal Code]])</f>
        <v>100 E Main St, Spencer, NE, 68777</v>
      </c>
    </row>
    <row r="4019" spans="1:13" ht="15.6" hidden="1" x14ac:dyDescent="0.3">
      <c r="A4019" s="1" t="s">
        <v>11942</v>
      </c>
      <c r="B4019" s="1"/>
      <c r="C4019" s="1"/>
      <c r="D4019" s="1"/>
      <c r="E4019" s="1"/>
      <c r="F4019" s="1"/>
      <c r="G4019" s="1" t="s">
        <v>8</v>
      </c>
      <c r="H4019" s="2">
        <v>353</v>
      </c>
      <c r="I4019" s="1" t="s">
        <v>11943</v>
      </c>
      <c r="J4019" s="1" t="s">
        <v>11944</v>
      </c>
      <c r="K4019" s="1" t="s">
        <v>198</v>
      </c>
      <c r="L4019" s="1" t="s">
        <v>11945</v>
      </c>
      <c r="M4019" s="6" t="str">
        <f>_xlfn.CONCAT(Table1[[#This Row],[Billing Street]], ", ", Table1[[#This Row],[Billing City]], ", ", Table1[[#This Row],[Billing State/Province]], ", ", Table1[[#This Row],[Billing Zip/Postal Code]])</f>
        <v>211 E St Joseph St, Spalding, NE, 68665</v>
      </c>
    </row>
    <row r="4020" spans="1:13" ht="15.6" hidden="1" x14ac:dyDescent="0.3">
      <c r="A4020" s="1" t="s">
        <v>11946</v>
      </c>
      <c r="B4020" s="1"/>
      <c r="C4020" s="1"/>
      <c r="D4020" s="1"/>
      <c r="E4020" s="1"/>
      <c r="F4020" s="1"/>
      <c r="G4020" s="1" t="s">
        <v>8</v>
      </c>
      <c r="H4020" s="2">
        <v>328</v>
      </c>
      <c r="I4020" s="1" t="s">
        <v>11947</v>
      </c>
      <c r="J4020" s="1" t="s">
        <v>11948</v>
      </c>
      <c r="K4020" s="1" t="s">
        <v>198</v>
      </c>
      <c r="L4020" s="1" t="s">
        <v>11949</v>
      </c>
      <c r="M4020" s="6" t="str">
        <f>_xlfn.CONCAT(Table1[[#This Row],[Billing Street]], ", ", Table1[[#This Row],[Billing City]], ", ", Table1[[#This Row],[Billing State/Province]], ", ", Table1[[#This Row],[Billing Zip/Postal Code]])</f>
        <v>125 Ash St, Snyder, NE, 68664</v>
      </c>
    </row>
    <row r="4021" spans="1:13" ht="15.6" hidden="1" x14ac:dyDescent="0.3">
      <c r="A4021" s="1" t="s">
        <v>11950</v>
      </c>
      <c r="B4021" s="1"/>
      <c r="C4021" s="1"/>
      <c r="D4021" s="1"/>
      <c r="E4021" s="1"/>
      <c r="F4021" s="1"/>
      <c r="G4021" s="1" t="s">
        <v>8</v>
      </c>
      <c r="H4021" s="2">
        <v>260</v>
      </c>
      <c r="I4021" s="1" t="s">
        <v>11951</v>
      </c>
      <c r="J4021" s="1" t="s">
        <v>11952</v>
      </c>
      <c r="K4021" s="1" t="s">
        <v>198</v>
      </c>
      <c r="L4021" s="1" t="s">
        <v>11953</v>
      </c>
      <c r="M4021" s="6" t="str">
        <f>_xlfn.CONCAT(Table1[[#This Row],[Billing Street]], ", ", Table1[[#This Row],[Billing City]], ", ", Table1[[#This Row],[Billing State/Province]], ", ", Table1[[#This Row],[Billing Zip/Postal Code]])</f>
        <v>​102 N. Market St, Shickley, NE, 68436</v>
      </c>
    </row>
    <row r="4022" spans="1:13" ht="15.6" hidden="1" x14ac:dyDescent="0.3">
      <c r="A4022" s="1" t="s">
        <v>11954</v>
      </c>
      <c r="B4022" s="1"/>
      <c r="C4022" s="1"/>
      <c r="D4022" s="1"/>
      <c r="E4022" s="1"/>
      <c r="F4022" s="1"/>
      <c r="G4022" s="1" t="s">
        <v>8</v>
      </c>
      <c r="H4022" s="2">
        <v>367</v>
      </c>
      <c r="I4022" s="1" t="s">
        <v>11955</v>
      </c>
      <c r="J4022" s="1" t="s">
        <v>8857</v>
      </c>
      <c r="K4022" s="1" t="s">
        <v>198</v>
      </c>
      <c r="L4022" s="1" t="s">
        <v>8858</v>
      </c>
      <c r="M4022" s="6" t="str">
        <f>_xlfn.CONCAT(Table1[[#This Row],[Billing Street]], ", ", Table1[[#This Row],[Billing City]], ", ", Table1[[#This Row],[Billing State/Province]], ", ", Table1[[#This Row],[Billing Zip/Postal Code]])</f>
        <v>1410 W 7th St, Wayne, NE, 68787</v>
      </c>
    </row>
    <row r="4023" spans="1:13" ht="15.6" x14ac:dyDescent="0.3">
      <c r="A4023" s="1" t="s">
        <v>11956</v>
      </c>
      <c r="B4023" s="1"/>
      <c r="C4023" s="1"/>
      <c r="D4023" s="1"/>
      <c r="E4023" s="1"/>
      <c r="F4023" s="1"/>
      <c r="G4023" s="1" t="s">
        <v>24</v>
      </c>
      <c r="H4023" s="2">
        <v>308</v>
      </c>
      <c r="I4023" s="1" t="s">
        <v>11957</v>
      </c>
      <c r="J4023" s="1" t="s">
        <v>860</v>
      </c>
      <c r="K4023" s="1" t="s">
        <v>31</v>
      </c>
      <c r="L4023" s="1" t="s">
        <v>6690</v>
      </c>
      <c r="M4023" s="6" t="str">
        <f>_xlfn.CONCAT(Table1[[#This Row],[Billing Street]], ", ", Table1[[#This Row],[Billing City]], ", ", Table1[[#This Row],[Billing State/Province]], ", ", Table1[[#This Row],[Billing Zip/Postal Code]])</f>
        <v>1700 Highway 82 West, Greenwood, MS, 38930</v>
      </c>
    </row>
    <row r="4024" spans="1:13" ht="15.6" hidden="1" x14ac:dyDescent="0.3">
      <c r="A4024" s="1" t="s">
        <v>11958</v>
      </c>
      <c r="B4024" s="1"/>
      <c r="C4024" s="1"/>
      <c r="D4024" s="1"/>
      <c r="E4024" s="1"/>
      <c r="F4024" s="1"/>
      <c r="G4024" s="1" t="s">
        <v>98</v>
      </c>
      <c r="H4024" s="2">
        <v>5887</v>
      </c>
      <c r="I4024" s="1" t="s">
        <v>11959</v>
      </c>
      <c r="J4024" s="1" t="s">
        <v>1123</v>
      </c>
      <c r="K4024" s="1" t="s">
        <v>234</v>
      </c>
      <c r="L4024" s="1" t="s">
        <v>13</v>
      </c>
      <c r="M4024" s="6" t="str">
        <f>_xlfn.CONCAT(Table1[[#This Row],[Billing Street]], ", ", Table1[[#This Row],[Billing City]], ", ", Table1[[#This Row],[Billing State/Province]], ", ", Table1[[#This Row],[Billing Zip/Postal Code]])</f>
        <v xml:space="preserve">100 E Windsor St, Westminster, SC, </v>
      </c>
    </row>
    <row r="4025" spans="1:13" ht="15.6" hidden="1" x14ac:dyDescent="0.3">
      <c r="A4025" s="1" t="s">
        <v>11960</v>
      </c>
      <c r="B4025" s="1"/>
      <c r="C4025" s="1"/>
      <c r="D4025" s="1"/>
      <c r="E4025" s="1"/>
      <c r="F4025" s="1"/>
      <c r="G4025" s="1" t="s">
        <v>43</v>
      </c>
      <c r="H4025" s="2">
        <v>287</v>
      </c>
      <c r="I4025" s="1" t="s">
        <v>11961</v>
      </c>
      <c r="J4025" s="1" t="s">
        <v>7586</v>
      </c>
      <c r="K4025" s="1" t="s">
        <v>241</v>
      </c>
      <c r="L4025" s="1" t="s">
        <v>11962</v>
      </c>
      <c r="M4025" s="6" t="str">
        <f>_xlfn.CONCAT(Table1[[#This Row],[Billing Street]], ", ", Table1[[#This Row],[Billing City]], ", ", Table1[[#This Row],[Billing State/Province]], ", ", Table1[[#This Row],[Billing Zip/Postal Code]])</f>
        <v>124 S State St, Ephrata, PA, 17522</v>
      </c>
    </row>
    <row r="4026" spans="1:13" ht="15.6" hidden="1" x14ac:dyDescent="0.3">
      <c r="A4026" s="1" t="s">
        <v>11963</v>
      </c>
      <c r="B4026" s="1"/>
      <c r="C4026" s="1"/>
      <c r="D4026" s="1"/>
      <c r="E4026" s="1"/>
      <c r="F4026" s="1"/>
      <c r="G4026" s="1" t="s">
        <v>43</v>
      </c>
      <c r="H4026" s="2">
        <v>245</v>
      </c>
      <c r="I4026" s="1" t="s">
        <v>11964</v>
      </c>
      <c r="J4026" s="1" t="s">
        <v>11965</v>
      </c>
      <c r="K4026" s="1" t="s">
        <v>275</v>
      </c>
      <c r="L4026" s="1" t="s">
        <v>11966</v>
      </c>
      <c r="M4026" s="6" t="str">
        <f>_xlfn.CONCAT(Table1[[#This Row],[Billing Street]], ", ", Table1[[#This Row],[Billing City]], ", ", Table1[[#This Row],[Billing State/Province]], ", ", Table1[[#This Row],[Billing Zip/Postal Code]])</f>
        <v>104 E Woodlawn Ave, Elmira, ny, 14901</v>
      </c>
    </row>
    <row r="4027" spans="1:13" ht="15.6" x14ac:dyDescent="0.3">
      <c r="A4027" s="1" t="s">
        <v>11967</v>
      </c>
      <c r="B4027" s="1"/>
      <c r="C4027" s="1"/>
      <c r="D4027" s="1"/>
      <c r="E4027" s="1"/>
      <c r="F4027" s="1"/>
      <c r="G4027" s="1" t="s">
        <v>24</v>
      </c>
      <c r="H4027" s="2">
        <v>5988</v>
      </c>
      <c r="I4027" s="1" t="s">
        <v>11968</v>
      </c>
      <c r="J4027" s="1" t="s">
        <v>30</v>
      </c>
      <c r="K4027" s="1" t="s">
        <v>31</v>
      </c>
      <c r="L4027" s="1" t="s">
        <v>11969</v>
      </c>
      <c r="M4027" s="6" t="str">
        <f>_xlfn.CONCAT(Table1[[#This Row],[Billing Street]], ", ", Table1[[#This Row],[Billing City]], ", ", Table1[[#This Row],[Billing State/Province]], ", ", Table1[[#This Row],[Billing Zip/Postal Code]])</f>
        <v>Facilities Mgt Bldg-Next to Water Tower, Starkville, MS, 39762</v>
      </c>
    </row>
    <row r="4028" spans="1:13" ht="15.6" x14ac:dyDescent="0.3">
      <c r="A4028" s="1" t="s">
        <v>11970</v>
      </c>
      <c r="B4028" s="1"/>
      <c r="C4028" s="1"/>
      <c r="D4028" s="1"/>
      <c r="E4028" s="1"/>
      <c r="F4028" s="1"/>
      <c r="G4028" s="1" t="s">
        <v>24</v>
      </c>
      <c r="H4028" s="2">
        <v>53</v>
      </c>
      <c r="I4028" s="1" t="s">
        <v>11971</v>
      </c>
      <c r="J4028" s="1" t="s">
        <v>7881</v>
      </c>
      <c r="K4028" s="1" t="s">
        <v>36</v>
      </c>
      <c r="L4028" s="1" t="s">
        <v>7882</v>
      </c>
      <c r="M4028" s="6" t="str">
        <f>_xlfn.CONCAT(Table1[[#This Row],[Billing Street]], ", ", Table1[[#This Row],[Billing City]], ", ", Table1[[#This Row],[Billing State/Province]], ", ", Table1[[#This Row],[Billing Zip/Postal Code]])</f>
        <v>4428 Lafayette St, Marianna, FL, 32446</v>
      </c>
    </row>
    <row r="4029" spans="1:13" ht="15.6" x14ac:dyDescent="0.3">
      <c r="A4029" s="1" t="s">
        <v>11972</v>
      </c>
      <c r="B4029" s="1"/>
      <c r="C4029" s="1"/>
      <c r="D4029" s="1"/>
      <c r="E4029" s="1"/>
      <c r="F4029" s="1"/>
      <c r="G4029" s="1" t="s">
        <v>24</v>
      </c>
      <c r="H4029" s="2">
        <v>223</v>
      </c>
      <c r="I4029" s="1" t="s">
        <v>11973</v>
      </c>
      <c r="J4029" s="1" t="s">
        <v>502</v>
      </c>
      <c r="K4029" s="1" t="s">
        <v>31</v>
      </c>
      <c r="L4029" s="1" t="s">
        <v>10175</v>
      </c>
      <c r="M4029" s="6" t="str">
        <f>_xlfn.CONCAT(Table1[[#This Row],[Billing Street]], ", ", Table1[[#This Row],[Billing City]], ", ", Table1[[#This Row],[Billing State/Province]], ", ", Table1[[#This Row],[Billing Zip/Postal Code]])</f>
        <v>1422 Highway 13 North, Columbia, MS, 39429</v>
      </c>
    </row>
    <row r="4030" spans="1:13" ht="15.6" x14ac:dyDescent="0.3">
      <c r="A4030" s="1" t="s">
        <v>11974</v>
      </c>
      <c r="B4030" s="1"/>
      <c r="C4030" s="1"/>
      <c r="D4030" s="1"/>
      <c r="E4030" s="1"/>
      <c r="F4030" s="1"/>
      <c r="G4030" s="1" t="s">
        <v>24</v>
      </c>
      <c r="H4030" s="2">
        <v>5988</v>
      </c>
      <c r="I4030" s="1" t="s">
        <v>11975</v>
      </c>
      <c r="J4030" s="1" t="s">
        <v>10141</v>
      </c>
      <c r="K4030" s="1" t="s">
        <v>31</v>
      </c>
      <c r="L4030" s="1" t="s">
        <v>982</v>
      </c>
      <c r="M4030" s="6" t="str">
        <f>_xlfn.CONCAT(Table1[[#This Row],[Billing Street]], ", ", Table1[[#This Row],[Billing City]], ", ", Table1[[#This Row],[Billing State/Province]], ", ", Table1[[#This Row],[Billing Zip/Postal Code]])</f>
        <v>104 East Main Street, Carthage, MS, 39051</v>
      </c>
    </row>
    <row r="4031" spans="1:13" ht="15.6" hidden="1" x14ac:dyDescent="0.3">
      <c r="A4031" s="1" t="s">
        <v>11976</v>
      </c>
      <c r="B4031" s="1"/>
      <c r="C4031" s="1"/>
      <c r="D4031" s="1"/>
      <c r="E4031" s="1"/>
      <c r="F4031" s="1"/>
      <c r="G4031" s="1" t="s">
        <v>8</v>
      </c>
      <c r="H4031" s="2">
        <v>6528</v>
      </c>
      <c r="I4031" s="1" t="s">
        <v>13</v>
      </c>
      <c r="J4031" s="1" t="s">
        <v>1598</v>
      </c>
      <c r="K4031" s="1" t="s">
        <v>554</v>
      </c>
      <c r="L4031" s="1" t="s">
        <v>13</v>
      </c>
      <c r="M4031" s="6" t="str">
        <f>_xlfn.CONCAT(Table1[[#This Row],[Billing Street]], ", ", Table1[[#This Row],[Billing City]], ", ", Table1[[#This Row],[Billing State/Province]], ", ", Table1[[#This Row],[Billing Zip/Postal Code]])</f>
        <v xml:space="preserve">, Topeka, KS, </v>
      </c>
    </row>
    <row r="4032" spans="1:13" ht="15.6" x14ac:dyDescent="0.3">
      <c r="A4032" s="1" t="s">
        <v>11977</v>
      </c>
      <c r="B4032" s="1"/>
      <c r="C4032" s="1"/>
      <c r="D4032" s="1"/>
      <c r="E4032" s="1"/>
      <c r="F4032" s="1"/>
      <c r="G4032" s="1" t="s">
        <v>24</v>
      </c>
      <c r="H4032" s="2">
        <v>5988</v>
      </c>
      <c r="I4032" s="1" t="s">
        <v>11978</v>
      </c>
      <c r="J4032" s="1" t="s">
        <v>8778</v>
      </c>
      <c r="K4032" s="1" t="s">
        <v>31</v>
      </c>
      <c r="L4032" s="1" t="s">
        <v>11979</v>
      </c>
      <c r="M4032" s="6" t="str">
        <f>_xlfn.CONCAT(Table1[[#This Row],[Billing Street]], ", ", Table1[[#This Row],[Billing City]], ", ", Table1[[#This Row],[Billing State/Province]], ", ", Table1[[#This Row],[Billing Zip/Postal Code]])</f>
        <v>308 Lamar Street, Durant, MS, 39063</v>
      </c>
    </row>
    <row r="4033" spans="1:13" ht="15.6" hidden="1" x14ac:dyDescent="0.3">
      <c r="A4033" s="1" t="s">
        <v>11980</v>
      </c>
      <c r="B4033" s="1"/>
      <c r="C4033" s="1"/>
      <c r="D4033" s="1"/>
      <c r="E4033" s="1"/>
      <c r="F4033" s="1"/>
      <c r="G4033" s="1" t="s">
        <v>8</v>
      </c>
      <c r="H4033" s="2">
        <v>149</v>
      </c>
      <c r="I4033" s="1" t="s">
        <v>11981</v>
      </c>
      <c r="J4033" s="1" t="s">
        <v>434</v>
      </c>
      <c r="K4033" s="1" t="s">
        <v>147</v>
      </c>
      <c r="L4033" s="1" t="s">
        <v>11982</v>
      </c>
      <c r="M4033" s="6" t="str">
        <f>_xlfn.CONCAT(Table1[[#This Row],[Billing Street]], ", ", Table1[[#This Row],[Billing City]], ", ", Table1[[#This Row],[Billing State/Province]], ", ", Table1[[#This Row],[Billing Zip/Postal Code]])</f>
        <v>4901 N. Sewell Ave., Oklahoma City, OK, 73119</v>
      </c>
    </row>
    <row r="4034" spans="1:13" ht="15.6" x14ac:dyDescent="0.3">
      <c r="A4034" s="1" t="s">
        <v>11983</v>
      </c>
      <c r="B4034" s="1"/>
      <c r="C4034" s="1"/>
      <c r="D4034" s="1"/>
      <c r="E4034" s="1"/>
      <c r="F4034" s="1"/>
      <c r="G4034" s="1" t="s">
        <v>24</v>
      </c>
      <c r="H4034" s="2">
        <v>5988</v>
      </c>
      <c r="I4034" s="1" t="s">
        <v>11984</v>
      </c>
      <c r="J4034" s="1" t="s">
        <v>1940</v>
      </c>
      <c r="K4034" s="1" t="s">
        <v>31</v>
      </c>
      <c r="L4034" s="1" t="s">
        <v>11985</v>
      </c>
      <c r="M4034" s="6" t="str">
        <f>_xlfn.CONCAT(Table1[[#This Row],[Billing Street]], ", ", Table1[[#This Row],[Billing City]], ", ", Table1[[#This Row],[Billing State/Province]], ", ", Table1[[#This Row],[Billing Zip/Postal Code]])</f>
        <v>225 North Hargon Street, Canton, MS, 39046</v>
      </c>
    </row>
    <row r="4035" spans="1:13" ht="15.6" x14ac:dyDescent="0.3">
      <c r="A4035" s="1" t="s">
        <v>11986</v>
      </c>
      <c r="B4035" s="1"/>
      <c r="C4035" s="1"/>
      <c r="D4035" s="1"/>
      <c r="E4035" s="1"/>
      <c r="F4035" s="1"/>
      <c r="G4035" s="1" t="s">
        <v>24</v>
      </c>
      <c r="H4035" s="2">
        <v>239</v>
      </c>
      <c r="I4035" s="1" t="s">
        <v>11987</v>
      </c>
      <c r="J4035" s="1" t="s">
        <v>711</v>
      </c>
      <c r="K4035" s="1" t="s">
        <v>31</v>
      </c>
      <c r="L4035" s="1" t="s">
        <v>6186</v>
      </c>
      <c r="M4035" s="6" t="str">
        <f>_xlfn.CONCAT(Table1[[#This Row],[Billing Street]], ", ", Table1[[#This Row],[Billing City]], ", ", Table1[[#This Row],[Billing State/Province]], ", ", Table1[[#This Row],[Billing Zip/Postal Code]])</f>
        <v>5265 South Frontage Road, Columbus, MS, 39701</v>
      </c>
    </row>
    <row r="4036" spans="1:13" ht="15.6" x14ac:dyDescent="0.3">
      <c r="A4036" s="1" t="s">
        <v>11988</v>
      </c>
      <c r="B4036" s="1"/>
      <c r="C4036" s="1"/>
      <c r="D4036" s="1"/>
      <c r="E4036" s="1"/>
      <c r="F4036" s="1"/>
      <c r="G4036" s="1" t="s">
        <v>24</v>
      </c>
      <c r="H4036" s="2">
        <v>5988</v>
      </c>
      <c r="I4036" s="1" t="s">
        <v>11989</v>
      </c>
      <c r="J4036" s="1" t="s">
        <v>981</v>
      </c>
      <c r="K4036" s="1" t="s">
        <v>31</v>
      </c>
      <c r="L4036" s="1" t="s">
        <v>11990</v>
      </c>
      <c r="M4036" s="6" t="str">
        <f>_xlfn.CONCAT(Table1[[#This Row],[Billing Street]], ", ", Table1[[#This Row],[Billing City]], ", ", Table1[[#This Row],[Billing State/Province]], ", ", Table1[[#This Row],[Billing Zip/Postal Code]])</f>
        <v>17th Steet, Gulfport, MS, 39502</v>
      </c>
    </row>
    <row r="4037" spans="1:13" ht="15.6" x14ac:dyDescent="0.3">
      <c r="A4037" s="1" t="s">
        <v>11991</v>
      </c>
      <c r="B4037" s="1"/>
      <c r="C4037" s="1"/>
      <c r="D4037" s="1"/>
      <c r="E4037" s="1"/>
      <c r="F4037" s="1"/>
      <c r="G4037" s="1" t="s">
        <v>24</v>
      </c>
      <c r="H4037" s="2">
        <v>5988</v>
      </c>
      <c r="I4037" s="1" t="s">
        <v>11992</v>
      </c>
      <c r="J4037" s="1" t="s">
        <v>7136</v>
      </c>
      <c r="K4037" s="1" t="s">
        <v>31</v>
      </c>
      <c r="L4037" s="1" t="s">
        <v>7137</v>
      </c>
      <c r="M4037" s="6" t="str">
        <f>_xlfn.CONCAT(Table1[[#This Row],[Billing Street]], ", ", Table1[[#This Row],[Billing City]], ", ", Table1[[#This Row],[Billing State/Province]], ", ", Table1[[#This Row],[Billing Zip/Postal Code]])</f>
        <v>210 South Mound St., Yazoo City, MS, 39194</v>
      </c>
    </row>
    <row r="4038" spans="1:13" ht="15.6" x14ac:dyDescent="0.3">
      <c r="A4038" s="1" t="s">
        <v>11993</v>
      </c>
      <c r="B4038" s="1"/>
      <c r="C4038" s="1"/>
      <c r="D4038" s="1"/>
      <c r="E4038" s="1"/>
      <c r="F4038" s="1"/>
      <c r="G4038" s="1" t="s">
        <v>24</v>
      </c>
      <c r="H4038" s="2">
        <v>266</v>
      </c>
      <c r="I4038" s="1" t="s">
        <v>11994</v>
      </c>
      <c r="J4038" s="1" t="s">
        <v>1940</v>
      </c>
      <c r="K4038" s="1" t="s">
        <v>31</v>
      </c>
      <c r="L4038" s="1" t="s">
        <v>11985</v>
      </c>
      <c r="M4038" s="6" t="str">
        <f>_xlfn.CONCAT(Table1[[#This Row],[Billing Street]], ", ", Table1[[#This Row],[Billing City]], ", ", Table1[[#This Row],[Billing State/Province]], ", ", Table1[[#This Row],[Billing Zip/Postal Code]])</f>
        <v>1039 West Fulton Street, Canton, MS, 39046</v>
      </c>
    </row>
    <row r="4039" spans="1:13" ht="15.6" x14ac:dyDescent="0.3">
      <c r="A4039" s="1" t="s">
        <v>11995</v>
      </c>
      <c r="B4039" s="1"/>
      <c r="C4039" s="1"/>
      <c r="D4039" s="1"/>
      <c r="E4039" s="1"/>
      <c r="F4039" s="1"/>
      <c r="G4039" s="1" t="s">
        <v>24</v>
      </c>
      <c r="H4039" s="2">
        <v>264</v>
      </c>
      <c r="I4039" s="1" t="s">
        <v>11996</v>
      </c>
      <c r="J4039" s="1" t="s">
        <v>11570</v>
      </c>
      <c r="K4039" s="1" t="s">
        <v>31</v>
      </c>
      <c r="L4039" s="1" t="s">
        <v>11571</v>
      </c>
      <c r="M4039" s="6" t="str">
        <f>_xlfn.CONCAT(Table1[[#This Row],[Billing Street]], ", ", Table1[[#This Row],[Billing City]], ", ", Table1[[#This Row],[Billing State/Province]], ", ", Table1[[#This Row],[Billing Zip/Postal Code]])</f>
        <v>3027 Highway 98 West, Summit, MS, 39666</v>
      </c>
    </row>
    <row r="4040" spans="1:13" ht="15.6" x14ac:dyDescent="0.3">
      <c r="A4040" s="1" t="s">
        <v>11997</v>
      </c>
      <c r="B4040" s="1"/>
      <c r="C4040" s="1"/>
      <c r="D4040" s="1"/>
      <c r="E4040" s="1"/>
      <c r="F4040" s="1"/>
      <c r="G4040" s="1" t="s">
        <v>24</v>
      </c>
      <c r="H4040" s="2">
        <v>198</v>
      </c>
      <c r="I4040" s="1" t="s">
        <v>11998</v>
      </c>
      <c r="J4040" s="1" t="s">
        <v>11999</v>
      </c>
      <c r="K4040" s="1" t="s">
        <v>31</v>
      </c>
      <c r="L4040" s="1" t="s">
        <v>12000</v>
      </c>
      <c r="M4040" s="6" t="str">
        <f>_xlfn.CONCAT(Table1[[#This Row],[Billing Street]], ", ", Table1[[#This Row],[Billing City]], ", ", Table1[[#This Row],[Billing State/Province]], ", ", Table1[[#This Row],[Billing Zip/Postal Code]])</f>
        <v>18020 HWY 603, Kiln, MS, 39556</v>
      </c>
    </row>
    <row r="4041" spans="1:13" ht="15.6" x14ac:dyDescent="0.3">
      <c r="A4041" s="1" t="s">
        <v>12001</v>
      </c>
      <c r="B4041" s="1"/>
      <c r="C4041" s="1"/>
      <c r="D4041" s="1"/>
      <c r="E4041" s="1"/>
      <c r="F4041" s="1"/>
      <c r="G4041" s="1" t="s">
        <v>24</v>
      </c>
      <c r="H4041" s="2">
        <v>5988</v>
      </c>
      <c r="I4041" s="1" t="s">
        <v>12002</v>
      </c>
      <c r="J4041" s="1" t="s">
        <v>12003</v>
      </c>
      <c r="K4041" s="1" t="s">
        <v>31</v>
      </c>
      <c r="L4041" s="1" t="s">
        <v>12004</v>
      </c>
      <c r="M4041" s="6" t="str">
        <f>_xlfn.CONCAT(Table1[[#This Row],[Billing Street]], ", ", Table1[[#This Row],[Billing City]], ", ", Table1[[#This Row],[Billing State/Province]], ", ", Table1[[#This Row],[Billing Zip/Postal Code]])</f>
        <v>4600 Northcentral Way, Olive Branch, MS, 38654</v>
      </c>
    </row>
    <row r="4042" spans="1:13" ht="15.6" x14ac:dyDescent="0.3">
      <c r="A4042" s="1" t="s">
        <v>12005</v>
      </c>
      <c r="B4042" s="1"/>
      <c r="C4042" s="1"/>
      <c r="D4042" s="1"/>
      <c r="E4042" s="1"/>
      <c r="F4042" s="1"/>
      <c r="G4042" s="1" t="s">
        <v>24</v>
      </c>
      <c r="H4042" s="2">
        <v>5988</v>
      </c>
      <c r="I4042" s="1" t="s">
        <v>12006</v>
      </c>
      <c r="J4042" s="1" t="s">
        <v>12007</v>
      </c>
      <c r="K4042" s="1" t="s">
        <v>31</v>
      </c>
      <c r="L4042" s="1" t="s">
        <v>12008</v>
      </c>
      <c r="M4042" s="6" t="str">
        <f>_xlfn.CONCAT(Table1[[#This Row],[Billing Street]], ", ", Table1[[#This Row],[Billing City]], ", ", Table1[[#This Row],[Billing State/Province]], ", ", Table1[[#This Row],[Billing Zip/Postal Code]])</f>
        <v>900 East Avenue North, Hollandale, MS, 38748</v>
      </c>
    </row>
    <row r="4043" spans="1:13" ht="15.6" x14ac:dyDescent="0.3">
      <c r="A4043" s="1" t="s">
        <v>12009</v>
      </c>
      <c r="B4043" s="1"/>
      <c r="C4043" s="1"/>
      <c r="D4043" s="1"/>
      <c r="E4043" s="1"/>
      <c r="F4043" s="1"/>
      <c r="G4043" s="1" t="s">
        <v>24</v>
      </c>
      <c r="H4043" s="2">
        <v>5988</v>
      </c>
      <c r="I4043" s="1" t="s">
        <v>12010</v>
      </c>
      <c r="J4043" s="1" t="s">
        <v>860</v>
      </c>
      <c r="K4043" s="1" t="s">
        <v>31</v>
      </c>
      <c r="L4043" s="1" t="s">
        <v>6690</v>
      </c>
      <c r="M4043" s="6" t="str">
        <f>_xlfn.CONCAT(Table1[[#This Row],[Billing Street]], ", ", Table1[[#This Row],[Billing City]], ", ", Table1[[#This Row],[Billing State/Province]], ", ", Table1[[#This Row],[Billing Zip/Postal Code]])</f>
        <v>2201 River Road Extension, Greenwood, MS, 38930</v>
      </c>
    </row>
    <row r="4044" spans="1:13" ht="15.6" x14ac:dyDescent="0.3">
      <c r="A4044" s="1" t="s">
        <v>12011</v>
      </c>
      <c r="B4044" s="1"/>
      <c r="C4044" s="1"/>
      <c r="D4044" s="1"/>
      <c r="E4044" s="1"/>
      <c r="F4044" s="1"/>
      <c r="G4044" s="1" t="s">
        <v>24</v>
      </c>
      <c r="H4044" s="2">
        <v>187</v>
      </c>
      <c r="I4044" s="1" t="s">
        <v>12012</v>
      </c>
      <c r="J4044" s="1" t="s">
        <v>1831</v>
      </c>
      <c r="K4044" s="1" t="s">
        <v>31</v>
      </c>
      <c r="L4044" s="1" t="s">
        <v>3476</v>
      </c>
      <c r="M4044" s="6" t="str">
        <f>_xlfn.CONCAT(Table1[[#This Row],[Billing Street]], ", ", Table1[[#This Row],[Billing City]], ", ", Table1[[#This Row],[Billing State/Province]], ", ", Table1[[#This Row],[Billing Zip/Postal Code]])</f>
        <v>1863 Highway 184, Laurel, MS, 39443</v>
      </c>
    </row>
    <row r="4045" spans="1:13" ht="15.6" hidden="1" x14ac:dyDescent="0.3">
      <c r="A4045" s="1" t="s">
        <v>12013</v>
      </c>
      <c r="B4045" s="1"/>
      <c r="C4045" s="1"/>
      <c r="D4045" s="1"/>
      <c r="E4045" s="1"/>
      <c r="F4045" s="1"/>
      <c r="G4045" s="1" t="s">
        <v>43</v>
      </c>
      <c r="H4045" s="2">
        <v>5776</v>
      </c>
      <c r="I4045" s="1" t="s">
        <v>13</v>
      </c>
      <c r="J4045" s="1" t="s">
        <v>13</v>
      </c>
      <c r="K4045" s="1" t="s">
        <v>241</v>
      </c>
      <c r="L4045" s="1" t="s">
        <v>13</v>
      </c>
      <c r="M4045" s="6" t="str">
        <f>_xlfn.CONCAT(Table1[[#This Row],[Billing Street]], ", ", Table1[[#This Row],[Billing City]], ", ", Table1[[#This Row],[Billing State/Province]], ", ", Table1[[#This Row],[Billing Zip/Postal Code]])</f>
        <v xml:space="preserve">, , PA, </v>
      </c>
    </row>
    <row r="4046" spans="1:13" ht="15.6" hidden="1" x14ac:dyDescent="0.3">
      <c r="A4046" s="1" t="s">
        <v>12014</v>
      </c>
      <c r="B4046" s="1"/>
      <c r="C4046" s="1"/>
      <c r="D4046" s="1"/>
      <c r="E4046" s="1"/>
      <c r="F4046" s="1"/>
      <c r="G4046" s="1" t="s">
        <v>43</v>
      </c>
      <c r="H4046" s="2">
        <v>5776</v>
      </c>
      <c r="I4046" s="1" t="s">
        <v>13</v>
      </c>
      <c r="J4046" s="1" t="s">
        <v>13</v>
      </c>
      <c r="K4046" s="1" t="s">
        <v>241</v>
      </c>
      <c r="L4046" s="1" t="s">
        <v>13</v>
      </c>
      <c r="M4046" s="6" t="str">
        <f>_xlfn.CONCAT(Table1[[#This Row],[Billing Street]], ", ", Table1[[#This Row],[Billing City]], ", ", Table1[[#This Row],[Billing State/Province]], ", ", Table1[[#This Row],[Billing Zip/Postal Code]])</f>
        <v xml:space="preserve">, , PA, </v>
      </c>
    </row>
    <row r="4047" spans="1:13" ht="15.6" hidden="1" x14ac:dyDescent="0.3">
      <c r="A4047" s="1" t="s">
        <v>12015</v>
      </c>
      <c r="B4047" s="1"/>
      <c r="C4047" s="1"/>
      <c r="D4047" s="1"/>
      <c r="E4047" s="1"/>
      <c r="F4047" s="1"/>
      <c r="G4047" s="1" t="s">
        <v>43</v>
      </c>
      <c r="H4047" s="2">
        <v>46</v>
      </c>
      <c r="I4047" s="1" t="s">
        <v>12016</v>
      </c>
      <c r="J4047" s="1" t="s">
        <v>6230</v>
      </c>
      <c r="K4047" s="1" t="s">
        <v>45</v>
      </c>
      <c r="L4047" s="1" t="s">
        <v>12017</v>
      </c>
      <c r="M4047" s="6" t="str">
        <f>_xlfn.CONCAT(Table1[[#This Row],[Billing Street]], ", ", Table1[[#This Row],[Billing City]], ", ", Table1[[#This Row],[Billing State/Province]], ", ", Table1[[#This Row],[Billing Zip/Postal Code]])</f>
        <v>3991 Simon Road, Youngstown, OH, 44512</v>
      </c>
    </row>
    <row r="4048" spans="1:13" ht="15.6" hidden="1" x14ac:dyDescent="0.3">
      <c r="A4048" s="1" t="s">
        <v>12018</v>
      </c>
      <c r="B4048" s="1"/>
      <c r="C4048" s="1"/>
      <c r="D4048" s="1"/>
      <c r="E4048" s="1"/>
      <c r="F4048" s="1"/>
      <c r="G4048" s="1" t="s">
        <v>43</v>
      </c>
      <c r="H4048" s="2">
        <v>5776</v>
      </c>
      <c r="I4048" s="1" t="s">
        <v>13</v>
      </c>
      <c r="J4048" s="1" t="s">
        <v>13</v>
      </c>
      <c r="K4048" s="1" t="s">
        <v>241</v>
      </c>
      <c r="L4048" s="1" t="s">
        <v>13</v>
      </c>
      <c r="M4048" s="6" t="str">
        <f>_xlfn.CONCAT(Table1[[#This Row],[Billing Street]], ", ", Table1[[#This Row],[Billing City]], ", ", Table1[[#This Row],[Billing State/Province]], ", ", Table1[[#This Row],[Billing Zip/Postal Code]])</f>
        <v xml:space="preserve">, , PA, </v>
      </c>
    </row>
    <row r="4049" spans="1:13" ht="15.6" x14ac:dyDescent="0.3">
      <c r="A4049" s="1" t="s">
        <v>12019</v>
      </c>
      <c r="B4049" s="1"/>
      <c r="C4049" s="1"/>
      <c r="D4049" s="1"/>
      <c r="E4049" s="1"/>
      <c r="F4049" s="1"/>
      <c r="G4049" s="1" t="s">
        <v>24</v>
      </c>
      <c r="H4049" s="2">
        <v>68</v>
      </c>
      <c r="I4049" s="1" t="s">
        <v>12020</v>
      </c>
      <c r="J4049" s="1" t="s">
        <v>715</v>
      </c>
      <c r="K4049" s="1" t="s">
        <v>36</v>
      </c>
      <c r="L4049" s="1" t="s">
        <v>2448</v>
      </c>
      <c r="M4049" s="6" t="str">
        <f>_xlfn.CONCAT(Table1[[#This Row],[Billing Street]], ", ", Table1[[#This Row],[Billing City]], ", ", Table1[[#This Row],[Billing State/Province]], ", ", Table1[[#This Row],[Billing Zip/Postal Code]])</f>
        <v>4920 Chaney St,, Pensacola, FL, 32503</v>
      </c>
    </row>
    <row r="4050" spans="1:13" ht="15.6" hidden="1" x14ac:dyDescent="0.3">
      <c r="A4050" s="1" t="s">
        <v>12021</v>
      </c>
      <c r="B4050" s="1"/>
      <c r="C4050" s="1"/>
      <c r="D4050" s="1"/>
      <c r="E4050" s="1"/>
      <c r="F4050" s="1"/>
      <c r="G4050" s="1" t="s">
        <v>43</v>
      </c>
      <c r="H4050" s="2">
        <v>5776</v>
      </c>
      <c r="I4050" s="1" t="s">
        <v>13</v>
      </c>
      <c r="J4050" s="1" t="s">
        <v>13</v>
      </c>
      <c r="K4050" s="1" t="s">
        <v>241</v>
      </c>
      <c r="L4050" s="1" t="s">
        <v>13</v>
      </c>
      <c r="M4050" s="6" t="str">
        <f>_xlfn.CONCAT(Table1[[#This Row],[Billing Street]], ", ", Table1[[#This Row],[Billing City]], ", ", Table1[[#This Row],[Billing State/Province]], ", ", Table1[[#This Row],[Billing Zip/Postal Code]])</f>
        <v xml:space="preserve">, , PA, </v>
      </c>
    </row>
    <row r="4051" spans="1:13" ht="15.6" hidden="1" x14ac:dyDescent="0.3">
      <c r="A4051" s="1" t="s">
        <v>12022</v>
      </c>
      <c r="B4051" s="1"/>
      <c r="C4051" s="1"/>
      <c r="D4051" s="1"/>
      <c r="E4051" s="1"/>
      <c r="F4051" s="1"/>
      <c r="G4051" s="1" t="s">
        <v>43</v>
      </c>
      <c r="H4051" s="2">
        <v>37</v>
      </c>
      <c r="I4051" s="1" t="s">
        <v>12023</v>
      </c>
      <c r="J4051" s="1" t="s">
        <v>1940</v>
      </c>
      <c r="K4051" s="1" t="s">
        <v>45</v>
      </c>
      <c r="L4051" s="1" t="s">
        <v>12024</v>
      </c>
      <c r="M4051" s="6" t="str">
        <f>_xlfn.CONCAT(Table1[[#This Row],[Billing Street]], ", ", Table1[[#This Row],[Billing City]], ", ", Table1[[#This Row],[Billing State/Province]], ", ", Table1[[#This Row],[Billing Zip/Postal Code]])</f>
        <v>4575 Southway Street SW, Canton, OH, 44706</v>
      </c>
    </row>
    <row r="4052" spans="1:13" ht="15.6" hidden="1" x14ac:dyDescent="0.3">
      <c r="A4052" s="1" t="s">
        <v>12025</v>
      </c>
      <c r="B4052" s="1"/>
      <c r="C4052" s="1"/>
      <c r="D4052" s="1"/>
      <c r="E4052" s="1"/>
      <c r="F4052" s="1"/>
      <c r="G4052" s="1" t="s">
        <v>43</v>
      </c>
      <c r="H4052" s="2">
        <v>22</v>
      </c>
      <c r="I4052" s="1" t="s">
        <v>12026</v>
      </c>
      <c r="J4052" s="1" t="s">
        <v>4704</v>
      </c>
      <c r="K4052" s="1" t="s">
        <v>45</v>
      </c>
      <c r="L4052" s="1" t="s">
        <v>12027</v>
      </c>
      <c r="M4052" s="6" t="str">
        <f>_xlfn.CONCAT(Table1[[#This Row],[Billing Street]], ", ", Table1[[#This Row],[Billing City]], ", ", Table1[[#This Row],[Billing State/Province]], ", ", Table1[[#This Row],[Billing Zip/Postal Code]])</f>
        <v>1100 Loamshire Road, Akron, OH, 44319</v>
      </c>
    </row>
    <row r="4053" spans="1:13" ht="15.6" hidden="1" x14ac:dyDescent="0.3">
      <c r="A4053" s="1" t="s">
        <v>12028</v>
      </c>
      <c r="B4053" s="1"/>
      <c r="C4053" s="1"/>
      <c r="D4053" s="1"/>
      <c r="E4053" s="1"/>
      <c r="F4053" s="1"/>
      <c r="G4053" s="1" t="s">
        <v>43</v>
      </c>
      <c r="H4053" s="2">
        <v>146</v>
      </c>
      <c r="I4053" s="1" t="s">
        <v>12029</v>
      </c>
      <c r="J4053" s="1" t="s">
        <v>3368</v>
      </c>
      <c r="K4053" s="1" t="s">
        <v>45</v>
      </c>
      <c r="L4053" s="1" t="s">
        <v>3369</v>
      </c>
      <c r="M4053" s="6" t="str">
        <f>_xlfn.CONCAT(Table1[[#This Row],[Billing Street]], ", ", Table1[[#This Row],[Billing City]], ", ", Table1[[#This Row],[Billing State/Province]], ", ", Table1[[#This Row],[Billing Zip/Postal Code]])</f>
        <v>2200 Fort Amanda Road, Lima, OH, 45804</v>
      </c>
    </row>
    <row r="4054" spans="1:13" ht="15.6" hidden="1" x14ac:dyDescent="0.3">
      <c r="A4054" s="1" t="s">
        <v>12030</v>
      </c>
      <c r="B4054" s="1"/>
      <c r="C4054" s="1"/>
      <c r="D4054" s="1"/>
      <c r="E4054" s="1"/>
      <c r="F4054" s="1"/>
      <c r="G4054" s="1" t="s">
        <v>43</v>
      </c>
      <c r="H4054" s="2">
        <v>69</v>
      </c>
      <c r="I4054" s="1" t="s">
        <v>12031</v>
      </c>
      <c r="J4054" s="1" t="s">
        <v>4141</v>
      </c>
      <c r="K4054" s="1" t="s">
        <v>241</v>
      </c>
      <c r="L4054" s="1" t="s">
        <v>4142</v>
      </c>
      <c r="M4054" s="6" t="str">
        <f>_xlfn.CONCAT(Table1[[#This Row],[Billing Street]], ", ", Table1[[#This Row],[Billing City]], ", ", Table1[[#This Row],[Billing State/Province]], ", ", Table1[[#This Row],[Billing Zip/Postal Code]])</f>
        <v>One Inmetco Drive, Ellwood City, PA, 16117</v>
      </c>
    </row>
    <row r="4055" spans="1:13" ht="15.6" hidden="1" x14ac:dyDescent="0.3">
      <c r="A4055" s="1" t="s">
        <v>12032</v>
      </c>
      <c r="B4055" s="1"/>
      <c r="C4055" s="1"/>
      <c r="D4055" s="1"/>
      <c r="E4055" s="1"/>
      <c r="F4055" s="1"/>
      <c r="G4055" s="1" t="s">
        <v>43</v>
      </c>
      <c r="H4055" s="2">
        <v>67</v>
      </c>
      <c r="I4055" s="1" t="s">
        <v>12033</v>
      </c>
      <c r="J4055" s="1" t="s">
        <v>12034</v>
      </c>
      <c r="K4055" s="1" t="s">
        <v>45</v>
      </c>
      <c r="L4055" s="1" t="s">
        <v>12035</v>
      </c>
      <c r="M4055" s="6" t="str">
        <f>_xlfn.CONCAT(Table1[[#This Row],[Billing Street]], ", ", Table1[[#This Row],[Billing City]], ", ", Table1[[#This Row],[Billing State/Province]], ", ", Table1[[#This Row],[Billing Zip/Postal Code]])</f>
        <v>1250 St. George Street, East Liverpool, OH, 43920</v>
      </c>
    </row>
    <row r="4056" spans="1:13" ht="15.6" hidden="1" x14ac:dyDescent="0.3">
      <c r="A4056" s="1" t="s">
        <v>12036</v>
      </c>
      <c r="B4056" s="1"/>
      <c r="C4056" s="1"/>
      <c r="D4056" s="1"/>
      <c r="E4056" s="1"/>
      <c r="F4056" s="1"/>
      <c r="G4056" s="1" t="s">
        <v>43</v>
      </c>
      <c r="H4056" s="2">
        <v>102</v>
      </c>
      <c r="I4056" s="1" t="s">
        <v>12037</v>
      </c>
      <c r="J4056" s="1" t="s">
        <v>12038</v>
      </c>
      <c r="K4056" s="1" t="s">
        <v>45</v>
      </c>
      <c r="L4056" s="1" t="s">
        <v>12039</v>
      </c>
      <c r="M4056" s="6" t="str">
        <f>_xlfn.CONCAT(Table1[[#This Row],[Billing Street]], ", ", Table1[[#This Row],[Billing City]], ", ", Table1[[#This Row],[Billing State/Province]], ", ", Table1[[#This Row],[Billing Zip/Postal Code]])</f>
        <v>1109 N. Main Street, Fostoria, OH, 44830</v>
      </c>
    </row>
    <row r="4057" spans="1:13" ht="15.6" x14ac:dyDescent="0.3">
      <c r="A4057" s="1" t="s">
        <v>12040</v>
      </c>
      <c r="B4057" s="1"/>
      <c r="C4057" s="1"/>
      <c r="D4057" s="1"/>
      <c r="E4057" s="1"/>
      <c r="F4057" s="1"/>
      <c r="G4057" s="1" t="s">
        <v>24</v>
      </c>
      <c r="H4057" s="2">
        <v>5988</v>
      </c>
      <c r="I4057" s="1" t="s">
        <v>12041</v>
      </c>
      <c r="J4057" s="1" t="s">
        <v>8956</v>
      </c>
      <c r="K4057" s="1" t="s">
        <v>26</v>
      </c>
      <c r="L4057" s="1" t="s">
        <v>8957</v>
      </c>
      <c r="M4057" s="6" t="str">
        <f>_xlfn.CONCAT(Table1[[#This Row],[Billing Street]], ", ", Table1[[#This Row],[Billing City]], ", ", Table1[[#This Row],[Billing State/Province]], ", ", Table1[[#This Row],[Billing Zip/Postal Code]])</f>
        <v>654 Camp Creek Portal Road, Oakman, AL, 35579</v>
      </c>
    </row>
    <row r="4058" spans="1:13" ht="15.6" hidden="1" x14ac:dyDescent="0.3">
      <c r="A4058" s="1" t="s">
        <v>12042</v>
      </c>
      <c r="B4058" s="1"/>
      <c r="C4058" s="1"/>
      <c r="D4058" s="1"/>
      <c r="E4058" s="1"/>
      <c r="F4058" s="1"/>
      <c r="G4058" s="1" t="s">
        <v>43</v>
      </c>
      <c r="H4058" s="2">
        <v>246</v>
      </c>
      <c r="I4058" s="1" t="s">
        <v>12043</v>
      </c>
      <c r="J4058" s="1" t="s">
        <v>12044</v>
      </c>
      <c r="K4058" s="1" t="s">
        <v>82</v>
      </c>
      <c r="L4058" s="1" t="s">
        <v>12045</v>
      </c>
      <c r="M4058" s="6" t="str">
        <f>_xlfn.CONCAT(Table1[[#This Row],[Billing Street]], ", ", Table1[[#This Row],[Billing City]], ", ", Table1[[#This Row],[Billing State/Province]], ", ", Table1[[#This Row],[Billing Zip/Postal Code]])</f>
        <v>4099 Cedar Commercial Drive, Cedar Springs, MI, 49319</v>
      </c>
    </row>
    <row r="4059" spans="1:13" ht="15.6" hidden="1" x14ac:dyDescent="0.3">
      <c r="A4059" s="1" t="s">
        <v>12046</v>
      </c>
      <c r="B4059" s="1"/>
      <c r="C4059" s="1"/>
      <c r="D4059" s="1"/>
      <c r="E4059" s="1"/>
      <c r="F4059" s="1"/>
      <c r="G4059" s="1" t="s">
        <v>205</v>
      </c>
      <c r="H4059" s="2">
        <v>7481</v>
      </c>
      <c r="I4059" s="1" t="s">
        <v>1188</v>
      </c>
      <c r="J4059" s="1" t="s">
        <v>866</v>
      </c>
      <c r="K4059" s="1" t="s">
        <v>472</v>
      </c>
      <c r="L4059" s="1" t="s">
        <v>13</v>
      </c>
      <c r="M4059" s="6" t="str">
        <f>_xlfn.CONCAT(Table1[[#This Row],[Billing Street]], ", ", Table1[[#This Row],[Billing City]], ", ", Table1[[#This Row],[Billing State/Province]], ", ", Table1[[#This Row],[Billing Zip/Postal Code]])</f>
        <v xml:space="preserve">PO Box 724, Salem, UT, </v>
      </c>
    </row>
    <row r="4060" spans="1:13" ht="15.6" x14ac:dyDescent="0.3">
      <c r="A4060" s="1" t="s">
        <v>12047</v>
      </c>
      <c r="B4060" s="1"/>
      <c r="C4060" s="1"/>
      <c r="D4060" s="1"/>
      <c r="E4060" s="1"/>
      <c r="F4060" s="1"/>
      <c r="G4060" s="1" t="s">
        <v>24</v>
      </c>
      <c r="H4060" s="2">
        <v>325</v>
      </c>
      <c r="I4060" s="1" t="s">
        <v>12048</v>
      </c>
      <c r="J4060" s="1" t="s">
        <v>8299</v>
      </c>
      <c r="K4060" s="1" t="s">
        <v>36</v>
      </c>
      <c r="L4060" s="1" t="s">
        <v>13</v>
      </c>
      <c r="M4060" s="6" t="str">
        <f>_xlfn.CONCAT(Table1[[#This Row],[Billing Street]], ", ", Table1[[#This Row],[Billing City]], ", ", Table1[[#This Row],[Billing State/Province]], ", ", Table1[[#This Row],[Billing Zip/Postal Code]])</f>
        <v xml:space="preserve">1470 US Hwy 17 S, Bartow, FL, </v>
      </c>
    </row>
    <row r="4061" spans="1:13" ht="15.6" hidden="1" x14ac:dyDescent="0.3">
      <c r="A4061" s="1" t="s">
        <v>12049</v>
      </c>
      <c r="B4061" s="1"/>
      <c r="C4061" s="1"/>
      <c r="D4061" s="1"/>
      <c r="E4061" s="1"/>
      <c r="F4061" s="1"/>
      <c r="G4061" s="1" t="s">
        <v>54</v>
      </c>
      <c r="H4061" s="2">
        <v>87</v>
      </c>
      <c r="I4061" s="1" t="s">
        <v>12050</v>
      </c>
      <c r="J4061" s="1" t="s">
        <v>12051</v>
      </c>
      <c r="K4061" s="1" t="s">
        <v>57</v>
      </c>
      <c r="L4061" s="1" t="s">
        <v>12052</v>
      </c>
      <c r="M4061" s="6" t="str">
        <f>_xlfn.CONCAT(Table1[[#This Row],[Billing Street]], ", ", Table1[[#This Row],[Billing City]], ", ", Table1[[#This Row],[Billing State/Province]], ", ", Table1[[#This Row],[Billing Zip/Postal Code]])</f>
        <v>27 W. Anapamu St suite 109, Santa Barbara, CA, 93101</v>
      </c>
    </row>
    <row r="4062" spans="1:13" ht="15.6" hidden="1" x14ac:dyDescent="0.3">
      <c r="A4062" s="1" t="s">
        <v>12053</v>
      </c>
      <c r="B4062" s="1"/>
      <c r="C4062" s="1"/>
      <c r="D4062" s="1"/>
      <c r="E4062" s="1"/>
      <c r="F4062" s="1"/>
      <c r="G4062" s="1" t="s">
        <v>43</v>
      </c>
      <c r="H4062" s="2">
        <v>305</v>
      </c>
      <c r="I4062" s="1" t="s">
        <v>12054</v>
      </c>
      <c r="J4062" s="1" t="s">
        <v>12055</v>
      </c>
      <c r="K4062" s="1" t="s">
        <v>237</v>
      </c>
      <c r="L4062" s="1" t="s">
        <v>12056</v>
      </c>
      <c r="M4062" s="6" t="str">
        <f>_xlfn.CONCAT(Table1[[#This Row],[Billing Street]], ", ", Table1[[#This Row],[Billing City]], ", ", Table1[[#This Row],[Billing State/Province]], ", ", Table1[[#This Row],[Billing Zip/Postal Code]])</f>
        <v>1 North Broadway, Gary, IN, 46402</v>
      </c>
    </row>
    <row r="4063" spans="1:13" ht="15.6" hidden="1" x14ac:dyDescent="0.3">
      <c r="A4063" s="1" t="s">
        <v>12057</v>
      </c>
      <c r="B4063" s="1"/>
      <c r="C4063" s="1"/>
      <c r="D4063" s="1"/>
      <c r="E4063" s="1"/>
      <c r="F4063" s="1"/>
      <c r="G4063" s="1" t="s">
        <v>43</v>
      </c>
      <c r="H4063" s="2">
        <v>26</v>
      </c>
      <c r="I4063" s="1" t="s">
        <v>12058</v>
      </c>
      <c r="J4063" s="1" t="s">
        <v>12059</v>
      </c>
      <c r="K4063" s="1" t="s">
        <v>45</v>
      </c>
      <c r="L4063" s="1" t="s">
        <v>12060</v>
      </c>
      <c r="M4063" s="6" t="str">
        <f>_xlfn.CONCAT(Table1[[#This Row],[Billing Street]], ", ", Table1[[#This Row],[Billing City]], ", ", Table1[[#This Row],[Billing State/Province]], ", ", Table1[[#This Row],[Billing Zip/Postal Code]])</f>
        <v>25730 First Street, Westlake, OH, 44145</v>
      </c>
    </row>
    <row r="4064" spans="1:13" ht="15.6" hidden="1" x14ac:dyDescent="0.3">
      <c r="A4064" s="1" t="s">
        <v>12061</v>
      </c>
      <c r="B4064" s="1"/>
      <c r="C4064" s="1"/>
      <c r="D4064" s="1"/>
      <c r="E4064" s="1"/>
      <c r="F4064" s="1"/>
      <c r="G4064" s="1" t="s">
        <v>43</v>
      </c>
      <c r="H4064" s="2">
        <v>5776</v>
      </c>
      <c r="I4064" s="1" t="s">
        <v>13</v>
      </c>
      <c r="J4064" s="1" t="s">
        <v>13</v>
      </c>
      <c r="K4064" s="1" t="s">
        <v>241</v>
      </c>
      <c r="L4064" s="1" t="s">
        <v>13</v>
      </c>
      <c r="M4064" s="6" t="str">
        <f>_xlfn.CONCAT(Table1[[#This Row],[Billing Street]], ", ", Table1[[#This Row],[Billing City]], ", ", Table1[[#This Row],[Billing State/Province]], ", ", Table1[[#This Row],[Billing Zip/Postal Code]])</f>
        <v xml:space="preserve">, , PA, </v>
      </c>
    </row>
    <row r="4065" spans="1:13" ht="15.6" hidden="1" x14ac:dyDescent="0.3">
      <c r="A4065" s="1" t="s">
        <v>12062</v>
      </c>
      <c r="B4065" s="1"/>
      <c r="C4065" s="1"/>
      <c r="D4065" s="1"/>
      <c r="E4065" s="1"/>
      <c r="F4065" s="1"/>
      <c r="G4065" s="1" t="s">
        <v>43</v>
      </c>
      <c r="H4065" s="2">
        <v>115</v>
      </c>
      <c r="I4065" s="1" t="s">
        <v>12063</v>
      </c>
      <c r="J4065" s="1" t="s">
        <v>12064</v>
      </c>
      <c r="K4065" s="1" t="s">
        <v>82</v>
      </c>
      <c r="L4065" s="1" t="s">
        <v>12065</v>
      </c>
      <c r="M4065" s="6" t="str">
        <f>_xlfn.CONCAT(Table1[[#This Row],[Billing Street]], ", ", Table1[[#This Row],[Billing City]], ", ", Table1[[#This Row],[Billing State/Province]], ", ", Table1[[#This Row],[Billing Zip/Postal Code]])</f>
        <v>26554 Lawrence Street, Center Line, MI, 48015</v>
      </c>
    </row>
    <row r="4066" spans="1:13" ht="15.6" hidden="1" x14ac:dyDescent="0.3">
      <c r="A4066" s="1" t="s">
        <v>12066</v>
      </c>
      <c r="B4066" s="1"/>
      <c r="C4066" s="1"/>
      <c r="D4066" s="1"/>
      <c r="E4066" s="1"/>
      <c r="F4066" s="1"/>
      <c r="G4066" s="1" t="s">
        <v>43</v>
      </c>
      <c r="H4066" s="2">
        <v>115</v>
      </c>
      <c r="I4066" s="1" t="s">
        <v>12067</v>
      </c>
      <c r="J4066" s="1" t="s">
        <v>1650</v>
      </c>
      <c r="K4066" s="1" t="s">
        <v>45</v>
      </c>
      <c r="L4066" s="1" t="s">
        <v>12068</v>
      </c>
      <c r="M4066" s="6" t="str">
        <f>_xlfn.CONCAT(Table1[[#This Row],[Billing Street]], ", ", Table1[[#This Row],[Billing City]], ", ", Table1[[#This Row],[Billing State/Province]], ", ", Table1[[#This Row],[Billing Zip/Postal Code]])</f>
        <v>404 N. Byrne Road, Toledo, OH, 43607</v>
      </c>
    </row>
    <row r="4067" spans="1:13" ht="15.6" hidden="1" x14ac:dyDescent="0.3">
      <c r="A4067" s="1" t="s">
        <v>12069</v>
      </c>
      <c r="B4067" s="1"/>
      <c r="C4067" s="1"/>
      <c r="D4067" s="1"/>
      <c r="E4067" s="1"/>
      <c r="F4067" s="1"/>
      <c r="G4067" s="1" t="s">
        <v>43</v>
      </c>
      <c r="H4067" s="2">
        <v>5776</v>
      </c>
      <c r="I4067" s="1" t="s">
        <v>13</v>
      </c>
      <c r="J4067" s="1" t="s">
        <v>13</v>
      </c>
      <c r="K4067" s="1" t="s">
        <v>241</v>
      </c>
      <c r="L4067" s="1" t="s">
        <v>13</v>
      </c>
      <c r="M4067" s="6" t="str">
        <f>_xlfn.CONCAT(Table1[[#This Row],[Billing Street]], ", ", Table1[[#This Row],[Billing City]], ", ", Table1[[#This Row],[Billing State/Province]], ", ", Table1[[#This Row],[Billing Zip/Postal Code]])</f>
        <v xml:space="preserve">, , PA, </v>
      </c>
    </row>
    <row r="4068" spans="1:13" ht="15.6" hidden="1" x14ac:dyDescent="0.3">
      <c r="A4068" s="1" t="s">
        <v>12070</v>
      </c>
      <c r="B4068" s="1"/>
      <c r="C4068" s="1"/>
      <c r="D4068" s="1"/>
      <c r="E4068" s="1"/>
      <c r="F4068" s="1"/>
      <c r="G4068" s="1" t="s">
        <v>43</v>
      </c>
      <c r="H4068" s="2">
        <v>5776</v>
      </c>
      <c r="I4068" s="1" t="s">
        <v>13</v>
      </c>
      <c r="J4068" s="1" t="s">
        <v>13</v>
      </c>
      <c r="K4068" s="1" t="s">
        <v>241</v>
      </c>
      <c r="L4068" s="1" t="s">
        <v>13</v>
      </c>
      <c r="M4068" s="6" t="str">
        <f>_xlfn.CONCAT(Table1[[#This Row],[Billing Street]], ", ", Table1[[#This Row],[Billing City]], ", ", Table1[[#This Row],[Billing State/Province]], ", ", Table1[[#This Row],[Billing Zip/Postal Code]])</f>
        <v xml:space="preserve">, , PA, </v>
      </c>
    </row>
    <row r="4069" spans="1:13" ht="15.6" hidden="1" x14ac:dyDescent="0.3">
      <c r="A4069" s="1" t="s">
        <v>12071</v>
      </c>
      <c r="B4069" s="1"/>
      <c r="C4069" s="1"/>
      <c r="D4069" s="1"/>
      <c r="E4069" s="1"/>
      <c r="F4069" s="1"/>
      <c r="G4069" s="1" t="s">
        <v>98</v>
      </c>
      <c r="H4069" s="2">
        <v>5887</v>
      </c>
      <c r="I4069" s="1" t="s">
        <v>13</v>
      </c>
      <c r="J4069" s="1" t="s">
        <v>314</v>
      </c>
      <c r="K4069" s="1" t="s">
        <v>101</v>
      </c>
      <c r="L4069" s="1" t="s">
        <v>13</v>
      </c>
      <c r="M4069" s="6" t="str">
        <f>_xlfn.CONCAT(Table1[[#This Row],[Billing Street]], ", ", Table1[[#This Row],[Billing City]], ", ", Table1[[#This Row],[Billing State/Province]], ", ", Table1[[#This Row],[Billing Zip/Postal Code]])</f>
        <v xml:space="preserve">, Commerce, GA, </v>
      </c>
    </row>
    <row r="4070" spans="1:13" ht="15.6" hidden="1" x14ac:dyDescent="0.3">
      <c r="A4070" s="1" t="s">
        <v>12072</v>
      </c>
      <c r="B4070" s="1"/>
      <c r="C4070" s="1"/>
      <c r="D4070" s="1"/>
      <c r="E4070" s="1"/>
      <c r="F4070" s="1"/>
      <c r="G4070" s="1" t="s">
        <v>13</v>
      </c>
      <c r="H4070" s="2">
        <v>0</v>
      </c>
      <c r="I4070" s="1" t="s">
        <v>13</v>
      </c>
      <c r="J4070" s="1" t="s">
        <v>13</v>
      </c>
      <c r="K4070" s="1" t="s">
        <v>13</v>
      </c>
      <c r="L4070" s="1" t="s">
        <v>13</v>
      </c>
      <c r="M4070" s="6" t="str">
        <f>_xlfn.CONCAT(Table1[[#This Row],[Billing Street]], ", ", Table1[[#This Row],[Billing City]], ", ", Table1[[#This Row],[Billing State/Province]], ", ", Table1[[#This Row],[Billing Zip/Postal Code]])</f>
        <v xml:space="preserve">, , , </v>
      </c>
    </row>
    <row r="4071" spans="1:13" ht="15.6" hidden="1" x14ac:dyDescent="0.3">
      <c r="A4071" s="1" t="s">
        <v>12073</v>
      </c>
      <c r="B4071" s="1"/>
      <c r="C4071" s="1"/>
      <c r="D4071" s="1"/>
      <c r="E4071" s="1"/>
      <c r="F4071" s="1"/>
      <c r="G4071" s="1" t="s">
        <v>13</v>
      </c>
      <c r="H4071" s="2">
        <v>0</v>
      </c>
      <c r="I4071" s="1" t="s">
        <v>13</v>
      </c>
      <c r="J4071" s="1" t="s">
        <v>13</v>
      </c>
      <c r="K4071" s="1" t="s">
        <v>13</v>
      </c>
      <c r="L4071" s="1" t="s">
        <v>13</v>
      </c>
      <c r="M4071" s="6" t="str">
        <f>_xlfn.CONCAT(Table1[[#This Row],[Billing Street]], ", ", Table1[[#This Row],[Billing City]], ", ", Table1[[#This Row],[Billing State/Province]], ", ", Table1[[#This Row],[Billing Zip/Postal Code]])</f>
        <v xml:space="preserve">, , , </v>
      </c>
    </row>
    <row r="4072" spans="1:13" ht="15.6" hidden="1" x14ac:dyDescent="0.3">
      <c r="A4072" s="1" t="s">
        <v>12074</v>
      </c>
      <c r="B4072" s="1"/>
      <c r="C4072" s="1"/>
      <c r="D4072" s="1"/>
      <c r="E4072" s="1"/>
      <c r="F4072" s="1"/>
      <c r="G4072" s="1" t="s">
        <v>13</v>
      </c>
      <c r="H4072" s="2">
        <v>0</v>
      </c>
      <c r="I4072" s="1" t="s">
        <v>13</v>
      </c>
      <c r="J4072" s="1" t="s">
        <v>13</v>
      </c>
      <c r="K4072" s="1" t="s">
        <v>13</v>
      </c>
      <c r="L4072" s="1" t="s">
        <v>13</v>
      </c>
      <c r="M4072" s="6" t="str">
        <f>_xlfn.CONCAT(Table1[[#This Row],[Billing Street]], ", ", Table1[[#This Row],[Billing City]], ", ", Table1[[#This Row],[Billing State/Province]], ", ", Table1[[#This Row],[Billing Zip/Postal Code]])</f>
        <v xml:space="preserve">, , , </v>
      </c>
    </row>
    <row r="4073" spans="1:13" ht="15.6" hidden="1" x14ac:dyDescent="0.3">
      <c r="A4073" s="1" t="s">
        <v>12075</v>
      </c>
      <c r="B4073" s="1"/>
      <c r="C4073" s="1"/>
      <c r="D4073" s="1"/>
      <c r="E4073" s="1"/>
      <c r="F4073" s="1"/>
      <c r="G4073" s="1" t="s">
        <v>13</v>
      </c>
      <c r="H4073" s="2">
        <v>0</v>
      </c>
      <c r="I4073" s="1" t="s">
        <v>13</v>
      </c>
      <c r="J4073" s="1" t="s">
        <v>13</v>
      </c>
      <c r="K4073" s="1" t="s">
        <v>13</v>
      </c>
      <c r="L4073" s="1" t="s">
        <v>13</v>
      </c>
      <c r="M4073" s="6" t="str">
        <f>_xlfn.CONCAT(Table1[[#This Row],[Billing Street]], ", ", Table1[[#This Row],[Billing City]], ", ", Table1[[#This Row],[Billing State/Province]], ", ", Table1[[#This Row],[Billing Zip/Postal Code]])</f>
        <v xml:space="preserve">, , , </v>
      </c>
    </row>
    <row r="4074" spans="1:13" ht="15.6" hidden="1" x14ac:dyDescent="0.3">
      <c r="A4074" s="1" t="s">
        <v>12076</v>
      </c>
      <c r="B4074" s="1"/>
      <c r="C4074" s="1"/>
      <c r="D4074" s="1"/>
      <c r="E4074" s="1"/>
      <c r="F4074" s="1"/>
      <c r="G4074" s="1" t="s">
        <v>13</v>
      </c>
      <c r="H4074" s="2">
        <v>0</v>
      </c>
      <c r="I4074" s="1" t="s">
        <v>13</v>
      </c>
      <c r="J4074" s="1" t="s">
        <v>13</v>
      </c>
      <c r="K4074" s="1" t="s">
        <v>13</v>
      </c>
      <c r="L4074" s="1" t="s">
        <v>13</v>
      </c>
      <c r="M4074" s="6" t="str">
        <f>_xlfn.CONCAT(Table1[[#This Row],[Billing Street]], ", ", Table1[[#This Row],[Billing City]], ", ", Table1[[#This Row],[Billing State/Province]], ", ", Table1[[#This Row],[Billing Zip/Postal Code]])</f>
        <v xml:space="preserve">, , , </v>
      </c>
    </row>
    <row r="4075" spans="1:13" ht="15.6" hidden="1" x14ac:dyDescent="0.3">
      <c r="A4075" s="1" t="s">
        <v>12077</v>
      </c>
      <c r="B4075" s="1"/>
      <c r="C4075" s="1"/>
      <c r="D4075" s="1"/>
      <c r="E4075" s="1"/>
      <c r="F4075" s="1"/>
      <c r="G4075" s="1" t="s">
        <v>13</v>
      </c>
      <c r="H4075" s="2">
        <v>0</v>
      </c>
      <c r="I4075" s="1" t="s">
        <v>13</v>
      </c>
      <c r="J4075" s="1" t="s">
        <v>13</v>
      </c>
      <c r="K4075" s="1" t="s">
        <v>13</v>
      </c>
      <c r="L4075" s="1" t="s">
        <v>13</v>
      </c>
      <c r="M4075" s="6" t="str">
        <f>_xlfn.CONCAT(Table1[[#This Row],[Billing Street]], ", ", Table1[[#This Row],[Billing City]], ", ", Table1[[#This Row],[Billing State/Province]], ", ", Table1[[#This Row],[Billing Zip/Postal Code]])</f>
        <v xml:space="preserve">, , , </v>
      </c>
    </row>
    <row r="4076" spans="1:13" ht="15.6" hidden="1" x14ac:dyDescent="0.3">
      <c r="A4076" s="1" t="s">
        <v>12078</v>
      </c>
      <c r="B4076" s="1"/>
      <c r="C4076" s="1"/>
      <c r="D4076" s="1"/>
      <c r="E4076" s="1"/>
      <c r="F4076" s="1"/>
      <c r="G4076" s="1" t="s">
        <v>54</v>
      </c>
      <c r="H4076" s="2">
        <v>26</v>
      </c>
      <c r="I4076" s="1" t="s">
        <v>12079</v>
      </c>
      <c r="J4076" s="1" t="s">
        <v>12080</v>
      </c>
      <c r="K4076" s="1" t="s">
        <v>57</v>
      </c>
      <c r="L4076" s="1" t="s">
        <v>12081</v>
      </c>
      <c r="M4076" s="6" t="str">
        <f>_xlfn.CONCAT(Table1[[#This Row],[Billing Street]], ", ", Table1[[#This Row],[Billing City]], ", ", Table1[[#This Row],[Billing State/Province]], ", ", Table1[[#This Row],[Billing Zip/Postal Code]])</f>
        <v>630 E Foothill Blvd, San Dimas, CA, 91773</v>
      </c>
    </row>
    <row r="4077" spans="1:13" ht="15.6" hidden="1" x14ac:dyDescent="0.3">
      <c r="A4077" s="1" t="s">
        <v>12082</v>
      </c>
      <c r="B4077" s="1"/>
      <c r="C4077" s="1"/>
      <c r="D4077" s="1"/>
      <c r="E4077" s="1"/>
      <c r="F4077" s="1"/>
      <c r="G4077" s="1" t="s">
        <v>13</v>
      </c>
      <c r="H4077" s="2">
        <v>0</v>
      </c>
      <c r="I4077" s="1" t="s">
        <v>13</v>
      </c>
      <c r="J4077" s="1" t="s">
        <v>13</v>
      </c>
      <c r="K4077" s="1" t="s">
        <v>13</v>
      </c>
      <c r="L4077" s="1" t="s">
        <v>13</v>
      </c>
      <c r="M4077" s="6" t="str">
        <f>_xlfn.CONCAT(Table1[[#This Row],[Billing Street]], ", ", Table1[[#This Row],[Billing City]], ", ", Table1[[#This Row],[Billing State/Province]], ", ", Table1[[#This Row],[Billing Zip/Postal Code]])</f>
        <v xml:space="preserve">, , , </v>
      </c>
    </row>
    <row r="4078" spans="1:13" ht="15.6" hidden="1" x14ac:dyDescent="0.3">
      <c r="A4078" s="1" t="s">
        <v>12083</v>
      </c>
      <c r="B4078" s="1"/>
      <c r="C4078" s="1"/>
      <c r="D4078" s="1"/>
      <c r="E4078" s="1"/>
      <c r="F4078" s="1"/>
      <c r="G4078" s="1" t="s">
        <v>13</v>
      </c>
      <c r="H4078" s="2">
        <v>0</v>
      </c>
      <c r="I4078" s="1" t="s">
        <v>13</v>
      </c>
      <c r="J4078" s="1" t="s">
        <v>13</v>
      </c>
      <c r="K4078" s="1" t="s">
        <v>13</v>
      </c>
      <c r="L4078" s="1" t="s">
        <v>13</v>
      </c>
      <c r="M4078" s="6" t="str">
        <f>_xlfn.CONCAT(Table1[[#This Row],[Billing Street]], ", ", Table1[[#This Row],[Billing City]], ", ", Table1[[#This Row],[Billing State/Province]], ", ", Table1[[#This Row],[Billing Zip/Postal Code]])</f>
        <v xml:space="preserve">, , , </v>
      </c>
    </row>
    <row r="4079" spans="1:13" ht="15.6" hidden="1" x14ac:dyDescent="0.3">
      <c r="A4079" s="1" t="s">
        <v>12084</v>
      </c>
      <c r="B4079" s="1"/>
      <c r="C4079" s="1"/>
      <c r="D4079" s="1"/>
      <c r="E4079" s="1"/>
      <c r="F4079" s="1"/>
      <c r="G4079" s="1" t="s">
        <v>98</v>
      </c>
      <c r="H4079" s="2">
        <v>5887</v>
      </c>
      <c r="I4079" s="1" t="s">
        <v>13</v>
      </c>
      <c r="J4079" s="1" t="s">
        <v>12085</v>
      </c>
      <c r="K4079" s="1" t="s">
        <v>1135</v>
      </c>
      <c r="L4079" s="1" t="s">
        <v>13</v>
      </c>
      <c r="M4079" s="6" t="str">
        <f>_xlfn.CONCAT(Table1[[#This Row],[Billing Street]], ", ", Table1[[#This Row],[Billing City]], ", ", Table1[[#This Row],[Billing State/Province]], ", ", Table1[[#This Row],[Billing Zip/Postal Code]])</f>
        <v xml:space="preserve">, Rockwood, TN, </v>
      </c>
    </row>
    <row r="4080" spans="1:13" ht="15.6" hidden="1" x14ac:dyDescent="0.3">
      <c r="A4080" s="1" t="s">
        <v>12086</v>
      </c>
      <c r="B4080" s="1"/>
      <c r="C4080" s="1"/>
      <c r="D4080" s="1"/>
      <c r="E4080" s="1"/>
      <c r="F4080" s="1"/>
      <c r="G4080" s="1" t="s">
        <v>13</v>
      </c>
      <c r="H4080" s="2">
        <v>0</v>
      </c>
      <c r="I4080" s="1" t="s">
        <v>13</v>
      </c>
      <c r="J4080" s="1" t="s">
        <v>12087</v>
      </c>
      <c r="K4080" s="1" t="s">
        <v>13</v>
      </c>
      <c r="L4080" s="1" t="s">
        <v>13</v>
      </c>
      <c r="M4080" s="6" t="str">
        <f>_xlfn.CONCAT(Table1[[#This Row],[Billing Street]], ", ", Table1[[#This Row],[Billing City]], ", ", Table1[[#This Row],[Billing State/Province]], ", ", Table1[[#This Row],[Billing Zip/Postal Code]])</f>
        <v xml:space="preserve">, Columbus, OH, , </v>
      </c>
    </row>
    <row r="4081" spans="1:13" ht="15.6" hidden="1" x14ac:dyDescent="0.3">
      <c r="A4081" s="1" t="s">
        <v>12088</v>
      </c>
      <c r="B4081" s="1"/>
      <c r="C4081" s="1"/>
      <c r="D4081" s="1"/>
      <c r="E4081" s="1"/>
      <c r="F4081" s="1"/>
      <c r="G4081" s="1" t="s">
        <v>13</v>
      </c>
      <c r="H4081" s="2">
        <v>0</v>
      </c>
      <c r="I4081" s="1" t="s">
        <v>13</v>
      </c>
      <c r="J4081" s="1" t="s">
        <v>12089</v>
      </c>
      <c r="K4081" s="1" t="s">
        <v>13</v>
      </c>
      <c r="L4081" s="1" t="s">
        <v>13</v>
      </c>
      <c r="M4081" s="6" t="str">
        <f>_xlfn.CONCAT(Table1[[#This Row],[Billing Street]], ", ", Table1[[#This Row],[Billing City]], ", ", Table1[[#This Row],[Billing State/Province]], ", ", Table1[[#This Row],[Billing Zip/Postal Code]])</f>
        <v xml:space="preserve">, Waterford, OH, , </v>
      </c>
    </row>
    <row r="4082" spans="1:13" ht="15.6" hidden="1" x14ac:dyDescent="0.3">
      <c r="A4082" s="1" t="s">
        <v>12090</v>
      </c>
      <c r="B4082" s="1"/>
      <c r="C4082" s="1"/>
      <c r="D4082" s="1"/>
      <c r="E4082" s="1"/>
      <c r="F4082" s="1"/>
      <c r="G4082" s="1" t="s">
        <v>43</v>
      </c>
      <c r="H4082" s="2">
        <v>5776</v>
      </c>
      <c r="I4082" s="1" t="s">
        <v>13</v>
      </c>
      <c r="J4082" s="1" t="s">
        <v>5342</v>
      </c>
      <c r="K4082" s="1" t="s">
        <v>1191</v>
      </c>
      <c r="L4082" s="1" t="s">
        <v>13</v>
      </c>
      <c r="M4082" s="6" t="str">
        <f>_xlfn.CONCAT(Table1[[#This Row],[Billing Street]], ", ", Table1[[#This Row],[Billing City]], ", ", Table1[[#This Row],[Billing State/Province]], ", ", Table1[[#This Row],[Billing Zip/Postal Code]])</f>
        <v xml:space="preserve">, Elizabethtown, KY, </v>
      </c>
    </row>
    <row r="4083" spans="1:13" ht="15.6" hidden="1" x14ac:dyDescent="0.3">
      <c r="A4083" s="1" t="s">
        <v>12091</v>
      </c>
      <c r="B4083" s="1"/>
      <c r="C4083" s="1"/>
      <c r="D4083" s="1"/>
      <c r="E4083" s="1"/>
      <c r="F4083" s="1"/>
      <c r="G4083" s="1" t="s">
        <v>8</v>
      </c>
      <c r="H4083" s="2">
        <v>313</v>
      </c>
      <c r="I4083" s="1" t="s">
        <v>12092</v>
      </c>
      <c r="J4083" s="1" t="s">
        <v>2160</v>
      </c>
      <c r="K4083" s="1" t="s">
        <v>165</v>
      </c>
      <c r="L4083" s="1" t="s">
        <v>5517</v>
      </c>
      <c r="M4083" s="6" t="str">
        <f>_xlfn.CONCAT(Table1[[#This Row],[Billing Street]], ", ", Table1[[#This Row],[Billing City]], ", ", Table1[[#This Row],[Billing State/Province]], ", ", Table1[[#This Row],[Billing Zip/Postal Code]])</f>
        <v>1001 School Street, El Dorado, AR, 71730</v>
      </c>
    </row>
    <row r="4084" spans="1:13" ht="15.6" hidden="1" x14ac:dyDescent="0.3">
      <c r="A4084" s="1" t="s">
        <v>12093</v>
      </c>
      <c r="B4084" s="1"/>
      <c r="C4084" s="1"/>
      <c r="D4084" s="1"/>
      <c r="E4084" s="1"/>
      <c r="F4084" s="1"/>
      <c r="G4084" s="1" t="s">
        <v>13</v>
      </c>
      <c r="H4084" s="2">
        <v>0</v>
      </c>
      <c r="I4084" s="1" t="s">
        <v>13</v>
      </c>
      <c r="J4084" s="1" t="s">
        <v>12094</v>
      </c>
      <c r="K4084" s="1" t="s">
        <v>13</v>
      </c>
      <c r="L4084" s="1" t="s">
        <v>13</v>
      </c>
      <c r="M4084" s="6" t="str">
        <f>_xlfn.CONCAT(Table1[[#This Row],[Billing Street]], ", ", Table1[[#This Row],[Billing City]], ", ", Table1[[#This Row],[Billing State/Province]], ", ", Table1[[#This Row],[Billing Zip/Postal Code]])</f>
        <v xml:space="preserve">, Larrinburg, NC, , </v>
      </c>
    </row>
    <row r="4085" spans="1:13" ht="15.6" hidden="1" x14ac:dyDescent="0.3">
      <c r="A4085" s="1" t="s">
        <v>12095</v>
      </c>
      <c r="B4085" s="1"/>
      <c r="C4085" s="1"/>
      <c r="D4085" s="1"/>
      <c r="E4085" s="1"/>
      <c r="F4085" s="1"/>
      <c r="G4085" s="1" t="s">
        <v>13</v>
      </c>
      <c r="H4085" s="2">
        <v>0</v>
      </c>
      <c r="I4085" s="1" t="s">
        <v>13</v>
      </c>
      <c r="J4085" s="1" t="s">
        <v>12096</v>
      </c>
      <c r="K4085" s="1" t="s">
        <v>13</v>
      </c>
      <c r="L4085" s="1" t="s">
        <v>13</v>
      </c>
      <c r="M4085" s="6" t="str">
        <f>_xlfn.CONCAT(Table1[[#This Row],[Billing Street]], ", ", Table1[[#This Row],[Billing City]], ", ", Table1[[#This Row],[Billing State/Province]], ", ", Table1[[#This Row],[Billing Zip/Postal Code]])</f>
        <v xml:space="preserve">, Wake Forest, NC, , </v>
      </c>
    </row>
    <row r="4086" spans="1:13" ht="15.6" hidden="1" x14ac:dyDescent="0.3">
      <c r="A4086" s="1" t="s">
        <v>12097</v>
      </c>
      <c r="B4086" s="1"/>
      <c r="C4086" s="1"/>
      <c r="D4086" s="1"/>
      <c r="E4086" s="1"/>
      <c r="F4086" s="1"/>
      <c r="G4086" s="1" t="s">
        <v>13</v>
      </c>
      <c r="H4086" s="2">
        <v>0</v>
      </c>
      <c r="I4086" s="1" t="s">
        <v>13</v>
      </c>
      <c r="J4086" s="1" t="s">
        <v>12098</v>
      </c>
      <c r="K4086" s="1" t="s">
        <v>13</v>
      </c>
      <c r="L4086" s="1" t="s">
        <v>13</v>
      </c>
      <c r="M4086" s="6" t="str">
        <f>_xlfn.CONCAT(Table1[[#This Row],[Billing Street]], ", ", Table1[[#This Row],[Billing City]], ", ", Table1[[#This Row],[Billing State/Province]], ", ", Table1[[#This Row],[Billing Zip/Postal Code]])</f>
        <v xml:space="preserve">, Enfield, NC, , </v>
      </c>
    </row>
    <row r="4087" spans="1:13" ht="15.6" x14ac:dyDescent="0.3">
      <c r="A4087" s="1" t="s">
        <v>12099</v>
      </c>
      <c r="B4087" s="1"/>
      <c r="C4087" s="1"/>
      <c r="D4087" s="1"/>
      <c r="E4087" s="1"/>
      <c r="F4087" s="1"/>
      <c r="G4087" s="1" t="s">
        <v>24</v>
      </c>
      <c r="H4087" s="2">
        <v>29</v>
      </c>
      <c r="I4087" s="1" t="s">
        <v>12100</v>
      </c>
      <c r="J4087" s="1" t="s">
        <v>12101</v>
      </c>
      <c r="K4087" s="1" t="s">
        <v>36</v>
      </c>
      <c r="L4087" s="1" t="s">
        <v>12102</v>
      </c>
      <c r="M4087" s="6" t="str">
        <f>_xlfn.CONCAT(Table1[[#This Row],[Billing Street]], ", ", Table1[[#This Row],[Billing City]], ", ", Table1[[#This Row],[Billing State/Province]], ", ", Table1[[#This Row],[Billing Zip/Postal Code]])</f>
        <v>4471 Legendary Dr # 10, Destin, FL, 32541</v>
      </c>
    </row>
    <row r="4088" spans="1:13" ht="15.6" hidden="1" x14ac:dyDescent="0.3">
      <c r="A4088" s="1" t="s">
        <v>12103</v>
      </c>
      <c r="B4088" s="1"/>
      <c r="C4088" s="1"/>
      <c r="D4088" s="1"/>
      <c r="E4088" s="1"/>
      <c r="F4088" s="1"/>
      <c r="G4088" s="1" t="s">
        <v>13</v>
      </c>
      <c r="H4088" s="2">
        <v>0</v>
      </c>
      <c r="I4088" s="1" t="s">
        <v>13</v>
      </c>
      <c r="J4088" s="1" t="s">
        <v>13</v>
      </c>
      <c r="K4088" s="1" t="s">
        <v>13</v>
      </c>
      <c r="L4088" s="1" t="s">
        <v>13</v>
      </c>
      <c r="M4088" s="6" t="str">
        <f>_xlfn.CONCAT(Table1[[#This Row],[Billing Street]], ", ", Table1[[#This Row],[Billing City]], ", ", Table1[[#This Row],[Billing State/Province]], ", ", Table1[[#This Row],[Billing Zip/Postal Code]])</f>
        <v xml:space="preserve">, , , </v>
      </c>
    </row>
    <row r="4089" spans="1:13" ht="15.6" hidden="1" x14ac:dyDescent="0.3">
      <c r="A4089" s="1" t="s">
        <v>12104</v>
      </c>
      <c r="B4089" s="1"/>
      <c r="C4089" s="1"/>
      <c r="D4089" s="1"/>
      <c r="E4089" s="1"/>
      <c r="F4089" s="1"/>
      <c r="G4089" s="1" t="s">
        <v>13</v>
      </c>
      <c r="H4089" s="2">
        <v>0</v>
      </c>
      <c r="I4089" s="1" t="s">
        <v>13</v>
      </c>
      <c r="J4089" s="1" t="s">
        <v>13</v>
      </c>
      <c r="K4089" s="1" t="s">
        <v>13</v>
      </c>
      <c r="L4089" s="1" t="s">
        <v>13</v>
      </c>
      <c r="M4089" s="6" t="str">
        <f>_xlfn.CONCAT(Table1[[#This Row],[Billing Street]], ", ", Table1[[#This Row],[Billing City]], ", ", Table1[[#This Row],[Billing State/Province]], ", ", Table1[[#This Row],[Billing Zip/Postal Code]])</f>
        <v xml:space="preserve">, , , </v>
      </c>
    </row>
    <row r="4090" spans="1:13" ht="15.6" hidden="1" x14ac:dyDescent="0.3">
      <c r="A4090" s="1" t="s">
        <v>12105</v>
      </c>
      <c r="B4090" s="1"/>
      <c r="C4090" s="1"/>
      <c r="D4090" s="1"/>
      <c r="E4090" s="1"/>
      <c r="F4090" s="1"/>
      <c r="G4090" s="1" t="s">
        <v>13</v>
      </c>
      <c r="H4090" s="2">
        <v>0</v>
      </c>
      <c r="I4090" s="1" t="s">
        <v>13</v>
      </c>
      <c r="J4090" s="1" t="s">
        <v>13</v>
      </c>
      <c r="K4090" s="1" t="s">
        <v>13</v>
      </c>
      <c r="L4090" s="1" t="s">
        <v>13</v>
      </c>
      <c r="M4090" s="6" t="str">
        <f>_xlfn.CONCAT(Table1[[#This Row],[Billing Street]], ", ", Table1[[#This Row],[Billing City]], ", ", Table1[[#This Row],[Billing State/Province]], ", ", Table1[[#This Row],[Billing Zip/Postal Code]])</f>
        <v xml:space="preserve">, , , </v>
      </c>
    </row>
    <row r="4091" spans="1:13" ht="15.6" hidden="1" x14ac:dyDescent="0.3">
      <c r="A4091" s="1" t="s">
        <v>12106</v>
      </c>
      <c r="B4091" s="1"/>
      <c r="C4091" s="1"/>
      <c r="D4091" s="1"/>
      <c r="E4091" s="1"/>
      <c r="F4091" s="1"/>
      <c r="G4091" s="1" t="s">
        <v>13</v>
      </c>
      <c r="H4091" s="2">
        <v>0</v>
      </c>
      <c r="I4091" s="1" t="s">
        <v>13</v>
      </c>
      <c r="J4091" s="1" t="s">
        <v>13</v>
      </c>
      <c r="K4091" s="1" t="s">
        <v>13</v>
      </c>
      <c r="L4091" s="1" t="s">
        <v>13</v>
      </c>
      <c r="M4091" s="6" t="str">
        <f>_xlfn.CONCAT(Table1[[#This Row],[Billing Street]], ", ", Table1[[#This Row],[Billing City]], ", ", Table1[[#This Row],[Billing State/Province]], ", ", Table1[[#This Row],[Billing Zip/Postal Code]])</f>
        <v xml:space="preserve">, , , </v>
      </c>
    </row>
    <row r="4092" spans="1:13" ht="15.6" hidden="1" x14ac:dyDescent="0.3">
      <c r="A4092" s="1" t="s">
        <v>12107</v>
      </c>
      <c r="B4092" s="1"/>
      <c r="C4092" s="1"/>
      <c r="D4092" s="1"/>
      <c r="E4092" s="1"/>
      <c r="F4092" s="1"/>
      <c r="G4092" s="1" t="s">
        <v>13</v>
      </c>
      <c r="H4092" s="2">
        <v>0</v>
      </c>
      <c r="I4092" s="1" t="s">
        <v>13</v>
      </c>
      <c r="J4092" s="1" t="s">
        <v>13</v>
      </c>
      <c r="K4092" s="1" t="s">
        <v>13</v>
      </c>
      <c r="L4092" s="1" t="s">
        <v>13</v>
      </c>
      <c r="M4092" s="6" t="str">
        <f>_xlfn.CONCAT(Table1[[#This Row],[Billing Street]], ", ", Table1[[#This Row],[Billing City]], ", ", Table1[[#This Row],[Billing State/Province]], ", ", Table1[[#This Row],[Billing Zip/Postal Code]])</f>
        <v xml:space="preserve">, , , </v>
      </c>
    </row>
    <row r="4093" spans="1:13" ht="15.6" hidden="1" x14ac:dyDescent="0.3">
      <c r="A4093" s="1" t="s">
        <v>12108</v>
      </c>
      <c r="B4093" s="1"/>
      <c r="C4093" s="1"/>
      <c r="D4093" s="1"/>
      <c r="E4093" s="1"/>
      <c r="F4093" s="1"/>
      <c r="G4093" s="1" t="s">
        <v>8</v>
      </c>
      <c r="H4093" s="2">
        <v>571</v>
      </c>
      <c r="I4093" s="1" t="s">
        <v>12109</v>
      </c>
      <c r="J4093" s="1" t="s">
        <v>12110</v>
      </c>
      <c r="K4093" s="1" t="s">
        <v>128</v>
      </c>
      <c r="L4093" s="1" t="s">
        <v>12111</v>
      </c>
      <c r="M4093" s="6" t="str">
        <f>_xlfn.CONCAT(Table1[[#This Row],[Billing Street]], ", ", Table1[[#This Row],[Billing City]], ", ", Table1[[#This Row],[Billing State/Province]], ", ", Table1[[#This Row],[Billing Zip/Postal Code]])</f>
        <v>320 E Hwy 12, Benson, MN, 56215</v>
      </c>
    </row>
    <row r="4094" spans="1:13" ht="15.6" hidden="1" x14ac:dyDescent="0.3">
      <c r="A4094" s="1" t="s">
        <v>12112</v>
      </c>
      <c r="B4094" s="1"/>
      <c r="C4094" s="1"/>
      <c r="D4094" s="1"/>
      <c r="E4094" s="1"/>
      <c r="F4094" s="1"/>
      <c r="G4094" s="1" t="s">
        <v>8</v>
      </c>
      <c r="H4094" s="2">
        <v>501</v>
      </c>
      <c r="I4094" s="1" t="s">
        <v>12113</v>
      </c>
      <c r="J4094" s="1" t="s">
        <v>557</v>
      </c>
      <c r="K4094" s="1" t="s">
        <v>51</v>
      </c>
      <c r="L4094" s="1" t="s">
        <v>557</v>
      </c>
      <c r="M4094" s="6" t="str">
        <f>_xlfn.CONCAT(Table1[[#This Row],[Billing Street]], ", ", Table1[[#This Row],[Billing City]], ", ", Table1[[#This Row],[Billing State/Province]], ", ", Table1[[#This Row],[Billing Zip/Postal Code]])</f>
        <v>PO Box 4362, Houston, TX, Houston</v>
      </c>
    </row>
    <row r="4095" spans="1:13" ht="15.6" hidden="1" x14ac:dyDescent="0.3">
      <c r="A4095" s="1" t="s">
        <v>12114</v>
      </c>
      <c r="B4095" s="1"/>
      <c r="C4095" s="1"/>
      <c r="D4095" s="1"/>
      <c r="E4095" s="1"/>
      <c r="F4095" s="1"/>
      <c r="G4095" s="1" t="s">
        <v>13</v>
      </c>
      <c r="H4095" s="2">
        <v>0</v>
      </c>
      <c r="I4095" s="1" t="s">
        <v>13</v>
      </c>
      <c r="J4095" s="1" t="s">
        <v>13</v>
      </c>
      <c r="K4095" s="1" t="s">
        <v>13</v>
      </c>
      <c r="L4095" s="1" t="s">
        <v>13</v>
      </c>
      <c r="M4095" s="6" t="str">
        <f>_xlfn.CONCAT(Table1[[#This Row],[Billing Street]], ", ", Table1[[#This Row],[Billing City]], ", ", Table1[[#This Row],[Billing State/Province]], ", ", Table1[[#This Row],[Billing Zip/Postal Code]])</f>
        <v xml:space="preserve">, , , </v>
      </c>
    </row>
    <row r="4096" spans="1:13" ht="15.6" hidden="1" x14ac:dyDescent="0.3">
      <c r="A4096" s="1" t="s">
        <v>12115</v>
      </c>
      <c r="B4096" s="1"/>
      <c r="C4096" s="1"/>
      <c r="D4096" s="1"/>
      <c r="E4096" s="1"/>
      <c r="F4096" s="1"/>
      <c r="G4096" s="1" t="s">
        <v>48</v>
      </c>
      <c r="H4096" s="2">
        <v>0</v>
      </c>
      <c r="I4096" s="1" t="s">
        <v>12116</v>
      </c>
      <c r="J4096" s="1" t="s">
        <v>12117</v>
      </c>
      <c r="K4096" s="1" t="s">
        <v>241</v>
      </c>
      <c r="L4096" s="1" t="s">
        <v>12118</v>
      </c>
      <c r="M4096" s="6" t="str">
        <f>_xlfn.CONCAT(Table1[[#This Row],[Billing Street]], ", ", Table1[[#This Row],[Billing City]], ", ", Table1[[#This Row],[Billing State/Province]], ", ", Table1[[#This Row],[Billing Zip/Postal Code]])</f>
        <v>106 Simko Blvd.  Suite 100, Charleroi, PA, 15022</v>
      </c>
    </row>
    <row r="4097" spans="1:13" ht="15.6" hidden="1" x14ac:dyDescent="0.3">
      <c r="A4097" s="1" t="s">
        <v>12119</v>
      </c>
      <c r="B4097" s="1"/>
      <c r="C4097" s="1"/>
      <c r="D4097" s="1"/>
      <c r="E4097" s="1"/>
      <c r="F4097" s="1"/>
      <c r="G4097" s="1" t="s">
        <v>13</v>
      </c>
      <c r="H4097" s="2">
        <v>0</v>
      </c>
      <c r="I4097" s="1" t="s">
        <v>13</v>
      </c>
      <c r="J4097" s="1" t="s">
        <v>13</v>
      </c>
      <c r="K4097" s="1" t="s">
        <v>13</v>
      </c>
      <c r="L4097" s="1" t="s">
        <v>13</v>
      </c>
      <c r="M4097" s="6" t="str">
        <f>_xlfn.CONCAT(Table1[[#This Row],[Billing Street]], ", ", Table1[[#This Row],[Billing City]], ", ", Table1[[#This Row],[Billing State/Province]], ", ", Table1[[#This Row],[Billing Zip/Postal Code]])</f>
        <v xml:space="preserve">, , , </v>
      </c>
    </row>
    <row r="4098" spans="1:13" ht="15.6" hidden="1" x14ac:dyDescent="0.3">
      <c r="A4098" s="1" t="s">
        <v>12120</v>
      </c>
      <c r="B4098" s="1"/>
      <c r="C4098" s="1"/>
      <c r="D4098" s="1"/>
      <c r="E4098" s="1"/>
      <c r="F4098" s="1"/>
      <c r="G4098" s="1" t="s">
        <v>13</v>
      </c>
      <c r="H4098" s="2">
        <v>0</v>
      </c>
      <c r="I4098" s="1" t="s">
        <v>13</v>
      </c>
      <c r="J4098" s="1" t="s">
        <v>13</v>
      </c>
      <c r="K4098" s="1" t="s">
        <v>13</v>
      </c>
      <c r="L4098" s="1" t="s">
        <v>13</v>
      </c>
      <c r="M4098" s="6" t="str">
        <f>_xlfn.CONCAT(Table1[[#This Row],[Billing Street]], ", ", Table1[[#This Row],[Billing City]], ", ", Table1[[#This Row],[Billing State/Province]], ", ", Table1[[#This Row],[Billing Zip/Postal Code]])</f>
        <v xml:space="preserve">, , , </v>
      </c>
    </row>
    <row r="4099" spans="1:13" ht="15.6" hidden="1" x14ac:dyDescent="0.3">
      <c r="A4099" s="1" t="s">
        <v>12121</v>
      </c>
      <c r="B4099" s="1"/>
      <c r="C4099" s="1"/>
      <c r="D4099" s="1"/>
      <c r="E4099" s="1"/>
      <c r="F4099" s="1"/>
      <c r="G4099" s="1" t="s">
        <v>13</v>
      </c>
      <c r="H4099" s="2">
        <v>0</v>
      </c>
      <c r="I4099" s="1" t="s">
        <v>13</v>
      </c>
      <c r="J4099" s="1" t="s">
        <v>13</v>
      </c>
      <c r="K4099" s="1" t="s">
        <v>13</v>
      </c>
      <c r="L4099" s="1" t="s">
        <v>13</v>
      </c>
      <c r="M4099" s="6" t="str">
        <f>_xlfn.CONCAT(Table1[[#This Row],[Billing Street]], ", ", Table1[[#This Row],[Billing City]], ", ", Table1[[#This Row],[Billing State/Province]], ", ", Table1[[#This Row],[Billing Zip/Postal Code]])</f>
        <v xml:space="preserve">, , , </v>
      </c>
    </row>
    <row r="4100" spans="1:13" ht="15.6" hidden="1" x14ac:dyDescent="0.3">
      <c r="A4100" s="1" t="s">
        <v>12122</v>
      </c>
      <c r="B4100" s="1"/>
      <c r="C4100" s="1"/>
      <c r="D4100" s="1"/>
      <c r="E4100" s="1"/>
      <c r="F4100" s="1"/>
      <c r="G4100" s="1" t="s">
        <v>13</v>
      </c>
      <c r="H4100" s="2">
        <v>0</v>
      </c>
      <c r="I4100" s="1" t="s">
        <v>13</v>
      </c>
      <c r="J4100" s="1" t="s">
        <v>13</v>
      </c>
      <c r="K4100" s="1" t="s">
        <v>13</v>
      </c>
      <c r="L4100" s="1" t="s">
        <v>13</v>
      </c>
      <c r="M4100" s="6" t="str">
        <f>_xlfn.CONCAT(Table1[[#This Row],[Billing Street]], ", ", Table1[[#This Row],[Billing City]], ", ", Table1[[#This Row],[Billing State/Province]], ", ", Table1[[#This Row],[Billing Zip/Postal Code]])</f>
        <v xml:space="preserve">, , , </v>
      </c>
    </row>
    <row r="4101" spans="1:13" ht="15.6" hidden="1" x14ac:dyDescent="0.3">
      <c r="A4101" s="1" t="s">
        <v>12123</v>
      </c>
      <c r="B4101" s="1"/>
      <c r="C4101" s="1"/>
      <c r="D4101" s="1"/>
      <c r="E4101" s="1"/>
      <c r="F4101" s="1"/>
      <c r="G4101" s="1" t="s">
        <v>13</v>
      </c>
      <c r="H4101" s="2">
        <v>0</v>
      </c>
      <c r="I4101" s="1" t="s">
        <v>13</v>
      </c>
      <c r="J4101" s="1" t="s">
        <v>13</v>
      </c>
      <c r="K4101" s="1" t="s">
        <v>13</v>
      </c>
      <c r="L4101" s="1" t="s">
        <v>13</v>
      </c>
      <c r="M4101" s="6" t="str">
        <f>_xlfn.CONCAT(Table1[[#This Row],[Billing Street]], ", ", Table1[[#This Row],[Billing City]], ", ", Table1[[#This Row],[Billing State/Province]], ", ", Table1[[#This Row],[Billing Zip/Postal Code]])</f>
        <v xml:space="preserve">, , , </v>
      </c>
    </row>
    <row r="4102" spans="1:13" ht="15.6" hidden="1" x14ac:dyDescent="0.3">
      <c r="A4102" s="1" t="s">
        <v>12124</v>
      </c>
      <c r="B4102" s="1"/>
      <c r="C4102" s="1"/>
      <c r="D4102" s="1"/>
      <c r="E4102" s="1"/>
      <c r="F4102" s="1"/>
      <c r="G4102" s="1" t="s">
        <v>13</v>
      </c>
      <c r="H4102" s="2">
        <v>0</v>
      </c>
      <c r="I4102" s="1" t="s">
        <v>13</v>
      </c>
      <c r="J4102" s="1" t="s">
        <v>13</v>
      </c>
      <c r="K4102" s="1" t="s">
        <v>13</v>
      </c>
      <c r="L4102" s="1" t="s">
        <v>13</v>
      </c>
      <c r="M4102" s="6" t="str">
        <f>_xlfn.CONCAT(Table1[[#This Row],[Billing Street]], ", ", Table1[[#This Row],[Billing City]], ", ", Table1[[#This Row],[Billing State/Province]], ", ", Table1[[#This Row],[Billing Zip/Postal Code]])</f>
        <v xml:space="preserve">, , , </v>
      </c>
    </row>
    <row r="4103" spans="1:13" ht="15.6" hidden="1" x14ac:dyDescent="0.3">
      <c r="A4103" s="1" t="s">
        <v>12125</v>
      </c>
      <c r="B4103" s="1"/>
      <c r="C4103" s="1"/>
      <c r="D4103" s="1"/>
      <c r="E4103" s="1"/>
      <c r="F4103" s="1"/>
      <c r="G4103" s="1" t="s">
        <v>13</v>
      </c>
      <c r="H4103" s="2">
        <v>0</v>
      </c>
      <c r="I4103" s="1" t="s">
        <v>13</v>
      </c>
      <c r="J4103" s="1" t="s">
        <v>13</v>
      </c>
      <c r="K4103" s="1" t="s">
        <v>13</v>
      </c>
      <c r="L4103" s="1" t="s">
        <v>13</v>
      </c>
      <c r="M4103" s="6" t="str">
        <f>_xlfn.CONCAT(Table1[[#This Row],[Billing Street]], ", ", Table1[[#This Row],[Billing City]], ", ", Table1[[#This Row],[Billing State/Province]], ", ", Table1[[#This Row],[Billing Zip/Postal Code]])</f>
        <v xml:space="preserve">, , , </v>
      </c>
    </row>
    <row r="4104" spans="1:13" ht="15.6" hidden="1" x14ac:dyDescent="0.3">
      <c r="A4104" s="1" t="s">
        <v>12126</v>
      </c>
      <c r="B4104" s="1"/>
      <c r="C4104" s="1"/>
      <c r="D4104" s="1"/>
      <c r="E4104" s="1"/>
      <c r="F4104" s="1"/>
      <c r="G4104" s="1" t="s">
        <v>13</v>
      </c>
      <c r="H4104" s="2">
        <v>0</v>
      </c>
      <c r="I4104" s="1" t="s">
        <v>4053</v>
      </c>
      <c r="J4104" s="1" t="s">
        <v>13</v>
      </c>
      <c r="K4104" s="1" t="s">
        <v>13</v>
      </c>
      <c r="L4104" s="1" t="s">
        <v>13</v>
      </c>
      <c r="M4104" s="6" t="str">
        <f>_xlfn.CONCAT(Table1[[#This Row],[Billing Street]], ", ", Table1[[#This Row],[Billing City]], ", ", Table1[[#This Row],[Billing State/Province]], ", ", Table1[[#This Row],[Billing Zip/Postal Code]])</f>
        <v xml:space="preserve">Eglin AFB, , , </v>
      </c>
    </row>
    <row r="4105" spans="1:13" ht="15.6" hidden="1" x14ac:dyDescent="0.3">
      <c r="A4105" s="1" t="s">
        <v>12127</v>
      </c>
      <c r="B4105" s="1"/>
      <c r="C4105" s="1"/>
      <c r="D4105" s="1"/>
      <c r="E4105" s="1"/>
      <c r="F4105" s="1"/>
      <c r="G4105" s="1" t="s">
        <v>13</v>
      </c>
      <c r="H4105" s="2">
        <v>0</v>
      </c>
      <c r="I4105" s="1" t="s">
        <v>12128</v>
      </c>
      <c r="J4105" s="1" t="s">
        <v>13</v>
      </c>
      <c r="K4105" s="1" t="s">
        <v>13</v>
      </c>
      <c r="L4105" s="1" t="s">
        <v>13</v>
      </c>
      <c r="M4105" s="6" t="str">
        <f>_xlfn.CONCAT(Table1[[#This Row],[Billing Street]], ", ", Table1[[#This Row],[Billing City]], ", ", Table1[[#This Row],[Billing State/Province]], ", ", Table1[[#This Row],[Billing Zip/Postal Code]])</f>
        <v xml:space="preserve">Gamer, NC, , , </v>
      </c>
    </row>
    <row r="4106" spans="1:13" ht="15.6" hidden="1" x14ac:dyDescent="0.3">
      <c r="A4106" s="1" t="s">
        <v>12129</v>
      </c>
      <c r="B4106" s="1"/>
      <c r="C4106" s="1"/>
      <c r="D4106" s="1"/>
      <c r="E4106" s="1"/>
      <c r="F4106" s="1"/>
      <c r="G4106" s="1" t="s">
        <v>13</v>
      </c>
      <c r="H4106" s="2">
        <v>0</v>
      </c>
      <c r="I4106" s="1" t="s">
        <v>13</v>
      </c>
      <c r="J4106" s="1" t="s">
        <v>13</v>
      </c>
      <c r="K4106" s="1" t="s">
        <v>13</v>
      </c>
      <c r="L4106" s="1" t="s">
        <v>13</v>
      </c>
      <c r="M4106" s="6" t="str">
        <f>_xlfn.CONCAT(Table1[[#This Row],[Billing Street]], ", ", Table1[[#This Row],[Billing City]], ", ", Table1[[#This Row],[Billing State/Province]], ", ", Table1[[#This Row],[Billing Zip/Postal Code]])</f>
        <v xml:space="preserve">, , , </v>
      </c>
    </row>
    <row r="4107" spans="1:13" ht="15.6" hidden="1" x14ac:dyDescent="0.3">
      <c r="A4107" s="1" t="s">
        <v>12130</v>
      </c>
      <c r="B4107" s="1"/>
      <c r="C4107" s="1"/>
      <c r="D4107" s="1"/>
      <c r="E4107" s="1"/>
      <c r="F4107" s="1"/>
      <c r="G4107" s="1" t="s">
        <v>13</v>
      </c>
      <c r="H4107" s="2">
        <v>0</v>
      </c>
      <c r="I4107" s="1" t="s">
        <v>13</v>
      </c>
      <c r="J4107" s="1" t="s">
        <v>13</v>
      </c>
      <c r="K4107" s="1" t="s">
        <v>13</v>
      </c>
      <c r="L4107" s="1" t="s">
        <v>13</v>
      </c>
      <c r="M4107" s="6" t="str">
        <f>_xlfn.CONCAT(Table1[[#This Row],[Billing Street]], ", ", Table1[[#This Row],[Billing City]], ", ", Table1[[#This Row],[Billing State/Province]], ", ", Table1[[#This Row],[Billing Zip/Postal Code]])</f>
        <v xml:space="preserve">, , , </v>
      </c>
    </row>
    <row r="4108" spans="1:13" ht="15.6" hidden="1" x14ac:dyDescent="0.3">
      <c r="A4108" s="1" t="s">
        <v>12131</v>
      </c>
      <c r="B4108" s="1"/>
      <c r="C4108" s="1"/>
      <c r="D4108" s="1"/>
      <c r="E4108" s="1"/>
      <c r="F4108" s="1"/>
      <c r="G4108" s="1" t="s">
        <v>13</v>
      </c>
      <c r="H4108" s="2">
        <v>0</v>
      </c>
      <c r="I4108" s="1" t="s">
        <v>13</v>
      </c>
      <c r="J4108" s="1" t="s">
        <v>13</v>
      </c>
      <c r="K4108" s="1" t="s">
        <v>13</v>
      </c>
      <c r="L4108" s="1" t="s">
        <v>13</v>
      </c>
      <c r="M4108" s="6" t="str">
        <f>_xlfn.CONCAT(Table1[[#This Row],[Billing Street]], ", ", Table1[[#This Row],[Billing City]], ", ", Table1[[#This Row],[Billing State/Province]], ", ", Table1[[#This Row],[Billing Zip/Postal Code]])</f>
        <v xml:space="preserve">, , , </v>
      </c>
    </row>
    <row r="4109" spans="1:13" ht="15.6" hidden="1" x14ac:dyDescent="0.3">
      <c r="A4109" s="1" t="s">
        <v>12132</v>
      </c>
      <c r="B4109" s="1"/>
      <c r="C4109" s="1"/>
      <c r="D4109" s="1"/>
      <c r="E4109" s="1"/>
      <c r="F4109" s="1"/>
      <c r="G4109" s="1" t="s">
        <v>13</v>
      </c>
      <c r="H4109" s="2">
        <v>0</v>
      </c>
      <c r="I4109" s="1" t="s">
        <v>13</v>
      </c>
      <c r="J4109" s="1" t="s">
        <v>13</v>
      </c>
      <c r="K4109" s="1" t="s">
        <v>13</v>
      </c>
      <c r="L4109" s="1" t="s">
        <v>13</v>
      </c>
      <c r="M4109" s="6" t="str">
        <f>_xlfn.CONCAT(Table1[[#This Row],[Billing Street]], ", ", Table1[[#This Row],[Billing City]], ", ", Table1[[#This Row],[Billing State/Province]], ", ", Table1[[#This Row],[Billing Zip/Postal Code]])</f>
        <v xml:space="preserve">, , , </v>
      </c>
    </row>
    <row r="4110" spans="1:13" ht="15.6" hidden="1" x14ac:dyDescent="0.3">
      <c r="A4110" s="1" t="s">
        <v>12133</v>
      </c>
      <c r="B4110" s="1"/>
      <c r="C4110" s="1"/>
      <c r="D4110" s="1"/>
      <c r="E4110" s="1"/>
      <c r="F4110" s="1"/>
      <c r="G4110" s="1" t="s">
        <v>13</v>
      </c>
      <c r="H4110" s="2">
        <v>0</v>
      </c>
      <c r="I4110" s="1" t="s">
        <v>12134</v>
      </c>
      <c r="J4110" s="1" t="s">
        <v>1598</v>
      </c>
      <c r="K4110" s="1" t="s">
        <v>13</v>
      </c>
      <c r="L4110" s="1" t="s">
        <v>5395</v>
      </c>
      <c r="M4110" s="6" t="str">
        <f>_xlfn.CONCAT(Table1[[#This Row],[Billing Street]], ", ", Table1[[#This Row],[Billing City]], ", ", Table1[[#This Row],[Billing State/Province]], ", ", Table1[[#This Row],[Billing Zip/Postal Code]])</f>
        <v>1100 SW Auburn Rd, Topeka, , 66615</v>
      </c>
    </row>
    <row r="4111" spans="1:13" ht="15.6" hidden="1" x14ac:dyDescent="0.3">
      <c r="A4111" s="1" t="s">
        <v>12135</v>
      </c>
      <c r="B4111" s="1"/>
      <c r="C4111" s="1"/>
      <c r="D4111" s="1"/>
      <c r="E4111" s="1"/>
      <c r="F4111" s="1"/>
      <c r="G4111" s="1" t="s">
        <v>13</v>
      </c>
      <c r="H4111" s="2">
        <v>0</v>
      </c>
      <c r="I4111" s="1" t="s">
        <v>13</v>
      </c>
      <c r="J4111" s="1" t="s">
        <v>13</v>
      </c>
      <c r="K4111" s="1" t="s">
        <v>13</v>
      </c>
      <c r="L4111" s="1" t="s">
        <v>13</v>
      </c>
      <c r="M4111" s="6" t="str">
        <f>_xlfn.CONCAT(Table1[[#This Row],[Billing Street]], ", ", Table1[[#This Row],[Billing City]], ", ", Table1[[#This Row],[Billing State/Province]], ", ", Table1[[#This Row],[Billing Zip/Postal Code]])</f>
        <v xml:space="preserve">, , , </v>
      </c>
    </row>
    <row r="4112" spans="1:13" ht="15.6" hidden="1" x14ac:dyDescent="0.3">
      <c r="A4112" s="1" t="s">
        <v>12136</v>
      </c>
      <c r="B4112" s="1"/>
      <c r="C4112" s="1"/>
      <c r="D4112" s="1"/>
      <c r="E4112" s="1"/>
      <c r="F4112" s="1"/>
      <c r="G4112" s="1" t="s">
        <v>13</v>
      </c>
      <c r="H4112" s="2">
        <v>0</v>
      </c>
      <c r="I4112" s="1" t="s">
        <v>12137</v>
      </c>
      <c r="J4112" s="1" t="s">
        <v>10186</v>
      </c>
      <c r="K4112" s="1" t="s">
        <v>13</v>
      </c>
      <c r="L4112" s="1" t="s">
        <v>12138</v>
      </c>
      <c r="M4112" s="6" t="str">
        <f>_xlfn.CONCAT(Table1[[#This Row],[Billing Street]], ", ", Table1[[#This Row],[Billing City]], ", ", Table1[[#This Row],[Billing State/Province]], ", ", Table1[[#This Row],[Billing Zip/Postal Code]])</f>
        <v>601 N Iowa St, Lawrence, , 66044</v>
      </c>
    </row>
    <row r="4113" spans="1:13" ht="15.6" hidden="1" x14ac:dyDescent="0.3">
      <c r="A4113" s="1" t="s">
        <v>12139</v>
      </c>
      <c r="B4113" s="1"/>
      <c r="C4113" s="1"/>
      <c r="D4113" s="1"/>
      <c r="E4113" s="1"/>
      <c r="F4113" s="1"/>
      <c r="G4113" s="1" t="s">
        <v>13</v>
      </c>
      <c r="H4113" s="2">
        <v>0</v>
      </c>
      <c r="I4113" s="1" t="s">
        <v>13</v>
      </c>
      <c r="J4113" s="1" t="s">
        <v>13</v>
      </c>
      <c r="K4113" s="1" t="s">
        <v>13</v>
      </c>
      <c r="L4113" s="1" t="s">
        <v>13</v>
      </c>
      <c r="M4113" s="6" t="str">
        <f>_xlfn.CONCAT(Table1[[#This Row],[Billing Street]], ", ", Table1[[#This Row],[Billing City]], ", ", Table1[[#This Row],[Billing State/Province]], ", ", Table1[[#This Row],[Billing Zip/Postal Code]])</f>
        <v xml:space="preserve">, , , </v>
      </c>
    </row>
    <row r="4114" spans="1:13" ht="15.6" hidden="1" x14ac:dyDescent="0.3">
      <c r="A4114" s="1" t="s">
        <v>12140</v>
      </c>
      <c r="B4114" s="1"/>
      <c r="C4114" s="1"/>
      <c r="D4114" s="1"/>
      <c r="E4114" s="1"/>
      <c r="F4114" s="1"/>
      <c r="G4114" s="1" t="s">
        <v>13</v>
      </c>
      <c r="H4114" s="2">
        <v>0</v>
      </c>
      <c r="I4114" s="1" t="s">
        <v>13</v>
      </c>
      <c r="J4114" s="1" t="s">
        <v>13</v>
      </c>
      <c r="K4114" s="1" t="s">
        <v>13</v>
      </c>
      <c r="L4114" s="1" t="s">
        <v>13</v>
      </c>
      <c r="M4114" s="6" t="str">
        <f>_xlfn.CONCAT(Table1[[#This Row],[Billing Street]], ", ", Table1[[#This Row],[Billing City]], ", ", Table1[[#This Row],[Billing State/Province]], ", ", Table1[[#This Row],[Billing Zip/Postal Code]])</f>
        <v xml:space="preserve">, , , </v>
      </c>
    </row>
    <row r="4115" spans="1:13" ht="15.6" hidden="1" x14ac:dyDescent="0.3">
      <c r="A4115" s="1" t="s">
        <v>12141</v>
      </c>
      <c r="B4115" s="1"/>
      <c r="C4115" s="1"/>
      <c r="D4115" s="1"/>
      <c r="E4115" s="1"/>
      <c r="F4115" s="1"/>
      <c r="G4115" s="1" t="s">
        <v>13</v>
      </c>
      <c r="H4115" s="2">
        <v>0</v>
      </c>
      <c r="I4115" s="1" t="s">
        <v>13</v>
      </c>
      <c r="J4115" s="1" t="s">
        <v>13</v>
      </c>
      <c r="K4115" s="1" t="s">
        <v>13</v>
      </c>
      <c r="L4115" s="1" t="s">
        <v>13</v>
      </c>
      <c r="M4115" s="6" t="str">
        <f>_xlfn.CONCAT(Table1[[#This Row],[Billing Street]], ", ", Table1[[#This Row],[Billing City]], ", ", Table1[[#This Row],[Billing State/Province]], ", ", Table1[[#This Row],[Billing Zip/Postal Code]])</f>
        <v xml:space="preserve">, , , </v>
      </c>
    </row>
    <row r="4116" spans="1:13" ht="15.6" hidden="1" x14ac:dyDescent="0.3">
      <c r="A4116" s="1" t="s">
        <v>12142</v>
      </c>
      <c r="B4116" s="1"/>
      <c r="C4116" s="1"/>
      <c r="D4116" s="1"/>
      <c r="E4116" s="1"/>
      <c r="F4116" s="1"/>
      <c r="G4116" s="1" t="s">
        <v>205</v>
      </c>
      <c r="H4116" s="2">
        <v>696</v>
      </c>
      <c r="I4116" s="1" t="s">
        <v>12143</v>
      </c>
      <c r="J4116" s="1" t="s">
        <v>6583</v>
      </c>
      <c r="K4116" s="1" t="s">
        <v>2309</v>
      </c>
      <c r="L4116" s="1" t="s">
        <v>6584</v>
      </c>
      <c r="M4116" s="6" t="str">
        <f>_xlfn.CONCAT(Table1[[#This Row],[Billing Street]], ", ", Table1[[#This Row],[Billing City]], ", ", Table1[[#This Row],[Billing State/Province]], ", ", Table1[[#This Row],[Billing Zip/Postal Code]])</f>
        <v>1955 N Fremont Ave, Idaho Falls, ID, 83415</v>
      </c>
    </row>
    <row r="4117" spans="1:13" ht="15.6" hidden="1" x14ac:dyDescent="0.3">
      <c r="A4117" s="1" t="s">
        <v>12144</v>
      </c>
      <c r="B4117" s="1"/>
      <c r="C4117" s="1"/>
      <c r="D4117" s="1"/>
      <c r="E4117" s="1"/>
      <c r="F4117" s="1"/>
      <c r="G4117" s="1" t="s">
        <v>8</v>
      </c>
      <c r="H4117" s="2">
        <v>295</v>
      </c>
      <c r="I4117" s="1" t="s">
        <v>12145</v>
      </c>
      <c r="J4117" s="1" t="s">
        <v>9338</v>
      </c>
      <c r="K4117" s="1" t="s">
        <v>11</v>
      </c>
      <c r="L4117" s="1" t="s">
        <v>9339</v>
      </c>
      <c r="M4117" s="6" t="str">
        <f>_xlfn.CONCAT(Table1[[#This Row],[Billing Street]], ", ", Table1[[#This Row],[Billing City]], ", ", Table1[[#This Row],[Billing State/Province]], ", ", Table1[[#This Row],[Billing Zip/Postal Code]])</f>
        <v>124 West Main, Fredericktown, MO, 63645</v>
      </c>
    </row>
    <row r="4118" spans="1:13" ht="15.6" hidden="1" x14ac:dyDescent="0.3">
      <c r="A4118" s="1" t="s">
        <v>12146</v>
      </c>
      <c r="B4118" s="1"/>
      <c r="C4118" s="1"/>
      <c r="D4118" s="1"/>
      <c r="E4118" s="1"/>
      <c r="F4118" s="1"/>
      <c r="G4118" s="1" t="s">
        <v>205</v>
      </c>
      <c r="H4118" s="2">
        <v>738</v>
      </c>
      <c r="I4118" s="1" t="s">
        <v>12147</v>
      </c>
      <c r="J4118" s="1" t="s">
        <v>12148</v>
      </c>
      <c r="K4118" s="1" t="s">
        <v>2309</v>
      </c>
      <c r="L4118" s="1" t="s">
        <v>12149</v>
      </c>
      <c r="M4118" s="6" t="str">
        <f>_xlfn.CONCAT(Table1[[#This Row],[Billing Street]], ", ", Table1[[#This Row],[Billing City]], ", ", Table1[[#This Row],[Billing State/Province]], ", ", Table1[[#This Row],[Billing Zip/Postal Code]])</f>
        <v>11900 W Frankin Rd, Boise, ID, 83709</v>
      </c>
    </row>
    <row r="4119" spans="1:13" ht="15.6" x14ac:dyDescent="0.3">
      <c r="A4119" s="1" t="s">
        <v>12150</v>
      </c>
      <c r="B4119" s="1"/>
      <c r="C4119" s="1"/>
      <c r="D4119" s="1"/>
      <c r="E4119" s="1"/>
      <c r="F4119" s="1"/>
      <c r="G4119" s="1" t="s">
        <v>24</v>
      </c>
      <c r="H4119" s="2">
        <v>223</v>
      </c>
      <c r="I4119" s="1" t="s">
        <v>12151</v>
      </c>
      <c r="J4119" s="1" t="s">
        <v>6278</v>
      </c>
      <c r="K4119" s="1" t="s">
        <v>26</v>
      </c>
      <c r="L4119" s="1" t="s">
        <v>12152</v>
      </c>
      <c r="M4119" s="6" t="str">
        <f>_xlfn.CONCAT(Table1[[#This Row],[Billing Street]], ", ", Table1[[#This Row],[Billing City]], ", ", Table1[[#This Row],[Billing State/Province]], ", ", Table1[[#This Row],[Billing Zip/Postal Code]])</f>
        <v>109 N Center, Piedmont, AL, 36272</v>
      </c>
    </row>
    <row r="4120" spans="1:13" ht="15.6" hidden="1" x14ac:dyDescent="0.3">
      <c r="A4120" s="1" t="s">
        <v>12153</v>
      </c>
      <c r="B4120" s="1"/>
      <c r="C4120" s="1"/>
      <c r="D4120" s="1"/>
      <c r="E4120" s="1"/>
      <c r="F4120" s="1"/>
      <c r="G4120" s="1" t="s">
        <v>205</v>
      </c>
      <c r="H4120" s="2">
        <v>7481</v>
      </c>
      <c r="I4120" s="1" t="s">
        <v>13</v>
      </c>
      <c r="J4120" s="1" t="s">
        <v>12154</v>
      </c>
      <c r="K4120" s="1" t="s">
        <v>2309</v>
      </c>
      <c r="L4120" s="1" t="s">
        <v>13</v>
      </c>
      <c r="M4120" s="6" t="str">
        <f>_xlfn.CONCAT(Table1[[#This Row],[Billing Street]], ", ", Table1[[#This Row],[Billing City]], ", ", Table1[[#This Row],[Billing State/Province]], ", ", Table1[[#This Row],[Billing Zip/Postal Code]])</f>
        <v xml:space="preserve">, Soda Springs, ID, </v>
      </c>
    </row>
    <row r="4121" spans="1:13" ht="15.6" hidden="1" x14ac:dyDescent="0.3">
      <c r="A4121" s="1" t="s">
        <v>12155</v>
      </c>
      <c r="B4121" s="1"/>
      <c r="C4121" s="1"/>
      <c r="D4121" s="1"/>
      <c r="E4121" s="1"/>
      <c r="F4121" s="1"/>
      <c r="G4121" s="1" t="s">
        <v>8</v>
      </c>
      <c r="H4121" s="2">
        <v>319</v>
      </c>
      <c r="I4121" s="1" t="s">
        <v>12156</v>
      </c>
      <c r="J4121" s="1" t="s">
        <v>12157</v>
      </c>
      <c r="K4121" s="1" t="s">
        <v>11</v>
      </c>
      <c r="L4121" s="1" t="s">
        <v>12158</v>
      </c>
      <c r="M4121" s="6" t="str">
        <f>_xlfn.CONCAT(Table1[[#This Row],[Billing Street]], ", ", Table1[[#This Row],[Billing City]], ", ", Table1[[#This Row],[Billing State/Province]], ", ", Table1[[#This Row],[Billing Zip/Postal Code]])</f>
        <v>1500 Rand Ave., Perryville, MO, 63775</v>
      </c>
    </row>
    <row r="4122" spans="1:13" ht="15.6" hidden="1" x14ac:dyDescent="0.3">
      <c r="A4122" s="1" t="s">
        <v>12159</v>
      </c>
      <c r="B4122" s="1"/>
      <c r="C4122" s="1"/>
      <c r="D4122" s="1"/>
      <c r="E4122" s="1"/>
      <c r="F4122" s="1"/>
      <c r="G4122" s="1" t="s">
        <v>43</v>
      </c>
      <c r="H4122" s="2">
        <v>321</v>
      </c>
      <c r="I4122" s="1" t="s">
        <v>12160</v>
      </c>
      <c r="J4122" s="1" t="s">
        <v>2041</v>
      </c>
      <c r="K4122" s="1" t="s">
        <v>152</v>
      </c>
      <c r="L4122" s="1" t="s">
        <v>12161</v>
      </c>
      <c r="M4122" s="6" t="str">
        <f>_xlfn.CONCAT(Table1[[#This Row],[Billing Street]], ", ", Table1[[#This Row],[Billing City]], ", ", Table1[[#This Row],[Billing State/Province]], ", ", Table1[[#This Row],[Billing Zip/Postal Code]])</f>
        <v>10 S. Dearborn St., 48th Floor, Chicago, IL, 60680</v>
      </c>
    </row>
    <row r="4123" spans="1:13" ht="15.6" hidden="1" x14ac:dyDescent="0.3">
      <c r="A4123" s="1" t="s">
        <v>12162</v>
      </c>
      <c r="B4123" s="1"/>
      <c r="C4123" s="1"/>
      <c r="D4123" s="1"/>
      <c r="E4123" s="1"/>
      <c r="F4123" s="1"/>
      <c r="G4123" s="1" t="s">
        <v>98</v>
      </c>
      <c r="H4123" s="2">
        <v>19</v>
      </c>
      <c r="I4123" s="1" t="s">
        <v>12163</v>
      </c>
      <c r="J4123" s="1" t="s">
        <v>12164</v>
      </c>
      <c r="K4123" s="1" t="s">
        <v>101</v>
      </c>
      <c r="L4123" s="1" t="s">
        <v>12165</v>
      </c>
      <c r="M4123" s="6" t="str">
        <f>_xlfn.CONCAT(Table1[[#This Row],[Billing Street]], ", ", Table1[[#This Row],[Billing City]], ", ", Table1[[#This Row],[Billing State/Province]], ", ", Table1[[#This Row],[Billing Zip/Postal Code]])</f>
        <v>62 Lake Mirror Rd, Forrest Park, GA, 30297</v>
      </c>
    </row>
    <row r="4124" spans="1:13" ht="15.6" x14ac:dyDescent="0.3">
      <c r="A4124" s="1" t="s">
        <v>12166</v>
      </c>
      <c r="B4124" s="1"/>
      <c r="C4124" s="1"/>
      <c r="D4124" s="1"/>
      <c r="E4124" s="1"/>
      <c r="F4124" s="1"/>
      <c r="G4124" s="1" t="s">
        <v>24</v>
      </c>
      <c r="H4124" s="2">
        <v>62</v>
      </c>
      <c r="I4124" s="1" t="s">
        <v>12167</v>
      </c>
      <c r="J4124" s="1" t="s">
        <v>506</v>
      </c>
      <c r="K4124" s="1" t="s">
        <v>26</v>
      </c>
      <c r="L4124" s="1" t="s">
        <v>507</v>
      </c>
      <c r="M4124" s="6" t="str">
        <f>_xlfn.CONCAT(Table1[[#This Row],[Billing Street]], ", ", Table1[[#This Row],[Billing City]], ", ", Table1[[#This Row],[Billing State/Province]], ", ", Table1[[#This Row],[Billing Zip/Postal Code]])</f>
        <v>215 Deer St, Brewton, AL, 36426</v>
      </c>
    </row>
    <row r="4125" spans="1:13" ht="15.6" hidden="1" x14ac:dyDescent="0.3">
      <c r="A4125" s="1" t="s">
        <v>12168</v>
      </c>
      <c r="B4125" s="1"/>
      <c r="C4125" s="1"/>
      <c r="D4125" s="1"/>
      <c r="E4125" s="1"/>
      <c r="F4125" s="1"/>
      <c r="G4125" s="1" t="s">
        <v>8</v>
      </c>
      <c r="H4125" s="2">
        <v>301</v>
      </c>
      <c r="I4125" s="1" t="s">
        <v>12169</v>
      </c>
      <c r="J4125" s="1" t="s">
        <v>4447</v>
      </c>
      <c r="K4125" s="1" t="s">
        <v>51</v>
      </c>
      <c r="L4125" s="1" t="s">
        <v>12170</v>
      </c>
      <c r="M4125" s="6" t="str">
        <f>_xlfn.CONCAT(Table1[[#This Row],[Billing Street]], ", ", Table1[[#This Row],[Billing City]], ", ", Table1[[#This Row],[Billing State/Province]], ", ", Table1[[#This Row],[Billing Zip/Postal Code]])</f>
        <v>4601 Cambridge Rd, Fort Worth, TX, 76155</v>
      </c>
    </row>
    <row r="4126" spans="1:13" ht="15.6" x14ac:dyDescent="0.3">
      <c r="A4126" s="1" t="s">
        <v>12171</v>
      </c>
      <c r="B4126" s="1"/>
      <c r="C4126" s="1"/>
      <c r="D4126" s="1"/>
      <c r="E4126" s="1"/>
      <c r="F4126" s="1"/>
      <c r="G4126" s="1" t="s">
        <v>24</v>
      </c>
      <c r="H4126" s="2">
        <v>200</v>
      </c>
      <c r="I4126" s="1" t="s">
        <v>12172</v>
      </c>
      <c r="J4126" s="1" t="s">
        <v>372</v>
      </c>
      <c r="K4126" s="1" t="s">
        <v>26</v>
      </c>
      <c r="L4126" s="1" t="s">
        <v>373</v>
      </c>
      <c r="M4126" s="6" t="str">
        <f>_xlfn.CONCAT(Table1[[#This Row],[Billing Street]], ", ", Table1[[#This Row],[Billing City]], ", ", Table1[[#This Row],[Billing State/Province]], ", ", Table1[[#This Row],[Billing Zip/Postal Code]])</f>
        <v>2530 Queenstown Rd, Birmingham, AL, 35210</v>
      </c>
    </row>
    <row r="4127" spans="1:13" ht="15.6" hidden="1" x14ac:dyDescent="0.3">
      <c r="A4127" s="1" t="s">
        <v>12173</v>
      </c>
      <c r="B4127" s="1"/>
      <c r="C4127" s="1"/>
      <c r="D4127" s="1"/>
      <c r="E4127" s="1"/>
      <c r="F4127" s="1"/>
      <c r="G4127" s="1" t="s">
        <v>43</v>
      </c>
      <c r="H4127" s="2">
        <v>5776</v>
      </c>
      <c r="I4127" s="1" t="s">
        <v>12174</v>
      </c>
      <c r="J4127" s="1" t="s">
        <v>4470</v>
      </c>
      <c r="K4127" s="1" t="s">
        <v>152</v>
      </c>
      <c r="L4127" s="1" t="s">
        <v>13</v>
      </c>
      <c r="M4127" s="6" t="str">
        <f>_xlfn.CONCAT(Table1[[#This Row],[Billing Street]], ", ", Table1[[#This Row],[Billing City]], ", ", Table1[[#This Row],[Billing State/Province]], ", ", Table1[[#This Row],[Billing Zip/Postal Code]])</f>
        <v xml:space="preserve">Euclid street, Princeton, IL, </v>
      </c>
    </row>
    <row r="4128" spans="1:13" ht="15.6" hidden="1" x14ac:dyDescent="0.3">
      <c r="A4128" s="1" t="s">
        <v>12175</v>
      </c>
      <c r="B4128" s="1"/>
      <c r="C4128" s="1"/>
      <c r="D4128" s="1"/>
      <c r="E4128" s="1"/>
      <c r="F4128" s="1"/>
      <c r="G4128" s="1" t="s">
        <v>43</v>
      </c>
      <c r="H4128" s="2">
        <v>321</v>
      </c>
      <c r="I4128" s="1" t="s">
        <v>12176</v>
      </c>
      <c r="J4128" s="1" t="s">
        <v>2041</v>
      </c>
      <c r="K4128" s="1" t="s">
        <v>152</v>
      </c>
      <c r="L4128" s="1" t="s">
        <v>2381</v>
      </c>
      <c r="M4128" s="6" t="str">
        <f>_xlfn.CONCAT(Table1[[#This Row],[Billing Street]], ", ", Table1[[#This Row],[Billing City]], ", ", Table1[[#This Row],[Billing State/Province]], ", ", Table1[[#This Row],[Billing Zip/Postal Code]])</f>
        <v>55 E Monroe St Ste 2700, Chicago, IL, 60603</v>
      </c>
    </row>
    <row r="4129" spans="1:13" ht="15.6" hidden="1" x14ac:dyDescent="0.3">
      <c r="A4129" s="1" t="s">
        <v>12177</v>
      </c>
      <c r="B4129" s="1"/>
      <c r="C4129" s="1"/>
      <c r="D4129" s="1"/>
      <c r="E4129" s="1"/>
      <c r="F4129" s="1"/>
      <c r="G4129" s="1" t="s">
        <v>43</v>
      </c>
      <c r="H4129" s="2">
        <v>5776</v>
      </c>
      <c r="I4129" s="1" t="s">
        <v>13</v>
      </c>
      <c r="J4129" s="1" t="s">
        <v>13</v>
      </c>
      <c r="K4129" s="1" t="s">
        <v>152</v>
      </c>
      <c r="L4129" s="1" t="s">
        <v>13</v>
      </c>
      <c r="M4129" s="6" t="str">
        <f>_xlfn.CONCAT(Table1[[#This Row],[Billing Street]], ", ", Table1[[#This Row],[Billing City]], ", ", Table1[[#This Row],[Billing State/Province]], ", ", Table1[[#This Row],[Billing Zip/Postal Code]])</f>
        <v xml:space="preserve">, , IL, </v>
      </c>
    </row>
    <row r="4130" spans="1:13" ht="15.6" hidden="1" x14ac:dyDescent="0.3">
      <c r="A4130" s="1" t="s">
        <v>12178</v>
      </c>
      <c r="B4130" s="1"/>
      <c r="C4130" s="1"/>
      <c r="D4130" s="1"/>
      <c r="E4130" s="1"/>
      <c r="F4130" s="1"/>
      <c r="G4130" s="1" t="s">
        <v>43</v>
      </c>
      <c r="H4130" s="2">
        <v>5776</v>
      </c>
      <c r="I4130" s="1" t="s">
        <v>13</v>
      </c>
      <c r="J4130" s="1" t="s">
        <v>13</v>
      </c>
      <c r="K4130" s="1" t="s">
        <v>152</v>
      </c>
      <c r="L4130" s="1" t="s">
        <v>13</v>
      </c>
      <c r="M4130" s="6" t="str">
        <f>_xlfn.CONCAT(Table1[[#This Row],[Billing Street]], ", ", Table1[[#This Row],[Billing City]], ", ", Table1[[#This Row],[Billing State/Province]], ", ", Table1[[#This Row],[Billing Zip/Postal Code]])</f>
        <v xml:space="preserve">, , IL, </v>
      </c>
    </row>
    <row r="4131" spans="1:13" ht="15.6" hidden="1" x14ac:dyDescent="0.3">
      <c r="A4131" s="1" t="s">
        <v>12179</v>
      </c>
      <c r="B4131" s="1"/>
      <c r="C4131" s="1"/>
      <c r="D4131" s="1"/>
      <c r="E4131" s="1"/>
      <c r="F4131" s="1"/>
      <c r="G4131" s="1" t="s">
        <v>43</v>
      </c>
      <c r="H4131" s="2">
        <v>5776</v>
      </c>
      <c r="I4131" s="1" t="s">
        <v>13</v>
      </c>
      <c r="J4131" s="1" t="s">
        <v>13</v>
      </c>
      <c r="K4131" s="1" t="s">
        <v>152</v>
      </c>
      <c r="L4131" s="1" t="s">
        <v>13</v>
      </c>
      <c r="M4131" s="6" t="str">
        <f>_xlfn.CONCAT(Table1[[#This Row],[Billing Street]], ", ", Table1[[#This Row],[Billing City]], ", ", Table1[[#This Row],[Billing State/Province]], ", ", Table1[[#This Row],[Billing Zip/Postal Code]])</f>
        <v xml:space="preserve">, , IL, </v>
      </c>
    </row>
    <row r="4132" spans="1:13" ht="15.6" hidden="1" x14ac:dyDescent="0.3">
      <c r="A4132" s="1" t="s">
        <v>12180</v>
      </c>
      <c r="B4132" s="1"/>
      <c r="C4132" s="1"/>
      <c r="D4132" s="1"/>
      <c r="E4132" s="1"/>
      <c r="F4132" s="1"/>
      <c r="G4132" s="1" t="s">
        <v>98</v>
      </c>
      <c r="H4132" s="2">
        <v>5887</v>
      </c>
      <c r="I4132" s="1" t="s">
        <v>13</v>
      </c>
      <c r="J4132" s="1" t="s">
        <v>5070</v>
      </c>
      <c r="K4132" s="1" t="s">
        <v>101</v>
      </c>
      <c r="L4132" s="1" t="s">
        <v>13</v>
      </c>
      <c r="M4132" s="6" t="str">
        <f>_xlfn.CONCAT(Table1[[#This Row],[Billing Street]], ", ", Table1[[#This Row],[Billing City]], ", ", Table1[[#This Row],[Billing State/Province]], ", ", Table1[[#This Row],[Billing Zip/Postal Code]])</f>
        <v xml:space="preserve">, Jasper, GA, </v>
      </c>
    </row>
    <row r="4133" spans="1:13" ht="15.6" hidden="1" x14ac:dyDescent="0.3">
      <c r="A4133" s="1" t="s">
        <v>12181</v>
      </c>
      <c r="B4133" s="1"/>
      <c r="C4133" s="1"/>
      <c r="D4133" s="1"/>
      <c r="E4133" s="1"/>
      <c r="F4133" s="1"/>
      <c r="G4133" s="1" t="s">
        <v>98</v>
      </c>
      <c r="H4133" s="2">
        <v>24</v>
      </c>
      <c r="I4133" s="1" t="s">
        <v>12182</v>
      </c>
      <c r="J4133" s="1" t="s">
        <v>12183</v>
      </c>
      <c r="K4133" s="1" t="s">
        <v>101</v>
      </c>
      <c r="L4133" s="1" t="s">
        <v>12184</v>
      </c>
      <c r="M4133" s="6" t="str">
        <f>_xlfn.CONCAT(Table1[[#This Row],[Billing Street]], ", ", Table1[[#This Row],[Billing City]], ", ", Table1[[#This Row],[Billing State/Province]], ", ", Table1[[#This Row],[Billing Zip/Postal Code]])</f>
        <v>543 Atlanta HWY, Cumming, GA, 30040</v>
      </c>
    </row>
    <row r="4134" spans="1:13" ht="15.6" hidden="1" x14ac:dyDescent="0.3">
      <c r="A4134" s="1" t="s">
        <v>12185</v>
      </c>
      <c r="B4134" s="1"/>
      <c r="C4134" s="1"/>
      <c r="D4134" s="1"/>
      <c r="E4134" s="1"/>
      <c r="F4134" s="1"/>
      <c r="G4134" s="1" t="s">
        <v>43</v>
      </c>
      <c r="H4134" s="2">
        <v>5776</v>
      </c>
      <c r="I4134" s="1" t="s">
        <v>13</v>
      </c>
      <c r="J4134" s="1" t="s">
        <v>13</v>
      </c>
      <c r="K4134" s="1" t="s">
        <v>152</v>
      </c>
      <c r="L4134" s="1" t="s">
        <v>13</v>
      </c>
      <c r="M4134" s="6" t="str">
        <f>_xlfn.CONCAT(Table1[[#This Row],[Billing Street]], ", ", Table1[[#This Row],[Billing City]], ", ", Table1[[#This Row],[Billing State/Province]], ", ", Table1[[#This Row],[Billing Zip/Postal Code]])</f>
        <v xml:space="preserve">, , IL, </v>
      </c>
    </row>
    <row r="4135" spans="1:13" ht="15.6" hidden="1" x14ac:dyDescent="0.3">
      <c r="A4135" s="1" t="s">
        <v>12186</v>
      </c>
      <c r="B4135" s="1"/>
      <c r="C4135" s="1"/>
      <c r="D4135" s="1"/>
      <c r="E4135" s="1"/>
      <c r="F4135" s="1"/>
      <c r="G4135" s="1" t="s">
        <v>98</v>
      </c>
      <c r="H4135" s="2">
        <v>5887</v>
      </c>
      <c r="I4135" s="1" t="s">
        <v>13</v>
      </c>
      <c r="J4135" s="1" t="s">
        <v>637</v>
      </c>
      <c r="K4135" s="1" t="s">
        <v>101</v>
      </c>
      <c r="L4135" s="1" t="s">
        <v>13</v>
      </c>
      <c r="M4135" s="6" t="str">
        <f>_xlfn.CONCAT(Table1[[#This Row],[Billing Street]], ", ", Table1[[#This Row],[Billing City]], ", ", Table1[[#This Row],[Billing State/Province]], ", ", Table1[[#This Row],[Billing Zip/Postal Code]])</f>
        <v xml:space="preserve">, Jackson, GA, </v>
      </c>
    </row>
    <row r="4136" spans="1:13" ht="15.6" hidden="1" x14ac:dyDescent="0.3">
      <c r="A4136" s="1" t="s">
        <v>12187</v>
      </c>
      <c r="B4136" s="1"/>
      <c r="C4136" s="1"/>
      <c r="D4136" s="1"/>
      <c r="E4136" s="1"/>
      <c r="F4136" s="1"/>
      <c r="G4136" s="1" t="s">
        <v>43</v>
      </c>
      <c r="H4136" s="2">
        <v>5776</v>
      </c>
      <c r="I4136" s="1" t="s">
        <v>13</v>
      </c>
      <c r="J4136" s="1" t="s">
        <v>13</v>
      </c>
      <c r="K4136" s="1" t="s">
        <v>152</v>
      </c>
      <c r="L4136" s="1" t="s">
        <v>13</v>
      </c>
      <c r="M4136" s="6" t="str">
        <f>_xlfn.CONCAT(Table1[[#This Row],[Billing Street]], ", ", Table1[[#This Row],[Billing City]], ", ", Table1[[#This Row],[Billing State/Province]], ", ", Table1[[#This Row],[Billing Zip/Postal Code]])</f>
        <v xml:space="preserve">, , IL, </v>
      </c>
    </row>
    <row r="4137" spans="1:13" ht="15.6" hidden="1" x14ac:dyDescent="0.3">
      <c r="A4137" s="1" t="s">
        <v>12188</v>
      </c>
      <c r="B4137" s="1"/>
      <c r="C4137" s="1"/>
      <c r="D4137" s="1"/>
      <c r="E4137" s="1"/>
      <c r="F4137" s="1"/>
      <c r="G4137" s="1" t="s">
        <v>205</v>
      </c>
      <c r="H4137" s="2">
        <v>317</v>
      </c>
      <c r="I4137" s="1" t="s">
        <v>12189</v>
      </c>
      <c r="J4137" s="1" t="s">
        <v>2337</v>
      </c>
      <c r="K4137" s="1" t="s">
        <v>266</v>
      </c>
      <c r="L4137" s="1" t="s">
        <v>12190</v>
      </c>
      <c r="M4137" s="6" t="str">
        <f>_xlfn.CONCAT(Table1[[#This Row],[Billing Street]], ", ", Table1[[#This Row],[Billing City]], ", ", Table1[[#This Row],[Billing State/Province]], ", ", Table1[[#This Row],[Billing Zip/Postal Code]])</f>
        <v>PO drawer 1318, Farmington, NM, 87499</v>
      </c>
    </row>
    <row r="4138" spans="1:13" ht="15.6" hidden="1" x14ac:dyDescent="0.3">
      <c r="A4138" s="1" t="s">
        <v>12191</v>
      </c>
      <c r="B4138" s="1"/>
      <c r="C4138" s="1"/>
      <c r="D4138" s="1"/>
      <c r="E4138" s="1"/>
      <c r="F4138" s="1"/>
      <c r="G4138" s="1" t="s">
        <v>54</v>
      </c>
      <c r="H4138" s="2">
        <v>102</v>
      </c>
      <c r="I4138" s="1" t="s">
        <v>12192</v>
      </c>
      <c r="J4138" s="1" t="s">
        <v>202</v>
      </c>
      <c r="K4138" s="1" t="s">
        <v>57</v>
      </c>
      <c r="L4138" s="1" t="s">
        <v>203</v>
      </c>
      <c r="M4138" s="6" t="str">
        <f>_xlfn.CONCAT(Table1[[#This Row],[Billing Street]], ", ", Table1[[#This Row],[Billing City]], ", ", Table1[[#This Row],[Billing State/Province]], ", ", Table1[[#This Row],[Billing Zip/Postal Code]])</f>
        <v>10000 Ming Avenue, Bakersfield, CA, 93311</v>
      </c>
    </row>
    <row r="4139" spans="1:13" ht="15.6" hidden="1" x14ac:dyDescent="0.3">
      <c r="A4139" s="1" t="s">
        <v>12193</v>
      </c>
      <c r="B4139" s="1"/>
      <c r="C4139" s="1"/>
      <c r="D4139" s="1"/>
      <c r="E4139" s="1"/>
      <c r="F4139" s="1"/>
      <c r="G4139" s="1" t="s">
        <v>43</v>
      </c>
      <c r="H4139" s="2">
        <v>95</v>
      </c>
      <c r="I4139" s="1" t="s">
        <v>12194</v>
      </c>
      <c r="J4139" s="1" t="s">
        <v>2200</v>
      </c>
      <c r="K4139" s="1" t="s">
        <v>12195</v>
      </c>
      <c r="L4139" s="1" t="s">
        <v>3020</v>
      </c>
      <c r="M4139" s="6" t="str">
        <f>_xlfn.CONCAT(Table1[[#This Row],[Billing Street]], ", ", Table1[[#This Row],[Billing City]], ", ", Table1[[#This Row],[Billing State/Province]], ", ", Table1[[#This Row],[Billing Zip/Postal Code]])</f>
        <v>PO Box 271, Wheeling, wv, 26003</v>
      </c>
    </row>
    <row r="4140" spans="1:13" ht="15.6" x14ac:dyDescent="0.3">
      <c r="A4140" s="1" t="s">
        <v>12196</v>
      </c>
      <c r="B4140" s="1"/>
      <c r="C4140" s="1"/>
      <c r="D4140" s="1"/>
      <c r="E4140" s="1"/>
      <c r="F4140" s="1"/>
      <c r="G4140" s="1" t="s">
        <v>24</v>
      </c>
      <c r="H4140" s="2">
        <v>5988</v>
      </c>
      <c r="I4140" s="1" t="s">
        <v>12197</v>
      </c>
      <c r="J4140" s="1" t="s">
        <v>12198</v>
      </c>
      <c r="K4140" s="1" t="s">
        <v>31</v>
      </c>
      <c r="L4140" s="1" t="s">
        <v>11922</v>
      </c>
      <c r="M4140" s="6" t="str">
        <f>_xlfn.CONCAT(Table1[[#This Row],[Billing Street]], ", ", Table1[[#This Row],[Billing City]], ", ", Table1[[#This Row],[Billing State/Province]], ", ", Table1[[#This Row],[Billing Zip/Postal Code]])</f>
        <v>751 Co Rd 989 #1016, iuka, MS, 38852</v>
      </c>
    </row>
    <row r="4141" spans="1:13" ht="15.6" hidden="1" x14ac:dyDescent="0.3">
      <c r="A4141" s="1" t="s">
        <v>12199</v>
      </c>
      <c r="B4141" s="1"/>
      <c r="C4141" s="1"/>
      <c r="D4141" s="1"/>
      <c r="E4141" s="1"/>
      <c r="F4141" s="1"/>
      <c r="G4141" s="1" t="s">
        <v>43</v>
      </c>
      <c r="H4141" s="2">
        <v>107</v>
      </c>
      <c r="I4141" s="1" t="s">
        <v>12200</v>
      </c>
      <c r="J4141" s="1" t="s">
        <v>12201</v>
      </c>
      <c r="K4141" s="1" t="s">
        <v>82</v>
      </c>
      <c r="L4141" s="1" t="s">
        <v>12202</v>
      </c>
      <c r="M4141" s="6" t="str">
        <f>_xlfn.CONCAT(Table1[[#This Row],[Billing Street]], ", ", Table1[[#This Row],[Billing City]], ", ", Table1[[#This Row],[Billing State/Province]], ", ", Table1[[#This Row],[Billing Zip/Postal Code]])</f>
        <v>3005 Biddle Street, Wyandotte, MI, 48192</v>
      </c>
    </row>
    <row r="4142" spans="1:13" ht="15.6" hidden="1" x14ac:dyDescent="0.3">
      <c r="A4142" s="1" t="s">
        <v>12203</v>
      </c>
      <c r="B4142" s="1"/>
      <c r="C4142" s="1"/>
      <c r="D4142" s="1"/>
      <c r="E4142" s="1"/>
      <c r="F4142" s="1"/>
      <c r="G4142" s="1" t="s">
        <v>98</v>
      </c>
      <c r="H4142" s="2">
        <v>1</v>
      </c>
      <c r="I4142" s="1" t="s">
        <v>5097</v>
      </c>
      <c r="J4142" s="1" t="s">
        <v>5098</v>
      </c>
      <c r="K4142" s="1" t="s">
        <v>101</v>
      </c>
      <c r="L4142" s="1" t="s">
        <v>5099</v>
      </c>
      <c r="M4142" s="6" t="str">
        <f>_xlfn.CONCAT(Table1[[#This Row],[Billing Street]], ", ", Table1[[#This Row],[Billing City]], ", ", Table1[[#This Row],[Billing State/Province]], ", ", Table1[[#This Row],[Billing Zip/Postal Code]])</f>
        <v>2100 East Exchange Place, Tucker, GA, 30084</v>
      </c>
    </row>
    <row r="4143" spans="1:13" ht="15.6" hidden="1" x14ac:dyDescent="0.3">
      <c r="A4143" s="1" t="s">
        <v>12204</v>
      </c>
      <c r="B4143" s="1"/>
      <c r="C4143" s="1"/>
      <c r="D4143" s="1"/>
      <c r="E4143" s="1"/>
      <c r="F4143" s="1"/>
      <c r="G4143" s="1" t="s">
        <v>43</v>
      </c>
      <c r="H4143" s="2">
        <v>16</v>
      </c>
      <c r="I4143" s="1" t="s">
        <v>12205</v>
      </c>
      <c r="J4143" s="1" t="s">
        <v>12206</v>
      </c>
      <c r="K4143" s="1" t="s">
        <v>45</v>
      </c>
      <c r="L4143" s="1" t="s">
        <v>6502</v>
      </c>
      <c r="M4143" s="6" t="str">
        <f>_xlfn.CONCAT(Table1[[#This Row],[Billing Street]], ", ", Table1[[#This Row],[Billing City]], ", ", Table1[[#This Row],[Billing State/Province]], ", ", Table1[[#This Row],[Billing Zip/Postal Code]])</f>
        <v>180 South Avenue, Tallmadge, OH, 44278</v>
      </c>
    </row>
    <row r="4144" spans="1:13" ht="15.6" x14ac:dyDescent="0.3">
      <c r="A4144" s="1" t="s">
        <v>12207</v>
      </c>
      <c r="B4144" s="1"/>
      <c r="C4144" s="1"/>
      <c r="D4144" s="1"/>
      <c r="E4144" s="1"/>
      <c r="F4144" s="1"/>
      <c r="G4144" s="1" t="s">
        <v>24</v>
      </c>
      <c r="H4144" s="2">
        <v>43</v>
      </c>
      <c r="I4144" s="1" t="s">
        <v>12208</v>
      </c>
      <c r="J4144" s="1" t="s">
        <v>6230</v>
      </c>
      <c r="K4144" s="1" t="s">
        <v>36</v>
      </c>
      <c r="L4144" s="1" t="s">
        <v>12209</v>
      </c>
      <c r="M4144" s="6" t="str">
        <f>_xlfn.CONCAT(Table1[[#This Row],[Billing Street]], ", ", Table1[[#This Row],[Billing City]], ", ", Table1[[#This Row],[Billing State/Province]], ", ", Table1[[#This Row],[Billing Zip/Postal Code]])</f>
        <v>4708 Bayhead Rd., Youngstown, FL, 32466</v>
      </c>
    </row>
    <row r="4145" spans="1:13" ht="15.6" hidden="1" x14ac:dyDescent="0.3">
      <c r="A4145" s="1" t="s">
        <v>12210</v>
      </c>
      <c r="B4145" s="1"/>
      <c r="C4145" s="1"/>
      <c r="D4145" s="1"/>
      <c r="E4145" s="1"/>
      <c r="F4145" s="1"/>
      <c r="G4145" s="1" t="s">
        <v>43</v>
      </c>
      <c r="H4145" s="2">
        <v>5776</v>
      </c>
      <c r="I4145" s="1" t="s">
        <v>13</v>
      </c>
      <c r="J4145" s="1" t="s">
        <v>13</v>
      </c>
      <c r="K4145" s="1" t="s">
        <v>152</v>
      </c>
      <c r="L4145" s="1" t="s">
        <v>13</v>
      </c>
      <c r="M4145" s="6" t="str">
        <f>_xlfn.CONCAT(Table1[[#This Row],[Billing Street]], ", ", Table1[[#This Row],[Billing City]], ", ", Table1[[#This Row],[Billing State/Province]], ", ", Table1[[#This Row],[Billing Zip/Postal Code]])</f>
        <v xml:space="preserve">, , IL, </v>
      </c>
    </row>
    <row r="4146" spans="1:13" ht="15.6" hidden="1" x14ac:dyDescent="0.3">
      <c r="A4146" s="1" t="s">
        <v>12211</v>
      </c>
      <c r="B4146" s="1"/>
      <c r="C4146" s="1"/>
      <c r="D4146" s="1"/>
      <c r="E4146" s="1"/>
      <c r="F4146" s="1"/>
      <c r="G4146" s="1" t="s">
        <v>43</v>
      </c>
      <c r="H4146" s="2">
        <v>335</v>
      </c>
      <c r="I4146" s="1" t="s">
        <v>12212</v>
      </c>
      <c r="J4146" s="1" t="s">
        <v>12213</v>
      </c>
      <c r="K4146" s="1" t="s">
        <v>152</v>
      </c>
      <c r="L4146" s="1" t="s">
        <v>12214</v>
      </c>
      <c r="M4146" s="6" t="str">
        <f>_xlfn.CONCAT(Table1[[#This Row],[Billing Street]], ", ", Table1[[#This Row],[Billing City]], ", ", Table1[[#This Row],[Billing State/Province]], ", ", Table1[[#This Row],[Billing Zip/Postal Code]])</f>
        <v>19725 Breckenridge Drive, Mokena, IL, 60448</v>
      </c>
    </row>
    <row r="4147" spans="1:13" ht="15.6" hidden="1" x14ac:dyDescent="0.3">
      <c r="A4147" s="1" t="s">
        <v>12215</v>
      </c>
      <c r="B4147" s="1"/>
      <c r="C4147" s="1"/>
      <c r="D4147" s="1"/>
      <c r="E4147" s="1"/>
      <c r="F4147" s="1"/>
      <c r="G4147" s="1" t="s">
        <v>43</v>
      </c>
      <c r="H4147" s="2">
        <v>362</v>
      </c>
      <c r="I4147" s="1" t="s">
        <v>12216</v>
      </c>
      <c r="J4147" s="1" t="s">
        <v>1543</v>
      </c>
      <c r="K4147" s="1" t="s">
        <v>152</v>
      </c>
      <c r="L4147" s="1" t="s">
        <v>12217</v>
      </c>
      <c r="M4147" s="6" t="str">
        <f>_xlfn.CONCAT(Table1[[#This Row],[Billing Street]], ", ", Table1[[#This Row],[Billing City]], ", ", Table1[[#This Row],[Billing State/Province]], ", ", Table1[[#This Row],[Billing Zip/Postal Code]])</f>
        <v>10901 Commercial Street, Richmond, IL, 60071-0001</v>
      </c>
    </row>
    <row r="4148" spans="1:13" ht="15.6" hidden="1" x14ac:dyDescent="0.3">
      <c r="A4148" s="1" t="s">
        <v>12218</v>
      </c>
      <c r="B4148" s="1"/>
      <c r="C4148" s="1"/>
      <c r="D4148" s="1"/>
      <c r="E4148" s="1"/>
      <c r="F4148" s="1"/>
      <c r="G4148" s="1" t="s">
        <v>43</v>
      </c>
      <c r="H4148" s="2">
        <v>395</v>
      </c>
      <c r="I4148" s="1" t="s">
        <v>12219</v>
      </c>
      <c r="J4148" s="1" t="s">
        <v>2436</v>
      </c>
      <c r="K4148" s="1" t="s">
        <v>152</v>
      </c>
      <c r="L4148" s="1" t="s">
        <v>12220</v>
      </c>
      <c r="M4148" s="6" t="str">
        <f>_xlfn.CONCAT(Table1[[#This Row],[Billing Street]], ", ", Table1[[#This Row],[Billing City]], ", ", Table1[[#This Row],[Billing State/Province]], ", ", Table1[[#This Row],[Billing Zip/Postal Code]])</f>
        <v>2005 GE Road, Bloomington, IL, 61704</v>
      </c>
    </row>
    <row r="4149" spans="1:13" ht="15.6" hidden="1" x14ac:dyDescent="0.3">
      <c r="A4149" s="1" t="s">
        <v>12221</v>
      </c>
      <c r="B4149" s="1"/>
      <c r="C4149" s="1"/>
      <c r="D4149" s="1"/>
      <c r="E4149" s="1"/>
      <c r="F4149" s="1"/>
      <c r="G4149" s="1" t="s">
        <v>43</v>
      </c>
      <c r="H4149" s="2">
        <v>268</v>
      </c>
      <c r="I4149" s="1" t="s">
        <v>12222</v>
      </c>
      <c r="J4149" s="1" t="s">
        <v>261</v>
      </c>
      <c r="K4149" s="1" t="s">
        <v>237</v>
      </c>
      <c r="L4149" s="1" t="s">
        <v>1337</v>
      </c>
      <c r="M4149" s="6" t="str">
        <f>_xlfn.CONCAT(Table1[[#This Row],[Billing Street]], ", ", Table1[[#This Row],[Billing City]], ", ", Table1[[#This Row],[Billing State/Province]], ", ", Table1[[#This Row],[Billing Zip/Postal Code]])</f>
        <v>3719 W. 96th Steet, Indianapolis, IN, 46268</v>
      </c>
    </row>
    <row r="4150" spans="1:13" ht="15.6" hidden="1" x14ac:dyDescent="0.3">
      <c r="A4150" s="1" t="s">
        <v>12223</v>
      </c>
      <c r="B4150" s="1"/>
      <c r="C4150" s="1"/>
      <c r="D4150" s="1"/>
      <c r="E4150" s="1"/>
      <c r="F4150" s="1"/>
      <c r="G4150" s="1" t="s">
        <v>43</v>
      </c>
      <c r="H4150" s="2">
        <v>395</v>
      </c>
      <c r="I4150" s="1" t="s">
        <v>12224</v>
      </c>
      <c r="J4150" s="1" t="s">
        <v>12225</v>
      </c>
      <c r="K4150" s="1" t="s">
        <v>152</v>
      </c>
      <c r="L4150" s="1" t="s">
        <v>12226</v>
      </c>
      <c r="M4150" s="6" t="str">
        <f>_xlfn.CONCAT(Table1[[#This Row],[Billing Street]], ", ", Table1[[#This Row],[Billing City]], ", ", Table1[[#This Row],[Billing State/Province]], ", ", Table1[[#This Row],[Billing Zip/Postal Code]])</f>
        <v>110 E. Walnut Street, Oglesby, IL, 61348</v>
      </c>
    </row>
    <row r="4151" spans="1:13" ht="15.6" hidden="1" x14ac:dyDescent="0.3">
      <c r="A4151" s="1" t="s">
        <v>12227</v>
      </c>
      <c r="B4151" s="1"/>
      <c r="C4151" s="1"/>
      <c r="D4151" s="1"/>
      <c r="E4151" s="1"/>
      <c r="F4151" s="1"/>
      <c r="G4151" s="1" t="s">
        <v>43</v>
      </c>
      <c r="H4151" s="2">
        <v>314</v>
      </c>
      <c r="I4151" s="1" t="s">
        <v>12228</v>
      </c>
      <c r="J4151" s="1" t="s">
        <v>12229</v>
      </c>
      <c r="K4151" s="1" t="s">
        <v>237</v>
      </c>
      <c r="L4151" s="1" t="s">
        <v>12230</v>
      </c>
      <c r="M4151" s="6" t="str">
        <f>_xlfn.CONCAT(Table1[[#This Row],[Billing Street]], ", ", Table1[[#This Row],[Billing City]], ", ", Table1[[#This Row],[Billing State/Province]], ", ", Table1[[#This Row],[Billing Zip/Postal Code]])</f>
        <v>15 Midway St, Williamsport, IN, 47993</v>
      </c>
    </row>
    <row r="4152" spans="1:13" ht="15.6" hidden="1" x14ac:dyDescent="0.3">
      <c r="A4152" s="1" t="s">
        <v>12231</v>
      </c>
      <c r="B4152" s="1"/>
      <c r="C4152" s="1"/>
      <c r="D4152" s="1"/>
      <c r="E4152" s="1"/>
      <c r="F4152" s="1"/>
      <c r="G4152" s="1" t="s">
        <v>98</v>
      </c>
      <c r="H4152" s="2">
        <v>305</v>
      </c>
      <c r="I4152" s="1" t="s">
        <v>12232</v>
      </c>
      <c r="J4152" s="1" t="s">
        <v>1352</v>
      </c>
      <c r="K4152" s="1" t="s">
        <v>1135</v>
      </c>
      <c r="L4152" s="1" t="s">
        <v>12233</v>
      </c>
      <c r="M4152" s="6" t="str">
        <f>_xlfn.CONCAT(Table1[[#This Row],[Billing Street]], ", ", Table1[[#This Row],[Billing City]], ", ", Table1[[#This Row],[Billing State/Province]], ", ", Table1[[#This Row],[Billing Zip/Postal Code]])</f>
        <v>1207 S College, Trenton, TN, 38382-0047</v>
      </c>
    </row>
    <row r="4153" spans="1:13" ht="15.6" hidden="1" x14ac:dyDescent="0.3">
      <c r="A4153" s="1" t="s">
        <v>12234</v>
      </c>
      <c r="B4153" s="1"/>
      <c r="C4153" s="1"/>
      <c r="D4153" s="1"/>
      <c r="E4153" s="1"/>
      <c r="F4153" s="1"/>
      <c r="G4153" s="1" t="s">
        <v>43</v>
      </c>
      <c r="H4153" s="2">
        <v>5776</v>
      </c>
      <c r="I4153" s="1" t="s">
        <v>13</v>
      </c>
      <c r="J4153" s="1" t="s">
        <v>13</v>
      </c>
      <c r="K4153" s="1" t="s">
        <v>237</v>
      </c>
      <c r="L4153" s="1" t="s">
        <v>13</v>
      </c>
      <c r="M4153" s="6" t="str">
        <f>_xlfn.CONCAT(Table1[[#This Row],[Billing Street]], ", ", Table1[[#This Row],[Billing City]], ", ", Table1[[#This Row],[Billing State/Province]], ", ", Table1[[#This Row],[Billing Zip/Postal Code]])</f>
        <v xml:space="preserve">, , IN, </v>
      </c>
    </row>
    <row r="4154" spans="1:13" ht="15.6" hidden="1" x14ac:dyDescent="0.3">
      <c r="A4154" s="1" t="s">
        <v>12235</v>
      </c>
      <c r="B4154" s="1"/>
      <c r="C4154" s="1"/>
      <c r="D4154" s="1"/>
      <c r="E4154" s="1"/>
      <c r="F4154" s="1"/>
      <c r="G4154" s="1" t="s">
        <v>43</v>
      </c>
      <c r="H4154" s="2">
        <v>264</v>
      </c>
      <c r="I4154" s="1" t="s">
        <v>12236</v>
      </c>
      <c r="J4154" s="1" t="s">
        <v>12237</v>
      </c>
      <c r="K4154" s="1" t="s">
        <v>237</v>
      </c>
      <c r="L4154" s="1" t="s">
        <v>12238</v>
      </c>
      <c r="M4154" s="6" t="str">
        <f>_xlfn.CONCAT(Table1[[#This Row],[Billing Street]], ", ", Table1[[#This Row],[Billing City]], ", ", Table1[[#This Row],[Billing State/Province]], ", ", Table1[[#This Row],[Billing Zip/Postal Code]])</f>
        <v>11610 N. College Avenue, CARMEL, IN, 46032</v>
      </c>
    </row>
    <row r="4155" spans="1:13" ht="15.6" hidden="1" x14ac:dyDescent="0.3">
      <c r="A4155" s="1" t="s">
        <v>12239</v>
      </c>
      <c r="B4155" s="1"/>
      <c r="C4155" s="1"/>
      <c r="D4155" s="1"/>
      <c r="E4155" s="1"/>
      <c r="F4155" s="1"/>
      <c r="G4155" s="1" t="s">
        <v>98</v>
      </c>
      <c r="H4155" s="2">
        <v>329</v>
      </c>
      <c r="I4155" s="1" t="s">
        <v>12240</v>
      </c>
      <c r="J4155" s="1" t="s">
        <v>7899</v>
      </c>
      <c r="K4155" s="1" t="s">
        <v>1135</v>
      </c>
      <c r="L4155" s="1" t="s">
        <v>12241</v>
      </c>
      <c r="M4155" s="6" t="str">
        <f>_xlfn.CONCAT(Table1[[#This Row],[Billing Street]], ", ", Table1[[#This Row],[Billing City]], ", ", Table1[[#This Row],[Billing State/Province]], ", ", Table1[[#This Row],[Billing Zip/Postal Code]])</f>
        <v>158 Viar Ave., Ripley, TN, 38063</v>
      </c>
    </row>
    <row r="4156" spans="1:13" ht="15.6" hidden="1" x14ac:dyDescent="0.3">
      <c r="A4156" s="1" t="s">
        <v>12242</v>
      </c>
      <c r="B4156" s="1"/>
      <c r="C4156" s="1"/>
      <c r="D4156" s="1"/>
      <c r="E4156" s="1"/>
      <c r="F4156" s="1"/>
      <c r="G4156" s="1" t="s">
        <v>43</v>
      </c>
      <c r="H4156" s="2">
        <v>259</v>
      </c>
      <c r="I4156" s="1" t="s">
        <v>12243</v>
      </c>
      <c r="J4156" s="1" t="s">
        <v>12244</v>
      </c>
      <c r="K4156" s="1" t="s">
        <v>237</v>
      </c>
      <c r="L4156" s="1" t="s">
        <v>12245</v>
      </c>
      <c r="M4156" s="6" t="str">
        <f>_xlfn.CONCAT(Table1[[#This Row],[Billing Street]], ", ", Table1[[#This Row],[Billing City]], ", ", Table1[[#This Row],[Billing State/Province]], ", ", Table1[[#This Row],[Billing Zip/Postal Code]])</f>
        <v>601 E Broadway #101, Logansport, IN, 46947</v>
      </c>
    </row>
    <row r="4157" spans="1:13" ht="15.6" hidden="1" x14ac:dyDescent="0.3">
      <c r="A4157" s="1" t="s">
        <v>12246</v>
      </c>
      <c r="B4157" s="1"/>
      <c r="C4157" s="1"/>
      <c r="D4157" s="1"/>
      <c r="E4157" s="1"/>
      <c r="F4157" s="1"/>
      <c r="G4157" s="1" t="s">
        <v>54</v>
      </c>
      <c r="H4157" s="2">
        <v>3</v>
      </c>
      <c r="I4157" s="1" t="s">
        <v>8726</v>
      </c>
      <c r="J4157" s="1" t="s">
        <v>1447</v>
      </c>
      <c r="K4157" s="1" t="s">
        <v>57</v>
      </c>
      <c r="L4157" s="1" t="s">
        <v>1448</v>
      </c>
      <c r="M4157" s="6" t="str">
        <f>_xlfn.CONCAT(Table1[[#This Row],[Billing Street]], ", ", Table1[[#This Row],[Billing City]], ", ", Table1[[#This Row],[Billing State/Province]], ", ", Table1[[#This Row],[Billing Zip/Postal Code]])</f>
        <v>4305 S. Santa Fe Ave., Vernon, CA, 90058</v>
      </c>
    </row>
    <row r="4158" spans="1:13" ht="15.6" hidden="1" x14ac:dyDescent="0.3">
      <c r="A4158" s="1" t="s">
        <v>12247</v>
      </c>
      <c r="B4158" s="1"/>
      <c r="C4158" s="1"/>
      <c r="D4158" s="1"/>
      <c r="E4158" s="1"/>
      <c r="F4158" s="1"/>
      <c r="G4158" s="1" t="s">
        <v>43</v>
      </c>
      <c r="H4158" s="2">
        <v>271</v>
      </c>
      <c r="I4158" s="1" t="s">
        <v>12248</v>
      </c>
      <c r="J4158" s="1" t="s">
        <v>261</v>
      </c>
      <c r="K4158" s="1" t="s">
        <v>237</v>
      </c>
      <c r="L4158" s="1" t="s">
        <v>4710</v>
      </c>
      <c r="M4158" s="6" t="str">
        <f>_xlfn.CONCAT(Table1[[#This Row],[Billing Street]], ", ", Table1[[#This Row],[Billing City]], ", ", Table1[[#This Row],[Billing State/Province]], ", ", Table1[[#This Row],[Billing Zip/Postal Code]])</f>
        <v>1230 W. Morris St, Indianapolis, IN, 46221</v>
      </c>
    </row>
    <row r="4159" spans="1:13" ht="15.6" hidden="1" x14ac:dyDescent="0.3">
      <c r="A4159" s="1" t="s">
        <v>12249</v>
      </c>
      <c r="B4159" s="1"/>
      <c r="C4159" s="1"/>
      <c r="D4159" s="1"/>
      <c r="E4159" s="1"/>
      <c r="F4159" s="1"/>
      <c r="G4159" s="1" t="s">
        <v>43</v>
      </c>
      <c r="H4159" s="2">
        <v>225</v>
      </c>
      <c r="I4159" s="1" t="s">
        <v>12250</v>
      </c>
      <c r="J4159" s="1" t="s">
        <v>12251</v>
      </c>
      <c r="K4159" s="1" t="s">
        <v>237</v>
      </c>
      <c r="L4159" s="1" t="s">
        <v>12252</v>
      </c>
      <c r="M4159" s="6" t="str">
        <f>_xlfn.CONCAT(Table1[[#This Row],[Billing Street]], ", ", Table1[[#This Row],[Billing City]], ", ", Table1[[#This Row],[Billing State/Province]], ", ", Table1[[#This Row],[Billing Zip/Postal Code]])</f>
        <v>370 S 250 E, Warsaw, IN, 46582</v>
      </c>
    </row>
    <row r="4160" spans="1:13" ht="15.6" hidden="1" x14ac:dyDescent="0.3">
      <c r="A4160" s="1" t="s">
        <v>12253</v>
      </c>
      <c r="B4160" s="1"/>
      <c r="C4160" s="1"/>
      <c r="D4160" s="1"/>
      <c r="E4160" s="1"/>
      <c r="F4160" s="1"/>
      <c r="G4160" s="1" t="s">
        <v>43</v>
      </c>
      <c r="H4160" s="2">
        <v>259</v>
      </c>
      <c r="I4160" s="1" t="s">
        <v>12254</v>
      </c>
      <c r="J4160" s="1" t="s">
        <v>261</v>
      </c>
      <c r="K4160" s="1" t="s">
        <v>237</v>
      </c>
      <c r="L4160" s="1" t="s">
        <v>322</v>
      </c>
      <c r="M4160" s="6" t="str">
        <f>_xlfn.CONCAT(Table1[[#This Row],[Billing Street]], ", ", Table1[[#This Row],[Billing City]], ", ", Table1[[#This Row],[Billing State/Province]], ", ", Table1[[#This Row],[Billing Zip/Postal Code]])</f>
        <v>9231 Castlegate Drive, Indianapolis, IN, 46256</v>
      </c>
    </row>
    <row r="4161" spans="1:13" ht="15.6" hidden="1" x14ac:dyDescent="0.3">
      <c r="A4161" s="1" t="s">
        <v>12255</v>
      </c>
      <c r="B4161" s="1"/>
      <c r="C4161" s="1"/>
      <c r="D4161" s="1"/>
      <c r="E4161" s="1"/>
      <c r="F4161" s="1"/>
      <c r="G4161" s="1" t="s">
        <v>43</v>
      </c>
      <c r="H4161" s="2">
        <v>341</v>
      </c>
      <c r="I4161" s="1" t="s">
        <v>12256</v>
      </c>
      <c r="J4161" s="1" t="s">
        <v>10507</v>
      </c>
      <c r="K4161" s="1" t="s">
        <v>237</v>
      </c>
      <c r="L4161" s="1" t="s">
        <v>12257</v>
      </c>
      <c r="M4161" s="6" t="str">
        <f>_xlfn.CONCAT(Table1[[#This Row],[Billing Street]], ", ", Table1[[#This Row],[Billing City]], ", ", Table1[[#This Row],[Billing State/Province]], ", ", Table1[[#This Row],[Billing Zip/Postal Code]])</f>
        <v>86 S. Main St., Linton, IN, 47441</v>
      </c>
    </row>
    <row r="4162" spans="1:13" ht="15.6" hidden="1" x14ac:dyDescent="0.3">
      <c r="A4162" s="1" t="s">
        <v>12258</v>
      </c>
      <c r="B4162" s="1"/>
      <c r="C4162" s="1"/>
      <c r="D4162" s="1"/>
      <c r="E4162" s="1"/>
      <c r="F4162" s="1"/>
      <c r="G4162" s="1" t="s">
        <v>43</v>
      </c>
      <c r="H4162" s="2">
        <v>399</v>
      </c>
      <c r="I4162" s="1" t="s">
        <v>12259</v>
      </c>
      <c r="J4162" s="1" t="s">
        <v>338</v>
      </c>
      <c r="K4162" s="1" t="s">
        <v>237</v>
      </c>
      <c r="L4162" s="1" t="s">
        <v>12260</v>
      </c>
      <c r="M4162" s="6" t="str">
        <f>_xlfn.CONCAT(Table1[[#This Row],[Billing Street]], ", ", Table1[[#This Row],[Billing City]], ", ", Table1[[#This Row],[Billing State/Province]], ", ", Table1[[#This Row],[Billing Zip/Postal Code]])</f>
        <v>1 N. Main St., Evansville, IN, 47702</v>
      </c>
    </row>
    <row r="4163" spans="1:13" ht="15.6" hidden="1" x14ac:dyDescent="0.3">
      <c r="A4163" s="1" t="s">
        <v>12261</v>
      </c>
      <c r="B4163" s="1"/>
      <c r="C4163" s="1"/>
      <c r="D4163" s="1"/>
      <c r="E4163" s="1"/>
      <c r="F4163" s="1"/>
      <c r="G4163" s="1" t="s">
        <v>205</v>
      </c>
      <c r="H4163" s="2">
        <v>1</v>
      </c>
      <c r="I4163" s="1" t="s">
        <v>12262</v>
      </c>
      <c r="J4163" s="1" t="s">
        <v>518</v>
      </c>
      <c r="K4163" s="1" t="s">
        <v>479</v>
      </c>
      <c r="L4163" s="1" t="s">
        <v>1284</v>
      </c>
      <c r="M4163" s="6" t="str">
        <f>_xlfn.CONCAT(Table1[[#This Row],[Billing Street]], ", ", Table1[[#This Row],[Billing City]], ", ", Table1[[#This Row],[Billing State/Province]], ", ", Table1[[#This Row],[Billing Zip/Postal Code]])</f>
        <v>320 E McDowell Road #320, Phoenix, AZ, 85004</v>
      </c>
    </row>
    <row r="4164" spans="1:13" ht="15.6" hidden="1" x14ac:dyDescent="0.3">
      <c r="A4164" s="1" t="s">
        <v>12263</v>
      </c>
      <c r="B4164" s="1"/>
      <c r="C4164" s="1"/>
      <c r="D4164" s="1"/>
      <c r="E4164" s="1"/>
      <c r="F4164" s="1"/>
      <c r="G4164" s="1" t="s">
        <v>43</v>
      </c>
      <c r="H4164" s="2">
        <v>277</v>
      </c>
      <c r="I4164" s="1" t="s">
        <v>12264</v>
      </c>
      <c r="J4164" s="1" t="s">
        <v>297</v>
      </c>
      <c r="K4164" s="1" t="s">
        <v>237</v>
      </c>
      <c r="L4164" s="1" t="s">
        <v>6927</v>
      </c>
      <c r="M4164" s="6" t="str">
        <f>_xlfn.CONCAT(Table1[[#This Row],[Billing Street]], ", ", Table1[[#This Row],[Billing City]], ", ", Table1[[#This Row],[Billing State/Province]], ", ", Table1[[#This Row],[Billing Zip/Postal Code]])</f>
        <v>1207 Indianapolis Avenue, Lebanon, IN, 46052</v>
      </c>
    </row>
    <row r="4165" spans="1:13" ht="15.6" hidden="1" x14ac:dyDescent="0.3">
      <c r="A4165" s="1" t="s">
        <v>12265</v>
      </c>
      <c r="B4165" s="1"/>
      <c r="C4165" s="1"/>
      <c r="D4165" s="1"/>
      <c r="E4165" s="1"/>
      <c r="F4165" s="1"/>
      <c r="G4165" s="1" t="s">
        <v>205</v>
      </c>
      <c r="H4165" s="2">
        <v>96</v>
      </c>
      <c r="I4165" s="1" t="s">
        <v>12266</v>
      </c>
      <c r="J4165" s="1" t="s">
        <v>6395</v>
      </c>
      <c r="K4165" s="1" t="s">
        <v>479</v>
      </c>
      <c r="L4165" s="1" t="s">
        <v>12267</v>
      </c>
      <c r="M4165" s="6" t="str">
        <f>_xlfn.CONCAT(Table1[[#This Row],[Billing Street]], ", ", Table1[[#This Row],[Billing City]], ", ", Table1[[#This Row],[Billing State/Province]], ", ", Table1[[#This Row],[Billing Zip/Postal Code]])</f>
        <v>Arizona 86, Sells, AZ, 85634</v>
      </c>
    </row>
    <row r="4166" spans="1:13" ht="15.6" x14ac:dyDescent="0.3">
      <c r="A4166" s="1" t="s">
        <v>12268</v>
      </c>
      <c r="B4166" s="1"/>
      <c r="C4166" s="1"/>
      <c r="D4166" s="1"/>
      <c r="E4166" s="1"/>
      <c r="F4166" s="1"/>
      <c r="G4166" s="1" t="s">
        <v>24</v>
      </c>
      <c r="H4166" s="2">
        <v>189</v>
      </c>
      <c r="I4166" s="1" t="s">
        <v>12269</v>
      </c>
      <c r="J4166" s="1" t="s">
        <v>438</v>
      </c>
      <c r="K4166" s="1" t="s">
        <v>26</v>
      </c>
      <c r="L4166" s="1" t="s">
        <v>12270</v>
      </c>
      <c r="M4166" s="6" t="str">
        <f>_xlfn.CONCAT(Table1[[#This Row],[Billing Street]], ", ", Table1[[#This Row],[Billing City]], ", ", Table1[[#This Row],[Billing State/Province]], ", ", Table1[[#This Row],[Billing Zip/Postal Code]])</f>
        <v>3701 Loop Rd, Tuscaloosa, AL, 35404</v>
      </c>
    </row>
    <row r="4167" spans="1:13" ht="15.6" hidden="1" x14ac:dyDescent="0.3">
      <c r="A4167" s="1" t="s">
        <v>12271</v>
      </c>
      <c r="B4167" s="1"/>
      <c r="C4167" s="1"/>
      <c r="D4167" s="1"/>
      <c r="E4167" s="1"/>
      <c r="F4167" s="1"/>
      <c r="G4167" s="1" t="s">
        <v>98</v>
      </c>
      <c r="H4167" s="2">
        <v>213</v>
      </c>
      <c r="I4167" s="1" t="s">
        <v>12272</v>
      </c>
      <c r="J4167" s="1" t="s">
        <v>4692</v>
      </c>
      <c r="K4167" s="1" t="s">
        <v>1135</v>
      </c>
      <c r="L4167" s="1" t="s">
        <v>12273</v>
      </c>
      <c r="M4167" s="6" t="str">
        <f>_xlfn.CONCAT(Table1[[#This Row],[Billing Street]], ", ", Table1[[#This Row],[Billing City]], ", ", Table1[[#This Row],[Billing State/Province]], ", ", Table1[[#This Row],[Billing Zip/Postal Code]])</f>
        <v>932 Twin Elms Court, Nashville, TN, 37210</v>
      </c>
    </row>
    <row r="4168" spans="1:13" ht="15.6" hidden="1" x14ac:dyDescent="0.3">
      <c r="A4168" s="1" t="s">
        <v>12274</v>
      </c>
      <c r="B4168" s="1"/>
      <c r="C4168" s="1"/>
      <c r="D4168" s="1"/>
      <c r="E4168" s="1"/>
      <c r="F4168" s="1"/>
      <c r="G4168" s="1" t="s">
        <v>98</v>
      </c>
      <c r="H4168" s="2">
        <v>266</v>
      </c>
      <c r="I4168" s="1" t="s">
        <v>6506</v>
      </c>
      <c r="J4168" s="1" t="s">
        <v>270</v>
      </c>
      <c r="K4168" s="1" t="s">
        <v>1135</v>
      </c>
      <c r="L4168" s="1" t="s">
        <v>6507</v>
      </c>
      <c r="M4168" s="6" t="str">
        <f>_xlfn.CONCAT(Table1[[#This Row],[Billing Street]], ", ", Table1[[#This Row],[Billing City]], ", ", Table1[[#This Row],[Billing State/Province]], ", ", Table1[[#This Row],[Billing Zip/Postal Code]])</f>
        <v>975 Highway 70 E, Camden, TN, 38320</v>
      </c>
    </row>
    <row r="4169" spans="1:13" ht="15.6" hidden="1" x14ac:dyDescent="0.3">
      <c r="A4169" s="1" t="s">
        <v>12275</v>
      </c>
      <c r="B4169" s="1"/>
      <c r="C4169" s="1"/>
      <c r="D4169" s="1"/>
      <c r="E4169" s="1"/>
      <c r="F4169" s="1"/>
      <c r="G4169" s="1" t="s">
        <v>43</v>
      </c>
      <c r="H4169" s="2">
        <v>5776</v>
      </c>
      <c r="I4169" s="1" t="s">
        <v>13</v>
      </c>
      <c r="J4169" s="1" t="s">
        <v>13</v>
      </c>
      <c r="K4169" s="1" t="s">
        <v>241</v>
      </c>
      <c r="L4169" s="1" t="s">
        <v>13</v>
      </c>
      <c r="M4169" s="6" t="str">
        <f>_xlfn.CONCAT(Table1[[#This Row],[Billing Street]], ", ", Table1[[#This Row],[Billing City]], ", ", Table1[[#This Row],[Billing State/Province]], ", ", Table1[[#This Row],[Billing Zip/Postal Code]])</f>
        <v xml:space="preserve">, , PA, </v>
      </c>
    </row>
    <row r="4170" spans="1:13" ht="15.6" hidden="1" x14ac:dyDescent="0.3">
      <c r="A4170" s="1" t="s">
        <v>12276</v>
      </c>
      <c r="B4170" s="1"/>
      <c r="C4170" s="1"/>
      <c r="D4170" s="1"/>
      <c r="E4170" s="1"/>
      <c r="F4170" s="1"/>
      <c r="G4170" s="1" t="s">
        <v>43</v>
      </c>
      <c r="H4170" s="2">
        <v>5776</v>
      </c>
      <c r="I4170" s="1" t="s">
        <v>13</v>
      </c>
      <c r="J4170" s="1" t="s">
        <v>13</v>
      </c>
      <c r="K4170" s="1" t="s">
        <v>241</v>
      </c>
      <c r="L4170" s="1" t="s">
        <v>13</v>
      </c>
      <c r="M4170" s="6" t="str">
        <f>_xlfn.CONCAT(Table1[[#This Row],[Billing Street]], ", ", Table1[[#This Row],[Billing City]], ", ", Table1[[#This Row],[Billing State/Province]], ", ", Table1[[#This Row],[Billing Zip/Postal Code]])</f>
        <v xml:space="preserve">, , PA, </v>
      </c>
    </row>
    <row r="4171" spans="1:13" ht="15.6" hidden="1" x14ac:dyDescent="0.3">
      <c r="A4171" s="1" t="s">
        <v>12277</v>
      </c>
      <c r="B4171" s="1"/>
      <c r="C4171" s="1"/>
      <c r="D4171" s="1"/>
      <c r="E4171" s="1"/>
      <c r="F4171" s="1"/>
      <c r="G4171" s="1" t="s">
        <v>98</v>
      </c>
      <c r="H4171" s="2">
        <v>248</v>
      </c>
      <c r="I4171" s="1" t="s">
        <v>12278</v>
      </c>
      <c r="J4171" s="1" t="s">
        <v>12279</v>
      </c>
      <c r="K4171" s="1" t="s">
        <v>234</v>
      </c>
      <c r="L4171" s="1" t="s">
        <v>12280</v>
      </c>
      <c r="M4171" s="6" t="str">
        <f>_xlfn.CONCAT(Table1[[#This Row],[Billing Street]], ", ", Table1[[#This Row],[Billing City]], ", ", Table1[[#This Row],[Billing State/Province]], ", ", Table1[[#This Row],[Billing Zip/Postal Code]])</f>
        <v>1 Riverwood Dr, Moncks Corner, SC, 29461-6101</v>
      </c>
    </row>
    <row r="4172" spans="1:13" ht="15.6" hidden="1" x14ac:dyDescent="0.3">
      <c r="A4172" s="1" t="s">
        <v>12281</v>
      </c>
      <c r="B4172" s="1"/>
      <c r="C4172" s="1"/>
      <c r="D4172" s="1"/>
      <c r="E4172" s="1"/>
      <c r="F4172" s="1"/>
      <c r="G4172" s="1" t="s">
        <v>43</v>
      </c>
      <c r="H4172" s="2">
        <v>163</v>
      </c>
      <c r="I4172" s="1" t="s">
        <v>12282</v>
      </c>
      <c r="J4172" s="1" t="s">
        <v>12283</v>
      </c>
      <c r="K4172" s="1" t="s">
        <v>241</v>
      </c>
      <c r="L4172" s="1" t="s">
        <v>12284</v>
      </c>
      <c r="M4172" s="6" t="str">
        <f>_xlfn.CONCAT(Table1[[#This Row],[Billing Street]], ", ", Table1[[#This Row],[Billing City]], ", ", Table1[[#This Row],[Billing State/Province]], ", ", Table1[[#This Row],[Billing Zip/Postal Code]])</f>
        <v>700 North Street, Berlin, PA, 15530</v>
      </c>
    </row>
    <row r="4173" spans="1:13" ht="15.6" hidden="1" x14ac:dyDescent="0.3">
      <c r="A4173" s="1" t="s">
        <v>12285</v>
      </c>
      <c r="B4173" s="1"/>
      <c r="C4173" s="1"/>
      <c r="D4173" s="1"/>
      <c r="E4173" s="1"/>
      <c r="F4173" s="1"/>
      <c r="G4173" s="1" t="s">
        <v>98</v>
      </c>
      <c r="H4173" s="2">
        <v>221</v>
      </c>
      <c r="I4173" s="1" t="s">
        <v>12286</v>
      </c>
      <c r="J4173" s="1" t="s">
        <v>12287</v>
      </c>
      <c r="K4173" s="1" t="s">
        <v>1178</v>
      </c>
      <c r="L4173" s="1" t="s">
        <v>12288</v>
      </c>
      <c r="M4173" s="6" t="str">
        <f>_xlfn.CONCAT(Table1[[#This Row],[Billing Street]], ", ", Table1[[#This Row],[Billing City]], ", ", Table1[[#This Row],[Billing State/Province]], ", ", Table1[[#This Row],[Billing Zip/Postal Code]])</f>
        <v>11316 Sam Furr Road, Huntersville, NC, 28078</v>
      </c>
    </row>
    <row r="4174" spans="1:13" ht="15.6" hidden="1" x14ac:dyDescent="0.3">
      <c r="A4174" s="1" t="s">
        <v>12289</v>
      </c>
      <c r="B4174" s="1"/>
      <c r="C4174" s="1"/>
      <c r="D4174" s="1"/>
      <c r="E4174" s="1"/>
      <c r="F4174" s="1"/>
      <c r="G4174" s="1" t="s">
        <v>43</v>
      </c>
      <c r="H4174" s="2">
        <v>269</v>
      </c>
      <c r="I4174" s="1" t="s">
        <v>12290</v>
      </c>
      <c r="J4174" s="1" t="s">
        <v>12291</v>
      </c>
      <c r="K4174" s="1" t="s">
        <v>1115</v>
      </c>
      <c r="L4174" s="1" t="s">
        <v>12292</v>
      </c>
      <c r="M4174" s="6" t="str">
        <f>_xlfn.CONCAT(Table1[[#This Row],[Billing Street]], ", ", Table1[[#This Row],[Billing City]], ", ", Table1[[#This Row],[Billing State/Province]], ", ", Table1[[#This Row],[Billing Zip/Postal Code]])</f>
        <v>12075 Doug Brooks Rd, Herndon, VA, 20170</v>
      </c>
    </row>
    <row r="4175" spans="1:13" ht="15.6" hidden="1" x14ac:dyDescent="0.3">
      <c r="A4175" s="1" t="s">
        <v>12293</v>
      </c>
      <c r="B4175" s="1"/>
      <c r="C4175" s="1"/>
      <c r="D4175" s="1"/>
      <c r="E4175" s="1"/>
      <c r="F4175" s="1"/>
      <c r="G4175" s="1" t="s">
        <v>98</v>
      </c>
      <c r="H4175" s="2">
        <v>5887</v>
      </c>
      <c r="I4175" s="1" t="s">
        <v>12294</v>
      </c>
      <c r="J4175" s="1" t="s">
        <v>12295</v>
      </c>
      <c r="K4175" s="1" t="s">
        <v>234</v>
      </c>
      <c r="L4175" s="1" t="s">
        <v>12296</v>
      </c>
      <c r="M4175" s="6" t="str">
        <f>_xlfn.CONCAT(Table1[[#This Row],[Billing Street]], ", ", Table1[[#This Row],[Billing City]], ", ", Table1[[#This Row],[Billing State/Province]], ", ", Table1[[#This Row],[Billing Zip/Postal Code]])</f>
        <v>1121 N Pike St, Sumter, SC, 29153</v>
      </c>
    </row>
    <row r="4176" spans="1:13" ht="15.6" hidden="1" x14ac:dyDescent="0.3">
      <c r="A4176" s="1" t="s">
        <v>12297</v>
      </c>
      <c r="B4176" s="1"/>
      <c r="C4176" s="1"/>
      <c r="D4176" s="1"/>
      <c r="E4176" s="1"/>
      <c r="F4176" s="1"/>
      <c r="G4176" s="1" t="s">
        <v>98</v>
      </c>
      <c r="H4176" s="2">
        <v>5887</v>
      </c>
      <c r="I4176" s="1" t="s">
        <v>12298</v>
      </c>
      <c r="J4176" s="1" t="s">
        <v>12279</v>
      </c>
      <c r="K4176" s="1" t="s">
        <v>234</v>
      </c>
      <c r="L4176" s="1" t="s">
        <v>12299</v>
      </c>
      <c r="M4176" s="6" t="str">
        <f>_xlfn.CONCAT(Table1[[#This Row],[Billing Street]], ", ", Table1[[#This Row],[Billing City]], ", ", Table1[[#This Row],[Billing State/Province]], ", ", Table1[[#This Row],[Billing Zip/Postal Code]])</f>
        <v>551 Rembert C Dennis Blvd, Moncks Corner, SC, 29461</v>
      </c>
    </row>
    <row r="4177" spans="1:13" ht="15.6" hidden="1" x14ac:dyDescent="0.3">
      <c r="A4177" s="1" t="s">
        <v>12300</v>
      </c>
      <c r="B4177" s="1"/>
      <c r="C4177" s="1"/>
      <c r="D4177" s="1"/>
      <c r="E4177" s="1"/>
      <c r="F4177" s="1"/>
      <c r="G4177" s="1" t="s">
        <v>43</v>
      </c>
      <c r="H4177" s="2">
        <v>94</v>
      </c>
      <c r="I4177" s="1" t="s">
        <v>12301</v>
      </c>
      <c r="J4177" s="1" t="s">
        <v>2544</v>
      </c>
      <c r="K4177" s="1" t="s">
        <v>241</v>
      </c>
      <c r="L4177" s="1" t="s">
        <v>13</v>
      </c>
      <c r="M4177" s="6" t="str">
        <f>_xlfn.CONCAT(Table1[[#This Row],[Billing Street]], ", ", Table1[[#This Row],[Billing City]], ", ", Table1[[#This Row],[Billing State/Province]], ", ", Table1[[#This Row],[Billing Zip/Postal Code]])</f>
        <v xml:space="preserve">716 Route 368, Parker, PA, </v>
      </c>
    </row>
    <row r="4178" spans="1:13" ht="15.6" x14ac:dyDescent="0.3">
      <c r="A4178" s="1" t="s">
        <v>12302</v>
      </c>
      <c r="B4178" s="1"/>
      <c r="C4178" s="1"/>
      <c r="D4178" s="1"/>
      <c r="E4178" s="1"/>
      <c r="F4178" s="1"/>
      <c r="G4178" s="1" t="s">
        <v>24</v>
      </c>
      <c r="H4178" s="2">
        <v>5988</v>
      </c>
      <c r="I4178" s="1" t="s">
        <v>12303</v>
      </c>
      <c r="J4178" s="1" t="s">
        <v>5283</v>
      </c>
      <c r="K4178" s="1" t="s">
        <v>26</v>
      </c>
      <c r="L4178" s="1" t="s">
        <v>5284</v>
      </c>
      <c r="M4178" s="6" t="str">
        <f>_xlfn.CONCAT(Table1[[#This Row],[Billing Street]], ", ", Table1[[#This Row],[Billing City]], ", ", Table1[[#This Row],[Billing State/Province]], ", ", Table1[[#This Row],[Billing Zip/Postal Code]])</f>
        <v>1401 East 6th Street, Tuscumbia, AL, 35674</v>
      </c>
    </row>
    <row r="4179" spans="1:13" ht="15.6" hidden="1" x14ac:dyDescent="0.3">
      <c r="A4179" s="1" t="s">
        <v>12304</v>
      </c>
      <c r="B4179" s="1"/>
      <c r="C4179" s="1"/>
      <c r="D4179" s="1"/>
      <c r="E4179" s="1"/>
      <c r="F4179" s="1"/>
      <c r="G4179" s="1" t="s">
        <v>43</v>
      </c>
      <c r="H4179" s="2">
        <v>5776</v>
      </c>
      <c r="I4179" s="1" t="s">
        <v>13</v>
      </c>
      <c r="J4179" s="1" t="s">
        <v>13</v>
      </c>
      <c r="K4179" s="1" t="s">
        <v>241</v>
      </c>
      <c r="L4179" s="1" t="s">
        <v>13</v>
      </c>
      <c r="M4179" s="6" t="str">
        <f>_xlfn.CONCAT(Table1[[#This Row],[Billing Street]], ", ", Table1[[#This Row],[Billing City]], ", ", Table1[[#This Row],[Billing State/Province]], ", ", Table1[[#This Row],[Billing Zip/Postal Code]])</f>
        <v xml:space="preserve">, , PA, </v>
      </c>
    </row>
    <row r="4180" spans="1:13" ht="15.6" hidden="1" x14ac:dyDescent="0.3">
      <c r="A4180" s="1" t="s">
        <v>12305</v>
      </c>
      <c r="B4180" s="1"/>
      <c r="C4180" s="1"/>
      <c r="D4180" s="1"/>
      <c r="E4180" s="1"/>
      <c r="F4180" s="1"/>
      <c r="G4180" s="1" t="s">
        <v>43</v>
      </c>
      <c r="H4180" s="2">
        <v>5776</v>
      </c>
      <c r="I4180" s="1" t="s">
        <v>12306</v>
      </c>
      <c r="J4180" s="1" t="s">
        <v>3716</v>
      </c>
      <c r="K4180" s="1" t="s">
        <v>1704</v>
      </c>
      <c r="L4180" s="1" t="s">
        <v>10277</v>
      </c>
      <c r="M4180" s="6" t="str">
        <f>_xlfn.CONCAT(Table1[[#This Row],[Billing Street]], ", ", Table1[[#This Row],[Billing City]], ", ", Table1[[#This Row],[Billing State/Province]], ", ", Table1[[#This Row],[Billing Zip/Postal Code]])</f>
        <v>16 Lexington, Lexington, me, 4401</v>
      </c>
    </row>
    <row r="4181" spans="1:13" ht="15.6" hidden="1" x14ac:dyDescent="0.3">
      <c r="A4181" s="1" t="s">
        <v>12307</v>
      </c>
      <c r="B4181" s="1"/>
      <c r="C4181" s="1"/>
      <c r="D4181" s="1"/>
      <c r="E4181" s="1"/>
      <c r="F4181" s="1"/>
      <c r="G4181" s="1" t="s">
        <v>43</v>
      </c>
      <c r="H4181" s="2">
        <v>5776</v>
      </c>
      <c r="I4181" s="1" t="s">
        <v>12308</v>
      </c>
      <c r="J4181" s="1" t="s">
        <v>6788</v>
      </c>
      <c r="K4181" s="1" t="s">
        <v>781</v>
      </c>
      <c r="L4181" s="1" t="s">
        <v>12309</v>
      </c>
      <c r="M4181" s="6" t="str">
        <f>_xlfn.CONCAT(Table1[[#This Row],[Billing Street]], ", ", Table1[[#This Row],[Billing City]], ", ", Table1[[#This Row],[Billing State/Province]], ", ", Table1[[#This Row],[Billing Zip/Postal Code]])</f>
        <v>30 S Valley Rd Suite 310, Paoli, pa, 19301</v>
      </c>
    </row>
    <row r="4182" spans="1:13" ht="15.6" hidden="1" x14ac:dyDescent="0.3">
      <c r="A4182" s="1" t="s">
        <v>12310</v>
      </c>
      <c r="B4182" s="1"/>
      <c r="C4182" s="1"/>
      <c r="D4182" s="1"/>
      <c r="E4182" s="1"/>
      <c r="F4182" s="1"/>
      <c r="G4182" s="1" t="s">
        <v>43</v>
      </c>
      <c r="H4182" s="2">
        <v>5776</v>
      </c>
      <c r="I4182" s="1" t="s">
        <v>12311</v>
      </c>
      <c r="J4182" s="1" t="s">
        <v>12312</v>
      </c>
      <c r="K4182" s="1" t="s">
        <v>275</v>
      </c>
      <c r="L4182" s="1" t="s">
        <v>13</v>
      </c>
      <c r="M4182" s="6" t="str">
        <f>_xlfn.CONCAT(Table1[[#This Row],[Billing Street]], ", ", Table1[[#This Row],[Billing City]], ", ", Table1[[#This Row],[Billing State/Province]], ", ", Table1[[#This Row],[Billing Zip/Postal Code]])</f>
        <v xml:space="preserve">261 Washington Blvd, Oswego, ny, </v>
      </c>
    </row>
    <row r="4183" spans="1:13" ht="15.6" hidden="1" x14ac:dyDescent="0.3">
      <c r="A4183" s="1" t="s">
        <v>12313</v>
      </c>
      <c r="B4183" s="1"/>
      <c r="C4183" s="1"/>
      <c r="D4183" s="1"/>
      <c r="E4183" s="1"/>
      <c r="F4183" s="1"/>
      <c r="G4183" s="1" t="s">
        <v>43</v>
      </c>
      <c r="H4183" s="2">
        <v>5776</v>
      </c>
      <c r="I4183" s="1" t="s">
        <v>13</v>
      </c>
      <c r="J4183" s="1" t="s">
        <v>13</v>
      </c>
      <c r="K4183" s="1" t="s">
        <v>241</v>
      </c>
      <c r="L4183" s="1" t="s">
        <v>13</v>
      </c>
      <c r="M4183" s="6" t="str">
        <f>_xlfn.CONCAT(Table1[[#This Row],[Billing Street]], ", ", Table1[[#This Row],[Billing City]], ", ", Table1[[#This Row],[Billing State/Province]], ", ", Table1[[#This Row],[Billing Zip/Postal Code]])</f>
        <v xml:space="preserve">, , PA, </v>
      </c>
    </row>
    <row r="4184" spans="1:13" ht="15.6" hidden="1" x14ac:dyDescent="0.3">
      <c r="A4184" s="1" t="s">
        <v>12314</v>
      </c>
      <c r="B4184" s="1"/>
      <c r="C4184" s="1"/>
      <c r="D4184" s="1"/>
      <c r="E4184" s="1"/>
      <c r="F4184" s="1"/>
      <c r="G4184" s="1" t="s">
        <v>43</v>
      </c>
      <c r="H4184" s="2">
        <v>5776</v>
      </c>
      <c r="I4184" s="1" t="s">
        <v>13</v>
      </c>
      <c r="J4184" s="1" t="s">
        <v>13</v>
      </c>
      <c r="K4184" s="1" t="s">
        <v>241</v>
      </c>
      <c r="L4184" s="1" t="s">
        <v>13</v>
      </c>
      <c r="M4184" s="6" t="str">
        <f>_xlfn.CONCAT(Table1[[#This Row],[Billing Street]], ", ", Table1[[#This Row],[Billing City]], ", ", Table1[[#This Row],[Billing State/Province]], ", ", Table1[[#This Row],[Billing Zip/Postal Code]])</f>
        <v xml:space="preserve">, , PA, </v>
      </c>
    </row>
    <row r="4185" spans="1:13" ht="15.6" hidden="1" x14ac:dyDescent="0.3">
      <c r="A4185" s="1" t="s">
        <v>12315</v>
      </c>
      <c r="B4185" s="1"/>
      <c r="C4185" s="1"/>
      <c r="D4185" s="1"/>
      <c r="E4185" s="1"/>
      <c r="F4185" s="1"/>
      <c r="G4185" s="1" t="s">
        <v>8</v>
      </c>
      <c r="H4185" s="2">
        <v>225</v>
      </c>
      <c r="I4185" s="1" t="s">
        <v>12316</v>
      </c>
      <c r="J4185" s="1" t="s">
        <v>9161</v>
      </c>
      <c r="K4185" s="1" t="s">
        <v>165</v>
      </c>
      <c r="L4185" s="1" t="s">
        <v>12317</v>
      </c>
      <c r="M4185" s="6" t="str">
        <f>_xlfn.CONCAT(Table1[[#This Row],[Billing Street]], ", ", Table1[[#This Row],[Billing City]], ", ", Table1[[#This Row],[Billing State/Province]], ", ", Table1[[#This Row],[Billing Zip/Postal Code]])</f>
        <v>1500 S Amity Road, Conway, AR, 72032</v>
      </c>
    </row>
    <row r="4186" spans="1:13" ht="15.6" hidden="1" x14ac:dyDescent="0.3">
      <c r="A4186" s="1" t="s">
        <v>12318</v>
      </c>
      <c r="B4186" s="1"/>
      <c r="C4186" s="1"/>
      <c r="D4186" s="1"/>
      <c r="E4186" s="1"/>
      <c r="F4186" s="1"/>
      <c r="G4186" s="1" t="s">
        <v>8</v>
      </c>
      <c r="H4186" s="2">
        <v>294</v>
      </c>
      <c r="I4186" s="1" t="s">
        <v>12319</v>
      </c>
      <c r="J4186" s="1" t="s">
        <v>10380</v>
      </c>
      <c r="K4186" s="1" t="s">
        <v>165</v>
      </c>
      <c r="L4186" s="1" t="s">
        <v>12320</v>
      </c>
      <c r="M4186" s="6" t="str">
        <f>_xlfn.CONCAT(Table1[[#This Row],[Billing Street]], ", ", Table1[[#This Row],[Billing City]], ", ", Table1[[#This Row],[Billing State/Province]], ", ", Table1[[#This Row],[Billing Zip/Postal Code]])</f>
        <v>601-1127 N express Ave, Bradley, AR, 71826</v>
      </c>
    </row>
    <row r="4187" spans="1:13" ht="15.6" hidden="1" x14ac:dyDescent="0.3">
      <c r="A4187" s="1" t="s">
        <v>12321</v>
      </c>
      <c r="B4187" s="1"/>
      <c r="C4187" s="1"/>
      <c r="D4187" s="1"/>
      <c r="E4187" s="1"/>
      <c r="F4187" s="1"/>
      <c r="G4187" s="1" t="s">
        <v>8</v>
      </c>
      <c r="H4187" s="2">
        <v>237</v>
      </c>
      <c r="I4187" s="1" t="s">
        <v>12322</v>
      </c>
      <c r="J4187" s="1" t="s">
        <v>4692</v>
      </c>
      <c r="K4187" s="1" t="s">
        <v>165</v>
      </c>
      <c r="L4187" s="1" t="s">
        <v>12323</v>
      </c>
      <c r="M4187" s="6" t="str">
        <f>_xlfn.CONCAT(Table1[[#This Row],[Billing Street]], ", ", Table1[[#This Row],[Billing City]], ", ", Table1[[#This Row],[Billing State/Province]], ", ", Table1[[#This Row],[Billing Zip/Postal Code]])</f>
        <v>1665 South 4th street, Nashville, AR, 71852</v>
      </c>
    </row>
    <row r="4188" spans="1:13" ht="15.6" hidden="1" x14ac:dyDescent="0.3">
      <c r="A4188" s="1" t="s">
        <v>12324</v>
      </c>
      <c r="B4188" s="1"/>
      <c r="C4188" s="1"/>
      <c r="D4188" s="1"/>
      <c r="E4188" s="1"/>
      <c r="F4188" s="1"/>
      <c r="G4188" s="1" t="s">
        <v>43</v>
      </c>
      <c r="H4188" s="2">
        <v>5776</v>
      </c>
      <c r="I4188" s="1" t="s">
        <v>12325</v>
      </c>
      <c r="J4188" s="1" t="s">
        <v>12326</v>
      </c>
      <c r="K4188" s="1" t="s">
        <v>781</v>
      </c>
      <c r="L4188" s="1" t="s">
        <v>12327</v>
      </c>
      <c r="M4188" s="6" t="str">
        <f>_xlfn.CONCAT(Table1[[#This Row],[Billing Street]], ", ", Table1[[#This Row],[Billing City]], ", ", Table1[[#This Row],[Billing State/Province]], ", ", Table1[[#This Row],[Billing Zip/Postal Code]])</f>
        <v>2002 Renaissance Blvd Suite 110, King of Prussia, pa, 19406</v>
      </c>
    </row>
    <row r="4189" spans="1:13" ht="15.6" hidden="1" x14ac:dyDescent="0.3">
      <c r="A4189" s="1" t="s">
        <v>12328</v>
      </c>
      <c r="B4189" s="1"/>
      <c r="C4189" s="1"/>
      <c r="D4189" s="1"/>
      <c r="E4189" s="1"/>
      <c r="F4189" s="1"/>
      <c r="G4189" s="1" t="s">
        <v>43</v>
      </c>
      <c r="H4189" s="2">
        <v>5776</v>
      </c>
      <c r="I4189" s="1" t="s">
        <v>13</v>
      </c>
      <c r="J4189" s="1" t="s">
        <v>13</v>
      </c>
      <c r="K4189" s="1" t="s">
        <v>241</v>
      </c>
      <c r="L4189" s="1" t="s">
        <v>13</v>
      </c>
      <c r="M4189" s="6" t="str">
        <f>_xlfn.CONCAT(Table1[[#This Row],[Billing Street]], ", ", Table1[[#This Row],[Billing City]], ", ", Table1[[#This Row],[Billing State/Province]], ", ", Table1[[#This Row],[Billing Zip/Postal Code]])</f>
        <v xml:space="preserve">, , PA, </v>
      </c>
    </row>
    <row r="4190" spans="1:13" ht="15.6" hidden="1" x14ac:dyDescent="0.3">
      <c r="A4190" s="1" t="s">
        <v>12329</v>
      </c>
      <c r="B4190" s="1"/>
      <c r="C4190" s="1"/>
      <c r="D4190" s="1"/>
      <c r="E4190" s="1"/>
      <c r="F4190" s="1"/>
      <c r="G4190" s="1" t="s">
        <v>8</v>
      </c>
      <c r="H4190" s="2">
        <v>15</v>
      </c>
      <c r="I4190" s="1" t="s">
        <v>1765</v>
      </c>
      <c r="J4190" s="1" t="s">
        <v>1766</v>
      </c>
      <c r="K4190" s="1" t="s">
        <v>554</v>
      </c>
      <c r="L4190" s="1" t="s">
        <v>1767</v>
      </c>
      <c r="M4190" s="6" t="str">
        <f>_xlfn.CONCAT(Table1[[#This Row],[Billing Street]], ", ", Table1[[#This Row],[Billing City]], ", ", Table1[[#This Row],[Billing State/Province]], ", ", Table1[[#This Row],[Billing Zip/Postal Code]])</f>
        <v>2400 W Laurel, Independence, KS, 67301</v>
      </c>
    </row>
    <row r="4191" spans="1:13" ht="15.6" hidden="1" x14ac:dyDescent="0.3">
      <c r="A4191" s="1" t="s">
        <v>12330</v>
      </c>
      <c r="B4191" s="1"/>
      <c r="C4191" s="1"/>
      <c r="D4191" s="1"/>
      <c r="E4191" s="1"/>
      <c r="F4191" s="1"/>
      <c r="G4191" s="1" t="s">
        <v>8</v>
      </c>
      <c r="H4191" s="2">
        <v>192</v>
      </c>
      <c r="I4191" s="1" t="s">
        <v>12331</v>
      </c>
      <c r="J4191" s="1" t="s">
        <v>2642</v>
      </c>
      <c r="K4191" s="1" t="s">
        <v>554</v>
      </c>
      <c r="L4191" s="1" t="s">
        <v>4000</v>
      </c>
      <c r="M4191" s="6" t="str">
        <f>_xlfn.CONCAT(Table1[[#This Row],[Billing Street]], ", ", Table1[[#This Row],[Billing City]], ", ", Table1[[#This Row],[Billing State/Province]], ", ", Table1[[#This Row],[Billing Zip/Postal Code]])</f>
        <v>137 W Walnut St, Troy, KS, 66087</v>
      </c>
    </row>
    <row r="4192" spans="1:13" ht="15.6" hidden="1" x14ac:dyDescent="0.3">
      <c r="A4192" s="1" t="s">
        <v>12332</v>
      </c>
      <c r="B4192" s="1"/>
      <c r="C4192" s="1"/>
      <c r="D4192" s="1"/>
      <c r="E4192" s="1"/>
      <c r="F4192" s="1"/>
      <c r="G4192" s="1" t="s">
        <v>48</v>
      </c>
      <c r="H4192" s="2">
        <v>0</v>
      </c>
      <c r="I4192" s="1" t="s">
        <v>12333</v>
      </c>
      <c r="J4192" s="1" t="s">
        <v>12334</v>
      </c>
      <c r="K4192" s="1" t="s">
        <v>36</v>
      </c>
      <c r="L4192" s="1" t="s">
        <v>12335</v>
      </c>
      <c r="M4192" s="6" t="str">
        <f>_xlfn.CONCAT(Table1[[#This Row],[Billing Street]], ", ", Table1[[#This Row],[Billing City]], ", ", Table1[[#This Row],[Billing State/Province]], ", ", Table1[[#This Row],[Billing Zip/Postal Code]])</f>
        <v>1748 Independence Boulevard_x000D_
Building A, Sarasota, FL, 34234</v>
      </c>
    </row>
    <row r="4193" spans="1:13" ht="15.6" hidden="1" x14ac:dyDescent="0.3">
      <c r="A4193" s="1" t="s">
        <v>12336</v>
      </c>
      <c r="B4193" s="1"/>
      <c r="C4193" s="1"/>
      <c r="D4193" s="1"/>
      <c r="E4193" s="1"/>
      <c r="F4193" s="1"/>
      <c r="G4193" s="1" t="s">
        <v>13</v>
      </c>
      <c r="H4193" s="2">
        <v>0</v>
      </c>
      <c r="I4193" s="1" t="s">
        <v>13</v>
      </c>
      <c r="J4193" s="1" t="s">
        <v>13</v>
      </c>
      <c r="K4193" s="1" t="s">
        <v>13</v>
      </c>
      <c r="L4193" s="1" t="s">
        <v>13</v>
      </c>
      <c r="M4193" s="6" t="str">
        <f>_xlfn.CONCAT(Table1[[#This Row],[Billing Street]], ", ", Table1[[#This Row],[Billing City]], ", ", Table1[[#This Row],[Billing State/Province]], ", ", Table1[[#This Row],[Billing Zip/Postal Code]])</f>
        <v xml:space="preserve">, , , </v>
      </c>
    </row>
    <row r="4194" spans="1:13" ht="15.6" hidden="1" x14ac:dyDescent="0.3">
      <c r="A4194" s="1" t="s">
        <v>12337</v>
      </c>
      <c r="B4194" s="1"/>
      <c r="C4194" s="1"/>
      <c r="D4194" s="1"/>
      <c r="E4194" s="1"/>
      <c r="F4194" s="1"/>
      <c r="G4194" s="1" t="s">
        <v>8</v>
      </c>
      <c r="H4194" s="2">
        <v>503</v>
      </c>
      <c r="I4194" s="1" t="s">
        <v>12338</v>
      </c>
      <c r="J4194" s="1" t="s">
        <v>557</v>
      </c>
      <c r="K4194" s="1" t="s">
        <v>4343</v>
      </c>
      <c r="L4194" s="1" t="s">
        <v>12339</v>
      </c>
      <c r="M4194" s="6" t="str">
        <f>_xlfn.CONCAT(Table1[[#This Row],[Billing Street]], ", ", Table1[[#This Row],[Billing City]], ", ", Table1[[#This Row],[Billing State/Province]], ", ", Table1[[#This Row],[Billing Zip/Postal Code]])</f>
        <v>1301 McKinney St, Houston, Texas, 77010</v>
      </c>
    </row>
    <row r="4195" spans="1:13" ht="15.6" x14ac:dyDescent="0.3">
      <c r="A4195" s="1" t="s">
        <v>12340</v>
      </c>
      <c r="B4195" s="1"/>
      <c r="C4195" s="1"/>
      <c r="D4195" s="1"/>
      <c r="E4195" s="1"/>
      <c r="F4195" s="1"/>
      <c r="G4195" s="1" t="s">
        <v>24</v>
      </c>
      <c r="H4195" s="2">
        <v>256</v>
      </c>
      <c r="I4195" s="1" t="s">
        <v>9199</v>
      </c>
      <c r="J4195" s="1" t="s">
        <v>9200</v>
      </c>
      <c r="K4195" s="1" t="s">
        <v>577</v>
      </c>
      <c r="L4195" s="1" t="s">
        <v>9201</v>
      </c>
      <c r="M4195" s="6" t="str">
        <f>_xlfn.CONCAT(Table1[[#This Row],[Billing Street]], ", ", Table1[[#This Row],[Billing City]], ", ", Table1[[#This Row],[Billing State/Province]], ", ", Table1[[#This Row],[Billing Zip/Postal Code]])</f>
        <v>411 Pride Drive, Hammond, LA, 70401</v>
      </c>
    </row>
    <row r="4196" spans="1:13" ht="15.6" hidden="1" x14ac:dyDescent="0.3">
      <c r="A4196" s="1" t="s">
        <v>12341</v>
      </c>
      <c r="B4196" s="1"/>
      <c r="C4196" s="1"/>
      <c r="D4196" s="1"/>
      <c r="E4196" s="1"/>
      <c r="F4196" s="1"/>
      <c r="G4196" s="1" t="s">
        <v>8</v>
      </c>
      <c r="H4196" s="2">
        <v>201</v>
      </c>
      <c r="I4196" s="1" t="s">
        <v>12342</v>
      </c>
      <c r="J4196" s="1" t="s">
        <v>10789</v>
      </c>
      <c r="K4196" s="1" t="s">
        <v>11</v>
      </c>
      <c r="L4196" s="1" t="s">
        <v>10790</v>
      </c>
      <c r="M4196" s="6" t="str">
        <f>_xlfn.CONCAT(Table1[[#This Row],[Billing Street]], ", ", Table1[[#This Row],[Billing City]], ", ", Table1[[#This Row],[Billing State/Province]], ", ", Table1[[#This Row],[Billing Zip/Postal Code]])</f>
        <v>205 N. Main St., Cameron, MO, 64429</v>
      </c>
    </row>
    <row r="4197" spans="1:13" ht="15.6" hidden="1" x14ac:dyDescent="0.3">
      <c r="A4197" s="1" t="s">
        <v>12343</v>
      </c>
      <c r="B4197" s="1"/>
      <c r="C4197" s="1"/>
      <c r="D4197" s="1"/>
      <c r="E4197" s="1"/>
      <c r="F4197" s="1"/>
      <c r="G4197" s="1" t="s">
        <v>8</v>
      </c>
      <c r="H4197" s="2">
        <v>221</v>
      </c>
      <c r="I4197" s="1" t="s">
        <v>12344</v>
      </c>
      <c r="J4197" s="1" t="s">
        <v>16</v>
      </c>
      <c r="K4197" s="1" t="s">
        <v>11</v>
      </c>
      <c r="L4197" s="1" t="s">
        <v>17</v>
      </c>
      <c r="M4197" s="6" t="str">
        <f>_xlfn.CONCAT(Table1[[#This Row],[Billing Street]], ", ", Table1[[#This Row],[Billing City]], ", ", Table1[[#This Row],[Billing State/Province]], ", ", Table1[[#This Row],[Billing Zip/Postal Code]])</f>
        <v>920 Washington St., Chillicothe, MO, 64601</v>
      </c>
    </row>
    <row r="4198" spans="1:13" ht="15.6" hidden="1" x14ac:dyDescent="0.3">
      <c r="A4198" s="1" t="s">
        <v>12345</v>
      </c>
      <c r="B4198" s="1"/>
      <c r="C4198" s="1"/>
      <c r="D4198" s="1"/>
      <c r="E4198" s="1"/>
      <c r="F4198" s="1"/>
      <c r="G4198" s="1" t="s">
        <v>8</v>
      </c>
      <c r="H4198" s="2">
        <v>287</v>
      </c>
      <c r="I4198" s="1" t="s">
        <v>12346</v>
      </c>
      <c r="J4198" s="1" t="s">
        <v>10662</v>
      </c>
      <c r="K4198" s="1" t="s">
        <v>51</v>
      </c>
      <c r="L4198" s="1" t="s">
        <v>12347</v>
      </c>
      <c r="M4198" s="6" t="str">
        <f>_xlfn.CONCAT(Table1[[#This Row],[Billing Street]], ", ", Table1[[#This Row],[Billing City]], ", ", Table1[[#This Row],[Billing State/Province]], ", ", Table1[[#This Row],[Billing Zip/Postal Code]])</f>
        <v>557 N Garden Ridge Blvd, Lewisville, TX, 75067</v>
      </c>
    </row>
    <row r="4199" spans="1:13" ht="15.6" hidden="1" x14ac:dyDescent="0.3">
      <c r="A4199" s="1" t="s">
        <v>12348</v>
      </c>
      <c r="B4199" s="1"/>
      <c r="C4199" s="1"/>
      <c r="D4199" s="1"/>
      <c r="E4199" s="1"/>
      <c r="F4199" s="1"/>
      <c r="G4199" s="1" t="s">
        <v>205</v>
      </c>
      <c r="H4199" s="2">
        <v>505</v>
      </c>
      <c r="I4199" s="1" t="s">
        <v>12349</v>
      </c>
      <c r="J4199" s="1" t="s">
        <v>12350</v>
      </c>
      <c r="K4199" s="1" t="s">
        <v>266</v>
      </c>
      <c r="L4199" s="1" t="s">
        <v>12351</v>
      </c>
      <c r="M4199" s="6" t="str">
        <f>_xlfn.CONCAT(Table1[[#This Row],[Billing Street]], ", ", Table1[[#This Row],[Billing City]], ", ", Table1[[#This Row],[Billing State/Province]], ", ", Table1[[#This Row],[Billing Zip/Postal Code]])</f>
        <v>1300 West Ave D, Lovington, NM, 88260</v>
      </c>
    </row>
    <row r="4200" spans="1:13" ht="15.6" hidden="1" x14ac:dyDescent="0.3">
      <c r="A4200" s="1" t="s">
        <v>12352</v>
      </c>
      <c r="B4200" s="1"/>
      <c r="C4200" s="1"/>
      <c r="D4200" s="1"/>
      <c r="E4200" s="1"/>
      <c r="F4200" s="1"/>
      <c r="G4200" s="1" t="s">
        <v>8</v>
      </c>
      <c r="H4200" s="2">
        <v>290</v>
      </c>
      <c r="I4200" s="1" t="s">
        <v>12353</v>
      </c>
      <c r="J4200" s="1" t="s">
        <v>12354</v>
      </c>
      <c r="K4200" s="1" t="s">
        <v>51</v>
      </c>
      <c r="L4200" s="1" t="s">
        <v>12355</v>
      </c>
      <c r="M4200" s="6" t="str">
        <f>_xlfn.CONCAT(Table1[[#This Row],[Billing Street]], ", ", Table1[[#This Row],[Billing City]], ", ", Table1[[#This Row],[Billing State/Province]], ", ", Table1[[#This Row],[Billing Zip/Postal Code]])</f>
        <v>950 Sids Rd, Rockwall, TX, 75087</v>
      </c>
    </row>
    <row r="4201" spans="1:13" ht="15.6" hidden="1" x14ac:dyDescent="0.3">
      <c r="A4201" s="1" t="s">
        <v>12356</v>
      </c>
      <c r="B4201" s="1"/>
      <c r="C4201" s="1"/>
      <c r="D4201" s="1"/>
      <c r="E4201" s="1"/>
      <c r="F4201" s="1"/>
      <c r="G4201" s="1" t="s">
        <v>8</v>
      </c>
      <c r="H4201" s="2">
        <v>440</v>
      </c>
      <c r="I4201" s="1" t="s">
        <v>12357</v>
      </c>
      <c r="J4201" s="1" t="s">
        <v>2644</v>
      </c>
      <c r="K4201" s="1" t="s">
        <v>51</v>
      </c>
      <c r="L4201" s="1" t="s">
        <v>12358</v>
      </c>
      <c r="M4201" s="6" t="str">
        <f>_xlfn.CONCAT(Table1[[#This Row],[Billing Street]], ", ", Table1[[#This Row],[Billing City]], ", ", Table1[[#This Row],[Billing State/Province]], ", ", Table1[[#This Row],[Billing Zip/Postal Code]])</f>
        <v>101 North St, Newton, TX, 75966</v>
      </c>
    </row>
    <row r="4202" spans="1:13" ht="15.6" hidden="1" x14ac:dyDescent="0.3">
      <c r="A4202" s="1" t="s">
        <v>12359</v>
      </c>
      <c r="B4202" s="1"/>
      <c r="C4202" s="1"/>
      <c r="D4202" s="1"/>
      <c r="E4202" s="1"/>
      <c r="F4202" s="1"/>
      <c r="G4202" s="1" t="s">
        <v>8</v>
      </c>
      <c r="H4202" s="2">
        <v>523</v>
      </c>
      <c r="I4202" s="1" t="s">
        <v>6610</v>
      </c>
      <c r="J4202" s="1" t="s">
        <v>6611</v>
      </c>
      <c r="K4202" s="1" t="s">
        <v>51</v>
      </c>
      <c r="L4202" s="1" t="s">
        <v>6612</v>
      </c>
      <c r="M4202" s="6" t="str">
        <f>_xlfn.CONCAT(Table1[[#This Row],[Billing Street]], ", ", Table1[[#This Row],[Billing City]], ", ", Table1[[#This Row],[Billing State/Province]], ", ", Table1[[#This Row],[Billing Zip/Postal Code]])</f>
        <v>102 S Main St, Moulton, TX, 77975</v>
      </c>
    </row>
    <row r="4203" spans="1:13" ht="15.6" hidden="1" x14ac:dyDescent="0.3">
      <c r="A4203" s="1" t="s">
        <v>12360</v>
      </c>
      <c r="B4203" s="1"/>
      <c r="C4203" s="1"/>
      <c r="D4203" s="1"/>
      <c r="E4203" s="1"/>
      <c r="F4203" s="1"/>
      <c r="G4203" s="1" t="s">
        <v>8</v>
      </c>
      <c r="H4203" s="2">
        <v>503</v>
      </c>
      <c r="I4203" s="1" t="s">
        <v>12361</v>
      </c>
      <c r="J4203" s="1" t="s">
        <v>557</v>
      </c>
      <c r="K4203" s="1" t="s">
        <v>51</v>
      </c>
      <c r="L4203" s="1" t="s">
        <v>5061</v>
      </c>
      <c r="M4203" s="6" t="str">
        <f>_xlfn.CONCAT(Table1[[#This Row],[Billing Street]], ", ", Table1[[#This Row],[Billing City]], ", ", Table1[[#This Row],[Billing State/Province]], ", ", Table1[[#This Row],[Billing Zip/Postal Code]])</f>
        <v>1001 McKinney St, Houston, TX, 77002</v>
      </c>
    </row>
    <row r="4204" spans="1:13" ht="15.6" hidden="1" x14ac:dyDescent="0.3">
      <c r="A4204" s="1" t="s">
        <v>12362</v>
      </c>
      <c r="B4204" s="1"/>
      <c r="C4204" s="1"/>
      <c r="D4204" s="1"/>
      <c r="E4204" s="1"/>
      <c r="F4204" s="1"/>
      <c r="G4204" s="1" t="s">
        <v>8</v>
      </c>
      <c r="H4204" s="2">
        <v>483</v>
      </c>
      <c r="I4204" s="1" t="s">
        <v>12363</v>
      </c>
      <c r="J4204" s="1" t="s">
        <v>977</v>
      </c>
      <c r="K4204" s="1" t="s">
        <v>51</v>
      </c>
      <c r="L4204" s="1" t="s">
        <v>8501</v>
      </c>
      <c r="M4204" s="6" t="str">
        <f>_xlfn.CONCAT(Table1[[#This Row],[Billing Street]], ", ", Table1[[#This Row],[Billing City]], ", ", Table1[[#This Row],[Billing State/Province]], ", ", Table1[[#This Row],[Billing Zip/Postal Code]])</f>
        <v>400 W 15th Suite 800, Austin, TX, 78701</v>
      </c>
    </row>
    <row r="4205" spans="1:13" ht="15.6" hidden="1" x14ac:dyDescent="0.3">
      <c r="A4205" s="1" t="s">
        <v>12364</v>
      </c>
      <c r="B4205" s="1"/>
      <c r="C4205" s="1"/>
      <c r="D4205" s="1"/>
      <c r="E4205" s="1"/>
      <c r="F4205" s="1"/>
      <c r="G4205" s="1" t="s">
        <v>8</v>
      </c>
      <c r="H4205" s="2">
        <v>560</v>
      </c>
      <c r="I4205" s="1" t="s">
        <v>12365</v>
      </c>
      <c r="J4205" s="1" t="s">
        <v>5683</v>
      </c>
      <c r="K4205" s="1" t="s">
        <v>51</v>
      </c>
      <c r="L4205" s="1" t="s">
        <v>7675</v>
      </c>
      <c r="M4205" s="6" t="str">
        <f>_xlfn.CONCAT(Table1[[#This Row],[Billing Street]], ", ", Table1[[#This Row],[Billing City]], ", ", Table1[[#This Row],[Billing State/Province]], ", ", Table1[[#This Row],[Billing Zip/Postal Code]])</f>
        <v>12090 FM 521, Bay City, TX, 77414</v>
      </c>
    </row>
    <row r="4206" spans="1:13" ht="15.6" hidden="1" x14ac:dyDescent="0.3">
      <c r="A4206" s="1" t="s">
        <v>12366</v>
      </c>
      <c r="B4206" s="1"/>
      <c r="C4206" s="1"/>
      <c r="D4206" s="1"/>
      <c r="E4206" s="1"/>
      <c r="F4206" s="1"/>
      <c r="G4206" s="1" t="s">
        <v>8</v>
      </c>
      <c r="H4206" s="2">
        <v>488</v>
      </c>
      <c r="I4206" s="1" t="s">
        <v>12367</v>
      </c>
      <c r="J4206" s="1" t="s">
        <v>8861</v>
      </c>
      <c r="K4206" s="1" t="s">
        <v>51</v>
      </c>
      <c r="L4206" s="1" t="s">
        <v>12368</v>
      </c>
      <c r="M4206" s="6" t="str">
        <f>_xlfn.CONCAT(Table1[[#This Row],[Billing Street]], ", ", Table1[[#This Row],[Billing City]], ", ", Table1[[#This Row],[Billing State/Province]], ", ", Table1[[#This Row],[Billing Zip/Postal Code]])</f>
        <v>1400 W Business 20, Stanton, TX, 79782</v>
      </c>
    </row>
    <row r="4207" spans="1:13" ht="15.6" hidden="1" x14ac:dyDescent="0.3">
      <c r="A4207" s="1" t="s">
        <v>12369</v>
      </c>
      <c r="B4207" s="1"/>
      <c r="C4207" s="1"/>
      <c r="D4207" s="1"/>
      <c r="E4207" s="1"/>
      <c r="F4207" s="1"/>
      <c r="G4207" s="1" t="s">
        <v>205</v>
      </c>
      <c r="H4207" s="2">
        <v>445</v>
      </c>
      <c r="I4207" s="1" t="s">
        <v>12370</v>
      </c>
      <c r="J4207" s="1" t="s">
        <v>12371</v>
      </c>
      <c r="K4207" s="1" t="s">
        <v>266</v>
      </c>
      <c r="L4207" s="1" t="s">
        <v>12372</v>
      </c>
      <c r="M4207" s="6" t="str">
        <f>_xlfn.CONCAT(Table1[[#This Row],[Billing Street]], ", ", Table1[[#This Row],[Billing City]], ", ", Table1[[#This Row],[Billing State/Province]], ", ", Table1[[#This Row],[Billing Zip/Postal Code]])</f>
        <v>1505 N 13th street, Artesia, NM, 88211</v>
      </c>
    </row>
    <row r="4208" spans="1:13" ht="15.6" hidden="1" x14ac:dyDescent="0.3">
      <c r="A4208" s="1" t="s">
        <v>12373</v>
      </c>
      <c r="B4208" s="1"/>
      <c r="C4208" s="1"/>
      <c r="D4208" s="1"/>
      <c r="E4208" s="1"/>
      <c r="F4208" s="1"/>
      <c r="G4208" s="1" t="s">
        <v>43</v>
      </c>
      <c r="H4208" s="2">
        <v>17</v>
      </c>
      <c r="I4208" s="1" t="s">
        <v>12374</v>
      </c>
      <c r="J4208" s="1" t="s">
        <v>104</v>
      </c>
      <c r="K4208" s="1" t="s">
        <v>45</v>
      </c>
      <c r="L4208" s="1" t="s">
        <v>12375</v>
      </c>
      <c r="M4208" s="6" t="str">
        <f>_xlfn.CONCAT(Table1[[#This Row],[Billing Street]], ", ", Table1[[#This Row],[Billing City]], ", ", Table1[[#This Row],[Billing State/Province]], ", ", Table1[[#This Row],[Billing Zip/Postal Code]])</f>
        <v>2800 Euclid Avenue  Suite 523, Cleveland, OH, 44115</v>
      </c>
    </row>
    <row r="4209" spans="1:13" ht="15.6" hidden="1" x14ac:dyDescent="0.3">
      <c r="A4209" s="1" t="s">
        <v>12376</v>
      </c>
      <c r="B4209" s="1"/>
      <c r="C4209" s="1"/>
      <c r="D4209" s="1"/>
      <c r="E4209" s="1"/>
      <c r="F4209" s="1"/>
      <c r="G4209" s="1" t="s">
        <v>8</v>
      </c>
      <c r="H4209" s="2">
        <v>64</v>
      </c>
      <c r="I4209" s="1" t="s">
        <v>12377</v>
      </c>
      <c r="J4209" s="1" t="s">
        <v>12378</v>
      </c>
      <c r="K4209" s="1" t="s">
        <v>11</v>
      </c>
      <c r="L4209" s="1" t="s">
        <v>12379</v>
      </c>
      <c r="M4209" s="6" t="str">
        <f>_xlfn.CONCAT(Table1[[#This Row],[Billing Street]], ", ", Table1[[#This Row],[Billing City]], ", ", Table1[[#This Row],[Billing State/Province]], ", ", Table1[[#This Row],[Billing Zip/Postal Code]])</f>
        <v>613 Main St, Mindenmines, MO, 64769</v>
      </c>
    </row>
    <row r="4210" spans="1:13" ht="15.6" x14ac:dyDescent="0.3">
      <c r="A4210" s="1" t="s">
        <v>12380</v>
      </c>
      <c r="B4210" s="1"/>
      <c r="C4210" s="1"/>
      <c r="D4210" s="1"/>
      <c r="E4210" s="1"/>
      <c r="F4210" s="1"/>
      <c r="G4210" s="1" t="s">
        <v>24</v>
      </c>
      <c r="H4210" s="2">
        <v>168</v>
      </c>
      <c r="I4210" s="1" t="s">
        <v>12381</v>
      </c>
      <c r="J4210" s="1" t="s">
        <v>12382</v>
      </c>
      <c r="K4210" s="1" t="s">
        <v>26</v>
      </c>
      <c r="L4210" s="1" t="s">
        <v>12383</v>
      </c>
      <c r="M4210" s="6" t="str">
        <f>_xlfn.CONCAT(Table1[[#This Row],[Billing Street]], ", ", Table1[[#This Row],[Billing City]], ", ", Table1[[#This Row],[Billing State/Province]], ", ", Table1[[#This Row],[Billing Zip/Postal Code]])</f>
        <v>1051 AL-25, Montevallo, AL, 35115</v>
      </c>
    </row>
    <row r="4211" spans="1:13" ht="15.6" hidden="1" x14ac:dyDescent="0.3">
      <c r="A4211" s="1" t="s">
        <v>12384</v>
      </c>
      <c r="B4211" s="1"/>
      <c r="C4211" s="1"/>
      <c r="D4211" s="1"/>
      <c r="E4211" s="1"/>
      <c r="F4211" s="1"/>
      <c r="G4211" s="1" t="s">
        <v>8</v>
      </c>
      <c r="H4211" s="2">
        <v>113</v>
      </c>
      <c r="I4211" s="1" t="s">
        <v>12385</v>
      </c>
      <c r="J4211" s="1" t="s">
        <v>12386</v>
      </c>
      <c r="K4211" s="1" t="s">
        <v>11</v>
      </c>
      <c r="L4211" s="1" t="s">
        <v>12387</v>
      </c>
      <c r="M4211" s="6" t="str">
        <f>_xlfn.CONCAT(Table1[[#This Row],[Billing Street]], ", ", Table1[[#This Row],[Billing City]], ", ", Table1[[#This Row],[Billing State/Province]], ", ", Table1[[#This Row],[Billing Zip/Postal Code]])</f>
        <v>120 N. Commerce St., Crane, MO, 65633</v>
      </c>
    </row>
    <row r="4212" spans="1:13" ht="15.6" x14ac:dyDescent="0.3">
      <c r="A4212" s="1" t="s">
        <v>12388</v>
      </c>
      <c r="B4212" s="1"/>
      <c r="C4212" s="1"/>
      <c r="D4212" s="1"/>
      <c r="E4212" s="1"/>
      <c r="F4212" s="1"/>
      <c r="G4212" s="1" t="s">
        <v>24</v>
      </c>
      <c r="H4212" s="2">
        <v>194</v>
      </c>
      <c r="I4212" s="1" t="s">
        <v>12389</v>
      </c>
      <c r="J4212" s="1" t="s">
        <v>438</v>
      </c>
      <c r="K4212" s="1" t="s">
        <v>26</v>
      </c>
      <c r="L4212" s="1" t="s">
        <v>439</v>
      </c>
      <c r="M4212" s="6" t="str">
        <f>_xlfn.CONCAT(Table1[[#This Row],[Billing Street]], ", ", Table1[[#This Row],[Billing City]], ", ", Table1[[#This Row],[Billing State/Province]], ", ", Table1[[#This Row],[Billing Zip/Postal Code]])</f>
        <v>1301 Industrial Park Dr., Tuscaloosa, AL, 35401</v>
      </c>
    </row>
    <row r="4213" spans="1:13" ht="15.6" hidden="1" x14ac:dyDescent="0.3">
      <c r="A4213" s="1" t="s">
        <v>12390</v>
      </c>
      <c r="B4213" s="1"/>
      <c r="C4213" s="1"/>
      <c r="D4213" s="1"/>
      <c r="E4213" s="1"/>
      <c r="F4213" s="1"/>
      <c r="G4213" s="1" t="s">
        <v>98</v>
      </c>
      <c r="H4213" s="2">
        <v>5887</v>
      </c>
      <c r="I4213" s="1" t="s">
        <v>13</v>
      </c>
      <c r="J4213" s="1" t="s">
        <v>12391</v>
      </c>
      <c r="K4213" s="1" t="s">
        <v>1135</v>
      </c>
      <c r="L4213" s="1" t="s">
        <v>13</v>
      </c>
      <c r="M4213" s="6" t="str">
        <f>_xlfn.CONCAT(Table1[[#This Row],[Billing Street]], ", ", Table1[[#This Row],[Billing City]], ", ", Table1[[#This Row],[Billing State/Province]], ", ", Table1[[#This Row],[Billing Zip/Postal Code]])</f>
        <v xml:space="preserve">, Mt Pleasent, TN, </v>
      </c>
    </row>
    <row r="4214" spans="1:13" ht="15.6" x14ac:dyDescent="0.3">
      <c r="A4214" s="1" t="s">
        <v>12392</v>
      </c>
      <c r="B4214" s="1"/>
      <c r="C4214" s="1"/>
      <c r="D4214" s="1"/>
      <c r="E4214" s="1"/>
      <c r="F4214" s="1"/>
      <c r="G4214" s="1" t="s">
        <v>24</v>
      </c>
      <c r="H4214" s="2">
        <v>5988</v>
      </c>
      <c r="I4214" s="1" t="s">
        <v>12393</v>
      </c>
      <c r="J4214" s="1" t="s">
        <v>12394</v>
      </c>
      <c r="K4214" s="1" t="s">
        <v>26</v>
      </c>
      <c r="L4214" s="1" t="s">
        <v>12395</v>
      </c>
      <c r="M4214" s="6" t="str">
        <f>_xlfn.CONCAT(Table1[[#This Row],[Billing Street]], ", ", Table1[[#This Row],[Billing City]], ", ", Table1[[#This Row],[Billing State/Province]], ", ", Table1[[#This Row],[Billing Zip/Postal Code]])</f>
        <v>U of A, Tusacloosa, AL, 35487</v>
      </c>
    </row>
    <row r="4215" spans="1:13" ht="15.6" hidden="1" x14ac:dyDescent="0.3">
      <c r="A4215" s="1" t="s">
        <v>12396</v>
      </c>
      <c r="B4215" s="1"/>
      <c r="C4215" s="1"/>
      <c r="D4215" s="1"/>
      <c r="E4215" s="1"/>
      <c r="F4215" s="1"/>
      <c r="G4215" s="1" t="s">
        <v>205</v>
      </c>
      <c r="H4215" s="2">
        <v>423</v>
      </c>
      <c r="I4215" s="1" t="s">
        <v>12397</v>
      </c>
      <c r="J4215" s="1" t="s">
        <v>10470</v>
      </c>
      <c r="K4215" s="1" t="s">
        <v>266</v>
      </c>
      <c r="L4215" s="1" t="s">
        <v>12398</v>
      </c>
      <c r="M4215" s="6" t="str">
        <f>_xlfn.CONCAT(Table1[[#This Row],[Billing Street]], ", ", Table1[[#This Row],[Billing City]], ", ", Table1[[#This Row],[Billing State/Province]], ", ", Table1[[#This Row],[Billing Zip/Postal Code]])</f>
        <v>499 NM-518, Mora, NM, 87732</v>
      </c>
    </row>
    <row r="4216" spans="1:13" ht="15.6" hidden="1" x14ac:dyDescent="0.3">
      <c r="A4216" s="1" t="s">
        <v>12399</v>
      </c>
      <c r="B4216" s="1"/>
      <c r="C4216" s="1"/>
      <c r="D4216" s="1"/>
      <c r="E4216" s="1"/>
      <c r="F4216" s="1"/>
      <c r="G4216" s="1" t="s">
        <v>43</v>
      </c>
      <c r="H4216" s="2">
        <v>5776</v>
      </c>
      <c r="I4216" s="1" t="s">
        <v>13</v>
      </c>
      <c r="J4216" s="1" t="s">
        <v>2200</v>
      </c>
      <c r="K4216" s="1" t="s">
        <v>152</v>
      </c>
      <c r="L4216" s="1" t="s">
        <v>13</v>
      </c>
      <c r="M4216" s="6" t="str">
        <f>_xlfn.CONCAT(Table1[[#This Row],[Billing Street]], ", ", Table1[[#This Row],[Billing City]], ", ", Table1[[#This Row],[Billing State/Province]], ", ", Table1[[#This Row],[Billing Zip/Postal Code]])</f>
        <v xml:space="preserve">, Wheeling, IL, </v>
      </c>
    </row>
    <row r="4217" spans="1:13" ht="15.6" hidden="1" x14ac:dyDescent="0.3">
      <c r="A4217" s="1" t="s">
        <v>12400</v>
      </c>
      <c r="B4217" s="1"/>
      <c r="C4217" s="1"/>
      <c r="D4217" s="1"/>
      <c r="E4217" s="1"/>
      <c r="F4217" s="1"/>
      <c r="G4217" s="1" t="s">
        <v>205</v>
      </c>
      <c r="H4217" s="2">
        <v>369</v>
      </c>
      <c r="I4217" s="1" t="s">
        <v>12401</v>
      </c>
      <c r="J4217" s="1" t="s">
        <v>12402</v>
      </c>
      <c r="K4217" s="1" t="s">
        <v>266</v>
      </c>
      <c r="L4217" s="1" t="s">
        <v>12403</v>
      </c>
      <c r="M4217" s="6" t="str">
        <f>_xlfn.CONCAT(Table1[[#This Row],[Billing Street]], ", ", Table1[[#This Row],[Billing City]], ", ", Table1[[#This Row],[Billing State/Province]], ", ", Table1[[#This Row],[Billing Zip/Postal Code]])</f>
        <v>1000 Central Avenue, Suite 130, Los Alamos, NM, 87544</v>
      </c>
    </row>
    <row r="4218" spans="1:13" ht="15.6" hidden="1" x14ac:dyDescent="0.3">
      <c r="A4218" s="1" t="s">
        <v>12404</v>
      </c>
      <c r="B4218" s="1"/>
      <c r="C4218" s="1"/>
      <c r="D4218" s="1"/>
      <c r="E4218" s="1"/>
      <c r="F4218" s="1"/>
      <c r="G4218" s="1" t="s">
        <v>43</v>
      </c>
      <c r="H4218" s="2">
        <v>5776</v>
      </c>
      <c r="I4218" s="1" t="s">
        <v>12405</v>
      </c>
      <c r="J4218" s="1" t="s">
        <v>780</v>
      </c>
      <c r="K4218" s="1" t="s">
        <v>781</v>
      </c>
      <c r="L4218" s="1" t="s">
        <v>12406</v>
      </c>
      <c r="M4218" s="6" t="str">
        <f>_xlfn.CONCAT(Table1[[#This Row],[Billing Street]], ", ", Table1[[#This Row],[Billing City]], ", ", Table1[[#This Row],[Billing State/Province]], ", ", Table1[[#This Row],[Billing Zip/Postal Code]])</f>
        <v>3144 Passyunk Ave, Philadelphia, pa, 19145</v>
      </c>
    </row>
    <row r="4219" spans="1:13" ht="15.6" hidden="1" x14ac:dyDescent="0.3">
      <c r="A4219" s="1" t="s">
        <v>12407</v>
      </c>
      <c r="B4219" s="1"/>
      <c r="C4219" s="1"/>
      <c r="D4219" s="1"/>
      <c r="E4219" s="1"/>
      <c r="F4219" s="1"/>
      <c r="G4219" s="1" t="s">
        <v>8</v>
      </c>
      <c r="H4219" s="2">
        <v>6528</v>
      </c>
      <c r="I4219" s="1" t="s">
        <v>13</v>
      </c>
      <c r="J4219" s="1" t="s">
        <v>12408</v>
      </c>
      <c r="K4219" s="1" t="s">
        <v>12409</v>
      </c>
      <c r="L4219" s="1" t="s">
        <v>13</v>
      </c>
      <c r="M4219" s="6" t="str">
        <f>_xlfn.CONCAT(Table1[[#This Row],[Billing Street]], ", ", Table1[[#This Row],[Billing City]], ", ", Table1[[#This Row],[Billing State/Province]], ", ", Table1[[#This Row],[Billing Zip/Postal Code]])</f>
        <v xml:space="preserve">, Spiro, ok, </v>
      </c>
    </row>
    <row r="4220" spans="1:13" ht="15.6" hidden="1" x14ac:dyDescent="0.3">
      <c r="A4220" s="1" t="s">
        <v>12410</v>
      </c>
      <c r="B4220" s="1"/>
      <c r="C4220" s="1"/>
      <c r="D4220" s="1"/>
      <c r="E4220" s="1"/>
      <c r="F4220" s="1"/>
      <c r="G4220" s="1" t="s">
        <v>98</v>
      </c>
      <c r="H4220" s="2">
        <v>264</v>
      </c>
      <c r="I4220" s="1" t="s">
        <v>12411</v>
      </c>
      <c r="J4220" s="1" t="s">
        <v>12412</v>
      </c>
      <c r="K4220" s="1" t="s">
        <v>1178</v>
      </c>
      <c r="L4220" s="1" t="s">
        <v>12413</v>
      </c>
      <c r="M4220" s="6" t="str">
        <f>_xlfn.CONCAT(Table1[[#This Row],[Billing Street]], ", ", Table1[[#This Row],[Billing City]], ", ", Table1[[#This Row],[Billing State/Province]], ", ", Table1[[#This Row],[Billing Zip/Postal Code]])</f>
        <v>510 S Main St, Dobson, NC, NC, 27017</v>
      </c>
    </row>
    <row r="4221" spans="1:13" ht="15.6" hidden="1" x14ac:dyDescent="0.3">
      <c r="A4221" s="1" t="s">
        <v>12414</v>
      </c>
      <c r="B4221" s="1"/>
      <c r="C4221" s="1"/>
      <c r="D4221" s="1"/>
      <c r="E4221" s="1"/>
      <c r="F4221" s="1"/>
      <c r="G4221" s="1" t="s">
        <v>98</v>
      </c>
      <c r="H4221" s="2">
        <v>163</v>
      </c>
      <c r="I4221" s="1" t="s">
        <v>12415</v>
      </c>
      <c r="J4221" s="1" t="s">
        <v>1325</v>
      </c>
      <c r="K4221" s="1" t="s">
        <v>1178</v>
      </c>
      <c r="L4221" s="1" t="s">
        <v>6622</v>
      </c>
      <c r="M4221" s="6" t="str">
        <f>_xlfn.CONCAT(Table1[[#This Row],[Billing Street]], ", ", Table1[[#This Row],[Billing City]], ", ", Table1[[#This Row],[Billing State/Province]], ", ", Table1[[#This Row],[Billing Zip/Postal Code]])</f>
        <v>3043 Hwy 213, Marshall, NC, 28753</v>
      </c>
    </row>
    <row r="4222" spans="1:13" ht="15.6" x14ac:dyDescent="0.3">
      <c r="A4222" s="1" t="s">
        <v>12416</v>
      </c>
      <c r="B4222" s="1"/>
      <c r="C4222" s="1"/>
      <c r="D4222" s="1"/>
      <c r="E4222" s="1"/>
      <c r="F4222" s="1"/>
      <c r="G4222" s="1" t="s">
        <v>24</v>
      </c>
      <c r="H4222" s="2">
        <v>56</v>
      </c>
      <c r="I4222" s="1" t="s">
        <v>12417</v>
      </c>
      <c r="J4222" s="1" t="s">
        <v>4004</v>
      </c>
      <c r="K4222" s="1" t="s">
        <v>36</v>
      </c>
      <c r="L4222" s="1" t="s">
        <v>1949</v>
      </c>
      <c r="M4222" s="6" t="str">
        <f>_xlfn.CONCAT(Table1[[#This Row],[Billing Street]], ", ", Table1[[#This Row],[Billing City]], ", ", Table1[[#This Row],[Billing State/Province]], ", ", Table1[[#This Row],[Billing Zip/Postal Code]])</f>
        <v>1001 Mississippi Rd, Tyndal AFB, Southport, FL, 32403</v>
      </c>
    </row>
    <row r="4223" spans="1:13" ht="15.6" hidden="1" x14ac:dyDescent="0.3">
      <c r="A4223" s="1" t="s">
        <v>12418</v>
      </c>
      <c r="B4223" s="1"/>
      <c r="C4223" s="1"/>
      <c r="D4223" s="1"/>
      <c r="E4223" s="1"/>
      <c r="F4223" s="1"/>
      <c r="G4223" s="1" t="s">
        <v>54</v>
      </c>
      <c r="H4223" s="2">
        <v>293</v>
      </c>
      <c r="I4223" s="1" t="s">
        <v>12419</v>
      </c>
      <c r="J4223" s="1" t="s">
        <v>6392</v>
      </c>
      <c r="K4223" s="1" t="s">
        <v>57</v>
      </c>
      <c r="L4223" s="1" t="s">
        <v>12420</v>
      </c>
      <c r="M4223" s="6" t="str">
        <f>_xlfn.CONCAT(Table1[[#This Row],[Billing Street]], ", ", Table1[[#This Row],[Billing City]], ", ", Table1[[#This Row],[Billing State/Province]], ", ", Table1[[#This Row],[Billing Zip/Postal Code]])</f>
        <v>929 Woodland Ave, Modesto, CA, 95351</v>
      </c>
    </row>
    <row r="4224" spans="1:13" ht="15.6" hidden="1" x14ac:dyDescent="0.3">
      <c r="A4224" s="1" t="s">
        <v>12421</v>
      </c>
      <c r="B4224" s="1"/>
      <c r="C4224" s="1"/>
      <c r="D4224" s="1"/>
      <c r="E4224" s="1"/>
      <c r="F4224" s="1"/>
      <c r="G4224" s="1" t="s">
        <v>205</v>
      </c>
      <c r="H4224" s="2">
        <v>391</v>
      </c>
      <c r="I4224" s="1" t="s">
        <v>12422</v>
      </c>
      <c r="J4224" s="1" t="s">
        <v>12423</v>
      </c>
      <c r="K4224" s="1" t="s">
        <v>266</v>
      </c>
      <c r="L4224" s="1" t="s">
        <v>12424</v>
      </c>
      <c r="M4224" s="6" t="str">
        <f>_xlfn.CONCAT(Table1[[#This Row],[Billing Street]], ", ", Table1[[#This Row],[Billing City]], ", ", Table1[[#This Row],[Billing State/Province]], ", ", Table1[[#This Row],[Billing Zip/Postal Code]])</f>
        <v>1135 Camino Escondido, Chama, NM, 87520</v>
      </c>
    </row>
    <row r="4225" spans="1:13" ht="15.6" hidden="1" x14ac:dyDescent="0.3">
      <c r="A4225" s="1" t="s">
        <v>12425</v>
      </c>
      <c r="B4225" s="1"/>
      <c r="C4225" s="1"/>
      <c r="D4225" s="1"/>
      <c r="E4225" s="1"/>
      <c r="F4225" s="1"/>
      <c r="G4225" s="1" t="s">
        <v>205</v>
      </c>
      <c r="H4225" s="2">
        <v>268</v>
      </c>
      <c r="I4225" s="1" t="s">
        <v>12426</v>
      </c>
      <c r="J4225" s="1" t="s">
        <v>12427</v>
      </c>
      <c r="K4225" s="1" t="s">
        <v>266</v>
      </c>
      <c r="L4225" s="1" t="s">
        <v>12428</v>
      </c>
      <c r="M4225" s="6" t="str">
        <f>_xlfn.CONCAT(Table1[[#This Row],[Billing Street]], ", ", Table1[[#This Row],[Billing City]], ", ", Table1[[#This Row],[Billing State/Province]], ", ", Table1[[#This Row],[Billing Zip/Postal Code]])</f>
        <v>200 E High Street, Grants, NM, 87020</v>
      </c>
    </row>
    <row r="4226" spans="1:13" ht="15.6" hidden="1" x14ac:dyDescent="0.3">
      <c r="A4226" s="1" t="s">
        <v>12429</v>
      </c>
      <c r="B4226" s="1"/>
      <c r="C4226" s="1"/>
      <c r="D4226" s="1"/>
      <c r="E4226" s="1"/>
      <c r="F4226" s="1"/>
      <c r="G4226" s="1" t="s">
        <v>205</v>
      </c>
      <c r="H4226" s="2">
        <v>420</v>
      </c>
      <c r="I4226" s="1" t="s">
        <v>12430</v>
      </c>
      <c r="J4226" s="1" t="s">
        <v>12431</v>
      </c>
      <c r="K4226" s="1" t="s">
        <v>266</v>
      </c>
      <c r="L4226" s="1" t="s">
        <v>12432</v>
      </c>
      <c r="M4226" s="6" t="str">
        <f>_xlfn.CONCAT(Table1[[#This Row],[Billing Street]], ", ", Table1[[#This Row],[Billing City]], ", ", Table1[[#This Row],[Billing State/Province]], ", ", Table1[[#This Row],[Billing Zip/Postal Code]])</f>
        <v>116 Cruz Alta Road, Taos, NM, 87571</v>
      </c>
    </row>
    <row r="4227" spans="1:13" ht="15.6" hidden="1" x14ac:dyDescent="0.3">
      <c r="A4227" s="1" t="s">
        <v>12433</v>
      </c>
      <c r="B4227" s="1"/>
      <c r="C4227" s="1"/>
      <c r="D4227" s="1"/>
      <c r="E4227" s="1"/>
      <c r="F4227" s="1"/>
      <c r="G4227" s="1" t="s">
        <v>205</v>
      </c>
      <c r="H4227" s="2">
        <v>328</v>
      </c>
      <c r="I4227" s="1" t="s">
        <v>12434</v>
      </c>
      <c r="J4227" s="1" t="s">
        <v>12435</v>
      </c>
      <c r="K4227" s="1" t="s">
        <v>266</v>
      </c>
      <c r="L4227" s="1" t="s">
        <v>12436</v>
      </c>
      <c r="M4227" s="6" t="str">
        <f>_xlfn.CONCAT(Table1[[#This Row],[Billing Street]], ", ", Table1[[#This Row],[Billing City]], ", ", Table1[[#This Row],[Billing State/Province]], ", ", Table1[[#This Row],[Billing Zip/Postal Code]])</f>
        <v>201 W Chaco, Aztec, NM, 87410</v>
      </c>
    </row>
    <row r="4228" spans="1:13" ht="15.6" hidden="1" x14ac:dyDescent="0.3">
      <c r="A4228" s="1" t="s">
        <v>12437</v>
      </c>
      <c r="B4228" s="1"/>
      <c r="C4228" s="1"/>
      <c r="D4228" s="1"/>
      <c r="E4228" s="1"/>
      <c r="F4228" s="1"/>
      <c r="G4228" s="1" t="s">
        <v>205</v>
      </c>
      <c r="H4228" s="2">
        <v>493</v>
      </c>
      <c r="I4228" s="1" t="s">
        <v>12438</v>
      </c>
      <c r="J4228" s="1" t="s">
        <v>12439</v>
      </c>
      <c r="K4228" s="1" t="s">
        <v>266</v>
      </c>
      <c r="L4228" s="1" t="s">
        <v>12440</v>
      </c>
      <c r="M4228" s="6" t="str">
        <f>_xlfn.CONCAT(Table1[[#This Row],[Billing Street]], ", ", Table1[[#This Row],[Billing City]], ", ", Table1[[#This Row],[Billing State/Province]], ", ", Table1[[#This Row],[Billing Zip/Postal Code]])</f>
        <v>334 North 2nd Street, Raton, NM, 87740</v>
      </c>
    </row>
    <row r="4229" spans="1:13" ht="15.6" hidden="1" x14ac:dyDescent="0.3">
      <c r="A4229" s="1" t="s">
        <v>12441</v>
      </c>
      <c r="B4229" s="1"/>
      <c r="C4229" s="1"/>
      <c r="D4229" s="1"/>
      <c r="E4229" s="1"/>
      <c r="F4229" s="1"/>
      <c r="G4229" s="1" t="s">
        <v>8</v>
      </c>
      <c r="H4229" s="2">
        <v>149</v>
      </c>
      <c r="I4229" s="1" t="s">
        <v>12442</v>
      </c>
      <c r="J4229" s="1" t="s">
        <v>434</v>
      </c>
      <c r="K4229" s="1" t="s">
        <v>147</v>
      </c>
      <c r="L4229" s="1" t="s">
        <v>1851</v>
      </c>
      <c r="M4229" s="6" t="str">
        <f>_xlfn.CONCAT(Table1[[#This Row],[Billing Street]], ", ", Table1[[#This Row],[Billing City]], ", ", Table1[[#This Row],[Billing State/Province]], ", ", Table1[[#This Row],[Billing Zip/Postal Code]])</f>
        <v>144 N.E. 44th St., Oklahoma City, OK, 73105</v>
      </c>
    </row>
    <row r="4230" spans="1:13" ht="15.6" hidden="1" x14ac:dyDescent="0.3">
      <c r="A4230" s="1" t="s">
        <v>12443</v>
      </c>
      <c r="B4230" s="1"/>
      <c r="C4230" s="1"/>
      <c r="D4230" s="1"/>
      <c r="E4230" s="1"/>
      <c r="F4230" s="1"/>
      <c r="G4230" s="1" t="s">
        <v>8</v>
      </c>
      <c r="H4230" s="2">
        <v>271</v>
      </c>
      <c r="I4230" s="1" t="s">
        <v>12444</v>
      </c>
      <c r="J4230" s="1" t="s">
        <v>1810</v>
      </c>
      <c r="K4230" s="1" t="s">
        <v>51</v>
      </c>
      <c r="L4230" s="1" t="s">
        <v>1811</v>
      </c>
      <c r="M4230" s="6" t="str">
        <f>_xlfn.CONCAT(Table1[[#This Row],[Billing Street]], ", ", Table1[[#This Row],[Billing City]], ", ", Table1[[#This Row],[Billing State/Province]], ", ", Table1[[#This Row],[Billing Zip/Postal Code]])</f>
        <v>303 N Mason St, Bowie, TX, 76230</v>
      </c>
    </row>
    <row r="4231" spans="1:13" ht="15.6" hidden="1" x14ac:dyDescent="0.3">
      <c r="A4231" s="1" t="s">
        <v>12445</v>
      </c>
      <c r="B4231" s="1"/>
      <c r="C4231" s="1"/>
      <c r="D4231" s="1"/>
      <c r="E4231" s="1"/>
      <c r="F4231" s="1"/>
      <c r="G4231" s="1" t="s">
        <v>8</v>
      </c>
      <c r="H4231" s="2">
        <v>420</v>
      </c>
      <c r="I4231" s="1" t="s">
        <v>12446</v>
      </c>
      <c r="J4231" s="1" t="s">
        <v>4643</v>
      </c>
      <c r="K4231" s="1" t="s">
        <v>1439</v>
      </c>
      <c r="L4231" s="1" t="s">
        <v>12447</v>
      </c>
      <c r="M4231" s="6" t="str">
        <f>_xlfn.CONCAT(Table1[[#This Row],[Billing Street]], ", ", Table1[[#This Row],[Billing City]], ", ", Table1[[#This Row],[Billing State/Province]], ", ", Table1[[#This Row],[Billing Zip/Postal Code]])</f>
        <v>7720 Airport Rd, Temple, Tx, 76502</v>
      </c>
    </row>
    <row r="4232" spans="1:13" ht="15.6" x14ac:dyDescent="0.3">
      <c r="A4232" s="1" t="s">
        <v>12448</v>
      </c>
      <c r="B4232" s="1"/>
      <c r="C4232" s="1"/>
      <c r="D4232" s="1"/>
      <c r="E4232" s="1"/>
      <c r="F4232" s="1"/>
      <c r="G4232" s="1" t="s">
        <v>24</v>
      </c>
      <c r="H4232" s="2">
        <v>44</v>
      </c>
      <c r="I4232" s="1" t="s">
        <v>12449</v>
      </c>
      <c r="J4232" s="1" t="s">
        <v>1699</v>
      </c>
      <c r="K4232" s="1" t="s">
        <v>36</v>
      </c>
      <c r="L4232" s="1" t="s">
        <v>3365</v>
      </c>
      <c r="M4232" s="6" t="str">
        <f>_xlfn.CONCAT(Table1[[#This Row],[Billing Street]], ", ", Table1[[#This Row],[Billing City]], ", ", Table1[[#This Row],[Billing State/Province]], ", ", Table1[[#This Row],[Billing Zip/Postal Code]])</f>
        <v>1800 St Andrews Blvd, Panama City, FL, 32405</v>
      </c>
    </row>
    <row r="4233" spans="1:13" ht="15.6" x14ac:dyDescent="0.3">
      <c r="A4233" s="1" t="s">
        <v>12450</v>
      </c>
      <c r="B4233" s="1"/>
      <c r="C4233" s="1"/>
      <c r="D4233" s="1"/>
      <c r="E4233" s="1"/>
      <c r="F4233" s="1"/>
      <c r="G4233" s="1" t="s">
        <v>24</v>
      </c>
      <c r="H4233" s="2">
        <v>47</v>
      </c>
      <c r="I4233" s="1" t="s">
        <v>12451</v>
      </c>
      <c r="J4233" s="1" t="s">
        <v>1699</v>
      </c>
      <c r="K4233" s="1" t="s">
        <v>36</v>
      </c>
      <c r="L4233" s="1" t="s">
        <v>1700</v>
      </c>
      <c r="M4233" s="6" t="str">
        <f>_xlfn.CONCAT(Table1[[#This Row],[Billing Street]], ", ", Table1[[#This Row],[Billing City]], ", ", Table1[[#This Row],[Billing State/Province]], ", ", Table1[[#This Row],[Billing Zip/Postal Code]])</f>
        <v>1418 Harrison Ave, Panama City, FL, 32401</v>
      </c>
    </row>
    <row r="4234" spans="1:13" ht="15.6" hidden="1" x14ac:dyDescent="0.3">
      <c r="A4234" s="1" t="s">
        <v>12452</v>
      </c>
      <c r="B4234" s="1"/>
      <c r="C4234" s="1"/>
      <c r="D4234" s="1"/>
      <c r="E4234" s="1"/>
      <c r="F4234" s="1"/>
      <c r="G4234" s="1" t="s">
        <v>8</v>
      </c>
      <c r="H4234" s="2">
        <v>499</v>
      </c>
      <c r="I4234" s="1" t="s">
        <v>12453</v>
      </c>
      <c r="J4234" s="1" t="s">
        <v>557</v>
      </c>
      <c r="K4234" s="1" t="s">
        <v>51</v>
      </c>
      <c r="L4234" s="1" t="s">
        <v>2859</v>
      </c>
      <c r="M4234" s="6" t="str">
        <f>_xlfn.CONCAT(Table1[[#This Row],[Billing Street]], ", ", Table1[[#This Row],[Billing City]], ", ", Table1[[#This Row],[Billing State/Province]], ", ", Table1[[#This Row],[Billing Zip/Postal Code]])</f>
        <v>16923 Old Beaumonth Hwy 9p, Houston, TX, 77049</v>
      </c>
    </row>
    <row r="4235" spans="1:13" ht="15.6" hidden="1" x14ac:dyDescent="0.3">
      <c r="A4235" s="1" t="s">
        <v>12454</v>
      </c>
      <c r="B4235" s="1"/>
      <c r="C4235" s="1"/>
      <c r="D4235" s="1"/>
      <c r="E4235" s="1"/>
      <c r="F4235" s="1"/>
      <c r="G4235" s="1" t="s">
        <v>205</v>
      </c>
      <c r="H4235" s="2">
        <v>331</v>
      </c>
      <c r="I4235" s="1" t="s">
        <v>12455</v>
      </c>
      <c r="J4235" s="1" t="s">
        <v>348</v>
      </c>
      <c r="K4235" s="1" t="s">
        <v>266</v>
      </c>
      <c r="L4235" s="1" t="s">
        <v>12456</v>
      </c>
      <c r="M4235" s="6" t="str">
        <f>_xlfn.CONCAT(Table1[[#This Row],[Billing Street]], ", ", Table1[[#This Row],[Billing City]], ", ", Table1[[#This Row],[Billing State/Province]], ", ", Table1[[#This Row],[Billing Zip/Postal Code]])</f>
        <v>4201 Edith Blvd, Albuquerque, NM, 87107</v>
      </c>
    </row>
    <row r="4236" spans="1:13" ht="15.6" hidden="1" x14ac:dyDescent="0.3">
      <c r="A4236" s="1" t="s">
        <v>12457</v>
      </c>
      <c r="B4236" s="1"/>
      <c r="C4236" s="1"/>
      <c r="D4236" s="1"/>
      <c r="E4236" s="1"/>
      <c r="F4236" s="1"/>
      <c r="G4236" s="1" t="s">
        <v>205</v>
      </c>
      <c r="H4236" s="2">
        <v>269</v>
      </c>
      <c r="I4236" s="1" t="s">
        <v>12458</v>
      </c>
      <c r="J4236" s="1" t="s">
        <v>91</v>
      </c>
      <c r="K4236" s="1" t="s">
        <v>472</v>
      </c>
      <c r="L4236" s="1" t="s">
        <v>12459</v>
      </c>
      <c r="M4236" s="6" t="str">
        <f>_xlfn.CONCAT(Table1[[#This Row],[Billing Street]], ", ", Table1[[#This Row],[Billing City]], ", ", Table1[[#This Row],[Billing State/Province]], ", ", Table1[[#This Row],[Billing Zip/Postal Code]])</f>
        <v>2603 Santa Clara Dr, Santa Clara, UT, 84765</v>
      </c>
    </row>
    <row r="4237" spans="1:13" ht="15.6" hidden="1" x14ac:dyDescent="0.3">
      <c r="A4237" s="1" t="s">
        <v>12460</v>
      </c>
      <c r="B4237" s="1"/>
      <c r="C4237" s="1"/>
      <c r="D4237" s="1"/>
      <c r="E4237" s="1"/>
      <c r="F4237" s="1"/>
      <c r="G4237" s="1" t="s">
        <v>8</v>
      </c>
      <c r="H4237" s="2">
        <v>363</v>
      </c>
      <c r="I4237" s="1" t="s">
        <v>12461</v>
      </c>
      <c r="J4237" s="1" t="s">
        <v>12462</v>
      </c>
      <c r="K4237" s="1" t="s">
        <v>198</v>
      </c>
      <c r="L4237" s="1" t="s">
        <v>12463</v>
      </c>
      <c r="M4237" s="6" t="str">
        <f>_xlfn.CONCAT(Table1[[#This Row],[Billing Street]], ", ", Table1[[#This Row],[Billing City]], ", ", Table1[[#This Row],[Billing State/Province]], ", ", Table1[[#This Row],[Billing Zip/Postal Code]])</f>
        <v>409 9th St, Gothenburg, NE, 69138</v>
      </c>
    </row>
    <row r="4238" spans="1:13" ht="15.6" hidden="1" x14ac:dyDescent="0.3">
      <c r="A4238" s="1" t="s">
        <v>12464</v>
      </c>
      <c r="B4238" s="1"/>
      <c r="C4238" s="1"/>
      <c r="D4238" s="1"/>
      <c r="E4238" s="1"/>
      <c r="F4238" s="1"/>
      <c r="G4238" s="1" t="s">
        <v>8</v>
      </c>
      <c r="H4238" s="2">
        <v>369</v>
      </c>
      <c r="I4238" s="1" t="s">
        <v>12465</v>
      </c>
      <c r="J4238" s="1" t="s">
        <v>683</v>
      </c>
      <c r="K4238" s="1" t="s">
        <v>51</v>
      </c>
      <c r="L4238" s="1" t="s">
        <v>684</v>
      </c>
      <c r="M4238" s="6" t="str">
        <f>_xlfn.CONCAT(Table1[[#This Row],[Billing Street]], ", ", Table1[[#This Row],[Billing City]], ", ", Table1[[#This Row],[Billing State/Province]], ", ", Table1[[#This Row],[Billing Zip/Postal Code]])</f>
        <v>905 S Filmore St #220, Amarillo, TX, 79101</v>
      </c>
    </row>
    <row r="4239" spans="1:13" ht="15.6" hidden="1" x14ac:dyDescent="0.3">
      <c r="A4239" s="1" t="s">
        <v>12466</v>
      </c>
      <c r="B4239" s="1"/>
      <c r="C4239" s="1"/>
      <c r="D4239" s="1"/>
      <c r="E4239" s="1"/>
      <c r="F4239" s="1"/>
      <c r="G4239" s="1" t="s">
        <v>205</v>
      </c>
      <c r="H4239" s="2">
        <v>361</v>
      </c>
      <c r="I4239" s="1" t="s">
        <v>12467</v>
      </c>
      <c r="J4239" s="1" t="s">
        <v>12468</v>
      </c>
      <c r="K4239" s="1" t="s">
        <v>266</v>
      </c>
      <c r="L4239" s="1" t="s">
        <v>12469</v>
      </c>
      <c r="M4239" s="6" t="str">
        <f>_xlfn.CONCAT(Table1[[#This Row],[Billing Street]], ", ", Table1[[#This Row],[Billing City]], ", ", Table1[[#This Row],[Billing State/Province]], ", ", Table1[[#This Row],[Billing Zip/Postal Code]])</f>
        <v>810 1st Street, Moriarty, NM, 87035</v>
      </c>
    </row>
    <row r="4240" spans="1:13" ht="15.6" hidden="1" x14ac:dyDescent="0.3">
      <c r="A4240" s="1" t="s">
        <v>12470</v>
      </c>
      <c r="B4240" s="1"/>
      <c r="C4240" s="1"/>
      <c r="D4240" s="1"/>
      <c r="E4240" s="1"/>
      <c r="F4240" s="1"/>
      <c r="G4240" s="1" t="s">
        <v>43</v>
      </c>
      <c r="H4240" s="2">
        <v>295</v>
      </c>
      <c r="I4240" s="1" t="s">
        <v>12471</v>
      </c>
      <c r="J4240" s="1" t="s">
        <v>12472</v>
      </c>
      <c r="K4240" s="1" t="s">
        <v>671</v>
      </c>
      <c r="L4240" s="1" t="s">
        <v>12473</v>
      </c>
      <c r="M4240" s="6" t="str">
        <f>_xlfn.CONCAT(Table1[[#This Row],[Billing Street]], ", ", Table1[[#This Row],[Billing City]], ", ", Table1[[#This Row],[Billing State/Province]], ", ", Table1[[#This Row],[Billing Zip/Postal Code]])</f>
        <v>18 link dr, Binghamton, NY, 13904</v>
      </c>
    </row>
    <row r="4241" spans="1:13" ht="15.6" hidden="1" x14ac:dyDescent="0.3">
      <c r="A4241" s="1" t="s">
        <v>12474</v>
      </c>
      <c r="B4241" s="1"/>
      <c r="C4241" s="1"/>
      <c r="D4241" s="1"/>
      <c r="E4241" s="1"/>
      <c r="F4241" s="1"/>
      <c r="G4241" s="1" t="s">
        <v>8</v>
      </c>
      <c r="H4241" s="2">
        <v>353</v>
      </c>
      <c r="I4241" s="1" t="s">
        <v>12475</v>
      </c>
      <c r="J4241" s="1" t="s">
        <v>12476</v>
      </c>
      <c r="K4241" s="1" t="s">
        <v>198</v>
      </c>
      <c r="L4241" s="1" t="s">
        <v>12477</v>
      </c>
      <c r="M4241" s="6" t="str">
        <f>_xlfn.CONCAT(Table1[[#This Row],[Billing Street]], ", ", Table1[[#This Row],[Billing City]], ", ", Table1[[#This Row],[Billing State/Province]], ", ", Table1[[#This Row],[Billing Zip/Postal Code]])</f>
        <v>211 W 8th St, Cozad, NE, 69130</v>
      </c>
    </row>
    <row r="4242" spans="1:13" ht="15.6" hidden="1" x14ac:dyDescent="0.3">
      <c r="A4242" s="1" t="s">
        <v>12478</v>
      </c>
      <c r="B4242" s="1"/>
      <c r="C4242" s="1"/>
      <c r="D4242" s="1"/>
      <c r="E4242" s="1"/>
      <c r="F4242" s="1"/>
      <c r="G4242" s="1" t="s">
        <v>8</v>
      </c>
      <c r="H4242" s="2">
        <v>337</v>
      </c>
      <c r="I4242" s="1" t="s">
        <v>12479</v>
      </c>
      <c r="J4242" s="1" t="s">
        <v>1232</v>
      </c>
      <c r="K4242" s="1" t="s">
        <v>198</v>
      </c>
      <c r="L4242" s="1" t="s">
        <v>6463</v>
      </c>
      <c r="M4242" s="6" t="str">
        <f>_xlfn.CONCAT(Table1[[#This Row],[Billing Street]], ", ", Table1[[#This Row],[Billing City]], ", ", Table1[[#This Row],[Billing State/Province]], ", ", Table1[[#This Row],[Billing Zip/Postal Code]])</f>
        <v>444 S Main St, West Point, NE, 68788</v>
      </c>
    </row>
    <row r="4243" spans="1:13" ht="15.6" hidden="1" x14ac:dyDescent="0.3">
      <c r="A4243" s="1" t="s">
        <v>12480</v>
      </c>
      <c r="B4243" s="1"/>
      <c r="C4243" s="1"/>
      <c r="D4243" s="1"/>
      <c r="E4243" s="1"/>
      <c r="F4243" s="1"/>
      <c r="G4243" s="1" t="s">
        <v>43</v>
      </c>
      <c r="H4243" s="2">
        <v>171</v>
      </c>
      <c r="I4243" s="1" t="s">
        <v>12481</v>
      </c>
      <c r="J4243" s="1" t="s">
        <v>3372</v>
      </c>
      <c r="K4243" s="1" t="s">
        <v>671</v>
      </c>
      <c r="L4243" s="1" t="s">
        <v>12482</v>
      </c>
      <c r="M4243" s="6" t="str">
        <f>_xlfn.CONCAT(Table1[[#This Row],[Billing Street]], ", ", Table1[[#This Row],[Billing City]], ", ", Table1[[#This Row],[Billing State/Province]], ", ", Table1[[#This Row],[Billing Zip/Postal Code]])</f>
        <v>500 Seneca St.; Suite 504, Buffalo, NY, 14204</v>
      </c>
    </row>
    <row r="4244" spans="1:13" ht="15.6" hidden="1" x14ac:dyDescent="0.3">
      <c r="A4244" s="1" t="s">
        <v>12483</v>
      </c>
      <c r="B4244" s="1"/>
      <c r="C4244" s="1"/>
      <c r="D4244" s="1"/>
      <c r="E4244" s="1"/>
      <c r="F4244" s="1"/>
      <c r="G4244" s="1" t="s">
        <v>43</v>
      </c>
      <c r="H4244" s="2">
        <v>5776</v>
      </c>
      <c r="I4244" s="1" t="s">
        <v>13</v>
      </c>
      <c r="J4244" s="1" t="s">
        <v>13</v>
      </c>
      <c r="K4244" s="1" t="s">
        <v>671</v>
      </c>
      <c r="L4244" s="1" t="s">
        <v>13</v>
      </c>
      <c r="M4244" s="6" t="str">
        <f>_xlfn.CONCAT(Table1[[#This Row],[Billing Street]], ", ", Table1[[#This Row],[Billing City]], ", ", Table1[[#This Row],[Billing State/Province]], ", ", Table1[[#This Row],[Billing Zip/Postal Code]])</f>
        <v xml:space="preserve">, , NY, </v>
      </c>
    </row>
    <row r="4245" spans="1:13" ht="15.6" hidden="1" x14ac:dyDescent="0.3">
      <c r="A4245" s="1" t="s">
        <v>12484</v>
      </c>
      <c r="B4245" s="1"/>
      <c r="C4245" s="1"/>
      <c r="D4245" s="1"/>
      <c r="E4245" s="1"/>
      <c r="F4245" s="1"/>
      <c r="G4245" s="1" t="s">
        <v>8</v>
      </c>
      <c r="H4245" s="2">
        <v>314</v>
      </c>
      <c r="I4245" s="1" t="s">
        <v>12485</v>
      </c>
      <c r="J4245" s="1" t="s">
        <v>12486</v>
      </c>
      <c r="K4245" s="1" t="s">
        <v>198</v>
      </c>
      <c r="L4245" s="1" t="s">
        <v>12487</v>
      </c>
      <c r="M4245" s="6" t="str">
        <f>_xlfn.CONCAT(Table1[[#This Row],[Billing Street]], ", ", Table1[[#This Row],[Billing City]], ", ", Table1[[#This Row],[Billing State/Province]], ", ", Table1[[#This Row],[Billing Zip/Postal Code]])</f>
        <v>204 E 10th St, Schuyler, NE, 68661</v>
      </c>
    </row>
    <row r="4246" spans="1:13" ht="15.6" x14ac:dyDescent="0.3">
      <c r="A4246" s="1" t="s">
        <v>12488</v>
      </c>
      <c r="B4246" s="1"/>
      <c r="C4246" s="1"/>
      <c r="D4246" s="1"/>
      <c r="E4246" s="1"/>
      <c r="F4246" s="1"/>
      <c r="G4246" s="1" t="s">
        <v>24</v>
      </c>
      <c r="H4246" s="2">
        <v>234</v>
      </c>
      <c r="I4246" s="1" t="s">
        <v>12489</v>
      </c>
      <c r="J4246" s="1" t="s">
        <v>711</v>
      </c>
      <c r="K4246" s="1" t="s">
        <v>31</v>
      </c>
      <c r="L4246" s="1" t="s">
        <v>6186</v>
      </c>
      <c r="M4246" s="6" t="str">
        <f>_xlfn.CONCAT(Table1[[#This Row],[Billing Street]], ", ", Table1[[#This Row],[Billing City]], ", ", Table1[[#This Row],[Billing State/Province]], ", ", Table1[[#This Row],[Billing Zip/Postal Code]])</f>
        <v>521 7th Avenue South, Columbus, MS, 39701</v>
      </c>
    </row>
    <row r="4247" spans="1:13" ht="15.6" x14ac:dyDescent="0.3">
      <c r="A4247" s="1" t="s">
        <v>12490</v>
      </c>
      <c r="B4247" s="1"/>
      <c r="C4247" s="1"/>
      <c r="D4247" s="1"/>
      <c r="E4247" s="1"/>
      <c r="F4247" s="1"/>
      <c r="G4247" s="1" t="s">
        <v>24</v>
      </c>
      <c r="H4247" s="2">
        <v>5988</v>
      </c>
      <c r="I4247" s="1" t="s">
        <v>12491</v>
      </c>
      <c r="J4247" s="1" t="s">
        <v>12492</v>
      </c>
      <c r="K4247" s="1" t="s">
        <v>31</v>
      </c>
      <c r="L4247" s="1" t="s">
        <v>12493</v>
      </c>
      <c r="M4247" s="6" t="str">
        <f>_xlfn.CONCAT(Table1[[#This Row],[Billing Street]], ", ", Table1[[#This Row],[Billing City]], ", ", Table1[[#This Row],[Billing State/Province]], ", ", Table1[[#This Row],[Billing Zip/Postal Code]])</f>
        <v>205 Z Street, Kessler AFB, MS, 39534</v>
      </c>
    </row>
    <row r="4248" spans="1:13" ht="15.6" x14ac:dyDescent="0.3">
      <c r="A4248" s="1" t="s">
        <v>12494</v>
      </c>
      <c r="B4248" s="1"/>
      <c r="C4248" s="1"/>
      <c r="D4248" s="1"/>
      <c r="E4248" s="1"/>
      <c r="F4248" s="1"/>
      <c r="G4248" s="1" t="s">
        <v>24</v>
      </c>
      <c r="H4248" s="2">
        <v>5988</v>
      </c>
      <c r="I4248" s="1" t="s">
        <v>12495</v>
      </c>
      <c r="J4248" s="1" t="s">
        <v>12496</v>
      </c>
      <c r="K4248" s="1" t="s">
        <v>31</v>
      </c>
      <c r="L4248" s="1" t="s">
        <v>12497</v>
      </c>
      <c r="M4248" s="6" t="str">
        <f>_xlfn.CONCAT(Table1[[#This Row],[Billing Street]], ", ", Table1[[#This Row],[Billing City]], ", ", Table1[[#This Row],[Billing State/Province]], ", ", Table1[[#This Row],[Billing Zip/Postal Code]])</f>
        <v>18671 Hwy 61, Lorman, MS, 39096</v>
      </c>
    </row>
    <row r="4249" spans="1:13" ht="15.6" x14ac:dyDescent="0.3">
      <c r="A4249" s="1" t="s">
        <v>12498</v>
      </c>
      <c r="B4249" s="1"/>
      <c r="C4249" s="1"/>
      <c r="D4249" s="1"/>
      <c r="E4249" s="1"/>
      <c r="F4249" s="1"/>
      <c r="G4249" s="1" t="s">
        <v>24</v>
      </c>
      <c r="H4249" s="2">
        <v>5988</v>
      </c>
      <c r="I4249" s="1" t="s">
        <v>12499</v>
      </c>
      <c r="J4249" s="1" t="s">
        <v>652</v>
      </c>
      <c r="K4249" s="1" t="s">
        <v>26</v>
      </c>
      <c r="L4249" s="1" t="s">
        <v>1732</v>
      </c>
      <c r="M4249" s="6" t="str">
        <f>_xlfn.CONCAT(Table1[[#This Row],[Billing Street]], ", ", Table1[[#This Row],[Billing City]], ", ", Table1[[#This Row],[Billing State/Province]], ", ", Table1[[#This Row],[Billing Zip/Postal Code]])</f>
        <v>1360 Columbia Hwy, Dothan, AL, 36301</v>
      </c>
    </row>
    <row r="4250" spans="1:13" ht="15.6" x14ac:dyDescent="0.3">
      <c r="A4250" s="1" t="s">
        <v>12500</v>
      </c>
      <c r="B4250" s="1"/>
      <c r="C4250" s="1"/>
      <c r="D4250" s="1"/>
      <c r="E4250" s="1"/>
      <c r="F4250" s="1"/>
      <c r="G4250" s="1" t="s">
        <v>24</v>
      </c>
      <c r="H4250" s="2">
        <v>5988</v>
      </c>
      <c r="I4250" s="1" t="s">
        <v>12501</v>
      </c>
      <c r="J4250" s="1" t="s">
        <v>12502</v>
      </c>
      <c r="K4250" s="1" t="s">
        <v>31</v>
      </c>
      <c r="L4250" s="1" t="s">
        <v>12503</v>
      </c>
      <c r="M4250" s="6" t="str">
        <f>_xlfn.CONCAT(Table1[[#This Row],[Billing Street]], ", ", Table1[[#This Row],[Billing City]], ", ", Table1[[#This Row],[Billing State/Province]], ", ", Table1[[#This Row],[Billing Zip/Postal Code]])</f>
        <v>130-Hopson street, Lyon, MS, 38645</v>
      </c>
    </row>
    <row r="4251" spans="1:13" ht="15.6" x14ac:dyDescent="0.3">
      <c r="A4251" s="1" t="s">
        <v>12504</v>
      </c>
      <c r="B4251" s="1"/>
      <c r="C4251" s="1"/>
      <c r="D4251" s="1"/>
      <c r="E4251" s="1"/>
      <c r="F4251" s="1"/>
      <c r="G4251" s="1" t="s">
        <v>24</v>
      </c>
      <c r="H4251" s="2">
        <v>56</v>
      </c>
      <c r="I4251" s="1" t="s">
        <v>12505</v>
      </c>
      <c r="J4251" s="1" t="s">
        <v>652</v>
      </c>
      <c r="K4251" s="1" t="s">
        <v>26</v>
      </c>
      <c r="L4251" s="1" t="s">
        <v>1732</v>
      </c>
      <c r="M4251" s="6" t="str">
        <f>_xlfn.CONCAT(Table1[[#This Row],[Billing Street]], ", ", Table1[[#This Row],[Billing City]], ", ", Table1[[#This Row],[Billing State/Province]], ", ", Table1[[#This Row],[Billing Zip/Postal Code]])</f>
        <v>1108 Ross Clark Cir, Dothan, AL, 36301</v>
      </c>
    </row>
    <row r="4252" spans="1:13" ht="15.6" x14ac:dyDescent="0.3">
      <c r="A4252" s="1" t="s">
        <v>12506</v>
      </c>
      <c r="B4252" s="1"/>
      <c r="C4252" s="1"/>
      <c r="D4252" s="1"/>
      <c r="E4252" s="1"/>
      <c r="F4252" s="1"/>
      <c r="G4252" s="1" t="s">
        <v>24</v>
      </c>
      <c r="H4252" s="2">
        <v>5988</v>
      </c>
      <c r="I4252" s="1" t="s">
        <v>12507</v>
      </c>
      <c r="J4252" s="1" t="s">
        <v>10895</v>
      </c>
      <c r="K4252" s="1" t="s">
        <v>31</v>
      </c>
      <c r="L4252" s="1" t="s">
        <v>10896</v>
      </c>
      <c r="M4252" s="6" t="str">
        <f>_xlfn.CONCAT(Table1[[#This Row],[Billing Street]], ", ", Table1[[#This Row],[Billing City]], ", ", Table1[[#This Row],[Billing State/Province]], ", ", Table1[[#This Row],[Billing Zip/Postal Code]])</f>
        <v>303 North 4th Street, Collins, MS, 39428</v>
      </c>
    </row>
    <row r="4253" spans="1:13" ht="15.6" hidden="1" x14ac:dyDescent="0.3">
      <c r="A4253" s="1" t="s">
        <v>12508</v>
      </c>
      <c r="B4253" s="1"/>
      <c r="C4253" s="1"/>
      <c r="D4253" s="1"/>
      <c r="E4253" s="1"/>
      <c r="F4253" s="1"/>
      <c r="G4253" s="1" t="s">
        <v>8</v>
      </c>
      <c r="H4253" s="2">
        <v>6528</v>
      </c>
      <c r="I4253" s="1" t="s">
        <v>13</v>
      </c>
      <c r="J4253" s="1" t="s">
        <v>12509</v>
      </c>
      <c r="K4253" s="1" t="s">
        <v>1439</v>
      </c>
      <c r="L4253" s="1" t="s">
        <v>13</v>
      </c>
      <c r="M4253" s="6" t="str">
        <f>_xlfn.CONCAT(Table1[[#This Row],[Billing Street]], ", ", Table1[[#This Row],[Billing City]], ", ", Table1[[#This Row],[Billing State/Province]], ", ", Table1[[#This Row],[Billing Zip/Postal Code]])</f>
        <v xml:space="preserve">, Laredo, Tx, </v>
      </c>
    </row>
    <row r="4254" spans="1:13" ht="15.6" x14ac:dyDescent="0.3">
      <c r="A4254" s="1" t="s">
        <v>12510</v>
      </c>
      <c r="B4254" s="1"/>
      <c r="C4254" s="1"/>
      <c r="D4254" s="1"/>
      <c r="E4254" s="1"/>
      <c r="F4254" s="1"/>
      <c r="G4254" s="1" t="s">
        <v>24</v>
      </c>
      <c r="H4254" s="2">
        <v>234</v>
      </c>
      <c r="I4254" s="1" t="s">
        <v>12511</v>
      </c>
      <c r="J4254" s="1" t="s">
        <v>711</v>
      </c>
      <c r="K4254" s="1" t="s">
        <v>31</v>
      </c>
      <c r="L4254" s="1" t="s">
        <v>6186</v>
      </c>
      <c r="M4254" s="6" t="str">
        <f>_xlfn.CONCAT(Table1[[#This Row],[Billing Street]], ", ", Table1[[#This Row],[Billing City]], ", ", Table1[[#This Row],[Billing State/Province]], ", ", Table1[[#This Row],[Billing Zip/Postal Code]])</f>
        <v>1601 Waterworks Road, Columbus, MS, 39701</v>
      </c>
    </row>
    <row r="4255" spans="1:13" ht="15.6" x14ac:dyDescent="0.3">
      <c r="A4255" s="1" t="s">
        <v>12512</v>
      </c>
      <c r="B4255" s="1"/>
      <c r="C4255" s="1"/>
      <c r="D4255" s="1"/>
      <c r="E4255" s="1"/>
      <c r="F4255" s="1"/>
      <c r="G4255" s="1" t="s">
        <v>24</v>
      </c>
      <c r="H4255" s="2">
        <v>5988</v>
      </c>
      <c r="I4255" s="1" t="s">
        <v>12513</v>
      </c>
      <c r="J4255" s="1" t="s">
        <v>780</v>
      </c>
      <c r="K4255" s="1" t="s">
        <v>31</v>
      </c>
      <c r="L4255" s="1" t="s">
        <v>12514</v>
      </c>
      <c r="M4255" s="6" t="str">
        <f>_xlfn.CONCAT(Table1[[#This Row],[Billing Street]], ", ", Table1[[#This Row],[Billing City]], ", ", Table1[[#This Row],[Billing State/Province]], ", ", Table1[[#This Row],[Billing Zip/Postal Code]])</f>
        <v>1153 Weyerhaeuser Drive, Philadelphia, MS, 39350</v>
      </c>
    </row>
    <row r="4256" spans="1:13" ht="15.6" x14ac:dyDescent="0.3">
      <c r="A4256" s="1" t="s">
        <v>12515</v>
      </c>
      <c r="B4256" s="1"/>
      <c r="C4256" s="1"/>
      <c r="D4256" s="1"/>
      <c r="E4256" s="1"/>
      <c r="F4256" s="1"/>
      <c r="G4256" s="1" t="s">
        <v>24</v>
      </c>
      <c r="H4256" s="2">
        <v>162</v>
      </c>
      <c r="I4256" s="1" t="s">
        <v>12516</v>
      </c>
      <c r="J4256" s="1" t="s">
        <v>3122</v>
      </c>
      <c r="K4256" s="1" t="s">
        <v>31</v>
      </c>
      <c r="L4256" s="1" t="s">
        <v>12517</v>
      </c>
      <c r="M4256" s="6" t="str">
        <f>_xlfn.CONCAT(Table1[[#This Row],[Billing Street]], ", ", Table1[[#This Row],[Billing City]], ", ", Table1[[#This Row],[Billing State/Province]], ", ", Table1[[#This Row],[Billing Zip/Postal Code]])</f>
        <v>915 Industrial Park Road, Waynesboro, MS, 39367</v>
      </c>
    </row>
    <row r="4257" spans="1:13" ht="15.6" x14ac:dyDescent="0.3">
      <c r="A4257" s="1" t="s">
        <v>12518</v>
      </c>
      <c r="B4257" s="1"/>
      <c r="C4257" s="1"/>
      <c r="D4257" s="1"/>
      <c r="E4257" s="1"/>
      <c r="F4257" s="1"/>
      <c r="G4257" s="1" t="s">
        <v>24</v>
      </c>
      <c r="H4257" s="2">
        <v>5988</v>
      </c>
      <c r="I4257" s="1" t="s">
        <v>12519</v>
      </c>
      <c r="J4257" s="1" t="s">
        <v>10969</v>
      </c>
      <c r="K4257" s="1" t="s">
        <v>31</v>
      </c>
      <c r="L4257" s="1" t="s">
        <v>12520</v>
      </c>
      <c r="M4257" s="6" t="str">
        <f>_xlfn.CONCAT(Table1[[#This Row],[Billing Street]], ", ", Table1[[#This Row],[Billing City]], ", ", Table1[[#This Row],[Billing State/Province]], ", ", Table1[[#This Row],[Billing Zip/Postal Code]])</f>
        <v>1346 Auburn Road, Tupelo, MS, 38802</v>
      </c>
    </row>
    <row r="4258" spans="1:13" ht="15.6" x14ac:dyDescent="0.3">
      <c r="A4258" s="1" t="s">
        <v>12521</v>
      </c>
      <c r="B4258" s="1"/>
      <c r="C4258" s="1"/>
      <c r="D4258" s="1"/>
      <c r="E4258" s="1"/>
      <c r="F4258" s="1"/>
      <c r="G4258" s="1" t="s">
        <v>24</v>
      </c>
      <c r="H4258" s="2">
        <v>262</v>
      </c>
      <c r="I4258" s="1" t="s">
        <v>12522</v>
      </c>
      <c r="J4258" s="1" t="s">
        <v>637</v>
      </c>
      <c r="K4258" s="1" t="s">
        <v>31</v>
      </c>
      <c r="L4258" s="1" t="s">
        <v>12523</v>
      </c>
      <c r="M4258" s="6" t="str">
        <f>_xlfn.CONCAT(Table1[[#This Row],[Billing Street]], ", ", Table1[[#This Row],[Billing City]], ", ", Table1[[#This Row],[Billing State/Province]], ", ", Table1[[#This Row],[Billing Zip/Postal Code]])</f>
        <v>1505 East Over Dr, Jackson, MS, 39211</v>
      </c>
    </row>
    <row r="4259" spans="1:13" ht="15.6" hidden="1" x14ac:dyDescent="0.3">
      <c r="A4259" s="1" t="s">
        <v>3724</v>
      </c>
      <c r="B4259" s="1"/>
      <c r="C4259" s="1"/>
      <c r="D4259" s="1"/>
      <c r="E4259" s="1"/>
      <c r="F4259" s="1"/>
      <c r="G4259" s="1" t="s">
        <v>8</v>
      </c>
      <c r="H4259" s="2">
        <v>236</v>
      </c>
      <c r="I4259" s="1" t="s">
        <v>12524</v>
      </c>
      <c r="J4259" s="1" t="s">
        <v>3724</v>
      </c>
      <c r="K4259" s="1" t="s">
        <v>554</v>
      </c>
      <c r="L4259" s="1" t="s">
        <v>12525</v>
      </c>
      <c r="M4259" s="6" t="str">
        <f>_xlfn.CONCAT(Table1[[#This Row],[Billing Street]], ", ", Table1[[#This Row],[Billing City]], ", ", Table1[[#This Row],[Billing State/Province]], ", ", Table1[[#This Row],[Billing Zip/Postal Code]])</f>
        <v>217 S High St, Mankato, KS, 66956</v>
      </c>
    </row>
    <row r="4260" spans="1:13" ht="15.6" hidden="1" x14ac:dyDescent="0.3">
      <c r="A4260" s="1" t="s">
        <v>12526</v>
      </c>
      <c r="B4260" s="1"/>
      <c r="C4260" s="1"/>
      <c r="D4260" s="1"/>
      <c r="E4260" s="1"/>
      <c r="F4260" s="1"/>
      <c r="G4260" s="1" t="s">
        <v>8</v>
      </c>
      <c r="H4260" s="2">
        <v>220</v>
      </c>
      <c r="I4260" s="1" t="s">
        <v>12527</v>
      </c>
      <c r="J4260" s="1" t="s">
        <v>12528</v>
      </c>
      <c r="K4260" s="1" t="s">
        <v>554</v>
      </c>
      <c r="L4260" s="1" t="s">
        <v>12529</v>
      </c>
      <c r="M4260" s="6" t="str">
        <f>_xlfn.CONCAT(Table1[[#This Row],[Billing Street]], ", ", Table1[[#This Row],[Billing City]], ", ", Table1[[#This Row],[Billing State/Province]], ", ", Table1[[#This Row],[Billing Zip/Postal Code]])</f>
        <v>115 S Main, Luray, KS, 67649</v>
      </c>
    </row>
    <row r="4261" spans="1:13" ht="15.6" x14ac:dyDescent="0.3">
      <c r="A4261" s="1" t="s">
        <v>12530</v>
      </c>
      <c r="B4261" s="1"/>
      <c r="C4261" s="1"/>
      <c r="D4261" s="1"/>
      <c r="E4261" s="1"/>
      <c r="F4261" s="1"/>
      <c r="G4261" s="1" t="s">
        <v>24</v>
      </c>
      <c r="H4261" s="2">
        <v>276</v>
      </c>
      <c r="I4261" s="1" t="s">
        <v>12531</v>
      </c>
      <c r="J4261" s="1" t="s">
        <v>557</v>
      </c>
      <c r="K4261" s="1" t="s">
        <v>31</v>
      </c>
      <c r="L4261" s="1" t="s">
        <v>12532</v>
      </c>
      <c r="M4261" s="6" t="str">
        <f>_xlfn.CONCAT(Table1[[#This Row],[Billing Street]], ", ", Table1[[#This Row],[Billing City]], ", ", Table1[[#This Row],[Billing State/Province]], ", ", Table1[[#This Row],[Billing Zip/Postal Code]])</f>
        <v>551 E Madison St, Houston, MS, 38851</v>
      </c>
    </row>
    <row r="4262" spans="1:13" ht="15.6" x14ac:dyDescent="0.3">
      <c r="A4262" s="1" t="s">
        <v>12533</v>
      </c>
      <c r="B4262" s="1"/>
      <c r="C4262" s="1"/>
      <c r="D4262" s="1"/>
      <c r="E4262" s="1"/>
      <c r="F4262" s="1"/>
      <c r="G4262" s="1" t="s">
        <v>24</v>
      </c>
      <c r="H4262" s="2">
        <v>5988</v>
      </c>
      <c r="I4262" s="1" t="s">
        <v>12534</v>
      </c>
      <c r="J4262" s="1" t="s">
        <v>10819</v>
      </c>
      <c r="K4262" s="1" t="s">
        <v>31</v>
      </c>
      <c r="L4262" s="1" t="s">
        <v>12535</v>
      </c>
      <c r="M4262" s="6" t="str">
        <f>_xlfn.CONCAT(Table1[[#This Row],[Billing Street]], ", ", Table1[[#This Row],[Billing City]], ", ", Table1[[#This Row],[Billing State/Province]], ", ", Table1[[#This Row],[Billing Zip/Postal Code]])</f>
        <v>312 South Jefferson, Macon, MS, 39341</v>
      </c>
    </row>
    <row r="4263" spans="1:13" ht="15.6" x14ac:dyDescent="0.3">
      <c r="A4263" s="1" t="s">
        <v>12536</v>
      </c>
      <c r="B4263" s="1"/>
      <c r="C4263" s="1"/>
      <c r="D4263" s="1"/>
      <c r="E4263" s="1"/>
      <c r="F4263" s="1"/>
      <c r="G4263" s="1" t="s">
        <v>24</v>
      </c>
      <c r="H4263" s="2">
        <v>5988</v>
      </c>
      <c r="I4263" s="1" t="s">
        <v>12537</v>
      </c>
      <c r="J4263" s="1" t="s">
        <v>12538</v>
      </c>
      <c r="K4263" s="1" t="s">
        <v>31</v>
      </c>
      <c r="L4263" s="1" t="s">
        <v>12539</v>
      </c>
      <c r="M4263" s="6" t="str">
        <f>_xlfn.CONCAT(Table1[[#This Row],[Billing Street]], ", ", Table1[[#This Row],[Billing City]], ", ", Table1[[#This Row],[Billing State/Province]], ", ", Table1[[#This Row],[Billing Zip/Postal Code]])</f>
        <v>240 PCA Road, Ackerman, MS, 39735</v>
      </c>
    </row>
    <row r="4264" spans="1:13" ht="15.6" x14ac:dyDescent="0.3">
      <c r="A4264" s="1" t="s">
        <v>12540</v>
      </c>
      <c r="B4264" s="1"/>
      <c r="C4264" s="1"/>
      <c r="D4264" s="1"/>
      <c r="E4264" s="1"/>
      <c r="F4264" s="1"/>
      <c r="G4264" s="1" t="s">
        <v>24</v>
      </c>
      <c r="H4264" s="2">
        <v>5988</v>
      </c>
      <c r="I4264" s="1" t="s">
        <v>12541</v>
      </c>
      <c r="J4264" s="1" t="s">
        <v>981</v>
      </c>
      <c r="K4264" s="1" t="s">
        <v>31</v>
      </c>
      <c r="L4264" s="1" t="s">
        <v>1879</v>
      </c>
      <c r="M4264" s="6" t="str">
        <f>_xlfn.CONCAT(Table1[[#This Row],[Billing Street]], ", ", Table1[[#This Row],[Billing City]], ", ", Table1[[#This Row],[Billing State/Province]], ", ", Table1[[#This Row],[Billing Zip/Postal Code]])</f>
        <v>10288 Corporate Drive, Gulfport, MS, 39503</v>
      </c>
    </row>
    <row r="4265" spans="1:13" ht="15.6" hidden="1" x14ac:dyDescent="0.3">
      <c r="A4265" s="1" t="s">
        <v>12542</v>
      </c>
      <c r="B4265" s="1"/>
      <c r="C4265" s="1"/>
      <c r="D4265" s="1"/>
      <c r="E4265" s="1"/>
      <c r="F4265" s="1"/>
      <c r="G4265" s="1" t="s">
        <v>54</v>
      </c>
      <c r="H4265" s="2">
        <v>32</v>
      </c>
      <c r="I4265" s="1" t="s">
        <v>12543</v>
      </c>
      <c r="J4265" s="1" t="s">
        <v>12544</v>
      </c>
      <c r="K4265" s="1" t="s">
        <v>57</v>
      </c>
      <c r="L4265" s="1" t="s">
        <v>9683</v>
      </c>
      <c r="M4265" s="6" t="str">
        <f>_xlfn.CONCAT(Table1[[#This Row],[Billing Street]], ", ", Table1[[#This Row],[Billing City]], ", ", Table1[[#This Row],[Billing State/Province]], ", ", Table1[[#This Row],[Billing Zip/Postal Code]])</f>
        <v>5601 State Street, Montclaire, CA, 91763</v>
      </c>
    </row>
    <row r="4266" spans="1:13" ht="15.6" x14ac:dyDescent="0.3">
      <c r="A4266" s="1" t="s">
        <v>12545</v>
      </c>
      <c r="B4266" s="1"/>
      <c r="C4266" s="1"/>
      <c r="D4266" s="1"/>
      <c r="E4266" s="1"/>
      <c r="F4266" s="1"/>
      <c r="G4266" s="1" t="s">
        <v>24</v>
      </c>
      <c r="H4266" s="2">
        <v>5988</v>
      </c>
      <c r="I4266" s="1" t="s">
        <v>12546</v>
      </c>
      <c r="J4266" s="1" t="s">
        <v>950</v>
      </c>
      <c r="K4266" s="1" t="s">
        <v>31</v>
      </c>
      <c r="L4266" s="1" t="s">
        <v>12547</v>
      </c>
      <c r="M4266" s="6" t="str">
        <f>_xlfn.CONCAT(Table1[[#This Row],[Billing Street]], ", ", Table1[[#This Row],[Billing City]], ", ", Table1[[#This Row],[Billing State/Province]], ", ", Table1[[#This Row],[Billing Zip/Postal Code]])</f>
        <v>2690 Highway 61 North, Vicksburg, MS, 39183</v>
      </c>
    </row>
    <row r="4267" spans="1:13" ht="15.6" hidden="1" x14ac:dyDescent="0.3">
      <c r="A4267" s="1" t="s">
        <v>12548</v>
      </c>
      <c r="B4267" s="1"/>
      <c r="C4267" s="1"/>
      <c r="D4267" s="1"/>
      <c r="E4267" s="1"/>
      <c r="F4267" s="1"/>
      <c r="G4267" s="1" t="s">
        <v>8</v>
      </c>
      <c r="H4267" s="2">
        <v>541</v>
      </c>
      <c r="I4267" s="1" t="s">
        <v>12549</v>
      </c>
      <c r="J4267" s="1" t="s">
        <v>2337</v>
      </c>
      <c r="K4267" s="1" t="s">
        <v>128</v>
      </c>
      <c r="L4267" s="1" t="s">
        <v>3812</v>
      </c>
      <c r="M4267" s="6" t="str">
        <f>_xlfn.CONCAT(Table1[[#This Row],[Billing Street]], ", ", Table1[[#This Row],[Billing City]], ", ", Table1[[#This Row],[Billing State/Province]], ", ", Table1[[#This Row],[Billing Zip/Postal Code]])</f>
        <v>2850 220th Street West, Farmington, MN, 55024</v>
      </c>
    </row>
    <row r="4268" spans="1:13" ht="15.6" hidden="1" x14ac:dyDescent="0.3">
      <c r="A4268" s="1" t="s">
        <v>12550</v>
      </c>
      <c r="B4268" s="1"/>
      <c r="C4268" s="1"/>
      <c r="D4268" s="1"/>
      <c r="E4268" s="1"/>
      <c r="F4268" s="1"/>
      <c r="G4268" s="1" t="s">
        <v>43</v>
      </c>
      <c r="H4268" s="2">
        <v>415</v>
      </c>
      <c r="I4268" s="1" t="s">
        <v>12551</v>
      </c>
      <c r="J4268" s="1" t="s">
        <v>12552</v>
      </c>
      <c r="K4268" s="1" t="s">
        <v>3373</v>
      </c>
      <c r="L4268" s="1" t="s">
        <v>12553</v>
      </c>
      <c r="M4268" s="6" t="str">
        <f>_xlfn.CONCAT(Table1[[#This Row],[Billing Street]], ", ", Table1[[#This Row],[Billing City]], ", ", Table1[[#This Row],[Billing State/Province]], ", ", Table1[[#This Row],[Billing Zip/Postal Code]])</f>
        <v>175 East Old Country Rd, Hicksville, Ny, 11801</v>
      </c>
    </row>
    <row r="4269" spans="1:13" ht="15.6" x14ac:dyDescent="0.3">
      <c r="A4269" s="1" t="s">
        <v>12554</v>
      </c>
      <c r="B4269" s="1"/>
      <c r="C4269" s="1"/>
      <c r="D4269" s="1"/>
      <c r="E4269" s="1"/>
      <c r="F4269" s="1"/>
      <c r="G4269" s="1" t="s">
        <v>24</v>
      </c>
      <c r="H4269" s="2">
        <v>5988</v>
      </c>
      <c r="I4269" s="1" t="s">
        <v>13</v>
      </c>
      <c r="J4269" s="1" t="s">
        <v>1074</v>
      </c>
      <c r="K4269" s="1" t="s">
        <v>31</v>
      </c>
      <c r="L4269" s="1" t="s">
        <v>13</v>
      </c>
      <c r="M4269" s="6" t="str">
        <f>_xlfn.CONCAT(Table1[[#This Row],[Billing Street]], ", ", Table1[[#This Row],[Billing City]], ", ", Table1[[#This Row],[Billing State/Province]], ", ", Table1[[#This Row],[Billing Zip/Postal Code]])</f>
        <v xml:space="preserve">, Hattiesburg, MS, </v>
      </c>
    </row>
    <row r="4270" spans="1:13" ht="15.6" x14ac:dyDescent="0.3">
      <c r="A4270" s="1" t="s">
        <v>12555</v>
      </c>
      <c r="B4270" s="1"/>
      <c r="C4270" s="1"/>
      <c r="D4270" s="1"/>
      <c r="E4270" s="1"/>
      <c r="F4270" s="1"/>
      <c r="G4270" s="1" t="s">
        <v>24</v>
      </c>
      <c r="H4270" s="2">
        <v>199</v>
      </c>
      <c r="I4270" s="1" t="s">
        <v>12556</v>
      </c>
      <c r="J4270" s="1" t="s">
        <v>5000</v>
      </c>
      <c r="K4270" s="1" t="s">
        <v>26</v>
      </c>
      <c r="L4270" s="1" t="s">
        <v>5001</v>
      </c>
      <c r="M4270" s="6" t="str">
        <f>_xlfn.CONCAT(Table1[[#This Row],[Billing Street]], ", ", Table1[[#This Row],[Billing City]], ", ", Table1[[#This Row],[Billing State/Province]], ", ", Table1[[#This Row],[Billing Zip/Postal Code]])</f>
        <v>105 Ed Gardner Dr, Pell City, AL, 35125</v>
      </c>
    </row>
    <row r="4271" spans="1:13" ht="15.6" hidden="1" x14ac:dyDescent="0.3">
      <c r="A4271" s="1" t="s">
        <v>12557</v>
      </c>
      <c r="B4271" s="1"/>
      <c r="C4271" s="1"/>
      <c r="D4271" s="1"/>
      <c r="E4271" s="1"/>
      <c r="F4271" s="1"/>
      <c r="G4271" s="1" t="s">
        <v>8</v>
      </c>
      <c r="H4271" s="2">
        <v>443</v>
      </c>
      <c r="I4271" s="1" t="s">
        <v>12558</v>
      </c>
      <c r="J4271" s="1" t="s">
        <v>12559</v>
      </c>
      <c r="K4271" s="1" t="s">
        <v>51</v>
      </c>
      <c r="L4271" s="1" t="s">
        <v>12560</v>
      </c>
      <c r="M4271" s="6" t="str">
        <f>_xlfn.CONCAT(Table1[[#This Row],[Billing Street]], ", ", Table1[[#This Row],[Billing City]], ", ", Table1[[#This Row],[Billing State/Province]], ", ", Table1[[#This Row],[Billing Zip/Postal Code]])</f>
        <v>27492 Hwy 95, Bartlett, TX, 76511</v>
      </c>
    </row>
    <row r="4272" spans="1:13" ht="15.6" hidden="1" x14ac:dyDescent="0.3">
      <c r="A4272" s="1" t="s">
        <v>12561</v>
      </c>
      <c r="B4272" s="1"/>
      <c r="C4272" s="1"/>
      <c r="D4272" s="1"/>
      <c r="E4272" s="1"/>
      <c r="F4272" s="1"/>
      <c r="G4272" s="1" t="s">
        <v>8</v>
      </c>
      <c r="H4272" s="2">
        <v>306</v>
      </c>
      <c r="I4272" s="1" t="s">
        <v>12562</v>
      </c>
      <c r="J4272" s="1" t="s">
        <v>12563</v>
      </c>
      <c r="K4272" s="1" t="s">
        <v>51</v>
      </c>
      <c r="L4272" s="1" t="s">
        <v>12564</v>
      </c>
      <c r="M4272" s="6" t="str">
        <f>_xlfn.CONCAT(Table1[[#This Row],[Billing Street]], ", ", Table1[[#This Row],[Billing City]], ", ", Table1[[#This Row],[Billing State/Province]], ", ", Table1[[#This Row],[Billing Zip/Postal Code]])</f>
        <v>600 N. W. Parkway, Azle, TX, 76020</v>
      </c>
    </row>
    <row r="4273" spans="1:13" ht="15.6" hidden="1" x14ac:dyDescent="0.3">
      <c r="A4273" s="1" t="s">
        <v>12565</v>
      </c>
      <c r="B4273" s="1"/>
      <c r="C4273" s="1"/>
      <c r="D4273" s="1"/>
      <c r="E4273" s="1"/>
      <c r="F4273" s="1"/>
      <c r="G4273" s="1" t="s">
        <v>8</v>
      </c>
      <c r="H4273" s="2">
        <v>484</v>
      </c>
      <c r="I4273" s="1" t="s">
        <v>12566</v>
      </c>
      <c r="J4273" s="1" t="s">
        <v>977</v>
      </c>
      <c r="K4273" s="1" t="s">
        <v>51</v>
      </c>
      <c r="L4273" s="1" t="s">
        <v>978</v>
      </c>
      <c r="M4273" s="6" t="str">
        <f>_xlfn.CONCAT(Table1[[#This Row],[Billing Street]], ", ", Table1[[#This Row],[Billing City]], ", ", Table1[[#This Row],[Billing State/Province]], ", ", Table1[[#This Row],[Billing Zip/Postal Code]])</f>
        <v>1122 South Capital of TX Hwy, Austin, TX, 78746</v>
      </c>
    </row>
    <row r="4274" spans="1:13" ht="15.6" hidden="1" x14ac:dyDescent="0.3">
      <c r="A4274" s="1" t="s">
        <v>12567</v>
      </c>
      <c r="B4274" s="1"/>
      <c r="C4274" s="1"/>
      <c r="D4274" s="1"/>
      <c r="E4274" s="1"/>
      <c r="F4274" s="1"/>
      <c r="G4274" s="1" t="s">
        <v>54</v>
      </c>
      <c r="H4274" s="2">
        <v>527</v>
      </c>
      <c r="I4274" s="1" t="s">
        <v>12568</v>
      </c>
      <c r="J4274" s="1" t="s">
        <v>12569</v>
      </c>
      <c r="K4274" s="1" t="s">
        <v>57</v>
      </c>
      <c r="L4274" s="1" t="s">
        <v>12570</v>
      </c>
      <c r="M4274" s="6" t="str">
        <f>_xlfn.CONCAT(Table1[[#This Row],[Billing Street]], ", ", Table1[[#This Row],[Billing City]], ", ", Table1[[#This Row],[Billing State/Province]], ", ", Table1[[#This Row],[Billing Zip/Postal Code]])</f>
        <v>26 Ponderosa Lane, Weaverville, CA, 96093-1216</v>
      </c>
    </row>
    <row r="4275" spans="1:13" ht="15.6" x14ac:dyDescent="0.3">
      <c r="A4275" s="1" t="s">
        <v>12571</v>
      </c>
      <c r="B4275" s="1"/>
      <c r="C4275" s="1"/>
      <c r="D4275" s="1"/>
      <c r="E4275" s="1"/>
      <c r="F4275" s="1"/>
      <c r="G4275" s="1" t="s">
        <v>24</v>
      </c>
      <c r="H4275" s="2">
        <v>5988</v>
      </c>
      <c r="I4275" s="1" t="s">
        <v>13</v>
      </c>
      <c r="J4275" s="1" t="s">
        <v>6088</v>
      </c>
      <c r="K4275" s="1" t="s">
        <v>31</v>
      </c>
      <c r="L4275" s="1" t="s">
        <v>12572</v>
      </c>
      <c r="M4275" s="6" t="str">
        <f>_xlfn.CONCAT(Table1[[#This Row],[Billing Street]], ", ", Table1[[#This Row],[Billing City]], ", ", Table1[[#This Row],[Billing State/Province]], ", ", Table1[[#This Row],[Billing Zip/Postal Code]])</f>
        <v>, Madison, MS, 39130</v>
      </c>
    </row>
    <row r="4276" spans="1:13" ht="15.6" x14ac:dyDescent="0.3">
      <c r="A4276" s="1" t="s">
        <v>12573</v>
      </c>
      <c r="B4276" s="1"/>
      <c r="C4276" s="1"/>
      <c r="D4276" s="1"/>
      <c r="E4276" s="1"/>
      <c r="F4276" s="1"/>
      <c r="G4276" s="1" t="s">
        <v>24</v>
      </c>
      <c r="H4276" s="2">
        <v>5988</v>
      </c>
      <c r="I4276" s="1" t="s">
        <v>12574</v>
      </c>
      <c r="J4276" s="1" t="s">
        <v>4757</v>
      </c>
      <c r="K4276" s="1" t="s">
        <v>31</v>
      </c>
      <c r="L4276" s="1" t="s">
        <v>4758</v>
      </c>
      <c r="M4276" s="6" t="str">
        <f>_xlfn.CONCAT(Table1[[#This Row],[Billing Street]], ", ", Table1[[#This Row],[Billing City]], ", ", Table1[[#This Row],[Billing State/Province]], ", ", Table1[[#This Row],[Billing Zip/Postal Code]])</f>
        <v>5741 HWY 80 East, Pearl, MS, 39208</v>
      </c>
    </row>
    <row r="4277" spans="1:13" ht="15.6" x14ac:dyDescent="0.3">
      <c r="A4277" s="1" t="s">
        <v>12575</v>
      </c>
      <c r="B4277" s="1"/>
      <c r="C4277" s="1"/>
      <c r="D4277" s="1"/>
      <c r="E4277" s="1"/>
      <c r="F4277" s="1"/>
      <c r="G4277" s="1" t="s">
        <v>24</v>
      </c>
      <c r="H4277" s="2">
        <v>197</v>
      </c>
      <c r="I4277" s="1" t="s">
        <v>12576</v>
      </c>
      <c r="J4277" s="1" t="s">
        <v>1074</v>
      </c>
      <c r="K4277" s="1" t="s">
        <v>31</v>
      </c>
      <c r="L4277" s="1" t="s">
        <v>5487</v>
      </c>
      <c r="M4277" s="6" t="str">
        <f>_xlfn.CONCAT(Table1[[#This Row],[Billing Street]], ", ", Table1[[#This Row],[Billing City]], ", ", Table1[[#This Row],[Billing State/Province]], ", ", Table1[[#This Row],[Billing Zip/Postal Code]])</f>
        <v>7037 W. Hwy 49, Hattiesburg, MS, 39042</v>
      </c>
    </row>
    <row r="4278" spans="1:13" ht="15.6" x14ac:dyDescent="0.3">
      <c r="A4278" s="1" t="s">
        <v>12577</v>
      </c>
      <c r="B4278" s="1"/>
      <c r="C4278" s="1"/>
      <c r="D4278" s="1"/>
      <c r="E4278" s="1"/>
      <c r="F4278" s="1"/>
      <c r="G4278" s="1" t="s">
        <v>24</v>
      </c>
      <c r="H4278" s="2">
        <v>5988</v>
      </c>
      <c r="I4278" s="1" t="s">
        <v>13</v>
      </c>
      <c r="J4278" s="1" t="s">
        <v>12578</v>
      </c>
      <c r="K4278" s="1" t="s">
        <v>31</v>
      </c>
      <c r="L4278" s="1" t="s">
        <v>12579</v>
      </c>
      <c r="M4278" s="6" t="str">
        <f>_xlfn.CONCAT(Table1[[#This Row],[Billing Street]], ", ", Table1[[#This Row],[Billing City]], ", ", Table1[[#This Row],[Billing State/Province]], ", ", Table1[[#This Row],[Billing Zip/Postal Code]])</f>
        <v>, Horn Lake, MS, 38637</v>
      </c>
    </row>
    <row r="4279" spans="1:13" ht="15.6" hidden="1" x14ac:dyDescent="0.3">
      <c r="A4279" s="1" t="s">
        <v>12580</v>
      </c>
      <c r="B4279" s="1"/>
      <c r="C4279" s="1"/>
      <c r="D4279" s="1"/>
      <c r="E4279" s="1"/>
      <c r="F4279" s="1"/>
      <c r="G4279" s="1" t="s">
        <v>43</v>
      </c>
      <c r="H4279" s="2">
        <v>108</v>
      </c>
      <c r="I4279" s="1" t="s">
        <v>12581</v>
      </c>
      <c r="J4279" s="1" t="s">
        <v>12582</v>
      </c>
      <c r="K4279" s="1" t="s">
        <v>82</v>
      </c>
      <c r="L4279" s="1" t="s">
        <v>12583</v>
      </c>
      <c r="M4279" s="6" t="str">
        <f>_xlfn.CONCAT(Table1[[#This Row],[Billing Street]], ", ", Table1[[#This Row],[Billing City]], ", ", Table1[[#This Row],[Billing State/Province]], ", ", Table1[[#This Row],[Billing Zip/Postal Code]])</f>
        <v>1 Quality Drive, Ecorse, MI, 48229</v>
      </c>
    </row>
    <row r="4280" spans="1:13" ht="15.6" x14ac:dyDescent="0.3">
      <c r="A4280" s="1" t="s">
        <v>12584</v>
      </c>
      <c r="B4280" s="1"/>
      <c r="C4280" s="1"/>
      <c r="D4280" s="1"/>
      <c r="E4280" s="1"/>
      <c r="F4280" s="1"/>
      <c r="G4280" s="1" t="s">
        <v>24</v>
      </c>
      <c r="H4280" s="2">
        <v>5988</v>
      </c>
      <c r="I4280" s="1" t="s">
        <v>12585</v>
      </c>
      <c r="J4280" s="1" t="s">
        <v>711</v>
      </c>
      <c r="K4280" s="1" t="s">
        <v>31</v>
      </c>
      <c r="L4280" s="1" t="s">
        <v>12586</v>
      </c>
      <c r="M4280" s="6" t="str">
        <f>_xlfn.CONCAT(Table1[[#This Row],[Billing Street]], ", ", Table1[[#This Row],[Billing City]], ", ", Table1[[#This Row],[Billing State/Province]], ", ", Table1[[#This Row],[Billing Zip/Postal Code]])</f>
        <v>PO Box 1004, Columbus, MS, 39703</v>
      </c>
    </row>
    <row r="4281" spans="1:13" ht="15.6" x14ac:dyDescent="0.3">
      <c r="A4281" s="1" t="s">
        <v>12587</v>
      </c>
      <c r="B4281" s="1"/>
      <c r="C4281" s="1"/>
      <c r="D4281" s="1"/>
      <c r="E4281" s="1"/>
      <c r="F4281" s="1"/>
      <c r="G4281" s="1" t="s">
        <v>24</v>
      </c>
      <c r="H4281" s="2">
        <v>5988</v>
      </c>
      <c r="I4281" s="1" t="s">
        <v>13</v>
      </c>
      <c r="J4281" s="1" t="s">
        <v>4757</v>
      </c>
      <c r="K4281" s="1" t="s">
        <v>31</v>
      </c>
      <c r="L4281" s="1" t="s">
        <v>12572</v>
      </c>
      <c r="M4281" s="6" t="str">
        <f>_xlfn.CONCAT(Table1[[#This Row],[Billing Street]], ", ", Table1[[#This Row],[Billing City]], ", ", Table1[[#This Row],[Billing State/Province]], ", ", Table1[[#This Row],[Billing Zip/Postal Code]])</f>
        <v>, Pearl, MS, 39130</v>
      </c>
    </row>
    <row r="4282" spans="1:13" ht="15.6" hidden="1" x14ac:dyDescent="0.3">
      <c r="A4282" s="1" t="s">
        <v>12588</v>
      </c>
      <c r="B4282" s="1"/>
      <c r="C4282" s="1"/>
      <c r="D4282" s="1"/>
      <c r="E4282" s="1"/>
      <c r="F4282" s="1"/>
      <c r="G4282" s="1" t="s">
        <v>205</v>
      </c>
      <c r="H4282" s="2">
        <v>161</v>
      </c>
      <c r="I4282" s="1" t="s">
        <v>12589</v>
      </c>
      <c r="J4282" s="1" t="s">
        <v>12590</v>
      </c>
      <c r="K4282" s="1" t="s">
        <v>479</v>
      </c>
      <c r="L4282" s="1" t="s">
        <v>12591</v>
      </c>
      <c r="M4282" s="6" t="str">
        <f>_xlfn.CONCAT(Table1[[#This Row],[Billing Street]], ", ", Table1[[#This Row],[Billing City]], ", ", Table1[[#This Row],[Billing State/Province]], ", ", Table1[[#This Row],[Billing Zip/Postal Code]])</f>
        <v>401 Burro Aly, Morenci, AZ, 85540</v>
      </c>
    </row>
    <row r="4283" spans="1:13" ht="15.6" hidden="1" x14ac:dyDescent="0.3">
      <c r="A4283" s="1" t="s">
        <v>12592</v>
      </c>
      <c r="B4283" s="1"/>
      <c r="C4283" s="1"/>
      <c r="D4283" s="1"/>
      <c r="E4283" s="1"/>
      <c r="F4283" s="1"/>
      <c r="G4283" s="1" t="s">
        <v>43</v>
      </c>
      <c r="H4283" s="2">
        <v>234</v>
      </c>
      <c r="I4283" s="1" t="s">
        <v>12593</v>
      </c>
      <c r="J4283" s="1" t="s">
        <v>3455</v>
      </c>
      <c r="K4283" s="1" t="s">
        <v>3373</v>
      </c>
      <c r="L4283" s="1" t="s">
        <v>3456</v>
      </c>
      <c r="M4283" s="6" t="str">
        <f>_xlfn.CONCAT(Table1[[#This Row],[Billing Street]], ", ", Table1[[#This Row],[Billing City]], ", ", Table1[[#This Row],[Billing State/Province]], ", ", Table1[[#This Row],[Billing Zip/Postal Code]])</f>
        <v>300 state st. Suite 201, Rochester, Ny, 14614</v>
      </c>
    </row>
    <row r="4284" spans="1:13" ht="15.6" x14ac:dyDescent="0.3">
      <c r="A4284" s="1" t="s">
        <v>12594</v>
      </c>
      <c r="B4284" s="1"/>
      <c r="C4284" s="1"/>
      <c r="D4284" s="1"/>
      <c r="E4284" s="1"/>
      <c r="F4284" s="1"/>
      <c r="G4284" s="1" t="s">
        <v>24</v>
      </c>
      <c r="H4284" s="2">
        <v>5988</v>
      </c>
      <c r="I4284" s="1" t="s">
        <v>12595</v>
      </c>
      <c r="J4284" s="1" t="s">
        <v>4259</v>
      </c>
      <c r="K4284" s="1" t="s">
        <v>31</v>
      </c>
      <c r="L4284" s="1" t="s">
        <v>6601</v>
      </c>
      <c r="M4284" s="6" t="str">
        <f>_xlfn.CONCAT(Table1[[#This Row],[Billing Street]], ", ", Table1[[#This Row],[Billing City]], ", ", Table1[[#This Row],[Billing State/Province]], ", ", Table1[[#This Row],[Billing Zip/Postal Code]])</f>
        <v>10930 Darracott Road, Aberdeen, MS, 39730</v>
      </c>
    </row>
    <row r="4285" spans="1:13" ht="15.6" x14ac:dyDescent="0.3">
      <c r="A4285" s="1" t="s">
        <v>12596</v>
      </c>
      <c r="B4285" s="1"/>
      <c r="C4285" s="1"/>
      <c r="D4285" s="1"/>
      <c r="E4285" s="1"/>
      <c r="F4285" s="1"/>
      <c r="G4285" s="1" t="s">
        <v>24</v>
      </c>
      <c r="H4285" s="2">
        <v>5988</v>
      </c>
      <c r="I4285" s="1" t="s">
        <v>13</v>
      </c>
      <c r="J4285" s="1" t="s">
        <v>6088</v>
      </c>
      <c r="K4285" s="1" t="s">
        <v>31</v>
      </c>
      <c r="L4285" s="1" t="s">
        <v>13</v>
      </c>
      <c r="M4285" s="6" t="str">
        <f>_xlfn.CONCAT(Table1[[#This Row],[Billing Street]], ", ", Table1[[#This Row],[Billing City]], ", ", Table1[[#This Row],[Billing State/Province]], ", ", Table1[[#This Row],[Billing Zip/Postal Code]])</f>
        <v xml:space="preserve">, Madison, MS, </v>
      </c>
    </row>
    <row r="4286" spans="1:13" ht="15.6" x14ac:dyDescent="0.3">
      <c r="A4286" s="1" t="s">
        <v>12597</v>
      </c>
      <c r="B4286" s="1"/>
      <c r="C4286" s="1"/>
      <c r="D4286" s="1"/>
      <c r="E4286" s="1"/>
      <c r="F4286" s="1"/>
      <c r="G4286" s="1" t="s">
        <v>24</v>
      </c>
      <c r="H4286" s="2">
        <v>5988</v>
      </c>
      <c r="I4286" s="1" t="s">
        <v>13</v>
      </c>
      <c r="J4286" s="1" t="s">
        <v>5486</v>
      </c>
      <c r="K4286" s="1" t="s">
        <v>31</v>
      </c>
      <c r="L4286" s="1" t="s">
        <v>13</v>
      </c>
      <c r="M4286" s="6" t="str">
        <f>_xlfn.CONCAT(Table1[[#This Row],[Billing Street]], ", ", Table1[[#This Row],[Billing City]], ", ", Table1[[#This Row],[Billing State/Province]], ", ", Table1[[#This Row],[Billing Zip/Postal Code]])</f>
        <v xml:space="preserve">, Brandon, MS, </v>
      </c>
    </row>
    <row r="4287" spans="1:13" ht="15.6" x14ac:dyDescent="0.3">
      <c r="A4287" s="1" t="s">
        <v>12598</v>
      </c>
      <c r="B4287" s="1"/>
      <c r="C4287" s="1"/>
      <c r="D4287" s="1"/>
      <c r="E4287" s="1"/>
      <c r="F4287" s="1"/>
      <c r="G4287" s="1" t="s">
        <v>24</v>
      </c>
      <c r="H4287" s="2">
        <v>5988</v>
      </c>
      <c r="I4287" s="1" t="s">
        <v>13</v>
      </c>
      <c r="J4287" s="1" t="s">
        <v>12599</v>
      </c>
      <c r="K4287" s="1" t="s">
        <v>31</v>
      </c>
      <c r="L4287" s="1" t="s">
        <v>13</v>
      </c>
      <c r="M4287" s="6" t="str">
        <f>_xlfn.CONCAT(Table1[[#This Row],[Billing Street]], ", ", Table1[[#This Row],[Billing City]], ", ", Table1[[#This Row],[Billing State/Province]], ", ", Table1[[#This Row],[Billing Zip/Postal Code]])</f>
        <v xml:space="preserve">, Pascagoula, MS, </v>
      </c>
    </row>
    <row r="4288" spans="1:13" ht="15.6" x14ac:dyDescent="0.3">
      <c r="A4288" s="1" t="s">
        <v>12600</v>
      </c>
      <c r="B4288" s="1"/>
      <c r="C4288" s="1"/>
      <c r="D4288" s="1"/>
      <c r="E4288" s="1"/>
      <c r="F4288" s="1"/>
      <c r="G4288" s="1" t="s">
        <v>24</v>
      </c>
      <c r="H4288" s="2">
        <v>5988</v>
      </c>
      <c r="I4288" s="1" t="s">
        <v>12601</v>
      </c>
      <c r="J4288" s="1" t="s">
        <v>860</v>
      </c>
      <c r="K4288" s="1" t="s">
        <v>31</v>
      </c>
      <c r="L4288" s="1" t="s">
        <v>6690</v>
      </c>
      <c r="M4288" s="6" t="str">
        <f>_xlfn.CONCAT(Table1[[#This Row],[Billing Street]], ", ", Table1[[#This Row],[Billing City]], ", ", Table1[[#This Row],[Billing State/Province]], ", ", Table1[[#This Row],[Billing Zip/Postal Code]])</f>
        <v>2015 W. River Road Ext., Greenwood, MS, 38930</v>
      </c>
    </row>
    <row r="4289" spans="1:13" ht="15.6" x14ac:dyDescent="0.3">
      <c r="A4289" s="1" t="s">
        <v>12602</v>
      </c>
      <c r="B4289" s="1"/>
      <c r="C4289" s="1"/>
      <c r="D4289" s="1"/>
      <c r="E4289" s="1"/>
      <c r="F4289" s="1"/>
      <c r="G4289" s="1" t="s">
        <v>24</v>
      </c>
      <c r="H4289" s="2">
        <v>237</v>
      </c>
      <c r="I4289" s="1" t="s">
        <v>12603</v>
      </c>
      <c r="J4289" s="1" t="s">
        <v>5977</v>
      </c>
      <c r="K4289" s="1" t="s">
        <v>31</v>
      </c>
      <c r="L4289" s="1" t="s">
        <v>12604</v>
      </c>
      <c r="M4289" s="6" t="str">
        <f>_xlfn.CONCAT(Table1[[#This Row],[Billing Street]], ", ", Table1[[#This Row],[Billing City]], ", ", Table1[[#This Row],[Billing State/Province]], ", ", Table1[[#This Row],[Billing Zip/Postal Code]])</f>
        <v>96 East 1st Ave., Morton, MS, 39117</v>
      </c>
    </row>
    <row r="4290" spans="1:13" ht="15.6" hidden="1" x14ac:dyDescent="0.3">
      <c r="A4290" s="1" t="s">
        <v>12605</v>
      </c>
      <c r="B4290" s="1"/>
      <c r="C4290" s="1"/>
      <c r="D4290" s="1"/>
      <c r="E4290" s="1"/>
      <c r="F4290" s="1"/>
      <c r="G4290" s="1" t="s">
        <v>205</v>
      </c>
      <c r="H4290" s="2">
        <v>161</v>
      </c>
      <c r="I4290" s="1" t="s">
        <v>12606</v>
      </c>
      <c r="J4290" s="1" t="s">
        <v>12590</v>
      </c>
      <c r="K4290" s="1" t="s">
        <v>479</v>
      </c>
      <c r="L4290" s="1" t="s">
        <v>12591</v>
      </c>
      <c r="M4290" s="6" t="str">
        <f>_xlfn.CONCAT(Table1[[#This Row],[Billing Street]], ", ", Table1[[#This Row],[Billing City]], ", ", Table1[[#This Row],[Billing State/Province]], ", ", Table1[[#This Row],[Billing Zip/Postal Code]])</f>
        <v>4521 US Hwy 191, Morenci, AZ, 85540</v>
      </c>
    </row>
    <row r="4291" spans="1:13" ht="15.6" x14ac:dyDescent="0.3">
      <c r="A4291" s="1" t="s">
        <v>12607</v>
      </c>
      <c r="B4291" s="1"/>
      <c r="C4291" s="1"/>
      <c r="D4291" s="1"/>
      <c r="E4291" s="1"/>
      <c r="F4291" s="1"/>
      <c r="G4291" s="1" t="s">
        <v>24</v>
      </c>
      <c r="H4291" s="2">
        <v>263</v>
      </c>
      <c r="I4291" s="1" t="s">
        <v>12608</v>
      </c>
      <c r="J4291" s="1" t="s">
        <v>637</v>
      </c>
      <c r="K4291" s="1" t="s">
        <v>31</v>
      </c>
      <c r="L4291" s="1" t="s">
        <v>7717</v>
      </c>
      <c r="M4291" s="6" t="str">
        <f>_xlfn.CONCAT(Table1[[#This Row],[Billing Street]], ", ", Table1[[#This Row],[Billing City]], ", ", Table1[[#This Row],[Billing State/Province]], ", ", Table1[[#This Row],[Billing Zip/Postal Code]])</f>
        <v>505 Julienne Street, Jackson, MS, 39201</v>
      </c>
    </row>
    <row r="4292" spans="1:13" ht="15.6" hidden="1" x14ac:dyDescent="0.3">
      <c r="A4292" s="1" t="s">
        <v>12609</v>
      </c>
      <c r="B4292" s="1"/>
      <c r="C4292" s="1"/>
      <c r="D4292" s="1"/>
      <c r="E4292" s="1"/>
      <c r="F4292" s="1"/>
      <c r="G4292" s="1" t="s">
        <v>8</v>
      </c>
      <c r="H4292" s="2">
        <v>321</v>
      </c>
      <c r="I4292" s="1" t="s">
        <v>12610</v>
      </c>
      <c r="J4292" s="1" t="s">
        <v>711</v>
      </c>
      <c r="K4292" s="1" t="s">
        <v>198</v>
      </c>
      <c r="L4292" s="1" t="s">
        <v>742</v>
      </c>
      <c r="M4292" s="6" t="str">
        <f>_xlfn.CONCAT(Table1[[#This Row],[Billing Street]], ", ", Table1[[#This Row],[Billing City]], ", ", Table1[[#This Row],[Billing State/Province]], ", ", Table1[[#This Row],[Billing Zip/Postal Code]])</f>
        <v>Hwy 81 &amp; 235 Avenue, Columbus, NE, 68601</v>
      </c>
    </row>
    <row r="4293" spans="1:13" ht="15.6" x14ac:dyDescent="0.3">
      <c r="A4293" s="1" t="s">
        <v>12611</v>
      </c>
      <c r="B4293" s="1"/>
      <c r="C4293" s="1"/>
      <c r="D4293" s="1"/>
      <c r="E4293" s="1"/>
      <c r="F4293" s="1"/>
      <c r="G4293" s="1" t="s">
        <v>24</v>
      </c>
      <c r="H4293" s="2">
        <v>5988</v>
      </c>
      <c r="I4293" s="1" t="s">
        <v>12612</v>
      </c>
      <c r="J4293" s="1" t="s">
        <v>372</v>
      </c>
      <c r="K4293" s="1" t="s">
        <v>26</v>
      </c>
      <c r="L4293" s="1" t="s">
        <v>1906</v>
      </c>
      <c r="M4293" s="6" t="str">
        <f>_xlfn.CONCAT(Table1[[#This Row],[Billing Street]], ", ", Table1[[#This Row],[Billing City]], ", ", Table1[[#This Row],[Billing State/Province]], ", ", Table1[[#This Row],[Billing Zip/Postal Code]])</f>
        <v>3724 1st Ave N, Birmingham, AL 35222, Birmingham, AL, 35222</v>
      </c>
    </row>
    <row r="4294" spans="1:13" ht="15.6" hidden="1" x14ac:dyDescent="0.3">
      <c r="A4294" s="1" t="s">
        <v>12613</v>
      </c>
      <c r="B4294" s="1"/>
      <c r="C4294" s="1"/>
      <c r="D4294" s="1"/>
      <c r="E4294" s="1"/>
      <c r="F4294" s="1"/>
      <c r="G4294" s="1" t="s">
        <v>43</v>
      </c>
      <c r="H4294" s="2">
        <v>5776</v>
      </c>
      <c r="I4294" s="1" t="s">
        <v>12614</v>
      </c>
      <c r="J4294" s="1" t="s">
        <v>12326</v>
      </c>
      <c r="K4294" s="1" t="s">
        <v>781</v>
      </c>
      <c r="L4294" s="1" t="s">
        <v>12327</v>
      </c>
      <c r="M4294" s="6" t="str">
        <f>_xlfn.CONCAT(Table1[[#This Row],[Billing Street]], ", ", Table1[[#This Row],[Billing City]], ", ", Table1[[#This Row],[Billing State/Province]], ", ", Table1[[#This Row],[Billing Zip/Postal Code]])</f>
        <v>420 Drew Court Suite B, King of Prussia, pa, 19406</v>
      </c>
    </row>
    <row r="4295" spans="1:13" ht="15.6" hidden="1" x14ac:dyDescent="0.3">
      <c r="A4295" s="1" t="s">
        <v>12615</v>
      </c>
      <c r="B4295" s="1"/>
      <c r="C4295" s="1"/>
      <c r="D4295" s="1"/>
      <c r="E4295" s="1"/>
      <c r="F4295" s="1"/>
      <c r="G4295" s="1" t="s">
        <v>205</v>
      </c>
      <c r="H4295" s="2">
        <v>596</v>
      </c>
      <c r="I4295" s="1" t="s">
        <v>12616</v>
      </c>
      <c r="J4295" s="1" t="s">
        <v>9387</v>
      </c>
      <c r="K4295" s="1" t="s">
        <v>1695</v>
      </c>
      <c r="L4295" s="1" t="s">
        <v>12617</v>
      </c>
      <c r="M4295" s="6" t="str">
        <f>_xlfn.CONCAT(Table1[[#This Row],[Billing Street]], ", ", Table1[[#This Row],[Billing City]], ", ", Table1[[#This Row],[Billing State/Province]], ", ", Table1[[#This Row],[Billing Zip/Postal Code]])</f>
        <v>6100 Neil Rd., Reno, NV, 89520</v>
      </c>
    </row>
    <row r="4296" spans="1:13" ht="15.6" hidden="1" x14ac:dyDescent="0.3">
      <c r="A4296" s="1" t="s">
        <v>12618</v>
      </c>
      <c r="B4296" s="1"/>
      <c r="C4296" s="1"/>
      <c r="D4296" s="1"/>
      <c r="E4296" s="1"/>
      <c r="F4296" s="1"/>
      <c r="G4296" s="1" t="s">
        <v>43</v>
      </c>
      <c r="H4296" s="2">
        <v>395</v>
      </c>
      <c r="I4296" s="1" t="s">
        <v>12619</v>
      </c>
      <c r="J4296" s="1" t="s">
        <v>2485</v>
      </c>
      <c r="K4296" s="1" t="s">
        <v>671</v>
      </c>
      <c r="L4296" s="1" t="s">
        <v>9907</v>
      </c>
      <c r="M4296" s="6" t="str">
        <f>_xlfn.CONCAT(Table1[[#This Row],[Billing Street]], ", ", Table1[[#This Row],[Billing City]], ", ", Table1[[#This Row],[Billing State/Province]], ", ", Table1[[#This Row],[Billing Zip/Postal Code]])</f>
        <v>545 Johnson Ave, Brooklyn, NY, 11237</v>
      </c>
    </row>
    <row r="4297" spans="1:13" ht="15.6" hidden="1" x14ac:dyDescent="0.3">
      <c r="A4297" s="1" t="s">
        <v>12620</v>
      </c>
      <c r="B4297" s="1"/>
      <c r="C4297" s="1"/>
      <c r="D4297" s="1"/>
      <c r="E4297" s="1"/>
      <c r="F4297" s="1"/>
      <c r="G4297" s="1" t="s">
        <v>8</v>
      </c>
      <c r="H4297" s="2">
        <v>336</v>
      </c>
      <c r="I4297" s="1" t="s">
        <v>12621</v>
      </c>
      <c r="J4297" s="1" t="s">
        <v>12622</v>
      </c>
      <c r="K4297" s="1" t="s">
        <v>198</v>
      </c>
      <c r="L4297" s="1" t="s">
        <v>12623</v>
      </c>
      <c r="M4297" s="6" t="str">
        <f>_xlfn.CONCAT(Table1[[#This Row],[Billing Street]], ", ", Table1[[#This Row],[Billing City]], ", ", Table1[[#This Row],[Billing State/Province]], ", ", Table1[[#This Row],[Billing Zip/Postal Code]])</f>
        <v>222 Lemon St, Bartley, NE, 69020</v>
      </c>
    </row>
    <row r="4298" spans="1:13" ht="15.6" hidden="1" x14ac:dyDescent="0.3">
      <c r="A4298" s="1" t="s">
        <v>12624</v>
      </c>
      <c r="B4298" s="1"/>
      <c r="C4298" s="1"/>
      <c r="D4298" s="1"/>
      <c r="E4298" s="1"/>
      <c r="F4298" s="1"/>
      <c r="G4298" s="1" t="s">
        <v>8</v>
      </c>
      <c r="H4298" s="2">
        <v>323</v>
      </c>
      <c r="I4298" s="1" t="s">
        <v>12625</v>
      </c>
      <c r="J4298" s="1" t="s">
        <v>12626</v>
      </c>
      <c r="K4298" s="1" t="s">
        <v>198</v>
      </c>
      <c r="L4298" s="1" t="s">
        <v>12627</v>
      </c>
      <c r="M4298" s="6" t="str">
        <f>_xlfn.CONCAT(Table1[[#This Row],[Billing Street]], ", ", Table1[[#This Row],[Billing City]], ", ", Table1[[#This Row],[Billing State/Province]], ", ", Table1[[#This Row],[Billing Zip/Postal Code]])</f>
        <v>411 6th St, Arapahoe, NE, 68922</v>
      </c>
    </row>
    <row r="4299" spans="1:13" ht="15.6" x14ac:dyDescent="0.3">
      <c r="A4299" s="1" t="s">
        <v>12628</v>
      </c>
      <c r="B4299" s="1"/>
      <c r="C4299" s="1"/>
      <c r="D4299" s="1"/>
      <c r="E4299" s="1"/>
      <c r="F4299" s="1"/>
      <c r="G4299" s="1" t="s">
        <v>24</v>
      </c>
      <c r="H4299" s="2">
        <v>111</v>
      </c>
      <c r="I4299" s="1" t="s">
        <v>12629</v>
      </c>
      <c r="J4299" s="1" t="s">
        <v>25</v>
      </c>
      <c r="K4299" s="1" t="s">
        <v>26</v>
      </c>
      <c r="L4299" s="1" t="s">
        <v>3401</v>
      </c>
      <c r="M4299" s="6" t="str">
        <f>_xlfn.CONCAT(Table1[[#This Row],[Billing Street]], ", ", Table1[[#This Row],[Billing City]], ", ", Table1[[#This Row],[Billing State/Province]], ", ", Table1[[#This Row],[Billing Zip/Postal Code]])</f>
        <v>5850 Selma Highway, Montgomery, AL, 36108</v>
      </c>
    </row>
    <row r="4300" spans="1:13" ht="15.6" hidden="1" x14ac:dyDescent="0.3">
      <c r="A4300" s="1" t="s">
        <v>12630</v>
      </c>
      <c r="B4300" s="1"/>
      <c r="C4300" s="1"/>
      <c r="D4300" s="1"/>
      <c r="E4300" s="1"/>
      <c r="F4300" s="1"/>
      <c r="G4300" s="1" t="s">
        <v>8</v>
      </c>
      <c r="H4300" s="2">
        <v>525</v>
      </c>
      <c r="I4300" s="1" t="s">
        <v>12631</v>
      </c>
      <c r="J4300" s="1" t="s">
        <v>757</v>
      </c>
      <c r="K4300" s="1" t="s">
        <v>198</v>
      </c>
      <c r="L4300" s="1" t="s">
        <v>758</v>
      </c>
      <c r="M4300" s="6" t="str">
        <f>_xlfn.CONCAT(Table1[[#This Row],[Billing Street]], ", ", Table1[[#This Row],[Billing City]], ", ", Table1[[#This Row],[Billing State/Province]], ", ", Table1[[#This Row],[Billing Zip/Postal Code]])</f>
        <v>445 Main Street, Bayard, NE, 69334</v>
      </c>
    </row>
    <row r="4301" spans="1:13" ht="15.6" hidden="1" x14ac:dyDescent="0.3">
      <c r="A4301" s="1" t="s">
        <v>12632</v>
      </c>
      <c r="B4301" s="1"/>
      <c r="C4301" s="1"/>
      <c r="D4301" s="1"/>
      <c r="E4301" s="1"/>
      <c r="F4301" s="1"/>
      <c r="G4301" s="1" t="s">
        <v>8</v>
      </c>
      <c r="H4301" s="2">
        <v>359</v>
      </c>
      <c r="I4301" s="1" t="s">
        <v>1238</v>
      </c>
      <c r="J4301" s="1" t="s">
        <v>8932</v>
      </c>
      <c r="K4301" s="1" t="s">
        <v>198</v>
      </c>
      <c r="L4301" s="1" t="s">
        <v>8933</v>
      </c>
      <c r="M4301" s="6" t="str">
        <f>_xlfn.CONCAT(Table1[[#This Row],[Billing Street]], ", ", Table1[[#This Row],[Billing City]], ", ", Table1[[#This Row],[Billing State/Province]], ", ", Table1[[#This Row],[Billing Zip/Postal Code]])</f>
        <v>102 S 2nd St, Battle Creek, NE, 68715</v>
      </c>
    </row>
    <row r="4302" spans="1:13" ht="15.6" hidden="1" x14ac:dyDescent="0.3">
      <c r="A4302" s="1" t="s">
        <v>12633</v>
      </c>
      <c r="B4302" s="1"/>
      <c r="C4302" s="1"/>
      <c r="D4302" s="1"/>
      <c r="E4302" s="1"/>
      <c r="F4302" s="1"/>
      <c r="G4302" s="1" t="s">
        <v>43</v>
      </c>
      <c r="H4302" s="2">
        <v>5776</v>
      </c>
      <c r="I4302" s="1" t="s">
        <v>13</v>
      </c>
      <c r="J4302" s="1" t="s">
        <v>11343</v>
      </c>
      <c r="K4302" s="1" t="s">
        <v>21</v>
      </c>
      <c r="L4302" s="1" t="s">
        <v>13</v>
      </c>
      <c r="M4302" s="6" t="str">
        <f>_xlfn.CONCAT(Table1[[#This Row],[Billing Street]], ", ", Table1[[#This Row],[Billing City]], ", ", Table1[[#This Row],[Billing State/Province]], ", ", Table1[[#This Row],[Billing Zip/Postal Code]])</f>
        <v xml:space="preserve">, Waterloo, IA, </v>
      </c>
    </row>
    <row r="4303" spans="1:13" ht="15.6" hidden="1" x14ac:dyDescent="0.3">
      <c r="A4303" s="1" t="s">
        <v>12634</v>
      </c>
      <c r="B4303" s="1"/>
      <c r="C4303" s="1"/>
      <c r="D4303" s="1"/>
      <c r="E4303" s="1"/>
      <c r="F4303" s="1"/>
      <c r="G4303" s="1" t="s">
        <v>8</v>
      </c>
      <c r="H4303" s="2">
        <v>312</v>
      </c>
      <c r="I4303" s="1" t="s">
        <v>12635</v>
      </c>
      <c r="J4303" s="1" t="s">
        <v>12636</v>
      </c>
      <c r="K4303" s="1" t="s">
        <v>198</v>
      </c>
      <c r="L4303" s="1" t="s">
        <v>12637</v>
      </c>
      <c r="M4303" s="6" t="str">
        <f>_xlfn.CONCAT(Table1[[#This Row],[Billing Street]], ", ", Table1[[#This Row],[Billing City]], ", ", Table1[[#This Row],[Billing State/Province]], ", ", Table1[[#This Row],[Billing Zip/Postal Code]])</f>
        <v>301 10th St, Beaver City,, NE, 68926</v>
      </c>
    </row>
    <row r="4304" spans="1:13" ht="15.6" hidden="1" x14ac:dyDescent="0.3">
      <c r="A4304" s="1" t="s">
        <v>12638</v>
      </c>
      <c r="B4304" s="1"/>
      <c r="C4304" s="1"/>
      <c r="D4304" s="1"/>
      <c r="E4304" s="1"/>
      <c r="F4304" s="1"/>
      <c r="G4304" s="1" t="s">
        <v>8</v>
      </c>
      <c r="H4304" s="2">
        <v>381</v>
      </c>
      <c r="I4304" s="1" t="s">
        <v>12639</v>
      </c>
      <c r="J4304" s="1" t="s">
        <v>12640</v>
      </c>
      <c r="K4304" s="1" t="s">
        <v>198</v>
      </c>
      <c r="L4304" s="1" t="s">
        <v>12641</v>
      </c>
      <c r="M4304" s="6" t="str">
        <f>_xlfn.CONCAT(Table1[[#This Row],[Billing Street]], ", ", Table1[[#This Row],[Billing City]], ", ", Table1[[#This Row],[Billing State/Province]], ", ", Table1[[#This Row],[Billing Zip/Postal Code]])</f>
        <v>126 7th Ave E, Benkelman, NE, 69021</v>
      </c>
    </row>
    <row r="4305" spans="1:13" ht="15.6" hidden="1" x14ac:dyDescent="0.3">
      <c r="A4305" s="1" t="s">
        <v>12642</v>
      </c>
      <c r="B4305" s="1"/>
      <c r="C4305" s="1"/>
      <c r="D4305" s="1"/>
      <c r="E4305" s="1"/>
      <c r="F4305" s="1"/>
      <c r="G4305" s="1" t="s">
        <v>8</v>
      </c>
      <c r="H4305" s="2">
        <v>274</v>
      </c>
      <c r="I4305" s="1" t="s">
        <v>12643</v>
      </c>
      <c r="J4305" s="1" t="s">
        <v>12644</v>
      </c>
      <c r="K4305" s="1" t="s">
        <v>198</v>
      </c>
      <c r="L4305" s="1" t="s">
        <v>12645</v>
      </c>
      <c r="M4305" s="6" t="str">
        <f>_xlfn.CONCAT(Table1[[#This Row],[Billing Street]], ", ", Table1[[#This Row],[Billing City]], ", ", Table1[[#This Row],[Billing State/Province]], ", ", Table1[[#This Row],[Billing Zip/Postal Code]])</f>
        <v>517 W Gage St, Blue Hill, NE, 68930</v>
      </c>
    </row>
    <row r="4306" spans="1:13" ht="15.6" hidden="1" x14ac:dyDescent="0.3">
      <c r="A4306" s="1" t="s">
        <v>12646</v>
      </c>
      <c r="B4306" s="1"/>
      <c r="C4306" s="1"/>
      <c r="D4306" s="1"/>
      <c r="E4306" s="1"/>
      <c r="F4306" s="1"/>
      <c r="G4306" s="1" t="s">
        <v>8</v>
      </c>
      <c r="H4306" s="2">
        <v>289</v>
      </c>
      <c r="I4306" s="1" t="s">
        <v>12647</v>
      </c>
      <c r="J4306" s="1" t="s">
        <v>12648</v>
      </c>
      <c r="K4306" s="1" t="s">
        <v>198</v>
      </c>
      <c r="L4306" s="1" t="s">
        <v>12649</v>
      </c>
      <c r="M4306" s="6" t="str">
        <f>_xlfn.CONCAT(Table1[[#This Row],[Billing Street]], ", ", Table1[[#This Row],[Billing City]], ", ", Table1[[#This Row],[Billing State/Province]], ", ", Table1[[#This Row],[Billing Zip/Postal Code]])</f>
        <v>455 Lincoln Avenue, Bradshaw, NE, 68319</v>
      </c>
    </row>
    <row r="4307" spans="1:13" ht="15.6" hidden="1" x14ac:dyDescent="0.3">
      <c r="A4307" s="1" t="s">
        <v>12650</v>
      </c>
      <c r="B4307" s="1"/>
      <c r="C4307" s="1"/>
      <c r="D4307" s="1"/>
      <c r="E4307" s="1"/>
      <c r="F4307" s="1"/>
      <c r="G4307" s="1" t="s">
        <v>8</v>
      </c>
      <c r="H4307" s="2">
        <v>296</v>
      </c>
      <c r="I4307" s="1" t="s">
        <v>12651</v>
      </c>
      <c r="J4307" s="1" t="s">
        <v>12652</v>
      </c>
      <c r="K4307" s="1" t="s">
        <v>198</v>
      </c>
      <c r="L4307" s="1" t="s">
        <v>12653</v>
      </c>
      <c r="M4307" s="6" t="str">
        <f>_xlfn.CONCAT(Table1[[#This Row],[Billing Street]], ", ", Table1[[#This Row],[Billing City]], ", ", Table1[[#This Row],[Billing State/Province]], ", ", Table1[[#This Row],[Billing Zip/Postal Code]])</f>
        <v>111 E Washington Street, Brainard, NE, 68626</v>
      </c>
    </row>
    <row r="4308" spans="1:13" ht="15.6" hidden="1" x14ac:dyDescent="0.3">
      <c r="A4308" s="1" t="s">
        <v>12654</v>
      </c>
      <c r="B4308" s="1"/>
      <c r="C4308" s="1"/>
      <c r="D4308" s="1"/>
      <c r="E4308" s="1"/>
      <c r="F4308" s="1"/>
      <c r="G4308" s="1" t="s">
        <v>205</v>
      </c>
      <c r="H4308" s="2">
        <v>293</v>
      </c>
      <c r="I4308" s="1" t="s">
        <v>12655</v>
      </c>
      <c r="J4308" s="1" t="s">
        <v>12656</v>
      </c>
      <c r="K4308" s="1" t="s">
        <v>1695</v>
      </c>
      <c r="L4308" s="1" t="s">
        <v>12657</v>
      </c>
      <c r="M4308" s="6" t="str">
        <f>_xlfn.CONCAT(Table1[[#This Row],[Billing Street]], ", ", Table1[[#This Row],[Billing City]], ", ", Table1[[#This Row],[Billing State/Province]], ", ", Table1[[#This Row],[Billing Zip/Postal Code]])</f>
        <v>800 E Highway 372, Pahrump, NV, 89041</v>
      </c>
    </row>
    <row r="4309" spans="1:13" ht="15.6" hidden="1" x14ac:dyDescent="0.3">
      <c r="A4309" s="1" t="s">
        <v>12658</v>
      </c>
      <c r="B4309" s="1"/>
      <c r="C4309" s="1"/>
      <c r="D4309" s="1"/>
      <c r="E4309" s="1"/>
      <c r="F4309" s="1"/>
      <c r="G4309" s="1" t="s">
        <v>13</v>
      </c>
      <c r="H4309" s="2">
        <v>0</v>
      </c>
      <c r="I4309" s="1" t="s">
        <v>12659</v>
      </c>
      <c r="J4309" s="1" t="s">
        <v>12660</v>
      </c>
      <c r="K4309" s="1" t="s">
        <v>12661</v>
      </c>
      <c r="L4309" s="1" t="s">
        <v>12662</v>
      </c>
      <c r="M4309" s="6" t="str">
        <f>_xlfn.CONCAT(Table1[[#This Row],[Billing Street]], ", ", Table1[[#This Row],[Billing City]], ", ", Table1[[#This Row],[Billing State/Province]], ", ", Table1[[#This Row],[Billing Zip/Postal Code]])</f>
        <v>1125 Orca St., Anchorage, AK, 99518</v>
      </c>
    </row>
    <row r="4310" spans="1:13" ht="15.6" hidden="1" x14ac:dyDescent="0.3">
      <c r="A4310" s="1" t="s">
        <v>12663</v>
      </c>
      <c r="B4310" s="1"/>
      <c r="C4310" s="1"/>
      <c r="D4310" s="1"/>
      <c r="E4310" s="1"/>
      <c r="F4310" s="1"/>
      <c r="G4310" s="1" t="s">
        <v>8</v>
      </c>
      <c r="H4310" s="2">
        <v>378</v>
      </c>
      <c r="I4310" s="1" t="s">
        <v>12664</v>
      </c>
      <c r="J4310" s="1" t="s">
        <v>12665</v>
      </c>
      <c r="K4310" s="1" t="s">
        <v>198</v>
      </c>
      <c r="L4310" s="1" t="s">
        <v>12666</v>
      </c>
      <c r="M4310" s="6" t="str">
        <f>_xlfn.CONCAT(Table1[[#This Row],[Billing Street]], ", ", Table1[[#This Row],[Billing City]], ", ", Table1[[#This Row],[Billing State/Province]], ", ", Table1[[#This Row],[Billing Zip/Postal Code]])</f>
        <v>404 Grand Ave, Burwell, NE, 68823</v>
      </c>
    </row>
    <row r="4311" spans="1:13" ht="15.6" hidden="1" x14ac:dyDescent="0.3">
      <c r="A4311" s="1" t="s">
        <v>12667</v>
      </c>
      <c r="B4311" s="1"/>
      <c r="C4311" s="1"/>
      <c r="D4311" s="1"/>
      <c r="E4311" s="1"/>
      <c r="F4311" s="1"/>
      <c r="G4311" s="1" t="s">
        <v>8</v>
      </c>
      <c r="H4311" s="2">
        <v>281</v>
      </c>
      <c r="I4311" s="1" t="s">
        <v>12668</v>
      </c>
      <c r="J4311" s="1" t="s">
        <v>3530</v>
      </c>
      <c r="K4311" s="1" t="s">
        <v>198</v>
      </c>
      <c r="L4311" s="1" t="s">
        <v>12669</v>
      </c>
      <c r="M4311" s="6" t="str">
        <f>_xlfn.CONCAT(Table1[[#This Row],[Billing Street]], ", ", Table1[[#This Row],[Billing City]], ", ", Table1[[#This Row],[Billing State/Province]], ", ", Table1[[#This Row],[Billing Zip/Postal Code]])</f>
        <v>721 Broad Street, Campbell, NE, 68932</v>
      </c>
    </row>
    <row r="4312" spans="1:13" ht="15.6" hidden="1" x14ac:dyDescent="0.3">
      <c r="A4312" s="1" t="s">
        <v>12670</v>
      </c>
      <c r="B4312" s="1"/>
      <c r="C4312" s="1"/>
      <c r="D4312" s="1"/>
      <c r="E4312" s="1"/>
      <c r="F4312" s="1"/>
      <c r="G4312" s="1" t="s">
        <v>205</v>
      </c>
      <c r="H4312" s="2">
        <v>256</v>
      </c>
      <c r="I4312" s="1" t="s">
        <v>12671</v>
      </c>
      <c r="J4312" s="1" t="s">
        <v>1694</v>
      </c>
      <c r="K4312" s="1" t="s">
        <v>1695</v>
      </c>
      <c r="L4312" s="1" t="s">
        <v>12672</v>
      </c>
      <c r="M4312" s="6" t="str">
        <f>_xlfn.CONCAT(Table1[[#This Row],[Billing Street]], ", ", Table1[[#This Row],[Billing City]], ", ", Table1[[#This Row],[Billing State/Province]], ", ", Table1[[#This Row],[Billing Zip/Postal Code]])</f>
        <v>4435 E Colton Ave, Ste 101, Las Vegas, NV, 89115</v>
      </c>
    </row>
    <row r="4313" spans="1:13" ht="15.6" hidden="1" x14ac:dyDescent="0.3">
      <c r="A4313" s="1" t="s">
        <v>12673</v>
      </c>
      <c r="B4313" s="1"/>
      <c r="C4313" s="1"/>
      <c r="D4313" s="1"/>
      <c r="E4313" s="1"/>
      <c r="F4313" s="1"/>
      <c r="G4313" s="1" t="s">
        <v>8</v>
      </c>
      <c r="H4313" s="2">
        <v>374</v>
      </c>
      <c r="I4313" s="1" t="s">
        <v>12674</v>
      </c>
      <c r="J4313" s="1" t="s">
        <v>12675</v>
      </c>
      <c r="K4313" s="1" t="s">
        <v>198</v>
      </c>
      <c r="L4313" s="1" t="s">
        <v>12676</v>
      </c>
      <c r="M4313" s="6" t="str">
        <f>_xlfn.CONCAT(Table1[[#This Row],[Billing Street]], ", ", Table1[[#This Row],[Billing City]], ", ", Table1[[#This Row],[Billing State/Province]], ", ", Table1[[#This Row],[Billing Zip/Postal Code]])</f>
        <v>157 E Kimball St, Callaway, NE, 68825</v>
      </c>
    </row>
    <row r="4314" spans="1:13" ht="15.6" hidden="1" x14ac:dyDescent="0.3">
      <c r="A4314" s="1" t="s">
        <v>12677</v>
      </c>
      <c r="B4314" s="1"/>
      <c r="C4314" s="1"/>
      <c r="D4314" s="1"/>
      <c r="E4314" s="1"/>
      <c r="F4314" s="1"/>
      <c r="G4314" s="1" t="s">
        <v>43</v>
      </c>
      <c r="H4314" s="2">
        <v>423</v>
      </c>
      <c r="I4314" s="1" t="s">
        <v>12678</v>
      </c>
      <c r="J4314" s="1" t="s">
        <v>6088</v>
      </c>
      <c r="K4314" s="1" t="s">
        <v>133</v>
      </c>
      <c r="L4314" s="1" t="s">
        <v>12679</v>
      </c>
      <c r="M4314" s="6" t="str">
        <f>_xlfn.CONCAT(Table1[[#This Row],[Billing Street]], ", ", Table1[[#This Row],[Billing City]], ", ", Table1[[#This Row],[Billing State/Province]], ", ", Table1[[#This Row],[Billing Zip/Postal Code]])</f>
        <v>2436 Pennsylvania Ave, Madison, WI, 53704</v>
      </c>
    </row>
    <row r="4315" spans="1:13" ht="15.6" hidden="1" x14ac:dyDescent="0.3">
      <c r="A4315" s="1" t="s">
        <v>12680</v>
      </c>
      <c r="B4315" s="1"/>
      <c r="C4315" s="1"/>
      <c r="D4315" s="1"/>
      <c r="E4315" s="1"/>
      <c r="F4315" s="1"/>
      <c r="G4315" s="1" t="s">
        <v>205</v>
      </c>
      <c r="H4315" s="2">
        <v>7481</v>
      </c>
      <c r="I4315" s="1" t="s">
        <v>13</v>
      </c>
      <c r="J4315" s="1" t="s">
        <v>13</v>
      </c>
      <c r="K4315" s="1" t="s">
        <v>1695</v>
      </c>
      <c r="L4315" s="1" t="s">
        <v>13</v>
      </c>
      <c r="M4315" s="6" t="str">
        <f>_xlfn.CONCAT(Table1[[#This Row],[Billing Street]], ", ", Table1[[#This Row],[Billing City]], ", ", Table1[[#This Row],[Billing State/Province]], ", ", Table1[[#This Row],[Billing Zip/Postal Code]])</f>
        <v xml:space="preserve">, , NV, </v>
      </c>
    </row>
    <row r="4316" spans="1:13" ht="15.6" hidden="1" x14ac:dyDescent="0.3">
      <c r="A4316" s="1" t="s">
        <v>12681</v>
      </c>
      <c r="B4316" s="1"/>
      <c r="C4316" s="1"/>
      <c r="D4316" s="1"/>
      <c r="E4316" s="1"/>
      <c r="F4316" s="1"/>
      <c r="G4316" s="1" t="s">
        <v>205</v>
      </c>
      <c r="H4316" s="2">
        <v>244</v>
      </c>
      <c r="I4316" s="1" t="s">
        <v>12682</v>
      </c>
      <c r="J4316" s="1" t="s">
        <v>2760</v>
      </c>
      <c r="K4316" s="1" t="s">
        <v>479</v>
      </c>
      <c r="L4316" s="1" t="s">
        <v>12683</v>
      </c>
      <c r="M4316" s="6" t="str">
        <f>_xlfn.CONCAT(Table1[[#This Row],[Billing Street]], ", ", Table1[[#This Row],[Billing City]], ", ", Table1[[#This Row],[Billing State/Province]], ", ", Table1[[#This Row],[Billing Zip/Postal Code]])</f>
        <v>850 E Hwy 89A, Fredonia, AZ, 86022</v>
      </c>
    </row>
    <row r="4317" spans="1:13" ht="15.6" hidden="1" x14ac:dyDescent="0.3">
      <c r="A4317" s="1" t="s">
        <v>12684</v>
      </c>
      <c r="B4317" s="1"/>
      <c r="C4317" s="1"/>
      <c r="D4317" s="1"/>
      <c r="E4317" s="1"/>
      <c r="F4317" s="1"/>
      <c r="G4317" s="1" t="s">
        <v>8</v>
      </c>
      <c r="H4317" s="2">
        <v>460</v>
      </c>
      <c r="I4317" s="1" t="s">
        <v>12685</v>
      </c>
      <c r="J4317" s="1" t="s">
        <v>12686</v>
      </c>
      <c r="K4317" s="1" t="s">
        <v>51</v>
      </c>
      <c r="L4317" s="1" t="s">
        <v>12687</v>
      </c>
      <c r="M4317" s="6" t="str">
        <f>_xlfn.CONCAT(Table1[[#This Row],[Billing Street]], ", ", Table1[[#This Row],[Billing City]], ", ", Table1[[#This Row],[Billing State/Province]], ", ", Table1[[#This Row],[Billing Zip/Postal Code]])</f>
        <v>201 E Main St, Brady, TX, 76825</v>
      </c>
    </row>
    <row r="4318" spans="1:13" ht="15.6" hidden="1" x14ac:dyDescent="0.3">
      <c r="A4318" s="1" t="s">
        <v>12688</v>
      </c>
      <c r="B4318" s="1"/>
      <c r="C4318" s="1"/>
      <c r="D4318" s="1"/>
      <c r="E4318" s="1"/>
      <c r="F4318" s="1"/>
      <c r="G4318" s="1" t="s">
        <v>43</v>
      </c>
      <c r="H4318" s="2">
        <v>526</v>
      </c>
      <c r="I4318" s="1" t="s">
        <v>12689</v>
      </c>
      <c r="J4318" s="1" t="s">
        <v>7238</v>
      </c>
      <c r="K4318" s="1" t="s">
        <v>2359</v>
      </c>
      <c r="L4318" s="1" t="s">
        <v>12690</v>
      </c>
      <c r="M4318" s="6" t="str">
        <f>_xlfn.CONCAT(Table1[[#This Row],[Billing Street]], ", ", Table1[[#This Row],[Billing City]], ", ", Table1[[#This Row],[Billing State/Province]], ", ", Table1[[#This Row],[Billing Zip/Postal Code]])</f>
        <v>6 Collins St., Ashland, NH, 3217</v>
      </c>
    </row>
    <row r="4319" spans="1:13" ht="15.6" hidden="1" x14ac:dyDescent="0.3">
      <c r="A4319" s="1" t="s">
        <v>12691</v>
      </c>
      <c r="B4319" s="1"/>
      <c r="C4319" s="1"/>
      <c r="D4319" s="1"/>
      <c r="E4319" s="1"/>
      <c r="F4319" s="1"/>
      <c r="G4319" s="1" t="s">
        <v>43</v>
      </c>
      <c r="H4319" s="2">
        <v>5776</v>
      </c>
      <c r="I4319" s="1" t="s">
        <v>13</v>
      </c>
      <c r="J4319" s="1" t="s">
        <v>13</v>
      </c>
      <c r="K4319" s="1" t="s">
        <v>2359</v>
      </c>
      <c r="L4319" s="1" t="s">
        <v>13</v>
      </c>
      <c r="M4319" s="6" t="str">
        <f>_xlfn.CONCAT(Table1[[#This Row],[Billing Street]], ", ", Table1[[#This Row],[Billing City]], ", ", Table1[[#This Row],[Billing State/Province]], ", ", Table1[[#This Row],[Billing Zip/Postal Code]])</f>
        <v xml:space="preserve">, , NH, </v>
      </c>
    </row>
    <row r="4320" spans="1:13" ht="15.6" hidden="1" x14ac:dyDescent="0.3">
      <c r="A4320" s="1" t="s">
        <v>12692</v>
      </c>
      <c r="B4320" s="1"/>
      <c r="C4320" s="1"/>
      <c r="D4320" s="1"/>
      <c r="E4320" s="1"/>
      <c r="F4320" s="1"/>
      <c r="G4320" s="1" t="s">
        <v>43</v>
      </c>
      <c r="H4320" s="2">
        <v>217</v>
      </c>
      <c r="I4320" s="1" t="s">
        <v>12693</v>
      </c>
      <c r="J4320" s="1" t="s">
        <v>25</v>
      </c>
      <c r="K4320" s="1" t="s">
        <v>1170</v>
      </c>
      <c r="L4320" s="1" t="s">
        <v>12694</v>
      </c>
      <c r="M4320" s="6" t="str">
        <f>_xlfn.CONCAT(Table1[[#This Row],[Billing Street]], ", ", Table1[[#This Row],[Billing City]], ", ", Table1[[#This Row],[Billing State/Province]], ", ", Table1[[#This Row],[Billing Zip/Postal Code]])</f>
        <v>326 Third Avenue, Montgomery, WV, 25136</v>
      </c>
    </row>
    <row r="4321" spans="1:13" ht="15.6" x14ac:dyDescent="0.3">
      <c r="A4321" s="1" t="s">
        <v>12695</v>
      </c>
      <c r="B4321" s="1"/>
      <c r="C4321" s="1"/>
      <c r="D4321" s="1"/>
      <c r="E4321" s="1"/>
      <c r="F4321" s="1"/>
      <c r="G4321" s="1" t="s">
        <v>24</v>
      </c>
      <c r="H4321" s="2">
        <v>5988</v>
      </c>
      <c r="I4321" s="1" t="s">
        <v>12696</v>
      </c>
      <c r="J4321" s="1" t="s">
        <v>2966</v>
      </c>
      <c r="K4321" s="1" t="s">
        <v>26</v>
      </c>
      <c r="L4321" s="1" t="s">
        <v>373</v>
      </c>
      <c r="M4321" s="6" t="str">
        <f>_xlfn.CONCAT(Table1[[#This Row],[Billing Street]], ", ", Table1[[#This Row],[Billing City]], ", ", Table1[[#This Row],[Billing State/Province]], ", ", Table1[[#This Row],[Billing Zip/Postal Code]])</f>
        <v>1189 Grants Mill Road, Irondale, AL, 35210</v>
      </c>
    </row>
    <row r="4322" spans="1:13" ht="15.6" hidden="1" x14ac:dyDescent="0.3">
      <c r="A4322" s="1" t="s">
        <v>12697</v>
      </c>
      <c r="B4322" s="1"/>
      <c r="C4322" s="1"/>
      <c r="D4322" s="1"/>
      <c r="E4322" s="1"/>
      <c r="F4322" s="1"/>
      <c r="G4322" s="1" t="s">
        <v>8</v>
      </c>
      <c r="H4322" s="2">
        <v>295</v>
      </c>
      <c r="I4322" s="1" t="s">
        <v>12698</v>
      </c>
      <c r="J4322" s="1" t="s">
        <v>9102</v>
      </c>
      <c r="K4322" s="1" t="s">
        <v>165</v>
      </c>
      <c r="L4322" s="1" t="s">
        <v>9103</v>
      </c>
      <c r="M4322" s="6" t="str">
        <f>_xlfn.CONCAT(Table1[[#This Row],[Billing Street]], ", ", Table1[[#This Row],[Billing City]], ", ", Table1[[#This Row],[Billing State/Province]], ", ", Table1[[#This Row],[Billing Zip/Postal Code]])</f>
        <v>202 County Road 673, Jonesboro, AR, 72401</v>
      </c>
    </row>
    <row r="4323" spans="1:13" ht="15.6" x14ac:dyDescent="0.3">
      <c r="A4323" s="1" t="s">
        <v>12699</v>
      </c>
      <c r="B4323" s="1"/>
      <c r="C4323" s="1"/>
      <c r="D4323" s="1"/>
      <c r="E4323" s="1"/>
      <c r="F4323" s="1"/>
      <c r="G4323" s="1" t="s">
        <v>24</v>
      </c>
      <c r="H4323" s="2">
        <v>199</v>
      </c>
      <c r="I4323" s="1" t="s">
        <v>12700</v>
      </c>
      <c r="J4323" s="1" t="s">
        <v>8017</v>
      </c>
      <c r="K4323" s="1" t="s">
        <v>31</v>
      </c>
      <c r="L4323" s="1" t="s">
        <v>12701</v>
      </c>
      <c r="M4323" s="6" t="str">
        <f>_xlfn.CONCAT(Table1[[#This Row],[Billing Street]], ", ", Table1[[#This Row],[Billing City]], ", ", Table1[[#This Row],[Billing State/Province]], ", ", Table1[[#This Row],[Billing Zip/Postal Code]])</f>
        <v>8292A MS-19, Collinsville, MS, 39325</v>
      </c>
    </row>
    <row r="4324" spans="1:13" ht="15.6" hidden="1" x14ac:dyDescent="0.3">
      <c r="A4324" s="1" t="s">
        <v>12702</v>
      </c>
      <c r="B4324" s="1"/>
      <c r="C4324" s="1"/>
      <c r="D4324" s="1"/>
      <c r="E4324" s="1"/>
      <c r="F4324" s="1"/>
      <c r="G4324" s="1" t="s">
        <v>43</v>
      </c>
      <c r="H4324" s="2">
        <v>5776</v>
      </c>
      <c r="I4324" s="1" t="s">
        <v>13</v>
      </c>
      <c r="J4324" s="1" t="s">
        <v>13</v>
      </c>
      <c r="K4324" s="1" t="s">
        <v>2359</v>
      </c>
      <c r="L4324" s="1" t="s">
        <v>13</v>
      </c>
      <c r="M4324" s="6" t="str">
        <f>_xlfn.CONCAT(Table1[[#This Row],[Billing Street]], ", ", Table1[[#This Row],[Billing City]], ", ", Table1[[#This Row],[Billing State/Province]], ", ", Table1[[#This Row],[Billing Zip/Postal Code]])</f>
        <v xml:space="preserve">, , NH, </v>
      </c>
    </row>
    <row r="4325" spans="1:13" ht="15.6" hidden="1" x14ac:dyDescent="0.3">
      <c r="A4325" s="1" t="s">
        <v>12703</v>
      </c>
      <c r="B4325" s="1"/>
      <c r="C4325" s="1"/>
      <c r="D4325" s="1"/>
      <c r="E4325" s="1"/>
      <c r="F4325" s="1"/>
      <c r="G4325" s="1" t="s">
        <v>205</v>
      </c>
      <c r="H4325" s="2">
        <v>178</v>
      </c>
      <c r="I4325" s="1" t="s">
        <v>12704</v>
      </c>
      <c r="J4325" s="1" t="s">
        <v>12705</v>
      </c>
      <c r="K4325" s="1" t="s">
        <v>479</v>
      </c>
      <c r="L4325" s="1" t="s">
        <v>12706</v>
      </c>
      <c r="M4325" s="6" t="str">
        <f>_xlfn.CONCAT(Table1[[#This Row],[Billing Street]], ", ", Table1[[#This Row],[Billing City]], ", ", Table1[[#This Row],[Billing State/Province]], ", ", Table1[[#This Row],[Billing Zip/Postal Code]])</f>
        <v>8275 N. Mineral Park Road, Golden Valley, AZ, 86413</v>
      </c>
    </row>
    <row r="4326" spans="1:13" ht="15.6" hidden="1" x14ac:dyDescent="0.3">
      <c r="A4326" s="1" t="s">
        <v>12707</v>
      </c>
      <c r="B4326" s="1"/>
      <c r="C4326" s="1"/>
      <c r="D4326" s="1"/>
      <c r="E4326" s="1"/>
      <c r="F4326" s="1"/>
      <c r="G4326" s="1" t="s">
        <v>43</v>
      </c>
      <c r="H4326" s="2">
        <v>359</v>
      </c>
      <c r="I4326" s="1" t="s">
        <v>12708</v>
      </c>
      <c r="J4326" s="1" t="s">
        <v>2213</v>
      </c>
      <c r="K4326" s="1" t="s">
        <v>152</v>
      </c>
      <c r="L4326" s="1" t="s">
        <v>2214</v>
      </c>
      <c r="M4326" s="6" t="str">
        <f>_xlfn.CONCAT(Table1[[#This Row],[Billing Street]], ", ", Table1[[#This Row],[Billing City]], ", ", Table1[[#This Row],[Billing State/Province]], ", ", Table1[[#This Row],[Billing Zip/Postal Code]])</f>
        <v>2175 Point Blvd STE 375, Elgin, IL, 60123</v>
      </c>
    </row>
    <row r="4327" spans="1:13" ht="15.6" hidden="1" x14ac:dyDescent="0.3">
      <c r="A4327" s="1" t="s">
        <v>12709</v>
      </c>
      <c r="B4327" s="1"/>
      <c r="C4327" s="1"/>
      <c r="D4327" s="1"/>
      <c r="E4327" s="1"/>
      <c r="F4327" s="1"/>
      <c r="G4327" s="1" t="s">
        <v>43</v>
      </c>
      <c r="H4327" s="2">
        <v>523</v>
      </c>
      <c r="I4327" s="1" t="s">
        <v>12710</v>
      </c>
      <c r="J4327" s="1" t="s">
        <v>6890</v>
      </c>
      <c r="K4327" s="1" t="s">
        <v>2359</v>
      </c>
      <c r="L4327" s="1" t="s">
        <v>12711</v>
      </c>
      <c r="M4327" s="6" t="str">
        <f>_xlfn.CONCAT(Table1[[#This Row],[Billing Street]], ", ", Table1[[#This Row],[Billing City]], ", ", Table1[[#This Row],[Billing State/Province]], ", ", Table1[[#This Row],[Billing Zip/Postal Code]])</f>
        <v>579 Tenney Mountain Hwy, Plymouth, NH, 3264</v>
      </c>
    </row>
    <row r="4328" spans="1:13" ht="15.6" hidden="1" x14ac:dyDescent="0.3">
      <c r="A4328" s="1" t="s">
        <v>12712</v>
      </c>
      <c r="B4328" s="1"/>
      <c r="C4328" s="1"/>
      <c r="D4328" s="1"/>
      <c r="E4328" s="1"/>
      <c r="F4328" s="1"/>
      <c r="G4328" s="1" t="s">
        <v>43</v>
      </c>
      <c r="H4328" s="2">
        <v>546</v>
      </c>
      <c r="I4328" s="1" t="s">
        <v>12713</v>
      </c>
      <c r="J4328" s="1" t="s">
        <v>12714</v>
      </c>
      <c r="K4328" s="1" t="s">
        <v>2359</v>
      </c>
      <c r="L4328" s="1" t="s">
        <v>12715</v>
      </c>
      <c r="M4328" s="6" t="str">
        <f>_xlfn.CONCAT(Table1[[#This Row],[Billing Street]], ", ", Table1[[#This Row],[Billing City]], ", ", Table1[[#This Row],[Billing State/Province]], ", ", Table1[[#This Row],[Billing Zip/Postal Code]])</f>
        <v>133 Middleton Road, Wolfeboro, NH, 3894</v>
      </c>
    </row>
    <row r="4329" spans="1:13" ht="15.6" hidden="1" x14ac:dyDescent="0.3">
      <c r="A4329" s="1" t="s">
        <v>12716</v>
      </c>
      <c r="B4329" s="1"/>
      <c r="C4329" s="1"/>
      <c r="D4329" s="1"/>
      <c r="E4329" s="1"/>
      <c r="F4329" s="1"/>
      <c r="G4329" s="1" t="s">
        <v>43</v>
      </c>
      <c r="H4329" s="2">
        <v>532</v>
      </c>
      <c r="I4329" s="1" t="s">
        <v>12717</v>
      </c>
      <c r="J4329" s="1" t="s">
        <v>12718</v>
      </c>
      <c r="K4329" s="1" t="s">
        <v>2359</v>
      </c>
      <c r="L4329" s="1" t="s">
        <v>12719</v>
      </c>
      <c r="M4329" s="6" t="str">
        <f>_xlfn.CONCAT(Table1[[#This Row],[Billing Street]], ", ", Table1[[#This Row],[Billing City]], ", ", Table1[[#This Row],[Billing State/Province]], ", ", Table1[[#This Row],[Billing Zip/Postal Code]])</f>
        <v>65 Lafayetta Ave, Littleton, NH, 3561</v>
      </c>
    </row>
    <row r="4330" spans="1:13" ht="15.6" hidden="1" x14ac:dyDescent="0.3">
      <c r="A4330" s="1" t="s">
        <v>12720</v>
      </c>
      <c r="B4330" s="1"/>
      <c r="C4330" s="1"/>
      <c r="D4330" s="1"/>
      <c r="E4330" s="1"/>
      <c r="F4330" s="1"/>
      <c r="G4330" s="1" t="s">
        <v>8</v>
      </c>
      <c r="H4330" s="2">
        <v>462</v>
      </c>
      <c r="I4330" s="1" t="s">
        <v>12721</v>
      </c>
      <c r="J4330" s="1" t="s">
        <v>12722</v>
      </c>
      <c r="K4330" s="1" t="s">
        <v>198</v>
      </c>
      <c r="L4330" s="1" t="s">
        <v>13</v>
      </c>
      <c r="M4330" s="6" t="str">
        <f>_xlfn.CONCAT(Table1[[#This Row],[Billing Street]], ", ", Table1[[#This Row],[Billing City]], ", ", Table1[[#This Row],[Billing State/Province]], ", ", Table1[[#This Row],[Billing Zip/Postal Code]])</f>
        <v xml:space="preserve">757 2nd Street, Chappell, NE, </v>
      </c>
    </row>
    <row r="4331" spans="1:13" ht="15.6" hidden="1" x14ac:dyDescent="0.3">
      <c r="A4331" s="1" t="s">
        <v>12723</v>
      </c>
      <c r="B4331" s="1"/>
      <c r="C4331" s="1"/>
      <c r="D4331" s="1"/>
      <c r="E4331" s="1"/>
      <c r="F4331" s="1"/>
      <c r="G4331" s="1" t="s">
        <v>8</v>
      </c>
      <c r="H4331" s="2">
        <v>536</v>
      </c>
      <c r="I4331" s="1" t="s">
        <v>12724</v>
      </c>
      <c r="J4331" s="1" t="s">
        <v>409</v>
      </c>
      <c r="K4331" s="1" t="s">
        <v>410</v>
      </c>
      <c r="L4331" s="1" t="s">
        <v>411</v>
      </c>
      <c r="M4331" s="6" t="str">
        <f>_xlfn.CONCAT(Table1[[#This Row],[Billing Street]], ", ", Table1[[#This Row],[Billing City]], ", ", Table1[[#This Row],[Billing State/Province]], ", ", Table1[[#This Row],[Billing Zip/Postal Code]])</f>
        <v>6270 Co Rd 212, Pine Bluffs, WY, 82082</v>
      </c>
    </row>
    <row r="4332" spans="1:13" ht="15.6" hidden="1" x14ac:dyDescent="0.3">
      <c r="A4332" s="1" t="s">
        <v>12725</v>
      </c>
      <c r="B4332" s="1"/>
      <c r="C4332" s="1"/>
      <c r="D4332" s="1"/>
      <c r="E4332" s="1"/>
      <c r="F4332" s="1"/>
      <c r="G4332" s="1" t="s">
        <v>43</v>
      </c>
      <c r="H4332" s="2">
        <v>322</v>
      </c>
      <c r="I4332" s="1" t="s">
        <v>12726</v>
      </c>
      <c r="J4332" s="1" t="s">
        <v>2041</v>
      </c>
      <c r="K4332" s="1" t="s">
        <v>152</v>
      </c>
      <c r="L4332" s="1" t="s">
        <v>12727</v>
      </c>
      <c r="M4332" s="6" t="str">
        <f>_xlfn.CONCAT(Table1[[#This Row],[Billing Street]], ", ", Table1[[#This Row],[Billing City]], ", ", Table1[[#This Row],[Billing State/Province]], ", ", Table1[[#This Row],[Billing Zip/Postal Code]])</f>
        <v>547 W. Jackson Boulevard, 11E, Chicago, IL, 60661</v>
      </c>
    </row>
    <row r="4333" spans="1:13" ht="15.6" hidden="1" x14ac:dyDescent="0.3">
      <c r="A4333" s="1" t="s">
        <v>12728</v>
      </c>
      <c r="B4333" s="1"/>
      <c r="C4333" s="1"/>
      <c r="D4333" s="1"/>
      <c r="E4333" s="1"/>
      <c r="F4333" s="1"/>
      <c r="G4333" s="1" t="s">
        <v>43</v>
      </c>
      <c r="H4333" s="2">
        <v>386</v>
      </c>
      <c r="I4333" s="1" t="s">
        <v>12729</v>
      </c>
      <c r="J4333" s="1" t="s">
        <v>2591</v>
      </c>
      <c r="K4333" s="1" t="s">
        <v>152</v>
      </c>
      <c r="L4333" s="1" t="s">
        <v>2592</v>
      </c>
      <c r="M4333" s="6" t="str">
        <f>_xlfn.CONCAT(Table1[[#This Row],[Billing Street]], ", ", Table1[[#This Row],[Billing City]], ", ", Table1[[#This Row],[Billing State/Province]], ", ", Table1[[#This Row],[Billing Zip/Postal Code]])</f>
        <v>208 North 19th Street, Mattoon, IL, 61938</v>
      </c>
    </row>
    <row r="4334" spans="1:13" ht="15.6" hidden="1" x14ac:dyDescent="0.3">
      <c r="A4334" s="1" t="s">
        <v>12730</v>
      </c>
      <c r="B4334" s="1"/>
      <c r="C4334" s="1"/>
      <c r="D4334" s="1"/>
      <c r="E4334" s="1"/>
      <c r="F4334" s="1"/>
      <c r="G4334" s="1" t="s">
        <v>8</v>
      </c>
      <c r="H4334" s="2">
        <v>218</v>
      </c>
      <c r="I4334" s="1" t="s">
        <v>12731</v>
      </c>
      <c r="J4334" s="1" t="s">
        <v>4668</v>
      </c>
      <c r="K4334" s="1" t="s">
        <v>11</v>
      </c>
      <c r="L4334" s="1" t="s">
        <v>12732</v>
      </c>
      <c r="M4334" s="6" t="str">
        <f>_xlfn.CONCAT(Table1[[#This Row],[Billing Street]], ", ", Table1[[#This Row],[Billing City]], ", ", Table1[[#This Row],[Billing State/Province]], ", ", Table1[[#This Row],[Billing Zip/Postal Code]])</f>
        <v>112 E. Grand, Gallatin, MO, 64640</v>
      </c>
    </row>
    <row r="4335" spans="1:13" ht="15.6" hidden="1" x14ac:dyDescent="0.3">
      <c r="A4335" s="1" t="s">
        <v>12733</v>
      </c>
      <c r="B4335" s="1"/>
      <c r="C4335" s="1"/>
      <c r="D4335" s="1"/>
      <c r="E4335" s="1"/>
      <c r="F4335" s="1"/>
      <c r="G4335" s="1" t="s">
        <v>8</v>
      </c>
      <c r="H4335" s="2">
        <v>356</v>
      </c>
      <c r="I4335" s="1" t="s">
        <v>12734</v>
      </c>
      <c r="J4335" s="1" t="s">
        <v>12735</v>
      </c>
      <c r="K4335" s="1" t="s">
        <v>198</v>
      </c>
      <c r="L4335" s="1" t="s">
        <v>12736</v>
      </c>
      <c r="M4335" s="6" t="str">
        <f>_xlfn.CONCAT(Table1[[#This Row],[Billing Street]], ", ", Table1[[#This Row],[Billing City]], ", ", Table1[[#This Row],[Billing State/Province]], ", ", Table1[[#This Row],[Billing Zip/Postal Code]])</f>
        <v>522 Division St, Ansley, NE, 68814</v>
      </c>
    </row>
    <row r="4336" spans="1:13" ht="15.6" hidden="1" x14ac:dyDescent="0.3">
      <c r="A4336" s="1" t="s">
        <v>12737</v>
      </c>
      <c r="B4336" s="1"/>
      <c r="C4336" s="1"/>
      <c r="D4336" s="1"/>
      <c r="E4336" s="1"/>
      <c r="F4336" s="1"/>
      <c r="G4336" s="1" t="s">
        <v>8</v>
      </c>
      <c r="H4336" s="2">
        <v>332</v>
      </c>
      <c r="I4336" s="1" t="s">
        <v>12738</v>
      </c>
      <c r="J4336" s="1" t="s">
        <v>6043</v>
      </c>
      <c r="K4336" s="1" t="s">
        <v>198</v>
      </c>
      <c r="L4336" s="1" t="s">
        <v>6044</v>
      </c>
      <c r="M4336" s="6" t="str">
        <f>_xlfn.CONCAT(Table1[[#This Row],[Billing Street]], ", ", Table1[[#This Row],[Billing City]], ", ", Table1[[#This Row],[Billing State/Province]], ", ", Table1[[#This Row],[Billing Zip/Postal Code]])</f>
        <v>722 Patterson St, Cambridge, NE, 69022</v>
      </c>
    </row>
    <row r="4337" spans="1:13" ht="15.6" hidden="1" x14ac:dyDescent="0.3">
      <c r="A4337" s="1" t="s">
        <v>12739</v>
      </c>
      <c r="B4337" s="1"/>
      <c r="C4337" s="1"/>
      <c r="D4337" s="1"/>
      <c r="E4337" s="1"/>
      <c r="F4337" s="1"/>
      <c r="G4337" s="1" t="s">
        <v>8</v>
      </c>
      <c r="H4337" s="2">
        <v>367</v>
      </c>
      <c r="I4337" s="1" t="s">
        <v>12740</v>
      </c>
      <c r="J4337" s="1" t="s">
        <v>5006</v>
      </c>
      <c r="K4337" s="1" t="s">
        <v>198</v>
      </c>
      <c r="L4337" s="1" t="s">
        <v>12741</v>
      </c>
      <c r="M4337" s="6" t="str">
        <f>_xlfn.CONCAT(Table1[[#This Row],[Billing Street]], ", ", Table1[[#This Row],[Billing City]], ", ", Table1[[#This Row],[Billing State/Province]], ", ", Table1[[#This Row],[Billing Zip/Postal Code]])</f>
        <v>405 Main Street, Wakefield, NE, 68784</v>
      </c>
    </row>
    <row r="4338" spans="1:13" ht="15.6" hidden="1" x14ac:dyDescent="0.3">
      <c r="A4338" s="1" t="s">
        <v>12742</v>
      </c>
      <c r="B4338" s="1"/>
      <c r="C4338" s="1"/>
      <c r="D4338" s="1"/>
      <c r="E4338" s="1"/>
      <c r="F4338" s="1"/>
      <c r="G4338" s="1" t="s">
        <v>8</v>
      </c>
      <c r="H4338" s="2">
        <v>301</v>
      </c>
      <c r="I4338" s="1" t="s">
        <v>12743</v>
      </c>
      <c r="J4338" s="1" t="s">
        <v>707</v>
      </c>
      <c r="K4338" s="1" t="s">
        <v>198</v>
      </c>
      <c r="L4338" s="1" t="s">
        <v>12744</v>
      </c>
      <c r="M4338" s="6" t="str">
        <f>_xlfn.CONCAT(Table1[[#This Row],[Billing Street]], ", ", Table1[[#This Row],[Billing City]], ", ", Table1[[#This Row],[Billing State/Province]], ", ", Table1[[#This Row],[Billing Zip/Postal Code]])</f>
        <v>122 East 3rd Street, Stromsburg, NE, 68666</v>
      </c>
    </row>
    <row r="4339" spans="1:13" ht="15.6" hidden="1" x14ac:dyDescent="0.3">
      <c r="A4339" s="1" t="s">
        <v>12745</v>
      </c>
      <c r="B4339" s="1"/>
      <c r="C4339" s="1"/>
      <c r="D4339" s="1"/>
      <c r="E4339" s="1"/>
      <c r="F4339" s="1"/>
      <c r="G4339" s="1" t="s">
        <v>8</v>
      </c>
      <c r="H4339" s="2">
        <v>345</v>
      </c>
      <c r="I4339" s="1" t="s">
        <v>12746</v>
      </c>
      <c r="J4339" s="1" t="s">
        <v>6088</v>
      </c>
      <c r="K4339" s="1" t="s">
        <v>198</v>
      </c>
      <c r="L4339" s="1" t="s">
        <v>6089</v>
      </c>
      <c r="M4339" s="6" t="str">
        <f>_xlfn.CONCAT(Table1[[#This Row],[Billing Street]], ", ", Table1[[#This Row],[Billing City]], ", ", Table1[[#This Row],[Billing State/Province]], ", ", Table1[[#This Row],[Billing Zip/Postal Code]])</f>
        <v>110 E 1st St, Madison, NE, 68748</v>
      </c>
    </row>
    <row r="4340" spans="1:13" ht="15.6" hidden="1" x14ac:dyDescent="0.3">
      <c r="A4340" s="1" t="s">
        <v>12747</v>
      </c>
      <c r="B4340" s="1"/>
      <c r="C4340" s="1"/>
      <c r="D4340" s="1"/>
      <c r="E4340" s="1"/>
      <c r="F4340" s="1"/>
      <c r="G4340" s="1" t="s">
        <v>8</v>
      </c>
      <c r="H4340" s="2">
        <v>241</v>
      </c>
      <c r="I4340" s="1" t="s">
        <v>12748</v>
      </c>
      <c r="J4340" s="1" t="s">
        <v>12749</v>
      </c>
      <c r="K4340" s="1" t="s">
        <v>198</v>
      </c>
      <c r="L4340" s="1" t="s">
        <v>12750</v>
      </c>
      <c r="M4340" s="6" t="str">
        <f>_xlfn.CONCAT(Table1[[#This Row],[Billing Street]], ", ", Table1[[#This Row],[Billing City]], ", ", Table1[[#This Row],[Billing State/Province]], ", ", Table1[[#This Row],[Billing Zip/Postal Code]])</f>
        <v>216 Lincoln Ave, Hebron, NE, 68370</v>
      </c>
    </row>
    <row r="4341" spans="1:13" ht="15.6" hidden="1" x14ac:dyDescent="0.3">
      <c r="A4341" s="1" t="s">
        <v>12751</v>
      </c>
      <c r="B4341" s="1"/>
      <c r="C4341" s="1"/>
      <c r="D4341" s="1"/>
      <c r="E4341" s="1"/>
      <c r="F4341" s="1"/>
      <c r="G4341" s="1" t="s">
        <v>8</v>
      </c>
      <c r="H4341" s="2">
        <v>232</v>
      </c>
      <c r="I4341" s="1" t="s">
        <v>12752</v>
      </c>
      <c r="J4341" s="1" t="s">
        <v>5113</v>
      </c>
      <c r="K4341" s="1" t="s">
        <v>198</v>
      </c>
      <c r="L4341" s="1" t="s">
        <v>12753</v>
      </c>
      <c r="M4341" s="6" t="str">
        <f>_xlfn.CONCAT(Table1[[#This Row],[Billing Street]], ", ", Table1[[#This Row],[Billing City]], ", ", Table1[[#This Row],[Billing State/Province]], ", ", Table1[[#This Row],[Billing Zip/Postal Code]])</f>
        <v>122 South 4th Street, Tecumseh, NE, 68450</v>
      </c>
    </row>
    <row r="4342" spans="1:13" ht="15.6" hidden="1" x14ac:dyDescent="0.3">
      <c r="A4342" s="1" t="s">
        <v>12754</v>
      </c>
      <c r="B4342" s="1"/>
      <c r="C4342" s="1"/>
      <c r="D4342" s="1"/>
      <c r="E4342" s="1"/>
      <c r="F4342" s="1"/>
      <c r="G4342" s="1" t="s">
        <v>8</v>
      </c>
      <c r="H4342" s="2">
        <v>374</v>
      </c>
      <c r="I4342" s="1" t="s">
        <v>12755</v>
      </c>
      <c r="J4342" s="1" t="s">
        <v>12756</v>
      </c>
      <c r="K4342" s="1" t="s">
        <v>198</v>
      </c>
      <c r="L4342" s="1" t="s">
        <v>12757</v>
      </c>
      <c r="M4342" s="6" t="str">
        <f>_xlfn.CONCAT(Table1[[#This Row],[Billing Street]], ", ", Table1[[#This Row],[Billing City]], ", ", Table1[[#This Row],[Billing State/Province]], ", ", Table1[[#This Row],[Billing Zip/Postal Code]])</f>
        <v>202 Main St, Neligh, NE, 68756</v>
      </c>
    </row>
    <row r="4343" spans="1:13" ht="15.6" hidden="1" x14ac:dyDescent="0.3">
      <c r="A4343" s="1" t="s">
        <v>12758</v>
      </c>
      <c r="B4343" s="1"/>
      <c r="C4343" s="1"/>
      <c r="D4343" s="1"/>
      <c r="E4343" s="1"/>
      <c r="F4343" s="1"/>
      <c r="G4343" s="1" t="s">
        <v>54</v>
      </c>
      <c r="H4343" s="2">
        <v>814</v>
      </c>
      <c r="I4343" s="1" t="s">
        <v>12759</v>
      </c>
      <c r="J4343" s="1" t="s">
        <v>7358</v>
      </c>
      <c r="K4343" s="1" t="s">
        <v>7350</v>
      </c>
      <c r="L4343" s="1" t="s">
        <v>7359</v>
      </c>
      <c r="M4343" s="6" t="str">
        <f>_xlfn.CONCAT(Table1[[#This Row],[Billing Street]], ", ", Table1[[#This Row],[Billing City]], ", ", Table1[[#This Row],[Billing State/Province]], ", ", Table1[[#This Row],[Billing Zip/Postal Code]])</f>
        <v>2345 River Road, The Dallas, Or, 97058</v>
      </c>
    </row>
    <row r="4344" spans="1:13" ht="15.6" hidden="1" x14ac:dyDescent="0.3">
      <c r="A4344" s="1" t="s">
        <v>12760</v>
      </c>
      <c r="B4344" s="1"/>
      <c r="C4344" s="1"/>
      <c r="D4344" s="1"/>
      <c r="E4344" s="1"/>
      <c r="F4344" s="1"/>
      <c r="G4344" s="1" t="s">
        <v>54</v>
      </c>
      <c r="H4344" s="2">
        <v>942</v>
      </c>
      <c r="I4344" s="1" t="s">
        <v>12761</v>
      </c>
      <c r="J4344" s="1" t="s">
        <v>1818</v>
      </c>
      <c r="K4344" s="1" t="s">
        <v>2304</v>
      </c>
      <c r="L4344" s="1" t="s">
        <v>12762</v>
      </c>
      <c r="M4344" s="6" t="str">
        <f>_xlfn.CONCAT(Table1[[#This Row],[Billing Street]], ", ", Table1[[#This Row],[Billing City]], ", ", Table1[[#This Row],[Billing State/Province]], ", ", Table1[[#This Row],[Billing Zip/Postal Code]])</f>
        <v>601 N. Evergreen rd, Spokane, Wa, 99126</v>
      </c>
    </row>
    <row r="4345" spans="1:13" ht="15.6" hidden="1" x14ac:dyDescent="0.3">
      <c r="A4345" s="1" t="s">
        <v>12763</v>
      </c>
      <c r="B4345" s="1"/>
      <c r="C4345" s="1"/>
      <c r="D4345" s="1"/>
      <c r="E4345" s="1"/>
      <c r="F4345" s="1"/>
      <c r="G4345" s="1" t="s">
        <v>8</v>
      </c>
      <c r="H4345" s="2">
        <v>435</v>
      </c>
      <c r="I4345" s="1" t="s">
        <v>12764</v>
      </c>
      <c r="J4345" s="1" t="s">
        <v>3508</v>
      </c>
      <c r="K4345" s="1" t="s">
        <v>21</v>
      </c>
      <c r="L4345" s="1" t="s">
        <v>12765</v>
      </c>
      <c r="M4345" s="6" t="str">
        <f>_xlfn.CONCAT(Table1[[#This Row],[Billing Street]], ", ", Table1[[#This Row],[Billing City]], ", ", Table1[[#This Row],[Billing State/Province]], ", ", Table1[[#This Row],[Billing Zip/Postal Code]])</f>
        <v>3400 Anamosa Rd, Clinton, IA, 52732</v>
      </c>
    </row>
    <row r="4346" spans="1:13" ht="15.6" hidden="1" x14ac:dyDescent="0.3">
      <c r="A4346" s="1" t="s">
        <v>12766</v>
      </c>
      <c r="B4346" s="1"/>
      <c r="C4346" s="1"/>
      <c r="D4346" s="1"/>
      <c r="E4346" s="1"/>
      <c r="F4346" s="1"/>
      <c r="G4346" s="1" t="s">
        <v>8</v>
      </c>
      <c r="H4346" s="2">
        <v>363</v>
      </c>
      <c r="I4346" s="1" t="s">
        <v>12767</v>
      </c>
      <c r="J4346" s="1" t="s">
        <v>2653</v>
      </c>
      <c r="K4346" s="1" t="s">
        <v>21</v>
      </c>
      <c r="L4346" s="1" t="s">
        <v>12768</v>
      </c>
      <c r="M4346" s="6" t="str">
        <f>_xlfn.CONCAT(Table1[[#This Row],[Billing Street]], ", ", Table1[[#This Row],[Billing City]], ", ", Table1[[#This Row],[Billing State/Province]], ", ", Table1[[#This Row],[Billing Zip/Postal Code]])</f>
        <v>59511 Lincoln Hwy, Nevada, IA, 50201</v>
      </c>
    </row>
    <row r="4347" spans="1:13" ht="15.6" hidden="1" x14ac:dyDescent="0.3">
      <c r="A4347" s="1" t="s">
        <v>12769</v>
      </c>
      <c r="B4347" s="1"/>
      <c r="C4347" s="1"/>
      <c r="D4347" s="1"/>
      <c r="E4347" s="1"/>
      <c r="F4347" s="1"/>
      <c r="G4347" s="1" t="s">
        <v>98</v>
      </c>
      <c r="H4347" s="2">
        <v>5887</v>
      </c>
      <c r="I4347" s="1" t="s">
        <v>12770</v>
      </c>
      <c r="J4347" s="1" t="s">
        <v>2284</v>
      </c>
      <c r="K4347" s="1" t="s">
        <v>234</v>
      </c>
      <c r="L4347" s="1" t="s">
        <v>12771</v>
      </c>
      <c r="M4347" s="6" t="str">
        <f>_xlfn.CONCAT(Table1[[#This Row],[Billing Street]], ", ", Table1[[#This Row],[Billing City]], ", ", Table1[[#This Row],[Billing State/Province]], ", ", Table1[[#This Row],[Billing Zip/Postal Code]])</f>
        <v>811 Hamrick St, Gaffney, SC, 29342</v>
      </c>
    </row>
    <row r="4348" spans="1:13" ht="15.6" hidden="1" x14ac:dyDescent="0.3">
      <c r="A4348" s="1" t="s">
        <v>12772</v>
      </c>
      <c r="B4348" s="1"/>
      <c r="C4348" s="1"/>
      <c r="D4348" s="1"/>
      <c r="E4348" s="1"/>
      <c r="F4348" s="1"/>
      <c r="G4348" s="1" t="s">
        <v>8</v>
      </c>
      <c r="H4348" s="2">
        <v>412</v>
      </c>
      <c r="I4348" s="1" t="s">
        <v>12773</v>
      </c>
      <c r="J4348" s="1" t="s">
        <v>2701</v>
      </c>
      <c r="K4348" s="1" t="s">
        <v>21</v>
      </c>
      <c r="L4348" s="1" t="s">
        <v>12774</v>
      </c>
      <c r="M4348" s="6" t="str">
        <f>_xlfn.CONCAT(Table1[[#This Row],[Billing Street]], ", ", Table1[[#This Row],[Billing City]], ", ", Table1[[#This Row],[Billing State/Province]], ", ", Table1[[#This Row],[Billing Zip/Postal Code]])</f>
        <v>1225 E River Dr, Davenport, IA, 52803</v>
      </c>
    </row>
    <row r="4349" spans="1:13" ht="15.6" hidden="1" x14ac:dyDescent="0.3">
      <c r="A4349" s="1" t="s">
        <v>12775</v>
      </c>
      <c r="B4349" s="1"/>
      <c r="C4349" s="1"/>
      <c r="D4349" s="1"/>
      <c r="E4349" s="1"/>
      <c r="F4349" s="1"/>
      <c r="G4349" s="1" t="s">
        <v>8</v>
      </c>
      <c r="H4349" s="2">
        <v>388</v>
      </c>
      <c r="I4349" s="1" t="s">
        <v>12776</v>
      </c>
      <c r="J4349" s="1" t="s">
        <v>12777</v>
      </c>
      <c r="K4349" s="1" t="s">
        <v>21</v>
      </c>
      <c r="L4349" s="1" t="s">
        <v>12778</v>
      </c>
      <c r="M4349" s="6" t="str">
        <f>_xlfn.CONCAT(Table1[[#This Row],[Billing Street]], ", ", Table1[[#This Row],[Billing City]], ", ", Table1[[#This Row],[Billing State/Province]], ", ", Table1[[#This Row],[Billing Zip/Postal Code]])</f>
        <v>215 E 5Th St, Storm Lake, IA, 50588</v>
      </c>
    </row>
    <row r="4350" spans="1:13" ht="15.6" hidden="1" x14ac:dyDescent="0.3">
      <c r="A4350" s="1" t="s">
        <v>12779</v>
      </c>
      <c r="B4350" s="1"/>
      <c r="C4350" s="1"/>
      <c r="D4350" s="1"/>
      <c r="E4350" s="1"/>
      <c r="F4350" s="1"/>
      <c r="G4350" s="1" t="s">
        <v>8</v>
      </c>
      <c r="H4350" s="2">
        <v>445</v>
      </c>
      <c r="I4350" s="1" t="s">
        <v>12780</v>
      </c>
      <c r="J4350" s="1" t="s">
        <v>12781</v>
      </c>
      <c r="K4350" s="1" t="s">
        <v>21</v>
      </c>
      <c r="L4350" s="1" t="s">
        <v>12782</v>
      </c>
      <c r="M4350" s="6" t="str">
        <f>_xlfn.CONCAT(Table1[[#This Row],[Billing Street]], ", ", Table1[[#This Row],[Billing City]], ", ", Table1[[#This Row],[Billing State/Province]], ", ", Table1[[#This Row],[Billing Zip/Postal Code]])</f>
        <v>3294 Vine Rd, Dyersville, IA, 52040</v>
      </c>
    </row>
    <row r="4351" spans="1:13" ht="15.6" hidden="1" x14ac:dyDescent="0.3">
      <c r="A4351" s="1" t="s">
        <v>12783</v>
      </c>
      <c r="B4351" s="1"/>
      <c r="C4351" s="1"/>
      <c r="D4351" s="1"/>
      <c r="E4351" s="1"/>
      <c r="F4351" s="1"/>
      <c r="G4351" s="1" t="s">
        <v>8</v>
      </c>
      <c r="H4351" s="2">
        <v>393</v>
      </c>
      <c r="I4351" s="1" t="s">
        <v>12784</v>
      </c>
      <c r="J4351" s="1" t="s">
        <v>12785</v>
      </c>
      <c r="K4351" s="1" t="s">
        <v>21</v>
      </c>
      <c r="L4351" s="1" t="s">
        <v>12786</v>
      </c>
      <c r="M4351" s="6" t="str">
        <f>_xlfn.CONCAT(Table1[[#This Row],[Billing Street]], ", ", Table1[[#This Row],[Billing City]], ", ", Table1[[#This Row],[Billing State/Province]], ", ", Table1[[#This Row],[Billing Zip/Postal Code]])</f>
        <v>1510 S 2Nd St, Cherokee, IA, 51012</v>
      </c>
    </row>
    <row r="4352" spans="1:13" ht="15.6" hidden="1" x14ac:dyDescent="0.3">
      <c r="A4352" s="1" t="s">
        <v>12787</v>
      </c>
      <c r="B4352" s="1"/>
      <c r="C4352" s="1"/>
      <c r="D4352" s="1"/>
      <c r="E4352" s="1"/>
      <c r="F4352" s="1"/>
      <c r="G4352" s="1" t="s">
        <v>98</v>
      </c>
      <c r="H4352" s="2">
        <v>194</v>
      </c>
      <c r="I4352" s="1" t="s">
        <v>12788</v>
      </c>
      <c r="J4352" s="1" t="s">
        <v>12789</v>
      </c>
      <c r="K4352" s="1" t="s">
        <v>1178</v>
      </c>
      <c r="L4352" s="1" t="s">
        <v>12790</v>
      </c>
      <c r="M4352" s="6" t="str">
        <f>_xlfn.CONCAT(Table1[[#This Row],[Billing Street]], ", ", Table1[[#This Row],[Billing City]], ", ", Table1[[#This Row],[Billing State/Province]], ", ", Table1[[#This Row],[Billing Zip/Postal Code]])</f>
        <v>305 E Union ST, Suite A 100, Morganton, NC, 28680</v>
      </c>
    </row>
    <row r="4353" spans="1:13" ht="15.6" hidden="1" x14ac:dyDescent="0.3">
      <c r="A4353" s="1" t="s">
        <v>12791</v>
      </c>
      <c r="B4353" s="1"/>
      <c r="C4353" s="1"/>
      <c r="D4353" s="1"/>
      <c r="E4353" s="1"/>
      <c r="F4353" s="1"/>
      <c r="G4353" s="1" t="s">
        <v>98</v>
      </c>
      <c r="H4353" s="2">
        <v>209</v>
      </c>
      <c r="I4353" s="1" t="s">
        <v>12792</v>
      </c>
      <c r="J4353" s="1" t="s">
        <v>12793</v>
      </c>
      <c r="K4353" s="1" t="s">
        <v>1178</v>
      </c>
      <c r="L4353" s="1" t="s">
        <v>12794</v>
      </c>
      <c r="M4353" s="6" t="str">
        <f>_xlfn.CONCAT(Table1[[#This Row],[Billing Street]], ", ", Table1[[#This Row],[Billing City]], ", ", Table1[[#This Row],[Billing State/Province]], ", ", Table1[[#This Row],[Billing Zip/Postal Code]])</f>
        <v>1216 Blowing Rock Blvd, NE, Lenoir, NC, 28645</v>
      </c>
    </row>
    <row r="4354" spans="1:13" ht="15.6" hidden="1" x14ac:dyDescent="0.3">
      <c r="A4354" s="1" t="s">
        <v>12795</v>
      </c>
      <c r="B4354" s="1"/>
      <c r="C4354" s="1"/>
      <c r="D4354" s="1"/>
      <c r="E4354" s="1"/>
      <c r="F4354" s="1"/>
      <c r="G4354" s="1" t="s">
        <v>43</v>
      </c>
      <c r="H4354" s="2">
        <v>124</v>
      </c>
      <c r="I4354" s="1" t="s">
        <v>12796</v>
      </c>
      <c r="J4354" s="1" t="s">
        <v>711</v>
      </c>
      <c r="K4354" s="1" t="s">
        <v>45</v>
      </c>
      <c r="L4354" s="1" t="s">
        <v>2669</v>
      </c>
      <c r="M4354" s="6" t="str">
        <f>_xlfn.CONCAT(Table1[[#This Row],[Billing Street]], ", ", Table1[[#This Row],[Billing City]], ", ", Table1[[#This Row],[Billing State/Province]], ", ", Table1[[#This Row],[Billing Zip/Postal Code]])</f>
        <v>1 Riverside Plazza, Columbus, OH, 43215</v>
      </c>
    </row>
    <row r="4355" spans="1:13" ht="15.6" hidden="1" x14ac:dyDescent="0.3">
      <c r="A4355" s="1" t="s">
        <v>12797</v>
      </c>
      <c r="B4355" s="1"/>
      <c r="C4355" s="1"/>
      <c r="D4355" s="1"/>
      <c r="E4355" s="1"/>
      <c r="F4355" s="1"/>
      <c r="G4355" s="1" t="s">
        <v>43</v>
      </c>
      <c r="H4355" s="2">
        <v>55</v>
      </c>
      <c r="I4355" s="1" t="s">
        <v>12798</v>
      </c>
      <c r="J4355" s="1" t="s">
        <v>3126</v>
      </c>
      <c r="K4355" s="1" t="s">
        <v>45</v>
      </c>
      <c r="L4355" s="1" t="s">
        <v>12799</v>
      </c>
      <c r="M4355" s="6" t="str">
        <f>_xlfn.CONCAT(Table1[[#This Row],[Billing Street]], ", ", Table1[[#This Row],[Billing City]], ", ", Table1[[#This Row],[Billing State/Province]], ", ", Table1[[#This Row],[Billing Zip/Postal Code]])</f>
        <v>303 E. Broadway, Dover, OH, 44622</v>
      </c>
    </row>
    <row r="4356" spans="1:13" ht="15.6" hidden="1" x14ac:dyDescent="0.3">
      <c r="A4356" s="1" t="s">
        <v>12800</v>
      </c>
      <c r="B4356" s="1"/>
      <c r="C4356" s="1"/>
      <c r="D4356" s="1"/>
      <c r="E4356" s="1"/>
      <c r="F4356" s="1"/>
      <c r="G4356" s="1" t="s">
        <v>8</v>
      </c>
      <c r="H4356" s="2">
        <v>303</v>
      </c>
      <c r="I4356" s="1" t="s">
        <v>12801</v>
      </c>
      <c r="J4356" s="1" t="s">
        <v>900</v>
      </c>
      <c r="K4356" s="1" t="s">
        <v>11</v>
      </c>
      <c r="L4356" s="1" t="s">
        <v>1310</v>
      </c>
      <c r="M4356" s="6" t="str">
        <f>_xlfn.CONCAT(Table1[[#This Row],[Billing Street]], ", ", Table1[[#This Row],[Billing City]], ", ", Table1[[#This Row],[Billing State/Province]], ", ", Table1[[#This Row],[Billing Zip/Postal Code]])</f>
        <v>1515 Des Peres Rd 300, St Louis, MO, 63131</v>
      </c>
    </row>
    <row r="4357" spans="1:13" ht="15.6" hidden="1" x14ac:dyDescent="0.3">
      <c r="A4357" s="1" t="s">
        <v>12802</v>
      </c>
      <c r="B4357" s="1"/>
      <c r="C4357" s="1"/>
      <c r="D4357" s="1"/>
      <c r="E4357" s="1"/>
      <c r="F4357" s="1"/>
      <c r="G4357" s="1" t="s">
        <v>43</v>
      </c>
      <c r="H4357" s="2">
        <v>5776</v>
      </c>
      <c r="I4357" s="1" t="s">
        <v>13</v>
      </c>
      <c r="J4357" s="1" t="s">
        <v>13</v>
      </c>
      <c r="K4357" s="1" t="s">
        <v>45</v>
      </c>
      <c r="L4357" s="1" t="s">
        <v>13</v>
      </c>
      <c r="M4357" s="6" t="str">
        <f>_xlfn.CONCAT(Table1[[#This Row],[Billing Street]], ", ", Table1[[#This Row],[Billing City]], ", ", Table1[[#This Row],[Billing State/Province]], ", ", Table1[[#This Row],[Billing Zip/Postal Code]])</f>
        <v xml:space="preserve">, , OH, </v>
      </c>
    </row>
    <row r="4358" spans="1:13" ht="15.6" hidden="1" x14ac:dyDescent="0.3">
      <c r="A4358" s="1" t="s">
        <v>12803</v>
      </c>
      <c r="B4358" s="1"/>
      <c r="C4358" s="1"/>
      <c r="D4358" s="1"/>
      <c r="E4358" s="1"/>
      <c r="F4358" s="1"/>
      <c r="G4358" s="1" t="s">
        <v>8</v>
      </c>
      <c r="H4358" s="2">
        <v>287</v>
      </c>
      <c r="I4358" s="1" t="s">
        <v>12804</v>
      </c>
      <c r="J4358" s="1" t="s">
        <v>12805</v>
      </c>
      <c r="K4358" s="1" t="s">
        <v>11</v>
      </c>
      <c r="L4358" s="1" t="s">
        <v>12806</v>
      </c>
      <c r="M4358" s="6" t="str">
        <f>_xlfn.CONCAT(Table1[[#This Row],[Billing Street]], ", ", Table1[[#This Row],[Billing City]], ", ", Table1[[#This Row],[Billing State/Province]], ", ", Table1[[#This Row],[Billing Zip/Postal Code]])</f>
        <v>208 Tanner Dr, Wentzville, MO, 63385</v>
      </c>
    </row>
    <row r="4359" spans="1:13" ht="15.6" hidden="1" x14ac:dyDescent="0.3">
      <c r="A4359" s="1" t="s">
        <v>12807</v>
      </c>
      <c r="B4359" s="1"/>
      <c r="C4359" s="1"/>
      <c r="D4359" s="1"/>
      <c r="E4359" s="1"/>
      <c r="F4359" s="1"/>
      <c r="G4359" s="1" t="s">
        <v>8</v>
      </c>
      <c r="H4359" s="2">
        <v>308</v>
      </c>
      <c r="I4359" s="1" t="s">
        <v>12808</v>
      </c>
      <c r="J4359" s="1" t="s">
        <v>900</v>
      </c>
      <c r="K4359" s="1" t="s">
        <v>11</v>
      </c>
      <c r="L4359" s="1" t="s">
        <v>12809</v>
      </c>
      <c r="M4359" s="6" t="str">
        <f>_xlfn.CONCAT(Table1[[#This Row],[Billing Street]], ", ", Table1[[#This Row],[Billing City]], ", ", Table1[[#This Row],[Billing State/Province]], ", ", Table1[[#This Row],[Billing Zip/Postal Code]])</f>
        <v>8826 Harrison Ave, St Louis, MO, 63144</v>
      </c>
    </row>
    <row r="4360" spans="1:13" ht="15.6" hidden="1" x14ac:dyDescent="0.3">
      <c r="A4360" s="1" t="s">
        <v>12810</v>
      </c>
      <c r="B4360" s="1"/>
      <c r="C4360" s="1"/>
      <c r="D4360" s="1"/>
      <c r="E4360" s="1"/>
      <c r="F4360" s="1"/>
      <c r="G4360" s="1" t="s">
        <v>43</v>
      </c>
      <c r="H4360" s="2">
        <v>5776</v>
      </c>
      <c r="I4360" s="1" t="s">
        <v>13</v>
      </c>
      <c r="J4360" s="1" t="s">
        <v>13</v>
      </c>
      <c r="K4360" s="1" t="s">
        <v>45</v>
      </c>
      <c r="L4360" s="1" t="s">
        <v>13</v>
      </c>
      <c r="M4360" s="6" t="str">
        <f>_xlfn.CONCAT(Table1[[#This Row],[Billing Street]], ", ", Table1[[#This Row],[Billing City]], ", ", Table1[[#This Row],[Billing State/Province]], ", ", Table1[[#This Row],[Billing Zip/Postal Code]])</f>
        <v xml:space="preserve">, , OH, </v>
      </c>
    </row>
    <row r="4361" spans="1:13" ht="15.6" hidden="1" x14ac:dyDescent="0.3">
      <c r="A4361" s="1" t="s">
        <v>12811</v>
      </c>
      <c r="B4361" s="1"/>
      <c r="C4361" s="1"/>
      <c r="D4361" s="1"/>
      <c r="E4361" s="1"/>
      <c r="F4361" s="1"/>
      <c r="G4361" s="1" t="s">
        <v>54</v>
      </c>
      <c r="H4361" s="2">
        <v>353</v>
      </c>
      <c r="I4361" s="1" t="s">
        <v>12812</v>
      </c>
      <c r="J4361" s="1" t="s">
        <v>12813</v>
      </c>
      <c r="K4361" s="1" t="s">
        <v>57</v>
      </c>
      <c r="L4361" s="1" t="s">
        <v>12814</v>
      </c>
      <c r="M4361" s="6" t="str">
        <f>_xlfn.CONCAT(Table1[[#This Row],[Billing Street]], ", ", Table1[[#This Row],[Billing City]], ", ", Table1[[#This Row],[Billing State/Province]], ", ", Table1[[#This Row],[Billing Zip/Postal Code]])</f>
        <v>5145 Industrial Way Benicia, Benicia, CA, 94510</v>
      </c>
    </row>
    <row r="4362" spans="1:13" ht="15.6" hidden="1" x14ac:dyDescent="0.3">
      <c r="A4362" s="1" t="s">
        <v>12815</v>
      </c>
      <c r="B4362" s="1"/>
      <c r="C4362" s="1"/>
      <c r="D4362" s="1"/>
      <c r="E4362" s="1"/>
      <c r="F4362" s="1"/>
      <c r="G4362" s="1" t="s">
        <v>8</v>
      </c>
      <c r="H4362" s="2">
        <v>26</v>
      </c>
      <c r="I4362" s="1" t="s">
        <v>12816</v>
      </c>
      <c r="J4362" s="1" t="s">
        <v>3059</v>
      </c>
      <c r="K4362" s="1" t="s">
        <v>554</v>
      </c>
      <c r="L4362" s="1" t="s">
        <v>3060</v>
      </c>
      <c r="M4362" s="6" t="str">
        <f>_xlfn.CONCAT(Table1[[#This Row],[Billing Street]], ", ", Table1[[#This Row],[Billing City]], ", ", Table1[[#This Row],[Billing State/Province]], ", ", Table1[[#This Row],[Billing Zip/Postal Code]])</f>
        <v>2788 Ottawa Rd, Neodesha, KS, 66757</v>
      </c>
    </row>
    <row r="4363" spans="1:13" ht="15.6" hidden="1" x14ac:dyDescent="0.3">
      <c r="A4363" s="1" t="s">
        <v>12817</v>
      </c>
      <c r="B4363" s="1"/>
      <c r="C4363" s="1"/>
      <c r="D4363" s="1"/>
      <c r="E4363" s="1"/>
      <c r="F4363" s="1"/>
      <c r="G4363" s="1" t="s">
        <v>43</v>
      </c>
      <c r="H4363" s="2">
        <v>39</v>
      </c>
      <c r="I4363" s="1" t="s">
        <v>12818</v>
      </c>
      <c r="J4363" s="1" t="s">
        <v>4133</v>
      </c>
      <c r="K4363" s="1" t="s">
        <v>45</v>
      </c>
      <c r="L4363" s="1" t="s">
        <v>4134</v>
      </c>
      <c r="M4363" s="6" t="str">
        <f>_xlfn.CONCAT(Table1[[#This Row],[Billing Street]], ", ", Table1[[#This Row],[Billing City]], ", ", Table1[[#This Row],[Billing State/Province]], ", ", Table1[[#This Row],[Billing Zip/Postal Code]])</f>
        <v>800 Nave Road SE, Massillon, OH, 44646</v>
      </c>
    </row>
    <row r="4364" spans="1:13" ht="15.6" x14ac:dyDescent="0.3">
      <c r="A4364" s="1" t="s">
        <v>12819</v>
      </c>
      <c r="B4364" s="1"/>
      <c r="C4364" s="1"/>
      <c r="D4364" s="1"/>
      <c r="E4364" s="1"/>
      <c r="F4364" s="1"/>
      <c r="G4364" s="1" t="s">
        <v>24</v>
      </c>
      <c r="H4364" s="2">
        <v>114</v>
      </c>
      <c r="I4364" s="1" t="s">
        <v>12820</v>
      </c>
      <c r="J4364" s="1" t="s">
        <v>5335</v>
      </c>
      <c r="K4364" s="1" t="s">
        <v>26</v>
      </c>
      <c r="L4364" s="1" t="s">
        <v>12821</v>
      </c>
      <c r="M4364" s="6" t="str">
        <f>_xlfn.CONCAT(Table1[[#This Row],[Billing Street]], ", ", Table1[[#This Row],[Billing City]], ", ", Table1[[#This Row],[Billing State/Province]], ", ", Table1[[#This Row],[Billing Zip/Postal Code]])</f>
        <v>101 W NE Main St, Fulton, AL, 36446</v>
      </c>
    </row>
    <row r="4365" spans="1:13" ht="15.6" hidden="1" x14ac:dyDescent="0.3">
      <c r="A4365" s="1" t="s">
        <v>12822</v>
      </c>
      <c r="B4365" s="1"/>
      <c r="C4365" s="1"/>
      <c r="D4365" s="1"/>
      <c r="E4365" s="1"/>
      <c r="F4365" s="1"/>
      <c r="G4365" s="1" t="s">
        <v>43</v>
      </c>
      <c r="H4365" s="2">
        <v>5776</v>
      </c>
      <c r="I4365" s="1" t="s">
        <v>13</v>
      </c>
      <c r="J4365" s="1" t="s">
        <v>13</v>
      </c>
      <c r="K4365" s="1" t="s">
        <v>45</v>
      </c>
      <c r="L4365" s="1" t="s">
        <v>13</v>
      </c>
      <c r="M4365" s="6" t="str">
        <f>_xlfn.CONCAT(Table1[[#This Row],[Billing Street]], ", ", Table1[[#This Row],[Billing City]], ", ", Table1[[#This Row],[Billing State/Province]], ", ", Table1[[#This Row],[Billing Zip/Postal Code]])</f>
        <v xml:space="preserve">, , OH, </v>
      </c>
    </row>
    <row r="4366" spans="1:13" ht="15.6" hidden="1" x14ac:dyDescent="0.3">
      <c r="A4366" s="1" t="s">
        <v>12823</v>
      </c>
      <c r="B4366" s="1"/>
      <c r="C4366" s="1"/>
      <c r="D4366" s="1"/>
      <c r="E4366" s="1"/>
      <c r="F4366" s="1"/>
      <c r="G4366" s="1" t="s">
        <v>43</v>
      </c>
      <c r="H4366" s="2">
        <v>5776</v>
      </c>
      <c r="I4366" s="1" t="s">
        <v>13</v>
      </c>
      <c r="J4366" s="1" t="s">
        <v>13</v>
      </c>
      <c r="K4366" s="1" t="s">
        <v>45</v>
      </c>
      <c r="L4366" s="1" t="s">
        <v>13</v>
      </c>
      <c r="M4366" s="6" t="str">
        <f>_xlfn.CONCAT(Table1[[#This Row],[Billing Street]], ", ", Table1[[#This Row],[Billing City]], ", ", Table1[[#This Row],[Billing State/Province]], ", ", Table1[[#This Row],[Billing Zip/Postal Code]])</f>
        <v xml:space="preserve">, , OH, </v>
      </c>
    </row>
    <row r="4367" spans="1:13" ht="15.6" hidden="1" x14ac:dyDescent="0.3">
      <c r="A4367" s="1" t="s">
        <v>12824</v>
      </c>
      <c r="B4367" s="1"/>
      <c r="C4367" s="1"/>
      <c r="D4367" s="1"/>
      <c r="E4367" s="1"/>
      <c r="F4367" s="1"/>
      <c r="G4367" s="1" t="s">
        <v>43</v>
      </c>
      <c r="H4367" s="2">
        <v>5776</v>
      </c>
      <c r="I4367" s="1" t="s">
        <v>13</v>
      </c>
      <c r="J4367" s="1" t="s">
        <v>13</v>
      </c>
      <c r="K4367" s="1" t="s">
        <v>45</v>
      </c>
      <c r="L4367" s="1" t="s">
        <v>13</v>
      </c>
      <c r="M4367" s="6" t="str">
        <f>_xlfn.CONCAT(Table1[[#This Row],[Billing Street]], ", ", Table1[[#This Row],[Billing City]], ", ", Table1[[#This Row],[Billing State/Province]], ", ", Table1[[#This Row],[Billing Zip/Postal Code]])</f>
        <v xml:space="preserve">, , OH, </v>
      </c>
    </row>
    <row r="4368" spans="1:13" ht="15.6" hidden="1" x14ac:dyDescent="0.3">
      <c r="A4368" s="1" t="s">
        <v>12825</v>
      </c>
      <c r="B4368" s="1"/>
      <c r="C4368" s="1"/>
      <c r="D4368" s="1"/>
      <c r="E4368" s="1"/>
      <c r="F4368" s="1"/>
      <c r="G4368" s="1" t="s">
        <v>43</v>
      </c>
      <c r="H4368" s="2">
        <v>5776</v>
      </c>
      <c r="I4368" s="1" t="s">
        <v>13</v>
      </c>
      <c r="J4368" s="1" t="s">
        <v>13</v>
      </c>
      <c r="K4368" s="1" t="s">
        <v>45</v>
      </c>
      <c r="L4368" s="1" t="s">
        <v>13</v>
      </c>
      <c r="M4368" s="6" t="str">
        <f>_xlfn.CONCAT(Table1[[#This Row],[Billing Street]], ", ", Table1[[#This Row],[Billing City]], ", ", Table1[[#This Row],[Billing State/Province]], ", ", Table1[[#This Row],[Billing Zip/Postal Code]])</f>
        <v xml:space="preserve">, , OH, </v>
      </c>
    </row>
    <row r="4369" spans="1:13" ht="15.6" hidden="1" x14ac:dyDescent="0.3">
      <c r="A4369" s="1" t="s">
        <v>12826</v>
      </c>
      <c r="B4369" s="1"/>
      <c r="C4369" s="1"/>
      <c r="D4369" s="1"/>
      <c r="E4369" s="1"/>
      <c r="F4369" s="1"/>
      <c r="G4369" s="1" t="s">
        <v>43</v>
      </c>
      <c r="H4369" s="2">
        <v>5776</v>
      </c>
      <c r="I4369" s="1" t="s">
        <v>13</v>
      </c>
      <c r="J4369" s="1" t="s">
        <v>13</v>
      </c>
      <c r="K4369" s="1" t="s">
        <v>45</v>
      </c>
      <c r="L4369" s="1" t="s">
        <v>13</v>
      </c>
      <c r="M4369" s="6" t="str">
        <f>_xlfn.CONCAT(Table1[[#This Row],[Billing Street]], ", ", Table1[[#This Row],[Billing City]], ", ", Table1[[#This Row],[Billing State/Province]], ", ", Table1[[#This Row],[Billing Zip/Postal Code]])</f>
        <v xml:space="preserve">, , OH, </v>
      </c>
    </row>
    <row r="4370" spans="1:13" ht="15.6" hidden="1" x14ac:dyDescent="0.3">
      <c r="A4370" s="1" t="s">
        <v>12827</v>
      </c>
      <c r="B4370" s="1"/>
      <c r="C4370" s="1"/>
      <c r="D4370" s="1"/>
      <c r="E4370" s="1"/>
      <c r="F4370" s="1"/>
      <c r="G4370" s="1" t="s">
        <v>205</v>
      </c>
      <c r="H4370" s="2">
        <v>1046</v>
      </c>
      <c r="I4370" s="1" t="s">
        <v>12828</v>
      </c>
      <c r="J4370" s="1" t="s">
        <v>12829</v>
      </c>
      <c r="K4370" s="1" t="s">
        <v>2309</v>
      </c>
      <c r="L4370" s="1" t="s">
        <v>12830</v>
      </c>
      <c r="M4370" s="6" t="str">
        <f>_xlfn.CONCAT(Table1[[#This Row],[Billing Street]], ", ", Table1[[#This Row],[Billing City]], ", ", Table1[[#This Row],[Billing State/Province]], ", ", Table1[[#This Row],[Billing Zip/Postal Code]])</f>
        <v>421 Chevy St, Sagle, ID, 83860</v>
      </c>
    </row>
    <row r="4371" spans="1:13" ht="15.6" hidden="1" x14ac:dyDescent="0.3">
      <c r="A4371" s="1" t="s">
        <v>12831</v>
      </c>
      <c r="B4371" s="1"/>
      <c r="C4371" s="1"/>
      <c r="D4371" s="1"/>
      <c r="E4371" s="1"/>
      <c r="F4371" s="1"/>
      <c r="G4371" s="1" t="s">
        <v>205</v>
      </c>
      <c r="H4371" s="2">
        <v>7481</v>
      </c>
      <c r="I4371" s="1" t="s">
        <v>13</v>
      </c>
      <c r="J4371" s="1" t="s">
        <v>5139</v>
      </c>
      <c r="K4371" s="1" t="s">
        <v>2309</v>
      </c>
      <c r="L4371" s="1" t="s">
        <v>13</v>
      </c>
      <c r="M4371" s="6" t="str">
        <f>_xlfn.CONCAT(Table1[[#This Row],[Billing Street]], ", ", Table1[[#This Row],[Billing City]], ", ", Table1[[#This Row],[Billing State/Province]], ", ", Table1[[#This Row],[Billing Zip/Postal Code]])</f>
        <v xml:space="preserve">, Post Falls, ID, </v>
      </c>
    </row>
    <row r="4372" spans="1:13" ht="15.6" hidden="1" x14ac:dyDescent="0.3">
      <c r="A4372" s="1" t="s">
        <v>12832</v>
      </c>
      <c r="B4372" s="1"/>
      <c r="C4372" s="1"/>
      <c r="D4372" s="1"/>
      <c r="E4372" s="1"/>
      <c r="F4372" s="1"/>
      <c r="G4372" s="1" t="s">
        <v>43</v>
      </c>
      <c r="H4372" s="2">
        <v>5776</v>
      </c>
      <c r="I4372" s="1" t="s">
        <v>13</v>
      </c>
      <c r="J4372" s="1" t="s">
        <v>13</v>
      </c>
      <c r="K4372" s="1" t="s">
        <v>45</v>
      </c>
      <c r="L4372" s="1" t="s">
        <v>13</v>
      </c>
      <c r="M4372" s="6" t="str">
        <f>_xlfn.CONCAT(Table1[[#This Row],[Billing Street]], ", ", Table1[[#This Row],[Billing City]], ", ", Table1[[#This Row],[Billing State/Province]], ", ", Table1[[#This Row],[Billing Zip/Postal Code]])</f>
        <v xml:space="preserve">, , OH, </v>
      </c>
    </row>
    <row r="4373" spans="1:13" ht="15.6" hidden="1" x14ac:dyDescent="0.3">
      <c r="A4373" s="1" t="s">
        <v>12833</v>
      </c>
      <c r="B4373" s="1"/>
      <c r="C4373" s="1"/>
      <c r="D4373" s="1"/>
      <c r="E4373" s="1"/>
      <c r="F4373" s="1"/>
      <c r="G4373" s="1" t="s">
        <v>98</v>
      </c>
      <c r="H4373" s="2">
        <v>48</v>
      </c>
      <c r="I4373" s="1" t="s">
        <v>12834</v>
      </c>
      <c r="J4373" s="1" t="s">
        <v>3265</v>
      </c>
      <c r="K4373" s="1" t="s">
        <v>101</v>
      </c>
      <c r="L4373" s="1" t="s">
        <v>12835</v>
      </c>
      <c r="M4373" s="6" t="str">
        <f>_xlfn.CONCAT(Table1[[#This Row],[Billing Street]], ", ", Table1[[#This Row],[Billing City]], ", ", Table1[[#This Row],[Billing State/Province]], ", ", Table1[[#This Row],[Billing Zip/Postal Code]])</f>
        <v>200 Newton Bridge Road, Athens, GA, 30607</v>
      </c>
    </row>
    <row r="4374" spans="1:13" ht="15.6" hidden="1" x14ac:dyDescent="0.3">
      <c r="A4374" s="1" t="s">
        <v>12836</v>
      </c>
      <c r="B4374" s="1"/>
      <c r="C4374" s="1"/>
      <c r="D4374" s="1"/>
      <c r="E4374" s="1"/>
      <c r="F4374" s="1"/>
      <c r="G4374" s="1" t="s">
        <v>43</v>
      </c>
      <c r="H4374" s="2">
        <v>88</v>
      </c>
      <c r="I4374" s="1" t="s">
        <v>12837</v>
      </c>
      <c r="J4374" s="1" t="s">
        <v>12838</v>
      </c>
      <c r="K4374" s="1" t="s">
        <v>45</v>
      </c>
      <c r="L4374" s="1" t="s">
        <v>12839</v>
      </c>
      <c r="M4374" s="6" t="str">
        <f>_xlfn.CONCAT(Table1[[#This Row],[Billing Street]], ", ", Table1[[#This Row],[Billing City]], ", ", Table1[[#This Row],[Billing State/Province]], ", ", Table1[[#This Row],[Billing Zip/Postal Code]])</f>
        <v>5255 State Route 95, Mount Gilead, OH, 43338</v>
      </c>
    </row>
    <row r="4375" spans="1:13" ht="15.6" hidden="1" x14ac:dyDescent="0.3">
      <c r="A4375" s="1" t="s">
        <v>12840</v>
      </c>
      <c r="B4375" s="1"/>
      <c r="C4375" s="1"/>
      <c r="D4375" s="1"/>
      <c r="E4375" s="1"/>
      <c r="F4375" s="1"/>
      <c r="G4375" s="1" t="s">
        <v>8</v>
      </c>
      <c r="H4375" s="2">
        <v>549</v>
      </c>
      <c r="I4375" s="1" t="s">
        <v>12841</v>
      </c>
      <c r="J4375" s="1" t="s">
        <v>220</v>
      </c>
      <c r="K4375" s="1" t="s">
        <v>426</v>
      </c>
      <c r="L4375" s="1" t="s">
        <v>427</v>
      </c>
      <c r="M4375" s="6" t="str">
        <f>_xlfn.CONCAT(Table1[[#This Row],[Billing Street]], ", ", Table1[[#This Row],[Billing City]], ", ", Table1[[#This Row],[Billing State/Province]], ", ", Table1[[#This Row],[Billing Zip/Postal Code]])</f>
        <v>9536 I25 frontage rd, Longmont, Co, 80304</v>
      </c>
    </row>
    <row r="4376" spans="1:13" ht="15.6" hidden="1" x14ac:dyDescent="0.3">
      <c r="A4376" s="1" t="s">
        <v>12842</v>
      </c>
      <c r="B4376" s="1"/>
      <c r="C4376" s="1"/>
      <c r="D4376" s="1"/>
      <c r="E4376" s="1"/>
      <c r="F4376" s="1"/>
      <c r="G4376" s="1" t="s">
        <v>8</v>
      </c>
      <c r="H4376" s="2">
        <v>293</v>
      </c>
      <c r="I4376" s="1" t="s">
        <v>12843</v>
      </c>
      <c r="J4376" s="1" t="s">
        <v>12844</v>
      </c>
      <c r="K4376" s="1" t="s">
        <v>51</v>
      </c>
      <c r="L4376" s="1" t="s">
        <v>12845</v>
      </c>
      <c r="M4376" s="6" t="str">
        <f>_xlfn.CONCAT(Table1[[#This Row],[Billing Street]], ", ", Table1[[#This Row],[Billing City]], ", ", Table1[[#This Row],[Billing State/Province]], ", ", Table1[[#This Row],[Billing Zip/Postal Code]])</f>
        <v>1728 Briercroft Ct., Carrollton, TX, 75006</v>
      </c>
    </row>
    <row r="4377" spans="1:13" ht="15.6" hidden="1" x14ac:dyDescent="0.3">
      <c r="A4377" s="1" t="s">
        <v>12846</v>
      </c>
      <c r="B4377" s="1"/>
      <c r="C4377" s="1"/>
      <c r="D4377" s="1"/>
      <c r="E4377" s="1"/>
      <c r="F4377" s="1"/>
      <c r="G4377" s="1" t="s">
        <v>8</v>
      </c>
      <c r="H4377" s="2">
        <v>1092</v>
      </c>
      <c r="I4377" s="1" t="s">
        <v>12847</v>
      </c>
      <c r="J4377" s="1" t="s">
        <v>12848</v>
      </c>
      <c r="K4377" s="1" t="s">
        <v>2414</v>
      </c>
      <c r="L4377" s="1" t="s">
        <v>12849</v>
      </c>
      <c r="M4377" s="6" t="str">
        <f>_xlfn.CONCAT(Table1[[#This Row],[Billing Street]], ", ", Table1[[#This Row],[Billing City]], ", ", Table1[[#This Row],[Billing State/Province]], ", ", Table1[[#This Row],[Billing Zip/Postal Code]])</f>
        <v>1384 Forster Creek Road, Anaconda, MT, 59711</v>
      </c>
    </row>
    <row r="4378" spans="1:13" ht="15.6" hidden="1" x14ac:dyDescent="0.3">
      <c r="A4378" s="1" t="s">
        <v>12850</v>
      </c>
      <c r="B4378" s="1"/>
      <c r="C4378" s="1"/>
      <c r="D4378" s="1"/>
      <c r="E4378" s="1"/>
      <c r="F4378" s="1"/>
      <c r="G4378" s="1" t="s">
        <v>8</v>
      </c>
      <c r="H4378" s="2">
        <v>316</v>
      </c>
      <c r="I4378" s="1" t="s">
        <v>12851</v>
      </c>
      <c r="J4378" s="1" t="s">
        <v>900</v>
      </c>
      <c r="K4378" s="1" t="s">
        <v>11</v>
      </c>
      <c r="L4378" s="1" t="s">
        <v>12852</v>
      </c>
      <c r="M4378" s="6" t="str">
        <f>_xlfn.CONCAT(Table1[[#This Row],[Billing Street]], ", ", Table1[[#This Row],[Billing City]], ", ", Table1[[#This Row],[Billing State/Province]], ", ", Table1[[#This Row],[Billing Zip/Postal Code]])</f>
        <v>315 Chestnut Street, St Louis, MO, 63102</v>
      </c>
    </row>
    <row r="4379" spans="1:13" ht="15.6" hidden="1" x14ac:dyDescent="0.3">
      <c r="A4379" s="1" t="s">
        <v>12853</v>
      </c>
      <c r="B4379" s="1"/>
      <c r="C4379" s="1"/>
      <c r="D4379" s="1"/>
      <c r="E4379" s="1"/>
      <c r="F4379" s="1"/>
      <c r="G4379" s="1" t="s">
        <v>43</v>
      </c>
      <c r="H4379" s="2">
        <v>232</v>
      </c>
      <c r="I4379" s="1" t="s">
        <v>12854</v>
      </c>
      <c r="J4379" s="1" t="s">
        <v>9443</v>
      </c>
      <c r="K4379" s="1" t="s">
        <v>1191</v>
      </c>
      <c r="L4379" s="1" t="s">
        <v>12855</v>
      </c>
      <c r="M4379" s="6" t="str">
        <f>_xlfn.CONCAT(Table1[[#This Row],[Billing Street]], ", ", Table1[[#This Row],[Billing City]], ", ", Table1[[#This Row],[Billing State/Province]], ", ", Table1[[#This Row],[Billing Zip/Postal Code]])</f>
        <v>6900 Houston Road  Suite 38, Florence, KY, 41042</v>
      </c>
    </row>
    <row r="4380" spans="1:13" ht="15.6" hidden="1" x14ac:dyDescent="0.3">
      <c r="A4380" s="1" t="s">
        <v>12856</v>
      </c>
      <c r="B4380" s="1"/>
      <c r="C4380" s="1"/>
      <c r="D4380" s="1"/>
      <c r="E4380" s="1"/>
      <c r="F4380" s="1"/>
      <c r="G4380" s="1" t="s">
        <v>205</v>
      </c>
      <c r="H4380" s="2">
        <v>234</v>
      </c>
      <c r="I4380" s="1" t="s">
        <v>12857</v>
      </c>
      <c r="J4380" s="1" t="s">
        <v>12858</v>
      </c>
      <c r="K4380" s="1" t="s">
        <v>266</v>
      </c>
      <c r="L4380" s="1" t="s">
        <v>12859</v>
      </c>
      <c r="M4380" s="6" t="str">
        <f>_xlfn.CONCAT(Table1[[#This Row],[Billing Street]], ", ", Table1[[#This Row],[Billing City]], ", ", Table1[[#This Row],[Billing State/Province]], ", ", Table1[[#This Row],[Billing Zip/Postal Code]])</f>
        <v>99 Santa Rita Mine Road, Vanadium, NM, 88023</v>
      </c>
    </row>
    <row r="4381" spans="1:13" ht="15.6" hidden="1" x14ac:dyDescent="0.3">
      <c r="A4381" s="1" t="s">
        <v>12860</v>
      </c>
      <c r="B4381" s="1"/>
      <c r="C4381" s="1"/>
      <c r="D4381" s="1"/>
      <c r="E4381" s="1"/>
      <c r="F4381" s="1"/>
      <c r="G4381" s="1" t="s">
        <v>43</v>
      </c>
      <c r="H4381" s="2">
        <v>14</v>
      </c>
      <c r="I4381" s="1" t="s">
        <v>12861</v>
      </c>
      <c r="J4381" s="1" t="s">
        <v>104</v>
      </c>
      <c r="K4381" s="1" t="s">
        <v>45</v>
      </c>
      <c r="L4381" s="1" t="s">
        <v>12862</v>
      </c>
      <c r="M4381" s="6" t="str">
        <f>_xlfn.CONCAT(Table1[[#This Row],[Billing Street]], ", ", Table1[[#This Row],[Billing City]], ", ", Table1[[#This Row],[Billing State/Province]], ", ", Table1[[#This Row],[Billing Zip/Postal Code]])</f>
        <v>8200 Bessemer Ave., Cleveland, OH, 44127</v>
      </c>
    </row>
    <row r="4382" spans="1:13" ht="15.6" hidden="1" x14ac:dyDescent="0.3">
      <c r="A4382" s="1" t="s">
        <v>12863</v>
      </c>
      <c r="B4382" s="1"/>
      <c r="C4382" s="1"/>
      <c r="D4382" s="1"/>
      <c r="E4382" s="1"/>
      <c r="F4382" s="1"/>
      <c r="G4382" s="1" t="s">
        <v>8</v>
      </c>
      <c r="H4382" s="2">
        <v>295</v>
      </c>
      <c r="I4382" s="1" t="s">
        <v>12864</v>
      </c>
      <c r="J4382" s="1" t="s">
        <v>212</v>
      </c>
      <c r="K4382" s="1" t="s">
        <v>198</v>
      </c>
      <c r="L4382" s="1" t="s">
        <v>12865</v>
      </c>
      <c r="M4382" s="6" t="str">
        <f>_xlfn.CONCAT(Table1[[#This Row],[Billing Street]], ", ", Table1[[#This Row],[Billing City]], ", ", Table1[[#This Row],[Billing State/Province]], ", ", Table1[[#This Row],[Billing Zip/Postal Code]])</f>
        <v>7425 Bedford Avenue, Omaha, NE, 68134</v>
      </c>
    </row>
    <row r="4383" spans="1:13" ht="15.6" hidden="1" x14ac:dyDescent="0.3">
      <c r="A4383" s="1" t="s">
        <v>12866</v>
      </c>
      <c r="B4383" s="1"/>
      <c r="C4383" s="1"/>
      <c r="D4383" s="1"/>
      <c r="E4383" s="1"/>
      <c r="F4383" s="1"/>
      <c r="G4383" s="1" t="s">
        <v>8</v>
      </c>
      <c r="H4383" s="2">
        <v>269</v>
      </c>
      <c r="I4383" s="1" t="s">
        <v>12867</v>
      </c>
      <c r="J4383" s="1" t="s">
        <v>3909</v>
      </c>
      <c r="K4383" s="1" t="s">
        <v>198</v>
      </c>
      <c r="L4383" s="1" t="s">
        <v>12868</v>
      </c>
      <c r="M4383" s="6" t="str">
        <f>_xlfn.CONCAT(Table1[[#This Row],[Billing Street]], ", ", Table1[[#This Row],[Billing City]], ", ", Table1[[#This Row],[Billing State/Province]], ", ", Table1[[#This Row],[Billing Zip/Postal Code]])</f>
        <v>5710 Kearney Ave, Lincoln, NE, 68507</v>
      </c>
    </row>
    <row r="4384" spans="1:13" ht="15.6" hidden="1" x14ac:dyDescent="0.3">
      <c r="A4384" s="1" t="s">
        <v>12869</v>
      </c>
      <c r="B4384" s="1"/>
      <c r="C4384" s="1"/>
      <c r="D4384" s="1"/>
      <c r="E4384" s="1"/>
      <c r="F4384" s="1"/>
      <c r="G4384" s="1" t="s">
        <v>8</v>
      </c>
      <c r="H4384" s="2">
        <v>262</v>
      </c>
      <c r="I4384" s="1" t="s">
        <v>12870</v>
      </c>
      <c r="J4384" s="1" t="s">
        <v>3909</v>
      </c>
      <c r="K4384" s="1" t="s">
        <v>198</v>
      </c>
      <c r="L4384" s="1" t="s">
        <v>12871</v>
      </c>
      <c r="M4384" s="6" t="str">
        <f>_xlfn.CONCAT(Table1[[#This Row],[Billing Street]], ", ", Table1[[#This Row],[Billing City]], ", ", Table1[[#This Row],[Billing State/Province]], ", ", Table1[[#This Row],[Billing Zip/Postal Code]])</f>
        <v>1200 Infinity Ct, Lincoln, NE, 68512</v>
      </c>
    </row>
    <row r="4385" spans="1:13" ht="15.6" hidden="1" x14ac:dyDescent="0.3">
      <c r="A4385" s="1" t="s">
        <v>12866</v>
      </c>
      <c r="B4385" s="1"/>
      <c r="C4385" s="1"/>
      <c r="D4385" s="1"/>
      <c r="E4385" s="1"/>
      <c r="F4385" s="1"/>
      <c r="G4385" s="1" t="s">
        <v>8</v>
      </c>
      <c r="H4385" s="2">
        <v>269</v>
      </c>
      <c r="I4385" s="1" t="s">
        <v>12867</v>
      </c>
      <c r="J4385" s="1" t="s">
        <v>3909</v>
      </c>
      <c r="K4385" s="1" t="s">
        <v>198</v>
      </c>
      <c r="L4385" s="1" t="s">
        <v>12868</v>
      </c>
      <c r="M4385" s="6" t="str">
        <f>_xlfn.CONCAT(Table1[[#This Row],[Billing Street]], ", ", Table1[[#This Row],[Billing City]], ", ", Table1[[#This Row],[Billing State/Province]], ", ", Table1[[#This Row],[Billing Zip/Postal Code]])</f>
        <v>5710 Kearney Ave, Lincoln, NE, 68507</v>
      </c>
    </row>
    <row r="4386" spans="1:13" ht="15.6" hidden="1" x14ac:dyDescent="0.3">
      <c r="A4386" s="1" t="s">
        <v>12872</v>
      </c>
      <c r="B4386" s="1"/>
      <c r="C4386" s="1"/>
      <c r="D4386" s="1"/>
      <c r="E4386" s="1"/>
      <c r="F4386" s="1"/>
      <c r="G4386" s="1" t="s">
        <v>8</v>
      </c>
      <c r="H4386" s="2">
        <v>299</v>
      </c>
      <c r="I4386" s="1" t="s">
        <v>12873</v>
      </c>
      <c r="J4386" s="1" t="s">
        <v>12874</v>
      </c>
      <c r="K4386" s="1" t="s">
        <v>198</v>
      </c>
      <c r="L4386" s="1" t="s">
        <v>12875</v>
      </c>
      <c r="M4386" s="6" t="str">
        <f>_xlfn.CONCAT(Table1[[#This Row],[Billing Street]], ", ", Table1[[#This Row],[Billing City]], ", ", Table1[[#This Row],[Billing State/Province]], ", ", Table1[[#This Row],[Billing Zip/Postal Code]])</f>
        <v>9015 N 169Th Ave, Bennington, NE, 68007</v>
      </c>
    </row>
    <row r="4387" spans="1:13" ht="15.6" hidden="1" x14ac:dyDescent="0.3">
      <c r="A4387" s="1" t="s">
        <v>12876</v>
      </c>
      <c r="B4387" s="1"/>
      <c r="C4387" s="1"/>
      <c r="D4387" s="1"/>
      <c r="E4387" s="1"/>
      <c r="F4387" s="1"/>
      <c r="G4387" s="1" t="s">
        <v>8</v>
      </c>
      <c r="H4387" s="2">
        <v>397</v>
      </c>
      <c r="I4387" s="1" t="s">
        <v>12877</v>
      </c>
      <c r="J4387" s="1" t="s">
        <v>8485</v>
      </c>
      <c r="K4387" s="1" t="s">
        <v>21</v>
      </c>
      <c r="L4387" s="1" t="s">
        <v>8486</v>
      </c>
      <c r="M4387" s="6" t="str">
        <f>_xlfn.CONCAT(Table1[[#This Row],[Billing Street]], ", ", Table1[[#This Row],[Billing City]], ", ", Table1[[#This Row],[Billing State/Province]], ", ", Table1[[#This Row],[Billing Zip/Postal Code]])</f>
        <v>715 66Th Avenue Sw, Cedar Rapids, IA, 52404</v>
      </c>
    </row>
    <row r="4388" spans="1:13" ht="15.6" hidden="1" x14ac:dyDescent="0.3">
      <c r="A4388" s="1" t="s">
        <v>12878</v>
      </c>
      <c r="B4388" s="1"/>
      <c r="C4388" s="1"/>
      <c r="D4388" s="1"/>
      <c r="E4388" s="1"/>
      <c r="F4388" s="1"/>
      <c r="G4388" s="1" t="s">
        <v>54</v>
      </c>
      <c r="H4388" s="2">
        <v>50</v>
      </c>
      <c r="I4388" s="1" t="s">
        <v>12879</v>
      </c>
      <c r="J4388" s="1" t="s">
        <v>189</v>
      </c>
      <c r="K4388" s="1" t="s">
        <v>57</v>
      </c>
      <c r="L4388" s="1" t="s">
        <v>12880</v>
      </c>
      <c r="M4388" s="6" t="str">
        <f>_xlfn.CONCAT(Table1[[#This Row],[Billing Street]], ", ", Table1[[#This Row],[Billing City]], ", ", Table1[[#This Row],[Billing State/Province]], ", ", Table1[[#This Row],[Billing Zip/Postal Code]])</f>
        <v>2000 Market Street, Riverside, CA, 92501</v>
      </c>
    </row>
    <row r="4389" spans="1:13" ht="15.6" hidden="1" x14ac:dyDescent="0.3">
      <c r="A4389" s="1" t="s">
        <v>12881</v>
      </c>
      <c r="B4389" s="1"/>
      <c r="C4389" s="1"/>
      <c r="D4389" s="1"/>
      <c r="E4389" s="1"/>
      <c r="F4389" s="1"/>
      <c r="G4389" s="1" t="s">
        <v>8</v>
      </c>
      <c r="H4389" s="2">
        <v>454</v>
      </c>
      <c r="I4389" s="1" t="s">
        <v>12882</v>
      </c>
      <c r="J4389" s="1" t="s">
        <v>11877</v>
      </c>
      <c r="K4389" s="1" t="s">
        <v>21</v>
      </c>
      <c r="L4389" s="1" t="s">
        <v>11878</v>
      </c>
      <c r="M4389" s="6" t="str">
        <f>_xlfn.CONCAT(Table1[[#This Row],[Billing Street]], ", ", Table1[[#This Row],[Billing City]], ", ", Table1[[#This Row],[Billing State/Province]], ", ", Table1[[#This Row],[Billing Zip/Postal Code]])</f>
        <v>508 W Main St, Lake Mills, IA, 50450</v>
      </c>
    </row>
    <row r="4390" spans="1:13" ht="15.6" hidden="1" x14ac:dyDescent="0.3">
      <c r="A4390" s="1" t="s">
        <v>12883</v>
      </c>
      <c r="B4390" s="1"/>
      <c r="C4390" s="1"/>
      <c r="D4390" s="1"/>
      <c r="E4390" s="1"/>
      <c r="F4390" s="1"/>
      <c r="G4390" s="1" t="s">
        <v>8</v>
      </c>
      <c r="H4390" s="2">
        <v>390</v>
      </c>
      <c r="I4390" s="1" t="s">
        <v>12884</v>
      </c>
      <c r="J4390" s="1" t="s">
        <v>12885</v>
      </c>
      <c r="K4390" s="1" t="s">
        <v>21</v>
      </c>
      <c r="L4390" s="1" t="s">
        <v>12886</v>
      </c>
      <c r="M4390" s="6" t="str">
        <f>_xlfn.CONCAT(Table1[[#This Row],[Billing Street]], ", ", Table1[[#This Row],[Billing City]], ", ", Table1[[#This Row],[Billing State/Province]], ", ", Table1[[#This Row],[Billing Zip/Postal Code]])</f>
        <v>1615 Young Ave, Muscatine, IA, 52761</v>
      </c>
    </row>
    <row r="4391" spans="1:13" ht="15.6" hidden="1" x14ac:dyDescent="0.3">
      <c r="A4391" s="1" t="s">
        <v>12887</v>
      </c>
      <c r="B4391" s="1"/>
      <c r="C4391" s="1"/>
      <c r="D4391" s="1"/>
      <c r="E4391" s="1"/>
      <c r="F4391" s="1"/>
      <c r="G4391" s="1" t="s">
        <v>54</v>
      </c>
      <c r="H4391" s="2">
        <v>92</v>
      </c>
      <c r="I4391" s="1" t="s">
        <v>12888</v>
      </c>
      <c r="J4391" s="1" t="s">
        <v>5163</v>
      </c>
      <c r="K4391" s="1" t="s">
        <v>57</v>
      </c>
      <c r="L4391" s="1" t="s">
        <v>5164</v>
      </c>
      <c r="M4391" s="6" t="str">
        <f>_xlfn.CONCAT(Table1[[#This Row],[Billing Street]], ", ", Table1[[#This Row],[Billing City]], ", ", Table1[[#This Row],[Billing State/Province]], ", ", Table1[[#This Row],[Billing Zip/Postal Code]])</f>
        <v>2121 Enterprise Street, Escondido, CA, 92029</v>
      </c>
    </row>
    <row r="4392" spans="1:13" ht="15.6" hidden="1" x14ac:dyDescent="0.3">
      <c r="A4392" s="1" t="s">
        <v>12889</v>
      </c>
      <c r="B4392" s="1"/>
      <c r="C4392" s="1"/>
      <c r="D4392" s="1"/>
      <c r="E4392" s="1"/>
      <c r="F4392" s="1"/>
      <c r="G4392" s="1" t="s">
        <v>43</v>
      </c>
      <c r="H4392" s="2">
        <v>410</v>
      </c>
      <c r="I4392" s="1" t="s">
        <v>12890</v>
      </c>
      <c r="J4392" s="1" t="s">
        <v>12891</v>
      </c>
      <c r="K4392" s="1" t="s">
        <v>671</v>
      </c>
      <c r="L4392" s="1" t="s">
        <v>12892</v>
      </c>
      <c r="M4392" s="6" t="str">
        <f>_xlfn.CONCAT(Table1[[#This Row],[Billing Street]], ", ", Table1[[#This Row],[Billing City]], ", ", Table1[[#This Row],[Billing State/Province]], ", ", Table1[[#This Row],[Billing Zip/Postal Code]])</f>
        <v>69 Hudson Ave, Green Island, NY, 12183</v>
      </c>
    </row>
    <row r="4393" spans="1:13" ht="15.6" hidden="1" x14ac:dyDescent="0.3">
      <c r="A4393" s="1" t="s">
        <v>12893</v>
      </c>
      <c r="B4393" s="1"/>
      <c r="C4393" s="1"/>
      <c r="D4393" s="1"/>
      <c r="E4393" s="1"/>
      <c r="F4393" s="1"/>
      <c r="G4393" s="1" t="s">
        <v>43</v>
      </c>
      <c r="H4393" s="2">
        <v>5776</v>
      </c>
      <c r="I4393" s="1" t="s">
        <v>12894</v>
      </c>
      <c r="J4393" s="1" t="s">
        <v>6088</v>
      </c>
      <c r="K4393" s="1" t="s">
        <v>720</v>
      </c>
      <c r="L4393" s="1" t="s">
        <v>12895</v>
      </c>
      <c r="M4393" s="6" t="str">
        <f>_xlfn.CONCAT(Table1[[#This Row],[Billing Street]], ", ", Table1[[#This Row],[Billing City]], ", ", Table1[[#This Row],[Billing State/Province]], ", ", Table1[[#This Row],[Billing Zip/Postal Code]])</f>
        <v>34 John Ave., Madison, NJ, 7940</v>
      </c>
    </row>
    <row r="4394" spans="1:13" ht="15.6" hidden="1" x14ac:dyDescent="0.3">
      <c r="A4394" s="1" t="s">
        <v>12896</v>
      </c>
      <c r="B4394" s="1"/>
      <c r="C4394" s="1"/>
      <c r="D4394" s="1"/>
      <c r="E4394" s="1"/>
      <c r="F4394" s="1"/>
      <c r="G4394" s="1" t="s">
        <v>43</v>
      </c>
      <c r="H4394" s="2">
        <v>288</v>
      </c>
      <c r="I4394" s="1" t="s">
        <v>12897</v>
      </c>
      <c r="J4394" s="1" t="s">
        <v>12898</v>
      </c>
      <c r="K4394" s="1" t="s">
        <v>671</v>
      </c>
      <c r="L4394" s="1" t="s">
        <v>672</v>
      </c>
      <c r="M4394" s="6" t="str">
        <f>_xlfn.CONCAT(Table1[[#This Row],[Billing Street]], ", ", Table1[[#This Row],[Billing City]], ", ", Table1[[#This Row],[Billing State/Province]], ", ", Table1[[#This Row],[Billing Zip/Postal Code]])</f>
        <v>7209, State Route 281, NY, 13141</v>
      </c>
    </row>
    <row r="4395" spans="1:13" ht="15.6" hidden="1" x14ac:dyDescent="0.3">
      <c r="A4395" s="1" t="s">
        <v>12899</v>
      </c>
      <c r="B4395" s="1"/>
      <c r="C4395" s="1"/>
      <c r="D4395" s="1"/>
      <c r="E4395" s="1"/>
      <c r="F4395" s="1"/>
      <c r="G4395" s="1" t="s">
        <v>13</v>
      </c>
      <c r="H4395" s="2">
        <v>0</v>
      </c>
      <c r="I4395" s="1" t="s">
        <v>13</v>
      </c>
      <c r="J4395" s="1" t="s">
        <v>13</v>
      </c>
      <c r="K4395" s="1" t="s">
        <v>13</v>
      </c>
      <c r="L4395" s="1" t="s">
        <v>13</v>
      </c>
      <c r="M4395" s="6" t="str">
        <f>_xlfn.CONCAT(Table1[[#This Row],[Billing Street]], ", ", Table1[[#This Row],[Billing City]], ", ", Table1[[#This Row],[Billing State/Province]], ", ", Table1[[#This Row],[Billing Zip/Postal Code]])</f>
        <v xml:space="preserve">, , , </v>
      </c>
    </row>
    <row r="4396" spans="1:13" ht="15.6" hidden="1" x14ac:dyDescent="0.3">
      <c r="A4396" s="1" t="s">
        <v>12900</v>
      </c>
      <c r="B4396" s="1"/>
      <c r="C4396" s="1"/>
      <c r="D4396" s="1"/>
      <c r="E4396" s="1"/>
      <c r="F4396" s="1"/>
      <c r="G4396" s="1" t="s">
        <v>13</v>
      </c>
      <c r="H4396" s="2">
        <v>0</v>
      </c>
      <c r="I4396" s="1" t="s">
        <v>13</v>
      </c>
      <c r="J4396" s="1" t="s">
        <v>13</v>
      </c>
      <c r="K4396" s="1" t="s">
        <v>13</v>
      </c>
      <c r="L4396" s="1" t="s">
        <v>13</v>
      </c>
      <c r="M4396" s="6" t="str">
        <f>_xlfn.CONCAT(Table1[[#This Row],[Billing Street]], ", ", Table1[[#This Row],[Billing City]], ", ", Table1[[#This Row],[Billing State/Province]], ", ", Table1[[#This Row],[Billing Zip/Postal Code]])</f>
        <v xml:space="preserve">, , , </v>
      </c>
    </row>
    <row r="4397" spans="1:13" ht="15.6" hidden="1" x14ac:dyDescent="0.3">
      <c r="A4397" s="1" t="s">
        <v>12901</v>
      </c>
      <c r="B4397" s="1"/>
      <c r="C4397" s="1"/>
      <c r="D4397" s="1"/>
      <c r="E4397" s="1"/>
      <c r="F4397" s="1"/>
      <c r="G4397" s="1" t="s">
        <v>13</v>
      </c>
      <c r="H4397" s="2">
        <v>0</v>
      </c>
      <c r="I4397" s="1" t="s">
        <v>13</v>
      </c>
      <c r="J4397" s="1" t="s">
        <v>13</v>
      </c>
      <c r="K4397" s="1" t="s">
        <v>13</v>
      </c>
      <c r="L4397" s="1" t="s">
        <v>13</v>
      </c>
      <c r="M4397" s="6" t="str">
        <f>_xlfn.CONCAT(Table1[[#This Row],[Billing Street]], ", ", Table1[[#This Row],[Billing City]], ", ", Table1[[#This Row],[Billing State/Province]], ", ", Table1[[#This Row],[Billing Zip/Postal Code]])</f>
        <v xml:space="preserve">, , , </v>
      </c>
    </row>
    <row r="4398" spans="1:13" ht="15.6" hidden="1" x14ac:dyDescent="0.3">
      <c r="A4398" s="1" t="s">
        <v>12902</v>
      </c>
      <c r="B4398" s="1"/>
      <c r="C4398" s="1"/>
      <c r="D4398" s="1"/>
      <c r="E4398" s="1"/>
      <c r="F4398" s="1"/>
      <c r="G4398" s="1" t="s">
        <v>43</v>
      </c>
      <c r="H4398" s="2">
        <v>323</v>
      </c>
      <c r="I4398" s="1" t="s">
        <v>12903</v>
      </c>
      <c r="J4398" s="1" t="s">
        <v>12904</v>
      </c>
      <c r="K4398" s="1" t="s">
        <v>671</v>
      </c>
      <c r="L4398" s="1" t="s">
        <v>12905</v>
      </c>
      <c r="M4398" s="6" t="str">
        <f>_xlfn.CONCAT(Table1[[#This Row],[Billing Street]], ", ", Table1[[#This Row],[Billing City]], ", ", Table1[[#This Row],[Billing State/Province]], ", ", Table1[[#This Row],[Billing Zip/Postal Code]])</f>
        <v>377 Sherrill Rd, Sherrill, NY, 13461</v>
      </c>
    </row>
    <row r="4399" spans="1:13" ht="15.6" hidden="1" x14ac:dyDescent="0.3">
      <c r="A4399" s="1" t="s">
        <v>12906</v>
      </c>
      <c r="B4399" s="1"/>
      <c r="C4399" s="1"/>
      <c r="D4399" s="1"/>
      <c r="E4399" s="1"/>
      <c r="F4399" s="1"/>
      <c r="G4399" s="1" t="s">
        <v>43</v>
      </c>
      <c r="H4399" s="2">
        <v>536</v>
      </c>
      <c r="I4399" s="1" t="s">
        <v>12907</v>
      </c>
      <c r="J4399" s="1" t="s">
        <v>12908</v>
      </c>
      <c r="K4399" s="1" t="s">
        <v>95</v>
      </c>
      <c r="L4399" s="1" t="s">
        <v>12909</v>
      </c>
      <c r="M4399" s="6" t="str">
        <f>_xlfn.CONCAT(Table1[[#This Row],[Billing Street]], ", ", Table1[[#This Row],[Billing City]], ", ", Table1[[#This Row],[Billing State/Province]], ", ", Table1[[#This Row],[Billing Zip/Postal Code]])</f>
        <v>33 Weir St., Taunton, MA, 2780</v>
      </c>
    </row>
    <row r="4400" spans="1:13" ht="15.6" hidden="1" x14ac:dyDescent="0.3">
      <c r="A4400" s="1" t="s">
        <v>12910</v>
      </c>
      <c r="B4400" s="1"/>
      <c r="C4400" s="1"/>
      <c r="D4400" s="1"/>
      <c r="E4400" s="1"/>
      <c r="F4400" s="1"/>
      <c r="G4400" s="1" t="s">
        <v>43</v>
      </c>
      <c r="H4400" s="2">
        <v>5776</v>
      </c>
      <c r="I4400" s="1" t="s">
        <v>12911</v>
      </c>
      <c r="J4400" s="1" t="s">
        <v>12912</v>
      </c>
      <c r="K4400" s="1" t="s">
        <v>2359</v>
      </c>
      <c r="L4400" s="1" t="s">
        <v>12913</v>
      </c>
      <c r="M4400" s="6" t="str">
        <f>_xlfn.CONCAT(Table1[[#This Row],[Billing Street]], ", ", Table1[[#This Row],[Billing City]], ", ", Table1[[#This Row],[Billing State/Province]], ", ", Table1[[#This Row],[Billing Zip/Postal Code]])</f>
        <v>6 Liberty Lane, Kensington, NH, 3842</v>
      </c>
    </row>
    <row r="4401" spans="1:13" ht="15.6" hidden="1" x14ac:dyDescent="0.3">
      <c r="A4401" s="1" t="s">
        <v>12914</v>
      </c>
      <c r="B4401" s="1"/>
      <c r="C4401" s="1"/>
      <c r="D4401" s="1"/>
      <c r="E4401" s="1"/>
      <c r="F4401" s="1"/>
      <c r="G4401" s="1" t="s">
        <v>43</v>
      </c>
      <c r="H4401" s="2">
        <v>310</v>
      </c>
      <c r="I4401" s="1" t="s">
        <v>12915</v>
      </c>
      <c r="J4401" s="1" t="s">
        <v>12916</v>
      </c>
      <c r="K4401" s="1" t="s">
        <v>241</v>
      </c>
      <c r="L4401" s="1" t="s">
        <v>12917</v>
      </c>
      <c r="M4401" s="6" t="str">
        <f>_xlfn.CONCAT(Table1[[#This Row],[Billing Street]], ", ", Table1[[#This Row],[Billing City]], ", ", Table1[[#This Row],[Billing State/Province]], ", ", Table1[[#This Row],[Billing Zip/Postal Code]])</f>
        <v>7201 Hamilton Boulevard, Allentown, PA, 18195-1501</v>
      </c>
    </row>
    <row r="4402" spans="1:13" ht="15.6" x14ac:dyDescent="0.3">
      <c r="A4402" s="1" t="s">
        <v>12918</v>
      </c>
      <c r="B4402" s="1"/>
      <c r="C4402" s="1"/>
      <c r="D4402" s="1"/>
      <c r="E4402" s="1"/>
      <c r="F4402" s="1"/>
      <c r="G4402" s="1" t="s">
        <v>24</v>
      </c>
      <c r="H4402" s="2">
        <v>292</v>
      </c>
      <c r="I4402" s="1" t="s">
        <v>12919</v>
      </c>
      <c r="J4402" s="1" t="s">
        <v>2133</v>
      </c>
      <c r="K4402" s="1" t="s">
        <v>577</v>
      </c>
      <c r="L4402" s="1" t="s">
        <v>2134</v>
      </c>
      <c r="M4402" s="6" t="str">
        <f>_xlfn.CONCAT(Table1[[#This Row],[Billing Street]], ", ", Table1[[#This Row],[Billing City]], ", ", Table1[[#This Row],[Billing State/Province]], ", ", Table1[[#This Row],[Billing Zip/Postal Code]])</f>
        <v>8404 River Road
Gelsmar Procurement Hub, P.O. Box 457, Geismar, LA, 70734</v>
      </c>
    </row>
    <row r="4403" spans="1:13" ht="15.6" hidden="1" x14ac:dyDescent="0.3">
      <c r="A4403" s="1" t="s">
        <v>12920</v>
      </c>
      <c r="B4403" s="1"/>
      <c r="C4403" s="1"/>
      <c r="D4403" s="1"/>
      <c r="E4403" s="1"/>
      <c r="F4403" s="1"/>
      <c r="G4403" s="1" t="s">
        <v>43</v>
      </c>
      <c r="H4403" s="2">
        <v>505</v>
      </c>
      <c r="I4403" s="1" t="s">
        <v>12921</v>
      </c>
      <c r="J4403" s="1" t="s">
        <v>10437</v>
      </c>
      <c r="K4403" s="1" t="s">
        <v>95</v>
      </c>
      <c r="L4403" s="1" t="s">
        <v>12922</v>
      </c>
      <c r="M4403" s="6" t="str">
        <f>_xlfn.CONCAT(Table1[[#This Row],[Billing Street]], ", ", Table1[[#This Row],[Billing City]], ", ", Table1[[#This Row],[Billing State/Province]], ", ", Table1[[#This Row],[Billing Zip/Postal Code]])</f>
        <v>29 Legate Hill Rd Ste A, Sterling, MA, 1564</v>
      </c>
    </row>
    <row r="4404" spans="1:13" ht="15.6" hidden="1" x14ac:dyDescent="0.3">
      <c r="A4404" s="1" t="s">
        <v>12923</v>
      </c>
      <c r="B4404" s="1"/>
      <c r="C4404" s="1"/>
      <c r="D4404" s="1"/>
      <c r="E4404" s="1"/>
      <c r="F4404" s="1"/>
      <c r="G4404" s="1" t="s">
        <v>13</v>
      </c>
      <c r="H4404" s="2">
        <v>0</v>
      </c>
      <c r="I4404" s="1" t="s">
        <v>12924</v>
      </c>
      <c r="J4404" s="1" t="s">
        <v>2120</v>
      </c>
      <c r="K4404" s="1" t="s">
        <v>13</v>
      </c>
      <c r="L4404" s="1" t="s">
        <v>12925</v>
      </c>
      <c r="M4404" s="6" t="str">
        <f>_xlfn.CONCAT(Table1[[#This Row],[Billing Street]], ", ", Table1[[#This Row],[Billing City]], ", ", Table1[[#This Row],[Billing State/Province]], ", ", Table1[[#This Row],[Billing Zip/Postal Code]])</f>
        <v>11781 Water Tank Rd, Burlington, , 98233</v>
      </c>
    </row>
    <row r="4405" spans="1:13" ht="15.6" hidden="1" x14ac:dyDescent="0.3">
      <c r="A4405" s="1" t="s">
        <v>12926</v>
      </c>
      <c r="B4405" s="1"/>
      <c r="C4405" s="1"/>
      <c r="D4405" s="1"/>
      <c r="E4405" s="1"/>
      <c r="F4405" s="1"/>
      <c r="G4405" s="1" t="s">
        <v>13</v>
      </c>
      <c r="H4405" s="2">
        <v>0</v>
      </c>
      <c r="I4405" s="1" t="s">
        <v>12927</v>
      </c>
      <c r="J4405" s="1" t="s">
        <v>4106</v>
      </c>
      <c r="K4405" s="1" t="s">
        <v>13</v>
      </c>
      <c r="L4405" s="1" t="s">
        <v>12928</v>
      </c>
      <c r="M4405" s="6" t="str">
        <f>_xlfn.CONCAT(Table1[[#This Row],[Billing Street]], ", ", Table1[[#This Row],[Billing City]], ", ", Table1[[#This Row],[Billing State/Province]], ", ", Table1[[#This Row],[Billing Zip/Postal Code]])</f>
        <v>8550 Thys Ct, Sacramento, , 95828</v>
      </c>
    </row>
    <row r="4406" spans="1:13" ht="15.6" hidden="1" x14ac:dyDescent="0.3">
      <c r="A4406" s="1" t="s">
        <v>12929</v>
      </c>
      <c r="B4406" s="1"/>
      <c r="C4406" s="1"/>
      <c r="D4406" s="1"/>
      <c r="E4406" s="1"/>
      <c r="F4406" s="1"/>
      <c r="G4406" s="1" t="s">
        <v>13</v>
      </c>
      <c r="H4406" s="2">
        <v>0</v>
      </c>
      <c r="I4406" s="1" t="s">
        <v>13</v>
      </c>
      <c r="J4406" s="1" t="s">
        <v>13</v>
      </c>
      <c r="K4406" s="1" t="s">
        <v>13</v>
      </c>
      <c r="L4406" s="1" t="s">
        <v>13</v>
      </c>
      <c r="M4406" s="6" t="str">
        <f>_xlfn.CONCAT(Table1[[#This Row],[Billing Street]], ", ", Table1[[#This Row],[Billing City]], ", ", Table1[[#This Row],[Billing State/Province]], ", ", Table1[[#This Row],[Billing Zip/Postal Code]])</f>
        <v xml:space="preserve">, , , </v>
      </c>
    </row>
    <row r="4407" spans="1:13" ht="15.6" hidden="1" x14ac:dyDescent="0.3">
      <c r="A4407" s="1" t="s">
        <v>12930</v>
      </c>
      <c r="B4407" s="1"/>
      <c r="C4407" s="1"/>
      <c r="D4407" s="1"/>
      <c r="E4407" s="1"/>
      <c r="F4407" s="1"/>
      <c r="G4407" s="1" t="s">
        <v>43</v>
      </c>
      <c r="H4407" s="2">
        <v>517</v>
      </c>
      <c r="I4407" s="1" t="s">
        <v>12931</v>
      </c>
      <c r="J4407" s="1" t="s">
        <v>3166</v>
      </c>
      <c r="K4407" s="1" t="s">
        <v>10056</v>
      </c>
      <c r="L4407" s="1" t="s">
        <v>12932</v>
      </c>
      <c r="M4407" s="6" t="str">
        <f>_xlfn.CONCAT(Table1[[#This Row],[Billing Street]], ", ", Table1[[#This Row],[Billing City]], ", ", Table1[[#This Row],[Billing State/Province]], ", ", Table1[[#This Row],[Billing Zip/Postal Code]])</f>
        <v>42 Legion Memorial Dr, Providence, RI, 2909</v>
      </c>
    </row>
    <row r="4408" spans="1:13" ht="15.6" hidden="1" x14ac:dyDescent="0.3">
      <c r="A4408" s="1" t="s">
        <v>12933</v>
      </c>
      <c r="B4408" s="1"/>
      <c r="C4408" s="1"/>
      <c r="D4408" s="1"/>
      <c r="E4408" s="1"/>
      <c r="F4408" s="1"/>
      <c r="G4408" s="1" t="s">
        <v>43</v>
      </c>
      <c r="H4408" s="2">
        <v>5776</v>
      </c>
      <c r="I4408" s="1" t="s">
        <v>13</v>
      </c>
      <c r="J4408" s="1" t="s">
        <v>13</v>
      </c>
      <c r="K4408" s="1" t="s">
        <v>45</v>
      </c>
      <c r="L4408" s="1" t="s">
        <v>13</v>
      </c>
      <c r="M4408" s="6" t="str">
        <f>_xlfn.CONCAT(Table1[[#This Row],[Billing Street]], ", ", Table1[[#This Row],[Billing City]], ", ", Table1[[#This Row],[Billing State/Province]], ", ", Table1[[#This Row],[Billing Zip/Postal Code]])</f>
        <v xml:space="preserve">, , OH, </v>
      </c>
    </row>
    <row r="4409" spans="1:13" ht="15.6" hidden="1" x14ac:dyDescent="0.3">
      <c r="A4409" s="1" t="s">
        <v>12934</v>
      </c>
      <c r="B4409" s="1"/>
      <c r="C4409" s="1"/>
      <c r="D4409" s="1"/>
      <c r="E4409" s="1"/>
      <c r="F4409" s="1"/>
      <c r="G4409" s="1" t="s">
        <v>43</v>
      </c>
      <c r="H4409" s="2">
        <v>546</v>
      </c>
      <c r="I4409" s="1" t="s">
        <v>12935</v>
      </c>
      <c r="J4409" s="1" t="s">
        <v>12936</v>
      </c>
      <c r="K4409" s="1" t="s">
        <v>95</v>
      </c>
      <c r="L4409" s="1" t="s">
        <v>12937</v>
      </c>
      <c r="M4409" s="6" t="str">
        <f>_xlfn.CONCAT(Table1[[#This Row],[Billing Street]], ", ", Table1[[#This Row],[Billing City]], ", ", Table1[[#This Row],[Billing State/Province]], ", ", Table1[[#This Row],[Billing Zip/Postal Code]])</f>
        <v>32 South Main Street, Middleborough, MA, 2346</v>
      </c>
    </row>
    <row r="4410" spans="1:13" ht="15.6" hidden="1" x14ac:dyDescent="0.3">
      <c r="A4410" s="1" t="s">
        <v>12938</v>
      </c>
      <c r="B4410" s="1"/>
      <c r="C4410" s="1"/>
      <c r="D4410" s="1"/>
      <c r="E4410" s="1"/>
      <c r="F4410" s="1"/>
      <c r="G4410" s="1" t="s">
        <v>43</v>
      </c>
      <c r="H4410" s="2">
        <v>417</v>
      </c>
      <c r="I4410" s="1" t="s">
        <v>12939</v>
      </c>
      <c r="J4410" s="1" t="s">
        <v>12940</v>
      </c>
      <c r="K4410" s="1" t="s">
        <v>4987</v>
      </c>
      <c r="L4410" s="1" t="s">
        <v>12941</v>
      </c>
      <c r="M4410" s="6" t="str">
        <f>_xlfn.CONCAT(Table1[[#This Row],[Billing Street]], ", ", Table1[[#This Row],[Billing City]], ", ", Table1[[#This Row],[Billing State/Province]], ", ", Table1[[#This Row],[Billing Zip/Postal Code]])</f>
        <v>71 Pickett District Rd., New milford, CT, 6776</v>
      </c>
    </row>
    <row r="4411" spans="1:13" ht="15.6" hidden="1" x14ac:dyDescent="0.3">
      <c r="A4411" s="1" t="s">
        <v>12942</v>
      </c>
      <c r="B4411" s="1"/>
      <c r="C4411" s="1"/>
      <c r="D4411" s="1"/>
      <c r="E4411" s="1"/>
      <c r="F4411" s="1"/>
      <c r="G4411" s="1" t="s">
        <v>43</v>
      </c>
      <c r="H4411" s="2">
        <v>11280</v>
      </c>
      <c r="I4411" s="1" t="s">
        <v>12943</v>
      </c>
      <c r="J4411" s="1" t="s">
        <v>12944</v>
      </c>
      <c r="K4411" s="1" t="s">
        <v>4987</v>
      </c>
      <c r="L4411" s="1" t="s">
        <v>12945</v>
      </c>
      <c r="M4411" s="6" t="str">
        <f>_xlfn.CONCAT(Table1[[#This Row],[Billing Street]], ", ", Table1[[#This Row],[Billing City]], ", ", Table1[[#This Row],[Billing State/Province]], ", ", Table1[[#This Row],[Billing Zip/Postal Code]])</f>
        <v>16 Progress Circle, Newington, CT, 6111</v>
      </c>
    </row>
    <row r="4412" spans="1:13" ht="15.6" hidden="1" x14ac:dyDescent="0.3">
      <c r="A4412" s="1" t="s">
        <v>12946</v>
      </c>
      <c r="B4412" s="1"/>
      <c r="C4412" s="1"/>
      <c r="D4412" s="1"/>
      <c r="E4412" s="1"/>
      <c r="F4412" s="1"/>
      <c r="G4412" s="1" t="s">
        <v>13</v>
      </c>
      <c r="H4412" s="2">
        <v>0</v>
      </c>
      <c r="I4412" s="1" t="s">
        <v>12947</v>
      </c>
      <c r="J4412" s="1" t="s">
        <v>13</v>
      </c>
      <c r="K4412" s="1" t="s">
        <v>13</v>
      </c>
      <c r="L4412" s="1" t="s">
        <v>13</v>
      </c>
      <c r="M4412" s="6" t="str">
        <f>_xlfn.CONCAT(Table1[[#This Row],[Billing Street]], ", ", Table1[[#This Row],[Billing City]], ", ", Table1[[#This Row],[Billing State/Province]], ", ", Table1[[#This Row],[Billing Zip/Postal Code]])</f>
        <v xml:space="preserve">34°47'50.8"N 97°36'00.1"W, , , </v>
      </c>
    </row>
    <row r="4413" spans="1:13" ht="15.6" hidden="1" x14ac:dyDescent="0.3">
      <c r="A4413" s="1" t="s">
        <v>12948</v>
      </c>
      <c r="B4413" s="1"/>
      <c r="C4413" s="1"/>
      <c r="D4413" s="1"/>
      <c r="E4413" s="1"/>
      <c r="F4413" s="1"/>
      <c r="G4413" s="1" t="s">
        <v>8</v>
      </c>
      <c r="H4413" s="2">
        <v>756</v>
      </c>
      <c r="I4413" s="1" t="s">
        <v>12949</v>
      </c>
      <c r="J4413" s="1" t="s">
        <v>9256</v>
      </c>
      <c r="K4413" s="1" t="s">
        <v>3735</v>
      </c>
      <c r="L4413" s="1" t="s">
        <v>12950</v>
      </c>
      <c r="M4413" s="6" t="str">
        <f>_xlfn.CONCAT(Table1[[#This Row],[Billing Street]], ", ", Table1[[#This Row],[Billing City]], ", ", Table1[[#This Row],[Billing State/Province]], ", ", Table1[[#This Row],[Billing Zip/Postal Code]])</f>
        <v>1123 N 51st Street, Grand Forks, ND, 58203</v>
      </c>
    </row>
    <row r="4414" spans="1:13" ht="15.6" hidden="1" x14ac:dyDescent="0.3">
      <c r="A4414" s="1" t="s">
        <v>12951</v>
      </c>
      <c r="B4414" s="1"/>
      <c r="C4414" s="1"/>
      <c r="D4414" s="1"/>
      <c r="E4414" s="1"/>
      <c r="F4414" s="1"/>
      <c r="G4414" s="1" t="s">
        <v>13</v>
      </c>
      <c r="H4414" s="2">
        <v>0</v>
      </c>
      <c r="I4414" s="1" t="s">
        <v>13</v>
      </c>
      <c r="J4414" s="1" t="s">
        <v>13</v>
      </c>
      <c r="K4414" s="1" t="s">
        <v>13</v>
      </c>
      <c r="L4414" s="1" t="s">
        <v>13</v>
      </c>
      <c r="M4414" s="6" t="str">
        <f>_xlfn.CONCAT(Table1[[#This Row],[Billing Street]], ", ", Table1[[#This Row],[Billing City]], ", ", Table1[[#This Row],[Billing State/Province]], ", ", Table1[[#This Row],[Billing Zip/Postal Code]])</f>
        <v xml:space="preserve">, , , </v>
      </c>
    </row>
    <row r="4415" spans="1:13" ht="15.6" hidden="1" x14ac:dyDescent="0.3">
      <c r="A4415" s="1" t="s">
        <v>12952</v>
      </c>
      <c r="B4415" s="1"/>
      <c r="C4415" s="1"/>
      <c r="D4415" s="1"/>
      <c r="E4415" s="1"/>
      <c r="F4415" s="1"/>
      <c r="G4415" s="1" t="s">
        <v>13</v>
      </c>
      <c r="H4415" s="2">
        <v>0</v>
      </c>
      <c r="I4415" s="1" t="s">
        <v>12953</v>
      </c>
      <c r="J4415" s="1" t="s">
        <v>12954</v>
      </c>
      <c r="K4415" s="1" t="s">
        <v>13</v>
      </c>
      <c r="L4415" s="1" t="s">
        <v>12955</v>
      </c>
      <c r="M4415" s="6" t="str">
        <f>_xlfn.CONCAT(Table1[[#This Row],[Billing Street]], ", ", Table1[[#This Row],[Billing City]], ", ", Table1[[#This Row],[Billing State/Province]], ", ", Table1[[#This Row],[Billing Zip/Postal Code]])</f>
        <v>1103 GA-29, East Dublin, , 31027</v>
      </c>
    </row>
    <row r="4416" spans="1:13" ht="15.6" hidden="1" x14ac:dyDescent="0.3">
      <c r="A4416" s="1" t="s">
        <v>12956</v>
      </c>
      <c r="B4416" s="1"/>
      <c r="C4416" s="1"/>
      <c r="D4416" s="1"/>
      <c r="E4416" s="1"/>
      <c r="F4416" s="1"/>
      <c r="G4416" s="1" t="s">
        <v>43</v>
      </c>
      <c r="H4416" s="2">
        <v>5776</v>
      </c>
      <c r="I4416" s="1" t="s">
        <v>12957</v>
      </c>
      <c r="J4416" s="1" t="s">
        <v>12958</v>
      </c>
      <c r="K4416" s="1" t="s">
        <v>95</v>
      </c>
      <c r="L4416" s="1" t="s">
        <v>12959</v>
      </c>
      <c r="M4416" s="6" t="str">
        <f>_xlfn.CONCAT(Table1[[#This Row],[Billing Street]], ", ", Table1[[#This Row],[Billing City]], ", ", Table1[[#This Row],[Billing State/Province]], ", ", Table1[[#This Row],[Billing Zip/Postal Code]])</f>
        <v>625 Hartford Turnpike, Shrewsbury, MA, 1545</v>
      </c>
    </row>
    <row r="4417" spans="1:13" ht="15.6" hidden="1" x14ac:dyDescent="0.3">
      <c r="A4417" s="1" t="s">
        <v>12960</v>
      </c>
      <c r="B4417" s="1"/>
      <c r="C4417" s="1"/>
      <c r="D4417" s="1"/>
      <c r="E4417" s="1"/>
      <c r="F4417" s="1"/>
      <c r="G4417" s="1" t="s">
        <v>13</v>
      </c>
      <c r="H4417" s="2">
        <v>0</v>
      </c>
      <c r="I4417" s="1" t="s">
        <v>12961</v>
      </c>
      <c r="J4417" s="1" t="s">
        <v>8778</v>
      </c>
      <c r="K4417" s="1" t="s">
        <v>13</v>
      </c>
      <c r="L4417" s="1" t="s">
        <v>13</v>
      </c>
      <c r="M4417" s="6" t="str">
        <f>_xlfn.CONCAT(Table1[[#This Row],[Billing Street]], ", ", Table1[[#This Row],[Billing City]], ", ", Table1[[#This Row],[Billing State/Province]], ", ", Table1[[#This Row],[Billing Zip/Postal Code]])</f>
        <v xml:space="preserve">1514 E Hwy 70 E, Durant, , </v>
      </c>
    </row>
    <row r="4418" spans="1:13" ht="15.6" hidden="1" x14ac:dyDescent="0.3">
      <c r="A4418" s="1" t="s">
        <v>12962</v>
      </c>
      <c r="B4418" s="1"/>
      <c r="C4418" s="1"/>
      <c r="D4418" s="1"/>
      <c r="E4418" s="1"/>
      <c r="F4418" s="1"/>
      <c r="G4418" s="1" t="s">
        <v>43</v>
      </c>
      <c r="H4418" s="2">
        <v>287</v>
      </c>
      <c r="I4418" s="1" t="s">
        <v>12963</v>
      </c>
      <c r="J4418" s="1" t="s">
        <v>2116</v>
      </c>
      <c r="K4418" s="1" t="s">
        <v>12964</v>
      </c>
      <c r="L4418" s="1" t="s">
        <v>12965</v>
      </c>
      <c r="M4418" s="6" t="str">
        <f>_xlfn.CONCAT(Table1[[#This Row],[Billing Street]], ", ", Table1[[#This Row],[Billing City]], ", ", Table1[[#This Row],[Billing State/Province]], ", ", Table1[[#This Row],[Billing Zip/Postal Code]])</f>
        <v>840 A Ave. East, Seymour, In, 47274</v>
      </c>
    </row>
    <row r="4419" spans="1:13" ht="15.6" hidden="1" x14ac:dyDescent="0.3">
      <c r="A4419" s="1" t="s">
        <v>12966</v>
      </c>
      <c r="B4419" s="1"/>
      <c r="C4419" s="1"/>
      <c r="D4419" s="1"/>
      <c r="E4419" s="1"/>
      <c r="F4419" s="1"/>
      <c r="G4419" s="1" t="s">
        <v>13</v>
      </c>
      <c r="H4419" s="2">
        <v>0</v>
      </c>
      <c r="I4419" s="1" t="s">
        <v>12967</v>
      </c>
      <c r="J4419" s="1" t="s">
        <v>13</v>
      </c>
      <c r="K4419" s="1" t="s">
        <v>13</v>
      </c>
      <c r="L4419" s="1" t="s">
        <v>13</v>
      </c>
      <c r="M4419" s="6" t="str">
        <f>_xlfn.CONCAT(Table1[[#This Row],[Billing Street]], ", ", Table1[[#This Row],[Billing City]], ", ", Table1[[#This Row],[Billing State/Province]], ", ", Table1[[#This Row],[Billing Zip/Postal Code]])</f>
        <v xml:space="preserve">Central Office, , , </v>
      </c>
    </row>
    <row r="4420" spans="1:13" ht="15.6" hidden="1" x14ac:dyDescent="0.3">
      <c r="A4420" s="1" t="s">
        <v>12968</v>
      </c>
      <c r="B4420" s="1"/>
      <c r="C4420" s="1"/>
      <c r="D4420" s="1"/>
      <c r="E4420" s="1"/>
      <c r="F4420" s="1"/>
      <c r="G4420" s="1" t="s">
        <v>98</v>
      </c>
      <c r="H4420" s="2">
        <v>335</v>
      </c>
      <c r="I4420" s="1" t="s">
        <v>12969</v>
      </c>
      <c r="J4420" s="1" t="s">
        <v>8440</v>
      </c>
      <c r="K4420" s="1" t="s">
        <v>1178</v>
      </c>
      <c r="L4420" s="1" t="s">
        <v>10223</v>
      </c>
      <c r="M4420" s="6" t="str">
        <f>_xlfn.CONCAT(Table1[[#This Row],[Billing Street]], ", ", Table1[[#This Row],[Billing City]], ", ", Table1[[#This Row],[Billing State/Province]], ", ", Table1[[#This Row],[Billing Zip/Postal Code]])</f>
        <v>405 E Edgerton Street, Dunn, NC, 28335</v>
      </c>
    </row>
    <row r="4421" spans="1:13" ht="15.6" hidden="1" x14ac:dyDescent="0.3">
      <c r="A4421" s="1" t="s">
        <v>12970</v>
      </c>
      <c r="B4421" s="1"/>
      <c r="C4421" s="1"/>
      <c r="D4421" s="1"/>
      <c r="E4421" s="1"/>
      <c r="F4421" s="1"/>
      <c r="G4421" s="1" t="s">
        <v>13</v>
      </c>
      <c r="H4421" s="2">
        <v>0</v>
      </c>
      <c r="I4421" s="1" t="s">
        <v>13</v>
      </c>
      <c r="J4421" s="1" t="s">
        <v>13</v>
      </c>
      <c r="K4421" s="1" t="s">
        <v>13</v>
      </c>
      <c r="L4421" s="1" t="s">
        <v>13</v>
      </c>
      <c r="M4421" s="6" t="str">
        <f>_xlfn.CONCAT(Table1[[#This Row],[Billing Street]], ", ", Table1[[#This Row],[Billing City]], ", ", Table1[[#This Row],[Billing State/Province]], ", ", Table1[[#This Row],[Billing Zip/Postal Code]])</f>
        <v xml:space="preserve">, , , </v>
      </c>
    </row>
    <row r="4422" spans="1:13" ht="15.6" hidden="1" x14ac:dyDescent="0.3">
      <c r="A4422" s="1" t="s">
        <v>12971</v>
      </c>
      <c r="B4422" s="1"/>
      <c r="C4422" s="1"/>
      <c r="D4422" s="1"/>
      <c r="E4422" s="1"/>
      <c r="F4422" s="1"/>
      <c r="G4422" s="1" t="s">
        <v>13</v>
      </c>
      <c r="H4422" s="2">
        <v>0</v>
      </c>
      <c r="I4422" s="1" t="s">
        <v>13</v>
      </c>
      <c r="J4422" s="1" t="s">
        <v>13</v>
      </c>
      <c r="K4422" s="1" t="s">
        <v>13</v>
      </c>
      <c r="L4422" s="1" t="s">
        <v>13</v>
      </c>
      <c r="M4422" s="6" t="str">
        <f>_xlfn.CONCAT(Table1[[#This Row],[Billing Street]], ", ", Table1[[#This Row],[Billing City]], ", ", Table1[[#This Row],[Billing State/Province]], ", ", Table1[[#This Row],[Billing Zip/Postal Code]])</f>
        <v xml:space="preserve">, , , </v>
      </c>
    </row>
    <row r="4423" spans="1:13" ht="15.6" hidden="1" x14ac:dyDescent="0.3">
      <c r="A4423" s="1" t="s">
        <v>12972</v>
      </c>
      <c r="B4423" s="1"/>
      <c r="C4423" s="1"/>
      <c r="D4423" s="1"/>
      <c r="E4423" s="1"/>
      <c r="F4423" s="1"/>
      <c r="G4423" s="1" t="s">
        <v>13</v>
      </c>
      <c r="H4423" s="2">
        <v>0</v>
      </c>
      <c r="I4423" s="1" t="s">
        <v>13</v>
      </c>
      <c r="J4423" s="1" t="s">
        <v>13</v>
      </c>
      <c r="K4423" s="1" t="s">
        <v>13</v>
      </c>
      <c r="L4423" s="1" t="s">
        <v>13</v>
      </c>
      <c r="M4423" s="6" t="str">
        <f>_xlfn.CONCAT(Table1[[#This Row],[Billing Street]], ", ", Table1[[#This Row],[Billing City]], ", ", Table1[[#This Row],[Billing State/Province]], ", ", Table1[[#This Row],[Billing Zip/Postal Code]])</f>
        <v xml:space="preserve">, , , </v>
      </c>
    </row>
    <row r="4424" spans="1:13" ht="15.6" hidden="1" x14ac:dyDescent="0.3">
      <c r="A4424" s="1" t="s">
        <v>12973</v>
      </c>
      <c r="B4424" s="1"/>
      <c r="C4424" s="1"/>
      <c r="D4424" s="1"/>
      <c r="E4424" s="1"/>
      <c r="F4424" s="1"/>
      <c r="G4424" s="1" t="s">
        <v>13</v>
      </c>
      <c r="H4424" s="2">
        <v>0</v>
      </c>
      <c r="I4424" s="1" t="s">
        <v>13</v>
      </c>
      <c r="J4424" s="1" t="s">
        <v>13</v>
      </c>
      <c r="K4424" s="1" t="s">
        <v>13</v>
      </c>
      <c r="L4424" s="1" t="s">
        <v>13</v>
      </c>
      <c r="M4424" s="6" t="str">
        <f>_xlfn.CONCAT(Table1[[#This Row],[Billing Street]], ", ", Table1[[#This Row],[Billing City]], ", ", Table1[[#This Row],[Billing State/Province]], ", ", Table1[[#This Row],[Billing Zip/Postal Code]])</f>
        <v xml:space="preserve">, , , </v>
      </c>
    </row>
    <row r="4425" spans="1:13" ht="15.6" hidden="1" x14ac:dyDescent="0.3">
      <c r="A4425" s="1" t="s">
        <v>12974</v>
      </c>
      <c r="B4425" s="1"/>
      <c r="C4425" s="1"/>
      <c r="D4425" s="1"/>
      <c r="E4425" s="1"/>
      <c r="F4425" s="1"/>
      <c r="G4425" s="1" t="s">
        <v>13</v>
      </c>
      <c r="H4425" s="2">
        <v>0</v>
      </c>
      <c r="I4425" s="1" t="s">
        <v>13</v>
      </c>
      <c r="J4425" s="1" t="s">
        <v>13</v>
      </c>
      <c r="K4425" s="1" t="s">
        <v>13</v>
      </c>
      <c r="L4425" s="1" t="s">
        <v>13</v>
      </c>
      <c r="M4425" s="6" t="str">
        <f>_xlfn.CONCAT(Table1[[#This Row],[Billing Street]], ", ", Table1[[#This Row],[Billing City]], ", ", Table1[[#This Row],[Billing State/Province]], ", ", Table1[[#This Row],[Billing Zip/Postal Code]])</f>
        <v xml:space="preserve">, , , </v>
      </c>
    </row>
    <row r="4426" spans="1:13" ht="15.6" hidden="1" x14ac:dyDescent="0.3">
      <c r="A4426" s="1" t="s">
        <v>12975</v>
      </c>
      <c r="B4426" s="1"/>
      <c r="C4426" s="1"/>
      <c r="D4426" s="1"/>
      <c r="E4426" s="1"/>
      <c r="F4426" s="1"/>
      <c r="G4426" s="1" t="s">
        <v>13</v>
      </c>
      <c r="H4426" s="2">
        <v>0</v>
      </c>
      <c r="I4426" s="1" t="s">
        <v>13</v>
      </c>
      <c r="J4426" s="1" t="s">
        <v>13</v>
      </c>
      <c r="K4426" s="1" t="s">
        <v>13</v>
      </c>
      <c r="L4426" s="1" t="s">
        <v>13</v>
      </c>
      <c r="M4426" s="6" t="str">
        <f>_xlfn.CONCAT(Table1[[#This Row],[Billing Street]], ", ", Table1[[#This Row],[Billing City]], ", ", Table1[[#This Row],[Billing State/Province]], ", ", Table1[[#This Row],[Billing Zip/Postal Code]])</f>
        <v xml:space="preserve">, , , </v>
      </c>
    </row>
    <row r="4427" spans="1:13" ht="15.6" hidden="1" x14ac:dyDescent="0.3">
      <c r="A4427" s="1" t="s">
        <v>12976</v>
      </c>
      <c r="B4427" s="1"/>
      <c r="C4427" s="1"/>
      <c r="D4427" s="1"/>
      <c r="E4427" s="1"/>
      <c r="F4427" s="1"/>
      <c r="G4427" s="1" t="s">
        <v>13</v>
      </c>
      <c r="H4427" s="2">
        <v>0</v>
      </c>
      <c r="I4427" s="1" t="s">
        <v>13</v>
      </c>
      <c r="J4427" s="1" t="s">
        <v>13</v>
      </c>
      <c r="K4427" s="1" t="s">
        <v>13</v>
      </c>
      <c r="L4427" s="1" t="s">
        <v>13</v>
      </c>
      <c r="M4427" s="6" t="str">
        <f>_xlfn.CONCAT(Table1[[#This Row],[Billing Street]], ", ", Table1[[#This Row],[Billing City]], ", ", Table1[[#This Row],[Billing State/Province]], ", ", Table1[[#This Row],[Billing Zip/Postal Code]])</f>
        <v xml:space="preserve">, , , </v>
      </c>
    </row>
    <row r="4428" spans="1:13" ht="15.6" hidden="1" x14ac:dyDescent="0.3">
      <c r="A4428" s="1" t="s">
        <v>12977</v>
      </c>
      <c r="B4428" s="1"/>
      <c r="C4428" s="1"/>
      <c r="D4428" s="1"/>
      <c r="E4428" s="1"/>
      <c r="F4428" s="1"/>
      <c r="G4428" s="1" t="s">
        <v>13</v>
      </c>
      <c r="H4428" s="2">
        <v>0</v>
      </c>
      <c r="I4428" s="1" t="s">
        <v>12978</v>
      </c>
      <c r="J4428" s="1" t="s">
        <v>13</v>
      </c>
      <c r="K4428" s="1" t="s">
        <v>13</v>
      </c>
      <c r="L4428" s="1" t="s">
        <v>13</v>
      </c>
      <c r="M4428" s="6" t="str">
        <f>_xlfn.CONCAT(Table1[[#This Row],[Billing Street]], ", ", Table1[[#This Row],[Billing City]], ", ", Table1[[#This Row],[Billing State/Province]], ", ", Table1[[#This Row],[Billing Zip/Postal Code]])</f>
        <v xml:space="preserve">electricdept@cityofseymour.org, , , </v>
      </c>
    </row>
    <row r="4429" spans="1:13" ht="15.6" hidden="1" x14ac:dyDescent="0.3">
      <c r="A4429" s="1" t="s">
        <v>12979</v>
      </c>
      <c r="B4429" s="1"/>
      <c r="C4429" s="1"/>
      <c r="D4429" s="1"/>
      <c r="E4429" s="1"/>
      <c r="F4429" s="1"/>
      <c r="G4429" s="1" t="s">
        <v>13</v>
      </c>
      <c r="H4429" s="2">
        <v>0</v>
      </c>
      <c r="I4429" s="1" t="s">
        <v>13</v>
      </c>
      <c r="J4429" s="1" t="s">
        <v>13</v>
      </c>
      <c r="K4429" s="1" t="s">
        <v>13</v>
      </c>
      <c r="L4429" s="1" t="s">
        <v>13</v>
      </c>
      <c r="M4429" s="6" t="str">
        <f>_xlfn.CONCAT(Table1[[#This Row],[Billing Street]], ", ", Table1[[#This Row],[Billing City]], ", ", Table1[[#This Row],[Billing State/Province]], ", ", Table1[[#This Row],[Billing Zip/Postal Code]])</f>
        <v xml:space="preserve">, , , </v>
      </c>
    </row>
    <row r="4430" spans="1:13" ht="15.6" hidden="1" x14ac:dyDescent="0.3">
      <c r="A4430" s="1" t="s">
        <v>12980</v>
      </c>
      <c r="B4430" s="1"/>
      <c r="C4430" s="1"/>
      <c r="D4430" s="1"/>
      <c r="E4430" s="1"/>
      <c r="F4430" s="1"/>
      <c r="G4430" s="1" t="s">
        <v>13</v>
      </c>
      <c r="H4430" s="2">
        <v>0</v>
      </c>
      <c r="I4430" s="1" t="s">
        <v>13</v>
      </c>
      <c r="J4430" s="1" t="s">
        <v>13</v>
      </c>
      <c r="K4430" s="1" t="s">
        <v>13</v>
      </c>
      <c r="L4430" s="1" t="s">
        <v>13</v>
      </c>
      <c r="M4430" s="6" t="str">
        <f>_xlfn.CONCAT(Table1[[#This Row],[Billing Street]], ", ", Table1[[#This Row],[Billing City]], ", ", Table1[[#This Row],[Billing State/Province]], ", ", Table1[[#This Row],[Billing Zip/Postal Code]])</f>
        <v xml:space="preserve">, , , </v>
      </c>
    </row>
    <row r="4431" spans="1:13" ht="15.6" hidden="1" x14ac:dyDescent="0.3">
      <c r="A4431" s="1" t="s">
        <v>12981</v>
      </c>
      <c r="B4431" s="1"/>
      <c r="C4431" s="1"/>
      <c r="D4431" s="1"/>
      <c r="E4431" s="1"/>
      <c r="F4431" s="1"/>
      <c r="G4431" s="1" t="s">
        <v>13</v>
      </c>
      <c r="H4431" s="2">
        <v>0</v>
      </c>
      <c r="I4431" s="1" t="s">
        <v>13</v>
      </c>
      <c r="J4431" s="1" t="s">
        <v>13</v>
      </c>
      <c r="K4431" s="1" t="s">
        <v>13</v>
      </c>
      <c r="L4431" s="1" t="s">
        <v>13</v>
      </c>
      <c r="M4431" s="6" t="str">
        <f>_xlfn.CONCAT(Table1[[#This Row],[Billing Street]], ", ", Table1[[#This Row],[Billing City]], ", ", Table1[[#This Row],[Billing State/Province]], ", ", Table1[[#This Row],[Billing Zip/Postal Code]])</f>
        <v xml:space="preserve">, , , </v>
      </c>
    </row>
    <row r="4432" spans="1:13" ht="15.6" hidden="1" x14ac:dyDescent="0.3">
      <c r="A4432" s="1" t="s">
        <v>12982</v>
      </c>
      <c r="B4432" s="1"/>
      <c r="C4432" s="1"/>
      <c r="D4432" s="1"/>
      <c r="E4432" s="1"/>
      <c r="F4432" s="1"/>
      <c r="G4432" s="1" t="s">
        <v>13</v>
      </c>
      <c r="H4432" s="2">
        <v>0</v>
      </c>
      <c r="I4432" s="1" t="s">
        <v>13</v>
      </c>
      <c r="J4432" s="1" t="s">
        <v>13</v>
      </c>
      <c r="K4432" s="1" t="s">
        <v>13</v>
      </c>
      <c r="L4432" s="1" t="s">
        <v>13</v>
      </c>
      <c r="M4432" s="6" t="str">
        <f>_xlfn.CONCAT(Table1[[#This Row],[Billing Street]], ", ", Table1[[#This Row],[Billing City]], ", ", Table1[[#This Row],[Billing State/Province]], ", ", Table1[[#This Row],[Billing Zip/Postal Code]])</f>
        <v xml:space="preserve">, , , </v>
      </c>
    </row>
    <row r="4433" spans="1:13" ht="15.6" x14ac:dyDescent="0.3">
      <c r="A4433" s="1" t="s">
        <v>12983</v>
      </c>
      <c r="B4433" s="1"/>
      <c r="C4433" s="1"/>
      <c r="D4433" s="1"/>
      <c r="E4433" s="1"/>
      <c r="F4433" s="1"/>
      <c r="G4433" s="1" t="s">
        <v>24</v>
      </c>
      <c r="H4433" s="2">
        <v>491</v>
      </c>
      <c r="I4433" s="1" t="s">
        <v>12984</v>
      </c>
      <c r="J4433" s="1" t="s">
        <v>12985</v>
      </c>
      <c r="K4433" s="1" t="s">
        <v>36</v>
      </c>
      <c r="L4433" s="1" t="s">
        <v>12986</v>
      </c>
      <c r="M4433" s="6" t="str">
        <f>_xlfn.CONCAT(Table1[[#This Row],[Billing Street]], ", ", Table1[[#This Row],[Billing City]], ", ", Table1[[#This Row],[Billing State/Province]], ", ", Table1[[#This Row],[Billing Zip/Postal Code]])</f>
        <v>6400 22nd st, miami, FL, 33122</v>
      </c>
    </row>
    <row r="4434" spans="1:13" ht="15.6" hidden="1" x14ac:dyDescent="0.3">
      <c r="A4434" s="1" t="s">
        <v>12987</v>
      </c>
      <c r="B4434" s="1"/>
      <c r="C4434" s="1"/>
      <c r="D4434" s="1"/>
      <c r="E4434" s="1"/>
      <c r="F4434" s="1"/>
      <c r="G4434" s="1" t="s">
        <v>43</v>
      </c>
      <c r="H4434" s="2">
        <v>5776</v>
      </c>
      <c r="I4434" s="1" t="s">
        <v>13</v>
      </c>
      <c r="J4434" s="1" t="s">
        <v>12988</v>
      </c>
      <c r="K4434" s="1" t="s">
        <v>237</v>
      </c>
      <c r="L4434" s="1" t="s">
        <v>13</v>
      </c>
      <c r="M4434" s="6" t="str">
        <f>_xlfn.CONCAT(Table1[[#This Row],[Billing Street]], ", ", Table1[[#This Row],[Billing City]], ", ", Table1[[#This Row],[Billing State/Province]], ", ", Table1[[#This Row],[Billing Zip/Postal Code]])</f>
        <v xml:space="preserve">, Muncie, IN, </v>
      </c>
    </row>
    <row r="4435" spans="1:13" ht="15.6" hidden="1" x14ac:dyDescent="0.3">
      <c r="A4435" s="1" t="s">
        <v>12989</v>
      </c>
      <c r="B4435" s="1"/>
      <c r="C4435" s="1"/>
      <c r="D4435" s="1"/>
      <c r="E4435" s="1"/>
      <c r="F4435" s="1"/>
      <c r="G4435" s="1" t="s">
        <v>13</v>
      </c>
      <c r="H4435" s="2">
        <v>0</v>
      </c>
      <c r="I4435" s="1" t="s">
        <v>13</v>
      </c>
      <c r="J4435" s="1" t="s">
        <v>13</v>
      </c>
      <c r="K4435" s="1" t="s">
        <v>13</v>
      </c>
      <c r="L4435" s="1" t="s">
        <v>13</v>
      </c>
      <c r="M4435" s="6" t="str">
        <f>_xlfn.CONCAT(Table1[[#This Row],[Billing Street]], ", ", Table1[[#This Row],[Billing City]], ", ", Table1[[#This Row],[Billing State/Province]], ", ", Table1[[#This Row],[Billing Zip/Postal Code]])</f>
        <v xml:space="preserve">, , , </v>
      </c>
    </row>
    <row r="4436" spans="1:13" ht="15.6" hidden="1" x14ac:dyDescent="0.3">
      <c r="A4436" s="1" t="s">
        <v>12990</v>
      </c>
      <c r="B4436" s="1"/>
      <c r="C4436" s="1"/>
      <c r="D4436" s="1"/>
      <c r="E4436" s="1"/>
      <c r="F4436" s="1"/>
      <c r="G4436" s="1" t="s">
        <v>13</v>
      </c>
      <c r="H4436" s="2">
        <v>0</v>
      </c>
      <c r="I4436" s="1" t="s">
        <v>13</v>
      </c>
      <c r="J4436" s="1" t="s">
        <v>13</v>
      </c>
      <c r="K4436" s="1" t="s">
        <v>13</v>
      </c>
      <c r="L4436" s="1" t="s">
        <v>13</v>
      </c>
      <c r="M4436" s="6" t="str">
        <f>_xlfn.CONCAT(Table1[[#This Row],[Billing Street]], ", ", Table1[[#This Row],[Billing City]], ", ", Table1[[#This Row],[Billing State/Province]], ", ", Table1[[#This Row],[Billing Zip/Postal Code]])</f>
        <v xml:space="preserve">, , , </v>
      </c>
    </row>
    <row r="4437" spans="1:13" ht="15.6" hidden="1" x14ac:dyDescent="0.3">
      <c r="A4437" s="1" t="s">
        <v>12991</v>
      </c>
      <c r="B4437" s="1"/>
      <c r="C4437" s="1"/>
      <c r="D4437" s="1"/>
      <c r="E4437" s="1"/>
      <c r="F4437" s="1"/>
      <c r="G4437" s="1" t="s">
        <v>13</v>
      </c>
      <c r="H4437" s="2">
        <v>0</v>
      </c>
      <c r="I4437" s="1" t="s">
        <v>13</v>
      </c>
      <c r="J4437" s="1" t="s">
        <v>13</v>
      </c>
      <c r="K4437" s="1" t="s">
        <v>13</v>
      </c>
      <c r="L4437" s="1" t="s">
        <v>13</v>
      </c>
      <c r="M4437" s="6" t="str">
        <f>_xlfn.CONCAT(Table1[[#This Row],[Billing Street]], ", ", Table1[[#This Row],[Billing City]], ", ", Table1[[#This Row],[Billing State/Province]], ", ", Table1[[#This Row],[Billing Zip/Postal Code]])</f>
        <v xml:space="preserve">, , , </v>
      </c>
    </row>
    <row r="4438" spans="1:13" ht="15.6" hidden="1" x14ac:dyDescent="0.3">
      <c r="A4438" s="1" t="s">
        <v>12992</v>
      </c>
      <c r="B4438" s="1"/>
      <c r="C4438" s="1"/>
      <c r="D4438" s="1"/>
      <c r="E4438" s="1"/>
      <c r="F4438" s="1"/>
      <c r="G4438" s="1" t="s">
        <v>13</v>
      </c>
      <c r="H4438" s="2">
        <v>0</v>
      </c>
      <c r="I4438" s="1" t="s">
        <v>13</v>
      </c>
      <c r="J4438" s="1" t="s">
        <v>13</v>
      </c>
      <c r="K4438" s="1" t="s">
        <v>13</v>
      </c>
      <c r="L4438" s="1" t="s">
        <v>13</v>
      </c>
      <c r="M4438" s="6" t="str">
        <f>_xlfn.CONCAT(Table1[[#This Row],[Billing Street]], ", ", Table1[[#This Row],[Billing City]], ", ", Table1[[#This Row],[Billing State/Province]], ", ", Table1[[#This Row],[Billing Zip/Postal Code]])</f>
        <v xml:space="preserve">, , , </v>
      </c>
    </row>
    <row r="4439" spans="1:13" ht="15.6" hidden="1" x14ac:dyDescent="0.3">
      <c r="A4439" s="1" t="s">
        <v>12993</v>
      </c>
      <c r="B4439" s="1"/>
      <c r="C4439" s="1"/>
      <c r="D4439" s="1"/>
      <c r="E4439" s="1"/>
      <c r="F4439" s="1"/>
      <c r="G4439" s="1" t="s">
        <v>13</v>
      </c>
      <c r="H4439" s="2">
        <v>0</v>
      </c>
      <c r="I4439" s="1" t="s">
        <v>13</v>
      </c>
      <c r="J4439" s="1" t="s">
        <v>13</v>
      </c>
      <c r="K4439" s="1" t="s">
        <v>13</v>
      </c>
      <c r="L4439" s="1" t="s">
        <v>13</v>
      </c>
      <c r="M4439" s="6" t="str">
        <f>_xlfn.CONCAT(Table1[[#This Row],[Billing Street]], ", ", Table1[[#This Row],[Billing City]], ", ", Table1[[#This Row],[Billing State/Province]], ", ", Table1[[#This Row],[Billing Zip/Postal Code]])</f>
        <v xml:space="preserve">, , , </v>
      </c>
    </row>
    <row r="4440" spans="1:13" ht="15.6" hidden="1" x14ac:dyDescent="0.3">
      <c r="A4440" s="1" t="s">
        <v>12994</v>
      </c>
      <c r="B4440" s="1"/>
      <c r="C4440" s="1"/>
      <c r="D4440" s="1"/>
      <c r="E4440" s="1"/>
      <c r="F4440" s="1"/>
      <c r="G4440" s="1" t="s">
        <v>13</v>
      </c>
      <c r="H4440" s="2">
        <v>0</v>
      </c>
      <c r="I4440" s="1" t="s">
        <v>13</v>
      </c>
      <c r="J4440" s="1" t="s">
        <v>13</v>
      </c>
      <c r="K4440" s="1" t="s">
        <v>13</v>
      </c>
      <c r="L4440" s="1" t="s">
        <v>13</v>
      </c>
      <c r="M4440" s="6" t="str">
        <f>_xlfn.CONCAT(Table1[[#This Row],[Billing Street]], ", ", Table1[[#This Row],[Billing City]], ", ", Table1[[#This Row],[Billing State/Province]], ", ", Table1[[#This Row],[Billing Zip/Postal Code]])</f>
        <v xml:space="preserve">, , , </v>
      </c>
    </row>
    <row r="4441" spans="1:13" ht="15.6" hidden="1" x14ac:dyDescent="0.3">
      <c r="A4441" s="1" t="s">
        <v>12995</v>
      </c>
      <c r="B4441" s="1"/>
      <c r="C4441" s="1"/>
      <c r="D4441" s="1"/>
      <c r="E4441" s="1"/>
      <c r="F4441" s="1"/>
      <c r="G4441" s="1" t="s">
        <v>13</v>
      </c>
      <c r="H4441" s="2">
        <v>0</v>
      </c>
      <c r="I4441" s="1" t="s">
        <v>13</v>
      </c>
      <c r="J4441" s="1" t="s">
        <v>13</v>
      </c>
      <c r="K4441" s="1" t="s">
        <v>13</v>
      </c>
      <c r="L4441" s="1" t="s">
        <v>13</v>
      </c>
      <c r="M4441" s="6" t="str">
        <f>_xlfn.CONCAT(Table1[[#This Row],[Billing Street]], ", ", Table1[[#This Row],[Billing City]], ", ", Table1[[#This Row],[Billing State/Province]], ", ", Table1[[#This Row],[Billing Zip/Postal Code]])</f>
        <v xml:space="preserve">, , , </v>
      </c>
    </row>
    <row r="4442" spans="1:13" ht="15.6" hidden="1" x14ac:dyDescent="0.3">
      <c r="A4442" s="1" t="s">
        <v>12996</v>
      </c>
      <c r="B4442" s="1"/>
      <c r="C4442" s="1"/>
      <c r="D4442" s="1"/>
      <c r="E4442" s="1"/>
      <c r="F4442" s="1"/>
      <c r="G4442" s="1" t="s">
        <v>13</v>
      </c>
      <c r="H4442" s="2">
        <v>0</v>
      </c>
      <c r="I4442" s="1" t="s">
        <v>13</v>
      </c>
      <c r="J4442" s="1" t="s">
        <v>13</v>
      </c>
      <c r="K4442" s="1" t="s">
        <v>13</v>
      </c>
      <c r="L4442" s="1" t="s">
        <v>13</v>
      </c>
      <c r="M4442" s="6" t="str">
        <f>_xlfn.CONCAT(Table1[[#This Row],[Billing Street]], ", ", Table1[[#This Row],[Billing City]], ", ", Table1[[#This Row],[Billing State/Province]], ", ", Table1[[#This Row],[Billing Zip/Postal Code]])</f>
        <v xml:space="preserve">, , , </v>
      </c>
    </row>
    <row r="4443" spans="1:13" ht="15.6" hidden="1" x14ac:dyDescent="0.3">
      <c r="A4443" s="1" t="s">
        <v>12997</v>
      </c>
      <c r="B4443" s="1"/>
      <c r="C4443" s="1"/>
      <c r="D4443" s="1"/>
      <c r="E4443" s="1"/>
      <c r="F4443" s="1"/>
      <c r="G4443" s="1" t="s">
        <v>13</v>
      </c>
      <c r="H4443" s="2">
        <v>0</v>
      </c>
      <c r="I4443" s="1" t="s">
        <v>13</v>
      </c>
      <c r="J4443" s="1" t="s">
        <v>13</v>
      </c>
      <c r="K4443" s="1" t="s">
        <v>13</v>
      </c>
      <c r="L4443" s="1" t="s">
        <v>13</v>
      </c>
      <c r="M4443" s="6" t="str">
        <f>_xlfn.CONCAT(Table1[[#This Row],[Billing Street]], ", ", Table1[[#This Row],[Billing City]], ", ", Table1[[#This Row],[Billing State/Province]], ", ", Table1[[#This Row],[Billing Zip/Postal Code]])</f>
        <v xml:space="preserve">, , , </v>
      </c>
    </row>
    <row r="4444" spans="1:13" ht="15.6" hidden="1" x14ac:dyDescent="0.3">
      <c r="A4444" s="1" t="s">
        <v>12998</v>
      </c>
      <c r="B4444" s="1"/>
      <c r="C4444" s="1"/>
      <c r="D4444" s="1"/>
      <c r="E4444" s="1"/>
      <c r="F4444" s="1"/>
      <c r="G4444" s="1" t="s">
        <v>13</v>
      </c>
      <c r="H4444" s="2">
        <v>0</v>
      </c>
      <c r="I4444" s="1" t="s">
        <v>13</v>
      </c>
      <c r="J4444" s="1" t="s">
        <v>13</v>
      </c>
      <c r="K4444" s="1" t="s">
        <v>13</v>
      </c>
      <c r="L4444" s="1" t="s">
        <v>13</v>
      </c>
      <c r="M4444" s="6" t="str">
        <f>_xlfn.CONCAT(Table1[[#This Row],[Billing Street]], ", ", Table1[[#This Row],[Billing City]], ", ", Table1[[#This Row],[Billing State/Province]], ", ", Table1[[#This Row],[Billing Zip/Postal Code]])</f>
        <v xml:space="preserve">, , , </v>
      </c>
    </row>
    <row r="4445" spans="1:13" ht="15.6" hidden="1" x14ac:dyDescent="0.3">
      <c r="A4445" s="1" t="s">
        <v>12999</v>
      </c>
      <c r="B4445" s="1"/>
      <c r="C4445" s="1"/>
      <c r="D4445" s="1"/>
      <c r="E4445" s="1"/>
      <c r="F4445" s="1"/>
      <c r="G4445" s="1" t="s">
        <v>13</v>
      </c>
      <c r="H4445" s="2">
        <v>0</v>
      </c>
      <c r="I4445" s="1" t="s">
        <v>13</v>
      </c>
      <c r="J4445" s="1" t="s">
        <v>13</v>
      </c>
      <c r="K4445" s="1" t="s">
        <v>13</v>
      </c>
      <c r="L4445" s="1" t="s">
        <v>13</v>
      </c>
      <c r="M4445" s="6" t="str">
        <f>_xlfn.CONCAT(Table1[[#This Row],[Billing Street]], ", ", Table1[[#This Row],[Billing City]], ", ", Table1[[#This Row],[Billing State/Province]], ", ", Table1[[#This Row],[Billing Zip/Postal Code]])</f>
        <v xml:space="preserve">, , , </v>
      </c>
    </row>
    <row r="4446" spans="1:13" ht="15.6" hidden="1" x14ac:dyDescent="0.3">
      <c r="A4446" s="1" t="s">
        <v>13000</v>
      </c>
      <c r="B4446" s="1"/>
      <c r="C4446" s="1"/>
      <c r="D4446" s="1"/>
      <c r="E4446" s="1"/>
      <c r="F4446" s="1"/>
      <c r="G4446" s="1" t="s">
        <v>8</v>
      </c>
      <c r="H4446" s="2">
        <v>285</v>
      </c>
      <c r="I4446" s="1" t="s">
        <v>10661</v>
      </c>
      <c r="J4446" s="1" t="s">
        <v>10662</v>
      </c>
      <c r="K4446" s="1" t="s">
        <v>51</v>
      </c>
      <c r="L4446" s="1" t="s">
        <v>10663</v>
      </c>
      <c r="M4446" s="6" t="str">
        <f>_xlfn.CONCAT(Table1[[#This Row],[Billing Street]], ", ", Table1[[#This Row],[Billing City]], ", ", Table1[[#This Row],[Billing State/Province]], ", ", Table1[[#This Row],[Billing Zip/Postal Code]])</f>
        <v>649 Franklin Street, Lewisville, TX, 75057</v>
      </c>
    </row>
    <row r="4447" spans="1:13" ht="15.6" hidden="1" x14ac:dyDescent="0.3">
      <c r="A4447" s="1" t="s">
        <v>13001</v>
      </c>
      <c r="B4447" s="1"/>
      <c r="C4447" s="1"/>
      <c r="D4447" s="1"/>
      <c r="E4447" s="1"/>
      <c r="F4447" s="1"/>
      <c r="G4447" s="1" t="s">
        <v>43</v>
      </c>
      <c r="H4447" s="2">
        <v>505</v>
      </c>
      <c r="I4447" s="1" t="s">
        <v>13002</v>
      </c>
      <c r="J4447" s="1" t="s">
        <v>13003</v>
      </c>
      <c r="K4447" s="1" t="s">
        <v>133</v>
      </c>
      <c r="L4447" s="1" t="s">
        <v>13004</v>
      </c>
      <c r="M4447" s="6" t="str">
        <f>_xlfn.CONCAT(Table1[[#This Row],[Billing Street]], ", ", Table1[[#This Row],[Billing City]], ", ", Table1[[#This Row],[Billing State/Province]], ", ", Table1[[#This Row],[Billing Zip/Postal Code]])</f>
        <v>110 Saugstad Road, Westby, WI, 54667</v>
      </c>
    </row>
    <row r="4448" spans="1:13" ht="15.6" hidden="1" x14ac:dyDescent="0.3">
      <c r="A4448" s="1" t="s">
        <v>13005</v>
      </c>
      <c r="B4448" s="1"/>
      <c r="C4448" s="1"/>
      <c r="D4448" s="1"/>
      <c r="E4448" s="1"/>
      <c r="F4448" s="1"/>
      <c r="G4448" s="1" t="s">
        <v>13</v>
      </c>
      <c r="H4448" s="2">
        <v>0</v>
      </c>
      <c r="I4448" s="1" t="s">
        <v>13006</v>
      </c>
      <c r="J4448" s="1" t="s">
        <v>13007</v>
      </c>
      <c r="K4448" s="1" t="s">
        <v>13</v>
      </c>
      <c r="L4448" s="1" t="s">
        <v>13008</v>
      </c>
      <c r="M4448" s="6" t="str">
        <f>_xlfn.CONCAT(Table1[[#This Row],[Billing Street]], ", ", Table1[[#This Row],[Billing City]], ", ", Table1[[#This Row],[Billing State/Province]], ", ", Table1[[#This Row],[Billing Zip/Postal Code]])</f>
        <v>600 EDISON ST, BRUSH, , 80723</v>
      </c>
    </row>
    <row r="4449" spans="1:13" ht="15.6" hidden="1" x14ac:dyDescent="0.3">
      <c r="A4449" s="1" t="s">
        <v>13009</v>
      </c>
      <c r="B4449" s="1"/>
      <c r="C4449" s="1"/>
      <c r="D4449" s="1"/>
      <c r="E4449" s="1"/>
      <c r="F4449" s="1"/>
      <c r="G4449" s="1" t="s">
        <v>13</v>
      </c>
      <c r="H4449" s="2">
        <v>0</v>
      </c>
      <c r="I4449" s="1" t="s">
        <v>13</v>
      </c>
      <c r="J4449" s="1" t="s">
        <v>13</v>
      </c>
      <c r="K4449" s="1" t="s">
        <v>13</v>
      </c>
      <c r="L4449" s="1" t="s">
        <v>13</v>
      </c>
      <c r="M4449" s="6" t="str">
        <f>_xlfn.CONCAT(Table1[[#This Row],[Billing Street]], ", ", Table1[[#This Row],[Billing City]], ", ", Table1[[#This Row],[Billing State/Province]], ", ", Table1[[#This Row],[Billing Zip/Postal Code]])</f>
        <v xml:space="preserve">, , , </v>
      </c>
    </row>
    <row r="4450" spans="1:13" ht="15.6" hidden="1" x14ac:dyDescent="0.3">
      <c r="A4450" s="1" t="s">
        <v>13010</v>
      </c>
      <c r="B4450" s="1"/>
      <c r="C4450" s="1"/>
      <c r="D4450" s="1"/>
      <c r="E4450" s="1"/>
      <c r="F4450" s="1"/>
      <c r="G4450" s="1" t="s">
        <v>43</v>
      </c>
      <c r="H4450" s="2">
        <v>117</v>
      </c>
      <c r="I4450" s="1" t="s">
        <v>13011</v>
      </c>
      <c r="J4450" s="1" t="s">
        <v>711</v>
      </c>
      <c r="K4450" s="1" t="s">
        <v>45</v>
      </c>
      <c r="L4450" s="1" t="s">
        <v>5136</v>
      </c>
      <c r="M4450" s="6" t="str">
        <f>_xlfn.CONCAT(Table1[[#This Row],[Billing Street]], ", ", Table1[[#This Row],[Billing City]], ", ", Table1[[#This Row],[Billing State/Province]], ", ", Table1[[#This Row],[Billing Zip/Postal Code]])</f>
        <v>6677 Busch Blvd., Columbus, OH, 43229</v>
      </c>
    </row>
    <row r="4451" spans="1:13" ht="15.6" hidden="1" x14ac:dyDescent="0.3">
      <c r="A4451" s="1" t="s">
        <v>13012</v>
      </c>
      <c r="B4451" s="1"/>
      <c r="C4451" s="1"/>
      <c r="D4451" s="1"/>
      <c r="E4451" s="1"/>
      <c r="F4451" s="1"/>
      <c r="G4451" s="1" t="s">
        <v>43</v>
      </c>
      <c r="H4451" s="2">
        <v>546</v>
      </c>
      <c r="I4451" s="1" t="s">
        <v>12935</v>
      </c>
      <c r="J4451" s="1" t="s">
        <v>12936</v>
      </c>
      <c r="K4451" s="1" t="s">
        <v>95</v>
      </c>
      <c r="L4451" s="1" t="s">
        <v>12937</v>
      </c>
      <c r="M4451" s="6" t="str">
        <f>_xlfn.CONCAT(Table1[[#This Row],[Billing Street]], ", ", Table1[[#This Row],[Billing City]], ", ", Table1[[#This Row],[Billing State/Province]], ", ", Table1[[#This Row],[Billing Zip/Postal Code]])</f>
        <v>32 South Main Street, Middleborough, MA, 2346</v>
      </c>
    </row>
    <row r="4452" spans="1:13" ht="15.6" hidden="1" x14ac:dyDescent="0.3">
      <c r="A4452" s="1" t="s">
        <v>13013</v>
      </c>
      <c r="B4452" s="1"/>
      <c r="C4452" s="1"/>
      <c r="D4452" s="1"/>
      <c r="E4452" s="1"/>
      <c r="F4452" s="1"/>
      <c r="G4452" s="1" t="s">
        <v>13</v>
      </c>
      <c r="H4452" s="2">
        <v>0</v>
      </c>
      <c r="I4452" s="1" t="s">
        <v>13</v>
      </c>
      <c r="J4452" s="1" t="s">
        <v>13</v>
      </c>
      <c r="K4452" s="1" t="s">
        <v>13</v>
      </c>
      <c r="L4452" s="1" t="s">
        <v>13</v>
      </c>
      <c r="M4452" s="6" t="str">
        <f>_xlfn.CONCAT(Table1[[#This Row],[Billing Street]], ", ", Table1[[#This Row],[Billing City]], ", ", Table1[[#This Row],[Billing State/Province]], ", ", Table1[[#This Row],[Billing Zip/Postal Code]])</f>
        <v xml:space="preserve">, , , </v>
      </c>
    </row>
    <row r="4453" spans="1:13" ht="15.6" hidden="1" x14ac:dyDescent="0.3">
      <c r="A4453" s="1" t="s">
        <v>13014</v>
      </c>
      <c r="B4453" s="1"/>
      <c r="C4453" s="1"/>
      <c r="D4453" s="1"/>
      <c r="E4453" s="1"/>
      <c r="F4453" s="1"/>
      <c r="G4453" s="1" t="s">
        <v>13</v>
      </c>
      <c r="H4453" s="2">
        <v>0</v>
      </c>
      <c r="I4453" s="1" t="s">
        <v>13</v>
      </c>
      <c r="J4453" s="1" t="s">
        <v>13</v>
      </c>
      <c r="K4453" s="1" t="s">
        <v>13</v>
      </c>
      <c r="L4453" s="1" t="s">
        <v>13</v>
      </c>
      <c r="M4453" s="6" t="str">
        <f>_xlfn.CONCAT(Table1[[#This Row],[Billing Street]], ", ", Table1[[#This Row],[Billing City]], ", ", Table1[[#This Row],[Billing State/Province]], ", ", Table1[[#This Row],[Billing Zip/Postal Code]])</f>
        <v xml:space="preserve">, , , </v>
      </c>
    </row>
    <row r="4454" spans="1:13" ht="15.6" hidden="1" x14ac:dyDescent="0.3">
      <c r="A4454" s="1" t="s">
        <v>13015</v>
      </c>
      <c r="B4454" s="1"/>
      <c r="C4454" s="1"/>
      <c r="D4454" s="1"/>
      <c r="E4454" s="1"/>
      <c r="F4454" s="1"/>
      <c r="G4454" s="1" t="s">
        <v>13</v>
      </c>
      <c r="H4454" s="2">
        <v>0</v>
      </c>
      <c r="I4454" s="1" t="s">
        <v>13</v>
      </c>
      <c r="J4454" s="1" t="s">
        <v>13</v>
      </c>
      <c r="K4454" s="1" t="s">
        <v>13</v>
      </c>
      <c r="L4454" s="1" t="s">
        <v>13</v>
      </c>
      <c r="M4454" s="6" t="str">
        <f>_xlfn.CONCAT(Table1[[#This Row],[Billing Street]], ", ", Table1[[#This Row],[Billing City]], ", ", Table1[[#This Row],[Billing State/Province]], ", ", Table1[[#This Row],[Billing Zip/Postal Code]])</f>
        <v xml:space="preserve">, , , </v>
      </c>
    </row>
    <row r="4455" spans="1:13" ht="15.6" hidden="1" x14ac:dyDescent="0.3">
      <c r="A4455" s="1" t="s">
        <v>13016</v>
      </c>
      <c r="B4455" s="1"/>
      <c r="C4455" s="1"/>
      <c r="D4455" s="1"/>
      <c r="E4455" s="1"/>
      <c r="F4455" s="1"/>
      <c r="G4455" s="1" t="s">
        <v>13</v>
      </c>
      <c r="H4455" s="2">
        <v>0</v>
      </c>
      <c r="I4455" s="1" t="s">
        <v>13</v>
      </c>
      <c r="J4455" s="1" t="s">
        <v>13</v>
      </c>
      <c r="K4455" s="1" t="s">
        <v>13</v>
      </c>
      <c r="L4455" s="1" t="s">
        <v>13</v>
      </c>
      <c r="M4455" s="6" t="str">
        <f>_xlfn.CONCAT(Table1[[#This Row],[Billing Street]], ", ", Table1[[#This Row],[Billing City]], ", ", Table1[[#This Row],[Billing State/Province]], ", ", Table1[[#This Row],[Billing Zip/Postal Code]])</f>
        <v xml:space="preserve">, , , </v>
      </c>
    </row>
    <row r="4456" spans="1:13" ht="15.6" hidden="1" x14ac:dyDescent="0.3">
      <c r="A4456" s="1" t="s">
        <v>13017</v>
      </c>
      <c r="B4456" s="1"/>
      <c r="C4456" s="1"/>
      <c r="D4456" s="1"/>
      <c r="E4456" s="1"/>
      <c r="F4456" s="1"/>
      <c r="G4456" s="1" t="s">
        <v>13</v>
      </c>
      <c r="H4456" s="2">
        <v>0</v>
      </c>
      <c r="I4456" s="1" t="s">
        <v>13</v>
      </c>
      <c r="J4456" s="1" t="s">
        <v>13</v>
      </c>
      <c r="K4456" s="1" t="s">
        <v>13</v>
      </c>
      <c r="L4456" s="1" t="s">
        <v>13</v>
      </c>
      <c r="M4456" s="6" t="str">
        <f>_xlfn.CONCAT(Table1[[#This Row],[Billing Street]], ", ", Table1[[#This Row],[Billing City]], ", ", Table1[[#This Row],[Billing State/Province]], ", ", Table1[[#This Row],[Billing Zip/Postal Code]])</f>
        <v xml:space="preserve">, , , </v>
      </c>
    </row>
    <row r="4457" spans="1:13" ht="15.6" hidden="1" x14ac:dyDescent="0.3">
      <c r="A4457" s="1" t="s">
        <v>13018</v>
      </c>
      <c r="B4457" s="1"/>
      <c r="C4457" s="1"/>
      <c r="D4457" s="1"/>
      <c r="E4457" s="1"/>
      <c r="F4457" s="1"/>
      <c r="G4457" s="1" t="s">
        <v>43</v>
      </c>
      <c r="H4457" s="2">
        <v>530</v>
      </c>
      <c r="I4457" s="1" t="s">
        <v>13019</v>
      </c>
      <c r="J4457" s="1" t="s">
        <v>13020</v>
      </c>
      <c r="K4457" s="1" t="s">
        <v>95</v>
      </c>
      <c r="L4457" s="1" t="s">
        <v>13021</v>
      </c>
      <c r="M4457" s="6" t="str">
        <f>_xlfn.CONCAT(Table1[[#This Row],[Billing Street]], ", ", Table1[[#This Row],[Billing City]], ", ", Table1[[#This Row],[Billing State/Province]], ", ", Table1[[#This Row],[Billing Zip/Postal Code]])</f>
        <v>125 High Street, mansfield, MA, 2048</v>
      </c>
    </row>
    <row r="4458" spans="1:13" ht="15.6" hidden="1" x14ac:dyDescent="0.3">
      <c r="A4458" s="1" t="s">
        <v>13022</v>
      </c>
      <c r="B4458" s="1"/>
      <c r="C4458" s="1"/>
      <c r="D4458" s="1"/>
      <c r="E4458" s="1"/>
      <c r="F4458" s="1"/>
      <c r="G4458" s="1" t="s">
        <v>13</v>
      </c>
      <c r="H4458" s="2">
        <v>0</v>
      </c>
      <c r="I4458" s="1" t="s">
        <v>13</v>
      </c>
      <c r="J4458" s="1" t="s">
        <v>13</v>
      </c>
      <c r="K4458" s="1" t="s">
        <v>13</v>
      </c>
      <c r="L4458" s="1" t="s">
        <v>13</v>
      </c>
      <c r="M4458" s="6" t="str">
        <f>_xlfn.CONCAT(Table1[[#This Row],[Billing Street]], ", ", Table1[[#This Row],[Billing City]], ", ", Table1[[#This Row],[Billing State/Province]], ", ", Table1[[#This Row],[Billing Zip/Postal Code]])</f>
        <v xml:space="preserve">, , , </v>
      </c>
    </row>
    <row r="4459" spans="1:13" ht="15.6" hidden="1" x14ac:dyDescent="0.3">
      <c r="A4459" s="1" t="s">
        <v>13023</v>
      </c>
      <c r="B4459" s="1"/>
      <c r="C4459" s="1"/>
      <c r="D4459" s="1"/>
      <c r="E4459" s="1"/>
      <c r="F4459" s="1"/>
      <c r="G4459" s="1" t="s">
        <v>13</v>
      </c>
      <c r="H4459" s="2">
        <v>0</v>
      </c>
      <c r="I4459" s="1" t="s">
        <v>13</v>
      </c>
      <c r="J4459" s="1" t="s">
        <v>13</v>
      </c>
      <c r="K4459" s="1" t="s">
        <v>13</v>
      </c>
      <c r="L4459" s="1" t="s">
        <v>13</v>
      </c>
      <c r="M4459" s="6" t="str">
        <f>_xlfn.CONCAT(Table1[[#This Row],[Billing Street]], ", ", Table1[[#This Row],[Billing City]], ", ", Table1[[#This Row],[Billing State/Province]], ", ", Table1[[#This Row],[Billing Zip/Postal Code]])</f>
        <v xml:space="preserve">, , , </v>
      </c>
    </row>
    <row r="4460" spans="1:13" ht="15.6" hidden="1" x14ac:dyDescent="0.3">
      <c r="A4460" s="1" t="s">
        <v>13024</v>
      </c>
      <c r="B4460" s="1"/>
      <c r="C4460" s="1"/>
      <c r="D4460" s="1"/>
      <c r="E4460" s="1"/>
      <c r="F4460" s="1"/>
      <c r="G4460" s="1" t="s">
        <v>54</v>
      </c>
      <c r="H4460" s="2">
        <v>15</v>
      </c>
      <c r="I4460" s="1" t="s">
        <v>13025</v>
      </c>
      <c r="J4460" s="1" t="s">
        <v>13026</v>
      </c>
      <c r="K4460" s="1" t="s">
        <v>57</v>
      </c>
      <c r="L4460" s="1" t="s">
        <v>13</v>
      </c>
      <c r="M4460" s="6" t="str">
        <f>_xlfn.CONCAT(Table1[[#This Row],[Billing Street]], ", ", Table1[[#This Row],[Billing City]], ", ", Table1[[#This Row],[Billing State/Province]], ", ", Table1[[#This Row],[Billing Zip/Postal Code]])</f>
        <v xml:space="preserve">2421 W 205th St, Torrance, CA, </v>
      </c>
    </row>
    <row r="4461" spans="1:13" ht="15.6" hidden="1" x14ac:dyDescent="0.3">
      <c r="A4461" s="1" t="s">
        <v>13027</v>
      </c>
      <c r="B4461" s="1"/>
      <c r="C4461" s="1"/>
      <c r="D4461" s="1"/>
      <c r="E4461" s="1"/>
      <c r="F4461" s="1"/>
      <c r="G4461" s="1" t="s">
        <v>43</v>
      </c>
      <c r="H4461" s="2">
        <v>273</v>
      </c>
      <c r="I4461" s="1" t="s">
        <v>13028</v>
      </c>
      <c r="J4461" s="1" t="s">
        <v>261</v>
      </c>
      <c r="K4461" s="1" t="s">
        <v>237</v>
      </c>
      <c r="L4461" s="1" t="s">
        <v>13029</v>
      </c>
      <c r="M4461" s="6" t="str">
        <f>_xlfn.CONCAT(Table1[[#This Row],[Billing Street]], ", ", Table1[[#This Row],[Billing City]], ", ", Table1[[#This Row],[Billing State/Province]], ", ", Table1[[#This Row],[Billing Zip/Postal Code]])</f>
        <v>PO box 24517, Indianapolis, IN, 46224</v>
      </c>
    </row>
    <row r="4462" spans="1:13" ht="15.6" hidden="1" x14ac:dyDescent="0.3">
      <c r="A4462" s="1" t="s">
        <v>13030</v>
      </c>
      <c r="B4462" s="1"/>
      <c r="C4462" s="1"/>
      <c r="D4462" s="1"/>
      <c r="E4462" s="1"/>
      <c r="F4462" s="1"/>
      <c r="G4462" s="1" t="s">
        <v>98</v>
      </c>
      <c r="H4462" s="2">
        <v>220</v>
      </c>
      <c r="I4462" s="1" t="s">
        <v>13031</v>
      </c>
      <c r="J4462" s="1" t="s">
        <v>4692</v>
      </c>
      <c r="K4462" s="1" t="s">
        <v>1135</v>
      </c>
      <c r="L4462" s="1" t="s">
        <v>13032</v>
      </c>
      <c r="M4462" s="6" t="str">
        <f>_xlfn.CONCAT(Table1[[#This Row],[Billing Street]], ", ", Table1[[#This Row],[Billing City]], ", ", Table1[[#This Row],[Billing State/Province]], ", ", Table1[[#This Row],[Billing Zip/Postal Code]])</f>
        <v>7100 Cockrill Bend Blvd, Nashville, TN, 37209</v>
      </c>
    </row>
    <row r="4463" spans="1:13" ht="15.6" hidden="1" x14ac:dyDescent="0.3">
      <c r="A4463" s="1" t="s">
        <v>13033</v>
      </c>
      <c r="B4463" s="1"/>
      <c r="C4463" s="1"/>
      <c r="D4463" s="1"/>
      <c r="E4463" s="1"/>
      <c r="F4463" s="1"/>
      <c r="G4463" s="1" t="s">
        <v>13</v>
      </c>
      <c r="H4463" s="2">
        <v>0</v>
      </c>
      <c r="I4463" s="1" t="s">
        <v>13</v>
      </c>
      <c r="J4463" s="1" t="s">
        <v>13</v>
      </c>
      <c r="K4463" s="1" t="s">
        <v>13</v>
      </c>
      <c r="L4463" s="1" t="s">
        <v>13</v>
      </c>
      <c r="M4463" s="6" t="str">
        <f>_xlfn.CONCAT(Table1[[#This Row],[Billing Street]], ", ", Table1[[#This Row],[Billing City]], ", ", Table1[[#This Row],[Billing State/Province]], ", ", Table1[[#This Row],[Billing Zip/Postal Code]])</f>
        <v xml:space="preserve">, , , </v>
      </c>
    </row>
    <row r="4464" spans="1:13" ht="15.6" hidden="1" x14ac:dyDescent="0.3">
      <c r="A4464" s="1" t="s">
        <v>13034</v>
      </c>
      <c r="B4464" s="1"/>
      <c r="C4464" s="1"/>
      <c r="D4464" s="1"/>
      <c r="E4464" s="1"/>
      <c r="F4464" s="1"/>
      <c r="G4464" s="1" t="s">
        <v>205</v>
      </c>
      <c r="H4464" s="2">
        <v>7481</v>
      </c>
      <c r="I4464" s="1" t="s">
        <v>13</v>
      </c>
      <c r="J4464" s="1" t="s">
        <v>518</v>
      </c>
      <c r="K4464" s="1" t="s">
        <v>479</v>
      </c>
      <c r="L4464" s="1" t="s">
        <v>13</v>
      </c>
      <c r="M4464" s="6" t="str">
        <f>_xlfn.CONCAT(Table1[[#This Row],[Billing Street]], ", ", Table1[[#This Row],[Billing City]], ", ", Table1[[#This Row],[Billing State/Province]], ", ", Table1[[#This Row],[Billing Zip/Postal Code]])</f>
        <v xml:space="preserve">, Phoenix, AZ, </v>
      </c>
    </row>
    <row r="4465" spans="1:13" ht="15.6" hidden="1" x14ac:dyDescent="0.3">
      <c r="A4465" s="1" t="s">
        <v>13035</v>
      </c>
      <c r="B4465" s="1"/>
      <c r="C4465" s="1"/>
      <c r="D4465" s="1"/>
      <c r="E4465" s="1"/>
      <c r="F4465" s="1"/>
      <c r="G4465" s="1" t="s">
        <v>13</v>
      </c>
      <c r="H4465" s="2">
        <v>0</v>
      </c>
      <c r="I4465" s="1" t="s">
        <v>13</v>
      </c>
      <c r="J4465" s="1" t="s">
        <v>13</v>
      </c>
      <c r="K4465" s="1" t="s">
        <v>13</v>
      </c>
      <c r="L4465" s="1" t="s">
        <v>13</v>
      </c>
      <c r="M4465" s="6" t="str">
        <f>_xlfn.CONCAT(Table1[[#This Row],[Billing Street]], ", ", Table1[[#This Row],[Billing City]], ", ", Table1[[#This Row],[Billing State/Province]], ", ", Table1[[#This Row],[Billing Zip/Postal Code]])</f>
        <v xml:space="preserve">, , , </v>
      </c>
    </row>
    <row r="4466" spans="1:13" ht="15.6" hidden="1" x14ac:dyDescent="0.3">
      <c r="A4466" s="1" t="s">
        <v>13036</v>
      </c>
      <c r="B4466" s="1"/>
      <c r="C4466" s="1"/>
      <c r="D4466" s="1"/>
      <c r="E4466" s="1"/>
      <c r="F4466" s="1"/>
      <c r="G4466" s="1" t="s">
        <v>205</v>
      </c>
      <c r="H4466" s="2">
        <v>7481</v>
      </c>
      <c r="I4466" s="1" t="s">
        <v>13</v>
      </c>
      <c r="J4466" s="1" t="s">
        <v>518</v>
      </c>
      <c r="K4466" s="1" t="s">
        <v>479</v>
      </c>
      <c r="L4466" s="1" t="s">
        <v>13</v>
      </c>
      <c r="M4466" s="6" t="str">
        <f>_xlfn.CONCAT(Table1[[#This Row],[Billing Street]], ", ", Table1[[#This Row],[Billing City]], ", ", Table1[[#This Row],[Billing State/Province]], ", ", Table1[[#This Row],[Billing Zip/Postal Code]])</f>
        <v xml:space="preserve">, Phoenix, AZ, </v>
      </c>
    </row>
    <row r="4467" spans="1:13" ht="15.6" hidden="1" x14ac:dyDescent="0.3">
      <c r="A4467" s="1" t="s">
        <v>13037</v>
      </c>
      <c r="B4467" s="1"/>
      <c r="C4467" s="1"/>
      <c r="D4467" s="1"/>
      <c r="E4467" s="1"/>
      <c r="F4467" s="1"/>
      <c r="G4467" s="1" t="s">
        <v>43</v>
      </c>
      <c r="H4467" s="2">
        <v>406</v>
      </c>
      <c r="I4467" s="1" t="s">
        <v>13038</v>
      </c>
      <c r="J4467" s="1" t="s">
        <v>100</v>
      </c>
      <c r="K4467" s="1" t="s">
        <v>671</v>
      </c>
      <c r="L4467" s="1" t="s">
        <v>13039</v>
      </c>
      <c r="M4467" s="6" t="str">
        <f>_xlfn.CONCAT(Table1[[#This Row],[Billing Street]], ", ", Table1[[#This Row],[Billing City]], ", ", Table1[[#This Row],[Billing State/Province]], ", ", Table1[[#This Row],[Billing Zip/Postal Code]])</f>
        <v>875 Broadway, Albany, NY, 12207</v>
      </c>
    </row>
    <row r="4468" spans="1:13" ht="15.6" hidden="1" x14ac:dyDescent="0.3">
      <c r="A4468" s="1" t="s">
        <v>13040</v>
      </c>
      <c r="B4468" s="1"/>
      <c r="C4468" s="1"/>
      <c r="D4468" s="1"/>
      <c r="E4468" s="1"/>
      <c r="F4468" s="1"/>
      <c r="G4468" s="1" t="s">
        <v>43</v>
      </c>
      <c r="H4468" s="2">
        <v>5776</v>
      </c>
      <c r="I4468" s="1" t="s">
        <v>13</v>
      </c>
      <c r="J4468" s="1" t="s">
        <v>1847</v>
      </c>
      <c r="K4468" s="1" t="s">
        <v>1191</v>
      </c>
      <c r="L4468" s="1" t="s">
        <v>13</v>
      </c>
      <c r="M4468" s="6" t="str">
        <f>_xlfn.CONCAT(Table1[[#This Row],[Billing Street]], ", ", Table1[[#This Row],[Billing City]], ", ", Table1[[#This Row],[Billing State/Province]], ", ", Table1[[#This Row],[Billing Zip/Postal Code]])</f>
        <v xml:space="preserve">, LaGrange, KY, </v>
      </c>
    </row>
    <row r="4469" spans="1:13" ht="15.6" hidden="1" x14ac:dyDescent="0.3">
      <c r="A4469" s="1" t="s">
        <v>13041</v>
      </c>
      <c r="B4469" s="1"/>
      <c r="C4469" s="1"/>
      <c r="D4469" s="1"/>
      <c r="E4469" s="1"/>
      <c r="F4469" s="1"/>
      <c r="G4469" s="1" t="s">
        <v>13</v>
      </c>
      <c r="H4469" s="2">
        <v>0</v>
      </c>
      <c r="I4469" s="1" t="s">
        <v>13</v>
      </c>
      <c r="J4469" s="1" t="s">
        <v>13</v>
      </c>
      <c r="K4469" s="1" t="s">
        <v>13</v>
      </c>
      <c r="L4469" s="1" t="s">
        <v>13</v>
      </c>
      <c r="M4469" s="6" t="str">
        <f>_xlfn.CONCAT(Table1[[#This Row],[Billing Street]], ", ", Table1[[#This Row],[Billing City]], ", ", Table1[[#This Row],[Billing State/Province]], ", ", Table1[[#This Row],[Billing Zip/Postal Code]])</f>
        <v xml:space="preserve">, , , </v>
      </c>
    </row>
    <row r="4470" spans="1:13" ht="15.6" hidden="1" x14ac:dyDescent="0.3">
      <c r="A4470" s="1" t="s">
        <v>13042</v>
      </c>
      <c r="B4470" s="1"/>
      <c r="C4470" s="1"/>
      <c r="D4470" s="1"/>
      <c r="E4470" s="1"/>
      <c r="F4470" s="1"/>
      <c r="G4470" s="1" t="s">
        <v>205</v>
      </c>
      <c r="H4470" s="2">
        <v>243</v>
      </c>
      <c r="I4470" s="1" t="s">
        <v>13043</v>
      </c>
      <c r="J4470" s="1" t="s">
        <v>5273</v>
      </c>
      <c r="K4470" s="1" t="s">
        <v>1695</v>
      </c>
      <c r="L4470" s="1" t="s">
        <v>13044</v>
      </c>
      <c r="M4470" s="6" t="str">
        <f>_xlfn.CONCAT(Table1[[#This Row],[Billing Street]], ", ", Table1[[#This Row],[Billing City]], ", ", Table1[[#This Row],[Billing State/Province]], ", ", Table1[[#This Row],[Billing Zip/Postal Code]])</f>
        <v>181 S Water St, Henderson, NV, 89015</v>
      </c>
    </row>
    <row r="4471" spans="1:13" ht="15.6" hidden="1" x14ac:dyDescent="0.3">
      <c r="A4471" s="1" t="s">
        <v>13045</v>
      </c>
      <c r="B4471" s="1"/>
      <c r="C4471" s="1"/>
      <c r="D4471" s="1"/>
      <c r="E4471" s="1"/>
      <c r="F4471" s="1"/>
      <c r="G4471" s="1" t="s">
        <v>13</v>
      </c>
      <c r="H4471" s="2">
        <v>0</v>
      </c>
      <c r="I4471" s="1" t="s">
        <v>13</v>
      </c>
      <c r="J4471" s="1" t="s">
        <v>13</v>
      </c>
      <c r="K4471" s="1" t="s">
        <v>13</v>
      </c>
      <c r="L4471" s="1" t="s">
        <v>13</v>
      </c>
      <c r="M4471" s="6" t="str">
        <f>_xlfn.CONCAT(Table1[[#This Row],[Billing Street]], ", ", Table1[[#This Row],[Billing City]], ", ", Table1[[#This Row],[Billing State/Province]], ", ", Table1[[#This Row],[Billing Zip/Postal Code]])</f>
        <v xml:space="preserve">, , , </v>
      </c>
    </row>
    <row r="4472" spans="1:13" ht="15.6" hidden="1" x14ac:dyDescent="0.3">
      <c r="A4472" s="1" t="s">
        <v>13046</v>
      </c>
      <c r="B4472" s="1"/>
      <c r="C4472" s="1"/>
      <c r="D4472" s="1"/>
      <c r="E4472" s="1"/>
      <c r="F4472" s="1"/>
      <c r="G4472" s="1" t="s">
        <v>43</v>
      </c>
      <c r="H4472" s="2">
        <v>5776</v>
      </c>
      <c r="I4472" s="1" t="s">
        <v>13047</v>
      </c>
      <c r="J4472" s="1" t="s">
        <v>4355</v>
      </c>
      <c r="K4472" s="1" t="s">
        <v>95</v>
      </c>
      <c r="L4472" s="1" t="s">
        <v>13048</v>
      </c>
      <c r="M4472" s="6" t="str">
        <f>_xlfn.CONCAT(Table1[[#This Row],[Billing Street]], ", ", Table1[[#This Row],[Billing City]], ", ", Table1[[#This Row],[Billing State/Province]], ", ", Table1[[#This Row],[Billing Zip/Postal Code]])</f>
        <v>197 N Main St, Middleton, MA, 1949</v>
      </c>
    </row>
    <row r="4473" spans="1:13" ht="15.6" hidden="1" x14ac:dyDescent="0.3">
      <c r="A4473" s="1" t="s">
        <v>13049</v>
      </c>
      <c r="B4473" s="1"/>
      <c r="C4473" s="1"/>
      <c r="D4473" s="1"/>
      <c r="E4473" s="1"/>
      <c r="F4473" s="1"/>
      <c r="G4473" s="1" t="s">
        <v>43</v>
      </c>
      <c r="H4473" s="2">
        <v>221</v>
      </c>
      <c r="I4473" s="1" t="s">
        <v>13050</v>
      </c>
      <c r="J4473" s="1" t="s">
        <v>13051</v>
      </c>
      <c r="K4473" s="1" t="s">
        <v>241</v>
      </c>
      <c r="L4473" s="1" t="s">
        <v>13052</v>
      </c>
      <c r="M4473" s="6" t="str">
        <f>_xlfn.CONCAT(Table1[[#This Row],[Billing Street]], ", ", Table1[[#This Row],[Billing City]], ", ", Table1[[#This Row],[Billing State/Province]], ", ", Table1[[#This Row],[Billing Zip/Postal Code]])</f>
        <v>100 S Second St, Chambersburg, PA, 17201-0909</v>
      </c>
    </row>
    <row r="4474" spans="1:13" ht="15.6" hidden="1" x14ac:dyDescent="0.3">
      <c r="A4474" s="1" t="s">
        <v>13053</v>
      </c>
      <c r="B4474" s="1"/>
      <c r="C4474" s="1"/>
      <c r="D4474" s="1"/>
      <c r="E4474" s="1"/>
      <c r="F4474" s="1"/>
      <c r="G4474" s="1" t="s">
        <v>43</v>
      </c>
      <c r="H4474" s="2">
        <v>68</v>
      </c>
      <c r="I4474" s="1" t="s">
        <v>13054</v>
      </c>
      <c r="J4474" s="1" t="s">
        <v>4141</v>
      </c>
      <c r="K4474" s="1" t="s">
        <v>241</v>
      </c>
      <c r="L4474" s="1" t="s">
        <v>13055</v>
      </c>
      <c r="M4474" s="6" t="str">
        <f>_xlfn.CONCAT(Table1[[#This Row],[Billing Street]], ", ", Table1[[#This Row],[Billing City]], ", ", Table1[[#This Row],[Billing State/Province]], ", ", Table1[[#This Row],[Billing Zip/Postal Code]])</f>
        <v>525 Lawrence Ave, Ellwood City, PA, 16117-1984</v>
      </c>
    </row>
    <row r="4475" spans="1:13" ht="15.6" hidden="1" x14ac:dyDescent="0.3">
      <c r="A4475" s="1" t="s">
        <v>13056</v>
      </c>
      <c r="B4475" s="1"/>
      <c r="C4475" s="1"/>
      <c r="D4475" s="1"/>
      <c r="E4475" s="1"/>
      <c r="F4475" s="1"/>
      <c r="G4475" s="1" t="s">
        <v>13</v>
      </c>
      <c r="H4475" s="2">
        <v>0</v>
      </c>
      <c r="I4475" s="1" t="s">
        <v>13</v>
      </c>
      <c r="J4475" s="1" t="s">
        <v>13</v>
      </c>
      <c r="K4475" s="1" t="s">
        <v>13</v>
      </c>
      <c r="L4475" s="1" t="s">
        <v>13</v>
      </c>
      <c r="M4475" s="6" t="str">
        <f>_xlfn.CONCAT(Table1[[#This Row],[Billing Street]], ", ", Table1[[#This Row],[Billing City]], ", ", Table1[[#This Row],[Billing State/Province]], ", ", Table1[[#This Row],[Billing Zip/Postal Code]])</f>
        <v xml:space="preserve">, , , </v>
      </c>
    </row>
    <row r="4476" spans="1:13" ht="15.6" hidden="1" x14ac:dyDescent="0.3">
      <c r="A4476" s="1" t="s">
        <v>13057</v>
      </c>
      <c r="B4476" s="1"/>
      <c r="C4476" s="1"/>
      <c r="D4476" s="1"/>
      <c r="E4476" s="1"/>
      <c r="F4476" s="1"/>
      <c r="G4476" s="1" t="s">
        <v>43</v>
      </c>
      <c r="H4476" s="2">
        <v>294</v>
      </c>
      <c r="I4476" s="1" t="s">
        <v>13058</v>
      </c>
      <c r="J4476" s="1" t="s">
        <v>3419</v>
      </c>
      <c r="K4476" s="1" t="s">
        <v>1115</v>
      </c>
      <c r="L4476" s="1" t="s">
        <v>13059</v>
      </c>
      <c r="M4476" s="6" t="str">
        <f>_xlfn.CONCAT(Table1[[#This Row],[Billing Street]], ", ", Table1[[#This Row],[Billing City]], ", ", Table1[[#This Row],[Billing State/Province]], ", ", Table1[[#This Row],[Billing Zip/Postal Code]])</f>
        <v>877 Monroe St, Bedford, VA, 24523</v>
      </c>
    </row>
    <row r="4477" spans="1:13" ht="15.6" hidden="1" x14ac:dyDescent="0.3">
      <c r="A4477" s="1" t="s">
        <v>13060</v>
      </c>
      <c r="B4477" s="1"/>
      <c r="C4477" s="1"/>
      <c r="D4477" s="1"/>
      <c r="E4477" s="1"/>
      <c r="F4477" s="1"/>
      <c r="G4477" s="1" t="s">
        <v>13</v>
      </c>
      <c r="H4477" s="2">
        <v>0</v>
      </c>
      <c r="I4477" s="1" t="s">
        <v>13</v>
      </c>
      <c r="J4477" s="1" t="s">
        <v>13</v>
      </c>
      <c r="K4477" s="1" t="s">
        <v>13</v>
      </c>
      <c r="L4477" s="1" t="s">
        <v>13</v>
      </c>
      <c r="M4477" s="6" t="str">
        <f>_xlfn.CONCAT(Table1[[#This Row],[Billing Street]], ", ", Table1[[#This Row],[Billing City]], ", ", Table1[[#This Row],[Billing State/Province]], ", ", Table1[[#This Row],[Billing Zip/Postal Code]])</f>
        <v xml:space="preserve">, , , </v>
      </c>
    </row>
    <row r="4478" spans="1:13" ht="15.6" hidden="1" x14ac:dyDescent="0.3">
      <c r="A4478" s="1" t="s">
        <v>13061</v>
      </c>
      <c r="B4478" s="1"/>
      <c r="C4478" s="1"/>
      <c r="D4478" s="1"/>
      <c r="E4478" s="1"/>
      <c r="F4478" s="1"/>
      <c r="G4478" s="1" t="s">
        <v>13</v>
      </c>
      <c r="H4478" s="2">
        <v>0</v>
      </c>
      <c r="I4478" s="1" t="s">
        <v>13</v>
      </c>
      <c r="J4478" s="1" t="s">
        <v>13</v>
      </c>
      <c r="K4478" s="1" t="s">
        <v>13</v>
      </c>
      <c r="L4478" s="1" t="s">
        <v>13</v>
      </c>
      <c r="M4478" s="6" t="str">
        <f>_xlfn.CONCAT(Table1[[#This Row],[Billing Street]], ", ", Table1[[#This Row],[Billing City]], ", ", Table1[[#This Row],[Billing State/Province]], ", ", Table1[[#This Row],[Billing Zip/Postal Code]])</f>
        <v xml:space="preserve">, , , </v>
      </c>
    </row>
    <row r="4479" spans="1:13" ht="15.6" hidden="1" x14ac:dyDescent="0.3">
      <c r="A4479" s="1" t="s">
        <v>13062</v>
      </c>
      <c r="B4479" s="1"/>
      <c r="C4479" s="1"/>
      <c r="D4479" s="1"/>
      <c r="E4479" s="1"/>
      <c r="F4479" s="1"/>
      <c r="G4479" s="1" t="s">
        <v>13</v>
      </c>
      <c r="H4479" s="2">
        <v>0</v>
      </c>
      <c r="I4479" s="1" t="s">
        <v>13</v>
      </c>
      <c r="J4479" s="1" t="s">
        <v>13</v>
      </c>
      <c r="K4479" s="1" t="s">
        <v>13</v>
      </c>
      <c r="L4479" s="1" t="s">
        <v>13</v>
      </c>
      <c r="M4479" s="6" t="str">
        <f>_xlfn.CONCAT(Table1[[#This Row],[Billing Street]], ", ", Table1[[#This Row],[Billing City]], ", ", Table1[[#This Row],[Billing State/Province]], ", ", Table1[[#This Row],[Billing Zip/Postal Code]])</f>
        <v xml:space="preserve">, , , </v>
      </c>
    </row>
    <row r="4480" spans="1:13" ht="15.6" hidden="1" x14ac:dyDescent="0.3">
      <c r="A4480" s="1" t="s">
        <v>13063</v>
      </c>
      <c r="B4480" s="1"/>
      <c r="C4480" s="1"/>
      <c r="D4480" s="1"/>
      <c r="E4480" s="1"/>
      <c r="F4480" s="1"/>
      <c r="G4480" s="1" t="s">
        <v>13</v>
      </c>
      <c r="H4480" s="2">
        <v>0</v>
      </c>
      <c r="I4480" s="1" t="s">
        <v>13</v>
      </c>
      <c r="J4480" s="1" t="s">
        <v>13</v>
      </c>
      <c r="K4480" s="1" t="s">
        <v>13</v>
      </c>
      <c r="L4480" s="1" t="s">
        <v>13</v>
      </c>
      <c r="M4480" s="6" t="str">
        <f>_xlfn.CONCAT(Table1[[#This Row],[Billing Street]], ", ", Table1[[#This Row],[Billing City]], ", ", Table1[[#This Row],[Billing State/Province]], ", ", Table1[[#This Row],[Billing Zip/Postal Code]])</f>
        <v xml:space="preserve">, , , </v>
      </c>
    </row>
    <row r="4481" spans="1:13" ht="15.6" hidden="1" x14ac:dyDescent="0.3">
      <c r="A4481" s="1" t="s">
        <v>13064</v>
      </c>
      <c r="B4481" s="1"/>
      <c r="C4481" s="1"/>
      <c r="D4481" s="1"/>
      <c r="E4481" s="1"/>
      <c r="F4481" s="1"/>
      <c r="G4481" s="1" t="s">
        <v>13</v>
      </c>
      <c r="H4481" s="2">
        <v>0</v>
      </c>
      <c r="I4481" s="1" t="s">
        <v>13</v>
      </c>
      <c r="J4481" s="1" t="s">
        <v>13</v>
      </c>
      <c r="K4481" s="1" t="s">
        <v>13</v>
      </c>
      <c r="L4481" s="1" t="s">
        <v>13</v>
      </c>
      <c r="M4481" s="6" t="str">
        <f>_xlfn.CONCAT(Table1[[#This Row],[Billing Street]], ", ", Table1[[#This Row],[Billing City]], ", ", Table1[[#This Row],[Billing State/Province]], ", ", Table1[[#This Row],[Billing Zip/Postal Code]])</f>
        <v xml:space="preserve">, , , </v>
      </c>
    </row>
    <row r="4482" spans="1:13" ht="15.6" hidden="1" x14ac:dyDescent="0.3">
      <c r="A4482" s="1" t="s">
        <v>13065</v>
      </c>
      <c r="B4482" s="1"/>
      <c r="C4482" s="1"/>
      <c r="D4482" s="1"/>
      <c r="E4482" s="1"/>
      <c r="F4482" s="1"/>
      <c r="G4482" s="1" t="s">
        <v>13</v>
      </c>
      <c r="H4482" s="2">
        <v>0</v>
      </c>
      <c r="I4482" s="1" t="s">
        <v>13</v>
      </c>
      <c r="J4482" s="1" t="s">
        <v>13</v>
      </c>
      <c r="K4482" s="1" t="s">
        <v>13</v>
      </c>
      <c r="L4482" s="1" t="s">
        <v>13</v>
      </c>
      <c r="M4482" s="6" t="str">
        <f>_xlfn.CONCAT(Table1[[#This Row],[Billing Street]], ", ", Table1[[#This Row],[Billing City]], ", ", Table1[[#This Row],[Billing State/Province]], ", ", Table1[[#This Row],[Billing Zip/Postal Code]])</f>
        <v xml:space="preserve">, , , </v>
      </c>
    </row>
    <row r="4483" spans="1:13" ht="15.6" hidden="1" x14ac:dyDescent="0.3">
      <c r="A4483" s="1" t="s">
        <v>13066</v>
      </c>
      <c r="B4483" s="1"/>
      <c r="C4483" s="1"/>
      <c r="D4483" s="1"/>
      <c r="E4483" s="1"/>
      <c r="F4483" s="1"/>
      <c r="G4483" s="1" t="s">
        <v>13</v>
      </c>
      <c r="H4483" s="2">
        <v>0</v>
      </c>
      <c r="I4483" s="1" t="s">
        <v>13</v>
      </c>
      <c r="J4483" s="1" t="s">
        <v>13</v>
      </c>
      <c r="K4483" s="1" t="s">
        <v>13</v>
      </c>
      <c r="L4483" s="1" t="s">
        <v>13</v>
      </c>
      <c r="M4483" s="6" t="str">
        <f>_xlfn.CONCAT(Table1[[#This Row],[Billing Street]], ", ", Table1[[#This Row],[Billing City]], ", ", Table1[[#This Row],[Billing State/Province]], ", ", Table1[[#This Row],[Billing Zip/Postal Code]])</f>
        <v xml:space="preserve">, , , </v>
      </c>
    </row>
    <row r="4484" spans="1:13" ht="15.6" hidden="1" x14ac:dyDescent="0.3">
      <c r="A4484" s="1" t="s">
        <v>13067</v>
      </c>
      <c r="B4484" s="1"/>
      <c r="C4484" s="1"/>
      <c r="D4484" s="1"/>
      <c r="E4484" s="1"/>
      <c r="F4484" s="1"/>
      <c r="G4484" s="1" t="s">
        <v>13</v>
      </c>
      <c r="H4484" s="2">
        <v>0</v>
      </c>
      <c r="I4484" s="1" t="s">
        <v>13</v>
      </c>
      <c r="J4484" s="1" t="s">
        <v>13</v>
      </c>
      <c r="K4484" s="1" t="s">
        <v>13</v>
      </c>
      <c r="L4484" s="1" t="s">
        <v>13</v>
      </c>
      <c r="M4484" s="6" t="str">
        <f>_xlfn.CONCAT(Table1[[#This Row],[Billing Street]], ", ", Table1[[#This Row],[Billing City]], ", ", Table1[[#This Row],[Billing State/Province]], ", ", Table1[[#This Row],[Billing Zip/Postal Code]])</f>
        <v xml:space="preserve">, , , </v>
      </c>
    </row>
    <row r="4485" spans="1:13" ht="15.6" hidden="1" x14ac:dyDescent="0.3">
      <c r="A4485" s="1" t="s">
        <v>13068</v>
      </c>
      <c r="B4485" s="1"/>
      <c r="C4485" s="1"/>
      <c r="D4485" s="1"/>
      <c r="E4485" s="1"/>
      <c r="F4485" s="1"/>
      <c r="G4485" s="1" t="s">
        <v>43</v>
      </c>
      <c r="H4485" s="2">
        <v>323</v>
      </c>
      <c r="I4485" s="1" t="s">
        <v>13069</v>
      </c>
      <c r="J4485" s="1" t="s">
        <v>2041</v>
      </c>
      <c r="K4485" s="1" t="s">
        <v>152</v>
      </c>
      <c r="L4485" s="1" t="s">
        <v>2204</v>
      </c>
      <c r="M4485" s="6" t="str">
        <f>_xlfn.CONCAT(Table1[[#This Row],[Billing Street]], ", ", Table1[[#This Row],[Billing City]], ", ", Table1[[#This Row],[Billing State/Province]], ", ", Table1[[#This Row],[Billing Zip/Postal Code]])</f>
        <v>2625 S Loomis Street, Chicago, IL, 60608</v>
      </c>
    </row>
    <row r="4486" spans="1:13" ht="15.6" hidden="1" x14ac:dyDescent="0.3">
      <c r="A4486" s="1" t="s">
        <v>13070</v>
      </c>
      <c r="B4486" s="1"/>
      <c r="C4486" s="1"/>
      <c r="D4486" s="1"/>
      <c r="E4486" s="1"/>
      <c r="F4486" s="1"/>
      <c r="G4486" s="1" t="s">
        <v>13</v>
      </c>
      <c r="H4486" s="2">
        <v>0</v>
      </c>
      <c r="I4486" s="1" t="s">
        <v>13</v>
      </c>
      <c r="J4486" s="1" t="s">
        <v>13</v>
      </c>
      <c r="K4486" s="1" t="s">
        <v>13</v>
      </c>
      <c r="L4486" s="1" t="s">
        <v>13</v>
      </c>
      <c r="M4486" s="6" t="str">
        <f>_xlfn.CONCAT(Table1[[#This Row],[Billing Street]], ", ", Table1[[#This Row],[Billing City]], ", ", Table1[[#This Row],[Billing State/Province]], ", ", Table1[[#This Row],[Billing Zip/Postal Code]])</f>
        <v xml:space="preserve">, , , </v>
      </c>
    </row>
    <row r="4487" spans="1:13" ht="15.6" hidden="1" x14ac:dyDescent="0.3">
      <c r="A4487" s="1" t="s">
        <v>13071</v>
      </c>
      <c r="B4487" s="1"/>
      <c r="C4487" s="1"/>
      <c r="D4487" s="1"/>
      <c r="E4487" s="1"/>
      <c r="F4487" s="1"/>
      <c r="G4487" s="1" t="s">
        <v>98</v>
      </c>
      <c r="H4487" s="2">
        <v>5887</v>
      </c>
      <c r="I4487" s="1" t="s">
        <v>13</v>
      </c>
      <c r="J4487" s="1" t="s">
        <v>5015</v>
      </c>
      <c r="K4487" s="1" t="s">
        <v>1135</v>
      </c>
      <c r="L4487" s="1" t="s">
        <v>13</v>
      </c>
      <c r="M4487" s="6" t="str">
        <f>_xlfn.CONCAT(Table1[[#This Row],[Billing Street]], ", ", Table1[[#This Row],[Billing City]], ", ", Table1[[#This Row],[Billing State/Province]], ", ", Table1[[#This Row],[Billing Zip/Postal Code]])</f>
        <v xml:space="preserve">, Oak Ridge, TN, </v>
      </c>
    </row>
    <row r="4488" spans="1:13" ht="15.6" x14ac:dyDescent="0.3">
      <c r="A4488" s="1" t="s">
        <v>13072</v>
      </c>
      <c r="B4488" s="1"/>
      <c r="C4488" s="1"/>
      <c r="D4488" s="1"/>
      <c r="E4488" s="1"/>
      <c r="F4488" s="1"/>
      <c r="G4488" s="1" t="s">
        <v>24</v>
      </c>
      <c r="H4488" s="2">
        <v>264</v>
      </c>
      <c r="I4488" s="1" t="s">
        <v>13073</v>
      </c>
      <c r="J4488" s="1" t="s">
        <v>637</v>
      </c>
      <c r="K4488" s="1" t="s">
        <v>31</v>
      </c>
      <c r="L4488" s="1" t="s">
        <v>13074</v>
      </c>
      <c r="M4488" s="6" t="str">
        <f>_xlfn.CONCAT(Table1[[#This Row],[Billing Street]], ", ", Table1[[#This Row],[Billing City]], ", ", Table1[[#This Row],[Billing State/Province]], ", ", Table1[[#This Row],[Billing Zip/Postal Code]])</f>
        <v>1095 Mendell Davis Drive, Jackson, MS, 39272</v>
      </c>
    </row>
    <row r="4489" spans="1:13" ht="15.6" hidden="1" x14ac:dyDescent="0.3">
      <c r="A4489" s="1" t="s">
        <v>13075</v>
      </c>
      <c r="B4489" s="1"/>
      <c r="C4489" s="1"/>
      <c r="D4489" s="1"/>
      <c r="E4489" s="1"/>
      <c r="F4489" s="1"/>
      <c r="G4489" s="1" t="s">
        <v>13</v>
      </c>
      <c r="H4489" s="2">
        <v>0</v>
      </c>
      <c r="I4489" s="1" t="s">
        <v>13</v>
      </c>
      <c r="J4489" s="1" t="s">
        <v>13</v>
      </c>
      <c r="K4489" s="1" t="s">
        <v>13</v>
      </c>
      <c r="L4489" s="1" t="s">
        <v>13</v>
      </c>
      <c r="M4489" s="6" t="str">
        <f>_xlfn.CONCAT(Table1[[#This Row],[Billing Street]], ", ", Table1[[#This Row],[Billing City]], ", ", Table1[[#This Row],[Billing State/Province]], ", ", Table1[[#This Row],[Billing Zip/Postal Code]])</f>
        <v xml:space="preserve">, , , </v>
      </c>
    </row>
    <row r="4490" spans="1:13" ht="15.6" x14ac:dyDescent="0.3">
      <c r="A4490" s="1" t="s">
        <v>13076</v>
      </c>
      <c r="B4490" s="1"/>
      <c r="C4490" s="1"/>
      <c r="D4490" s="1"/>
      <c r="E4490" s="1"/>
      <c r="F4490" s="1"/>
      <c r="G4490" s="1" t="s">
        <v>24</v>
      </c>
      <c r="H4490" s="2">
        <v>5988</v>
      </c>
      <c r="I4490" s="1" t="s">
        <v>13</v>
      </c>
      <c r="J4490" s="1" t="s">
        <v>7899</v>
      </c>
      <c r="K4490" s="1" t="s">
        <v>951</v>
      </c>
      <c r="L4490" s="1" t="s">
        <v>13</v>
      </c>
      <c r="M4490" s="6" t="str">
        <f>_xlfn.CONCAT(Table1[[#This Row],[Billing Street]], ", ", Table1[[#This Row],[Billing City]], ", ", Table1[[#This Row],[Billing State/Province]], ", ", Table1[[#This Row],[Billing Zip/Postal Code]])</f>
        <v xml:space="preserve">, Ripley, Ms, </v>
      </c>
    </row>
    <row r="4491" spans="1:13" ht="15.6" x14ac:dyDescent="0.3">
      <c r="A4491" s="1" t="s">
        <v>13077</v>
      </c>
      <c r="B4491" s="1"/>
      <c r="C4491" s="1"/>
      <c r="D4491" s="1"/>
      <c r="E4491" s="1"/>
      <c r="F4491" s="1"/>
      <c r="G4491" s="1" t="s">
        <v>24</v>
      </c>
      <c r="H4491" s="2">
        <v>320</v>
      </c>
      <c r="I4491" s="1" t="s">
        <v>13078</v>
      </c>
      <c r="J4491" s="1" t="s">
        <v>3184</v>
      </c>
      <c r="K4491" s="1" t="s">
        <v>31</v>
      </c>
      <c r="L4491" s="1" t="s">
        <v>6312</v>
      </c>
      <c r="M4491" s="6" t="str">
        <f>_xlfn.CONCAT(Table1[[#This Row],[Billing Street]], ", ", Table1[[#This Row],[Billing City]], ", ", Table1[[#This Row],[Billing State/Province]], ", ", Table1[[#This Row],[Billing Zip/Postal Code]])</f>
        <v>10 Skyline Drive, Oxford, MS, 38655</v>
      </c>
    </row>
    <row r="4492" spans="1:13" ht="15.6" hidden="1" x14ac:dyDescent="0.3">
      <c r="A4492" s="1" t="s">
        <v>13079</v>
      </c>
      <c r="B4492" s="1"/>
      <c r="C4492" s="1"/>
      <c r="D4492" s="1"/>
      <c r="E4492" s="1"/>
      <c r="F4492" s="1"/>
      <c r="G4492" s="1" t="s">
        <v>13</v>
      </c>
      <c r="H4492" s="2">
        <v>0</v>
      </c>
      <c r="I4492" s="1" t="s">
        <v>13</v>
      </c>
      <c r="J4492" s="1" t="s">
        <v>13</v>
      </c>
      <c r="K4492" s="1" t="s">
        <v>13</v>
      </c>
      <c r="L4492" s="1" t="s">
        <v>13</v>
      </c>
      <c r="M4492" s="6" t="str">
        <f>_xlfn.CONCAT(Table1[[#This Row],[Billing Street]], ", ", Table1[[#This Row],[Billing City]], ", ", Table1[[#This Row],[Billing State/Province]], ", ", Table1[[#This Row],[Billing Zip/Postal Code]])</f>
        <v xml:space="preserve">, , , </v>
      </c>
    </row>
    <row r="4493" spans="1:13" ht="15.6" hidden="1" x14ac:dyDescent="0.3">
      <c r="A4493" s="1" t="s">
        <v>13080</v>
      </c>
      <c r="B4493" s="1"/>
      <c r="C4493" s="1"/>
      <c r="D4493" s="1"/>
      <c r="E4493" s="1"/>
      <c r="F4493" s="1"/>
      <c r="G4493" s="1" t="s">
        <v>13</v>
      </c>
      <c r="H4493" s="2">
        <v>0</v>
      </c>
      <c r="I4493" s="1" t="s">
        <v>13</v>
      </c>
      <c r="J4493" s="1" t="s">
        <v>13</v>
      </c>
      <c r="K4493" s="1" t="s">
        <v>13</v>
      </c>
      <c r="L4493" s="1" t="s">
        <v>13</v>
      </c>
      <c r="M4493" s="6" t="str">
        <f>_xlfn.CONCAT(Table1[[#This Row],[Billing Street]], ", ", Table1[[#This Row],[Billing City]], ", ", Table1[[#This Row],[Billing State/Province]], ", ", Table1[[#This Row],[Billing Zip/Postal Code]])</f>
        <v xml:space="preserve">, , , </v>
      </c>
    </row>
    <row r="4494" spans="1:13" ht="15.6" hidden="1" x14ac:dyDescent="0.3">
      <c r="A4494" s="1" t="s">
        <v>13081</v>
      </c>
      <c r="B4494" s="1"/>
      <c r="C4494" s="1"/>
      <c r="D4494" s="1"/>
      <c r="E4494" s="1"/>
      <c r="F4494" s="1"/>
      <c r="G4494" s="1" t="s">
        <v>13</v>
      </c>
      <c r="H4494" s="2">
        <v>0</v>
      </c>
      <c r="I4494" s="1" t="s">
        <v>13</v>
      </c>
      <c r="J4494" s="1" t="s">
        <v>13</v>
      </c>
      <c r="K4494" s="1" t="s">
        <v>13</v>
      </c>
      <c r="L4494" s="1" t="s">
        <v>13</v>
      </c>
      <c r="M4494" s="6" t="str">
        <f>_xlfn.CONCAT(Table1[[#This Row],[Billing Street]], ", ", Table1[[#This Row],[Billing City]], ", ", Table1[[#This Row],[Billing State/Province]], ", ", Table1[[#This Row],[Billing Zip/Postal Code]])</f>
        <v xml:space="preserve">, , , </v>
      </c>
    </row>
    <row r="4495" spans="1:13" ht="15.6" hidden="1" x14ac:dyDescent="0.3">
      <c r="A4495" s="1" t="s">
        <v>13082</v>
      </c>
      <c r="B4495" s="1"/>
      <c r="C4495" s="1"/>
      <c r="D4495" s="1"/>
      <c r="E4495" s="1"/>
      <c r="F4495" s="1"/>
      <c r="G4495" s="1" t="s">
        <v>98</v>
      </c>
      <c r="H4495" s="2">
        <v>206</v>
      </c>
      <c r="I4495" s="1" t="s">
        <v>13083</v>
      </c>
      <c r="J4495" s="1" t="s">
        <v>1628</v>
      </c>
      <c r="K4495" s="1" t="s">
        <v>13084</v>
      </c>
      <c r="L4495" s="1" t="s">
        <v>4697</v>
      </c>
      <c r="M4495" s="6" t="str">
        <f>_xlfn.CONCAT(Table1[[#This Row],[Billing Street]], ", ", Table1[[#This Row],[Billing City]], ", ", Table1[[#This Row],[Billing State/Province]], ", ", Table1[[#This Row],[Billing Zip/Postal Code]])</f>
        <v>7910 Mt. Joy Road, Mt. Pleasant, tn, 38474</v>
      </c>
    </row>
    <row r="4496" spans="1:13" ht="15.6" hidden="1" x14ac:dyDescent="0.3">
      <c r="A4496" s="1" t="s">
        <v>13085</v>
      </c>
      <c r="B4496" s="1"/>
      <c r="C4496" s="1"/>
      <c r="D4496" s="1"/>
      <c r="E4496" s="1"/>
      <c r="F4496" s="1"/>
      <c r="G4496" s="1" t="s">
        <v>13</v>
      </c>
      <c r="H4496" s="2">
        <v>0</v>
      </c>
      <c r="I4496" s="1" t="s">
        <v>13</v>
      </c>
      <c r="J4496" s="1" t="s">
        <v>13</v>
      </c>
      <c r="K4496" s="1" t="s">
        <v>13</v>
      </c>
      <c r="L4496" s="1" t="s">
        <v>13</v>
      </c>
      <c r="M4496" s="6" t="str">
        <f>_xlfn.CONCAT(Table1[[#This Row],[Billing Street]], ", ", Table1[[#This Row],[Billing City]], ", ", Table1[[#This Row],[Billing State/Province]], ", ", Table1[[#This Row],[Billing Zip/Postal Code]])</f>
        <v xml:space="preserve">, , , </v>
      </c>
    </row>
    <row r="4497" spans="1:13" ht="15.6" hidden="1" x14ac:dyDescent="0.3">
      <c r="A4497" s="1" t="s">
        <v>13086</v>
      </c>
      <c r="B4497" s="1"/>
      <c r="C4497" s="1"/>
      <c r="D4497" s="1"/>
      <c r="E4497" s="1"/>
      <c r="F4497" s="1"/>
      <c r="G4497" s="1" t="s">
        <v>13</v>
      </c>
      <c r="H4497" s="2">
        <v>0</v>
      </c>
      <c r="I4497" s="1" t="s">
        <v>13</v>
      </c>
      <c r="J4497" s="1" t="s">
        <v>13</v>
      </c>
      <c r="K4497" s="1" t="s">
        <v>13</v>
      </c>
      <c r="L4497" s="1" t="s">
        <v>13</v>
      </c>
      <c r="M4497" s="6" t="str">
        <f>_xlfn.CONCAT(Table1[[#This Row],[Billing Street]], ", ", Table1[[#This Row],[Billing City]], ", ", Table1[[#This Row],[Billing State/Province]], ", ", Table1[[#This Row],[Billing Zip/Postal Code]])</f>
        <v xml:space="preserve">, , , </v>
      </c>
    </row>
    <row r="4498" spans="1:13" ht="15.6" hidden="1" x14ac:dyDescent="0.3">
      <c r="A4498" s="1" t="s">
        <v>13087</v>
      </c>
      <c r="B4498" s="1"/>
      <c r="C4498" s="1"/>
      <c r="D4498" s="1"/>
      <c r="E4498" s="1"/>
      <c r="F4498" s="1"/>
      <c r="G4498" s="1" t="s">
        <v>48</v>
      </c>
      <c r="H4498" s="2">
        <v>0</v>
      </c>
      <c r="I4498" s="1" t="s">
        <v>13088</v>
      </c>
      <c r="J4498" s="1" t="s">
        <v>3742</v>
      </c>
      <c r="K4498" s="1" t="s">
        <v>128</v>
      </c>
      <c r="L4498" s="1" t="s">
        <v>3743</v>
      </c>
      <c r="M4498" s="6" t="str">
        <f>_xlfn.CONCAT(Table1[[#This Row],[Billing Street]], ", ", Table1[[#This Row],[Billing City]], ", ", Table1[[#This Row],[Billing State/Province]], ", ", Table1[[#This Row],[Billing Zip/Postal Code]])</f>
        <v>3555 280th Street W, Northfield, MN, 55057</v>
      </c>
    </row>
    <row r="4499" spans="1:13" ht="15.6" hidden="1" x14ac:dyDescent="0.3">
      <c r="A4499" s="1" t="s">
        <v>13089</v>
      </c>
      <c r="B4499" s="1"/>
      <c r="C4499" s="1"/>
      <c r="D4499" s="1"/>
      <c r="E4499" s="1"/>
      <c r="F4499" s="1"/>
      <c r="G4499" s="1" t="s">
        <v>13</v>
      </c>
      <c r="H4499" s="2">
        <v>0</v>
      </c>
      <c r="I4499" s="1" t="s">
        <v>13</v>
      </c>
      <c r="J4499" s="1" t="s">
        <v>13</v>
      </c>
      <c r="K4499" s="1" t="s">
        <v>13</v>
      </c>
      <c r="L4499" s="1" t="s">
        <v>13</v>
      </c>
      <c r="M4499" s="6" t="str">
        <f>_xlfn.CONCAT(Table1[[#This Row],[Billing Street]], ", ", Table1[[#This Row],[Billing City]], ", ", Table1[[#This Row],[Billing State/Province]], ", ", Table1[[#This Row],[Billing Zip/Postal Code]])</f>
        <v xml:space="preserve">, , , </v>
      </c>
    </row>
    <row r="4500" spans="1:13" ht="15.6" hidden="1" x14ac:dyDescent="0.3">
      <c r="A4500" s="1" t="s">
        <v>13090</v>
      </c>
      <c r="B4500" s="1"/>
      <c r="C4500" s="1"/>
      <c r="D4500" s="1"/>
      <c r="E4500" s="1"/>
      <c r="F4500" s="1"/>
      <c r="G4500" s="1" t="s">
        <v>13</v>
      </c>
      <c r="H4500" s="2">
        <v>0</v>
      </c>
      <c r="I4500" s="1" t="s">
        <v>13</v>
      </c>
      <c r="J4500" s="1" t="s">
        <v>13</v>
      </c>
      <c r="K4500" s="1" t="s">
        <v>13</v>
      </c>
      <c r="L4500" s="1" t="s">
        <v>13</v>
      </c>
      <c r="M4500" s="6" t="str">
        <f>_xlfn.CONCAT(Table1[[#This Row],[Billing Street]], ", ", Table1[[#This Row],[Billing City]], ", ", Table1[[#This Row],[Billing State/Province]], ", ", Table1[[#This Row],[Billing Zip/Postal Code]])</f>
        <v xml:space="preserve">, , , </v>
      </c>
    </row>
    <row r="4501" spans="1:13" ht="15.6" hidden="1" x14ac:dyDescent="0.3">
      <c r="A4501" s="1" t="s">
        <v>13091</v>
      </c>
      <c r="B4501" s="1"/>
      <c r="C4501" s="1"/>
      <c r="D4501" s="1"/>
      <c r="E4501" s="1"/>
      <c r="F4501" s="1"/>
      <c r="G4501" s="1" t="s">
        <v>13</v>
      </c>
      <c r="H4501" s="2">
        <v>0</v>
      </c>
      <c r="I4501" s="1" t="s">
        <v>13</v>
      </c>
      <c r="J4501" s="1" t="s">
        <v>13</v>
      </c>
      <c r="K4501" s="1" t="s">
        <v>13</v>
      </c>
      <c r="L4501" s="1" t="s">
        <v>13</v>
      </c>
      <c r="M4501" s="6" t="str">
        <f>_xlfn.CONCAT(Table1[[#This Row],[Billing Street]], ", ", Table1[[#This Row],[Billing City]], ", ", Table1[[#This Row],[Billing State/Province]], ", ", Table1[[#This Row],[Billing Zip/Postal Code]])</f>
        <v xml:space="preserve">, , , </v>
      </c>
    </row>
    <row r="4502" spans="1:13" ht="15.6" hidden="1" x14ac:dyDescent="0.3">
      <c r="A4502" s="1" t="s">
        <v>13092</v>
      </c>
      <c r="B4502" s="1"/>
      <c r="C4502" s="1"/>
      <c r="D4502" s="1"/>
      <c r="E4502" s="1"/>
      <c r="F4502" s="1"/>
      <c r="G4502" s="1" t="s">
        <v>13</v>
      </c>
      <c r="H4502" s="2">
        <v>0</v>
      </c>
      <c r="I4502" s="1" t="s">
        <v>13</v>
      </c>
      <c r="J4502" s="1" t="s">
        <v>13</v>
      </c>
      <c r="K4502" s="1" t="s">
        <v>13</v>
      </c>
      <c r="L4502" s="1" t="s">
        <v>13</v>
      </c>
      <c r="M4502" s="6" t="str">
        <f>_xlfn.CONCAT(Table1[[#This Row],[Billing Street]], ", ", Table1[[#This Row],[Billing City]], ", ", Table1[[#This Row],[Billing State/Province]], ", ", Table1[[#This Row],[Billing Zip/Postal Code]])</f>
        <v xml:space="preserve">, , , </v>
      </c>
    </row>
    <row r="4503" spans="1:13" ht="15.6" hidden="1" x14ac:dyDescent="0.3">
      <c r="A4503" s="1" t="s">
        <v>13093</v>
      </c>
      <c r="B4503" s="1"/>
      <c r="C4503" s="1"/>
      <c r="D4503" s="1"/>
      <c r="E4503" s="1"/>
      <c r="F4503" s="1"/>
      <c r="G4503" s="1" t="s">
        <v>43</v>
      </c>
      <c r="H4503" s="2">
        <v>5776</v>
      </c>
      <c r="I4503" s="1" t="s">
        <v>13</v>
      </c>
      <c r="J4503" s="1" t="s">
        <v>4683</v>
      </c>
      <c r="K4503" s="1" t="s">
        <v>45</v>
      </c>
      <c r="L4503" s="1" t="s">
        <v>13</v>
      </c>
      <c r="M4503" s="6" t="str">
        <f>_xlfn.CONCAT(Table1[[#This Row],[Billing Street]], ", ", Table1[[#This Row],[Billing City]], ", ", Table1[[#This Row],[Billing State/Province]], ", ", Table1[[#This Row],[Billing Zip/Postal Code]])</f>
        <v xml:space="preserve">, Cincinnati, OH, </v>
      </c>
    </row>
    <row r="4504" spans="1:13" ht="15.6" hidden="1" x14ac:dyDescent="0.3">
      <c r="A4504" s="1" t="s">
        <v>13094</v>
      </c>
      <c r="B4504" s="1"/>
      <c r="C4504" s="1"/>
      <c r="D4504" s="1"/>
      <c r="E4504" s="1"/>
      <c r="F4504" s="1"/>
      <c r="G4504" s="1" t="s">
        <v>8</v>
      </c>
      <c r="H4504" s="2">
        <v>244</v>
      </c>
      <c r="I4504" s="1" t="s">
        <v>13095</v>
      </c>
      <c r="J4504" s="1" t="s">
        <v>4744</v>
      </c>
      <c r="K4504" s="1" t="s">
        <v>165</v>
      </c>
      <c r="L4504" s="1" t="s">
        <v>5216</v>
      </c>
      <c r="M4504" s="6" t="str">
        <f>_xlfn.CONCAT(Table1[[#This Row],[Billing Street]], ", ", Table1[[#This Row],[Billing City]], ", ", Table1[[#This Row],[Billing State/Province]], ", ", Table1[[#This Row],[Billing Zip/Postal Code]])</f>
        <v>3306 Ridge Rd, North Little Rock, AR, 72209</v>
      </c>
    </row>
    <row r="4505" spans="1:13" ht="15.6" hidden="1" x14ac:dyDescent="0.3">
      <c r="A4505" s="1" t="s">
        <v>13096</v>
      </c>
      <c r="B4505" s="1"/>
      <c r="C4505" s="1"/>
      <c r="D4505" s="1"/>
      <c r="E4505" s="1"/>
      <c r="F4505" s="1"/>
      <c r="G4505" s="1" t="s">
        <v>13</v>
      </c>
      <c r="H4505" s="2">
        <v>0</v>
      </c>
      <c r="I4505" s="1" t="s">
        <v>13</v>
      </c>
      <c r="J4505" s="1" t="s">
        <v>13</v>
      </c>
      <c r="K4505" s="1" t="s">
        <v>13</v>
      </c>
      <c r="L4505" s="1" t="s">
        <v>13</v>
      </c>
      <c r="M4505" s="6" t="str">
        <f>_xlfn.CONCAT(Table1[[#This Row],[Billing Street]], ", ", Table1[[#This Row],[Billing City]], ", ", Table1[[#This Row],[Billing State/Province]], ", ", Table1[[#This Row],[Billing Zip/Postal Code]])</f>
        <v xml:space="preserve">, , , </v>
      </c>
    </row>
    <row r="4506" spans="1:13" ht="15.6" hidden="1" x14ac:dyDescent="0.3">
      <c r="A4506" s="1" t="s">
        <v>13097</v>
      </c>
      <c r="B4506" s="1"/>
      <c r="C4506" s="1"/>
      <c r="D4506" s="1"/>
      <c r="E4506" s="1"/>
      <c r="F4506" s="1"/>
      <c r="G4506" s="1" t="s">
        <v>13</v>
      </c>
      <c r="H4506" s="2">
        <v>0</v>
      </c>
      <c r="I4506" s="1" t="s">
        <v>13</v>
      </c>
      <c r="J4506" s="1" t="s">
        <v>13</v>
      </c>
      <c r="K4506" s="1" t="s">
        <v>13</v>
      </c>
      <c r="L4506" s="1" t="s">
        <v>13</v>
      </c>
      <c r="M4506" s="6" t="str">
        <f>_xlfn.CONCAT(Table1[[#This Row],[Billing Street]], ", ", Table1[[#This Row],[Billing City]], ", ", Table1[[#This Row],[Billing State/Province]], ", ", Table1[[#This Row],[Billing Zip/Postal Code]])</f>
        <v xml:space="preserve">, , , </v>
      </c>
    </row>
    <row r="4507" spans="1:13" ht="15.6" hidden="1" x14ac:dyDescent="0.3">
      <c r="A4507" s="1" t="s">
        <v>13098</v>
      </c>
      <c r="B4507" s="1"/>
      <c r="C4507" s="1"/>
      <c r="D4507" s="1"/>
      <c r="E4507" s="1"/>
      <c r="F4507" s="1"/>
      <c r="G4507" s="1" t="s">
        <v>43</v>
      </c>
      <c r="H4507" s="2">
        <v>5776</v>
      </c>
      <c r="I4507" s="1" t="s">
        <v>13099</v>
      </c>
      <c r="J4507" s="1" t="s">
        <v>13100</v>
      </c>
      <c r="K4507" s="1" t="s">
        <v>4987</v>
      </c>
      <c r="L4507" s="1" t="s">
        <v>13101</v>
      </c>
      <c r="M4507" s="6" t="str">
        <f>_xlfn.CONCAT(Table1[[#This Row],[Billing Street]], ", ", Table1[[#This Row],[Billing City]], ", ", Table1[[#This Row],[Billing State/Province]], ", ", Table1[[#This Row],[Billing Zip/Postal Code]])</f>
        <v>17 Schwartz Rd., Bozrah, CT, 6334</v>
      </c>
    </row>
    <row r="4508" spans="1:13" ht="15.6" x14ac:dyDescent="0.3">
      <c r="A4508" s="1" t="s">
        <v>13102</v>
      </c>
      <c r="B4508" s="1"/>
      <c r="C4508" s="1"/>
      <c r="D4508" s="1"/>
      <c r="E4508" s="1"/>
      <c r="F4508" s="1"/>
      <c r="G4508" s="1" t="s">
        <v>24</v>
      </c>
      <c r="H4508" s="2">
        <v>376</v>
      </c>
      <c r="I4508" s="1" t="s">
        <v>13103</v>
      </c>
      <c r="J4508" s="1" t="s">
        <v>13104</v>
      </c>
      <c r="K4508" s="1" t="s">
        <v>3357</v>
      </c>
      <c r="L4508" s="1" t="s">
        <v>13105</v>
      </c>
      <c r="M4508" s="6" t="str">
        <f>_xlfn.CONCAT(Table1[[#This Row],[Billing Street]], ", ", Table1[[#This Row],[Billing City]], ", ", Table1[[#This Row],[Billing State/Province]], ", ", Table1[[#This Row],[Billing Zip/Postal Code]])</f>
        <v>2901 Cypress Street, West Monroe, La, 71291</v>
      </c>
    </row>
    <row r="4509" spans="1:13" ht="15.6" hidden="1" x14ac:dyDescent="0.3">
      <c r="A4509" s="1" t="s">
        <v>13106</v>
      </c>
      <c r="B4509" s="1"/>
      <c r="C4509" s="1"/>
      <c r="D4509" s="1"/>
      <c r="E4509" s="1"/>
      <c r="F4509" s="1"/>
      <c r="G4509" s="1" t="s">
        <v>98</v>
      </c>
      <c r="H4509" s="2">
        <v>336</v>
      </c>
      <c r="I4509" s="1" t="s">
        <v>13107</v>
      </c>
      <c r="J4509" s="1" t="s">
        <v>5019</v>
      </c>
      <c r="K4509" s="1" t="s">
        <v>1135</v>
      </c>
      <c r="L4509" s="1" t="s">
        <v>13108</v>
      </c>
      <c r="M4509" s="6" t="str">
        <f>_xlfn.CONCAT(Table1[[#This Row],[Billing Street]], ", ", Table1[[#This Row],[Billing City]], ", ", Table1[[#This Row],[Billing State/Province]], ", ", Table1[[#This Row],[Billing Zip/Postal Code]])</f>
        <v>2405 Pearson Rd, Memphis, TN, 38118</v>
      </c>
    </row>
    <row r="4510" spans="1:13" ht="15.6" x14ac:dyDescent="0.3">
      <c r="A4510" s="1" t="s">
        <v>13109</v>
      </c>
      <c r="B4510" s="1"/>
      <c r="C4510" s="1"/>
      <c r="D4510" s="1"/>
      <c r="E4510" s="1"/>
      <c r="F4510" s="1"/>
      <c r="G4510" s="1" t="s">
        <v>24</v>
      </c>
      <c r="H4510" s="2">
        <v>5988</v>
      </c>
      <c r="I4510" s="1" t="s">
        <v>13110</v>
      </c>
      <c r="J4510" s="1" t="s">
        <v>10193</v>
      </c>
      <c r="K4510" s="1" t="s">
        <v>10618</v>
      </c>
      <c r="L4510" s="1" t="s">
        <v>10194</v>
      </c>
      <c r="M4510" s="6" t="str">
        <f>_xlfn.CONCAT(Table1[[#This Row],[Billing Street]], ", ", Table1[[#This Row],[Billing City]], ", ", Table1[[#This Row],[Billing State/Province]], ", ", Table1[[#This Row],[Billing Zip/Postal Code]])</f>
        <v>16243 Highway 216, Brookwood, Al, 35444</v>
      </c>
    </row>
    <row r="4511" spans="1:13" ht="15.6" hidden="1" x14ac:dyDescent="0.3">
      <c r="A4511" s="1" t="s">
        <v>13111</v>
      </c>
      <c r="B4511" s="1"/>
      <c r="C4511" s="1"/>
      <c r="D4511" s="1"/>
      <c r="E4511" s="1"/>
      <c r="F4511" s="1"/>
      <c r="G4511" s="1" t="s">
        <v>13</v>
      </c>
      <c r="H4511" s="2">
        <v>0</v>
      </c>
      <c r="I4511" s="1" t="s">
        <v>13</v>
      </c>
      <c r="J4511" s="1" t="s">
        <v>13</v>
      </c>
      <c r="K4511" s="1" t="s">
        <v>13</v>
      </c>
      <c r="L4511" s="1" t="s">
        <v>13</v>
      </c>
      <c r="M4511" s="6" t="str">
        <f>_xlfn.CONCAT(Table1[[#This Row],[Billing Street]], ", ", Table1[[#This Row],[Billing City]], ", ", Table1[[#This Row],[Billing State/Province]], ", ", Table1[[#This Row],[Billing Zip/Postal Code]])</f>
        <v xml:space="preserve">, , , </v>
      </c>
    </row>
    <row r="4512" spans="1:13" ht="15.6" hidden="1" x14ac:dyDescent="0.3">
      <c r="A4512" s="1" t="s">
        <v>13112</v>
      </c>
      <c r="B4512" s="1"/>
      <c r="C4512" s="1"/>
      <c r="D4512" s="1"/>
      <c r="E4512" s="1"/>
      <c r="F4512" s="1"/>
      <c r="G4512" s="1" t="s">
        <v>13</v>
      </c>
      <c r="H4512" s="2">
        <v>0</v>
      </c>
      <c r="I4512" s="1" t="s">
        <v>13</v>
      </c>
      <c r="J4512" s="1" t="s">
        <v>13</v>
      </c>
      <c r="K4512" s="1" t="s">
        <v>13</v>
      </c>
      <c r="L4512" s="1" t="s">
        <v>13</v>
      </c>
      <c r="M4512" s="6" t="str">
        <f>_xlfn.CONCAT(Table1[[#This Row],[Billing Street]], ", ", Table1[[#This Row],[Billing City]], ", ", Table1[[#This Row],[Billing State/Province]], ", ", Table1[[#This Row],[Billing Zip/Postal Code]])</f>
        <v xml:space="preserve">, , , </v>
      </c>
    </row>
    <row r="4513" spans="1:13" ht="15.6" hidden="1" x14ac:dyDescent="0.3">
      <c r="A4513" s="1" t="s">
        <v>13113</v>
      </c>
      <c r="B4513" s="1"/>
      <c r="C4513" s="1"/>
      <c r="D4513" s="1"/>
      <c r="E4513" s="1"/>
      <c r="F4513" s="1"/>
      <c r="G4513" s="1" t="s">
        <v>8</v>
      </c>
      <c r="H4513" s="2">
        <v>456</v>
      </c>
      <c r="I4513" s="1" t="s">
        <v>13114</v>
      </c>
      <c r="J4513" s="1" t="s">
        <v>637</v>
      </c>
      <c r="K4513" s="1" t="s">
        <v>128</v>
      </c>
      <c r="L4513" s="1" t="s">
        <v>13115</v>
      </c>
      <c r="M4513" s="6" t="str">
        <f>_xlfn.CONCAT(Table1[[#This Row],[Billing Street]], ", ", Table1[[#This Row],[Billing City]], ", ", Table1[[#This Row],[Billing State/Province]], ", ", Table1[[#This Row],[Billing Zip/Postal Code]])</f>
        <v>US Highway 71, Jackson, MN, 56143-0069</v>
      </c>
    </row>
    <row r="4514" spans="1:13" ht="15.6" hidden="1" x14ac:dyDescent="0.3">
      <c r="A4514" s="1" t="s">
        <v>13116</v>
      </c>
      <c r="B4514" s="1"/>
      <c r="C4514" s="1"/>
      <c r="D4514" s="1"/>
      <c r="E4514" s="1"/>
      <c r="F4514" s="1"/>
      <c r="G4514" s="1" t="s">
        <v>13</v>
      </c>
      <c r="H4514" s="2">
        <v>0</v>
      </c>
      <c r="I4514" s="1" t="s">
        <v>13</v>
      </c>
      <c r="J4514" s="1" t="s">
        <v>13</v>
      </c>
      <c r="K4514" s="1" t="s">
        <v>13</v>
      </c>
      <c r="L4514" s="1" t="s">
        <v>13</v>
      </c>
      <c r="M4514" s="6" t="str">
        <f>_xlfn.CONCAT(Table1[[#This Row],[Billing Street]], ", ", Table1[[#This Row],[Billing City]], ", ", Table1[[#This Row],[Billing State/Province]], ", ", Table1[[#This Row],[Billing Zip/Postal Code]])</f>
        <v xml:space="preserve">, , , </v>
      </c>
    </row>
    <row r="4515" spans="1:13" ht="15.6" hidden="1" x14ac:dyDescent="0.3">
      <c r="A4515" s="1" t="s">
        <v>10731</v>
      </c>
      <c r="B4515" s="1"/>
      <c r="C4515" s="1"/>
      <c r="D4515" s="1"/>
      <c r="E4515" s="1"/>
      <c r="F4515" s="1"/>
      <c r="G4515" s="1" t="s">
        <v>13</v>
      </c>
      <c r="H4515" s="2">
        <v>0</v>
      </c>
      <c r="I4515" s="1" t="s">
        <v>13</v>
      </c>
      <c r="J4515" s="1" t="s">
        <v>13</v>
      </c>
      <c r="K4515" s="1" t="s">
        <v>13</v>
      </c>
      <c r="L4515" s="1" t="s">
        <v>13</v>
      </c>
      <c r="M4515" s="6" t="str">
        <f>_xlfn.CONCAT(Table1[[#This Row],[Billing Street]], ", ", Table1[[#This Row],[Billing City]], ", ", Table1[[#This Row],[Billing State/Province]], ", ", Table1[[#This Row],[Billing Zip/Postal Code]])</f>
        <v xml:space="preserve">, , , </v>
      </c>
    </row>
    <row r="4516" spans="1:13" ht="15.6" hidden="1" x14ac:dyDescent="0.3">
      <c r="A4516" s="1" t="s">
        <v>13117</v>
      </c>
      <c r="B4516" s="1"/>
      <c r="C4516" s="1"/>
      <c r="D4516" s="1"/>
      <c r="E4516" s="1"/>
      <c r="F4516" s="1"/>
      <c r="G4516" s="1" t="s">
        <v>13</v>
      </c>
      <c r="H4516" s="2">
        <v>0</v>
      </c>
      <c r="I4516" s="1" t="s">
        <v>13</v>
      </c>
      <c r="J4516" s="1" t="s">
        <v>13</v>
      </c>
      <c r="K4516" s="1" t="s">
        <v>13</v>
      </c>
      <c r="L4516" s="1" t="s">
        <v>13</v>
      </c>
      <c r="M4516" s="6" t="str">
        <f>_xlfn.CONCAT(Table1[[#This Row],[Billing Street]], ", ", Table1[[#This Row],[Billing City]], ", ", Table1[[#This Row],[Billing State/Province]], ", ", Table1[[#This Row],[Billing Zip/Postal Code]])</f>
        <v xml:space="preserve">, , , </v>
      </c>
    </row>
    <row r="4517" spans="1:13" ht="15.6" hidden="1" x14ac:dyDescent="0.3">
      <c r="A4517" s="1" t="s">
        <v>13118</v>
      </c>
      <c r="B4517" s="1"/>
      <c r="C4517" s="1"/>
      <c r="D4517" s="1"/>
      <c r="E4517" s="1"/>
      <c r="F4517" s="1"/>
      <c r="G4517" s="1" t="s">
        <v>13</v>
      </c>
      <c r="H4517" s="2">
        <v>0</v>
      </c>
      <c r="I4517" s="1" t="s">
        <v>13</v>
      </c>
      <c r="J4517" s="1" t="s">
        <v>13</v>
      </c>
      <c r="K4517" s="1" t="s">
        <v>13</v>
      </c>
      <c r="L4517" s="1" t="s">
        <v>13</v>
      </c>
      <c r="M4517" s="6" t="str">
        <f>_xlfn.CONCAT(Table1[[#This Row],[Billing Street]], ", ", Table1[[#This Row],[Billing City]], ", ", Table1[[#This Row],[Billing State/Province]], ", ", Table1[[#This Row],[Billing Zip/Postal Code]])</f>
        <v xml:space="preserve">, , , </v>
      </c>
    </row>
    <row r="4518" spans="1:13" ht="15.6" hidden="1" x14ac:dyDescent="0.3">
      <c r="A4518" s="1" t="s">
        <v>13119</v>
      </c>
      <c r="B4518" s="1"/>
      <c r="C4518" s="1"/>
      <c r="D4518" s="1"/>
      <c r="E4518" s="1"/>
      <c r="F4518" s="1"/>
      <c r="G4518" s="1" t="s">
        <v>13</v>
      </c>
      <c r="H4518" s="2">
        <v>0</v>
      </c>
      <c r="I4518" s="1" t="s">
        <v>13</v>
      </c>
      <c r="J4518" s="1" t="s">
        <v>13</v>
      </c>
      <c r="K4518" s="1" t="s">
        <v>13</v>
      </c>
      <c r="L4518" s="1" t="s">
        <v>13</v>
      </c>
      <c r="M4518" s="6" t="str">
        <f>_xlfn.CONCAT(Table1[[#This Row],[Billing Street]], ", ", Table1[[#This Row],[Billing City]], ", ", Table1[[#This Row],[Billing State/Province]], ", ", Table1[[#This Row],[Billing Zip/Postal Code]])</f>
        <v xml:space="preserve">, , , </v>
      </c>
    </row>
    <row r="4519" spans="1:13" ht="15.6" hidden="1" x14ac:dyDescent="0.3">
      <c r="A4519" s="1" t="s">
        <v>13120</v>
      </c>
      <c r="B4519" s="1"/>
      <c r="C4519" s="1"/>
      <c r="D4519" s="1"/>
      <c r="E4519" s="1"/>
      <c r="F4519" s="1"/>
      <c r="G4519" s="1" t="s">
        <v>13</v>
      </c>
      <c r="H4519" s="2">
        <v>0</v>
      </c>
      <c r="I4519" s="1" t="s">
        <v>13</v>
      </c>
      <c r="J4519" s="1" t="s">
        <v>13</v>
      </c>
      <c r="K4519" s="1" t="s">
        <v>13</v>
      </c>
      <c r="L4519" s="1" t="s">
        <v>13</v>
      </c>
      <c r="M4519" s="6" t="str">
        <f>_xlfn.CONCAT(Table1[[#This Row],[Billing Street]], ", ", Table1[[#This Row],[Billing City]], ", ", Table1[[#This Row],[Billing State/Province]], ", ", Table1[[#This Row],[Billing Zip/Postal Code]])</f>
        <v xml:space="preserve">, , , </v>
      </c>
    </row>
    <row r="4520" spans="1:13" ht="15.6" hidden="1" x14ac:dyDescent="0.3">
      <c r="A4520" s="1" t="s">
        <v>13121</v>
      </c>
      <c r="B4520" s="1"/>
      <c r="C4520" s="1"/>
      <c r="D4520" s="1"/>
      <c r="E4520" s="1"/>
      <c r="F4520" s="1"/>
      <c r="G4520" s="1" t="s">
        <v>205</v>
      </c>
      <c r="H4520" s="2">
        <v>5</v>
      </c>
      <c r="I4520" s="1" t="s">
        <v>13122</v>
      </c>
      <c r="J4520" s="1" t="s">
        <v>518</v>
      </c>
      <c r="K4520" s="1" t="s">
        <v>479</v>
      </c>
      <c r="L4520" s="1" t="s">
        <v>1063</v>
      </c>
      <c r="M4520" s="6" t="str">
        <f>_xlfn.CONCAT(Table1[[#This Row],[Billing Street]], ", ", Table1[[#This Row],[Billing City]], ", ", Table1[[#This Row],[Billing State/Province]], ", ", Table1[[#This Row],[Billing Zip/Postal Code]])</f>
        <v>3230 E Broadway Road Suite C-160, Phoenix, AZ, 85040</v>
      </c>
    </row>
    <row r="4521" spans="1:13" ht="15.6" hidden="1" x14ac:dyDescent="0.3">
      <c r="A4521" s="1" t="s">
        <v>13123</v>
      </c>
      <c r="B4521" s="1"/>
      <c r="C4521" s="1"/>
      <c r="D4521" s="1"/>
      <c r="E4521" s="1"/>
      <c r="F4521" s="1"/>
      <c r="G4521" s="1" t="s">
        <v>13</v>
      </c>
      <c r="H4521" s="2">
        <v>0</v>
      </c>
      <c r="I4521" s="1" t="s">
        <v>13</v>
      </c>
      <c r="J4521" s="1" t="s">
        <v>13</v>
      </c>
      <c r="K4521" s="1" t="s">
        <v>13</v>
      </c>
      <c r="L4521" s="1" t="s">
        <v>13</v>
      </c>
      <c r="M4521" s="6" t="str">
        <f>_xlfn.CONCAT(Table1[[#This Row],[Billing Street]], ", ", Table1[[#This Row],[Billing City]], ", ", Table1[[#This Row],[Billing State/Province]], ", ", Table1[[#This Row],[Billing Zip/Postal Code]])</f>
        <v xml:space="preserve">, , , </v>
      </c>
    </row>
    <row r="4522" spans="1:13" ht="15.6" hidden="1" x14ac:dyDescent="0.3">
      <c r="A4522" s="1" t="s">
        <v>13124</v>
      </c>
      <c r="B4522" s="1"/>
      <c r="C4522" s="1"/>
      <c r="D4522" s="1"/>
      <c r="E4522" s="1"/>
      <c r="F4522" s="1"/>
      <c r="G4522" s="1" t="s">
        <v>13</v>
      </c>
      <c r="H4522" s="2">
        <v>0</v>
      </c>
      <c r="I4522" s="1" t="s">
        <v>13</v>
      </c>
      <c r="J4522" s="1" t="s">
        <v>13</v>
      </c>
      <c r="K4522" s="1" t="s">
        <v>13</v>
      </c>
      <c r="L4522" s="1" t="s">
        <v>13</v>
      </c>
      <c r="M4522" s="6" t="str">
        <f>_xlfn.CONCAT(Table1[[#This Row],[Billing Street]], ", ", Table1[[#This Row],[Billing City]], ", ", Table1[[#This Row],[Billing State/Province]], ", ", Table1[[#This Row],[Billing Zip/Postal Code]])</f>
        <v xml:space="preserve">, , , </v>
      </c>
    </row>
    <row r="4523" spans="1:13" ht="15.6" hidden="1" x14ac:dyDescent="0.3">
      <c r="A4523" s="1" t="s">
        <v>13125</v>
      </c>
      <c r="B4523" s="1"/>
      <c r="C4523" s="1"/>
      <c r="D4523" s="1"/>
      <c r="E4523" s="1"/>
      <c r="F4523" s="1"/>
      <c r="G4523" s="1" t="s">
        <v>13</v>
      </c>
      <c r="H4523" s="2">
        <v>0</v>
      </c>
      <c r="I4523" s="1" t="s">
        <v>13</v>
      </c>
      <c r="J4523" s="1" t="s">
        <v>13</v>
      </c>
      <c r="K4523" s="1" t="s">
        <v>13</v>
      </c>
      <c r="L4523" s="1" t="s">
        <v>13</v>
      </c>
      <c r="M4523" s="6" t="str">
        <f>_xlfn.CONCAT(Table1[[#This Row],[Billing Street]], ", ", Table1[[#This Row],[Billing City]], ", ", Table1[[#This Row],[Billing State/Province]], ", ", Table1[[#This Row],[Billing Zip/Postal Code]])</f>
        <v xml:space="preserve">, , , </v>
      </c>
    </row>
    <row r="4524" spans="1:13" ht="15.6" x14ac:dyDescent="0.3">
      <c r="A4524" s="1" t="s">
        <v>13126</v>
      </c>
      <c r="B4524" s="1"/>
      <c r="C4524" s="1"/>
      <c r="D4524" s="1"/>
      <c r="E4524" s="1"/>
      <c r="F4524" s="1"/>
      <c r="G4524" s="1" t="s">
        <v>24</v>
      </c>
      <c r="H4524" s="2">
        <v>431</v>
      </c>
      <c r="I4524" s="1" t="s">
        <v>13127</v>
      </c>
      <c r="J4524" s="1" t="s">
        <v>13128</v>
      </c>
      <c r="K4524" s="1" t="s">
        <v>577</v>
      </c>
      <c r="L4524" s="1" t="s">
        <v>8254</v>
      </c>
      <c r="M4524" s="6" t="str">
        <f>_xlfn.CONCAT(Table1[[#This Row],[Billing Street]], ", ", Table1[[#This Row],[Billing City]], ", ", Table1[[#This Row],[Billing State/Province]], ", ", Table1[[#This Row],[Billing Zip/Postal Code]])</f>
        <v>3210 Metric Drive, Sulfer, LA, 70665</v>
      </c>
    </row>
    <row r="4525" spans="1:13" ht="15.6" hidden="1" x14ac:dyDescent="0.3">
      <c r="A4525" s="1" t="s">
        <v>13129</v>
      </c>
      <c r="B4525" s="1"/>
      <c r="C4525" s="1"/>
      <c r="D4525" s="1"/>
      <c r="E4525" s="1"/>
      <c r="F4525" s="1"/>
      <c r="G4525" s="1" t="s">
        <v>13</v>
      </c>
      <c r="H4525" s="2">
        <v>0</v>
      </c>
      <c r="I4525" s="1" t="s">
        <v>13</v>
      </c>
      <c r="J4525" s="1" t="s">
        <v>13</v>
      </c>
      <c r="K4525" s="1" t="s">
        <v>13</v>
      </c>
      <c r="L4525" s="1" t="s">
        <v>13</v>
      </c>
      <c r="M4525" s="6" t="str">
        <f>_xlfn.CONCAT(Table1[[#This Row],[Billing Street]], ", ", Table1[[#This Row],[Billing City]], ", ", Table1[[#This Row],[Billing State/Province]], ", ", Table1[[#This Row],[Billing Zip/Postal Code]])</f>
        <v xml:space="preserve">, , , </v>
      </c>
    </row>
    <row r="4526" spans="1:13" ht="15.6" hidden="1" x14ac:dyDescent="0.3">
      <c r="A4526" s="1" t="s">
        <v>13130</v>
      </c>
      <c r="B4526" s="1"/>
      <c r="C4526" s="1"/>
      <c r="D4526" s="1"/>
      <c r="E4526" s="1"/>
      <c r="F4526" s="1"/>
      <c r="G4526" s="1" t="s">
        <v>13</v>
      </c>
      <c r="H4526" s="2">
        <v>0</v>
      </c>
      <c r="I4526" s="1" t="s">
        <v>13</v>
      </c>
      <c r="J4526" s="1" t="s">
        <v>13</v>
      </c>
      <c r="K4526" s="1" t="s">
        <v>13</v>
      </c>
      <c r="L4526" s="1" t="s">
        <v>13</v>
      </c>
      <c r="M4526" s="6" t="str">
        <f>_xlfn.CONCAT(Table1[[#This Row],[Billing Street]], ", ", Table1[[#This Row],[Billing City]], ", ", Table1[[#This Row],[Billing State/Province]], ", ", Table1[[#This Row],[Billing Zip/Postal Code]])</f>
        <v xml:space="preserve">, , , </v>
      </c>
    </row>
    <row r="4527" spans="1:13" ht="15.6" hidden="1" x14ac:dyDescent="0.3">
      <c r="A4527" s="1" t="s">
        <v>13131</v>
      </c>
      <c r="B4527" s="1"/>
      <c r="C4527" s="1"/>
      <c r="D4527" s="1"/>
      <c r="E4527" s="1"/>
      <c r="F4527" s="1"/>
      <c r="G4527" s="1" t="s">
        <v>13</v>
      </c>
      <c r="H4527" s="2">
        <v>0</v>
      </c>
      <c r="I4527" s="1" t="s">
        <v>13</v>
      </c>
      <c r="J4527" s="1" t="s">
        <v>13</v>
      </c>
      <c r="K4527" s="1" t="s">
        <v>13</v>
      </c>
      <c r="L4527" s="1" t="s">
        <v>13</v>
      </c>
      <c r="M4527" s="6" t="str">
        <f>_xlfn.CONCAT(Table1[[#This Row],[Billing Street]], ", ", Table1[[#This Row],[Billing City]], ", ", Table1[[#This Row],[Billing State/Province]], ", ", Table1[[#This Row],[Billing Zip/Postal Code]])</f>
        <v xml:space="preserve">, , , </v>
      </c>
    </row>
    <row r="4528" spans="1:13" ht="15.6" hidden="1" x14ac:dyDescent="0.3">
      <c r="A4528" s="1" t="s">
        <v>13132</v>
      </c>
      <c r="B4528" s="1"/>
      <c r="C4528" s="1"/>
      <c r="D4528" s="1"/>
      <c r="E4528" s="1"/>
      <c r="F4528" s="1"/>
      <c r="G4528" s="1" t="s">
        <v>43</v>
      </c>
      <c r="H4528" s="2">
        <v>5776</v>
      </c>
      <c r="I4528" s="1" t="s">
        <v>13</v>
      </c>
      <c r="J4528" s="1" t="s">
        <v>13133</v>
      </c>
      <c r="K4528" s="1" t="s">
        <v>237</v>
      </c>
      <c r="L4528" s="1" t="s">
        <v>13</v>
      </c>
      <c r="M4528" s="6" t="str">
        <f>_xlfn.CONCAT(Table1[[#This Row],[Billing Street]], ", ", Table1[[#This Row],[Billing City]], ", ", Table1[[#This Row],[Billing State/Province]], ", ", Table1[[#This Row],[Billing Zip/Postal Code]])</f>
        <v xml:space="preserve">, Farmersburg, IN, </v>
      </c>
    </row>
    <row r="4529" spans="1:13" ht="15.6" hidden="1" x14ac:dyDescent="0.3">
      <c r="A4529" s="1" t="s">
        <v>13134</v>
      </c>
      <c r="B4529" s="1"/>
      <c r="C4529" s="1"/>
      <c r="D4529" s="1"/>
      <c r="E4529" s="1"/>
      <c r="F4529" s="1"/>
      <c r="G4529" s="1" t="s">
        <v>13</v>
      </c>
      <c r="H4529" s="2">
        <v>0</v>
      </c>
      <c r="I4529" s="1" t="s">
        <v>13</v>
      </c>
      <c r="J4529" s="1" t="s">
        <v>13</v>
      </c>
      <c r="K4529" s="1" t="s">
        <v>13</v>
      </c>
      <c r="L4529" s="1" t="s">
        <v>13</v>
      </c>
      <c r="M4529" s="6" t="str">
        <f>_xlfn.CONCAT(Table1[[#This Row],[Billing Street]], ", ", Table1[[#This Row],[Billing City]], ", ", Table1[[#This Row],[Billing State/Province]], ", ", Table1[[#This Row],[Billing Zip/Postal Code]])</f>
        <v xml:space="preserve">, , , </v>
      </c>
    </row>
    <row r="4530" spans="1:13" ht="15.6" hidden="1" x14ac:dyDescent="0.3">
      <c r="A4530" s="1" t="s">
        <v>13135</v>
      </c>
      <c r="B4530" s="1"/>
      <c r="C4530" s="1"/>
      <c r="D4530" s="1"/>
      <c r="E4530" s="1"/>
      <c r="F4530" s="1"/>
      <c r="G4530" s="1" t="s">
        <v>13</v>
      </c>
      <c r="H4530" s="2">
        <v>0</v>
      </c>
      <c r="I4530" s="1" t="s">
        <v>13</v>
      </c>
      <c r="J4530" s="1" t="s">
        <v>13</v>
      </c>
      <c r="K4530" s="1" t="s">
        <v>13</v>
      </c>
      <c r="L4530" s="1" t="s">
        <v>13</v>
      </c>
      <c r="M4530" s="6" t="str">
        <f>_xlfn.CONCAT(Table1[[#This Row],[Billing Street]], ", ", Table1[[#This Row],[Billing City]], ", ", Table1[[#This Row],[Billing State/Province]], ", ", Table1[[#This Row],[Billing Zip/Postal Code]])</f>
        <v xml:space="preserve">, , , </v>
      </c>
    </row>
    <row r="4531" spans="1:13" ht="15.6" hidden="1" x14ac:dyDescent="0.3">
      <c r="A4531" s="1" t="s">
        <v>13136</v>
      </c>
      <c r="B4531" s="1"/>
      <c r="C4531" s="1"/>
      <c r="D4531" s="1"/>
      <c r="E4531" s="1"/>
      <c r="F4531" s="1"/>
      <c r="G4531" s="1" t="s">
        <v>13</v>
      </c>
      <c r="H4531" s="2">
        <v>0</v>
      </c>
      <c r="I4531" s="1" t="s">
        <v>13</v>
      </c>
      <c r="J4531" s="1" t="s">
        <v>13</v>
      </c>
      <c r="K4531" s="1" t="s">
        <v>13</v>
      </c>
      <c r="L4531" s="1" t="s">
        <v>13</v>
      </c>
      <c r="M4531" s="6" t="str">
        <f>_xlfn.CONCAT(Table1[[#This Row],[Billing Street]], ", ", Table1[[#This Row],[Billing City]], ", ", Table1[[#This Row],[Billing State/Province]], ", ", Table1[[#This Row],[Billing Zip/Postal Code]])</f>
        <v xml:space="preserve">, , , </v>
      </c>
    </row>
    <row r="4532" spans="1:13" ht="15.6" hidden="1" x14ac:dyDescent="0.3">
      <c r="A4532" s="1" t="s">
        <v>13137</v>
      </c>
      <c r="B4532" s="1"/>
      <c r="C4532" s="1"/>
      <c r="D4532" s="1"/>
      <c r="E4532" s="1"/>
      <c r="F4532" s="1"/>
      <c r="G4532" s="1" t="s">
        <v>13</v>
      </c>
      <c r="H4532" s="2">
        <v>0</v>
      </c>
      <c r="I4532" s="1" t="s">
        <v>13</v>
      </c>
      <c r="J4532" s="1" t="s">
        <v>13</v>
      </c>
      <c r="K4532" s="1" t="s">
        <v>13</v>
      </c>
      <c r="L4532" s="1" t="s">
        <v>13</v>
      </c>
      <c r="M4532" s="6" t="str">
        <f>_xlfn.CONCAT(Table1[[#This Row],[Billing Street]], ", ", Table1[[#This Row],[Billing City]], ", ", Table1[[#This Row],[Billing State/Province]], ", ", Table1[[#This Row],[Billing Zip/Postal Code]])</f>
        <v xml:space="preserve">, , , </v>
      </c>
    </row>
    <row r="4533" spans="1:13" ht="15.6" hidden="1" x14ac:dyDescent="0.3">
      <c r="A4533" s="1" t="s">
        <v>13138</v>
      </c>
      <c r="B4533" s="1"/>
      <c r="C4533" s="1"/>
      <c r="D4533" s="1"/>
      <c r="E4533" s="1"/>
      <c r="F4533" s="1"/>
      <c r="G4533" s="1" t="s">
        <v>13</v>
      </c>
      <c r="H4533" s="2">
        <v>0</v>
      </c>
      <c r="I4533" s="1" t="s">
        <v>13</v>
      </c>
      <c r="J4533" s="1" t="s">
        <v>13</v>
      </c>
      <c r="K4533" s="1" t="s">
        <v>13</v>
      </c>
      <c r="L4533" s="1" t="s">
        <v>13</v>
      </c>
      <c r="M4533" s="6" t="str">
        <f>_xlfn.CONCAT(Table1[[#This Row],[Billing Street]], ", ", Table1[[#This Row],[Billing City]], ", ", Table1[[#This Row],[Billing State/Province]], ", ", Table1[[#This Row],[Billing Zip/Postal Code]])</f>
        <v xml:space="preserve">, , , </v>
      </c>
    </row>
    <row r="4534" spans="1:13" ht="15.6" hidden="1" x14ac:dyDescent="0.3">
      <c r="A4534" s="1" t="s">
        <v>13139</v>
      </c>
      <c r="B4534" s="1"/>
      <c r="C4534" s="1"/>
      <c r="D4534" s="1"/>
      <c r="E4534" s="1"/>
      <c r="F4534" s="1"/>
      <c r="G4534" s="1" t="s">
        <v>43</v>
      </c>
      <c r="H4534" s="2">
        <v>5776</v>
      </c>
      <c r="I4534" s="1" t="s">
        <v>13</v>
      </c>
      <c r="J4534" s="1" t="s">
        <v>13</v>
      </c>
      <c r="K4534" s="1" t="s">
        <v>671</v>
      </c>
      <c r="L4534" s="1" t="s">
        <v>13</v>
      </c>
      <c r="M4534" s="6" t="str">
        <f>_xlfn.CONCAT(Table1[[#This Row],[Billing Street]], ", ", Table1[[#This Row],[Billing City]], ", ", Table1[[#This Row],[Billing State/Province]], ", ", Table1[[#This Row],[Billing Zip/Postal Code]])</f>
        <v xml:space="preserve">, , NY, </v>
      </c>
    </row>
    <row r="4535" spans="1:13" ht="15.6" hidden="1" x14ac:dyDescent="0.3">
      <c r="A4535" s="1" t="s">
        <v>13140</v>
      </c>
      <c r="B4535" s="1"/>
      <c r="C4535" s="1"/>
      <c r="D4535" s="1"/>
      <c r="E4535" s="1"/>
      <c r="F4535" s="1"/>
      <c r="G4535" s="1" t="s">
        <v>43</v>
      </c>
      <c r="H4535" s="2">
        <v>284</v>
      </c>
      <c r="I4535" s="1" t="s">
        <v>13141</v>
      </c>
      <c r="J4535" s="1" t="s">
        <v>13142</v>
      </c>
      <c r="K4535" s="1" t="s">
        <v>671</v>
      </c>
      <c r="L4535" s="1" t="s">
        <v>13</v>
      </c>
      <c r="M4535" s="6" t="str">
        <f>_xlfn.CONCAT(Table1[[#This Row],[Billing Street]], ", ", Table1[[#This Row],[Billing City]], ", ", Table1[[#This Row],[Billing State/Province]], ", ", Table1[[#This Row],[Billing Zip/Postal Code]])</f>
        <v xml:space="preserve">1009 E Main St, Endicott, NY, </v>
      </c>
    </row>
    <row r="4536" spans="1:13" ht="15.6" x14ac:dyDescent="0.3">
      <c r="A4536" s="1" t="s">
        <v>13143</v>
      </c>
      <c r="B4536" s="1"/>
      <c r="C4536" s="1"/>
      <c r="D4536" s="1"/>
      <c r="E4536" s="1"/>
      <c r="F4536" s="1"/>
      <c r="G4536" s="1" t="s">
        <v>24</v>
      </c>
      <c r="H4536" s="2">
        <v>29</v>
      </c>
      <c r="I4536" s="1" t="s">
        <v>13144</v>
      </c>
      <c r="J4536" s="1" t="s">
        <v>12101</v>
      </c>
      <c r="K4536" s="1" t="s">
        <v>36</v>
      </c>
      <c r="L4536" s="1" t="s">
        <v>12102</v>
      </c>
      <c r="M4536" s="6" t="str">
        <f>_xlfn.CONCAT(Table1[[#This Row],[Billing Street]], ", ", Table1[[#This Row],[Billing City]], ", ", Table1[[#This Row],[Billing State/Province]], ", ", Table1[[#This Row],[Billing Zip/Postal Code]])</f>
        <v>4650 Gulfstarr Dr, Destin, FL, 32541</v>
      </c>
    </row>
    <row r="4537" spans="1:13" ht="15.6" x14ac:dyDescent="0.3">
      <c r="A4537" s="1" t="s">
        <v>13145</v>
      </c>
      <c r="B4537" s="1"/>
      <c r="C4537" s="1"/>
      <c r="D4537" s="1"/>
      <c r="E4537" s="1"/>
      <c r="F4537" s="1"/>
      <c r="G4537" s="1" t="s">
        <v>24</v>
      </c>
      <c r="H4537" s="2">
        <v>47</v>
      </c>
      <c r="I4537" s="1" t="s">
        <v>13146</v>
      </c>
      <c r="J4537" s="1" t="s">
        <v>1699</v>
      </c>
      <c r="K4537" s="1" t="s">
        <v>36</v>
      </c>
      <c r="L4537" s="1" t="s">
        <v>3365</v>
      </c>
      <c r="M4537" s="6" t="str">
        <f>_xlfn.CONCAT(Table1[[#This Row],[Billing Street]], ", ", Table1[[#This Row],[Billing City]], ", ", Table1[[#This Row],[Billing State/Province]], ", ", Table1[[#This Row],[Billing Zip/Postal Code]])</f>
        <v>206 E 15th St,, Panama City, FL, 32405</v>
      </c>
    </row>
    <row r="4538" spans="1:13" ht="15.6" x14ac:dyDescent="0.3">
      <c r="A4538" s="1" t="s">
        <v>13147</v>
      </c>
      <c r="B4538" s="1"/>
      <c r="C4538" s="1"/>
      <c r="D4538" s="1"/>
      <c r="E4538" s="1"/>
      <c r="F4538" s="1"/>
      <c r="G4538" s="1" t="s">
        <v>24</v>
      </c>
      <c r="H4538" s="2">
        <v>5988</v>
      </c>
      <c r="I4538" s="1" t="s">
        <v>13148</v>
      </c>
      <c r="J4538" s="1" t="s">
        <v>4402</v>
      </c>
      <c r="K4538" s="1" t="s">
        <v>577</v>
      </c>
      <c r="L4538" s="1" t="s">
        <v>13</v>
      </c>
      <c r="M4538" s="6" t="str">
        <f>_xlfn.CONCAT(Table1[[#This Row],[Billing Street]], ", ", Table1[[#This Row],[Billing City]], ", ", Table1[[#This Row],[Billing State/Province]], ", ", Table1[[#This Row],[Billing Zip/Postal Code]])</f>
        <v xml:space="preserve">8591 United Plaza Blvd. Suite 300, Baton Rouge, LA, </v>
      </c>
    </row>
    <row r="4539" spans="1:13" ht="15.6" hidden="1" x14ac:dyDescent="0.3">
      <c r="A4539" s="1" t="s">
        <v>13149</v>
      </c>
      <c r="B4539" s="1"/>
      <c r="C4539" s="1"/>
      <c r="D4539" s="1"/>
      <c r="E4539" s="1"/>
      <c r="F4539" s="1"/>
      <c r="G4539" s="1" t="s">
        <v>8</v>
      </c>
      <c r="H4539" s="2">
        <v>421</v>
      </c>
      <c r="I4539" s="1" t="s">
        <v>13150</v>
      </c>
      <c r="J4539" s="1" t="s">
        <v>13151</v>
      </c>
      <c r="K4539" s="1" t="s">
        <v>21</v>
      </c>
      <c r="L4539" s="1" t="s">
        <v>13152</v>
      </c>
      <c r="M4539" s="6" t="str">
        <f>_xlfn.CONCAT(Table1[[#This Row],[Billing Street]], ", ", Table1[[#This Row],[Billing City]], ", ", Table1[[#This Row],[Billing State/Province]], ", ", Table1[[#This Row],[Billing Zip/Postal Code]])</f>
        <v>310 4th St, Whittemore, IA, 50598</v>
      </c>
    </row>
    <row r="4540" spans="1:13" ht="15.6" hidden="1" x14ac:dyDescent="0.3">
      <c r="A4540" s="1" t="s">
        <v>13153</v>
      </c>
      <c r="B4540" s="1"/>
      <c r="C4540" s="1"/>
      <c r="D4540" s="1"/>
      <c r="E4540" s="1"/>
      <c r="F4540" s="1"/>
      <c r="G4540" s="1" t="s">
        <v>8</v>
      </c>
      <c r="H4540" s="2">
        <v>399</v>
      </c>
      <c r="I4540" s="1" t="s">
        <v>13154</v>
      </c>
      <c r="J4540" s="1" t="s">
        <v>13155</v>
      </c>
      <c r="K4540" s="1" t="s">
        <v>21</v>
      </c>
      <c r="L4540" s="1" t="s">
        <v>13156</v>
      </c>
      <c r="M4540" s="6" t="str">
        <f>_xlfn.CONCAT(Table1[[#This Row],[Billing Street]], ", ", Table1[[#This Row],[Billing City]], ", ", Table1[[#This Row],[Billing State/Province]], ", ", Table1[[#This Row],[Billing Zip/Postal Code]])</f>
        <v>223 Union St, Westfield, IA, 51062</v>
      </c>
    </row>
    <row r="4541" spans="1:13" ht="15.6" hidden="1" x14ac:dyDescent="0.3">
      <c r="A4541" s="1" t="s">
        <v>13157</v>
      </c>
      <c r="B4541" s="1"/>
      <c r="C4541" s="1"/>
      <c r="D4541" s="1"/>
      <c r="E4541" s="1"/>
      <c r="F4541" s="1"/>
      <c r="G4541" s="1" t="s">
        <v>43</v>
      </c>
      <c r="H4541" s="2">
        <v>172</v>
      </c>
      <c r="I4541" s="1" t="s">
        <v>13158</v>
      </c>
      <c r="J4541" s="1" t="s">
        <v>3372</v>
      </c>
      <c r="K4541" s="1" t="s">
        <v>671</v>
      </c>
      <c r="L4541" s="1" t="s">
        <v>13159</v>
      </c>
      <c r="M4541" s="6" t="str">
        <f>_xlfn.CONCAT(Table1[[#This Row],[Billing Street]], ", ", Table1[[#This Row],[Billing City]], ", ", Table1[[#This Row],[Billing State/Province]], ", ", Table1[[#This Row],[Billing Zip/Postal Code]])</f>
        <v>PO Box 326, Buffalo, NY, 14231</v>
      </c>
    </row>
    <row r="4542" spans="1:13" ht="15.6" x14ac:dyDescent="0.3">
      <c r="A4542" s="1" t="s">
        <v>13160</v>
      </c>
      <c r="B4542" s="1"/>
      <c r="C4542" s="1"/>
      <c r="D4542" s="1"/>
      <c r="E4542" s="1"/>
      <c r="F4542" s="1"/>
      <c r="G4542" s="1" t="s">
        <v>24</v>
      </c>
      <c r="H4542" s="2">
        <v>246</v>
      </c>
      <c r="I4542" s="1" t="s">
        <v>13161</v>
      </c>
      <c r="J4542" s="1" t="s">
        <v>30</v>
      </c>
      <c r="K4542" s="1" t="s">
        <v>31</v>
      </c>
      <c r="L4542" s="1" t="s">
        <v>32</v>
      </c>
      <c r="M4542" s="6" t="str">
        <f>_xlfn.CONCAT(Table1[[#This Row],[Billing Street]], ", ", Table1[[#This Row],[Billing City]], ", ", Table1[[#This Row],[Billing State/Province]], ", ", Table1[[#This Row],[Billing Zip/Postal Code]])</f>
        <v>309 University Drive, Starkville, MS, 39759</v>
      </c>
    </row>
    <row r="4543" spans="1:13" ht="15.6" hidden="1" x14ac:dyDescent="0.3">
      <c r="A4543" s="1" t="s">
        <v>13162</v>
      </c>
      <c r="B4543" s="1"/>
      <c r="C4543" s="1"/>
      <c r="D4543" s="1"/>
      <c r="E4543" s="1"/>
      <c r="F4543" s="1"/>
      <c r="G4543" s="1" t="s">
        <v>98</v>
      </c>
      <c r="H4543" s="2">
        <v>158</v>
      </c>
      <c r="I4543" s="1" t="s">
        <v>13163</v>
      </c>
      <c r="J4543" s="1" t="s">
        <v>100</v>
      </c>
      <c r="K4543" s="1" t="s">
        <v>101</v>
      </c>
      <c r="L4543" s="1" t="s">
        <v>7106</v>
      </c>
      <c r="M4543" s="6" t="str">
        <f>_xlfn.CONCAT(Table1[[#This Row],[Billing Street]], ", ", Table1[[#This Row],[Billing City]], ", ", Table1[[#This Row],[Billing State/Province]], ", ", Table1[[#This Row],[Billing Zip/Postal Code]])</f>
        <v>705 Canal St, Albany, GA, 31707</v>
      </c>
    </row>
    <row r="4544" spans="1:13" ht="15.6" x14ac:dyDescent="0.3">
      <c r="A4544" s="1" t="s">
        <v>13164</v>
      </c>
      <c r="B4544" s="1"/>
      <c r="C4544" s="1"/>
      <c r="D4544" s="1"/>
      <c r="E4544" s="1"/>
      <c r="F4544" s="1"/>
      <c r="G4544" s="1" t="s">
        <v>24</v>
      </c>
      <c r="H4544" s="2">
        <v>291</v>
      </c>
      <c r="I4544" s="1" t="s">
        <v>13165</v>
      </c>
      <c r="J4544" s="1" t="s">
        <v>13166</v>
      </c>
      <c r="K4544" s="1" t="s">
        <v>36</v>
      </c>
      <c r="L4544" s="1" t="s">
        <v>13167</v>
      </c>
      <c r="M4544" s="6" t="str">
        <f>_xlfn.CONCAT(Table1[[#This Row],[Billing Street]], ", ", Table1[[#This Row],[Billing City]], ", ", Table1[[#This Row],[Billing State/Province]], ", ", Table1[[#This Row],[Billing Zip/Postal Code]])</f>
        <v>2325 5th Av, St Petersburg, FL, 33713</v>
      </c>
    </row>
    <row r="4545" spans="1:13" ht="15.6" x14ac:dyDescent="0.3">
      <c r="A4545" s="1" t="s">
        <v>13168</v>
      </c>
      <c r="B4545" s="1"/>
      <c r="C4545" s="1"/>
      <c r="D4545" s="1"/>
      <c r="E4545" s="1"/>
      <c r="F4545" s="1"/>
      <c r="G4545" s="1" t="s">
        <v>24</v>
      </c>
      <c r="H4545" s="2">
        <v>5988</v>
      </c>
      <c r="I4545" s="1" t="s">
        <v>13</v>
      </c>
      <c r="J4545" s="1" t="s">
        <v>13</v>
      </c>
      <c r="K4545" s="1" t="s">
        <v>36</v>
      </c>
      <c r="L4545" s="1" t="s">
        <v>13</v>
      </c>
      <c r="M4545" s="6" t="str">
        <f>_xlfn.CONCAT(Table1[[#This Row],[Billing Street]], ", ", Table1[[#This Row],[Billing City]], ", ", Table1[[#This Row],[Billing State/Province]], ", ", Table1[[#This Row],[Billing Zip/Postal Code]])</f>
        <v xml:space="preserve">, , FL, </v>
      </c>
    </row>
    <row r="4546" spans="1:13" ht="15.6" x14ac:dyDescent="0.3">
      <c r="A4546" s="1" t="s">
        <v>13169</v>
      </c>
      <c r="B4546" s="1"/>
      <c r="C4546" s="1"/>
      <c r="D4546" s="1"/>
      <c r="E4546" s="1"/>
      <c r="F4546" s="1"/>
      <c r="G4546" s="1" t="s">
        <v>24</v>
      </c>
      <c r="H4546" s="2">
        <v>380</v>
      </c>
      <c r="I4546" s="1" t="s">
        <v>13170</v>
      </c>
      <c r="J4546" s="1" t="s">
        <v>13171</v>
      </c>
      <c r="K4546" s="1" t="s">
        <v>36</v>
      </c>
      <c r="L4546" s="1" t="s">
        <v>610</v>
      </c>
      <c r="M4546" s="6" t="str">
        <f>_xlfn.CONCAT(Table1[[#This Row],[Billing Street]], ", ", Table1[[#This Row],[Billing City]], ", ", Table1[[#This Row],[Billing State/Province]], ", ", Table1[[#This Row],[Billing Zip/Postal Code]])</f>
        <v>17460 East St, Ft. Myers, FL, 33917</v>
      </c>
    </row>
    <row r="4547" spans="1:13" ht="15.6" x14ac:dyDescent="0.3">
      <c r="A4547" s="1" t="s">
        <v>13172</v>
      </c>
      <c r="B4547" s="1"/>
      <c r="C4547" s="1"/>
      <c r="D4547" s="1"/>
      <c r="E4547" s="1"/>
      <c r="F4547" s="1"/>
      <c r="G4547" s="1" t="s">
        <v>24</v>
      </c>
      <c r="H4547" s="2">
        <v>273</v>
      </c>
      <c r="I4547" s="1" t="s">
        <v>13173</v>
      </c>
      <c r="J4547" s="1" t="s">
        <v>1668</v>
      </c>
      <c r="K4547" s="1" t="s">
        <v>36</v>
      </c>
      <c r="L4547" s="1" t="s">
        <v>13174</v>
      </c>
      <c r="M4547" s="6" t="str">
        <f>_xlfn.CONCAT(Table1[[#This Row],[Billing Street]], ", ", Table1[[#This Row],[Billing City]], ", ", Table1[[#This Row],[Billing State/Province]], ", ", Table1[[#This Row],[Billing Zip/Postal Code]])</f>
        <v>8751 Atlantic Blvd, Jacksonville, FL, 32211</v>
      </c>
    </row>
    <row r="4548" spans="1:13" ht="15.6" x14ac:dyDescent="0.3">
      <c r="A4548" s="1" t="s">
        <v>13175</v>
      </c>
      <c r="B4548" s="1"/>
      <c r="C4548" s="1"/>
      <c r="D4548" s="1"/>
      <c r="E4548" s="1"/>
      <c r="F4548" s="1"/>
      <c r="G4548" s="1" t="s">
        <v>24</v>
      </c>
      <c r="H4548" s="2">
        <v>269</v>
      </c>
      <c r="I4548" s="1" t="s">
        <v>13176</v>
      </c>
      <c r="J4548" s="1" t="s">
        <v>13177</v>
      </c>
      <c r="K4548" s="1" t="s">
        <v>36</v>
      </c>
      <c r="L4548" s="1" t="s">
        <v>13178</v>
      </c>
      <c r="M4548" s="6" t="str">
        <f>_xlfn.CONCAT(Table1[[#This Row],[Billing Street]], ", ", Table1[[#This Row],[Billing City]], ", ", Table1[[#This Row],[Billing State/Province]], ", ", Table1[[#This Row],[Billing Zip/Postal Code]])</f>
        <v>5065 St Augustine Rd #3, St. Augustine, FL, 32207</v>
      </c>
    </row>
    <row r="4549" spans="1:13" ht="15.6" x14ac:dyDescent="0.3">
      <c r="A4549" s="1" t="s">
        <v>13179</v>
      </c>
      <c r="B4549" s="1"/>
      <c r="C4549" s="1"/>
      <c r="D4549" s="1"/>
      <c r="E4549" s="1"/>
      <c r="F4549" s="1"/>
      <c r="G4549" s="1" t="s">
        <v>24</v>
      </c>
      <c r="H4549" s="2">
        <v>490</v>
      </c>
      <c r="I4549" s="1" t="s">
        <v>13180</v>
      </c>
      <c r="J4549" s="1" t="s">
        <v>2587</v>
      </c>
      <c r="K4549" s="1" t="s">
        <v>36</v>
      </c>
      <c r="L4549" s="1" t="s">
        <v>13181</v>
      </c>
      <c r="M4549" s="6" t="str">
        <f>_xlfn.CONCAT(Table1[[#This Row],[Billing Street]], ", ", Table1[[#This Row],[Billing City]], ", ", Table1[[#This Row],[Billing State/Province]], ", ", Table1[[#This Row],[Billing Zip/Postal Code]])</f>
        <v>2875 NE 191st St, Miami, FL, 33180</v>
      </c>
    </row>
    <row r="4550" spans="1:13" ht="15.6" x14ac:dyDescent="0.3">
      <c r="A4550" s="1" t="s">
        <v>13182</v>
      </c>
      <c r="B4550" s="1"/>
      <c r="C4550" s="1"/>
      <c r="D4550" s="1"/>
      <c r="E4550" s="1"/>
      <c r="F4550" s="1"/>
      <c r="G4550" s="1" t="s">
        <v>24</v>
      </c>
      <c r="H4550" s="2">
        <v>282</v>
      </c>
      <c r="I4550" s="1" t="s">
        <v>13183</v>
      </c>
      <c r="J4550" s="1" t="s">
        <v>13177</v>
      </c>
      <c r="K4550" s="1" t="s">
        <v>36</v>
      </c>
      <c r="L4550" s="1" t="s">
        <v>13184</v>
      </c>
      <c r="M4550" s="6" t="str">
        <f>_xlfn.CONCAT(Table1[[#This Row],[Billing Street]], ", ", Table1[[#This Row],[Billing City]], ", ", Table1[[#This Row],[Billing State/Province]], ", ", Table1[[#This Row],[Billing Zip/Postal Code]])</f>
        <v>581 Porta Rosa Circle, St. Augustine, FL, 32092</v>
      </c>
    </row>
    <row r="4551" spans="1:13" ht="15.6" x14ac:dyDescent="0.3">
      <c r="A4551" s="1" t="s">
        <v>13185</v>
      </c>
      <c r="B4551" s="1"/>
      <c r="C4551" s="1"/>
      <c r="D4551" s="1"/>
      <c r="E4551" s="1"/>
      <c r="F4551" s="1"/>
      <c r="G4551" s="1" t="s">
        <v>24</v>
      </c>
      <c r="H4551" s="2">
        <v>252</v>
      </c>
      <c r="I4551" s="1" t="s">
        <v>13186</v>
      </c>
      <c r="J4551" s="1" t="s">
        <v>7929</v>
      </c>
      <c r="K4551" s="1" t="s">
        <v>36</v>
      </c>
      <c r="L4551" s="1" t="s">
        <v>7930</v>
      </c>
      <c r="M4551" s="6" t="str">
        <f>_xlfn.CONCAT(Table1[[#This Row],[Billing Street]], ", ", Table1[[#This Row],[Billing City]], ", ", Table1[[#This Row],[Billing State/Province]], ", ", Table1[[#This Row],[Billing Zip/Postal Code]])</f>
        <v>5629 State RD 16W, Starke, FL, 32091</v>
      </c>
    </row>
    <row r="4552" spans="1:13" ht="15.6" x14ac:dyDescent="0.3">
      <c r="A4552" s="1" t="s">
        <v>13187</v>
      </c>
      <c r="B4552" s="1"/>
      <c r="C4552" s="1"/>
      <c r="D4552" s="1"/>
      <c r="E4552" s="1"/>
      <c r="F4552" s="1"/>
      <c r="G4552" s="1" t="s">
        <v>24</v>
      </c>
      <c r="H4552" s="2">
        <v>196</v>
      </c>
      <c r="I4552" s="1" t="s">
        <v>13188</v>
      </c>
      <c r="J4552" s="1" t="s">
        <v>13189</v>
      </c>
      <c r="K4552" s="1" t="s">
        <v>36</v>
      </c>
      <c r="L4552" s="1" t="s">
        <v>13190</v>
      </c>
      <c r="M4552" s="6" t="str">
        <f>_xlfn.CONCAT(Table1[[#This Row],[Billing Street]], ", ", Table1[[#This Row],[Billing City]], ", ", Table1[[#This Row],[Billing State/Province]], ", ", Table1[[#This Row],[Billing Zip/Postal Code]])</f>
        <v>59 NE 132 Ave, Cross City, FL, 32628</v>
      </c>
    </row>
    <row r="4553" spans="1:13" ht="15.6" x14ac:dyDescent="0.3">
      <c r="A4553" s="1" t="s">
        <v>13191</v>
      </c>
      <c r="B4553" s="1"/>
      <c r="C4553" s="1"/>
      <c r="D4553" s="1"/>
      <c r="E4553" s="1"/>
      <c r="F4553" s="1"/>
      <c r="G4553" s="1" t="s">
        <v>24</v>
      </c>
      <c r="H4553" s="2">
        <v>321</v>
      </c>
      <c r="I4553" s="1" t="s">
        <v>13192</v>
      </c>
      <c r="J4553" s="1" t="s">
        <v>4034</v>
      </c>
      <c r="K4553" s="1" t="s">
        <v>36</v>
      </c>
      <c r="L4553" s="1" t="s">
        <v>4035</v>
      </c>
      <c r="M4553" s="6" t="str">
        <f>_xlfn.CONCAT(Table1[[#This Row],[Billing Street]], ", ", Table1[[#This Row],[Billing City]], ", ", Table1[[#This Row],[Billing State/Province]], ", ", Table1[[#This Row],[Billing Zip/Postal Code]])</f>
        <v>1200 W. Intl Speedway Blvd, Daytona Beach, FL, 32114</v>
      </c>
    </row>
    <row r="4554" spans="1:13" ht="15.6" x14ac:dyDescent="0.3">
      <c r="A4554" s="1" t="s">
        <v>13193</v>
      </c>
      <c r="B4554" s="1"/>
      <c r="C4554" s="1"/>
      <c r="D4554" s="1"/>
      <c r="E4554" s="1"/>
      <c r="F4554" s="1"/>
      <c r="G4554" s="1" t="s">
        <v>24</v>
      </c>
      <c r="H4554" s="2">
        <v>456</v>
      </c>
      <c r="I4554" s="1" t="s">
        <v>13194</v>
      </c>
      <c r="J4554" s="1" t="s">
        <v>656</v>
      </c>
      <c r="K4554" s="1" t="s">
        <v>36</v>
      </c>
      <c r="L4554" s="1" t="s">
        <v>13195</v>
      </c>
      <c r="M4554" s="6" t="str">
        <f>_xlfn.CONCAT(Table1[[#This Row],[Billing Street]], ", ", Table1[[#This Row],[Billing City]], ", ", Table1[[#This Row],[Billing State/Province]], ", ", Table1[[#This Row],[Billing Zip/Postal Code]])</f>
        <v>346 Pike Rd STE 1, West Palm Beach, FL, 33411</v>
      </c>
    </row>
    <row r="4555" spans="1:13" ht="15.6" x14ac:dyDescent="0.3">
      <c r="A4555" s="1" t="s">
        <v>13196</v>
      </c>
      <c r="B4555" s="1"/>
      <c r="C4555" s="1"/>
      <c r="D4555" s="1"/>
      <c r="E4555" s="1"/>
      <c r="F4555" s="1"/>
      <c r="G4555" s="1" t="s">
        <v>24</v>
      </c>
      <c r="H4555" s="2">
        <v>73</v>
      </c>
      <c r="I4555" s="1" t="s">
        <v>13197</v>
      </c>
      <c r="J4555" s="1" t="s">
        <v>4137</v>
      </c>
      <c r="K4555" s="1" t="s">
        <v>36</v>
      </c>
      <c r="L4555" s="1" t="s">
        <v>4138</v>
      </c>
      <c r="M4555" s="6" t="str">
        <f>_xlfn.CONCAT(Table1[[#This Row],[Billing Street]], ", ", Table1[[#This Row],[Billing City]], ", ", Table1[[#This Row],[Billing State/Province]], ", ", Table1[[#This Row],[Billing Zip/Postal Code]])</f>
        <v>1681 Success Dr, Cantonment, FL, 32533</v>
      </c>
    </row>
    <row r="4556" spans="1:13" ht="15.6" x14ac:dyDescent="0.3">
      <c r="A4556" s="1" t="s">
        <v>13198</v>
      </c>
      <c r="B4556" s="1"/>
      <c r="C4556" s="1"/>
      <c r="D4556" s="1"/>
      <c r="E4556" s="1"/>
      <c r="F4556" s="1"/>
      <c r="G4556" s="1" t="s">
        <v>24</v>
      </c>
      <c r="H4556" s="2">
        <v>5988</v>
      </c>
      <c r="I4556" s="1" t="s">
        <v>13199</v>
      </c>
      <c r="J4556" s="1" t="s">
        <v>4977</v>
      </c>
      <c r="K4556" s="1" t="s">
        <v>36</v>
      </c>
      <c r="L4556" s="1" t="s">
        <v>13</v>
      </c>
      <c r="M4556" s="6" t="str">
        <f>_xlfn.CONCAT(Table1[[#This Row],[Billing Street]], ", ", Table1[[#This Row],[Billing City]], ", ", Table1[[#This Row],[Billing State/Province]], ", ", Table1[[#This Row],[Billing Zip/Postal Code]])</f>
        <v xml:space="preserve">2400 Whanish Way , suite 100, Tallahassee, FL, </v>
      </c>
    </row>
    <row r="4557" spans="1:13" ht="15.6" x14ac:dyDescent="0.3">
      <c r="A4557" s="1" t="s">
        <v>13200</v>
      </c>
      <c r="B4557" s="1"/>
      <c r="C4557" s="1"/>
      <c r="D4557" s="1"/>
      <c r="E4557" s="1"/>
      <c r="F4557" s="1"/>
      <c r="G4557" s="1" t="s">
        <v>24</v>
      </c>
      <c r="H4557" s="2">
        <v>155</v>
      </c>
      <c r="I4557" s="1" t="s">
        <v>6200</v>
      </c>
      <c r="J4557" s="1" t="s">
        <v>3209</v>
      </c>
      <c r="K4557" s="1" t="s">
        <v>36</v>
      </c>
      <c r="L4557" s="1" t="s">
        <v>13201</v>
      </c>
      <c r="M4557" s="6" t="str">
        <f>_xlfn.CONCAT(Table1[[#This Row],[Billing Street]], ", ", Table1[[#This Row],[Billing City]], ", ", Table1[[#This Row],[Billing State/Province]], ", ", Table1[[#This Row],[Billing Zip/Postal Code]])</f>
        <v>2065 Pisgah Rd, Perry, FL, 32347</v>
      </c>
    </row>
    <row r="4558" spans="1:13" ht="15.6" hidden="1" x14ac:dyDescent="0.3">
      <c r="A4558" s="1" t="s">
        <v>13202</v>
      </c>
      <c r="B4558" s="1"/>
      <c r="C4558" s="1"/>
      <c r="D4558" s="1"/>
      <c r="E4558" s="1"/>
      <c r="F4558" s="1"/>
      <c r="G4558" s="1" t="s">
        <v>43</v>
      </c>
      <c r="H4558" s="2">
        <v>5776</v>
      </c>
      <c r="I4558" s="1" t="s">
        <v>13</v>
      </c>
      <c r="J4558" s="1" t="s">
        <v>13</v>
      </c>
      <c r="K4558" s="1" t="s">
        <v>671</v>
      </c>
      <c r="L4558" s="1" t="s">
        <v>13</v>
      </c>
      <c r="M4558" s="6" t="str">
        <f>_xlfn.CONCAT(Table1[[#This Row],[Billing Street]], ", ", Table1[[#This Row],[Billing City]], ", ", Table1[[#This Row],[Billing State/Province]], ", ", Table1[[#This Row],[Billing Zip/Postal Code]])</f>
        <v xml:space="preserve">, , NY, </v>
      </c>
    </row>
    <row r="4559" spans="1:13" ht="15.6" x14ac:dyDescent="0.3">
      <c r="A4559" s="1" t="s">
        <v>13203</v>
      </c>
      <c r="B4559" s="1"/>
      <c r="C4559" s="1"/>
      <c r="D4559" s="1"/>
      <c r="E4559" s="1"/>
      <c r="F4559" s="1"/>
      <c r="G4559" s="1" t="s">
        <v>24</v>
      </c>
      <c r="H4559" s="2">
        <v>109</v>
      </c>
      <c r="I4559" s="1" t="s">
        <v>13204</v>
      </c>
      <c r="J4559" s="1" t="s">
        <v>4977</v>
      </c>
      <c r="K4559" s="1" t="s">
        <v>36</v>
      </c>
      <c r="L4559" s="1" t="s">
        <v>13205</v>
      </c>
      <c r="M4559" s="6" t="str">
        <f>_xlfn.CONCAT(Table1[[#This Row],[Billing Street]], ", ", Table1[[#This Row],[Billing City]], ", ", Table1[[#This Row],[Billing State/Province]], ", ", Table1[[#This Row],[Billing Zip/Postal Code]])</f>
        <v>2000 Levy Av, Tallahassee, FL, 32310</v>
      </c>
    </row>
    <row r="4560" spans="1:13" ht="15.6" x14ac:dyDescent="0.3">
      <c r="A4560" s="1" t="s">
        <v>13206</v>
      </c>
      <c r="B4560" s="1"/>
      <c r="C4560" s="1"/>
      <c r="D4560" s="1"/>
      <c r="E4560" s="1"/>
      <c r="F4560" s="1"/>
      <c r="G4560" s="1" t="s">
        <v>24</v>
      </c>
      <c r="H4560" s="2">
        <v>292</v>
      </c>
      <c r="I4560" s="1" t="s">
        <v>13207</v>
      </c>
      <c r="J4560" s="1" t="s">
        <v>1774</v>
      </c>
      <c r="K4560" s="1" t="s">
        <v>36</v>
      </c>
      <c r="L4560" s="1" t="s">
        <v>13208</v>
      </c>
      <c r="M4560" s="6" t="str">
        <f>_xlfn.CONCAT(Table1[[#This Row],[Billing Street]], ", ", Table1[[#This Row],[Billing City]], ", ", Table1[[#This Row],[Billing State/Province]], ", ", Table1[[#This Row],[Billing Zip/Postal Code]])</f>
        <v>12th FL County Center, PO Box 1110, Tampa, FL, 33601</v>
      </c>
    </row>
    <row r="4561" spans="1:13" ht="15.6" hidden="1" x14ac:dyDescent="0.3">
      <c r="A4561" s="1" t="s">
        <v>13209</v>
      </c>
      <c r="B4561" s="1"/>
      <c r="C4561" s="1"/>
      <c r="D4561" s="1"/>
      <c r="E4561" s="1"/>
      <c r="F4561" s="1"/>
      <c r="G4561" s="1" t="s">
        <v>43</v>
      </c>
      <c r="H4561" s="2">
        <v>123</v>
      </c>
      <c r="I4561" s="1" t="s">
        <v>13210</v>
      </c>
      <c r="J4561" s="1" t="s">
        <v>6806</v>
      </c>
      <c r="K4561" s="1" t="s">
        <v>82</v>
      </c>
      <c r="L4561" s="1" t="s">
        <v>13211</v>
      </c>
      <c r="M4561" s="6" t="str">
        <f>_xlfn.CONCAT(Table1[[#This Row],[Billing Street]], ", ", Table1[[#This Row],[Billing City]], ", ", Table1[[#This Row],[Billing State/Province]], ", ", Table1[[#This Row],[Billing Zip/Postal Code]])</f>
        <v>12814 Stark rd, Livonia, MI, 48150</v>
      </c>
    </row>
    <row r="4562" spans="1:13" ht="15.6" x14ac:dyDescent="0.3">
      <c r="A4562" s="1" t="s">
        <v>13212</v>
      </c>
      <c r="B4562" s="1"/>
      <c r="C4562" s="1"/>
      <c r="D4562" s="1"/>
      <c r="E4562" s="1"/>
      <c r="F4562" s="1"/>
      <c r="G4562" s="1" t="s">
        <v>24</v>
      </c>
      <c r="H4562" s="2">
        <v>314</v>
      </c>
      <c r="I4562" s="1" t="s">
        <v>13213</v>
      </c>
      <c r="J4562" s="1" t="s">
        <v>13214</v>
      </c>
      <c r="K4562" s="1" t="s">
        <v>36</v>
      </c>
      <c r="L4562" s="1" t="s">
        <v>13215</v>
      </c>
      <c r="M4562" s="6" t="str">
        <f>_xlfn.CONCAT(Table1[[#This Row],[Billing Street]], ", ", Table1[[#This Row],[Billing City]], ", ", Table1[[#This Row],[Billing State/Province]], ", ", Table1[[#This Row],[Billing Zip/Postal Code]])</f>
        <v>96 Braelock Dr, Ocoee, FL, 34761</v>
      </c>
    </row>
    <row r="4563" spans="1:13" ht="15.6" x14ac:dyDescent="0.3">
      <c r="A4563" s="1" t="s">
        <v>13216</v>
      </c>
      <c r="B4563" s="1"/>
      <c r="C4563" s="1"/>
      <c r="D4563" s="1"/>
      <c r="E4563" s="1"/>
      <c r="F4563" s="1"/>
      <c r="G4563" s="1" t="s">
        <v>24</v>
      </c>
      <c r="H4563" s="2">
        <v>488</v>
      </c>
      <c r="I4563" s="1" t="s">
        <v>13217</v>
      </c>
      <c r="J4563" s="1" t="s">
        <v>2587</v>
      </c>
      <c r="K4563" s="1" t="s">
        <v>36</v>
      </c>
      <c r="L4563" s="1" t="s">
        <v>13218</v>
      </c>
      <c r="M4563" s="6" t="str">
        <f>_xlfn.CONCAT(Table1[[#This Row],[Billing Street]], ", ", Table1[[#This Row],[Billing City]], ", ", Table1[[#This Row],[Billing State/Province]], ", ", Table1[[#This Row],[Billing Zip/Postal Code]])</f>
        <v>1901 NW 108th Av, Miami, FL, 33172</v>
      </c>
    </row>
    <row r="4564" spans="1:13" ht="15.6" x14ac:dyDescent="0.3">
      <c r="A4564" s="1" t="s">
        <v>13219</v>
      </c>
      <c r="B4564" s="1"/>
      <c r="C4564" s="1"/>
      <c r="D4564" s="1"/>
      <c r="E4564" s="1"/>
      <c r="F4564" s="1"/>
      <c r="G4564" s="1" t="s">
        <v>24</v>
      </c>
      <c r="H4564" s="2">
        <v>111</v>
      </c>
      <c r="I4564" s="1" t="s">
        <v>13220</v>
      </c>
      <c r="J4564" s="1" t="s">
        <v>4977</v>
      </c>
      <c r="K4564" s="1" t="s">
        <v>36</v>
      </c>
      <c r="L4564" s="1" t="s">
        <v>8541</v>
      </c>
      <c r="M4564" s="6" t="str">
        <f>_xlfn.CONCAT(Table1[[#This Row],[Billing Street]], ", ", Table1[[#This Row],[Billing City]], ", ", Table1[[#This Row],[Billing State/Province]], ", ", Table1[[#This Row],[Billing Zip/Postal Code]])</f>
        <v>547 N Monroe St, Ste 201, Tallahassee, FL, 32301</v>
      </c>
    </row>
    <row r="4565" spans="1:13" ht="15.6" x14ac:dyDescent="0.3">
      <c r="A4565" s="1" t="s">
        <v>13221</v>
      </c>
      <c r="B4565" s="1"/>
      <c r="C4565" s="1"/>
      <c r="D4565" s="1"/>
      <c r="E4565" s="1"/>
      <c r="F4565" s="1"/>
      <c r="G4565" s="1" t="s">
        <v>24</v>
      </c>
      <c r="H4565" s="2">
        <v>293</v>
      </c>
      <c r="I4565" s="1" t="s">
        <v>13222</v>
      </c>
      <c r="J4565" s="1" t="s">
        <v>1774</v>
      </c>
      <c r="K4565" s="1" t="s">
        <v>36</v>
      </c>
      <c r="L4565" s="1" t="s">
        <v>8154</v>
      </c>
      <c r="M4565" s="6" t="str">
        <f>_xlfn.CONCAT(Table1[[#This Row],[Billing Street]], ", ", Table1[[#This Row],[Billing City]], ", ", Table1[[#This Row],[Billing State/Province]], ", ", Table1[[#This Row],[Billing Zip/Postal Code]])</f>
        <v>4422 N 56th St, Tampa, FL, 33610</v>
      </c>
    </row>
    <row r="4566" spans="1:13" ht="15.6" x14ac:dyDescent="0.3">
      <c r="A4566" s="1" t="s">
        <v>13223</v>
      </c>
      <c r="B4566" s="1"/>
      <c r="C4566" s="1"/>
      <c r="D4566" s="1"/>
      <c r="E4566" s="1"/>
      <c r="F4566" s="1"/>
      <c r="G4566" s="1" t="s">
        <v>24</v>
      </c>
      <c r="H4566" s="2">
        <v>5988</v>
      </c>
      <c r="I4566" s="1" t="s">
        <v>13224</v>
      </c>
      <c r="J4566" s="1" t="s">
        <v>633</v>
      </c>
      <c r="K4566" s="1" t="s">
        <v>26</v>
      </c>
      <c r="L4566" s="1" t="s">
        <v>8277</v>
      </c>
      <c r="M4566" s="6" t="str">
        <f>_xlfn.CONCAT(Table1[[#This Row],[Billing Street]], ", ", Table1[[#This Row],[Billing City]], ", ", Table1[[#This Row],[Billing State/Province]], ", ", Table1[[#This Row],[Billing Zip/Postal Code]])</f>
        <v>3307 Moffett Rd, Mobile, AL, 36607</v>
      </c>
    </row>
    <row r="4567" spans="1:13" ht="15.6" x14ac:dyDescent="0.3">
      <c r="A4567" s="1" t="s">
        <v>13225</v>
      </c>
      <c r="B4567" s="1"/>
      <c r="C4567" s="1"/>
      <c r="D4567" s="1"/>
      <c r="E4567" s="1"/>
      <c r="F4567" s="1"/>
      <c r="G4567" s="1" t="s">
        <v>24</v>
      </c>
      <c r="H4567" s="2">
        <v>36</v>
      </c>
      <c r="I4567" s="1" t="s">
        <v>13226</v>
      </c>
      <c r="J4567" s="1" t="s">
        <v>13227</v>
      </c>
      <c r="K4567" s="1" t="s">
        <v>36</v>
      </c>
      <c r="L4567" s="1" t="s">
        <v>1532</v>
      </c>
      <c r="M4567" s="6" t="str">
        <f>_xlfn.CONCAT(Table1[[#This Row],[Billing Street]], ", ", Table1[[#This Row],[Billing City]], ", ", Table1[[#This Row],[Billing State/Province]], ", ", Table1[[#This Row],[Billing Zip/Postal Code]])</f>
        <v>14 Hughes St, Fort Walton, FL, 32548</v>
      </c>
    </row>
    <row r="4568" spans="1:13" ht="15.6" x14ac:dyDescent="0.3">
      <c r="A4568" s="1" t="s">
        <v>13228</v>
      </c>
      <c r="B4568" s="1"/>
      <c r="C4568" s="1"/>
      <c r="D4568" s="1"/>
      <c r="E4568" s="1"/>
      <c r="F4568" s="1"/>
      <c r="G4568" s="1" t="s">
        <v>24</v>
      </c>
      <c r="H4568" s="2">
        <v>5988</v>
      </c>
      <c r="I4568" s="1" t="s">
        <v>13229</v>
      </c>
      <c r="J4568" s="1" t="s">
        <v>633</v>
      </c>
      <c r="K4568" s="1" t="s">
        <v>26</v>
      </c>
      <c r="L4568" s="1" t="s">
        <v>13230</v>
      </c>
      <c r="M4568" s="6" t="str">
        <f>_xlfn.CONCAT(Table1[[#This Row],[Billing Street]], ", ", Table1[[#This Row],[Billing City]], ", ", Table1[[#This Row],[Billing State/Province]], ", ", Table1[[#This Row],[Billing Zip/Postal Code]])</f>
        <v>90 Industrial Canal Rd, Mobile, AL, 36610</v>
      </c>
    </row>
    <row r="4569" spans="1:13" ht="15.6" x14ac:dyDescent="0.3">
      <c r="A4569" s="1" t="s">
        <v>13231</v>
      </c>
      <c r="B4569" s="1"/>
      <c r="C4569" s="1"/>
      <c r="D4569" s="1"/>
      <c r="E4569" s="1"/>
      <c r="F4569" s="1"/>
      <c r="G4569" s="1" t="s">
        <v>24</v>
      </c>
      <c r="H4569" s="2">
        <v>331</v>
      </c>
      <c r="I4569" s="1" t="s">
        <v>13232</v>
      </c>
      <c r="J4569" s="1" t="s">
        <v>9954</v>
      </c>
      <c r="K4569" s="1" t="s">
        <v>36</v>
      </c>
      <c r="L4569" s="1" t="s">
        <v>9955</v>
      </c>
      <c r="M4569" s="6" t="str">
        <f>_xlfn.CONCAT(Table1[[#This Row],[Billing Street]], ", ", Table1[[#This Row],[Billing City]], ", ", Table1[[#This Row],[Billing State/Province]], ", ", Table1[[#This Row],[Billing Zip/Postal Code]])</f>
        <v>521 4th St. NW, Fort Meade, FL, 33841</v>
      </c>
    </row>
    <row r="4570" spans="1:13" ht="15.6" hidden="1" x14ac:dyDescent="0.3">
      <c r="A4570" s="1" t="s">
        <v>13233</v>
      </c>
      <c r="B4570" s="1"/>
      <c r="C4570" s="1"/>
      <c r="D4570" s="1"/>
      <c r="E4570" s="1"/>
      <c r="F4570" s="1"/>
      <c r="G4570" s="1" t="s">
        <v>8</v>
      </c>
      <c r="H4570" s="2">
        <v>675</v>
      </c>
      <c r="I4570" s="1" t="s">
        <v>13234</v>
      </c>
      <c r="J4570" s="1" t="s">
        <v>13235</v>
      </c>
      <c r="K4570" s="1" t="s">
        <v>208</v>
      </c>
      <c r="L4570" s="1" t="s">
        <v>13236</v>
      </c>
      <c r="M4570" s="6" t="str">
        <f>_xlfn.CONCAT(Table1[[#This Row],[Billing Street]], ", ", Table1[[#This Row],[Billing City]], ", ", Table1[[#This Row],[Billing State/Province]], ", ", Table1[[#This Row],[Billing Zip/Postal Code]])</f>
        <v>45 Stewart St, Durango, CO, 81303</v>
      </c>
    </row>
    <row r="4571" spans="1:13" ht="15.6" x14ac:dyDescent="0.3">
      <c r="A4571" s="1" t="s">
        <v>13237</v>
      </c>
      <c r="B4571" s="1"/>
      <c r="C4571" s="1"/>
      <c r="D4571" s="1"/>
      <c r="E4571" s="1"/>
      <c r="F4571" s="1"/>
      <c r="G4571" s="1" t="s">
        <v>24</v>
      </c>
      <c r="H4571" s="2">
        <v>118</v>
      </c>
      <c r="I4571" s="1" t="s">
        <v>13238</v>
      </c>
      <c r="J4571" s="1" t="s">
        <v>633</v>
      </c>
      <c r="K4571" s="1" t="s">
        <v>26</v>
      </c>
      <c r="L4571" s="1" t="s">
        <v>8277</v>
      </c>
      <c r="M4571" s="6" t="str">
        <f>_xlfn.CONCAT(Table1[[#This Row],[Billing Street]], ", ", Table1[[#This Row],[Billing City]], ", ", Table1[[#This Row],[Billing State/Province]], ", ", Table1[[#This Row],[Billing Zip/Postal Code]])</f>
        <v>148-B East Interstate 65 Service Rd N, Mobile, AL, 36607</v>
      </c>
    </row>
    <row r="4572" spans="1:13" ht="15.6" hidden="1" x14ac:dyDescent="0.3">
      <c r="A4572" s="1" t="s">
        <v>13239</v>
      </c>
      <c r="B4572" s="1"/>
      <c r="C4572" s="1"/>
      <c r="D4572" s="1"/>
      <c r="E4572" s="1"/>
      <c r="F4572" s="1"/>
      <c r="G4572" s="1" t="s">
        <v>8</v>
      </c>
      <c r="H4572" s="2">
        <v>656</v>
      </c>
      <c r="I4572" s="1" t="s">
        <v>13240</v>
      </c>
      <c r="J4572" s="1" t="s">
        <v>13241</v>
      </c>
      <c r="K4572" s="1" t="s">
        <v>208</v>
      </c>
      <c r="L4572" s="1" t="s">
        <v>13242</v>
      </c>
      <c r="M4572" s="6" t="str">
        <f>_xlfn.CONCAT(Table1[[#This Row],[Billing Street]], ", ", Table1[[#This Row],[Billing City]], ", ", Table1[[#This Row],[Billing State/Province]], ", ", Table1[[#This Row],[Billing Zip/Postal Code]])</f>
        <v>3799 CO-82, Glenwood Springs, CO, 81601</v>
      </c>
    </row>
    <row r="4573" spans="1:13" ht="15.6" hidden="1" x14ac:dyDescent="0.3">
      <c r="A4573" s="1" t="s">
        <v>13243</v>
      </c>
      <c r="B4573" s="1"/>
      <c r="C4573" s="1"/>
      <c r="D4573" s="1"/>
      <c r="E4573" s="1"/>
      <c r="F4573" s="1"/>
      <c r="G4573" s="1" t="s">
        <v>8</v>
      </c>
      <c r="H4573" s="2">
        <v>465</v>
      </c>
      <c r="I4573" s="1" t="s">
        <v>13244</v>
      </c>
      <c r="J4573" s="1" t="s">
        <v>13245</v>
      </c>
      <c r="K4573" s="1" t="s">
        <v>208</v>
      </c>
      <c r="L4573" s="1" t="s">
        <v>13246</v>
      </c>
      <c r="M4573" s="6" t="str">
        <f>_xlfn.CONCAT(Table1[[#This Row],[Billing Street]], ", ", Table1[[#This Row],[Billing City]], ", ", Table1[[#This Row],[Billing State/Province]], ", ", Table1[[#This Row],[Billing Zip/Postal Code]])</f>
        <v>1655 5th steer, Limon, CO, 80828</v>
      </c>
    </row>
    <row r="4574" spans="1:13" ht="15.6" x14ac:dyDescent="0.3">
      <c r="A4574" s="1" t="s">
        <v>13247</v>
      </c>
      <c r="B4574" s="1"/>
      <c r="C4574" s="1"/>
      <c r="D4574" s="1"/>
      <c r="E4574" s="1"/>
      <c r="F4574" s="1"/>
      <c r="G4574" s="1" t="s">
        <v>24</v>
      </c>
      <c r="H4574" s="2">
        <v>255</v>
      </c>
      <c r="I4574" s="1" t="s">
        <v>13248</v>
      </c>
      <c r="J4574" s="1" t="s">
        <v>13249</v>
      </c>
      <c r="K4574" s="1" t="s">
        <v>36</v>
      </c>
      <c r="L4574" s="1" t="s">
        <v>13250</v>
      </c>
      <c r="M4574" s="6" t="str">
        <f>_xlfn.CONCAT(Table1[[#This Row],[Billing Street]], ", ", Table1[[#This Row],[Billing City]], ", ", Table1[[#This Row],[Billing State/Province]], ", ", Table1[[#This Row],[Billing Zip/Postal Code]])</f>
        <v>PO Box 308225 West Walker Dr., Keystone Heights, FL, 32656</v>
      </c>
    </row>
    <row r="4575" spans="1:13" ht="15.6" hidden="1" x14ac:dyDescent="0.3">
      <c r="A4575" s="1" t="s">
        <v>13251</v>
      </c>
      <c r="B4575" s="1"/>
      <c r="C4575" s="1"/>
      <c r="D4575" s="1"/>
      <c r="E4575" s="1"/>
      <c r="F4575" s="1"/>
      <c r="G4575" s="1" t="s">
        <v>8</v>
      </c>
      <c r="H4575" s="2">
        <v>566</v>
      </c>
      <c r="I4575" s="1" t="s">
        <v>13252</v>
      </c>
      <c r="J4575" s="1" t="s">
        <v>2638</v>
      </c>
      <c r="K4575" s="1" t="s">
        <v>208</v>
      </c>
      <c r="L4575" s="1" t="s">
        <v>13253</v>
      </c>
      <c r="M4575" s="6" t="str">
        <f>_xlfn.CONCAT(Table1[[#This Row],[Billing Street]], ", ", Table1[[#This Row],[Billing City]], ", ", Table1[[#This Row],[Billing State/Province]], ", ", Table1[[#This Row],[Billing Zip/Postal Code]])</f>
        <v>700 Wood Street, Fort Collins, CO, 80522</v>
      </c>
    </row>
    <row r="4576" spans="1:13" ht="15.6" hidden="1" x14ac:dyDescent="0.3">
      <c r="A4576" s="1" t="s">
        <v>13254</v>
      </c>
      <c r="B4576" s="1"/>
      <c r="C4576" s="1"/>
      <c r="D4576" s="1"/>
      <c r="E4576" s="1"/>
      <c r="F4576" s="1"/>
      <c r="G4576" s="1" t="s">
        <v>8</v>
      </c>
      <c r="H4576" s="2">
        <v>533</v>
      </c>
      <c r="I4576" s="1" t="s">
        <v>13255</v>
      </c>
      <c r="J4576" s="1" t="s">
        <v>2756</v>
      </c>
      <c r="K4576" s="1" t="s">
        <v>208</v>
      </c>
      <c r="L4576" s="1" t="s">
        <v>2757</v>
      </c>
      <c r="M4576" s="6" t="str">
        <f>_xlfn.CONCAT(Table1[[#This Row],[Billing Street]], ", ", Table1[[#This Row],[Billing City]], ", ", Table1[[#This Row],[Billing State/Province]], ", ", Table1[[#This Row],[Billing Zip/Postal Code]])</f>
        <v>500 Cooperative Way, Brighton, CO, 80603</v>
      </c>
    </row>
    <row r="4577" spans="1:13" ht="15.6" hidden="1" x14ac:dyDescent="0.3">
      <c r="A4577" s="1" t="s">
        <v>13256</v>
      </c>
      <c r="B4577" s="1"/>
      <c r="C4577" s="1"/>
      <c r="D4577" s="1"/>
      <c r="E4577" s="1"/>
      <c r="F4577" s="1"/>
      <c r="G4577" s="1" t="s">
        <v>8</v>
      </c>
      <c r="H4577" s="2">
        <v>533</v>
      </c>
      <c r="I4577" s="1" t="s">
        <v>13257</v>
      </c>
      <c r="J4577" s="1" t="s">
        <v>13258</v>
      </c>
      <c r="K4577" s="1" t="s">
        <v>208</v>
      </c>
      <c r="L4577" s="1" t="s">
        <v>13259</v>
      </c>
      <c r="M4577" s="6" t="str">
        <f>_xlfn.CONCAT(Table1[[#This Row],[Billing Street]], ", ", Table1[[#This Row],[Billing City]], ", ", Table1[[#This Row],[Billing State/Province]], ", ", Table1[[#This Row],[Billing Zip/Postal Code]])</f>
        <v>5496 N US HWY 85, Sedalia, CO, 80135</v>
      </c>
    </row>
    <row r="4578" spans="1:13" ht="15.6" hidden="1" x14ac:dyDescent="0.3">
      <c r="A4578" s="1" t="s">
        <v>13260</v>
      </c>
      <c r="B4578" s="1"/>
      <c r="C4578" s="1"/>
      <c r="D4578" s="1"/>
      <c r="E4578" s="1"/>
      <c r="F4578" s="1"/>
      <c r="G4578" s="1" t="s">
        <v>8</v>
      </c>
      <c r="H4578" s="2">
        <v>586</v>
      </c>
      <c r="I4578" s="1" t="s">
        <v>13261</v>
      </c>
      <c r="J4578" s="1" t="s">
        <v>13262</v>
      </c>
      <c r="K4578" s="1" t="s">
        <v>208</v>
      </c>
      <c r="L4578" s="1" t="s">
        <v>13263</v>
      </c>
      <c r="M4578" s="6" t="str">
        <f>_xlfn.CONCAT(Table1[[#This Row],[Billing Street]], ", ", Table1[[#This Row],[Billing City]], ", ", Table1[[#This Row],[Billing State/Province]], ", ", Table1[[#This Row],[Billing Zip/Postal Code]])</f>
        <v>29780 N US Hwy 24, Buena Vista, CO, 81211</v>
      </c>
    </row>
    <row r="4579" spans="1:13" ht="15.6" hidden="1" x14ac:dyDescent="0.3">
      <c r="A4579" s="1" t="s">
        <v>13264</v>
      </c>
      <c r="B4579" s="1"/>
      <c r="C4579" s="1"/>
      <c r="D4579" s="1"/>
      <c r="E4579" s="1"/>
      <c r="F4579" s="1"/>
      <c r="G4579" s="1" t="s">
        <v>8</v>
      </c>
      <c r="H4579" s="2">
        <v>197</v>
      </c>
      <c r="I4579" s="1" t="s">
        <v>13265</v>
      </c>
      <c r="J4579" s="1" t="s">
        <v>12844</v>
      </c>
      <c r="K4579" s="1" t="s">
        <v>11</v>
      </c>
      <c r="L4579" s="1" t="s">
        <v>13266</v>
      </c>
      <c r="M4579" s="6" t="str">
        <f>_xlfn.CONCAT(Table1[[#This Row],[Billing Street]], ", ", Table1[[#This Row],[Billing City]], ", ", Table1[[#This Row],[Billing State/Province]], ", ", Table1[[#This Row],[Billing Zip/Postal Code]])</f>
        <v>500 S. Main St., Carrollton, MO, 64633</v>
      </c>
    </row>
    <row r="4580" spans="1:13" ht="15.6" hidden="1" x14ac:dyDescent="0.3">
      <c r="A4580" s="1" t="s">
        <v>13267</v>
      </c>
      <c r="B4580" s="1"/>
      <c r="C4580" s="1"/>
      <c r="D4580" s="1"/>
      <c r="E4580" s="1"/>
      <c r="F4580" s="1"/>
      <c r="G4580" s="1" t="s">
        <v>8</v>
      </c>
      <c r="H4580" s="2">
        <v>439</v>
      </c>
      <c r="I4580" s="1" t="s">
        <v>13268</v>
      </c>
      <c r="J4580" s="1" t="s">
        <v>13269</v>
      </c>
      <c r="K4580" s="1" t="s">
        <v>208</v>
      </c>
      <c r="L4580" s="1" t="s">
        <v>13270</v>
      </c>
      <c r="M4580" s="6" t="str">
        <f>_xlfn.CONCAT(Table1[[#This Row],[Billing Street]], ", ", Table1[[#This Row],[Billing City]], ", ", Table1[[#This Row],[Billing State/Province]], ", ", Table1[[#This Row],[Billing Zip/Postal Code]])</f>
        <v>118 San Juan ave, La Junta, CO, 81050</v>
      </c>
    </row>
    <row r="4581" spans="1:13" ht="15.6" hidden="1" x14ac:dyDescent="0.3">
      <c r="A4581" s="1" t="s">
        <v>13271</v>
      </c>
      <c r="B4581" s="1"/>
      <c r="C4581" s="1"/>
      <c r="D4581" s="1"/>
      <c r="E4581" s="1"/>
      <c r="F4581" s="1"/>
      <c r="G4581" s="1" t="s">
        <v>205</v>
      </c>
      <c r="H4581" s="2">
        <v>5</v>
      </c>
      <c r="I4581" s="1" t="s">
        <v>13272</v>
      </c>
      <c r="J4581" s="1" t="s">
        <v>518</v>
      </c>
      <c r="K4581" s="1" t="s">
        <v>479</v>
      </c>
      <c r="L4581" s="1" t="s">
        <v>1886</v>
      </c>
      <c r="M4581" s="6" t="str">
        <f>_xlfn.CONCAT(Table1[[#This Row],[Billing Street]], ", ", Table1[[#This Row],[Billing City]], ", ", Table1[[#This Row],[Billing State/Province]], ", ", Table1[[#This Row],[Billing Zip/Postal Code]])</f>
        <v>3804 E. Watkins St, Phoenix, AZ, 85034</v>
      </c>
    </row>
    <row r="4582" spans="1:13" ht="15.6" hidden="1" x14ac:dyDescent="0.3">
      <c r="A4582" s="1" t="s">
        <v>13273</v>
      </c>
      <c r="B4582" s="1"/>
      <c r="C4582" s="1"/>
      <c r="D4582" s="1"/>
      <c r="E4582" s="1"/>
      <c r="F4582" s="1"/>
      <c r="G4582" s="1" t="s">
        <v>43</v>
      </c>
      <c r="H4582" s="2">
        <v>5776</v>
      </c>
      <c r="I4582" s="1" t="s">
        <v>13</v>
      </c>
      <c r="J4582" s="1" t="s">
        <v>2591</v>
      </c>
      <c r="K4582" s="1" t="s">
        <v>152</v>
      </c>
      <c r="L4582" s="1" t="s">
        <v>13</v>
      </c>
      <c r="M4582" s="6" t="str">
        <f>_xlfn.CONCAT(Table1[[#This Row],[Billing Street]], ", ", Table1[[#This Row],[Billing City]], ", ", Table1[[#This Row],[Billing State/Province]], ", ", Table1[[#This Row],[Billing Zip/Postal Code]])</f>
        <v xml:space="preserve">, Mattoon, IL, </v>
      </c>
    </row>
    <row r="4583" spans="1:13" ht="15.6" hidden="1" x14ac:dyDescent="0.3">
      <c r="A4583" s="1" t="s">
        <v>13274</v>
      </c>
      <c r="B4583" s="1"/>
      <c r="C4583" s="1"/>
      <c r="D4583" s="1"/>
      <c r="E4583" s="1"/>
      <c r="F4583" s="1"/>
      <c r="G4583" s="1" t="s">
        <v>43</v>
      </c>
      <c r="H4583" s="2">
        <v>86</v>
      </c>
      <c r="I4583" s="1" t="s">
        <v>13275</v>
      </c>
      <c r="J4583" s="1" t="s">
        <v>13276</v>
      </c>
      <c r="K4583" s="1" t="s">
        <v>241</v>
      </c>
      <c r="L4583" s="1" t="s">
        <v>13277</v>
      </c>
      <c r="M4583" s="6" t="str">
        <f>_xlfn.CONCAT(Table1[[#This Row],[Billing Street]], ", ", Table1[[#This Row],[Billing City]], ", ", Table1[[#This Row],[Billing State/Province]], ", ", Table1[[#This Row],[Billing Zip/Postal Code]])</f>
        <v>1 Armco Drive, Lyndora, PA, 16045</v>
      </c>
    </row>
    <row r="4584" spans="1:13" ht="15.6" hidden="1" x14ac:dyDescent="0.3">
      <c r="A4584" s="1" t="s">
        <v>13278</v>
      </c>
      <c r="B4584" s="1"/>
      <c r="C4584" s="1"/>
      <c r="D4584" s="1"/>
      <c r="E4584" s="1"/>
      <c r="F4584" s="1"/>
      <c r="G4584" s="1" t="s">
        <v>43</v>
      </c>
      <c r="H4584" s="2">
        <v>234</v>
      </c>
      <c r="I4584" s="1" t="s">
        <v>13279</v>
      </c>
      <c r="J4584" s="1" t="s">
        <v>3455</v>
      </c>
      <c r="K4584" s="1" t="s">
        <v>671</v>
      </c>
      <c r="L4584" s="1" t="s">
        <v>13280</v>
      </c>
      <c r="M4584" s="6" t="str">
        <f>_xlfn.CONCAT(Table1[[#This Row],[Billing Street]], ", ", Table1[[#This Row],[Billing City]], ", ", Table1[[#This Row],[Billing State/Province]], ", ", Table1[[#This Row],[Billing Zip/Postal Code]])</f>
        <v>89 East Ave, Rochester, NY, 14649</v>
      </c>
    </row>
    <row r="4585" spans="1:13" ht="15.6" hidden="1" x14ac:dyDescent="0.3">
      <c r="A4585" s="1" t="s">
        <v>13281</v>
      </c>
      <c r="B4585" s="1"/>
      <c r="C4585" s="1"/>
      <c r="D4585" s="1"/>
      <c r="E4585" s="1"/>
      <c r="F4585" s="1"/>
      <c r="G4585" s="1" t="s">
        <v>8</v>
      </c>
      <c r="H4585" s="2">
        <v>334</v>
      </c>
      <c r="I4585" s="1" t="s">
        <v>13282</v>
      </c>
      <c r="J4585" s="1" t="s">
        <v>1929</v>
      </c>
      <c r="K4585" s="1" t="s">
        <v>11</v>
      </c>
      <c r="L4585" s="1" t="s">
        <v>1930</v>
      </c>
      <c r="M4585" s="6" t="str">
        <f>_xlfn.CONCAT(Table1[[#This Row],[Billing Street]], ", ", Table1[[#This Row],[Billing City]], ", ", Table1[[#This Row],[Billing State/Province]], ", ", Table1[[#This Row],[Billing Zip/Postal Code]])</f>
        <v>1505 S Main St, Sikeston, MO, 63801</v>
      </c>
    </row>
    <row r="4586" spans="1:13" ht="15.6" hidden="1" x14ac:dyDescent="0.3">
      <c r="A4586" s="1" t="s">
        <v>13283</v>
      </c>
      <c r="B4586" s="1"/>
      <c r="C4586" s="1"/>
      <c r="D4586" s="1"/>
      <c r="E4586" s="1"/>
      <c r="F4586" s="1"/>
      <c r="G4586" s="1" t="s">
        <v>8</v>
      </c>
      <c r="H4586" s="2">
        <v>287</v>
      </c>
      <c r="I4586" s="1" t="s">
        <v>13284</v>
      </c>
      <c r="J4586" s="1" t="s">
        <v>1144</v>
      </c>
      <c r="K4586" s="1" t="s">
        <v>11</v>
      </c>
      <c r="L4586" s="1" t="s">
        <v>1259</v>
      </c>
      <c r="M4586" s="6" t="str">
        <f>_xlfn.CONCAT(Table1[[#This Row],[Billing Street]], ", ", Table1[[#This Row],[Billing City]], ", ", Table1[[#This Row],[Billing State/Province]], ", ", Table1[[#This Row],[Billing Zip/Postal Code]])</f>
        <v>2901 Barron Rd, Poplar Bluff, MO, 63901</v>
      </c>
    </row>
    <row r="4587" spans="1:13" ht="15.6" hidden="1" x14ac:dyDescent="0.3">
      <c r="A4587" s="1" t="s">
        <v>13285</v>
      </c>
      <c r="B4587" s="1"/>
      <c r="C4587" s="1"/>
      <c r="D4587" s="1"/>
      <c r="E4587" s="1"/>
      <c r="F4587" s="1"/>
      <c r="G4587" s="1" t="s">
        <v>8</v>
      </c>
      <c r="H4587" s="2">
        <v>438</v>
      </c>
      <c r="I4587" s="1" t="s">
        <v>13286</v>
      </c>
      <c r="J4587" s="1" t="s">
        <v>13287</v>
      </c>
      <c r="K4587" s="1" t="s">
        <v>208</v>
      </c>
      <c r="L4587" s="1" t="s">
        <v>13270</v>
      </c>
      <c r="M4587" s="6" t="str">
        <f>_xlfn.CONCAT(Table1[[#This Row],[Billing Street]], ", ", Table1[[#This Row],[Billing City]], ", ", Table1[[#This Row],[Billing State/Province]], ", ", Table1[[#This Row],[Billing Zip/Postal Code]])</f>
        <v>27850 Harris road, LaJunta, CO, 81050</v>
      </c>
    </row>
    <row r="4588" spans="1:13" ht="15.6" hidden="1" x14ac:dyDescent="0.3">
      <c r="A4588" s="1" t="s">
        <v>13288</v>
      </c>
      <c r="B4588" s="1"/>
      <c r="C4588" s="1"/>
      <c r="D4588" s="1"/>
      <c r="E4588" s="1"/>
      <c r="F4588" s="1"/>
      <c r="G4588" s="1" t="s">
        <v>8</v>
      </c>
      <c r="H4588" s="2">
        <v>659</v>
      </c>
      <c r="I4588" s="1" t="s">
        <v>13289</v>
      </c>
      <c r="J4588" s="1" t="s">
        <v>13241</v>
      </c>
      <c r="K4588" s="1" t="s">
        <v>208</v>
      </c>
      <c r="L4588" s="1" t="s">
        <v>13242</v>
      </c>
      <c r="M4588" s="6" t="str">
        <f>_xlfn.CONCAT(Table1[[#This Row],[Billing Street]], ", ", Table1[[#This Row],[Billing City]], ", ", Table1[[#This Row],[Billing State/Province]], ", ", Table1[[#This Row],[Billing Zip/Postal Code]])</f>
        <v>2301 Wulfsohn Road, Glenwood Springs, CO, 81601</v>
      </c>
    </row>
    <row r="4589" spans="1:13" ht="15.6" hidden="1" x14ac:dyDescent="0.3">
      <c r="A4589" s="1" t="s">
        <v>13290</v>
      </c>
      <c r="B4589" s="1"/>
      <c r="C4589" s="1"/>
      <c r="D4589" s="1"/>
      <c r="E4589" s="1"/>
      <c r="F4589" s="1"/>
      <c r="G4589" s="1" t="s">
        <v>8</v>
      </c>
      <c r="H4589" s="2">
        <v>163</v>
      </c>
      <c r="I4589" s="1" t="s">
        <v>13291</v>
      </c>
      <c r="J4589" s="1" t="s">
        <v>1148</v>
      </c>
      <c r="K4589" s="1" t="s">
        <v>11</v>
      </c>
      <c r="L4589" s="1" t="s">
        <v>13292</v>
      </c>
      <c r="M4589" s="6" t="str">
        <f>_xlfn.CONCAT(Table1[[#This Row],[Billing Street]], ", ", Table1[[#This Row],[Billing City]], ", ", Table1[[#This Row],[Billing State/Province]], ", ", Table1[[#This Row],[Billing Zip/Postal Code]])</f>
        <v>900 W Dryden, Odessa, MO, 64076</v>
      </c>
    </row>
    <row r="4590" spans="1:13" ht="15.6" hidden="1" x14ac:dyDescent="0.3">
      <c r="A4590" s="1" t="s">
        <v>13293</v>
      </c>
      <c r="B4590" s="1"/>
      <c r="C4590" s="1"/>
      <c r="D4590" s="1"/>
      <c r="E4590" s="1"/>
      <c r="F4590" s="1"/>
      <c r="G4590" s="1" t="s">
        <v>8</v>
      </c>
      <c r="H4590" s="2">
        <v>176</v>
      </c>
      <c r="I4590" s="1" t="s">
        <v>13294</v>
      </c>
      <c r="J4590" s="1" t="s">
        <v>13258</v>
      </c>
      <c r="K4590" s="1" t="s">
        <v>11</v>
      </c>
      <c r="L4590" s="1" t="s">
        <v>13295</v>
      </c>
      <c r="M4590" s="6" t="str">
        <f>_xlfn.CONCAT(Table1[[#This Row],[Billing Street]], ", ", Table1[[#This Row],[Billing City]], ", ", Table1[[#This Row],[Billing State/Province]], ", ", Table1[[#This Row],[Billing Zip/Postal Code]])</f>
        <v>22702 N Hwy 65, Sedalia, MO, 65302-0939</v>
      </c>
    </row>
    <row r="4591" spans="1:13" ht="15.6" x14ac:dyDescent="0.3">
      <c r="A4591" s="1" t="s">
        <v>13296</v>
      </c>
      <c r="B4591" s="1"/>
      <c r="C4591" s="1"/>
      <c r="D4591" s="1"/>
      <c r="E4591" s="1"/>
      <c r="F4591" s="1"/>
      <c r="G4591" s="1" t="s">
        <v>24</v>
      </c>
      <c r="H4591" s="2">
        <v>36</v>
      </c>
      <c r="I4591" s="1" t="s">
        <v>13297</v>
      </c>
      <c r="J4591" s="1" t="s">
        <v>4853</v>
      </c>
      <c r="K4591" s="1" t="s">
        <v>36</v>
      </c>
      <c r="L4591" s="1" t="s">
        <v>1532</v>
      </c>
      <c r="M4591" s="6" t="str">
        <f>_xlfn.CONCAT(Table1[[#This Row],[Billing Street]], ", ", Table1[[#This Row],[Billing City]], ", ", Table1[[#This Row],[Billing State/Province]], ", ", Table1[[#This Row],[Billing Zip/Postal Code]])</f>
        <v>66 Eglin Pkwy NE, Fort Walton Beach, FL, 32548</v>
      </c>
    </row>
    <row r="4592" spans="1:13" ht="15.6" hidden="1" x14ac:dyDescent="0.3">
      <c r="A4592" s="1" t="s">
        <v>13298</v>
      </c>
      <c r="B4592" s="1"/>
      <c r="C4592" s="1"/>
      <c r="D4592" s="1"/>
      <c r="E4592" s="1"/>
      <c r="F4592" s="1"/>
      <c r="G4592" s="1" t="s">
        <v>8</v>
      </c>
      <c r="H4592" s="2">
        <v>195</v>
      </c>
      <c r="I4592" s="1" t="s">
        <v>13299</v>
      </c>
      <c r="J4592" s="1" t="s">
        <v>1325</v>
      </c>
      <c r="K4592" s="1" t="s">
        <v>11</v>
      </c>
      <c r="L4592" s="1" t="s">
        <v>13300</v>
      </c>
      <c r="M4592" s="6" t="str">
        <f>_xlfn.CONCAT(Table1[[#This Row],[Billing Street]], ", ", Table1[[#This Row],[Billing City]], ", ", Table1[[#This Row],[Billing State/Province]], ", ", Table1[[#This Row],[Billing Zip/Postal Code]])</f>
        <v>75 East Morgan, Marshall, MO, 65340</v>
      </c>
    </row>
    <row r="4593" spans="1:13" ht="15.6" x14ac:dyDescent="0.3">
      <c r="A4593" s="1" t="s">
        <v>13301</v>
      </c>
      <c r="B4593" s="1"/>
      <c r="C4593" s="1"/>
      <c r="D4593" s="1"/>
      <c r="E4593" s="1"/>
      <c r="F4593" s="1"/>
      <c r="G4593" s="1" t="s">
        <v>24</v>
      </c>
      <c r="H4593" s="2">
        <v>36</v>
      </c>
      <c r="I4593" s="1" t="s">
        <v>13302</v>
      </c>
      <c r="J4593" s="1" t="s">
        <v>4853</v>
      </c>
      <c r="K4593" s="1" t="s">
        <v>36</v>
      </c>
      <c r="L4593" s="1" t="s">
        <v>1532</v>
      </c>
      <c r="M4593" s="6" t="str">
        <f>_xlfn.CONCAT(Table1[[#This Row],[Billing Street]], ", ", Table1[[#This Row],[Billing City]], ", ", Table1[[#This Row],[Billing State/Province]], ", ", Table1[[#This Row],[Billing Zip/Postal Code]])</f>
        <v>15 Shell Ave SE, Fort Walton Beach, FL, 32548</v>
      </c>
    </row>
    <row r="4594" spans="1:13" ht="15.6" hidden="1" x14ac:dyDescent="0.3">
      <c r="A4594" s="1" t="s">
        <v>13303</v>
      </c>
      <c r="B4594" s="1"/>
      <c r="C4594" s="1"/>
      <c r="D4594" s="1"/>
      <c r="E4594" s="1"/>
      <c r="F4594" s="1"/>
      <c r="G4594" s="1" t="s">
        <v>43</v>
      </c>
      <c r="H4594" s="2">
        <v>489</v>
      </c>
      <c r="I4594" s="1" t="s">
        <v>13304</v>
      </c>
      <c r="J4594" s="1" t="s">
        <v>8017</v>
      </c>
      <c r="K4594" s="1" t="s">
        <v>152</v>
      </c>
      <c r="L4594" s="1" t="s">
        <v>13305</v>
      </c>
      <c r="M4594" s="6" t="str">
        <f>_xlfn.CONCAT(Table1[[#This Row],[Billing Street]], ", ", Table1[[#This Row],[Billing City]], ", ", Table1[[#This Row],[Billing State/Province]], ", ", Table1[[#This Row],[Billing Zip/Postal Code]])</f>
        <v>1500 Eastport Plaza Drive, Collinsville, IL, 62234</v>
      </c>
    </row>
    <row r="4595" spans="1:13" ht="15.6" hidden="1" x14ac:dyDescent="0.3">
      <c r="A4595" s="1" t="s">
        <v>13306</v>
      </c>
      <c r="B4595" s="1"/>
      <c r="C4595" s="1"/>
      <c r="D4595" s="1"/>
      <c r="E4595" s="1"/>
      <c r="F4595" s="1"/>
      <c r="G4595" s="1" t="s">
        <v>8</v>
      </c>
      <c r="H4595" s="2">
        <v>410</v>
      </c>
      <c r="I4595" s="1" t="s">
        <v>13307</v>
      </c>
      <c r="J4595" s="1" t="s">
        <v>11937</v>
      </c>
      <c r="K4595" s="1" t="s">
        <v>208</v>
      </c>
      <c r="L4595" s="1" t="s">
        <v>13308</v>
      </c>
      <c r="M4595" s="6" t="str">
        <f>_xlfn.CONCAT(Table1[[#This Row],[Billing Street]], ", ", Table1[[#This Row],[Billing City]], ", ", Table1[[#This Row],[Billing State/Province]], ", ", Table1[[#This Row],[Billing Zip/Postal Code]])</f>
        <v>281 Main St, Stratton, CO, 80836</v>
      </c>
    </row>
    <row r="4596" spans="1:13" ht="15.6" hidden="1" x14ac:dyDescent="0.3">
      <c r="A4596" s="1" t="s">
        <v>13309</v>
      </c>
      <c r="B4596" s="1"/>
      <c r="C4596" s="1"/>
      <c r="D4596" s="1"/>
      <c r="E4596" s="1"/>
      <c r="F4596" s="1"/>
      <c r="G4596" s="1" t="s">
        <v>8</v>
      </c>
      <c r="H4596" s="2">
        <v>493</v>
      </c>
      <c r="I4596" s="1" t="s">
        <v>13310</v>
      </c>
      <c r="J4596" s="1" t="s">
        <v>11232</v>
      </c>
      <c r="K4596" s="1" t="s">
        <v>208</v>
      </c>
      <c r="L4596" s="1" t="s">
        <v>13</v>
      </c>
      <c r="M4596" s="6" t="str">
        <f>_xlfn.CONCAT(Table1[[#This Row],[Billing Street]], ", ", Table1[[#This Row],[Billing City]], ", ", Table1[[#This Row],[Billing State/Province]], ", ", Table1[[#This Row],[Billing Zip/Postal Code]])</f>
        <v xml:space="preserve">710 Railroad st, Fort Morgan, CO, </v>
      </c>
    </row>
    <row r="4597" spans="1:13" ht="15.6" hidden="1" x14ac:dyDescent="0.3">
      <c r="A4597" s="1" t="s">
        <v>13311</v>
      </c>
      <c r="B4597" s="1"/>
      <c r="C4597" s="1"/>
      <c r="D4597" s="1"/>
      <c r="E4597" s="1"/>
      <c r="F4597" s="1"/>
      <c r="G4597" s="1" t="s">
        <v>43</v>
      </c>
      <c r="H4597" s="2">
        <v>43</v>
      </c>
      <c r="I4597" s="1" t="s">
        <v>13312</v>
      </c>
      <c r="J4597" s="1" t="s">
        <v>13313</v>
      </c>
      <c r="K4597" s="1" t="s">
        <v>45</v>
      </c>
      <c r="L4597" s="1" t="s">
        <v>13314</v>
      </c>
      <c r="M4597" s="6" t="str">
        <f>_xlfn.CONCAT(Table1[[#This Row],[Billing Street]], ", ", Table1[[#This Row],[Billing City]], ", ", Table1[[#This Row],[Billing State/Province]], ", ", Table1[[#This Row],[Billing Zip/Postal Code]])</f>
        <v>7495 Industrial Parkway, Lorain, OH, 44053</v>
      </c>
    </row>
    <row r="4598" spans="1:13" ht="15.6" hidden="1" x14ac:dyDescent="0.3">
      <c r="A4598" s="1" t="s">
        <v>13315</v>
      </c>
      <c r="B4598" s="1"/>
      <c r="C4598" s="1"/>
      <c r="D4598" s="1"/>
      <c r="E4598" s="1"/>
      <c r="F4598" s="1"/>
      <c r="G4598" s="1" t="s">
        <v>8</v>
      </c>
      <c r="H4598" s="2">
        <v>301</v>
      </c>
      <c r="I4598" s="1" t="s">
        <v>624</v>
      </c>
      <c r="J4598" s="1" t="s">
        <v>625</v>
      </c>
      <c r="K4598" s="1" t="s">
        <v>51</v>
      </c>
      <c r="L4598" s="1" t="s">
        <v>626</v>
      </c>
      <c r="M4598" s="6" t="str">
        <f>_xlfn.CONCAT(Table1[[#This Row],[Billing Street]], ", ", Table1[[#This Row],[Billing City]], ", ", Table1[[#This Row],[Billing State/Province]], ", ", Table1[[#This Row],[Billing Zip/Postal Code]])</f>
        <v>1999 Bryan St, Dallas, TX, 75201</v>
      </c>
    </row>
    <row r="4599" spans="1:13" ht="15.6" x14ac:dyDescent="0.3">
      <c r="A4599" s="1" t="s">
        <v>13316</v>
      </c>
      <c r="B4599" s="1"/>
      <c r="C4599" s="1"/>
      <c r="D4599" s="1"/>
      <c r="E4599" s="1"/>
      <c r="F4599" s="1"/>
      <c r="G4599" s="1" t="s">
        <v>24</v>
      </c>
      <c r="H4599" s="2">
        <v>189</v>
      </c>
      <c r="I4599" s="1" t="s">
        <v>13317</v>
      </c>
      <c r="J4599" s="1" t="s">
        <v>13318</v>
      </c>
      <c r="K4599" s="1" t="s">
        <v>36</v>
      </c>
      <c r="L4599" s="1" t="s">
        <v>13319</v>
      </c>
      <c r="M4599" s="6" t="str">
        <f>_xlfn.CONCAT(Table1[[#This Row],[Billing Street]], ", ", Table1[[#This Row],[Billing City]], ", ", Table1[[#This Row],[Billing State/Province]], ", ", Table1[[#This Row],[Billing Zip/Postal Code]])</f>
        <v>11350 100th St., Live Oak, FL, 32060</v>
      </c>
    </row>
    <row r="4600" spans="1:13" ht="15.6" x14ac:dyDescent="0.3">
      <c r="A4600" s="1" t="s">
        <v>13320</v>
      </c>
      <c r="B4600" s="1"/>
      <c r="C4600" s="1"/>
      <c r="D4600" s="1"/>
      <c r="E4600" s="1"/>
      <c r="F4600" s="1"/>
      <c r="G4600" s="1" t="s">
        <v>24</v>
      </c>
      <c r="H4600" s="2">
        <v>286</v>
      </c>
      <c r="I4600" s="1" t="s">
        <v>13321</v>
      </c>
      <c r="J4600" s="1" t="s">
        <v>13322</v>
      </c>
      <c r="K4600" s="1" t="s">
        <v>36</v>
      </c>
      <c r="L4600" s="1" t="s">
        <v>13</v>
      </c>
      <c r="M4600" s="6" t="str">
        <f>_xlfn.CONCAT(Table1[[#This Row],[Billing Street]], ", ", Table1[[#This Row],[Billing City]], ", ", Table1[[#This Row],[Billing State/Province]], ", ", Table1[[#This Row],[Billing Zip/Postal Code]])</f>
        <v xml:space="preserve">14651 21st Street, Dade City, FL, </v>
      </c>
    </row>
    <row r="4601" spans="1:13" ht="15.6" hidden="1" x14ac:dyDescent="0.3">
      <c r="A4601" s="1" t="s">
        <v>13323</v>
      </c>
      <c r="B4601" s="1"/>
      <c r="C4601" s="1"/>
      <c r="D4601" s="1"/>
      <c r="E4601" s="1"/>
      <c r="F4601" s="1"/>
      <c r="G4601" s="1" t="s">
        <v>43</v>
      </c>
      <c r="H4601" s="2">
        <v>267</v>
      </c>
      <c r="I4601" s="1" t="s">
        <v>13324</v>
      </c>
      <c r="J4601" s="1" t="s">
        <v>13325</v>
      </c>
      <c r="K4601" s="1" t="s">
        <v>82</v>
      </c>
      <c r="L4601" s="1" t="s">
        <v>13326</v>
      </c>
      <c r="M4601" s="6" t="str">
        <f>_xlfn.CONCAT(Table1[[#This Row],[Billing Street]], ", ", Table1[[#This Row],[Billing City]], ", ", Table1[[#This Row],[Billing State/Province]], ", ", Table1[[#This Row],[Billing Zip/Postal Code]])</f>
        <v>9895 Red Arrow Highway, Bridgman, MI, 49106</v>
      </c>
    </row>
    <row r="4602" spans="1:13" ht="15.6" hidden="1" x14ac:dyDescent="0.3">
      <c r="A4602" s="1" t="s">
        <v>13327</v>
      </c>
      <c r="B4602" s="1"/>
      <c r="C4602" s="1"/>
      <c r="D4602" s="1"/>
      <c r="E4602" s="1"/>
      <c r="F4602" s="1"/>
      <c r="G4602" s="1" t="s">
        <v>8</v>
      </c>
      <c r="H4602" s="2">
        <v>629</v>
      </c>
      <c r="I4602" s="1" t="s">
        <v>13328</v>
      </c>
      <c r="J4602" s="1" t="s">
        <v>13329</v>
      </c>
      <c r="K4602" s="1" t="s">
        <v>208</v>
      </c>
      <c r="L4602" s="1" t="s">
        <v>13330</v>
      </c>
      <c r="M4602" s="6" t="str">
        <f>_xlfn.CONCAT(Table1[[#This Row],[Billing Street]], ", ", Table1[[#This Row],[Billing City]], ", ", Table1[[#This Row],[Billing State/Province]], ", ", Table1[[#This Row],[Billing Zip/Postal Code]])</f>
        <v>37250 W Hwy 50, Gunnison, CO, 81230-0180</v>
      </c>
    </row>
    <row r="4603" spans="1:13" ht="15.6" x14ac:dyDescent="0.3">
      <c r="A4603" s="1" t="s">
        <v>13331</v>
      </c>
      <c r="B4603" s="1"/>
      <c r="C4603" s="1"/>
      <c r="D4603" s="1"/>
      <c r="E4603" s="1"/>
      <c r="F4603" s="1"/>
      <c r="G4603" s="1" t="s">
        <v>24</v>
      </c>
      <c r="H4603" s="2">
        <v>290</v>
      </c>
      <c r="I4603" s="1" t="s">
        <v>13332</v>
      </c>
      <c r="J4603" s="1" t="s">
        <v>1774</v>
      </c>
      <c r="K4603" s="1" t="s">
        <v>36</v>
      </c>
      <c r="L4603" s="1" t="s">
        <v>8154</v>
      </c>
      <c r="M4603" s="6" t="str">
        <f>_xlfn.CONCAT(Table1[[#This Row],[Billing Street]], ", ", Table1[[#This Row],[Billing City]], ", ", Table1[[#This Row],[Billing State/Province]], ", ", Table1[[#This Row],[Billing Zip/Postal Code]])</f>
        <v>2200 East Sligh Avenue, Tampa, FL, 33610</v>
      </c>
    </row>
    <row r="4604" spans="1:13" ht="15.6" hidden="1" x14ac:dyDescent="0.3">
      <c r="A4604" s="1" t="s">
        <v>13333</v>
      </c>
      <c r="B4604" s="1"/>
      <c r="C4604" s="1"/>
      <c r="D4604" s="1"/>
      <c r="E4604" s="1"/>
      <c r="F4604" s="1"/>
      <c r="G4604" s="1" t="s">
        <v>43</v>
      </c>
      <c r="H4604" s="2">
        <v>394</v>
      </c>
      <c r="I4604" s="1" t="s">
        <v>13334</v>
      </c>
      <c r="J4604" s="1" t="s">
        <v>2436</v>
      </c>
      <c r="K4604" s="1" t="s">
        <v>152</v>
      </c>
      <c r="L4604" s="1" t="s">
        <v>13335</v>
      </c>
      <c r="M4604" s="6" t="str">
        <f>_xlfn.CONCAT(Table1[[#This Row],[Billing Street]], ", ", Table1[[#This Row],[Billing City]], ", ", Table1[[#This Row],[Billing State/Province]], ", ", Table1[[#This Row],[Billing Zip/Postal Code]])</f>
        <v>1 Energy Way, Bloomington, IL, 61702</v>
      </c>
    </row>
    <row r="4605" spans="1:13" ht="15.6" hidden="1" x14ac:dyDescent="0.3">
      <c r="A4605" s="1" t="s">
        <v>13336</v>
      </c>
      <c r="B4605" s="1"/>
      <c r="C4605" s="1"/>
      <c r="D4605" s="1"/>
      <c r="E4605" s="1"/>
      <c r="F4605" s="1"/>
      <c r="G4605" s="1" t="s">
        <v>8</v>
      </c>
      <c r="H4605" s="2">
        <v>582</v>
      </c>
      <c r="I4605" s="1" t="s">
        <v>13337</v>
      </c>
      <c r="J4605" s="1" t="s">
        <v>13338</v>
      </c>
      <c r="K4605" s="1" t="s">
        <v>208</v>
      </c>
      <c r="L4605" s="1" t="s">
        <v>13339</v>
      </c>
      <c r="M4605" s="6" t="str">
        <f>_xlfn.CONCAT(Table1[[#This Row],[Billing Street]], ", ", Table1[[#This Row],[Billing City]], ", ", Table1[[#This Row],[Billing State/Province]], ", ", Table1[[#This Row],[Billing Zip/Postal Code]])</f>
        <v>615 Elm road, Estes Park, CO, 800517</v>
      </c>
    </row>
    <row r="4606" spans="1:13" ht="15.6" hidden="1" x14ac:dyDescent="0.3">
      <c r="A4606" s="1" t="s">
        <v>13340</v>
      </c>
      <c r="B4606" s="1"/>
      <c r="C4606" s="1"/>
      <c r="D4606" s="1"/>
      <c r="E4606" s="1"/>
      <c r="F4606" s="1"/>
      <c r="G4606" s="1" t="s">
        <v>8</v>
      </c>
      <c r="H4606" s="2">
        <v>435</v>
      </c>
      <c r="I4606" s="1" t="s">
        <v>13341</v>
      </c>
      <c r="J4606" s="1" t="s">
        <v>487</v>
      </c>
      <c r="K4606" s="1" t="s">
        <v>208</v>
      </c>
      <c r="L4606" s="1" t="s">
        <v>488</v>
      </c>
      <c r="M4606" s="6" t="str">
        <f>_xlfn.CONCAT(Table1[[#This Row],[Billing Street]], ", ", Table1[[#This Row],[Billing City]], ", ", Table1[[#This Row],[Billing State/Province]], ", ", Table1[[#This Row],[Billing Zip/Postal Code]])</f>
        <v>1300 S Interocean Ave, Holyoke, CO, 80734</v>
      </c>
    </row>
    <row r="4607" spans="1:13" ht="15.6" x14ac:dyDescent="0.3">
      <c r="A4607" s="1" t="s">
        <v>13342</v>
      </c>
      <c r="B4607" s="1"/>
      <c r="C4607" s="1"/>
      <c r="D4607" s="1"/>
      <c r="E4607" s="1"/>
      <c r="F4607" s="1"/>
      <c r="G4607" s="1" t="s">
        <v>24</v>
      </c>
      <c r="H4607" s="2">
        <v>52</v>
      </c>
      <c r="I4607" s="1" t="s">
        <v>13343</v>
      </c>
      <c r="J4607" s="1" t="s">
        <v>1685</v>
      </c>
      <c r="K4607" s="1" t="s">
        <v>36</v>
      </c>
      <c r="L4607" s="1" t="s">
        <v>13344</v>
      </c>
      <c r="M4607" s="6" t="str">
        <f>_xlfn.CONCAT(Table1[[#This Row],[Billing Street]], ", ", Table1[[#This Row],[Billing City]], ", ", Table1[[#This Row],[Billing State/Province]], ", ", Table1[[#This Row],[Billing Zip/Postal Code]])</f>
        <v>7898 Armstrong Rd, Milton, FL, 32583</v>
      </c>
    </row>
    <row r="4608" spans="1:13" ht="15.6" x14ac:dyDescent="0.3">
      <c r="A4608" s="1" t="s">
        <v>13345</v>
      </c>
      <c r="B4608" s="1"/>
      <c r="C4608" s="1"/>
      <c r="D4608" s="1"/>
      <c r="E4608" s="1"/>
      <c r="F4608" s="1"/>
      <c r="G4608" s="1" t="s">
        <v>24</v>
      </c>
      <c r="H4608" s="2">
        <v>441</v>
      </c>
      <c r="I4608" s="1" t="s">
        <v>13346</v>
      </c>
      <c r="J4608" s="1" t="s">
        <v>5352</v>
      </c>
      <c r="K4608" s="1" t="s">
        <v>577</v>
      </c>
      <c r="L4608" s="1" t="s">
        <v>13347</v>
      </c>
      <c r="M4608" s="6" t="str">
        <f>_xlfn.CONCAT(Table1[[#This Row],[Billing Street]], ", ", Table1[[#This Row],[Billing City]], ", ", Table1[[#This Row],[Billing State/Province]], ", ", Table1[[#This Row],[Billing Zip/Postal Code]])</f>
        <v>520 Broadway, Minden, LA, 71058</v>
      </c>
    </row>
    <row r="4609" spans="1:13" ht="15.6" hidden="1" x14ac:dyDescent="0.3">
      <c r="A4609" s="1" t="s">
        <v>13348</v>
      </c>
      <c r="B4609" s="1"/>
      <c r="C4609" s="1"/>
      <c r="D4609" s="1"/>
      <c r="E4609" s="1"/>
      <c r="F4609" s="1"/>
      <c r="G4609" s="1" t="s">
        <v>8</v>
      </c>
      <c r="H4609" s="2">
        <v>712</v>
      </c>
      <c r="I4609" s="1" t="s">
        <v>13349</v>
      </c>
      <c r="J4609" s="1" t="s">
        <v>13350</v>
      </c>
      <c r="K4609" s="1" t="s">
        <v>208</v>
      </c>
      <c r="L4609" s="1" t="s">
        <v>13351</v>
      </c>
      <c r="M4609" s="6" t="str">
        <f>_xlfn.CONCAT(Table1[[#This Row],[Billing Street]], ", ", Table1[[#This Row],[Billing City]], ", ", Table1[[#This Row],[Billing State/Province]], ", ", Table1[[#This Row],[Billing Zip/Postal Code]])</f>
        <v>1050 Main St, Nucla, CO, 81424</v>
      </c>
    </row>
    <row r="4610" spans="1:13" ht="15.6" x14ac:dyDescent="0.3">
      <c r="A4610" s="1" t="s">
        <v>13352</v>
      </c>
      <c r="B4610" s="1"/>
      <c r="C4610" s="1"/>
      <c r="D4610" s="1"/>
      <c r="E4610" s="1"/>
      <c r="F4610" s="1"/>
      <c r="G4610" s="1" t="s">
        <v>24</v>
      </c>
      <c r="H4610" s="2">
        <v>522</v>
      </c>
      <c r="I4610" s="1" t="s">
        <v>13353</v>
      </c>
      <c r="J4610" s="1" t="s">
        <v>13354</v>
      </c>
      <c r="K4610" s="1" t="s">
        <v>36</v>
      </c>
      <c r="L4610" s="1" t="s">
        <v>13355</v>
      </c>
      <c r="M4610" s="6" t="str">
        <f>_xlfn.CONCAT(Table1[[#This Row],[Billing Street]], ", ", Table1[[#This Row],[Billing City]], ", ", Table1[[#This Row],[Billing State/Province]], ", ", Table1[[#This Row],[Billing Zip/Postal Code]])</f>
        <v>91600 Overseas Hwy, Tavernier, FL, 33070</v>
      </c>
    </row>
    <row r="4611" spans="1:13" ht="15.6" hidden="1" x14ac:dyDescent="0.3">
      <c r="A4611" s="1" t="s">
        <v>13356</v>
      </c>
      <c r="B4611" s="1"/>
      <c r="C4611" s="1"/>
      <c r="D4611" s="1"/>
      <c r="E4611" s="1"/>
      <c r="F4611" s="1"/>
      <c r="G4611" s="1" t="s">
        <v>43</v>
      </c>
      <c r="H4611" s="2">
        <v>423</v>
      </c>
      <c r="I4611" s="1" t="s">
        <v>13357</v>
      </c>
      <c r="J4611" s="1" t="s">
        <v>6088</v>
      </c>
      <c r="K4611" s="1" t="s">
        <v>133</v>
      </c>
      <c r="L4611" s="1" t="s">
        <v>12679</v>
      </c>
      <c r="M4611" s="6" t="str">
        <f>_xlfn.CONCAT(Table1[[#This Row],[Billing Street]], ", ", Table1[[#This Row],[Billing City]], ", ", Table1[[#This Row],[Billing State/Province]], ", ", Table1[[#This Row],[Billing Zip/Postal Code]])</f>
        <v>2030 Pennsylvania Ave, Madison, WI, 53704</v>
      </c>
    </row>
    <row r="4612" spans="1:13" ht="15.6" x14ac:dyDescent="0.3">
      <c r="A4612" s="1" t="s">
        <v>13358</v>
      </c>
      <c r="B4612" s="1"/>
      <c r="C4612" s="1"/>
      <c r="D4612" s="1"/>
      <c r="E4612" s="1"/>
      <c r="F4612" s="1"/>
      <c r="G4612" s="1" t="s">
        <v>24</v>
      </c>
      <c r="H4612" s="2">
        <v>5988</v>
      </c>
      <c r="I4612" s="1" t="s">
        <v>13359</v>
      </c>
      <c r="J4612" s="1" t="s">
        <v>372</v>
      </c>
      <c r="K4612" s="1" t="s">
        <v>26</v>
      </c>
      <c r="L4612" s="1" t="s">
        <v>13360</v>
      </c>
      <c r="M4612" s="6" t="str">
        <f>_xlfn.CONCAT(Table1[[#This Row],[Billing Street]], ", ", Table1[[#This Row],[Billing City]], ", ", Table1[[#This Row],[Billing State/Province]], ", ", Table1[[#This Row],[Billing Zip/Postal Code]])</f>
        <v>3060 Wilson Road SW, Birmingham, AL, 35221</v>
      </c>
    </row>
    <row r="4613" spans="1:13" ht="15.6" hidden="1" x14ac:dyDescent="0.3">
      <c r="A4613" s="1" t="s">
        <v>13361</v>
      </c>
      <c r="B4613" s="1"/>
      <c r="C4613" s="1"/>
      <c r="D4613" s="1"/>
      <c r="E4613" s="1"/>
      <c r="F4613" s="1"/>
      <c r="G4613" s="1" t="s">
        <v>8</v>
      </c>
      <c r="H4613" s="2">
        <v>583</v>
      </c>
      <c r="I4613" s="1" t="s">
        <v>13362</v>
      </c>
      <c r="J4613" s="1" t="s">
        <v>13363</v>
      </c>
      <c r="K4613" s="1" t="s">
        <v>208</v>
      </c>
      <c r="L4613" s="1" t="s">
        <v>13364</v>
      </c>
      <c r="M4613" s="6" t="str">
        <f>_xlfn.CONCAT(Table1[[#This Row],[Billing Street]], ", ", Table1[[#This Row],[Billing City]], ", ", Table1[[#This Row],[Billing State/Province]], ", ", Table1[[#This Row],[Billing Zip/Postal Code]])</f>
        <v>3625 US Hwy 160 N, Monte Vista, CO, 81144</v>
      </c>
    </row>
    <row r="4614" spans="1:13" ht="15.6" hidden="1" x14ac:dyDescent="0.3">
      <c r="A4614" s="1" t="s">
        <v>13365</v>
      </c>
      <c r="B4614" s="1"/>
      <c r="C4614" s="1"/>
      <c r="D4614" s="1"/>
      <c r="E4614" s="1"/>
      <c r="F4614" s="1"/>
      <c r="G4614" s="1" t="s">
        <v>205</v>
      </c>
      <c r="H4614" s="2">
        <v>9</v>
      </c>
      <c r="I4614" s="1" t="s">
        <v>13366</v>
      </c>
      <c r="J4614" s="1" t="s">
        <v>518</v>
      </c>
      <c r="K4614" s="1" t="s">
        <v>479</v>
      </c>
      <c r="L4614" s="1" t="s">
        <v>13367</v>
      </c>
      <c r="M4614" s="6" t="str">
        <f>_xlfn.CONCAT(Table1[[#This Row],[Billing Street]], ", ", Table1[[#This Row],[Billing City]], ", ", Table1[[#This Row],[Billing State/Province]], ", ", Table1[[#This Row],[Billing Zip/Postal Code]])</f>
        <v>2121 W. Cheryl Dr., Phoenix, AZ, 85021</v>
      </c>
    </row>
    <row r="4615" spans="1:13" ht="15.6" hidden="1" x14ac:dyDescent="0.3">
      <c r="A4615" s="1" t="s">
        <v>13368</v>
      </c>
      <c r="B4615" s="1"/>
      <c r="C4615" s="1"/>
      <c r="D4615" s="1"/>
      <c r="E4615" s="1"/>
      <c r="F4615" s="1"/>
      <c r="G4615" s="1" t="s">
        <v>8</v>
      </c>
      <c r="H4615" s="2">
        <v>722</v>
      </c>
      <c r="I4615" s="1" t="s">
        <v>13369</v>
      </c>
      <c r="J4615" s="1" t="s">
        <v>8755</v>
      </c>
      <c r="K4615" s="1" t="s">
        <v>208</v>
      </c>
      <c r="L4615" s="1" t="s">
        <v>13370</v>
      </c>
      <c r="M4615" s="6" t="str">
        <f>_xlfn.CONCAT(Table1[[#This Row],[Billing Street]], ", ", Table1[[#This Row],[Billing City]], ", ", Table1[[#This Row],[Billing State/Province]], ", ", Table1[[#This Row],[Billing Zip/Postal Code]])</f>
        <v>845 22nd Rd, Grand Junction, CO, 81505</v>
      </c>
    </row>
    <row r="4616" spans="1:13" ht="15.6" x14ac:dyDescent="0.3">
      <c r="A4616" s="1" t="s">
        <v>13371</v>
      </c>
      <c r="B4616" s="1"/>
      <c r="C4616" s="1"/>
      <c r="D4616" s="1"/>
      <c r="E4616" s="1"/>
      <c r="F4616" s="1"/>
      <c r="G4616" s="1" t="s">
        <v>24</v>
      </c>
      <c r="H4616" s="2">
        <v>306</v>
      </c>
      <c r="I4616" s="1" t="s">
        <v>13372</v>
      </c>
      <c r="J4616" s="1" t="s">
        <v>2002</v>
      </c>
      <c r="K4616" s="1" t="s">
        <v>36</v>
      </c>
      <c r="L4616" s="1" t="s">
        <v>13373</v>
      </c>
      <c r="M4616" s="6" t="str">
        <f>_xlfn.CONCAT(Table1[[#This Row],[Billing Street]], ", ", Table1[[#This Row],[Billing City]], ", ", Table1[[#This Row],[Billing State/Province]], ", ", Table1[[#This Row],[Billing Zip/Postal Code]])</f>
        <v>4204  13th St Ct, Palmetto, FL, 34221</v>
      </c>
    </row>
    <row r="4617" spans="1:13" ht="15.6" hidden="1" x14ac:dyDescent="0.3">
      <c r="A4617" s="1" t="s">
        <v>13374</v>
      </c>
      <c r="B4617" s="1"/>
      <c r="C4617" s="1"/>
      <c r="D4617" s="1"/>
      <c r="E4617" s="1"/>
      <c r="F4617" s="1"/>
      <c r="G4617" s="1" t="s">
        <v>98</v>
      </c>
      <c r="H4617" s="2">
        <v>72</v>
      </c>
      <c r="I4617" s="1" t="s">
        <v>13375</v>
      </c>
      <c r="J4617" s="1" t="s">
        <v>1847</v>
      </c>
      <c r="K4617" s="1" t="s">
        <v>101</v>
      </c>
      <c r="L4617" s="1" t="s">
        <v>2584</v>
      </c>
      <c r="M4617" s="6" t="str">
        <f>_xlfn.CONCAT(Table1[[#This Row],[Billing Street]], ", ", Table1[[#This Row],[Billing City]], ", ", Table1[[#This Row],[Billing State/Province]], ", ", Table1[[#This Row],[Billing Zip/Postal Code]])</f>
        <v>114 Corporate Park E Dr, LaGrange, GA, 30241</v>
      </c>
    </row>
    <row r="4618" spans="1:13" ht="15.6" x14ac:dyDescent="0.3">
      <c r="A4618" s="1" t="s">
        <v>13376</v>
      </c>
      <c r="B4618" s="1"/>
      <c r="C4618" s="1"/>
      <c r="D4618" s="1"/>
      <c r="E4618" s="1"/>
      <c r="F4618" s="1"/>
      <c r="G4618" s="1" t="s">
        <v>24</v>
      </c>
      <c r="H4618" s="2">
        <v>290</v>
      </c>
      <c r="I4618" s="1" t="s">
        <v>13377</v>
      </c>
      <c r="J4618" s="1" t="s">
        <v>1774</v>
      </c>
      <c r="K4618" s="1" t="s">
        <v>36</v>
      </c>
      <c r="L4618" s="1" t="s">
        <v>13378</v>
      </c>
      <c r="M4618" s="6" t="str">
        <f>_xlfn.CONCAT(Table1[[#This Row],[Billing Street]], ", ", Table1[[#This Row],[Billing City]], ", ", Table1[[#This Row],[Billing State/Province]], ", ", Table1[[#This Row],[Billing Zip/Postal Code]])</f>
        <v>120 E. MLK Blvd, Tampa, FL, 33603</v>
      </c>
    </row>
    <row r="4619" spans="1:13" ht="15.6" x14ac:dyDescent="0.3">
      <c r="A4619" s="1" t="s">
        <v>13379</v>
      </c>
      <c r="B4619" s="1"/>
      <c r="C4619" s="1"/>
      <c r="D4619" s="1"/>
      <c r="E4619" s="1"/>
      <c r="F4619" s="1"/>
      <c r="G4619" s="1" t="s">
        <v>24</v>
      </c>
      <c r="H4619" s="2">
        <v>244</v>
      </c>
      <c r="I4619" s="1" t="s">
        <v>13380</v>
      </c>
      <c r="J4619" s="1" t="s">
        <v>13381</v>
      </c>
      <c r="K4619" s="1" t="s">
        <v>36</v>
      </c>
      <c r="L4619" s="1" t="s">
        <v>13382</v>
      </c>
      <c r="M4619" s="6" t="str">
        <f>_xlfn.CONCAT(Table1[[#This Row],[Billing Street]], ", ", Table1[[#This Row],[Billing City]], ", ", Table1[[#This Row],[Billing State/Province]], ", ", Table1[[#This Row],[Billing Zip/Postal Code]])</f>
        <v>15760 West Poweline St, Crystal River, FL, 34428</v>
      </c>
    </row>
    <row r="4620" spans="1:13" ht="15.6" x14ac:dyDescent="0.3">
      <c r="A4620" s="1" t="s">
        <v>13383</v>
      </c>
      <c r="B4620" s="1"/>
      <c r="C4620" s="1"/>
      <c r="D4620" s="1"/>
      <c r="E4620" s="1"/>
      <c r="F4620" s="1"/>
      <c r="G4620" s="1" t="s">
        <v>24</v>
      </c>
      <c r="H4620" s="2">
        <v>5988</v>
      </c>
      <c r="I4620" s="1" t="s">
        <v>13384</v>
      </c>
      <c r="J4620" s="1" t="s">
        <v>1685</v>
      </c>
      <c r="K4620" s="1" t="s">
        <v>36</v>
      </c>
      <c r="L4620" s="1" t="s">
        <v>13</v>
      </c>
      <c r="M4620" s="6" t="str">
        <f>_xlfn.CONCAT(Table1[[#This Row],[Billing Street]], ", ", Table1[[#This Row],[Billing City]], ", ", Table1[[#This Row],[Billing State/Province]], ", ", Table1[[#This Row],[Billing Zip/Postal Code]])</f>
        <v xml:space="preserve">5973 Miller Bluff Rd, Milton, FL, </v>
      </c>
    </row>
    <row r="4621" spans="1:13" ht="15.6" x14ac:dyDescent="0.3">
      <c r="A4621" s="1" t="s">
        <v>13385</v>
      </c>
      <c r="B4621" s="1"/>
      <c r="C4621" s="1"/>
      <c r="D4621" s="1"/>
      <c r="E4621" s="1"/>
      <c r="F4621" s="1"/>
      <c r="G4621" s="1" t="s">
        <v>24</v>
      </c>
      <c r="H4621" s="2">
        <v>292</v>
      </c>
      <c r="I4621" s="1" t="s">
        <v>13386</v>
      </c>
      <c r="J4621" s="1" t="s">
        <v>3410</v>
      </c>
      <c r="K4621" s="1" t="s">
        <v>36</v>
      </c>
      <c r="L4621" s="1" t="s">
        <v>13387</v>
      </c>
      <c r="M4621" s="6" t="str">
        <f>_xlfn.CONCAT(Table1[[#This Row],[Billing Street]], ", ", Table1[[#This Row],[Billing City]], ", ", Table1[[#This Row],[Billing State/Province]], ", ", Table1[[#This Row],[Billing Zip/Postal Code]])</f>
        <v>1775 lakeside Av, St.Augustine, FL, 32084</v>
      </c>
    </row>
    <row r="4622" spans="1:13" ht="15.6" hidden="1" x14ac:dyDescent="0.3">
      <c r="A4622" s="1" t="s">
        <v>13388</v>
      </c>
      <c r="B4622" s="1"/>
      <c r="C4622" s="1"/>
      <c r="D4622" s="1"/>
      <c r="E4622" s="1"/>
      <c r="F4622" s="1"/>
      <c r="G4622" s="1" t="s">
        <v>98</v>
      </c>
      <c r="H4622" s="2">
        <v>275</v>
      </c>
      <c r="I4622" s="1" t="s">
        <v>13389</v>
      </c>
      <c r="J4622" s="1" t="s">
        <v>13390</v>
      </c>
      <c r="K4622" s="1" t="s">
        <v>1178</v>
      </c>
      <c r="L4622" s="1" t="s">
        <v>13391</v>
      </c>
      <c r="M4622" s="6" t="str">
        <f>_xlfn.CONCAT(Table1[[#This Row],[Billing Street]], ", ", Table1[[#This Row],[Billing City]], ", ", Table1[[#This Row],[Billing State/Province]], ", ", Table1[[#This Row],[Billing Zip/Postal Code]])</f>
        <v>100 Pike Way, Mount Airy, NC, 27030</v>
      </c>
    </row>
    <row r="4623" spans="1:13" ht="15.6" x14ac:dyDescent="0.3">
      <c r="A4623" s="1" t="s">
        <v>13392</v>
      </c>
      <c r="B4623" s="1"/>
      <c r="C4623" s="1"/>
      <c r="D4623" s="1"/>
      <c r="E4623" s="1"/>
      <c r="F4623" s="1"/>
      <c r="G4623" s="1" t="s">
        <v>24</v>
      </c>
      <c r="H4623" s="2">
        <v>39</v>
      </c>
      <c r="I4623" s="1" t="s">
        <v>13393</v>
      </c>
      <c r="J4623" s="1" t="s">
        <v>86</v>
      </c>
      <c r="K4623" s="1" t="s">
        <v>36</v>
      </c>
      <c r="L4623" s="1" t="s">
        <v>13394</v>
      </c>
      <c r="M4623" s="6" t="str">
        <f>_xlfn.CONCAT(Table1[[#This Row],[Billing Street]], ", ", Table1[[#This Row],[Billing City]], ", ", Table1[[#This Row],[Billing State/Province]], ", ", Table1[[#This Row],[Billing Zip/Postal Code]])</f>
        <v>5299 Alabama St, Graceville, FL, 32449</v>
      </c>
    </row>
    <row r="4624" spans="1:13" ht="15.6" x14ac:dyDescent="0.3">
      <c r="A4624" s="1" t="s">
        <v>13395</v>
      </c>
      <c r="B4624" s="1"/>
      <c r="C4624" s="1"/>
      <c r="D4624" s="1"/>
      <c r="E4624" s="1"/>
      <c r="F4624" s="1"/>
      <c r="G4624" s="1" t="s">
        <v>24</v>
      </c>
      <c r="H4624" s="2">
        <v>270</v>
      </c>
      <c r="I4624" s="1" t="s">
        <v>13396</v>
      </c>
      <c r="J4624" s="1" t="s">
        <v>1668</v>
      </c>
      <c r="K4624" s="1" t="s">
        <v>36</v>
      </c>
      <c r="L4624" s="1" t="s">
        <v>9722</v>
      </c>
      <c r="M4624" s="6" t="str">
        <f>_xlfn.CONCAT(Table1[[#This Row],[Billing Street]], ", ", Table1[[#This Row],[Billing City]], ", ", Table1[[#This Row],[Billing State/Province]], ", ", Table1[[#This Row],[Billing Zip/Postal Code]])</f>
        <v>3015 Hartley Rd, Jacksonville, FL, 32257</v>
      </c>
    </row>
    <row r="4625" spans="1:13" ht="15.6" x14ac:dyDescent="0.3">
      <c r="A4625" s="1" t="s">
        <v>13397</v>
      </c>
      <c r="B4625" s="1"/>
      <c r="C4625" s="1"/>
      <c r="D4625" s="1"/>
      <c r="E4625" s="1"/>
      <c r="F4625" s="1"/>
      <c r="G4625" s="1" t="s">
        <v>24</v>
      </c>
      <c r="H4625" s="2">
        <v>287</v>
      </c>
      <c r="I4625" s="1" t="s">
        <v>13398</v>
      </c>
      <c r="J4625" s="1" t="s">
        <v>13399</v>
      </c>
      <c r="K4625" s="1" t="s">
        <v>36</v>
      </c>
      <c r="L4625" s="1" t="s">
        <v>13400</v>
      </c>
      <c r="M4625" s="6" t="str">
        <f>_xlfn.CONCAT(Table1[[#This Row],[Billing Street]], ", ", Table1[[#This Row],[Billing City]], ", ", Table1[[#This Row],[Billing State/Province]], ", ", Table1[[#This Row],[Billing Zip/Postal Code]])</f>
        <v>7199 30thAv N, St. Petesburg, FL, 33710</v>
      </c>
    </row>
    <row r="4626" spans="1:13" ht="15.6" hidden="1" x14ac:dyDescent="0.3">
      <c r="A4626" s="1" t="s">
        <v>13401</v>
      </c>
      <c r="B4626" s="1"/>
      <c r="C4626" s="1"/>
      <c r="D4626" s="1"/>
      <c r="E4626" s="1"/>
      <c r="F4626" s="1"/>
      <c r="G4626" s="1" t="s">
        <v>43</v>
      </c>
      <c r="H4626" s="2">
        <v>5776</v>
      </c>
      <c r="I4626" s="1" t="s">
        <v>13</v>
      </c>
      <c r="J4626" s="1" t="s">
        <v>13</v>
      </c>
      <c r="K4626" s="1" t="s">
        <v>82</v>
      </c>
      <c r="L4626" s="1" t="s">
        <v>13</v>
      </c>
      <c r="M4626" s="6" t="str">
        <f>_xlfn.CONCAT(Table1[[#This Row],[Billing Street]], ", ", Table1[[#This Row],[Billing City]], ", ", Table1[[#This Row],[Billing State/Province]], ", ", Table1[[#This Row],[Billing Zip/Postal Code]])</f>
        <v xml:space="preserve">, , MI, </v>
      </c>
    </row>
    <row r="4627" spans="1:13" ht="15.6" x14ac:dyDescent="0.3">
      <c r="A4627" s="1" t="s">
        <v>13402</v>
      </c>
      <c r="B4627" s="1"/>
      <c r="C4627" s="1"/>
      <c r="D4627" s="1"/>
      <c r="E4627" s="1"/>
      <c r="F4627" s="1"/>
      <c r="G4627" s="1" t="s">
        <v>24</v>
      </c>
      <c r="H4627" s="2">
        <v>112</v>
      </c>
      <c r="I4627" s="1" t="s">
        <v>13403</v>
      </c>
      <c r="J4627" s="1" t="s">
        <v>13404</v>
      </c>
      <c r="K4627" s="1" t="s">
        <v>36</v>
      </c>
      <c r="L4627" s="1" t="s">
        <v>13405</v>
      </c>
      <c r="M4627" s="6" t="str">
        <f>_xlfn.CONCAT(Table1[[#This Row],[Billing Street]], ", ", Table1[[#This Row],[Billing City]], ", ", Table1[[#This Row],[Billing State/Province]], ", ", Table1[[#This Row],[Billing Zip/Postal Code]])</f>
        <v>4400 Shelfer rd, Talahassee, FL, 32308</v>
      </c>
    </row>
    <row r="4628" spans="1:13" ht="15.6" x14ac:dyDescent="0.3">
      <c r="A4628" s="1" t="s">
        <v>13406</v>
      </c>
      <c r="B4628" s="1"/>
      <c r="C4628" s="1"/>
      <c r="D4628" s="1"/>
      <c r="E4628" s="1"/>
      <c r="F4628" s="1"/>
      <c r="G4628" s="1" t="s">
        <v>24</v>
      </c>
      <c r="H4628" s="2">
        <v>5988</v>
      </c>
      <c r="I4628" s="1" t="s">
        <v>13407</v>
      </c>
      <c r="J4628" s="1" t="s">
        <v>1668</v>
      </c>
      <c r="K4628" s="1" t="s">
        <v>36</v>
      </c>
      <c r="L4628" s="1" t="s">
        <v>13</v>
      </c>
      <c r="M4628" s="6" t="str">
        <f>_xlfn.CONCAT(Table1[[#This Row],[Billing Street]], ", ", Table1[[#This Row],[Billing City]], ", ", Table1[[#This Row],[Billing State/Province]], ", ", Table1[[#This Row],[Billing Zip/Postal Code]])</f>
        <v xml:space="preserve">524 Stockton St, Jacksonville, FL, </v>
      </c>
    </row>
    <row r="4629" spans="1:13" ht="15.6" x14ac:dyDescent="0.3">
      <c r="A4629" s="1" t="s">
        <v>13408</v>
      </c>
      <c r="B4629" s="1"/>
      <c r="C4629" s="1"/>
      <c r="D4629" s="1"/>
      <c r="E4629" s="1"/>
      <c r="F4629" s="1"/>
      <c r="G4629" s="1" t="s">
        <v>24</v>
      </c>
      <c r="H4629" s="2">
        <v>319</v>
      </c>
      <c r="I4629" s="1" t="s">
        <v>13409</v>
      </c>
      <c r="J4629" s="1" t="s">
        <v>13410</v>
      </c>
      <c r="K4629" s="1" t="s">
        <v>36</v>
      </c>
      <c r="L4629" s="1" t="s">
        <v>9363</v>
      </c>
      <c r="M4629" s="6" t="str">
        <f>_xlfn.CONCAT(Table1[[#This Row],[Billing Street]], ", ", Table1[[#This Row],[Billing City]], ", ", Table1[[#This Row],[Billing State/Province]], ", ", Table1[[#This Row],[Billing Zip/Postal Code]])</f>
        <v>701 McKean St, Auburndal, FL, 33823</v>
      </c>
    </row>
    <row r="4630" spans="1:13" ht="15.6" hidden="1" x14ac:dyDescent="0.3">
      <c r="A4630" s="1" t="s">
        <v>13411</v>
      </c>
      <c r="B4630" s="1"/>
      <c r="C4630" s="1"/>
      <c r="D4630" s="1"/>
      <c r="E4630" s="1"/>
      <c r="F4630" s="1"/>
      <c r="G4630" s="1" t="s">
        <v>43</v>
      </c>
      <c r="H4630" s="2">
        <v>5776</v>
      </c>
      <c r="I4630" s="1" t="s">
        <v>13</v>
      </c>
      <c r="J4630" s="1" t="s">
        <v>13</v>
      </c>
      <c r="K4630" s="1" t="s">
        <v>671</v>
      </c>
      <c r="L4630" s="1" t="s">
        <v>13</v>
      </c>
      <c r="M4630" s="6" t="str">
        <f>_xlfn.CONCAT(Table1[[#This Row],[Billing Street]], ", ", Table1[[#This Row],[Billing City]], ", ", Table1[[#This Row],[Billing State/Province]], ", ", Table1[[#This Row],[Billing Zip/Postal Code]])</f>
        <v xml:space="preserve">, , NY, </v>
      </c>
    </row>
    <row r="4631" spans="1:13" ht="15.6" x14ac:dyDescent="0.3">
      <c r="A4631" s="1" t="s">
        <v>13412</v>
      </c>
      <c r="B4631" s="1"/>
      <c r="C4631" s="1"/>
      <c r="D4631" s="1"/>
      <c r="E4631" s="1"/>
      <c r="F4631" s="1"/>
      <c r="G4631" s="1" t="s">
        <v>24</v>
      </c>
      <c r="H4631" s="2">
        <v>5988</v>
      </c>
      <c r="I4631" s="1" t="s">
        <v>13413</v>
      </c>
      <c r="J4631" s="1" t="s">
        <v>13414</v>
      </c>
      <c r="K4631" s="1" t="s">
        <v>36</v>
      </c>
      <c r="L4631" s="1" t="s">
        <v>13</v>
      </c>
      <c r="M4631" s="6" t="str">
        <f>_xlfn.CONCAT(Table1[[#This Row],[Billing Street]], ", ", Table1[[#This Row],[Billing City]], ", ", Table1[[#This Row],[Billing State/Province]], ", ", Table1[[#This Row],[Billing Zip/Postal Code]])</f>
        <v xml:space="preserve">4317-J Fortune Place, Melbourne, FL, </v>
      </c>
    </row>
    <row r="4632" spans="1:13" ht="15.6" hidden="1" x14ac:dyDescent="0.3">
      <c r="A4632" s="1" t="s">
        <v>13415</v>
      </c>
      <c r="B4632" s="1"/>
      <c r="C4632" s="1"/>
      <c r="D4632" s="1"/>
      <c r="E4632" s="1"/>
      <c r="F4632" s="1"/>
      <c r="G4632" s="1" t="s">
        <v>43</v>
      </c>
      <c r="H4632" s="2">
        <v>5776</v>
      </c>
      <c r="I4632" s="1" t="s">
        <v>13</v>
      </c>
      <c r="J4632" s="1" t="s">
        <v>13</v>
      </c>
      <c r="K4632" s="1" t="s">
        <v>671</v>
      </c>
      <c r="L4632" s="1" t="s">
        <v>13</v>
      </c>
      <c r="M4632" s="6" t="str">
        <f>_xlfn.CONCAT(Table1[[#This Row],[Billing Street]], ", ", Table1[[#This Row],[Billing City]], ", ", Table1[[#This Row],[Billing State/Province]], ", ", Table1[[#This Row],[Billing Zip/Postal Code]])</f>
        <v xml:space="preserve">, , NY, </v>
      </c>
    </row>
    <row r="4633" spans="1:13" ht="15.6" hidden="1" x14ac:dyDescent="0.3">
      <c r="A4633" s="1" t="s">
        <v>13416</v>
      </c>
      <c r="B4633" s="1"/>
      <c r="C4633" s="1"/>
      <c r="D4633" s="1"/>
      <c r="E4633" s="1"/>
      <c r="F4633" s="1"/>
      <c r="G4633" s="1" t="s">
        <v>43</v>
      </c>
      <c r="H4633" s="2">
        <v>5776</v>
      </c>
      <c r="I4633" s="1" t="s">
        <v>13</v>
      </c>
      <c r="J4633" s="1" t="s">
        <v>13</v>
      </c>
      <c r="K4633" s="1" t="s">
        <v>671</v>
      </c>
      <c r="L4633" s="1" t="s">
        <v>13</v>
      </c>
      <c r="M4633" s="6" t="str">
        <f>_xlfn.CONCAT(Table1[[#This Row],[Billing Street]], ", ", Table1[[#This Row],[Billing City]], ", ", Table1[[#This Row],[Billing State/Province]], ", ", Table1[[#This Row],[Billing Zip/Postal Code]])</f>
        <v xml:space="preserve">, , NY, </v>
      </c>
    </row>
    <row r="4634" spans="1:13" ht="15.6" hidden="1" x14ac:dyDescent="0.3">
      <c r="A4634" s="1" t="s">
        <v>13417</v>
      </c>
      <c r="B4634" s="1"/>
      <c r="C4634" s="1"/>
      <c r="D4634" s="1"/>
      <c r="E4634" s="1"/>
      <c r="F4634" s="1"/>
      <c r="G4634" s="1" t="s">
        <v>98</v>
      </c>
      <c r="H4634" s="2">
        <v>13</v>
      </c>
      <c r="I4634" s="1" t="s">
        <v>13418</v>
      </c>
      <c r="J4634" s="1" t="s">
        <v>1001</v>
      </c>
      <c r="K4634" s="1" t="s">
        <v>13419</v>
      </c>
      <c r="L4634" s="1" t="s">
        <v>13420</v>
      </c>
      <c r="M4634" s="6" t="str">
        <f>_xlfn.CONCAT(Table1[[#This Row],[Billing Street]], ", ", Table1[[#This Row],[Billing City]], ", ", Table1[[#This Row],[Billing State/Province]], ", ", Table1[[#This Row],[Billing Zip/Postal Code]])</f>
        <v>1470 Riveredge Pkwy, Atlanta, Georgia, 30328</v>
      </c>
    </row>
    <row r="4635" spans="1:13" ht="15.6" hidden="1" x14ac:dyDescent="0.3">
      <c r="A4635" s="1" t="s">
        <v>13421</v>
      </c>
      <c r="B4635" s="1"/>
      <c r="C4635" s="1"/>
      <c r="D4635" s="1"/>
      <c r="E4635" s="1"/>
      <c r="F4635" s="1"/>
      <c r="G4635" s="1" t="s">
        <v>13</v>
      </c>
      <c r="H4635" s="2">
        <v>0</v>
      </c>
      <c r="I4635" s="1" t="s">
        <v>13</v>
      </c>
      <c r="J4635" s="1" t="s">
        <v>13</v>
      </c>
      <c r="K4635" s="1" t="s">
        <v>13</v>
      </c>
      <c r="L4635" s="1" t="s">
        <v>13</v>
      </c>
      <c r="M4635" s="6" t="str">
        <f>_xlfn.CONCAT(Table1[[#This Row],[Billing Street]], ", ", Table1[[#This Row],[Billing City]], ", ", Table1[[#This Row],[Billing State/Province]], ", ", Table1[[#This Row],[Billing Zip/Postal Code]])</f>
        <v xml:space="preserve">, , , </v>
      </c>
    </row>
    <row r="4636" spans="1:13" ht="15.6" hidden="1" x14ac:dyDescent="0.3">
      <c r="A4636" s="1" t="s">
        <v>13422</v>
      </c>
      <c r="B4636" s="1"/>
      <c r="C4636" s="1"/>
      <c r="D4636" s="1"/>
      <c r="E4636" s="1"/>
      <c r="F4636" s="1"/>
      <c r="G4636" s="1" t="s">
        <v>205</v>
      </c>
      <c r="H4636" s="2">
        <v>499</v>
      </c>
      <c r="I4636" s="1" t="s">
        <v>13423</v>
      </c>
      <c r="J4636" s="1" t="s">
        <v>13424</v>
      </c>
      <c r="K4636" s="1" t="s">
        <v>472</v>
      </c>
      <c r="L4636" s="1" t="s">
        <v>13425</v>
      </c>
      <c r="M4636" s="6" t="str">
        <f>_xlfn.CONCAT(Table1[[#This Row],[Billing Street]], ", ", Table1[[#This Row],[Billing City]], ", ", Table1[[#This Row],[Billing State/Province]], ", ", Table1[[#This Row],[Billing Zip/Postal Code]])</f>
        <v>153 W 4800 S, Murray City, UT, 84107</v>
      </c>
    </row>
    <row r="4637" spans="1:13" ht="15.6" hidden="1" x14ac:dyDescent="0.3">
      <c r="A4637" s="1" t="s">
        <v>13426</v>
      </c>
      <c r="B4637" s="1"/>
      <c r="C4637" s="1"/>
      <c r="D4637" s="1"/>
      <c r="E4637" s="1"/>
      <c r="F4637" s="1"/>
      <c r="G4637" s="1" t="s">
        <v>205</v>
      </c>
      <c r="H4637" s="2">
        <v>480</v>
      </c>
      <c r="I4637" s="1" t="s">
        <v>13427</v>
      </c>
      <c r="J4637" s="1" t="s">
        <v>13428</v>
      </c>
      <c r="K4637" s="1" t="s">
        <v>472</v>
      </c>
      <c r="L4637" s="1" t="s">
        <v>13429</v>
      </c>
      <c r="M4637" s="6" t="str">
        <f>_xlfn.CONCAT(Table1[[#This Row],[Billing Street]], ", ", Table1[[#This Row],[Billing City]], ", ", Table1[[#This Row],[Billing State/Province]], ", ", Table1[[#This Row],[Billing Zip/Postal Code]])</f>
        <v>560 Glen Carter Dr, Lehi, UT, 84043</v>
      </c>
    </row>
    <row r="4638" spans="1:13" ht="15.6" hidden="1" x14ac:dyDescent="0.3">
      <c r="A4638" s="1" t="s">
        <v>13430</v>
      </c>
      <c r="B4638" s="1"/>
      <c r="C4638" s="1"/>
      <c r="D4638" s="1"/>
      <c r="E4638" s="1"/>
      <c r="F4638" s="1"/>
      <c r="G4638" s="1" t="s">
        <v>205</v>
      </c>
      <c r="H4638" s="2">
        <v>470</v>
      </c>
      <c r="I4638" s="1" t="s">
        <v>13431</v>
      </c>
      <c r="J4638" s="1" t="s">
        <v>13432</v>
      </c>
      <c r="K4638" s="1" t="s">
        <v>472</v>
      </c>
      <c r="L4638" s="1" t="s">
        <v>13433</v>
      </c>
      <c r="M4638" s="6" t="str">
        <f>_xlfn.CONCAT(Table1[[#This Row],[Billing Street]], ", ", Table1[[#This Row],[Billing City]], ", ", Table1[[#This Row],[Billing State/Province]], ", ", Table1[[#This Row],[Billing Zip/Postal Code]])</f>
        <v>251 W 800 N, Provo, UT, 84601</v>
      </c>
    </row>
    <row r="4639" spans="1:13" ht="15.6" x14ac:dyDescent="0.3">
      <c r="A4639" s="1" t="s">
        <v>13434</v>
      </c>
      <c r="B4639" s="1"/>
      <c r="C4639" s="1"/>
      <c r="D4639" s="1"/>
      <c r="E4639" s="1"/>
      <c r="F4639" s="1"/>
      <c r="G4639" s="1" t="s">
        <v>24</v>
      </c>
      <c r="H4639" s="2">
        <v>265</v>
      </c>
      <c r="I4639" s="1" t="s">
        <v>13435</v>
      </c>
      <c r="J4639" s="1" t="s">
        <v>6560</v>
      </c>
      <c r="K4639" s="1" t="s">
        <v>31</v>
      </c>
      <c r="L4639" s="1" t="s">
        <v>6561</v>
      </c>
      <c r="M4639" s="6" t="str">
        <f>_xlfn.CONCAT(Table1[[#This Row],[Billing Street]], ", ", Table1[[#This Row],[Billing City]], ", ", Table1[[#This Row],[Billing State/Province]], ", ", Table1[[#This Row],[Billing Zip/Postal Code]])</f>
        <v>665 Highland Colony Parkway, Ridgeland, MS, 39157</v>
      </c>
    </row>
    <row r="4640" spans="1:13" ht="15.6" hidden="1" x14ac:dyDescent="0.3">
      <c r="A4640" s="1" t="s">
        <v>13436</v>
      </c>
      <c r="B4640" s="1"/>
      <c r="C4640" s="1"/>
      <c r="D4640" s="1"/>
      <c r="E4640" s="1"/>
      <c r="F4640" s="1"/>
      <c r="G4640" s="1" t="s">
        <v>205</v>
      </c>
      <c r="H4640" s="2">
        <v>463</v>
      </c>
      <c r="I4640" s="1" t="s">
        <v>13437</v>
      </c>
      <c r="J4640" s="1" t="s">
        <v>13438</v>
      </c>
      <c r="K4640" s="1" t="s">
        <v>472</v>
      </c>
      <c r="L4640" s="1" t="s">
        <v>13439</v>
      </c>
      <c r="M4640" s="6" t="str">
        <f>_xlfn.CONCAT(Table1[[#This Row],[Billing Street]], ", ", Table1[[#This Row],[Billing City]], ", ", Table1[[#This Row],[Billing State/Province]], ", ", Table1[[#This Row],[Billing Zip/Postal Code]])</f>
        <v>2160 North 175 East, Spanish Fork, UT, 84660</v>
      </c>
    </row>
    <row r="4641" spans="1:13" ht="15.6" x14ac:dyDescent="0.3">
      <c r="A4641" s="1" t="s">
        <v>13440</v>
      </c>
      <c r="B4641" s="1"/>
      <c r="C4641" s="1"/>
      <c r="D4641" s="1"/>
      <c r="E4641" s="1"/>
      <c r="F4641" s="1"/>
      <c r="G4641" s="1" t="s">
        <v>24</v>
      </c>
      <c r="H4641" s="2">
        <v>338</v>
      </c>
      <c r="I4641" s="1" t="s">
        <v>13441</v>
      </c>
      <c r="J4641" s="1" t="s">
        <v>5995</v>
      </c>
      <c r="K4641" s="1" t="s">
        <v>577</v>
      </c>
      <c r="L4641" s="1" t="s">
        <v>5996</v>
      </c>
      <c r="M4641" s="6" t="str">
        <f>_xlfn.CONCAT(Table1[[#This Row],[Billing Street]], ", ", Table1[[#This Row],[Billing City]], ", ", Table1[[#This Row],[Billing State/Province]], ", ", Table1[[#This Row],[Billing Zip/Postal Code]])</f>
        <v>4007 Vida Shaw Rd, New Iberia, LA, 70563</v>
      </c>
    </row>
    <row r="4642" spans="1:13" ht="15.6" x14ac:dyDescent="0.3">
      <c r="A4642" s="1" t="s">
        <v>13442</v>
      </c>
      <c r="B4642" s="1"/>
      <c r="C4642" s="1"/>
      <c r="D4642" s="1"/>
      <c r="E4642" s="1"/>
      <c r="F4642" s="1"/>
      <c r="G4642" s="1" t="s">
        <v>24</v>
      </c>
      <c r="H4642" s="2">
        <v>342</v>
      </c>
      <c r="I4642" s="1" t="s">
        <v>13443</v>
      </c>
      <c r="J4642" s="1" t="s">
        <v>5380</v>
      </c>
      <c r="K4642" s="1" t="s">
        <v>577</v>
      </c>
      <c r="L4642" s="1" t="s">
        <v>5381</v>
      </c>
      <c r="M4642" s="6" t="str">
        <f>_xlfn.CONCAT(Table1[[#This Row],[Billing Street]], ", ", Table1[[#This Row],[Billing City]], ", ", Table1[[#This Row],[Billing State/Province]], ", ", Table1[[#This Row],[Billing Zip/Postal Code]])</f>
        <v>309 Division Street, Jonesville, LA, 71343</v>
      </c>
    </row>
    <row r="4643" spans="1:13" ht="15.6" x14ac:dyDescent="0.3">
      <c r="A4643" s="1" t="s">
        <v>13444</v>
      </c>
      <c r="B4643" s="1"/>
      <c r="C4643" s="1"/>
      <c r="D4643" s="1"/>
      <c r="E4643" s="1"/>
      <c r="F4643" s="1"/>
      <c r="G4643" s="1" t="s">
        <v>24</v>
      </c>
      <c r="H4643" s="2">
        <v>276</v>
      </c>
      <c r="I4643" s="1" t="s">
        <v>13445</v>
      </c>
      <c r="J4643" s="1" t="s">
        <v>9135</v>
      </c>
      <c r="K4643" s="1" t="s">
        <v>36</v>
      </c>
      <c r="L4643" s="1" t="s">
        <v>13446</v>
      </c>
      <c r="M4643" s="6" t="str">
        <f>_xlfn.CONCAT(Table1[[#This Row],[Billing Street]], ", ", Table1[[#This Row],[Billing City]], ", ", Table1[[#This Row],[Billing State/Province]], ", ", Table1[[#This Row],[Billing Zip/Postal Code]])</f>
        <v>890 North Highway 17, Palatka, FL, 32177</v>
      </c>
    </row>
    <row r="4644" spans="1:13" ht="15.6" hidden="1" x14ac:dyDescent="0.3">
      <c r="A4644" s="1" t="s">
        <v>13447</v>
      </c>
      <c r="B4644" s="1"/>
      <c r="C4644" s="1"/>
      <c r="D4644" s="1"/>
      <c r="E4644" s="1"/>
      <c r="F4644" s="1"/>
      <c r="G4644" s="1" t="s">
        <v>205</v>
      </c>
      <c r="H4644" s="2">
        <v>512</v>
      </c>
      <c r="I4644" s="1" t="s">
        <v>13448</v>
      </c>
      <c r="J4644" s="1" t="s">
        <v>13449</v>
      </c>
      <c r="K4644" s="1" t="s">
        <v>266</v>
      </c>
      <c r="L4644" s="1" t="s">
        <v>13450</v>
      </c>
      <c r="M4644" s="6" t="str">
        <f>_xlfn.CONCAT(Table1[[#This Row],[Billing Street]], ", ", Table1[[#This Row],[Billing City]], ", ", Table1[[#This Row],[Billing State/Province]], ", ", Table1[[#This Row],[Billing Zip/Postal Code]])</f>
        <v>3701 Thornton St., Clovis, NM, 88101</v>
      </c>
    </row>
    <row r="4645" spans="1:13" ht="15.6" hidden="1" x14ac:dyDescent="0.3">
      <c r="A4645" s="1" t="s">
        <v>13451</v>
      </c>
      <c r="B4645" s="1"/>
      <c r="C4645" s="1"/>
      <c r="D4645" s="1"/>
      <c r="E4645" s="1"/>
      <c r="F4645" s="1"/>
      <c r="G4645" s="1" t="s">
        <v>205</v>
      </c>
      <c r="H4645" s="2">
        <v>455</v>
      </c>
      <c r="I4645" s="1" t="s">
        <v>13452</v>
      </c>
      <c r="J4645" s="1" t="s">
        <v>1463</v>
      </c>
      <c r="K4645" s="1" t="s">
        <v>472</v>
      </c>
      <c r="L4645" s="1" t="s">
        <v>1464</v>
      </c>
      <c r="M4645" s="6" t="str">
        <f>_xlfn.CONCAT(Table1[[#This Row],[Billing Street]], ", ", Table1[[#This Row],[Billing City]], ", ", Table1[[#This Row],[Billing State/Province]], ", ", Table1[[#This Row],[Billing Zip/Postal Code]])</f>
        <v>814 S. 1040 W., Payson, UT, 84651</v>
      </c>
    </row>
    <row r="4646" spans="1:13" ht="15.6" x14ac:dyDescent="0.3">
      <c r="A4646" s="1" t="s">
        <v>13453</v>
      </c>
      <c r="B4646" s="1"/>
      <c r="C4646" s="1"/>
      <c r="D4646" s="1"/>
      <c r="E4646" s="1"/>
      <c r="F4646" s="1"/>
      <c r="G4646" s="1" t="s">
        <v>24</v>
      </c>
      <c r="H4646" s="2">
        <v>401</v>
      </c>
      <c r="I4646" s="1" t="s">
        <v>13454</v>
      </c>
      <c r="J4646" s="1" t="s">
        <v>13455</v>
      </c>
      <c r="K4646" s="1" t="s">
        <v>577</v>
      </c>
      <c r="L4646" s="1" t="s">
        <v>13456</v>
      </c>
      <c r="M4646" s="6" t="str">
        <f>_xlfn.CONCAT(Table1[[#This Row],[Billing Street]], ", ", Table1[[#This Row],[Billing City]], ", ", Table1[[#This Row],[Billing State/Province]], ", ", Table1[[#This Row],[Billing Zip/Postal Code]])</f>
        <v>201 South Elms St., Welsh, LA, 70591</v>
      </c>
    </row>
    <row r="4647" spans="1:13" ht="15.6" x14ac:dyDescent="0.3">
      <c r="A4647" s="1" t="s">
        <v>13457</v>
      </c>
      <c r="B4647" s="1"/>
      <c r="C4647" s="1"/>
      <c r="D4647" s="1"/>
      <c r="E4647" s="1"/>
      <c r="F4647" s="1"/>
      <c r="G4647" s="1" t="s">
        <v>24</v>
      </c>
      <c r="H4647" s="2">
        <v>362</v>
      </c>
      <c r="I4647" s="1" t="s">
        <v>13458</v>
      </c>
      <c r="J4647" s="1" t="s">
        <v>9245</v>
      </c>
      <c r="K4647" s="1" t="s">
        <v>577</v>
      </c>
      <c r="L4647" s="1" t="s">
        <v>13459</v>
      </c>
      <c r="M4647" s="6" t="str">
        <f>_xlfn.CONCAT(Table1[[#This Row],[Billing Street]], ", ", Table1[[#This Row],[Billing City]], ", ", Table1[[#This Row],[Billing State/Province]], ", ", Table1[[#This Row],[Billing Zip/Postal Code]])</f>
        <v>717 Veteran's Memorial Drive, Abbeville, LA, 70511</v>
      </c>
    </row>
    <row r="4648" spans="1:13" ht="15.6" x14ac:dyDescent="0.3">
      <c r="A4648" s="1" t="s">
        <v>13460</v>
      </c>
      <c r="B4648" s="1"/>
      <c r="C4648" s="1"/>
      <c r="D4648" s="1"/>
      <c r="E4648" s="1"/>
      <c r="F4648" s="1"/>
      <c r="G4648" s="1" t="s">
        <v>24</v>
      </c>
      <c r="H4648" s="2">
        <v>294</v>
      </c>
      <c r="I4648" s="1" t="s">
        <v>13461</v>
      </c>
      <c r="J4648" s="1" t="s">
        <v>4402</v>
      </c>
      <c r="K4648" s="1" t="s">
        <v>577</v>
      </c>
      <c r="L4648" s="1" t="s">
        <v>13462</v>
      </c>
      <c r="M4648" s="6" t="str">
        <f>_xlfn.CONCAT(Table1[[#This Row],[Billing Street]], ", ", Table1[[#This Row],[Billing City]], ", ", Table1[[#This Row],[Billing State/Province]], ", ", Table1[[#This Row],[Billing Zip/Postal Code]])</f>
        <v>8501 Joor Rd, Baton Rouge, LA, 70818</v>
      </c>
    </row>
    <row r="4649" spans="1:13" ht="15.6" x14ac:dyDescent="0.3">
      <c r="A4649" s="1" t="s">
        <v>13463</v>
      </c>
      <c r="B4649" s="1"/>
      <c r="C4649" s="1"/>
      <c r="D4649" s="1"/>
      <c r="E4649" s="1"/>
      <c r="F4649" s="1"/>
      <c r="G4649" s="1" t="s">
        <v>24</v>
      </c>
      <c r="H4649" s="2">
        <v>5988</v>
      </c>
      <c r="I4649" s="1" t="s">
        <v>13</v>
      </c>
      <c r="J4649" s="1" t="s">
        <v>3932</v>
      </c>
      <c r="K4649" s="1" t="s">
        <v>577</v>
      </c>
      <c r="L4649" s="1" t="s">
        <v>13</v>
      </c>
      <c r="M4649" s="6" t="str">
        <f>_xlfn.CONCAT(Table1[[#This Row],[Billing Street]], ", ", Table1[[#This Row],[Billing City]], ", ", Table1[[#This Row],[Billing State/Province]], ", ", Table1[[#This Row],[Billing Zip/Postal Code]])</f>
        <v xml:space="preserve">, Sibley, LA, </v>
      </c>
    </row>
    <row r="4650" spans="1:13" ht="15.6" hidden="1" x14ac:dyDescent="0.3">
      <c r="A4650" s="1" t="s">
        <v>13464</v>
      </c>
      <c r="B4650" s="1"/>
      <c r="C4650" s="1"/>
      <c r="D4650" s="1"/>
      <c r="E4650" s="1"/>
      <c r="F4650" s="1"/>
      <c r="G4650" s="1" t="s">
        <v>205</v>
      </c>
      <c r="H4650" s="2">
        <v>367</v>
      </c>
      <c r="I4650" s="1" t="s">
        <v>13465</v>
      </c>
      <c r="J4650" s="1" t="s">
        <v>13466</v>
      </c>
      <c r="K4650" s="1" t="s">
        <v>266</v>
      </c>
      <c r="L4650" s="1" t="s">
        <v>13467</v>
      </c>
      <c r="M4650" s="6" t="str">
        <f>_xlfn.CONCAT(Table1[[#This Row],[Billing Street]], ", ", Table1[[#This Row],[Billing City]], ", ", Table1[[#This Row],[Billing State/Province]], ", ", Table1[[#This Row],[Billing Zip/Postal Code]])</f>
        <v>404 Burro Ave, Cloudcroft, NM, 88317</v>
      </c>
    </row>
    <row r="4651" spans="1:13" ht="15.6" hidden="1" x14ac:dyDescent="0.3">
      <c r="A4651" s="1" t="s">
        <v>13468</v>
      </c>
      <c r="B4651" s="1"/>
      <c r="C4651" s="1"/>
      <c r="D4651" s="1"/>
      <c r="E4651" s="1"/>
      <c r="F4651" s="1"/>
      <c r="G4651" s="1" t="s">
        <v>98</v>
      </c>
      <c r="H4651" s="2">
        <v>309</v>
      </c>
      <c r="I4651" s="1" t="s">
        <v>13469</v>
      </c>
      <c r="J4651" s="1" t="s">
        <v>13470</v>
      </c>
      <c r="K4651" s="1" t="s">
        <v>1135</v>
      </c>
      <c r="L4651" s="1" t="s">
        <v>13471</v>
      </c>
      <c r="M4651" s="6" t="str">
        <f>_xlfn.CONCAT(Table1[[#This Row],[Billing Street]], ", ", Table1[[#This Row],[Billing City]], ", ", Table1[[#This Row],[Billing State/Province]], ", ", Table1[[#This Row],[Billing Zip/Postal Code]])</f>
        <v>11181 Highway 22, MARTIN, TN, 38237</v>
      </c>
    </row>
    <row r="4652" spans="1:13" ht="15.6" x14ac:dyDescent="0.3">
      <c r="A4652" s="1" t="s">
        <v>13472</v>
      </c>
      <c r="B4652" s="1"/>
      <c r="C4652" s="1"/>
      <c r="D4652" s="1"/>
      <c r="E4652" s="1"/>
      <c r="F4652" s="1"/>
      <c r="G4652" s="1" t="s">
        <v>24</v>
      </c>
      <c r="H4652" s="2">
        <v>347</v>
      </c>
      <c r="I4652" s="1" t="s">
        <v>13473</v>
      </c>
      <c r="J4652" s="1" t="s">
        <v>5995</v>
      </c>
      <c r="K4652" s="1" t="s">
        <v>577</v>
      </c>
      <c r="L4652" s="1" t="s">
        <v>10777</v>
      </c>
      <c r="M4652" s="6" t="str">
        <f>_xlfn.CONCAT(Table1[[#This Row],[Billing Street]], ", ", Table1[[#This Row],[Billing City]], ", ", Table1[[#This Row],[Billing State/Province]], ", ", Table1[[#This Row],[Billing Zip/Postal Code]])</f>
        <v>2812 Broken Arrow road, New Iberia, LA, 70560</v>
      </c>
    </row>
    <row r="4653" spans="1:13" ht="15.6" x14ac:dyDescent="0.3">
      <c r="A4653" s="1" t="s">
        <v>13474</v>
      </c>
      <c r="B4653" s="1"/>
      <c r="C4653" s="1"/>
      <c r="D4653" s="1"/>
      <c r="E4653" s="1"/>
      <c r="F4653" s="1"/>
      <c r="G4653" s="1" t="s">
        <v>24</v>
      </c>
      <c r="H4653" s="2">
        <v>402</v>
      </c>
      <c r="I4653" s="1" t="s">
        <v>13475</v>
      </c>
      <c r="J4653" s="1" t="s">
        <v>4496</v>
      </c>
      <c r="K4653" s="1" t="s">
        <v>577</v>
      </c>
      <c r="L4653" s="1" t="s">
        <v>5360</v>
      </c>
      <c r="M4653" s="6" t="str">
        <f>_xlfn.CONCAT(Table1[[#This Row],[Billing Street]], ", ", Table1[[#This Row],[Billing City]], ", ", Table1[[#This Row],[Billing State/Province]], ", ", Table1[[#This Row],[Billing Zip/Postal Code]])</f>
        <v>2601 McDonald Ave, Ruston, LA, 71270</v>
      </c>
    </row>
    <row r="4654" spans="1:13" ht="15.6" x14ac:dyDescent="0.3">
      <c r="A4654" s="1" t="s">
        <v>13476</v>
      </c>
      <c r="B4654" s="1"/>
      <c r="C4654" s="1"/>
      <c r="D4654" s="1"/>
      <c r="E4654" s="1"/>
      <c r="F4654" s="1"/>
      <c r="G4654" s="1" t="s">
        <v>24</v>
      </c>
      <c r="H4654" s="2">
        <v>383</v>
      </c>
      <c r="I4654" s="1" t="s">
        <v>13477</v>
      </c>
      <c r="J4654" s="1" t="s">
        <v>13104</v>
      </c>
      <c r="K4654" s="1" t="s">
        <v>577</v>
      </c>
      <c r="L4654" s="1" t="s">
        <v>13105</v>
      </c>
      <c r="M4654" s="6" t="str">
        <f>_xlfn.CONCAT(Table1[[#This Row],[Billing Street]], ", ", Table1[[#This Row],[Billing City]], ", ", Table1[[#This Row],[Billing State/Province]], ", ", Table1[[#This Row],[Billing Zip/Postal Code]])</f>
        <v>905 Industrial Parkway, West Monroe, LA, 71291</v>
      </c>
    </row>
    <row r="4655" spans="1:13" ht="15.6" hidden="1" x14ac:dyDescent="0.3">
      <c r="A4655" s="1" t="s">
        <v>13478</v>
      </c>
      <c r="B4655" s="1"/>
      <c r="C4655" s="1"/>
      <c r="D4655" s="1"/>
      <c r="E4655" s="1"/>
      <c r="F4655" s="1"/>
      <c r="G4655" s="1" t="s">
        <v>8</v>
      </c>
      <c r="H4655" s="2">
        <v>249</v>
      </c>
      <c r="I4655" s="1" t="s">
        <v>13479</v>
      </c>
      <c r="J4655" s="1" t="s">
        <v>1305</v>
      </c>
      <c r="K4655" s="1" t="s">
        <v>165</v>
      </c>
      <c r="L4655" s="1" t="s">
        <v>6245</v>
      </c>
      <c r="M4655" s="6" t="str">
        <f>_xlfn.CONCAT(Table1[[#This Row],[Billing Street]], ", ", Table1[[#This Row],[Billing City]], ", ", Table1[[#This Row],[Billing State/Province]], ", ", Table1[[#This Row],[Billing Zip/Postal Code]])</f>
        <v>15223 Ireton Road, Little Rock, AR, 72206</v>
      </c>
    </row>
    <row r="4656" spans="1:13" ht="15.6" x14ac:dyDescent="0.3">
      <c r="A4656" s="1" t="s">
        <v>13480</v>
      </c>
      <c r="B4656" s="1"/>
      <c r="C4656" s="1"/>
      <c r="D4656" s="1"/>
      <c r="E4656" s="1"/>
      <c r="F4656" s="1"/>
      <c r="G4656" s="1" t="s">
        <v>24</v>
      </c>
      <c r="H4656" s="2">
        <v>253</v>
      </c>
      <c r="I4656" s="1" t="s">
        <v>13481</v>
      </c>
      <c r="J4656" s="1" t="s">
        <v>13482</v>
      </c>
      <c r="K4656" s="1" t="s">
        <v>577</v>
      </c>
      <c r="L4656" s="1" t="s">
        <v>4088</v>
      </c>
      <c r="M4656" s="6" t="str">
        <f>_xlfn.CONCAT(Table1[[#This Row],[Billing Street]], ", ", Table1[[#This Row],[Billing City]], ", ", Table1[[#This Row],[Billing State/Province]], ", ", Table1[[#This Row],[Billing Zip/Postal Code]])</f>
        <v>10800 River Road, Waggarman, LA, 70094</v>
      </c>
    </row>
    <row r="4657" spans="1:13" ht="15.6" x14ac:dyDescent="0.3">
      <c r="A4657" s="1" t="s">
        <v>13483</v>
      </c>
      <c r="B4657" s="1"/>
      <c r="C4657" s="1"/>
      <c r="D4657" s="1"/>
      <c r="E4657" s="1"/>
      <c r="F4657" s="1"/>
      <c r="G4657" s="1" t="s">
        <v>24</v>
      </c>
      <c r="H4657" s="2">
        <v>361</v>
      </c>
      <c r="I4657" s="1" t="s">
        <v>13484</v>
      </c>
      <c r="J4657" s="1" t="s">
        <v>13485</v>
      </c>
      <c r="K4657" s="1" t="s">
        <v>577</v>
      </c>
      <c r="L4657" s="1" t="s">
        <v>13486</v>
      </c>
      <c r="M4657" s="6" t="str">
        <f>_xlfn.CONCAT(Table1[[#This Row],[Billing Street]], ", ", Table1[[#This Row],[Billing City]], ", ", Table1[[#This Row],[Billing State/Province]], ", ", Table1[[#This Row],[Billing Zip/Postal Code]])</f>
        <v>2161 Cameron Street, Duson, LA, 70529</v>
      </c>
    </row>
    <row r="4658" spans="1:13" ht="15.6" x14ac:dyDescent="0.3">
      <c r="A4658" s="1" t="s">
        <v>13487</v>
      </c>
      <c r="B4658" s="1"/>
      <c r="C4658" s="1"/>
      <c r="D4658" s="1"/>
      <c r="E4658" s="1"/>
      <c r="F4658" s="1"/>
      <c r="G4658" s="1" t="s">
        <v>24</v>
      </c>
      <c r="H4658" s="2">
        <v>242</v>
      </c>
      <c r="I4658" s="1" t="s">
        <v>13488</v>
      </c>
      <c r="J4658" s="1" t="s">
        <v>5388</v>
      </c>
      <c r="K4658" s="1" t="s">
        <v>577</v>
      </c>
      <c r="L4658" s="1" t="s">
        <v>5389</v>
      </c>
      <c r="M4658" s="6" t="str">
        <f>_xlfn.CONCAT(Table1[[#This Row],[Billing Street]], ", ", Table1[[#This Row],[Billing City]], ", ", Table1[[#This Row],[Billing State/Province]], ", ", Table1[[#This Row],[Billing Zip/Postal Code]])</f>
        <v>1133 1st Avenue EMDSI Bldg, Harvey, LA, 70058</v>
      </c>
    </row>
    <row r="4659" spans="1:13" ht="15.6" x14ac:dyDescent="0.3">
      <c r="A4659" s="1" t="s">
        <v>13489</v>
      </c>
      <c r="B4659" s="1"/>
      <c r="C4659" s="1"/>
      <c r="D4659" s="1"/>
      <c r="E4659" s="1"/>
      <c r="F4659" s="1"/>
      <c r="G4659" s="1" t="s">
        <v>24</v>
      </c>
      <c r="H4659" s="2">
        <v>296</v>
      </c>
      <c r="I4659" s="1" t="s">
        <v>13490</v>
      </c>
      <c r="J4659" s="1" t="s">
        <v>13491</v>
      </c>
      <c r="K4659" s="1" t="s">
        <v>577</v>
      </c>
      <c r="L4659" s="1" t="s">
        <v>13492</v>
      </c>
      <c r="M4659" s="6" t="str">
        <f>_xlfn.CONCAT(Table1[[#This Row],[Billing Street]], ", ", Table1[[#This Row],[Billing City]], ", ", Table1[[#This Row],[Billing State/Province]], ", ", Table1[[#This Row],[Billing Zip/Postal Code]])</f>
        <v>14430 Brown Rd, Baker, LA, 70714</v>
      </c>
    </row>
    <row r="4660" spans="1:13" ht="15.6" x14ac:dyDescent="0.3">
      <c r="A4660" s="1" t="s">
        <v>13493</v>
      </c>
      <c r="B4660" s="1"/>
      <c r="C4660" s="1"/>
      <c r="D4660" s="1"/>
      <c r="E4660" s="1"/>
      <c r="F4660" s="1"/>
      <c r="G4660" s="1" t="s">
        <v>24</v>
      </c>
      <c r="H4660" s="2">
        <v>296</v>
      </c>
      <c r="I4660" s="1" t="s">
        <v>13490</v>
      </c>
      <c r="J4660" s="1" t="s">
        <v>13491</v>
      </c>
      <c r="K4660" s="1" t="s">
        <v>577</v>
      </c>
      <c r="L4660" s="1" t="s">
        <v>13492</v>
      </c>
      <c r="M4660" s="6" t="str">
        <f>_xlfn.CONCAT(Table1[[#This Row],[Billing Street]], ", ", Table1[[#This Row],[Billing City]], ", ", Table1[[#This Row],[Billing State/Province]], ", ", Table1[[#This Row],[Billing Zip/Postal Code]])</f>
        <v>14430 Brown Rd, Baker, LA, 70714</v>
      </c>
    </row>
    <row r="4661" spans="1:13" ht="15.6" x14ac:dyDescent="0.3">
      <c r="A4661" s="1" t="s">
        <v>13494</v>
      </c>
      <c r="B4661" s="1"/>
      <c r="C4661" s="1"/>
      <c r="D4661" s="1"/>
      <c r="E4661" s="1"/>
      <c r="F4661" s="1"/>
      <c r="G4661" s="1" t="s">
        <v>24</v>
      </c>
      <c r="H4661" s="2">
        <v>254</v>
      </c>
      <c r="I4661" s="1" t="s">
        <v>13495</v>
      </c>
      <c r="J4661" s="1" t="s">
        <v>13496</v>
      </c>
      <c r="K4661" s="1" t="s">
        <v>577</v>
      </c>
      <c r="L4661" s="1" t="s">
        <v>13497</v>
      </c>
      <c r="M4661" s="6" t="str">
        <f>_xlfn.CONCAT(Table1[[#This Row],[Billing Street]], ", ", Table1[[#This Row],[Billing City]], ", ", Table1[[#This Row],[Billing State/Province]], ", ", Table1[[#This Row],[Billing Zip/Postal Code]])</f>
        <v>181 James Drive West, St Rose, LA, 70087</v>
      </c>
    </row>
    <row r="4662" spans="1:13" ht="15.6" x14ac:dyDescent="0.3">
      <c r="A4662" s="1" t="s">
        <v>13498</v>
      </c>
      <c r="B4662" s="1"/>
      <c r="C4662" s="1"/>
      <c r="D4662" s="1"/>
      <c r="E4662" s="1"/>
      <c r="F4662" s="1"/>
      <c r="G4662" s="1" t="s">
        <v>24</v>
      </c>
      <c r="H4662" s="2">
        <v>376</v>
      </c>
      <c r="I4662" s="1" t="s">
        <v>13499</v>
      </c>
      <c r="J4662" s="1" t="s">
        <v>13104</v>
      </c>
      <c r="K4662" s="1" t="s">
        <v>577</v>
      </c>
      <c r="L4662" s="1" t="s">
        <v>13500</v>
      </c>
      <c r="M4662" s="6" t="str">
        <f>_xlfn.CONCAT(Table1[[#This Row],[Billing Street]], ", ", Table1[[#This Row],[Billing City]], ", ", Table1[[#This Row],[Billing State/Province]], ", ", Table1[[#This Row],[Billing Zip/Postal Code]])</f>
        <v>300 Downing Pines Road, West Monroe, LA, 71292</v>
      </c>
    </row>
    <row r="4663" spans="1:13" ht="15.6" x14ac:dyDescent="0.3">
      <c r="A4663" s="1" t="s">
        <v>13501</v>
      </c>
      <c r="B4663" s="1"/>
      <c r="C4663" s="1"/>
      <c r="D4663" s="1"/>
      <c r="E4663" s="1"/>
      <c r="F4663" s="1"/>
      <c r="G4663" s="1" t="s">
        <v>24</v>
      </c>
      <c r="H4663" s="2">
        <v>393</v>
      </c>
      <c r="I4663" s="1" t="s">
        <v>13502</v>
      </c>
      <c r="J4663" s="1" t="s">
        <v>13503</v>
      </c>
      <c r="K4663" s="1" t="s">
        <v>577</v>
      </c>
      <c r="L4663" s="1" t="s">
        <v>13504</v>
      </c>
      <c r="M4663" s="6" t="str">
        <f>_xlfn.CONCAT(Table1[[#This Row],[Billing Street]], ", ", Table1[[#This Row],[Billing City]], ", ", Table1[[#This Row],[Billing State/Province]], ", ", Table1[[#This Row],[Billing Zip/Postal Code]])</f>
        <v>804 East  Lafayette, Winnfield, LA, 71483</v>
      </c>
    </row>
    <row r="4664" spans="1:13" ht="15.6" x14ac:dyDescent="0.3">
      <c r="A4664" s="1" t="s">
        <v>13505</v>
      </c>
      <c r="B4664" s="1"/>
      <c r="C4664" s="1"/>
      <c r="D4664" s="1"/>
      <c r="E4664" s="1"/>
      <c r="F4664" s="1"/>
      <c r="G4664" s="1" t="s">
        <v>24</v>
      </c>
      <c r="H4664" s="2">
        <v>291</v>
      </c>
      <c r="I4664" s="1" t="s">
        <v>13506</v>
      </c>
      <c r="J4664" s="1" t="s">
        <v>4402</v>
      </c>
      <c r="K4664" s="1" t="s">
        <v>577</v>
      </c>
      <c r="L4664" s="1" t="s">
        <v>4835</v>
      </c>
      <c r="M4664" s="6" t="str">
        <f>_xlfn.CONCAT(Table1[[#This Row],[Billing Street]], ", ", Table1[[#This Row],[Billing City]], ", ", Table1[[#This Row],[Billing State/Province]], ", ", Table1[[#This Row],[Billing Zip/Postal Code]])</f>
        <v>17100 Manchac Park Lane, Baton Rouge, LA, 70817</v>
      </c>
    </row>
    <row r="4665" spans="1:13" ht="15.6" x14ac:dyDescent="0.3">
      <c r="A4665" s="1" t="s">
        <v>13507</v>
      </c>
      <c r="B4665" s="1"/>
      <c r="C4665" s="1"/>
      <c r="D4665" s="1"/>
      <c r="E4665" s="1"/>
      <c r="F4665" s="1"/>
      <c r="G4665" s="1" t="s">
        <v>24</v>
      </c>
      <c r="H4665" s="2">
        <v>376</v>
      </c>
      <c r="I4665" s="1" t="s">
        <v>13508</v>
      </c>
      <c r="J4665" s="1" t="s">
        <v>576</v>
      </c>
      <c r="K4665" s="1" t="s">
        <v>577</v>
      </c>
      <c r="L4665" s="1" t="s">
        <v>578</v>
      </c>
      <c r="M4665" s="6" t="str">
        <f>_xlfn.CONCAT(Table1[[#This Row],[Billing Street]], ", ", Table1[[#This Row],[Billing City]], ", ", Table1[[#This Row],[Billing State/Province]], ", ", Table1[[#This Row],[Billing Zip/Postal Code]])</f>
        <v>1140 College Drive, Pineville, LA, 71360</v>
      </c>
    </row>
    <row r="4666" spans="1:13" ht="15.6" x14ac:dyDescent="0.3">
      <c r="A4666" s="1" t="s">
        <v>13509</v>
      </c>
      <c r="B4666" s="1"/>
      <c r="C4666" s="1"/>
      <c r="D4666" s="1"/>
      <c r="E4666" s="1"/>
      <c r="F4666" s="1"/>
      <c r="G4666" s="1" t="s">
        <v>24</v>
      </c>
      <c r="H4666" s="2">
        <v>287</v>
      </c>
      <c r="I4666" s="1" t="s">
        <v>13510</v>
      </c>
      <c r="J4666" s="1" t="s">
        <v>13511</v>
      </c>
      <c r="K4666" s="1" t="s">
        <v>577</v>
      </c>
      <c r="L4666" s="1" t="s">
        <v>13512</v>
      </c>
      <c r="M4666" s="6" t="str">
        <f>_xlfn.CONCAT(Table1[[#This Row],[Billing Street]], ", ", Table1[[#This Row],[Billing City]], ", ", Table1[[#This Row],[Billing State/Province]], ", ", Table1[[#This Row],[Billing Zip/Postal Code]])</f>
        <v>906 E 1st St., Thibodaux, LA, 70301</v>
      </c>
    </row>
    <row r="4667" spans="1:13" ht="15.6" hidden="1" x14ac:dyDescent="0.3">
      <c r="A4667" s="1" t="s">
        <v>13513</v>
      </c>
      <c r="B4667" s="1"/>
      <c r="C4667" s="1"/>
      <c r="D4667" s="1"/>
      <c r="E4667" s="1"/>
      <c r="F4667" s="1"/>
      <c r="G4667" s="1" t="s">
        <v>8</v>
      </c>
      <c r="H4667" s="2">
        <v>99</v>
      </c>
      <c r="I4667" s="1" t="s">
        <v>13514</v>
      </c>
      <c r="J4667" s="1" t="s">
        <v>2129</v>
      </c>
      <c r="K4667" s="1" t="s">
        <v>554</v>
      </c>
      <c r="L4667" s="1" t="s">
        <v>2130</v>
      </c>
      <c r="M4667" s="6" t="str">
        <f>_xlfn.CONCAT(Table1[[#This Row],[Billing Street]], ", ", Table1[[#This Row],[Billing City]], ", ", Table1[[#This Row],[Billing State/Province]], ", ", Table1[[#This Row],[Billing Zip/Postal Code]])</f>
        <v>504 S. Blaine, Wellington, KS, 67152</v>
      </c>
    </row>
    <row r="4668" spans="1:13" ht="15.6" hidden="1" x14ac:dyDescent="0.3">
      <c r="A4668" s="1" t="s">
        <v>7855</v>
      </c>
      <c r="B4668" s="1"/>
      <c r="C4668" s="1"/>
      <c r="D4668" s="1"/>
      <c r="E4668" s="1"/>
      <c r="F4668" s="1"/>
      <c r="G4668" s="1" t="s">
        <v>8</v>
      </c>
      <c r="H4668" s="2">
        <v>501</v>
      </c>
      <c r="I4668" s="1" t="s">
        <v>13515</v>
      </c>
      <c r="J4668" s="1" t="s">
        <v>557</v>
      </c>
      <c r="K4668" s="1" t="s">
        <v>51</v>
      </c>
      <c r="L4668" s="1" t="s">
        <v>13516</v>
      </c>
      <c r="M4668" s="6" t="str">
        <f>_xlfn.CONCAT(Table1[[#This Row],[Billing Street]], ", ", Table1[[#This Row],[Billing City]], ", ", Table1[[#This Row],[Billing State/Province]], ", ", Table1[[#This Row],[Billing Zip/Postal Code]])</f>
        <v>19424 Park Row, Ste 100, Houston, TX, 77084</v>
      </c>
    </row>
    <row r="4669" spans="1:13" ht="15.6" x14ac:dyDescent="0.3">
      <c r="A4669" s="1" t="s">
        <v>13517</v>
      </c>
      <c r="B4669" s="1"/>
      <c r="C4669" s="1"/>
      <c r="D4669" s="1"/>
      <c r="E4669" s="1"/>
      <c r="F4669" s="1"/>
      <c r="G4669" s="1" t="s">
        <v>24</v>
      </c>
      <c r="H4669" s="2">
        <v>243</v>
      </c>
      <c r="I4669" s="1" t="s">
        <v>13518</v>
      </c>
      <c r="J4669" s="1" t="s">
        <v>5388</v>
      </c>
      <c r="K4669" s="1" t="s">
        <v>577</v>
      </c>
      <c r="L4669" s="1" t="s">
        <v>5389</v>
      </c>
      <c r="M4669" s="6" t="str">
        <f>_xlfn.CONCAT(Table1[[#This Row],[Billing Street]], ", ", Table1[[#This Row],[Billing City]], ", ", Table1[[#This Row],[Billing State/Province]], ", ", Table1[[#This Row],[Billing Zip/Postal Code]])</f>
        <v>1843 Peters Road, Harvey, LA, 70058</v>
      </c>
    </row>
    <row r="4670" spans="1:13" ht="15.6" hidden="1" x14ac:dyDescent="0.3">
      <c r="A4670" s="1" t="s">
        <v>13519</v>
      </c>
      <c r="B4670" s="1"/>
      <c r="C4670" s="1"/>
      <c r="D4670" s="1"/>
      <c r="E4670" s="1"/>
      <c r="F4670" s="1"/>
      <c r="G4670" s="1" t="s">
        <v>43</v>
      </c>
      <c r="H4670" s="2">
        <v>487</v>
      </c>
      <c r="I4670" s="1" t="s">
        <v>13520</v>
      </c>
      <c r="J4670" s="1" t="s">
        <v>4687</v>
      </c>
      <c r="K4670" s="1" t="s">
        <v>152</v>
      </c>
      <c r="L4670" s="1" t="s">
        <v>13521</v>
      </c>
      <c r="M4670" s="6" t="str">
        <f>_xlfn.CONCAT(Table1[[#This Row],[Billing Street]], ", ", Table1[[#This Row],[Billing City]], ", ", Table1[[#This Row],[Billing State/Province]], ", ", Table1[[#This Row],[Billing Zip/Postal Code]])</f>
        <v>2 S Main St, Winchester, IL, 62694-1222</v>
      </c>
    </row>
    <row r="4671" spans="1:13" ht="15.6" x14ac:dyDescent="0.3">
      <c r="A4671" s="1" t="s">
        <v>13522</v>
      </c>
      <c r="B4671" s="1"/>
      <c r="C4671" s="1"/>
      <c r="D4671" s="1"/>
      <c r="E4671" s="1"/>
      <c r="F4671" s="1"/>
      <c r="G4671" s="1" t="s">
        <v>24</v>
      </c>
      <c r="H4671" s="2">
        <v>120</v>
      </c>
      <c r="I4671" s="1" t="s">
        <v>13523</v>
      </c>
      <c r="J4671" s="1" t="s">
        <v>633</v>
      </c>
      <c r="K4671" s="1" t="s">
        <v>26</v>
      </c>
      <c r="L4671" s="1" t="s">
        <v>11198</v>
      </c>
      <c r="M4671" s="6" t="str">
        <f>_xlfn.CONCAT(Table1[[#This Row],[Billing Street]], ", ", Table1[[#This Row],[Billing City]], ", ", Table1[[#This Row],[Billing State/Province]], ", ", Table1[[#This Row],[Billing Zip/Postal Code]])</f>
        <v>4315 Halls Mill Rd, Mobile, AL, 36693</v>
      </c>
    </row>
    <row r="4672" spans="1:13" ht="15.6" hidden="1" x14ac:dyDescent="0.3">
      <c r="A4672" s="1" t="s">
        <v>13524</v>
      </c>
      <c r="B4672" s="1"/>
      <c r="C4672" s="1"/>
      <c r="D4672" s="1"/>
      <c r="E4672" s="1"/>
      <c r="F4672" s="1"/>
      <c r="G4672" s="1" t="s">
        <v>54</v>
      </c>
      <c r="H4672" s="2">
        <v>52</v>
      </c>
      <c r="I4672" s="1" t="s">
        <v>13525</v>
      </c>
      <c r="J4672" s="1" t="s">
        <v>189</v>
      </c>
      <c r="K4672" s="1" t="s">
        <v>57</v>
      </c>
      <c r="L4672" s="1" t="s">
        <v>13526</v>
      </c>
      <c r="M4672" s="6" t="str">
        <f>_xlfn.CONCAT(Table1[[#This Row],[Billing Street]], ", ", Table1[[#This Row],[Billing City]], ", ", Table1[[#This Row],[Billing State/Province]], ", ", Table1[[#This Row],[Billing Zip/Postal Code]])</f>
        <v>3403 Niki Way, Riverside, CA, 92507</v>
      </c>
    </row>
    <row r="4673" spans="1:13" ht="15.6" hidden="1" x14ac:dyDescent="0.3">
      <c r="A4673" s="1" t="s">
        <v>13527</v>
      </c>
      <c r="B4673" s="1"/>
      <c r="C4673" s="1"/>
      <c r="D4673" s="1"/>
      <c r="E4673" s="1"/>
      <c r="F4673" s="1"/>
      <c r="G4673" s="1" t="s">
        <v>98</v>
      </c>
      <c r="H4673" s="2">
        <v>339</v>
      </c>
      <c r="I4673" s="1" t="s">
        <v>13528</v>
      </c>
      <c r="J4673" s="1" t="s">
        <v>13529</v>
      </c>
      <c r="K4673" s="1" t="s">
        <v>1178</v>
      </c>
      <c r="L4673" s="1" t="s">
        <v>13530</v>
      </c>
      <c r="M4673" s="6" t="str">
        <f>_xlfn.CONCAT(Table1[[#This Row],[Billing Street]], ", ", Table1[[#This Row],[Billing City]], ", ", Table1[[#This Row],[Billing State/Province]], ", ", Table1[[#This Row],[Billing Zip/Postal Code]])</f>
        <v>795 Ocean Hwy W, Brunswick, NC, 28462</v>
      </c>
    </row>
    <row r="4674" spans="1:13" ht="15.6" hidden="1" x14ac:dyDescent="0.3">
      <c r="A4674" s="1" t="s">
        <v>13531</v>
      </c>
      <c r="B4674" s="1"/>
      <c r="C4674" s="1"/>
      <c r="D4674" s="1"/>
      <c r="E4674" s="1"/>
      <c r="F4674" s="1"/>
      <c r="G4674" s="1" t="s">
        <v>98</v>
      </c>
      <c r="H4674" s="2">
        <v>5887</v>
      </c>
      <c r="I4674" s="1" t="s">
        <v>13532</v>
      </c>
      <c r="J4674" s="1" t="s">
        <v>9161</v>
      </c>
      <c r="K4674" s="1" t="s">
        <v>234</v>
      </c>
      <c r="L4674" s="1" t="s">
        <v>13533</v>
      </c>
      <c r="M4674" s="6" t="str">
        <f>_xlfn.CONCAT(Table1[[#This Row],[Billing Street]], ", ", Table1[[#This Row],[Billing City]], ", ", Table1[[#This Row],[Billing State/Province]], ", ", Table1[[#This Row],[Billing Zip/Postal Code]])</f>
        <v>2774 Cultra Rd, Conway, SC, 29528</v>
      </c>
    </row>
    <row r="4675" spans="1:13" ht="15.6" hidden="1" x14ac:dyDescent="0.3">
      <c r="A4675" s="1" t="s">
        <v>13534</v>
      </c>
      <c r="B4675" s="1"/>
      <c r="C4675" s="1"/>
      <c r="D4675" s="1"/>
      <c r="E4675" s="1"/>
      <c r="F4675" s="1"/>
      <c r="G4675" s="1" t="s">
        <v>98</v>
      </c>
      <c r="H4675" s="2">
        <v>5887</v>
      </c>
      <c r="I4675" s="1" t="s">
        <v>13535</v>
      </c>
      <c r="J4675" s="1" t="s">
        <v>13536</v>
      </c>
      <c r="K4675" s="1" t="s">
        <v>234</v>
      </c>
      <c r="L4675" s="1" t="s">
        <v>13537</v>
      </c>
      <c r="M4675" s="6" t="str">
        <f>_xlfn.CONCAT(Table1[[#This Row],[Billing Street]], ", ", Table1[[#This Row],[Billing City]], ", ", Table1[[#This Row],[Billing State/Province]], ", ", Table1[[#This Row],[Billing Zip/Postal Code]])</f>
        <v>424 Sumter Hwy, Kingstree, SC, 29556</v>
      </c>
    </row>
    <row r="4676" spans="1:13" ht="15.6" hidden="1" x14ac:dyDescent="0.3">
      <c r="A4676" s="1" t="s">
        <v>13538</v>
      </c>
      <c r="B4676" s="1"/>
      <c r="C4676" s="1"/>
      <c r="D4676" s="1"/>
      <c r="E4676" s="1"/>
      <c r="F4676" s="1"/>
      <c r="G4676" s="1" t="s">
        <v>98</v>
      </c>
      <c r="H4676" s="2">
        <v>5887</v>
      </c>
      <c r="I4676" s="1" t="s">
        <v>13539</v>
      </c>
      <c r="J4676" s="1" t="s">
        <v>13540</v>
      </c>
      <c r="K4676" s="1" t="s">
        <v>234</v>
      </c>
      <c r="L4676" s="1" t="s">
        <v>13541</v>
      </c>
      <c r="M4676" s="6" t="str">
        <f>_xlfn.CONCAT(Table1[[#This Row],[Billing Street]], ", ", Table1[[#This Row],[Billing City]], ", ", Table1[[#This Row],[Billing State/Province]], ", ", Table1[[#This Row],[Billing Zip/Postal Code]])</f>
        <v>2269 Jeffries Hwy, Walterboro, SC, 29488</v>
      </c>
    </row>
    <row r="4677" spans="1:13" ht="15.6" hidden="1" x14ac:dyDescent="0.3">
      <c r="A4677" s="1" t="s">
        <v>13542</v>
      </c>
      <c r="B4677" s="1"/>
      <c r="C4677" s="1"/>
      <c r="D4677" s="1"/>
      <c r="E4677" s="1"/>
      <c r="F4677" s="1"/>
      <c r="G4677" s="1" t="s">
        <v>98</v>
      </c>
      <c r="H4677" s="2">
        <v>5887</v>
      </c>
      <c r="I4677" s="1" t="s">
        <v>9575</v>
      </c>
      <c r="J4677" s="1" t="s">
        <v>13543</v>
      </c>
      <c r="K4677" s="1" t="s">
        <v>234</v>
      </c>
      <c r="L4677" s="1" t="s">
        <v>13544</v>
      </c>
      <c r="M4677" s="6" t="str">
        <f>_xlfn.CONCAT(Table1[[#This Row],[Billing Street]], ", ", Table1[[#This Row],[Billing City]], ", ", Table1[[#This Row],[Billing State/Province]], ", ", Table1[[#This Row],[Billing Zip/Postal Code]])</f>
        <v>1 Cooperative Way, Hardeeville, SC, 29927</v>
      </c>
    </row>
    <row r="4678" spans="1:13" ht="15.6" hidden="1" x14ac:dyDescent="0.3">
      <c r="A4678" s="1" t="s">
        <v>13545</v>
      </c>
      <c r="B4678" s="1"/>
      <c r="C4678" s="1"/>
      <c r="D4678" s="1"/>
      <c r="E4678" s="1"/>
      <c r="F4678" s="1"/>
      <c r="G4678" s="1" t="s">
        <v>98</v>
      </c>
      <c r="H4678" s="2">
        <v>5887</v>
      </c>
      <c r="I4678" s="1" t="s">
        <v>13546</v>
      </c>
      <c r="J4678" s="1" t="s">
        <v>13547</v>
      </c>
      <c r="K4678" s="1" t="s">
        <v>234</v>
      </c>
      <c r="L4678" s="1" t="s">
        <v>13548</v>
      </c>
      <c r="M4678" s="6" t="str">
        <f>_xlfn.CONCAT(Table1[[#This Row],[Billing Street]], ", ", Table1[[#This Row],[Billing City]], ", ", Table1[[#This Row],[Billing State/Province]], ", ", Table1[[#This Row],[Billing Zip/Postal Code]])</f>
        <v>150 Utility St, Easley, SC, 29641</v>
      </c>
    </row>
    <row r="4679" spans="1:13" ht="15.6" x14ac:dyDescent="0.3">
      <c r="A4679" s="1" t="s">
        <v>13549</v>
      </c>
      <c r="B4679" s="1"/>
      <c r="C4679" s="1"/>
      <c r="D4679" s="1"/>
      <c r="E4679" s="1"/>
      <c r="F4679" s="1"/>
      <c r="G4679" s="1" t="s">
        <v>24</v>
      </c>
      <c r="H4679" s="2">
        <v>292</v>
      </c>
      <c r="I4679" s="1" t="s">
        <v>13550</v>
      </c>
      <c r="J4679" s="1" t="s">
        <v>4402</v>
      </c>
      <c r="K4679" s="1" t="s">
        <v>577</v>
      </c>
      <c r="L4679" s="1" t="s">
        <v>4835</v>
      </c>
      <c r="M4679" s="6" t="str">
        <f>_xlfn.CONCAT(Table1[[#This Row],[Billing Street]], ", ", Table1[[#This Row],[Billing City]], ", ", Table1[[#This Row],[Billing State/Province]], ", ", Table1[[#This Row],[Billing Zip/Postal Code]])</f>
        <v>15555 Airline Highway, Baton Rouge, LA, 70817</v>
      </c>
    </row>
    <row r="4680" spans="1:13" ht="15.6" hidden="1" x14ac:dyDescent="0.3">
      <c r="A4680" s="1" t="s">
        <v>13551</v>
      </c>
      <c r="B4680" s="1"/>
      <c r="C4680" s="1"/>
      <c r="D4680" s="1"/>
      <c r="E4680" s="1"/>
      <c r="F4680" s="1"/>
      <c r="G4680" s="1" t="s">
        <v>8</v>
      </c>
      <c r="H4680" s="2">
        <v>6528</v>
      </c>
      <c r="I4680" s="1" t="s">
        <v>13</v>
      </c>
      <c r="J4680" s="1" t="s">
        <v>13552</v>
      </c>
      <c r="K4680" s="1" t="s">
        <v>165</v>
      </c>
      <c r="L4680" s="1" t="s">
        <v>13</v>
      </c>
      <c r="M4680" s="6" t="str">
        <f>_xlfn.CONCAT(Table1[[#This Row],[Billing Street]], ", ", Table1[[#This Row],[Billing City]], ", ", Table1[[#This Row],[Billing State/Province]], ", ", Table1[[#This Row],[Billing Zip/Postal Code]])</f>
        <v xml:space="preserve">, Riceland, AR, </v>
      </c>
    </row>
    <row r="4681" spans="1:13" ht="15.6" x14ac:dyDescent="0.3">
      <c r="A4681" s="1" t="s">
        <v>13553</v>
      </c>
      <c r="B4681" s="1"/>
      <c r="C4681" s="1"/>
      <c r="D4681" s="1"/>
      <c r="E4681" s="1"/>
      <c r="F4681" s="1"/>
      <c r="G4681" s="1" t="s">
        <v>24</v>
      </c>
      <c r="H4681" s="2">
        <v>377</v>
      </c>
      <c r="I4681" s="1" t="s">
        <v>13554</v>
      </c>
      <c r="J4681" s="1" t="s">
        <v>6527</v>
      </c>
      <c r="K4681" s="1" t="s">
        <v>577</v>
      </c>
      <c r="L4681" s="1" t="s">
        <v>13555</v>
      </c>
      <c r="M4681" s="6" t="str">
        <f>_xlfn.CONCAT(Table1[[#This Row],[Billing Street]], ", ", Table1[[#This Row],[Billing City]], ", ", Table1[[#This Row],[Billing State/Province]], ", ", Table1[[#This Row],[Billing Zip/Postal Code]])</f>
        <v>3412 Broadway Avenue, Alexandria, LA, 71302</v>
      </c>
    </row>
    <row r="4682" spans="1:13" ht="15.6" hidden="1" x14ac:dyDescent="0.3">
      <c r="A4682" s="1" t="s">
        <v>13556</v>
      </c>
      <c r="B4682" s="1"/>
      <c r="C4682" s="1"/>
      <c r="D4682" s="1"/>
      <c r="E4682" s="1"/>
      <c r="F4682" s="1"/>
      <c r="G4682" s="1" t="s">
        <v>8</v>
      </c>
      <c r="H4682" s="2">
        <v>192</v>
      </c>
      <c r="I4682" s="1" t="s">
        <v>13557</v>
      </c>
      <c r="J4682" s="1" t="s">
        <v>13558</v>
      </c>
      <c r="K4682" s="1" t="s">
        <v>554</v>
      </c>
      <c r="L4682" s="1" t="s">
        <v>13559</v>
      </c>
      <c r="M4682" s="6" t="str">
        <f>_xlfn.CONCAT(Table1[[#This Row],[Billing Street]], ", ", Table1[[#This Row],[Billing City]], ", ", Table1[[#This Row],[Billing State/Province]], ", ", Table1[[#This Row],[Billing Zip/Postal Code]])</f>
        <v>206 St Joseph St, Wathena, KS, 66090</v>
      </c>
    </row>
    <row r="4683" spans="1:13" ht="15.6" x14ac:dyDescent="0.3">
      <c r="A4683" s="1" t="s">
        <v>13560</v>
      </c>
      <c r="B4683" s="1"/>
      <c r="C4683" s="1"/>
      <c r="D4683" s="1"/>
      <c r="E4683" s="1"/>
      <c r="F4683" s="1"/>
      <c r="G4683" s="1" t="s">
        <v>24</v>
      </c>
      <c r="H4683" s="2">
        <v>308</v>
      </c>
      <c r="I4683" s="1" t="s">
        <v>13561</v>
      </c>
      <c r="J4683" s="1" t="s">
        <v>6674</v>
      </c>
      <c r="K4683" s="1" t="s">
        <v>577</v>
      </c>
      <c r="L4683" s="1" t="s">
        <v>13562</v>
      </c>
      <c r="M4683" s="6" t="str">
        <f>_xlfn.CONCAT(Table1[[#This Row],[Billing Street]], ", ", Table1[[#This Row],[Billing City]], ", ", Table1[[#This Row],[Billing State/Province]], ", ", Table1[[#This Row],[Billing Zip/Postal Code]])</f>
        <v>59705 Bayou Road, Plaquemine, LA, 70765</v>
      </c>
    </row>
    <row r="4684" spans="1:13" ht="15.6" x14ac:dyDescent="0.3">
      <c r="A4684" s="1" t="s">
        <v>13563</v>
      </c>
      <c r="B4684" s="1"/>
      <c r="C4684" s="1"/>
      <c r="D4684" s="1"/>
      <c r="E4684" s="1"/>
      <c r="F4684" s="1"/>
      <c r="G4684" s="1" t="s">
        <v>24</v>
      </c>
      <c r="H4684" s="2">
        <v>5988</v>
      </c>
      <c r="I4684" s="1" t="s">
        <v>13</v>
      </c>
      <c r="J4684" s="1" t="s">
        <v>997</v>
      </c>
      <c r="K4684" s="1" t="s">
        <v>577</v>
      </c>
      <c r="L4684" s="1" t="s">
        <v>13</v>
      </c>
      <c r="M4684" s="6" t="str">
        <f>_xlfn.CONCAT(Table1[[#This Row],[Billing Street]], ", ", Table1[[#This Row],[Billing City]], ", ", Table1[[#This Row],[Billing State/Province]], ", ", Table1[[#This Row],[Billing Zip/Postal Code]])</f>
        <v xml:space="preserve">, Lafayette, LA, </v>
      </c>
    </row>
    <row r="4685" spans="1:13" ht="15.6" hidden="1" x14ac:dyDescent="0.3">
      <c r="A4685" s="1" t="s">
        <v>13564</v>
      </c>
      <c r="B4685" s="1"/>
      <c r="C4685" s="1"/>
      <c r="D4685" s="1"/>
      <c r="E4685" s="1"/>
      <c r="F4685" s="1"/>
      <c r="G4685" s="1" t="s">
        <v>54</v>
      </c>
      <c r="H4685" s="2">
        <v>47</v>
      </c>
      <c r="I4685" s="1" t="s">
        <v>13565</v>
      </c>
      <c r="J4685" s="1" t="s">
        <v>1517</v>
      </c>
      <c r="K4685" s="1" t="s">
        <v>57</v>
      </c>
      <c r="L4685" s="1" t="s">
        <v>13566</v>
      </c>
      <c r="M4685" s="6" t="str">
        <f>_xlfn.CONCAT(Table1[[#This Row],[Billing Street]], ", ", Table1[[#This Row],[Billing City]], ", ", Table1[[#This Row],[Billing State/Province]], ", ", Table1[[#This Row],[Billing Zip/Postal Code]])</f>
        <v>3013 E Avenue H, Lancaster, CA, 93535</v>
      </c>
    </row>
    <row r="4686" spans="1:13" ht="15.6" hidden="1" x14ac:dyDescent="0.3">
      <c r="A4686" s="1" t="s">
        <v>13567</v>
      </c>
      <c r="B4686" s="1"/>
      <c r="C4686" s="1"/>
      <c r="D4686" s="1"/>
      <c r="E4686" s="1"/>
      <c r="F4686" s="1"/>
      <c r="G4686" s="1" t="s">
        <v>43</v>
      </c>
      <c r="H4686" s="2">
        <v>301</v>
      </c>
      <c r="I4686" s="1" t="s">
        <v>13568</v>
      </c>
      <c r="J4686" s="1" t="s">
        <v>13569</v>
      </c>
      <c r="K4686" s="1" t="s">
        <v>275</v>
      </c>
      <c r="L4686" s="1" t="s">
        <v>1799</v>
      </c>
      <c r="M4686" s="6" t="str">
        <f>_xlfn.CONCAT(Table1[[#This Row],[Billing Street]], ", ", Table1[[#This Row],[Billing City]], ", ", Table1[[#This Row],[Billing State/Province]], ", ", Table1[[#This Row],[Billing Zip/Postal Code]])</f>
        <v>5870 Fisher Ed, East syracusw, ny, 13057</v>
      </c>
    </row>
    <row r="4687" spans="1:13" ht="15.6" x14ac:dyDescent="0.3">
      <c r="A4687" s="1" t="s">
        <v>13570</v>
      </c>
      <c r="B4687" s="1"/>
      <c r="C4687" s="1"/>
      <c r="D4687" s="1"/>
      <c r="E4687" s="1"/>
      <c r="F4687" s="1"/>
      <c r="G4687" s="1" t="s">
        <v>24</v>
      </c>
      <c r="H4687" s="2">
        <v>5988</v>
      </c>
      <c r="I4687" s="1" t="s">
        <v>13571</v>
      </c>
      <c r="J4687" s="1" t="s">
        <v>30</v>
      </c>
      <c r="K4687" s="1" t="s">
        <v>31</v>
      </c>
      <c r="L4687" s="1" t="s">
        <v>32</v>
      </c>
      <c r="M4687" s="6" t="str">
        <f>_xlfn.CONCAT(Table1[[#This Row],[Billing Street]], ", ", Table1[[#This Row],[Billing City]], ", ", Table1[[#This Row],[Billing State/Province]], ", ", Table1[[#This Row],[Billing Zip/Postal Code]])</f>
        <v>3288 Hickory Grove Rd., Starkville, MS, 39759</v>
      </c>
    </row>
    <row r="4688" spans="1:13" ht="15.6" hidden="1" x14ac:dyDescent="0.3">
      <c r="A4688" s="1" t="s">
        <v>13572</v>
      </c>
      <c r="B4688" s="1"/>
      <c r="C4688" s="1"/>
      <c r="D4688" s="1"/>
      <c r="E4688" s="1"/>
      <c r="F4688" s="1"/>
      <c r="G4688" s="1" t="s">
        <v>8</v>
      </c>
      <c r="H4688" s="2">
        <v>394</v>
      </c>
      <c r="I4688" s="1" t="s">
        <v>13573</v>
      </c>
      <c r="J4688" s="1" t="s">
        <v>13574</v>
      </c>
      <c r="K4688" s="1" t="s">
        <v>21</v>
      </c>
      <c r="L4688" s="1" t="s">
        <v>13575</v>
      </c>
      <c r="M4688" s="6" t="str">
        <f>_xlfn.CONCAT(Table1[[#This Row],[Billing Street]], ", ", Table1[[#This Row],[Billing City]], ", ", Table1[[#This Row],[Billing State/Province]], ", ", Table1[[#This Row],[Billing Zip/Postal Code]])</f>
        <v>101 Mission, Woolstock, IA, 50599</v>
      </c>
    </row>
    <row r="4689" spans="1:13" ht="15.6" hidden="1" x14ac:dyDescent="0.3">
      <c r="A4689" s="1" t="s">
        <v>13576</v>
      </c>
      <c r="B4689" s="1"/>
      <c r="C4689" s="1"/>
      <c r="D4689" s="1"/>
      <c r="E4689" s="1"/>
      <c r="F4689" s="1"/>
      <c r="G4689" s="1" t="s">
        <v>43</v>
      </c>
      <c r="H4689" s="2">
        <v>5776</v>
      </c>
      <c r="I4689" s="1" t="s">
        <v>13</v>
      </c>
      <c r="J4689" s="1" t="s">
        <v>13</v>
      </c>
      <c r="K4689" s="1" t="s">
        <v>95</v>
      </c>
      <c r="L4689" s="1" t="s">
        <v>13</v>
      </c>
      <c r="M4689" s="6" t="str">
        <f>_xlfn.CONCAT(Table1[[#This Row],[Billing Street]], ", ", Table1[[#This Row],[Billing City]], ", ", Table1[[#This Row],[Billing State/Province]], ", ", Table1[[#This Row],[Billing Zip/Postal Code]])</f>
        <v xml:space="preserve">, , MA, </v>
      </c>
    </row>
    <row r="4690" spans="1:13" ht="15.6" hidden="1" x14ac:dyDescent="0.3">
      <c r="A4690" s="1" t="s">
        <v>13577</v>
      </c>
      <c r="B4690" s="1"/>
      <c r="C4690" s="1"/>
      <c r="D4690" s="1"/>
      <c r="E4690" s="1"/>
      <c r="F4690" s="1"/>
      <c r="G4690" s="1" t="s">
        <v>43</v>
      </c>
      <c r="H4690" s="2">
        <v>388</v>
      </c>
      <c r="I4690" s="1" t="s">
        <v>13578</v>
      </c>
      <c r="J4690" s="1" t="s">
        <v>1232</v>
      </c>
      <c r="K4690" s="1" t="s">
        <v>671</v>
      </c>
      <c r="L4690" s="1" t="s">
        <v>13579</v>
      </c>
      <c r="M4690" s="6" t="str">
        <f>_xlfn.CONCAT(Table1[[#This Row],[Billing Street]], ", ", Table1[[#This Row],[Billing City]], ", ", Table1[[#This Row],[Billing State/Province]], ", ", Table1[[#This Row],[Billing Zip/Postal Code]])</f>
        <v>664LT Echelberger Road, West Point, NY, 10996</v>
      </c>
    </row>
    <row r="4691" spans="1:13" ht="15.6" hidden="1" x14ac:dyDescent="0.3">
      <c r="A4691" s="1" t="s">
        <v>13580</v>
      </c>
      <c r="B4691" s="1"/>
      <c r="C4691" s="1"/>
      <c r="D4691" s="1"/>
      <c r="E4691" s="1"/>
      <c r="F4691" s="1"/>
      <c r="G4691" s="1" t="s">
        <v>43</v>
      </c>
      <c r="H4691" s="2">
        <v>5776</v>
      </c>
      <c r="I4691" s="1" t="s">
        <v>13</v>
      </c>
      <c r="J4691" s="1" t="s">
        <v>13</v>
      </c>
      <c r="K4691" s="1" t="s">
        <v>95</v>
      </c>
      <c r="L4691" s="1" t="s">
        <v>13</v>
      </c>
      <c r="M4691" s="6" t="str">
        <f>_xlfn.CONCAT(Table1[[#This Row],[Billing Street]], ", ", Table1[[#This Row],[Billing City]], ", ", Table1[[#This Row],[Billing State/Province]], ", ", Table1[[#This Row],[Billing Zip/Postal Code]])</f>
        <v xml:space="preserve">, , MA, </v>
      </c>
    </row>
    <row r="4692" spans="1:13" ht="15.6" hidden="1" x14ac:dyDescent="0.3">
      <c r="A4692" s="1" t="s">
        <v>13581</v>
      </c>
      <c r="B4692" s="1"/>
      <c r="C4692" s="1"/>
      <c r="D4692" s="1"/>
      <c r="E4692" s="1"/>
      <c r="F4692" s="1"/>
      <c r="G4692" s="1" t="s">
        <v>8</v>
      </c>
      <c r="H4692" s="2">
        <v>374</v>
      </c>
      <c r="I4692" s="1" t="s">
        <v>13582</v>
      </c>
      <c r="J4692" s="1" t="s">
        <v>13583</v>
      </c>
      <c r="K4692" s="1" t="s">
        <v>21</v>
      </c>
      <c r="L4692" s="1" t="s">
        <v>13584</v>
      </c>
      <c r="M4692" s="6" t="str">
        <f>_xlfn.CONCAT(Table1[[#This Row],[Billing Street]], ", ", Table1[[#This Row],[Billing City]], ", ", Table1[[#This Row],[Billing State/Province]], ", ", Table1[[#This Row],[Billing Zip/Postal Code]])</f>
        <v>1015 Tonawanda St, Rockwell City, IA, 50579</v>
      </c>
    </row>
    <row r="4693" spans="1:13" ht="15.6" hidden="1" x14ac:dyDescent="0.3">
      <c r="A4693" s="1" t="s">
        <v>13585</v>
      </c>
      <c r="B4693" s="1"/>
      <c r="C4693" s="1"/>
      <c r="D4693" s="1"/>
      <c r="E4693" s="1"/>
      <c r="F4693" s="1"/>
      <c r="G4693" s="1" t="s">
        <v>98</v>
      </c>
      <c r="H4693" s="2">
        <v>187</v>
      </c>
      <c r="I4693" s="1" t="s">
        <v>13586</v>
      </c>
      <c r="J4693" s="1" t="s">
        <v>5366</v>
      </c>
      <c r="K4693" s="1" t="s">
        <v>101</v>
      </c>
      <c r="L4693" s="1" t="s">
        <v>13587</v>
      </c>
      <c r="M4693" s="6" t="str">
        <f>_xlfn.CONCAT(Table1[[#This Row],[Billing Street]], ", ", Table1[[#This Row],[Billing City]], ", ", Table1[[#This Row],[Billing State/Province]], ", ", Table1[[#This Row],[Billing Zip/Postal Code]])</f>
        <v>15 Rowland Drive, Moultrie, GA, 31768</v>
      </c>
    </row>
    <row r="4694" spans="1:13" ht="15.6" hidden="1" x14ac:dyDescent="0.3">
      <c r="A4694" s="1" t="s">
        <v>13588</v>
      </c>
      <c r="B4694" s="1"/>
      <c r="C4694" s="1"/>
      <c r="D4694" s="1"/>
      <c r="E4694" s="1"/>
      <c r="F4694" s="1"/>
      <c r="G4694" s="1" t="s">
        <v>8</v>
      </c>
      <c r="H4694" s="2">
        <v>369</v>
      </c>
      <c r="I4694" s="1" t="s">
        <v>13589</v>
      </c>
      <c r="J4694" s="1" t="s">
        <v>13590</v>
      </c>
      <c r="K4694" s="1" t="s">
        <v>21</v>
      </c>
      <c r="L4694" s="1" t="s">
        <v>13591</v>
      </c>
      <c r="M4694" s="6" t="str">
        <f>_xlfn.CONCAT(Table1[[#This Row],[Billing Street]], ", ", Table1[[#This Row],[Billing City]], ", ", Table1[[#This Row],[Billing State/Province]], ", ", Table1[[#This Row],[Billing Zip/Postal Code]])</f>
        <v>1102 Main St, Gowrie, IA, 50543</v>
      </c>
    </row>
    <row r="4695" spans="1:13" ht="15.6" hidden="1" x14ac:dyDescent="0.3">
      <c r="A4695" s="1" t="s">
        <v>13592</v>
      </c>
      <c r="B4695" s="1"/>
      <c r="C4695" s="1"/>
      <c r="D4695" s="1"/>
      <c r="E4695" s="1"/>
      <c r="F4695" s="1"/>
      <c r="G4695" s="1" t="s">
        <v>43</v>
      </c>
      <c r="H4695" s="2">
        <v>5776</v>
      </c>
      <c r="I4695" s="1" t="s">
        <v>13</v>
      </c>
      <c r="J4695" s="1" t="s">
        <v>13</v>
      </c>
      <c r="K4695" s="1" t="s">
        <v>95</v>
      </c>
      <c r="L4695" s="1" t="s">
        <v>13</v>
      </c>
      <c r="M4695" s="6" t="str">
        <f>_xlfn.CONCAT(Table1[[#This Row],[Billing Street]], ", ", Table1[[#This Row],[Billing City]], ", ", Table1[[#This Row],[Billing State/Province]], ", ", Table1[[#This Row],[Billing Zip/Postal Code]])</f>
        <v xml:space="preserve">, , MA, </v>
      </c>
    </row>
    <row r="4696" spans="1:13" ht="15.6" hidden="1" x14ac:dyDescent="0.3">
      <c r="A4696" s="1" t="s">
        <v>13593</v>
      </c>
      <c r="B4696" s="1"/>
      <c r="C4696" s="1"/>
      <c r="D4696" s="1"/>
      <c r="E4696" s="1"/>
      <c r="F4696" s="1"/>
      <c r="G4696" s="1" t="s">
        <v>8</v>
      </c>
      <c r="H4696" s="2">
        <v>368</v>
      </c>
      <c r="I4696" s="1" t="s">
        <v>13594</v>
      </c>
      <c r="J4696" s="1" t="s">
        <v>13595</v>
      </c>
      <c r="K4696" s="1" t="s">
        <v>21</v>
      </c>
      <c r="L4696" s="1" t="s">
        <v>13596</v>
      </c>
      <c r="M4696" s="6" t="str">
        <f>_xlfn.CONCAT(Table1[[#This Row],[Billing Street]], ", ", Table1[[#This Row],[Billing City]], ", ", Table1[[#This Row],[Billing State/Province]], ", ", Table1[[#This Row],[Billing Zip/Postal Code]])</f>
        <v>325 Main St, Farnhamville, IA, 50538</v>
      </c>
    </row>
    <row r="4697" spans="1:13" ht="15.6" hidden="1" x14ac:dyDescent="0.3">
      <c r="A4697" s="1" t="s">
        <v>13597</v>
      </c>
      <c r="B4697" s="1"/>
      <c r="C4697" s="1"/>
      <c r="D4697" s="1"/>
      <c r="E4697" s="1"/>
      <c r="F4697" s="1"/>
      <c r="G4697" s="1" t="s">
        <v>54</v>
      </c>
      <c r="H4697" s="2">
        <v>411</v>
      </c>
      <c r="I4697" s="1" t="s">
        <v>13598</v>
      </c>
      <c r="J4697" s="1" t="s">
        <v>1399</v>
      </c>
      <c r="K4697" s="1" t="s">
        <v>57</v>
      </c>
      <c r="L4697" s="1" t="s">
        <v>13599</v>
      </c>
      <c r="M4697" s="6" t="str">
        <f>_xlfn.CONCAT(Table1[[#This Row],[Billing Street]], ", ", Table1[[#This Row],[Billing City]], ", ", Table1[[#This Row],[Billing State/Province]], ", ", Table1[[#This Row],[Billing Zip/Postal Code]])</f>
        <v>11756 Socrates Mine Road, Middletown, CA, 95461</v>
      </c>
    </row>
    <row r="4698" spans="1:13" ht="15.6" hidden="1" x14ac:dyDescent="0.3">
      <c r="A4698" s="1" t="s">
        <v>13600</v>
      </c>
      <c r="B4698" s="1"/>
      <c r="C4698" s="1"/>
      <c r="D4698" s="1"/>
      <c r="E4698" s="1"/>
      <c r="F4698" s="1"/>
      <c r="G4698" s="1" t="s">
        <v>43</v>
      </c>
      <c r="H4698" s="2">
        <v>5776</v>
      </c>
      <c r="I4698" s="1" t="s">
        <v>13</v>
      </c>
      <c r="J4698" s="1" t="s">
        <v>13</v>
      </c>
      <c r="K4698" s="1" t="s">
        <v>95</v>
      </c>
      <c r="L4698" s="1" t="s">
        <v>13</v>
      </c>
      <c r="M4698" s="6" t="str">
        <f>_xlfn.CONCAT(Table1[[#This Row],[Billing Street]], ", ", Table1[[#This Row],[Billing City]], ", ", Table1[[#This Row],[Billing State/Province]], ", ", Table1[[#This Row],[Billing Zip/Postal Code]])</f>
        <v xml:space="preserve">, , MA, </v>
      </c>
    </row>
    <row r="4699" spans="1:13" ht="15.6" x14ac:dyDescent="0.3">
      <c r="A4699" s="1" t="s">
        <v>13601</v>
      </c>
      <c r="B4699" s="1"/>
      <c r="C4699" s="1"/>
      <c r="D4699" s="1"/>
      <c r="E4699" s="1"/>
      <c r="F4699" s="1"/>
      <c r="G4699" s="1" t="s">
        <v>24</v>
      </c>
      <c r="H4699" s="2">
        <v>5988</v>
      </c>
      <c r="I4699" s="1" t="s">
        <v>13602</v>
      </c>
      <c r="J4699" s="1" t="s">
        <v>3051</v>
      </c>
      <c r="K4699" s="1" t="s">
        <v>951</v>
      </c>
      <c r="L4699" s="1" t="s">
        <v>3052</v>
      </c>
      <c r="M4699" s="6" t="str">
        <f>_xlfn.CONCAT(Table1[[#This Row],[Billing Street]], ", ", Table1[[#This Row],[Billing City]], ", ", Table1[[#This Row],[Billing State/Province]], ", ", Table1[[#This Row],[Billing Zip/Postal Code]])</f>
        <v>129 Main Street North, Amory, Ms, 38821</v>
      </c>
    </row>
    <row r="4700" spans="1:13" ht="15.6" hidden="1" x14ac:dyDescent="0.3">
      <c r="A4700" s="1" t="s">
        <v>13603</v>
      </c>
      <c r="B4700" s="1"/>
      <c r="C4700" s="1"/>
      <c r="D4700" s="1"/>
      <c r="E4700" s="1"/>
      <c r="F4700" s="1"/>
      <c r="G4700" s="1" t="s">
        <v>43</v>
      </c>
      <c r="H4700" s="2">
        <v>547</v>
      </c>
      <c r="I4700" s="1" t="s">
        <v>13604</v>
      </c>
      <c r="J4700" s="1" t="s">
        <v>13605</v>
      </c>
      <c r="K4700" s="1" t="s">
        <v>95</v>
      </c>
      <c r="L4700" s="1" t="s">
        <v>13606</v>
      </c>
      <c r="M4700" s="6" t="str">
        <f>_xlfn.CONCAT(Table1[[#This Row],[Billing Street]], ", ", Table1[[#This Row],[Billing City]], ", ", Table1[[#This Row],[Billing State/Province]], ", ", Table1[[#This Row],[Billing Zip/Postal Code]])</f>
        <v>201 Warren St, Peabody, MA, 1960</v>
      </c>
    </row>
    <row r="4701" spans="1:13" ht="15.6" hidden="1" x14ac:dyDescent="0.3">
      <c r="A4701" s="1" t="s">
        <v>13607</v>
      </c>
      <c r="B4701" s="1"/>
      <c r="C4701" s="1"/>
      <c r="D4701" s="1"/>
      <c r="E4701" s="1"/>
      <c r="F4701" s="1"/>
      <c r="G4701" s="1" t="s">
        <v>43</v>
      </c>
      <c r="H4701" s="2">
        <v>544</v>
      </c>
      <c r="I4701" s="1" t="s">
        <v>13608</v>
      </c>
      <c r="J4701" s="1" t="s">
        <v>13609</v>
      </c>
      <c r="K4701" s="1" t="s">
        <v>95</v>
      </c>
      <c r="L4701" s="1" t="s">
        <v>13</v>
      </c>
      <c r="M4701" s="6" t="str">
        <f>_xlfn.CONCAT(Table1[[#This Row],[Billing Street]], ", ", Table1[[#This Row],[Billing City]], ", ", Table1[[#This Row],[Billing State/Province]], ", ", Table1[[#This Row],[Billing Zip/Postal Code]])</f>
        <v xml:space="preserve">150 Potter Rd., Braintree, MA, </v>
      </c>
    </row>
    <row r="4702" spans="1:13" ht="15.6" hidden="1" x14ac:dyDescent="0.3">
      <c r="A4702" s="1" t="s">
        <v>13610</v>
      </c>
      <c r="B4702" s="1"/>
      <c r="C4702" s="1"/>
      <c r="D4702" s="1"/>
      <c r="E4702" s="1"/>
      <c r="F4702" s="1"/>
      <c r="G4702" s="1" t="s">
        <v>43</v>
      </c>
      <c r="H4702" s="2">
        <v>5776</v>
      </c>
      <c r="I4702" s="1" t="s">
        <v>13611</v>
      </c>
      <c r="J4702" s="1" t="s">
        <v>2221</v>
      </c>
      <c r="K4702" s="1" t="s">
        <v>241</v>
      </c>
      <c r="L4702" s="1" t="s">
        <v>13612</v>
      </c>
      <c r="M4702" s="6" t="str">
        <f>_xlfn.CONCAT(Table1[[#This Row],[Billing Street]], ", ", Table1[[#This Row],[Billing City]], ", ", Table1[[#This Row],[Billing State/Province]], ", ", Table1[[#This Row],[Billing Zip/Postal Code]])</f>
        <v>661 Andersen Drive, Pittsburgh, PA, 15220</v>
      </c>
    </row>
    <row r="4703" spans="1:13" ht="15.6" x14ac:dyDescent="0.3">
      <c r="A4703" s="1" t="s">
        <v>13613</v>
      </c>
      <c r="B4703" s="1"/>
      <c r="C4703" s="1"/>
      <c r="D4703" s="1"/>
      <c r="E4703" s="1"/>
      <c r="F4703" s="1"/>
      <c r="G4703" s="1" t="s">
        <v>24</v>
      </c>
      <c r="H4703" s="2">
        <v>5988</v>
      </c>
      <c r="I4703" s="1" t="s">
        <v>13</v>
      </c>
      <c r="J4703" s="1" t="s">
        <v>1699</v>
      </c>
      <c r="K4703" s="1" t="s">
        <v>36</v>
      </c>
      <c r="L4703" s="1" t="s">
        <v>13</v>
      </c>
      <c r="M4703" s="6" t="str">
        <f>_xlfn.CONCAT(Table1[[#This Row],[Billing Street]], ", ", Table1[[#This Row],[Billing City]], ", ", Table1[[#This Row],[Billing State/Province]], ", ", Table1[[#This Row],[Billing Zip/Postal Code]])</f>
        <v xml:space="preserve">, Panama City, FL, </v>
      </c>
    </row>
    <row r="4704" spans="1:13" ht="15.6" hidden="1" x14ac:dyDescent="0.3">
      <c r="A4704" s="1" t="s">
        <v>13614</v>
      </c>
      <c r="B4704" s="1"/>
      <c r="C4704" s="1"/>
      <c r="D4704" s="1"/>
      <c r="E4704" s="1"/>
      <c r="F4704" s="1"/>
      <c r="G4704" s="1" t="s">
        <v>43</v>
      </c>
      <c r="H4704" s="2">
        <v>452</v>
      </c>
      <c r="I4704" s="1" t="s">
        <v>13615</v>
      </c>
      <c r="J4704" s="1" t="s">
        <v>13155</v>
      </c>
      <c r="K4704" s="1" t="s">
        <v>95</v>
      </c>
      <c r="L4704" s="1" t="s">
        <v>13616</v>
      </c>
      <c r="M4704" s="6" t="str">
        <f>_xlfn.CONCAT(Table1[[#This Row],[Billing Street]], ", ", Table1[[#This Row],[Billing City]], ", ", Table1[[#This Row],[Billing State/Province]], ", ", Table1[[#This Row],[Billing Zip/Postal Code]])</f>
        <v>100 Elm St., Westfield, MA, 1086</v>
      </c>
    </row>
    <row r="4705" spans="1:13" ht="15.6" hidden="1" x14ac:dyDescent="0.3">
      <c r="A4705" s="1" t="s">
        <v>13617</v>
      </c>
      <c r="B4705" s="1"/>
      <c r="C4705" s="1"/>
      <c r="D4705" s="1"/>
      <c r="E4705" s="1"/>
      <c r="F4705" s="1"/>
      <c r="G4705" s="1" t="s">
        <v>43</v>
      </c>
      <c r="H4705" s="2">
        <v>5776</v>
      </c>
      <c r="I4705" s="1" t="s">
        <v>13</v>
      </c>
      <c r="J4705" s="1" t="s">
        <v>13</v>
      </c>
      <c r="K4705" s="1" t="s">
        <v>95</v>
      </c>
      <c r="L4705" s="1" t="s">
        <v>13</v>
      </c>
      <c r="M4705" s="6" t="str">
        <f>_xlfn.CONCAT(Table1[[#This Row],[Billing Street]], ", ", Table1[[#This Row],[Billing City]], ", ", Table1[[#This Row],[Billing State/Province]], ", ", Table1[[#This Row],[Billing Zip/Postal Code]])</f>
        <v xml:space="preserve">, , MA, </v>
      </c>
    </row>
    <row r="4706" spans="1:13" ht="15.6" hidden="1" x14ac:dyDescent="0.3">
      <c r="A4706" s="1" t="s">
        <v>13618</v>
      </c>
      <c r="B4706" s="1"/>
      <c r="C4706" s="1"/>
      <c r="D4706" s="1"/>
      <c r="E4706" s="1"/>
      <c r="F4706" s="1"/>
      <c r="G4706" s="1" t="s">
        <v>43</v>
      </c>
      <c r="H4706" s="2">
        <v>551</v>
      </c>
      <c r="I4706" s="1" t="s">
        <v>13619</v>
      </c>
      <c r="J4706" s="1" t="s">
        <v>13620</v>
      </c>
      <c r="K4706" s="1" t="s">
        <v>95</v>
      </c>
      <c r="L4706" s="1" t="s">
        <v>13621</v>
      </c>
      <c r="M4706" s="6" t="str">
        <f>_xlfn.CONCAT(Table1[[#This Row],[Billing Street]], ", ", Table1[[#This Row],[Billing City]], ", ", Table1[[#This Row],[Billing State/Province]], ", ", Table1[[#This Row],[Billing Zip/Postal Code]])</f>
        <v>80 Commerce St., Marblehead, MA, 1945</v>
      </c>
    </row>
    <row r="4707" spans="1:13" ht="15.6" hidden="1" x14ac:dyDescent="0.3">
      <c r="A4707" s="1" t="s">
        <v>13622</v>
      </c>
      <c r="B4707" s="1"/>
      <c r="C4707" s="1"/>
      <c r="D4707" s="1"/>
      <c r="E4707" s="1"/>
      <c r="F4707" s="1"/>
      <c r="G4707" s="1" t="s">
        <v>8</v>
      </c>
      <c r="H4707" s="2">
        <v>100</v>
      </c>
      <c r="I4707" s="1" t="s">
        <v>13623</v>
      </c>
      <c r="J4707" s="1" t="s">
        <v>11026</v>
      </c>
      <c r="K4707" s="1" t="s">
        <v>11</v>
      </c>
      <c r="L4707" s="1" t="s">
        <v>8340</v>
      </c>
      <c r="M4707" s="6" t="str">
        <f>_xlfn.CONCAT(Table1[[#This Row],[Billing Street]], ", ", Table1[[#This Row],[Billing City]], ", ", Table1[[#This Row],[Billing State/Province]], ", ", Table1[[#This Row],[Billing Zip/Postal Code]])</f>
        <v>319 E Dallas, Mount Vernon, MO, 65712</v>
      </c>
    </row>
    <row r="4708" spans="1:13" ht="15.6" hidden="1" x14ac:dyDescent="0.3">
      <c r="A4708" s="1" t="s">
        <v>13624</v>
      </c>
      <c r="B4708" s="1"/>
      <c r="C4708" s="1"/>
      <c r="D4708" s="1"/>
      <c r="E4708" s="1"/>
      <c r="F4708" s="1"/>
      <c r="G4708" s="1" t="s">
        <v>43</v>
      </c>
      <c r="H4708" s="2">
        <v>546</v>
      </c>
      <c r="I4708" s="1" t="s">
        <v>13625</v>
      </c>
      <c r="J4708" s="1" t="s">
        <v>13626</v>
      </c>
      <c r="K4708" s="1" t="s">
        <v>95</v>
      </c>
      <c r="L4708" s="1" t="s">
        <v>13627</v>
      </c>
      <c r="M4708" s="6" t="str">
        <f>_xlfn.CONCAT(Table1[[#This Row],[Billing Street]], ", ", Table1[[#This Row],[Billing City]], ", ", Table1[[#This Row],[Billing State/Province]], ", ", Table1[[#This Row],[Billing Zip/Postal Code]])</f>
        <v>302 Weymouth Street, Rockland, MA, 2370</v>
      </c>
    </row>
    <row r="4709" spans="1:13" ht="15.6" x14ac:dyDescent="0.3">
      <c r="A4709" s="1" t="s">
        <v>13628</v>
      </c>
      <c r="B4709" s="1"/>
      <c r="C4709" s="1"/>
      <c r="D4709" s="1"/>
      <c r="E4709" s="1"/>
      <c r="F4709" s="1"/>
      <c r="G4709" s="1" t="s">
        <v>24</v>
      </c>
      <c r="H4709" s="2">
        <v>282</v>
      </c>
      <c r="I4709" s="1" t="s">
        <v>13629</v>
      </c>
      <c r="J4709" s="1" t="s">
        <v>3716</v>
      </c>
      <c r="K4709" s="1" t="s">
        <v>31</v>
      </c>
      <c r="L4709" s="1" t="s">
        <v>13630</v>
      </c>
      <c r="M4709" s="6" t="str">
        <f>_xlfn.CONCAT(Table1[[#This Row],[Billing Street]], ", ", Table1[[#This Row],[Billing City]], ", ", Table1[[#This Row],[Billing State/Province]], ", ", Table1[[#This Row],[Billing Zip/Postal Code]])</f>
        <v>491 Bowling Green Road, Lexington, MS, 39095</v>
      </c>
    </row>
    <row r="4710" spans="1:13" ht="15.6" hidden="1" x14ac:dyDescent="0.3">
      <c r="A4710" s="1" t="s">
        <v>13631</v>
      </c>
      <c r="B4710" s="1"/>
      <c r="C4710" s="1"/>
      <c r="D4710" s="1"/>
      <c r="E4710" s="1"/>
      <c r="F4710" s="1"/>
      <c r="G4710" s="1" t="s">
        <v>43</v>
      </c>
      <c r="H4710" s="2">
        <v>514</v>
      </c>
      <c r="I4710" s="1" t="s">
        <v>13632</v>
      </c>
      <c r="J4710" s="1" t="s">
        <v>4465</v>
      </c>
      <c r="K4710" s="1" t="s">
        <v>95</v>
      </c>
      <c r="L4710" s="1" t="s">
        <v>13633</v>
      </c>
      <c r="M4710" s="6" t="str">
        <f>_xlfn.CONCAT(Table1[[#This Row],[Billing Street]], ", ", Table1[[#This Row],[Billing City]], ", ", Table1[[#This Row],[Billing State/Province]], ", ", Table1[[#This Row],[Billing Zip/Postal Code]])</f>
        <v>49 Forest Ave, Hudson, MA, 1749</v>
      </c>
    </row>
    <row r="4711" spans="1:13" ht="15.6" hidden="1" x14ac:dyDescent="0.3">
      <c r="A4711" s="1" t="s">
        <v>13634</v>
      </c>
      <c r="B4711" s="1"/>
      <c r="C4711" s="1"/>
      <c r="D4711" s="1"/>
      <c r="E4711" s="1"/>
      <c r="F4711" s="1"/>
      <c r="G4711" s="1" t="s">
        <v>43</v>
      </c>
      <c r="H4711" s="2">
        <v>517</v>
      </c>
      <c r="I4711" s="1" t="s">
        <v>13635</v>
      </c>
      <c r="J4711" s="1" t="s">
        <v>12718</v>
      </c>
      <c r="K4711" s="1" t="s">
        <v>95</v>
      </c>
      <c r="L4711" s="1" t="s">
        <v>13636</v>
      </c>
      <c r="M4711" s="6" t="str">
        <f>_xlfn.CONCAT(Table1[[#This Row],[Billing Street]], ", ", Table1[[#This Row],[Billing City]], ", ", Table1[[#This Row],[Billing State/Province]], ", ", Table1[[#This Row],[Billing Zip/Postal Code]])</f>
        <v>39 Ayer St., Littleton, MA, 1460</v>
      </c>
    </row>
    <row r="4712" spans="1:13" ht="15.6" hidden="1" x14ac:dyDescent="0.3">
      <c r="A4712" s="1" t="s">
        <v>13637</v>
      </c>
      <c r="B4712" s="1"/>
      <c r="C4712" s="1"/>
      <c r="D4712" s="1"/>
      <c r="E4712" s="1"/>
      <c r="F4712" s="1"/>
      <c r="G4712" s="1" t="s">
        <v>43</v>
      </c>
      <c r="H4712" s="2">
        <v>220</v>
      </c>
      <c r="I4712" s="1" t="s">
        <v>13638</v>
      </c>
      <c r="J4712" s="1" t="s">
        <v>1203</v>
      </c>
      <c r="K4712" s="1" t="s">
        <v>45</v>
      </c>
      <c r="L4712" s="1" t="s">
        <v>13639</v>
      </c>
      <c r="M4712" s="6" t="str">
        <f>_xlfn.CONCAT(Table1[[#This Row],[Billing Street]], ", ", Table1[[#This Row],[Billing City]], ", ", Table1[[#This Row],[Billing State/Province]], ", ", Table1[[#This Row],[Billing Zip/Postal Code]])</f>
        <v>3852 Cincinnati Brookville Road, Hamilton, OH, 45013</v>
      </c>
    </row>
    <row r="4713" spans="1:13" ht="15.6" hidden="1" x14ac:dyDescent="0.3">
      <c r="A4713" s="1" t="s">
        <v>13640</v>
      </c>
      <c r="B4713" s="1"/>
      <c r="C4713" s="1"/>
      <c r="D4713" s="1"/>
      <c r="E4713" s="1"/>
      <c r="F4713" s="1"/>
      <c r="G4713" s="1" t="s">
        <v>43</v>
      </c>
      <c r="H4713" s="2">
        <v>117</v>
      </c>
      <c r="I4713" s="1" t="s">
        <v>13641</v>
      </c>
      <c r="J4713" s="1" t="s">
        <v>1770</v>
      </c>
      <c r="K4713" s="1" t="s">
        <v>45</v>
      </c>
      <c r="L4713" s="1" t="s">
        <v>1771</v>
      </c>
      <c r="M4713" s="6" t="str">
        <f>_xlfn.CONCAT(Table1[[#This Row],[Billing Street]], ", ", Table1[[#This Row],[Billing City]], ", ", Table1[[#This Row],[Billing State/Province]], ", ", Table1[[#This Row],[Billing Zip/Postal Code]])</f>
        <v>1343 Greenwood Street, Findlay, OH, 45840</v>
      </c>
    </row>
    <row r="4714" spans="1:13" ht="15.6" hidden="1" x14ac:dyDescent="0.3">
      <c r="A4714" s="1" t="s">
        <v>13642</v>
      </c>
      <c r="B4714" s="1"/>
      <c r="C4714" s="1"/>
      <c r="D4714" s="1"/>
      <c r="E4714" s="1"/>
      <c r="F4714" s="1"/>
      <c r="G4714" s="1" t="s">
        <v>43</v>
      </c>
      <c r="H4714" s="2">
        <v>5776</v>
      </c>
      <c r="I4714" s="1" t="s">
        <v>13</v>
      </c>
      <c r="J4714" s="1" t="s">
        <v>13</v>
      </c>
      <c r="K4714" s="1" t="s">
        <v>95</v>
      </c>
      <c r="L4714" s="1" t="s">
        <v>13</v>
      </c>
      <c r="M4714" s="6" t="str">
        <f>_xlfn.CONCAT(Table1[[#This Row],[Billing Street]], ", ", Table1[[#This Row],[Billing City]], ", ", Table1[[#This Row],[Billing State/Province]], ", ", Table1[[#This Row],[Billing Zip/Postal Code]])</f>
        <v xml:space="preserve">, , MA, </v>
      </c>
    </row>
    <row r="4715" spans="1:13" ht="15.6" hidden="1" x14ac:dyDescent="0.3">
      <c r="A4715" s="1" t="s">
        <v>13643</v>
      </c>
      <c r="B4715" s="1"/>
      <c r="C4715" s="1"/>
      <c r="D4715" s="1"/>
      <c r="E4715" s="1"/>
      <c r="F4715" s="1"/>
      <c r="G4715" s="1" t="s">
        <v>43</v>
      </c>
      <c r="H4715" s="2">
        <v>5776</v>
      </c>
      <c r="I4715" s="1" t="s">
        <v>13644</v>
      </c>
      <c r="J4715" s="1" t="s">
        <v>13645</v>
      </c>
      <c r="K4715" s="1" t="s">
        <v>1154</v>
      </c>
      <c r="L4715" s="1" t="s">
        <v>13646</v>
      </c>
      <c r="M4715" s="6" t="str">
        <f>_xlfn.CONCAT(Table1[[#This Row],[Billing Street]], ", ", Table1[[#This Row],[Billing City]], ", ", Table1[[#This Row],[Billing State/Province]], ", ", Table1[[#This Row],[Billing Zip/Postal Code]])</f>
        <v>300 cedar Ave, Croydon, Pa, 19021</v>
      </c>
    </row>
    <row r="4716" spans="1:13" ht="15.6" x14ac:dyDescent="0.3">
      <c r="A4716" s="1" t="s">
        <v>13647</v>
      </c>
      <c r="B4716" s="1"/>
      <c r="C4716" s="1"/>
      <c r="D4716" s="1"/>
      <c r="E4716" s="1"/>
      <c r="F4716" s="1"/>
      <c r="G4716" s="1" t="s">
        <v>24</v>
      </c>
      <c r="H4716" s="2">
        <v>315</v>
      </c>
      <c r="I4716" s="1" t="s">
        <v>13648</v>
      </c>
      <c r="J4716" s="1" t="s">
        <v>13649</v>
      </c>
      <c r="K4716" s="1" t="s">
        <v>36</v>
      </c>
      <c r="L4716" s="1" t="s">
        <v>13650</v>
      </c>
      <c r="M4716" s="6" t="str">
        <f>_xlfn.CONCAT(Table1[[#This Row],[Billing Street]], ", ", Table1[[#This Row],[Billing City]], ", ", Table1[[#This Row],[Billing State/Province]], ", ", Table1[[#This Row],[Billing Zip/Postal Code]])</f>
        <v>5300 Center Dr, Lake Buena Vista, FL, 32830</v>
      </c>
    </row>
    <row r="4717" spans="1:13" ht="15.6" hidden="1" x14ac:dyDescent="0.3">
      <c r="A4717" s="1" t="s">
        <v>13651</v>
      </c>
      <c r="B4717" s="1"/>
      <c r="C4717" s="1"/>
      <c r="D4717" s="1"/>
      <c r="E4717" s="1"/>
      <c r="F4717" s="1"/>
      <c r="G4717" s="1" t="s">
        <v>43</v>
      </c>
      <c r="H4717" s="2">
        <v>505</v>
      </c>
      <c r="I4717" s="1" t="s">
        <v>13652</v>
      </c>
      <c r="J4717" s="1" t="s">
        <v>12958</v>
      </c>
      <c r="K4717" s="1" t="s">
        <v>95</v>
      </c>
      <c r="L4717" s="1" t="s">
        <v>12959</v>
      </c>
      <c r="M4717" s="6" t="str">
        <f>_xlfn.CONCAT(Table1[[#This Row],[Billing Street]], ", ", Table1[[#This Row],[Billing City]], ", ", Table1[[#This Row],[Billing State/Province]], ", ", Table1[[#This Row],[Billing Zip/Postal Code]])</f>
        <v>100 Maple Ave, Shrewsbury, MA, 1545</v>
      </c>
    </row>
    <row r="4718" spans="1:13" ht="15.6" hidden="1" x14ac:dyDescent="0.3">
      <c r="A4718" s="1" t="s">
        <v>13653</v>
      </c>
      <c r="B4718" s="1"/>
      <c r="C4718" s="1"/>
      <c r="D4718" s="1"/>
      <c r="E4718" s="1"/>
      <c r="F4718" s="1"/>
      <c r="G4718" s="1" t="s">
        <v>43</v>
      </c>
      <c r="H4718" s="2">
        <v>523</v>
      </c>
      <c r="I4718" s="1" t="s">
        <v>13654</v>
      </c>
      <c r="J4718" s="1" t="s">
        <v>160</v>
      </c>
      <c r="K4718" s="1" t="s">
        <v>95</v>
      </c>
      <c r="L4718" s="1" t="s">
        <v>6540</v>
      </c>
      <c r="M4718" s="6" t="str">
        <f>_xlfn.CONCAT(Table1[[#This Row],[Billing Street]], ", ", Table1[[#This Row],[Billing City]], ", ", Table1[[#This Row],[Billing State/Province]], ", ", Table1[[#This Row],[Billing Zip/Postal Code]])</f>
        <v>1175 Elm St., Concord, MA, 1742</v>
      </c>
    </row>
    <row r="4719" spans="1:13" ht="15.6" x14ac:dyDescent="0.3">
      <c r="A4719" s="1" t="s">
        <v>13655</v>
      </c>
      <c r="B4719" s="1"/>
      <c r="C4719" s="1"/>
      <c r="D4719" s="1"/>
      <c r="E4719" s="1"/>
      <c r="F4719" s="1"/>
      <c r="G4719" s="1" t="s">
        <v>24</v>
      </c>
      <c r="H4719" s="2">
        <v>189</v>
      </c>
      <c r="I4719" s="1" t="s">
        <v>13656</v>
      </c>
      <c r="J4719" s="1" t="s">
        <v>1831</v>
      </c>
      <c r="K4719" s="1" t="s">
        <v>31</v>
      </c>
      <c r="L4719" s="1" t="s">
        <v>4064</v>
      </c>
      <c r="M4719" s="6" t="str">
        <f>_xlfn.CONCAT(Table1[[#This Row],[Billing Street]], ", ", Table1[[#This Row],[Billing City]], ", ", Table1[[#This Row],[Billing State/Province]], ", ", Table1[[#This Row],[Billing Zip/Postal Code]])</f>
        <v>1001 S. 4th Avenue, Laurel, MS, 39440</v>
      </c>
    </row>
    <row r="4720" spans="1:13" ht="15.6" hidden="1" x14ac:dyDescent="0.3">
      <c r="A4720" s="1" t="s">
        <v>13657</v>
      </c>
      <c r="B4720" s="1"/>
      <c r="C4720" s="1"/>
      <c r="D4720" s="1"/>
      <c r="E4720" s="1"/>
      <c r="F4720" s="1"/>
      <c r="G4720" s="1" t="s">
        <v>54</v>
      </c>
      <c r="H4720" s="2">
        <v>9</v>
      </c>
      <c r="I4720" s="1" t="s">
        <v>13658</v>
      </c>
      <c r="J4720" s="1" t="s">
        <v>5074</v>
      </c>
      <c r="K4720" s="1" t="s">
        <v>57</v>
      </c>
      <c r="L4720" s="1" t="s">
        <v>13659</v>
      </c>
      <c r="M4720" s="6" t="str">
        <f>_xlfn.CONCAT(Table1[[#This Row],[Billing Street]], ", ", Table1[[#This Row],[Billing City]], ", ", Table1[[#This Row],[Billing State/Province]], ", ", Table1[[#This Row],[Billing Zip/Postal Code]])</f>
        <v>311 West Mountain St, Pasadena, CA, 91109</v>
      </c>
    </row>
    <row r="4721" spans="1:13" ht="15.6" hidden="1" x14ac:dyDescent="0.3">
      <c r="A4721" s="1" t="s">
        <v>13660</v>
      </c>
      <c r="B4721" s="1"/>
      <c r="C4721" s="1"/>
      <c r="D4721" s="1"/>
      <c r="E4721" s="1"/>
      <c r="F4721" s="1"/>
      <c r="G4721" s="1" t="s">
        <v>8</v>
      </c>
      <c r="H4721" s="2">
        <v>186</v>
      </c>
      <c r="I4721" s="1" t="s">
        <v>13661</v>
      </c>
      <c r="J4721" s="1" t="s">
        <v>9262</v>
      </c>
      <c r="K4721" s="1" t="s">
        <v>165</v>
      </c>
      <c r="L4721" s="1" t="s">
        <v>13662</v>
      </c>
      <c r="M4721" s="6" t="str">
        <f>_xlfn.CONCAT(Table1[[#This Row],[Billing Street]], ", ", Table1[[#This Row],[Billing City]], ", ", Table1[[#This Row],[Billing State/Province]], ", ", Table1[[#This Row],[Billing Zip/Postal Code]])</f>
        <v>515 Janssen Ave., Mena, AR, 71953</v>
      </c>
    </row>
    <row r="4722" spans="1:13" ht="15.6" hidden="1" x14ac:dyDescent="0.3">
      <c r="A4722" s="1" t="s">
        <v>13663</v>
      </c>
      <c r="B4722" s="1"/>
      <c r="C4722" s="1"/>
      <c r="D4722" s="1"/>
      <c r="E4722" s="1"/>
      <c r="F4722" s="1"/>
      <c r="G4722" s="1" t="s">
        <v>8</v>
      </c>
      <c r="H4722" s="2">
        <v>6528</v>
      </c>
      <c r="I4722" s="1" t="s">
        <v>13</v>
      </c>
      <c r="J4722" s="1" t="s">
        <v>590</v>
      </c>
      <c r="K4722" s="1" t="s">
        <v>165</v>
      </c>
      <c r="L4722" s="1" t="s">
        <v>13</v>
      </c>
      <c r="M4722" s="6" t="str">
        <f>_xlfn.CONCAT(Table1[[#This Row],[Billing Street]], ", ", Table1[[#This Row],[Billing City]], ", ", Table1[[#This Row],[Billing State/Province]], ", ", Table1[[#This Row],[Billing Zip/Postal Code]])</f>
        <v xml:space="preserve">, Fayetville, AR, </v>
      </c>
    </row>
    <row r="4723" spans="1:13" ht="15.6" hidden="1" x14ac:dyDescent="0.3">
      <c r="A4723" s="1" t="s">
        <v>13664</v>
      </c>
      <c r="B4723" s="1"/>
      <c r="C4723" s="1"/>
      <c r="D4723" s="1"/>
      <c r="E4723" s="1"/>
      <c r="F4723" s="1"/>
      <c r="G4723" s="1" t="s">
        <v>8</v>
      </c>
      <c r="H4723" s="2">
        <v>162</v>
      </c>
      <c r="I4723" s="1" t="s">
        <v>13665</v>
      </c>
      <c r="J4723" s="1" t="s">
        <v>3110</v>
      </c>
      <c r="K4723" s="1" t="s">
        <v>554</v>
      </c>
      <c r="L4723" s="1" t="s">
        <v>3111</v>
      </c>
      <c r="M4723" s="6" t="str">
        <f>_xlfn.CONCAT(Table1[[#This Row],[Billing Street]], ", ", Table1[[#This Row],[Billing City]], ", ", Table1[[#This Row],[Billing State/Province]], ", ", Table1[[#This Row],[Billing Zip/Postal Code]])</f>
        <v>320 Scott Ave, Salina, KS, 67401</v>
      </c>
    </row>
    <row r="4724" spans="1:13" ht="15.6" x14ac:dyDescent="0.3">
      <c r="A4724" s="1" t="s">
        <v>13666</v>
      </c>
      <c r="B4724" s="1"/>
      <c r="C4724" s="1"/>
      <c r="D4724" s="1"/>
      <c r="E4724" s="1"/>
      <c r="F4724" s="1"/>
      <c r="G4724" s="1" t="s">
        <v>24</v>
      </c>
      <c r="H4724" s="2">
        <v>37</v>
      </c>
      <c r="I4724" s="1" t="s">
        <v>13667</v>
      </c>
      <c r="J4724" s="1" t="s">
        <v>4853</v>
      </c>
      <c r="K4724" s="1" t="s">
        <v>36</v>
      </c>
      <c r="L4724" s="1" t="s">
        <v>1532</v>
      </c>
      <c r="M4724" s="6" t="str">
        <f>_xlfn.CONCAT(Table1[[#This Row],[Billing Street]], ", ", Table1[[#This Row],[Billing City]], ", ", Table1[[#This Row],[Billing State/Province]], ", ", Table1[[#This Row],[Billing Zip/Postal Code]])</f>
        <v>4935, 58 Carson Dr NE, Fort Walton Beach, FL, 32548</v>
      </c>
    </row>
    <row r="4725" spans="1:13" ht="15.6" x14ac:dyDescent="0.3">
      <c r="A4725" s="1" t="s">
        <v>13668</v>
      </c>
      <c r="B4725" s="1"/>
      <c r="C4725" s="1"/>
      <c r="D4725" s="1"/>
      <c r="E4725" s="1"/>
      <c r="F4725" s="1"/>
      <c r="G4725" s="1" t="s">
        <v>24</v>
      </c>
      <c r="H4725" s="2">
        <v>202</v>
      </c>
      <c r="I4725" s="1" t="s">
        <v>13669</v>
      </c>
      <c r="J4725" s="1" t="s">
        <v>13670</v>
      </c>
      <c r="K4725" s="1" t="s">
        <v>26</v>
      </c>
      <c r="L4725" s="1" t="s">
        <v>13671</v>
      </c>
      <c r="M4725" s="6" t="str">
        <f>_xlfn.CONCAT(Table1[[#This Row],[Billing Street]], ", ", Table1[[#This Row],[Billing City]], ", ", Table1[[#This Row],[Billing State/Province]], ", ", Table1[[#This Row],[Billing Zip/Postal Code]])</f>
        <v>2533 Commerce Way, Tarrant, AL, 35217</v>
      </c>
    </row>
    <row r="4726" spans="1:13" ht="15.6" x14ac:dyDescent="0.3">
      <c r="A4726" s="1" t="s">
        <v>13672</v>
      </c>
      <c r="B4726" s="1"/>
      <c r="C4726" s="1"/>
      <c r="D4726" s="1"/>
      <c r="E4726" s="1"/>
      <c r="F4726" s="1"/>
      <c r="G4726" s="1" t="s">
        <v>24</v>
      </c>
      <c r="H4726" s="2">
        <v>5988</v>
      </c>
      <c r="I4726" s="1" t="s">
        <v>13673</v>
      </c>
      <c r="J4726" s="1" t="s">
        <v>824</v>
      </c>
      <c r="K4726" s="1" t="s">
        <v>26</v>
      </c>
      <c r="L4726" s="1" t="s">
        <v>825</v>
      </c>
      <c r="M4726" s="6" t="str">
        <f>_xlfn.CONCAT(Table1[[#This Row],[Billing Street]], ", ", Table1[[#This Row],[Billing City]], ", ", Table1[[#This Row],[Billing State/Province]], ", ", Table1[[#This Row],[Billing Zip/Postal Code]])</f>
        <v>1080 Sylacauga Fayetteville Hwy, Sylacauga, AL, 35151</v>
      </c>
    </row>
    <row r="4727" spans="1:13" ht="15.6" x14ac:dyDescent="0.3">
      <c r="A4727" s="1" t="s">
        <v>13674</v>
      </c>
      <c r="B4727" s="1"/>
      <c r="C4727" s="1"/>
      <c r="D4727" s="1"/>
      <c r="E4727" s="1"/>
      <c r="F4727" s="1"/>
      <c r="G4727" s="1" t="s">
        <v>24</v>
      </c>
      <c r="H4727" s="2">
        <v>294</v>
      </c>
      <c r="I4727" s="1" t="s">
        <v>13675</v>
      </c>
      <c r="J4727" s="1" t="s">
        <v>6687</v>
      </c>
      <c r="K4727" s="1" t="s">
        <v>26</v>
      </c>
      <c r="L4727" s="1" t="s">
        <v>6688</v>
      </c>
      <c r="M4727" s="6" t="str">
        <f>_xlfn.CONCAT(Table1[[#This Row],[Billing Street]], ", ", Table1[[#This Row],[Billing City]], ", ", Table1[[#This Row],[Billing State/Province]], ", ", Table1[[#This Row],[Billing Zip/Postal Code]])</f>
        <v>300 N Nashville Ave, Sheffield, AL, 35660</v>
      </c>
    </row>
    <row r="4728" spans="1:13" ht="15.6" hidden="1" x14ac:dyDescent="0.3">
      <c r="A4728" s="1" t="s">
        <v>13676</v>
      </c>
      <c r="B4728" s="1"/>
      <c r="C4728" s="1"/>
      <c r="D4728" s="1"/>
      <c r="E4728" s="1"/>
      <c r="F4728" s="1"/>
      <c r="G4728" s="1" t="s">
        <v>8</v>
      </c>
      <c r="H4728" s="2">
        <v>524</v>
      </c>
      <c r="I4728" s="1" t="s">
        <v>13677</v>
      </c>
      <c r="J4728" s="1" t="s">
        <v>13678</v>
      </c>
      <c r="K4728" s="1" t="s">
        <v>229</v>
      </c>
      <c r="L4728" s="1" t="s">
        <v>13679</v>
      </c>
      <c r="M4728" s="6" t="str">
        <f>_xlfn.CONCAT(Table1[[#This Row],[Billing Street]], ", ", Table1[[#This Row],[Billing City]], ", ", Table1[[#This Row],[Billing State/Province]], ", ", Table1[[#This Row],[Billing Zip/Postal Code]])</f>
        <v>40294 US-14, Huron, SD, 57350</v>
      </c>
    </row>
    <row r="4729" spans="1:13" ht="15.6" hidden="1" x14ac:dyDescent="0.3">
      <c r="A4729" s="1" t="s">
        <v>13680</v>
      </c>
      <c r="B4729" s="1"/>
      <c r="C4729" s="1"/>
      <c r="D4729" s="1"/>
      <c r="E4729" s="1"/>
      <c r="F4729" s="1"/>
      <c r="G4729" s="1" t="s">
        <v>43</v>
      </c>
      <c r="H4729" s="2">
        <v>5776</v>
      </c>
      <c r="I4729" s="1" t="s">
        <v>13</v>
      </c>
      <c r="J4729" s="1" t="s">
        <v>13</v>
      </c>
      <c r="K4729" s="1" t="s">
        <v>95</v>
      </c>
      <c r="L4729" s="1" t="s">
        <v>13</v>
      </c>
      <c r="M4729" s="6" t="str">
        <f>_xlfn.CONCAT(Table1[[#This Row],[Billing Street]], ", ", Table1[[#This Row],[Billing City]], ", ", Table1[[#This Row],[Billing State/Province]], ", ", Table1[[#This Row],[Billing Zip/Postal Code]])</f>
        <v xml:space="preserve">, , MA, </v>
      </c>
    </row>
    <row r="4730" spans="1:13" ht="15.6" hidden="1" x14ac:dyDescent="0.3">
      <c r="A4730" s="1" t="s">
        <v>13681</v>
      </c>
      <c r="B4730" s="1"/>
      <c r="C4730" s="1"/>
      <c r="D4730" s="1"/>
      <c r="E4730" s="1"/>
      <c r="F4730" s="1"/>
      <c r="G4730" s="1" t="s">
        <v>43</v>
      </c>
      <c r="H4730" s="2">
        <v>460</v>
      </c>
      <c r="I4730" s="1" t="s">
        <v>13682</v>
      </c>
      <c r="J4730" s="1" t="s">
        <v>13683</v>
      </c>
      <c r="K4730" s="1" t="s">
        <v>95</v>
      </c>
      <c r="L4730" s="1" t="s">
        <v>13684</v>
      </c>
      <c r="M4730" s="6" t="str">
        <f>_xlfn.CONCAT(Table1[[#This Row],[Billing Street]], ", ", Table1[[#This Row],[Billing City]], ", ", Table1[[#This Row],[Billing State/Province]], ", ", Table1[[#This Row],[Billing Zip/Postal Code]])</f>
        <v>85 Main St., South Hadley, MA, 1075</v>
      </c>
    </row>
    <row r="4731" spans="1:13" ht="15.6" hidden="1" x14ac:dyDescent="0.3">
      <c r="A4731" s="1" t="s">
        <v>13685</v>
      </c>
      <c r="B4731" s="1"/>
      <c r="C4731" s="1"/>
      <c r="D4731" s="1"/>
      <c r="E4731" s="1"/>
      <c r="F4731" s="1"/>
      <c r="G4731" s="1" t="s">
        <v>43</v>
      </c>
      <c r="H4731" s="2">
        <v>5776</v>
      </c>
      <c r="I4731" s="1" t="s">
        <v>13</v>
      </c>
      <c r="J4731" s="1" t="s">
        <v>13</v>
      </c>
      <c r="K4731" s="1" t="s">
        <v>95</v>
      </c>
      <c r="L4731" s="1" t="s">
        <v>13</v>
      </c>
      <c r="M4731" s="6" t="str">
        <f>_xlfn.CONCAT(Table1[[#This Row],[Billing Street]], ", ", Table1[[#This Row],[Billing City]], ", ", Table1[[#This Row],[Billing State/Province]], ", ", Table1[[#This Row],[Billing Zip/Postal Code]])</f>
        <v xml:space="preserve">, , MA, </v>
      </c>
    </row>
    <row r="4732" spans="1:13" ht="15.6" hidden="1" x14ac:dyDescent="0.3">
      <c r="A4732" s="1" t="s">
        <v>13686</v>
      </c>
      <c r="B4732" s="1"/>
      <c r="C4732" s="1"/>
      <c r="D4732" s="1"/>
      <c r="E4732" s="1"/>
      <c r="F4732" s="1"/>
      <c r="G4732" s="1" t="s">
        <v>43</v>
      </c>
      <c r="H4732" s="2">
        <v>5776</v>
      </c>
      <c r="I4732" s="1" t="s">
        <v>13</v>
      </c>
      <c r="J4732" s="1" t="s">
        <v>13</v>
      </c>
      <c r="K4732" s="1" t="s">
        <v>95</v>
      </c>
      <c r="L4732" s="1" t="s">
        <v>13</v>
      </c>
      <c r="M4732" s="6" t="str">
        <f>_xlfn.CONCAT(Table1[[#This Row],[Billing Street]], ", ", Table1[[#This Row],[Billing City]], ", ", Table1[[#This Row],[Billing State/Province]], ", ", Table1[[#This Row],[Billing Zip/Postal Code]])</f>
        <v xml:space="preserve">, , MA, </v>
      </c>
    </row>
    <row r="4733" spans="1:13" ht="15.6" hidden="1" x14ac:dyDescent="0.3">
      <c r="A4733" s="1" t="s">
        <v>13687</v>
      </c>
      <c r="B4733" s="1"/>
      <c r="C4733" s="1"/>
      <c r="D4733" s="1"/>
      <c r="E4733" s="1"/>
      <c r="F4733" s="1"/>
      <c r="G4733" s="1" t="s">
        <v>43</v>
      </c>
      <c r="H4733" s="2">
        <v>315</v>
      </c>
      <c r="I4733" s="1" t="s">
        <v>13688</v>
      </c>
      <c r="J4733" s="1" t="s">
        <v>13689</v>
      </c>
      <c r="K4733" s="1" t="s">
        <v>82</v>
      </c>
      <c r="L4733" s="1" t="s">
        <v>13690</v>
      </c>
      <c r="M4733" s="6" t="str">
        <f>_xlfn.CONCAT(Table1[[#This Row],[Billing Street]], ", ", Table1[[#This Row],[Billing City]], ", ", Table1[[#This Row],[Billing State/Province]], ", ", Table1[[#This Row],[Billing Zip/Postal Code]])</f>
        <v>5930 US Route 31 South, Grawn, MI, 49637</v>
      </c>
    </row>
    <row r="4734" spans="1:13" ht="15.6" hidden="1" x14ac:dyDescent="0.3">
      <c r="A4734" s="1" t="s">
        <v>13691</v>
      </c>
      <c r="B4734" s="1"/>
      <c r="C4734" s="1"/>
      <c r="D4734" s="1"/>
      <c r="E4734" s="1"/>
      <c r="F4734" s="1"/>
      <c r="G4734" s="1" t="s">
        <v>43</v>
      </c>
      <c r="H4734" s="2">
        <v>255</v>
      </c>
      <c r="I4734" s="1" t="s">
        <v>13692</v>
      </c>
      <c r="J4734" s="1" t="s">
        <v>13693</v>
      </c>
      <c r="K4734" s="1" t="s">
        <v>82</v>
      </c>
      <c r="L4734" s="1" t="s">
        <v>13694</v>
      </c>
      <c r="M4734" s="6" t="str">
        <f>_xlfn.CONCAT(Table1[[#This Row],[Billing Street]], ", ", Table1[[#This Row],[Billing City]], ", ", Table1[[#This Row],[Billing State/Province]], ", ", Table1[[#This Row],[Billing Zip/Postal Code]])</f>
        <v>350 E. Washington Avenue, Zeeland, MI, 49464</v>
      </c>
    </row>
    <row r="4735" spans="1:13" ht="15.6" hidden="1" x14ac:dyDescent="0.3">
      <c r="A4735" s="1" t="s">
        <v>13695</v>
      </c>
      <c r="B4735" s="1"/>
      <c r="C4735" s="1"/>
      <c r="D4735" s="1"/>
      <c r="E4735" s="1"/>
      <c r="F4735" s="1"/>
      <c r="G4735" s="1" t="s">
        <v>43</v>
      </c>
      <c r="H4735" s="2">
        <v>419</v>
      </c>
      <c r="I4735" s="1" t="s">
        <v>13696</v>
      </c>
      <c r="J4735" s="1" t="s">
        <v>13697</v>
      </c>
      <c r="K4735" s="1" t="s">
        <v>82</v>
      </c>
      <c r="L4735" s="1" t="s">
        <v>13698</v>
      </c>
      <c r="M4735" s="6" t="str">
        <f>_xlfn.CONCAT(Table1[[#This Row],[Billing Street]], ", ", Table1[[#This Row],[Billing City]], ", ", Table1[[#This Row],[Billing State/Province]], ", ", Table1[[#This Row],[Billing Zip/Postal Code]])</f>
        <v>W. 628 Samuel Street, Stephenson, MI, 49887</v>
      </c>
    </row>
    <row r="4736" spans="1:13" ht="15.6" hidden="1" x14ac:dyDescent="0.3">
      <c r="A4736" s="1" t="s">
        <v>13699</v>
      </c>
      <c r="B4736" s="1"/>
      <c r="C4736" s="1"/>
      <c r="D4736" s="1"/>
      <c r="E4736" s="1"/>
      <c r="F4736" s="1"/>
      <c r="G4736" s="1" t="s">
        <v>43</v>
      </c>
      <c r="H4736" s="2">
        <v>258</v>
      </c>
      <c r="I4736" s="1" t="s">
        <v>13700</v>
      </c>
      <c r="J4736" s="1" t="s">
        <v>13701</v>
      </c>
      <c r="K4736" s="1" t="s">
        <v>82</v>
      </c>
      <c r="L4736" s="1" t="s">
        <v>13702</v>
      </c>
      <c r="M4736" s="6" t="str">
        <f>_xlfn.CONCAT(Table1[[#This Row],[Billing Street]], ", ", Table1[[#This Row],[Billing City]], ", ", Table1[[#This Row],[Billing State/Province]], ", ", Table1[[#This Row],[Billing Zip/Postal Code]])</f>
        <v>1199 Eighth Avenue, South Haven, MI, 49090</v>
      </c>
    </row>
    <row r="4737" spans="1:13" ht="15.6" hidden="1" x14ac:dyDescent="0.3">
      <c r="A4737" s="1" t="s">
        <v>13703</v>
      </c>
      <c r="B4737" s="1"/>
      <c r="C4737" s="1"/>
      <c r="D4737" s="1"/>
      <c r="E4737" s="1"/>
      <c r="F4737" s="1"/>
      <c r="G4737" s="1" t="s">
        <v>205</v>
      </c>
      <c r="H4737" s="2">
        <v>281</v>
      </c>
      <c r="I4737" s="1" t="s">
        <v>13704</v>
      </c>
      <c r="J4737" s="1" t="s">
        <v>13705</v>
      </c>
      <c r="K4737" s="1" t="s">
        <v>266</v>
      </c>
      <c r="L4737" s="1" t="s">
        <v>13706</v>
      </c>
      <c r="M4737" s="6" t="str">
        <f>_xlfn.CONCAT(Table1[[#This Row],[Billing Street]], ", ", Table1[[#This Row],[Billing City]], ", ", Table1[[#This Row],[Billing State/Province]], ", ", Table1[[#This Row],[Billing Zip/Postal Code]])</f>
        <v>610 NM-195, Elephant Butte, NM 87935, Elephant Butte, NM, 87935</v>
      </c>
    </row>
    <row r="4738" spans="1:13" ht="15.6" hidden="1" x14ac:dyDescent="0.3">
      <c r="A4738" s="1" t="s">
        <v>13707</v>
      </c>
      <c r="B4738" s="1"/>
      <c r="C4738" s="1"/>
      <c r="D4738" s="1"/>
      <c r="E4738" s="1"/>
      <c r="F4738" s="1"/>
      <c r="G4738" s="1" t="s">
        <v>43</v>
      </c>
      <c r="H4738" s="2">
        <v>216</v>
      </c>
      <c r="I4738" s="1" t="s">
        <v>13708</v>
      </c>
      <c r="J4738" s="1" t="s">
        <v>13709</v>
      </c>
      <c r="K4738" s="1" t="s">
        <v>82</v>
      </c>
      <c r="L4738" s="1" t="s">
        <v>13710</v>
      </c>
      <c r="M4738" s="6" t="str">
        <f>_xlfn.CONCAT(Table1[[#This Row],[Billing Street]], ", ", Table1[[#This Row],[Billing City]], ", ", Table1[[#This Row],[Billing State/Province]], ", ", Table1[[#This Row],[Billing Zip/Postal Code]])</f>
        <v>701 Woodside Drive, Saint Louis, MI, 48880</v>
      </c>
    </row>
    <row r="4739" spans="1:13" ht="15.6" hidden="1" x14ac:dyDescent="0.3">
      <c r="A4739" s="1" t="s">
        <v>13711</v>
      </c>
      <c r="B4739" s="1"/>
      <c r="C4739" s="1"/>
      <c r="D4739" s="1"/>
      <c r="E4739" s="1"/>
      <c r="F4739" s="1"/>
      <c r="G4739" s="1" t="s">
        <v>8</v>
      </c>
      <c r="H4739" s="2">
        <v>91</v>
      </c>
      <c r="I4739" s="1" t="s">
        <v>13712</v>
      </c>
      <c r="J4739" s="1" t="s">
        <v>13713</v>
      </c>
      <c r="K4739" s="1" t="s">
        <v>147</v>
      </c>
      <c r="L4739" s="1" t="s">
        <v>13714</v>
      </c>
      <c r="M4739" s="6" t="str">
        <f>_xlfn.CONCAT(Table1[[#This Row],[Billing Street]], ", ", Table1[[#This Row],[Billing City]], ", ", Table1[[#This Row],[Billing State/Province]], ", ", Table1[[#This Row],[Billing Zip/Postal Code]])</f>
        <v>1200 S G St, Muskogee, OK, 74403</v>
      </c>
    </row>
    <row r="4740" spans="1:13" ht="15.6" hidden="1" x14ac:dyDescent="0.3">
      <c r="A4740" s="1" t="s">
        <v>13715</v>
      </c>
      <c r="B4740" s="1"/>
      <c r="C4740" s="1"/>
      <c r="D4740" s="1"/>
      <c r="E4740" s="1"/>
      <c r="F4740" s="1"/>
      <c r="G4740" s="1" t="s">
        <v>43</v>
      </c>
      <c r="H4740" s="2">
        <v>5776</v>
      </c>
      <c r="I4740" s="1" t="s">
        <v>13716</v>
      </c>
      <c r="J4740" s="1" t="s">
        <v>13</v>
      </c>
      <c r="K4740" s="1" t="s">
        <v>82</v>
      </c>
      <c r="L4740" s="1" t="s">
        <v>13</v>
      </c>
      <c r="M4740" s="6" t="str">
        <f>_xlfn.CONCAT(Table1[[#This Row],[Billing Street]], ", ", Table1[[#This Row],[Billing City]], ", ", Table1[[#This Row],[Billing State/Province]], ", ", Table1[[#This Row],[Billing Zip/Postal Code]])</f>
        <v xml:space="preserve">110 W. Sheridan Street, , MI, </v>
      </c>
    </row>
    <row r="4741" spans="1:13" ht="15.6" hidden="1" x14ac:dyDescent="0.3">
      <c r="A4741" s="1" t="s">
        <v>13717</v>
      </c>
      <c r="B4741" s="1"/>
      <c r="C4741" s="1"/>
      <c r="D4741" s="1"/>
      <c r="E4741" s="1"/>
      <c r="F4741" s="1"/>
      <c r="G4741" s="1" t="s">
        <v>43</v>
      </c>
      <c r="H4741" s="2">
        <v>447</v>
      </c>
      <c r="I4741" s="1" t="s">
        <v>13718</v>
      </c>
      <c r="J4741" s="1" t="s">
        <v>13719</v>
      </c>
      <c r="K4741" s="1" t="s">
        <v>82</v>
      </c>
      <c r="L4741" s="1" t="s">
        <v>13720</v>
      </c>
      <c r="M4741" s="6" t="str">
        <f>_xlfn.CONCAT(Table1[[#This Row],[Billing Street]], ", ", Table1[[#This Row],[Billing City]], ", ", Table1[[#This Row],[Billing State/Province]], ", ", Table1[[#This Row],[Billing Zip/Postal Code]])</f>
        <v>1000 Saginaw, Norway, MI, 49870</v>
      </c>
    </row>
    <row r="4742" spans="1:13" ht="15.6" x14ac:dyDescent="0.3">
      <c r="A4742" s="1" t="s">
        <v>13721</v>
      </c>
      <c r="B4742" s="1"/>
      <c r="C4742" s="1"/>
      <c r="D4742" s="1"/>
      <c r="E4742" s="1"/>
      <c r="F4742" s="1"/>
      <c r="G4742" s="1" t="s">
        <v>24</v>
      </c>
      <c r="H4742" s="2">
        <v>5988</v>
      </c>
      <c r="I4742" s="1" t="s">
        <v>13722</v>
      </c>
      <c r="J4742" s="1" t="s">
        <v>372</v>
      </c>
      <c r="K4742" s="1" t="s">
        <v>26</v>
      </c>
      <c r="L4742" s="1" t="s">
        <v>373</v>
      </c>
      <c r="M4742" s="6" t="str">
        <f>_xlfn.CONCAT(Table1[[#This Row],[Billing Street]], ", ", Table1[[#This Row],[Billing City]], ", ", Table1[[#This Row],[Billing State/Province]], ", ", Table1[[#This Row],[Billing Zip/Postal Code]])</f>
        <v>5649 Miller Industrial Blvd, Birmingham, AL, 35210</v>
      </c>
    </row>
    <row r="4743" spans="1:13" ht="15.6" hidden="1" x14ac:dyDescent="0.3">
      <c r="A4743" s="1" t="s">
        <v>13723</v>
      </c>
      <c r="B4743" s="1"/>
      <c r="C4743" s="1"/>
      <c r="D4743" s="1"/>
      <c r="E4743" s="1"/>
      <c r="F4743" s="1"/>
      <c r="G4743" s="1" t="s">
        <v>43</v>
      </c>
      <c r="H4743" s="2">
        <v>228</v>
      </c>
      <c r="I4743" s="1" t="s">
        <v>13724</v>
      </c>
      <c r="J4743" s="1" t="s">
        <v>13725</v>
      </c>
      <c r="K4743" s="1" t="s">
        <v>82</v>
      </c>
      <c r="L4743" s="1" t="s">
        <v>13726</v>
      </c>
      <c r="M4743" s="6" t="str">
        <f>_xlfn.CONCAT(Table1[[#This Row],[Billing Street]], ", ", Table1[[#This Row],[Billing City]], ", ", Table1[[#This Row],[Billing State/Province]], ", ", Table1[[#This Row],[Billing Zip/Postal Code]])</f>
        <v>127 N. Broadway St., Lowell, MI, 49331</v>
      </c>
    </row>
    <row r="4744" spans="1:13" ht="15.6" hidden="1" x14ac:dyDescent="0.3">
      <c r="A4744" s="1" t="s">
        <v>13727</v>
      </c>
      <c r="B4744" s="1"/>
      <c r="C4744" s="1"/>
      <c r="D4744" s="1"/>
      <c r="E4744" s="1"/>
      <c r="F4744" s="1"/>
      <c r="G4744" s="1" t="s">
        <v>205</v>
      </c>
      <c r="H4744" s="2">
        <v>431</v>
      </c>
      <c r="I4744" s="1" t="s">
        <v>13728</v>
      </c>
      <c r="J4744" s="1" t="s">
        <v>13729</v>
      </c>
      <c r="K4744" s="1" t="s">
        <v>472</v>
      </c>
      <c r="L4744" s="1" t="s">
        <v>13730</v>
      </c>
      <c r="M4744" s="6" t="str">
        <f>_xlfn.CONCAT(Table1[[#This Row],[Billing Street]], ", ", Table1[[#This Row],[Billing City]], ", ", Table1[[#This Row],[Billing State/Province]], ", ", Table1[[#This Row],[Billing Zip/Postal Code]])</f>
        <v>185 E Main St, Price, UT, 84501</v>
      </c>
    </row>
    <row r="4745" spans="1:13" ht="15.6" hidden="1" x14ac:dyDescent="0.3">
      <c r="A4745" s="1" t="s">
        <v>13731</v>
      </c>
      <c r="B4745" s="1"/>
      <c r="C4745" s="1"/>
      <c r="D4745" s="1"/>
      <c r="E4745" s="1"/>
      <c r="F4745" s="1"/>
      <c r="G4745" s="1" t="s">
        <v>43</v>
      </c>
      <c r="H4745" s="2">
        <v>300</v>
      </c>
      <c r="I4745" s="1" t="s">
        <v>13732</v>
      </c>
      <c r="J4745" s="1" t="s">
        <v>13733</v>
      </c>
      <c r="K4745" s="1" t="s">
        <v>82</v>
      </c>
      <c r="L4745" s="1" t="s">
        <v>13734</v>
      </c>
      <c r="M4745" s="6" t="str">
        <f>_xlfn.CONCAT(Table1[[#This Row],[Billing Street]], ", ", Table1[[#This Row],[Billing City]], ", ", Table1[[#This Row],[Billing State/Province]], ", ", Table1[[#This Row],[Billing Zip/Postal Code]])</f>
        <v>3907 N. Oceana Drive, Hart, MI, 49420</v>
      </c>
    </row>
    <row r="4746" spans="1:13" ht="15.6" hidden="1" x14ac:dyDescent="0.3">
      <c r="A4746" s="1" t="s">
        <v>13735</v>
      </c>
      <c r="B4746" s="1"/>
      <c r="C4746" s="1"/>
      <c r="D4746" s="1"/>
      <c r="E4746" s="1"/>
      <c r="F4746" s="1"/>
      <c r="G4746" s="1" t="s">
        <v>98</v>
      </c>
      <c r="H4746" s="2">
        <v>280</v>
      </c>
      <c r="I4746" s="1" t="s">
        <v>13736</v>
      </c>
      <c r="J4746" s="1" t="s">
        <v>13737</v>
      </c>
      <c r="K4746" s="1" t="s">
        <v>1178</v>
      </c>
      <c r="L4746" s="1" t="s">
        <v>13738</v>
      </c>
      <c r="M4746" s="6" t="str">
        <f>_xlfn.CONCAT(Table1[[#This Row],[Billing Street]], ", ", Table1[[#This Row],[Billing City]], ", ", Table1[[#This Row],[Billing State/Province]], ", ", Table1[[#This Row],[Billing Zip/Postal Code]])</f>
        <v>816 E Green St, High Point, NC, 27260</v>
      </c>
    </row>
    <row r="4747" spans="1:13" ht="15.6" hidden="1" x14ac:dyDescent="0.3">
      <c r="A4747" s="1" t="s">
        <v>13739</v>
      </c>
      <c r="B4747" s="1"/>
      <c r="C4747" s="1"/>
      <c r="D4747" s="1"/>
      <c r="E4747" s="1"/>
      <c r="F4747" s="1"/>
      <c r="G4747" s="1" t="s">
        <v>54</v>
      </c>
      <c r="H4747" s="2">
        <v>25</v>
      </c>
      <c r="I4747" s="1" t="s">
        <v>13740</v>
      </c>
      <c r="J4747" s="1" t="s">
        <v>13741</v>
      </c>
      <c r="K4747" s="1" t="s">
        <v>57</v>
      </c>
      <c r="L4747" s="1" t="s">
        <v>13742</v>
      </c>
      <c r="M4747" s="6" t="str">
        <f>_xlfn.CONCAT(Table1[[#This Row],[Billing Street]], ", ", Table1[[#This Row],[Billing City]], ", ", Table1[[#This Row],[Billing State/Province]], ", ", Table1[[#This Row],[Billing Zip/Postal Code]])</f>
        <v>5682 Research Drive  Suite E, Huntington Beach, CA, 92649</v>
      </c>
    </row>
    <row r="4748" spans="1:13" ht="15.6" hidden="1" x14ac:dyDescent="0.3">
      <c r="A4748" s="1" t="s">
        <v>13743</v>
      </c>
      <c r="B4748" s="1"/>
      <c r="C4748" s="1"/>
      <c r="D4748" s="1"/>
      <c r="E4748" s="1"/>
      <c r="F4748" s="1"/>
      <c r="G4748" s="1" t="s">
        <v>43</v>
      </c>
      <c r="H4748" s="2">
        <v>335</v>
      </c>
      <c r="I4748" s="1" t="s">
        <v>13744</v>
      </c>
      <c r="J4748" s="1" t="s">
        <v>13745</v>
      </c>
      <c r="K4748" s="1" t="s">
        <v>82</v>
      </c>
      <c r="L4748" s="1" t="s">
        <v>13746</v>
      </c>
      <c r="M4748" s="6" t="str">
        <f>_xlfn.CONCAT(Table1[[#This Row],[Billing Street]], ", ", Table1[[#This Row],[Billing City]], ", ", Table1[[#This Row],[Billing State/Province]], ", ", Table1[[#This Row],[Billing Zip/Postal Code]])</f>
        <v>204 E. Fairview, Harbor Springs, MI, 49740</v>
      </c>
    </row>
    <row r="4749" spans="1:13" ht="15.6" hidden="1" x14ac:dyDescent="0.3">
      <c r="A4749" s="1" t="s">
        <v>13747</v>
      </c>
      <c r="B4749" s="1"/>
      <c r="C4749" s="1"/>
      <c r="D4749" s="1"/>
      <c r="E4749" s="1"/>
      <c r="F4749" s="1"/>
      <c r="G4749" s="1" t="s">
        <v>8</v>
      </c>
      <c r="H4749" s="2">
        <v>64</v>
      </c>
      <c r="I4749" s="1" t="s">
        <v>13748</v>
      </c>
      <c r="J4749" s="1" t="s">
        <v>6237</v>
      </c>
      <c r="K4749" s="1" t="s">
        <v>147</v>
      </c>
      <c r="L4749" s="1" t="s">
        <v>13749</v>
      </c>
      <c r="M4749" s="6" t="str">
        <f>_xlfn.CONCAT(Table1[[#This Row],[Billing Street]], ", ", Table1[[#This Row],[Billing City]], ", ", Table1[[#This Row],[Billing State/Province]], ", ", Table1[[#This Row],[Billing Zip/Postal Code]])</f>
        <v>1 West Third Street, Suite 1600, Tulsa, OK, 74103</v>
      </c>
    </row>
    <row r="4750" spans="1:13" ht="15.6" hidden="1" x14ac:dyDescent="0.3">
      <c r="A4750" s="1" t="s">
        <v>13750</v>
      </c>
      <c r="B4750" s="1"/>
      <c r="C4750" s="1"/>
      <c r="D4750" s="1"/>
      <c r="E4750" s="1"/>
      <c r="F4750" s="1"/>
      <c r="G4750" s="1" t="s">
        <v>43</v>
      </c>
      <c r="H4750" s="2">
        <v>416</v>
      </c>
      <c r="I4750" s="1" t="s">
        <v>13751</v>
      </c>
      <c r="J4750" s="1" t="s">
        <v>13752</v>
      </c>
      <c r="K4750" s="1" t="s">
        <v>82</v>
      </c>
      <c r="L4750" s="1" t="s">
        <v>13753</v>
      </c>
      <c r="M4750" s="6" t="str">
        <f>_xlfn.CONCAT(Table1[[#This Row],[Billing Street]], ", ", Table1[[#This Row],[Billing City]], ", ", Table1[[#This Row],[Billing State/Province]], ", ", Table1[[#This Row],[Billing Zip/Postal Code]])</f>
        <v>1711 Sheridan Road, Escanaba, MI, 49829</v>
      </c>
    </row>
    <row r="4751" spans="1:13" ht="15.6" hidden="1" x14ac:dyDescent="0.3">
      <c r="A4751" s="1" t="s">
        <v>13754</v>
      </c>
      <c r="B4751" s="1"/>
      <c r="C4751" s="1"/>
      <c r="D4751" s="1"/>
      <c r="E4751" s="1"/>
      <c r="F4751" s="1"/>
      <c r="G4751" s="1" t="s">
        <v>98</v>
      </c>
      <c r="H4751" s="2">
        <v>133</v>
      </c>
      <c r="I4751" s="1" t="s">
        <v>13755</v>
      </c>
      <c r="J4751" s="1" t="s">
        <v>2292</v>
      </c>
      <c r="K4751" s="1" t="s">
        <v>1178</v>
      </c>
      <c r="L4751" s="1" t="s">
        <v>13756</v>
      </c>
      <c r="M4751" s="6" t="str">
        <f>_xlfn.CONCAT(Table1[[#This Row],[Billing Street]], ", ", Table1[[#This Row],[Billing City]], ", ", Table1[[#This Row],[Billing State/Province]], ", ", Table1[[#This Row],[Billing Zip/Postal Code]])</f>
        <v>129 Legion Dr, Waynesville, NC, 28786</v>
      </c>
    </row>
    <row r="4752" spans="1:13" ht="15.6" hidden="1" x14ac:dyDescent="0.3">
      <c r="A4752" s="1" t="s">
        <v>13757</v>
      </c>
      <c r="B4752" s="1"/>
      <c r="C4752" s="1"/>
      <c r="D4752" s="1"/>
      <c r="E4752" s="1"/>
      <c r="F4752" s="1"/>
      <c r="G4752" s="1" t="s">
        <v>43</v>
      </c>
      <c r="H4752" s="2">
        <v>437</v>
      </c>
      <c r="I4752" s="1" t="s">
        <v>13758</v>
      </c>
      <c r="J4752" s="1" t="s">
        <v>13759</v>
      </c>
      <c r="K4752" s="1" t="s">
        <v>152</v>
      </c>
      <c r="L4752" s="1" t="s">
        <v>13760</v>
      </c>
      <c r="M4752" s="6" t="str">
        <f>_xlfn.CONCAT(Table1[[#This Row],[Billing Street]], ", ", Table1[[#This Row],[Billing City]], ", ", Table1[[#This Row],[Billing State/Province]], ", ", Table1[[#This Row],[Billing Zip/Postal Code]])</f>
        <v>102 W. Main St., McLeansboro, IL, 62859</v>
      </c>
    </row>
    <row r="4753" spans="1:13" ht="15.6" hidden="1" x14ac:dyDescent="0.3">
      <c r="A4753" s="1" t="s">
        <v>13761</v>
      </c>
      <c r="B4753" s="1"/>
      <c r="C4753" s="1"/>
      <c r="D4753" s="1"/>
      <c r="E4753" s="1"/>
      <c r="F4753" s="1"/>
      <c r="G4753" s="1" t="s">
        <v>43</v>
      </c>
      <c r="H4753" s="2">
        <v>421</v>
      </c>
      <c r="I4753" s="1" t="s">
        <v>13762</v>
      </c>
      <c r="J4753" s="1" t="s">
        <v>13763</v>
      </c>
      <c r="K4753" s="1" t="s">
        <v>152</v>
      </c>
      <c r="L4753" s="1" t="s">
        <v>13764</v>
      </c>
      <c r="M4753" s="6" t="str">
        <f>_xlfn.CONCAT(Table1[[#This Row],[Billing Street]], ", ", Table1[[#This Row],[Billing City]], ", ", Table1[[#This Row],[Billing State/Province]], ", ", Table1[[#This Row],[Billing Zip/Postal Code]])</f>
        <v>829 Church St, Carmi, IL, 62821</v>
      </c>
    </row>
    <row r="4754" spans="1:13" ht="15.6" hidden="1" x14ac:dyDescent="0.3">
      <c r="A4754" s="1" t="s">
        <v>13765</v>
      </c>
      <c r="B4754" s="1"/>
      <c r="C4754" s="1"/>
      <c r="D4754" s="1"/>
      <c r="E4754" s="1"/>
      <c r="F4754" s="1"/>
      <c r="G4754" s="1" t="s">
        <v>8</v>
      </c>
      <c r="H4754" s="2">
        <v>441</v>
      </c>
      <c r="I4754" s="1" t="s">
        <v>13766</v>
      </c>
      <c r="J4754" s="1" t="s">
        <v>2644</v>
      </c>
      <c r="K4754" s="1" t="s">
        <v>51</v>
      </c>
      <c r="L4754" s="1" t="s">
        <v>12358</v>
      </c>
      <c r="M4754" s="6" t="str">
        <f>_xlfn.CONCAT(Table1[[#This Row],[Billing Street]], ", ", Table1[[#This Row],[Billing City]], ", ", Table1[[#This Row],[Billing State/Province]], ", ", Table1[[#This Row],[Billing Zip/Postal Code]])</f>
        <v>101 North Street / Kaufman, Newton, TX, 75966</v>
      </c>
    </row>
    <row r="4755" spans="1:13" ht="15.6" hidden="1" x14ac:dyDescent="0.3">
      <c r="A4755" s="1" t="s">
        <v>13767</v>
      </c>
      <c r="B4755" s="1"/>
      <c r="C4755" s="1"/>
      <c r="D4755" s="1"/>
      <c r="E4755" s="1"/>
      <c r="F4755" s="1"/>
      <c r="G4755" s="1" t="s">
        <v>98</v>
      </c>
      <c r="H4755" s="2">
        <v>236</v>
      </c>
      <c r="I4755" s="1" t="s">
        <v>13768</v>
      </c>
      <c r="J4755" s="1" t="s">
        <v>13769</v>
      </c>
      <c r="K4755" s="1" t="s">
        <v>1178</v>
      </c>
      <c r="L4755" s="1" t="s">
        <v>13770</v>
      </c>
      <c r="M4755" s="6" t="str">
        <f>_xlfn.CONCAT(Table1[[#This Row],[Billing Street]], ", ", Table1[[#This Row],[Billing City]], ", ", Table1[[#This Row],[Billing State/Province]], ", ", Table1[[#This Row],[Billing Zip/Postal Code]])</f>
        <v>567 Mocksville Hwy, Statesville, NC, 28625</v>
      </c>
    </row>
    <row r="4756" spans="1:13" ht="15.6" hidden="1" x14ac:dyDescent="0.3">
      <c r="A4756" s="1" t="s">
        <v>13771</v>
      </c>
      <c r="B4756" s="1"/>
      <c r="C4756" s="1"/>
      <c r="D4756" s="1"/>
      <c r="E4756" s="1"/>
      <c r="F4756" s="1"/>
      <c r="G4756" s="1" t="s">
        <v>54</v>
      </c>
      <c r="H4756" s="2">
        <v>17</v>
      </c>
      <c r="I4756" s="1" t="s">
        <v>13772</v>
      </c>
      <c r="J4756" s="1" t="s">
        <v>2883</v>
      </c>
      <c r="K4756" s="1" t="s">
        <v>57</v>
      </c>
      <c r="L4756" s="1" t="s">
        <v>2884</v>
      </c>
      <c r="M4756" s="6" t="str">
        <f>_xlfn.CONCAT(Table1[[#This Row],[Billing Street]], ", ", Table1[[#This Row],[Billing City]], ", ", Table1[[#This Row],[Billing State/Province]], ", ", Table1[[#This Row],[Billing Zip/Postal Code]])</f>
        <v>15837 Stagg Street,, Van Nuys, CA, 91406</v>
      </c>
    </row>
    <row r="4757" spans="1:13" ht="15.6" hidden="1" x14ac:dyDescent="0.3">
      <c r="A4757" s="1" t="s">
        <v>13773</v>
      </c>
      <c r="B4757" s="1"/>
      <c r="C4757" s="1"/>
      <c r="D4757" s="1"/>
      <c r="E4757" s="1"/>
      <c r="F4757" s="1"/>
      <c r="G4757" s="1" t="s">
        <v>43</v>
      </c>
      <c r="H4757" s="2">
        <v>245</v>
      </c>
      <c r="I4757" s="1" t="s">
        <v>13774</v>
      </c>
      <c r="J4757" s="1" t="s">
        <v>13775</v>
      </c>
      <c r="K4757" s="1" t="s">
        <v>82</v>
      </c>
      <c r="L4757" s="1" t="s">
        <v>13776</v>
      </c>
      <c r="M4757" s="6" t="str">
        <f>_xlfn.CONCAT(Table1[[#This Row],[Billing Street]], ", ", Table1[[#This Row],[Billing City]], ", ", Table1[[#This Row],[Billing State/Province]], ", ", Table1[[#This Row],[Billing Zip/Postal Code]])</f>
        <v>241 S. Front Street, Dowagiac, MI, 49047</v>
      </c>
    </row>
    <row r="4758" spans="1:13" ht="15.6" x14ac:dyDescent="0.3">
      <c r="A4758" s="1" t="s">
        <v>13777</v>
      </c>
      <c r="B4758" s="1"/>
      <c r="C4758" s="1"/>
      <c r="D4758" s="1"/>
      <c r="E4758" s="1"/>
      <c r="F4758" s="1"/>
      <c r="G4758" s="1" t="s">
        <v>24</v>
      </c>
      <c r="H4758" s="2">
        <v>69</v>
      </c>
      <c r="I4758" s="1" t="s">
        <v>13778</v>
      </c>
      <c r="J4758" s="1" t="s">
        <v>715</v>
      </c>
      <c r="K4758" s="1" t="s">
        <v>36</v>
      </c>
      <c r="L4758" s="1" t="s">
        <v>716</v>
      </c>
      <c r="M4758" s="6" t="str">
        <f>_xlfn.CONCAT(Table1[[#This Row],[Billing Street]], ", ", Table1[[#This Row],[Billing City]], ", ", Table1[[#This Row],[Billing State/Province]], ", ", Table1[[#This Row],[Billing Zip/Postal Code]])</f>
        <v>3810 Hopkins St, Pensacola, FL, 32505</v>
      </c>
    </row>
    <row r="4759" spans="1:13" ht="15.6" hidden="1" x14ac:dyDescent="0.3">
      <c r="A4759" s="1" t="s">
        <v>13779</v>
      </c>
      <c r="B4759" s="1"/>
      <c r="C4759" s="1"/>
      <c r="D4759" s="1"/>
      <c r="E4759" s="1"/>
      <c r="F4759" s="1"/>
      <c r="G4759" s="1" t="s">
        <v>98</v>
      </c>
      <c r="H4759" s="2">
        <v>178</v>
      </c>
      <c r="I4759" s="1" t="s">
        <v>13780</v>
      </c>
      <c r="J4759" s="1" t="s">
        <v>9207</v>
      </c>
      <c r="K4759" s="1" t="s">
        <v>101</v>
      </c>
      <c r="L4759" s="1" t="s">
        <v>9208</v>
      </c>
      <c r="M4759" s="6" t="str">
        <f>_xlfn.CONCAT(Table1[[#This Row],[Billing Street]], ", ", Table1[[#This Row],[Billing City]], ", ", Table1[[#This Row],[Billing State/Province]], ", ", Table1[[#This Row],[Billing Zip/Postal Code]])</f>
        <v>528 Jenkins Rd. Blakely, Blakely, GA, 39823</v>
      </c>
    </row>
    <row r="4760" spans="1:13" ht="15.6" hidden="1" x14ac:dyDescent="0.3">
      <c r="A4760" s="1" t="s">
        <v>13781</v>
      </c>
      <c r="B4760" s="1"/>
      <c r="C4760" s="1"/>
      <c r="D4760" s="1"/>
      <c r="E4760" s="1"/>
      <c r="F4760" s="1"/>
      <c r="G4760" s="1" t="s">
        <v>43</v>
      </c>
      <c r="H4760" s="2">
        <v>476</v>
      </c>
      <c r="I4760" s="1" t="s">
        <v>13782</v>
      </c>
      <c r="J4760" s="1" t="s">
        <v>13783</v>
      </c>
      <c r="K4760" s="1" t="s">
        <v>82</v>
      </c>
      <c r="L4760" s="1" t="s">
        <v>13784</v>
      </c>
      <c r="M4760" s="6" t="str">
        <f>_xlfn.CONCAT(Table1[[#This Row],[Billing Street]], ", ", Table1[[#This Row],[Billing City]], ", ", Table1[[#This Row],[Billing State/Province]], ", ", Table1[[#This Row],[Billing Zip/Postal Code]])</f>
        <v>401 Superior Avenue, Crystal Falls, MI, 49920</v>
      </c>
    </row>
    <row r="4761" spans="1:13" ht="15.6" hidden="1" x14ac:dyDescent="0.3">
      <c r="A4761" s="1" t="s">
        <v>13785</v>
      </c>
      <c r="B4761" s="1"/>
      <c r="C4761" s="1"/>
      <c r="D4761" s="1"/>
      <c r="E4761" s="1"/>
      <c r="F4761" s="1"/>
      <c r="G4761" s="1" t="s">
        <v>43</v>
      </c>
      <c r="H4761" s="2">
        <v>147</v>
      </c>
      <c r="I4761" s="1" t="s">
        <v>13786</v>
      </c>
      <c r="J4761" s="1" t="s">
        <v>13787</v>
      </c>
      <c r="K4761" s="1" t="s">
        <v>82</v>
      </c>
      <c r="L4761" s="1" t="s">
        <v>13788</v>
      </c>
      <c r="M4761" s="6" t="str">
        <f>_xlfn.CONCAT(Table1[[#This Row],[Billing Street]], ", ", Table1[[#This Row],[Billing City]], ", ", Table1[[#This Row],[Billing State/Province]], ", ", Table1[[#This Row],[Billing Zip/Postal Code]])</f>
        <v>120 E. Sanborne Avenue, Croswell, MI, 48422</v>
      </c>
    </row>
    <row r="4762" spans="1:13" ht="15.6" hidden="1" x14ac:dyDescent="0.3">
      <c r="A4762" s="1" t="s">
        <v>13789</v>
      </c>
      <c r="B4762" s="1"/>
      <c r="C4762" s="1"/>
      <c r="D4762" s="1"/>
      <c r="E4762" s="1"/>
      <c r="F4762" s="1"/>
      <c r="G4762" s="1" t="s">
        <v>43</v>
      </c>
      <c r="H4762" s="2">
        <v>5776</v>
      </c>
      <c r="I4762" s="1" t="s">
        <v>13790</v>
      </c>
      <c r="J4762" s="1" t="s">
        <v>10335</v>
      </c>
      <c r="K4762" s="1" t="s">
        <v>781</v>
      </c>
      <c r="L4762" s="1" t="s">
        <v>13791</v>
      </c>
      <c r="M4762" s="6" t="str">
        <f>_xlfn.CONCAT(Table1[[#This Row],[Billing Street]], ", ", Table1[[#This Row],[Billing City]], ", ", Table1[[#This Row],[Billing State/Province]], ", ", Table1[[#This Row],[Billing Zip/Postal Code]])</f>
        <v>212 Locust st, Harrisburg, pa, 17108</v>
      </c>
    </row>
    <row r="4763" spans="1:13" ht="15.6" hidden="1" x14ac:dyDescent="0.3">
      <c r="A4763" s="1" t="s">
        <v>13792</v>
      </c>
      <c r="B4763" s="1"/>
      <c r="C4763" s="1"/>
      <c r="D4763" s="1"/>
      <c r="E4763" s="1"/>
      <c r="F4763" s="1"/>
      <c r="G4763" s="1" t="s">
        <v>43</v>
      </c>
      <c r="H4763" s="2">
        <v>514</v>
      </c>
      <c r="I4763" s="1" t="s">
        <v>13793</v>
      </c>
      <c r="J4763" s="1" t="s">
        <v>13794</v>
      </c>
      <c r="K4763" s="1" t="s">
        <v>82</v>
      </c>
      <c r="L4763" s="1" t="s">
        <v>13795</v>
      </c>
      <c r="M4763" s="6" t="str">
        <f>_xlfn.CONCAT(Table1[[#This Row],[Billing Street]], ", ", Table1[[#This Row],[Billing City]], ", ", Table1[[#This Row],[Billing State/Province]], ", ", Table1[[#This Row],[Billing Zip/Postal Code]])</f>
        <v>100 Hemlock Street, Baraga, MI, 49908</v>
      </c>
    </row>
    <row r="4764" spans="1:13" ht="15.6" x14ac:dyDescent="0.3">
      <c r="A4764" s="1" t="s">
        <v>13796</v>
      </c>
      <c r="B4764" s="1"/>
      <c r="C4764" s="1"/>
      <c r="D4764" s="1"/>
      <c r="E4764" s="1"/>
      <c r="F4764" s="1"/>
      <c r="G4764" s="1" t="s">
        <v>24</v>
      </c>
      <c r="H4764" s="2">
        <v>5988</v>
      </c>
      <c r="I4764" s="1" t="s">
        <v>13797</v>
      </c>
      <c r="J4764" s="1" t="s">
        <v>13798</v>
      </c>
      <c r="K4764" s="1" t="s">
        <v>951</v>
      </c>
      <c r="L4764" s="1" t="s">
        <v>13799</v>
      </c>
      <c r="M4764" s="6" t="str">
        <f>_xlfn.CONCAT(Table1[[#This Row],[Billing Street]], ", ", Table1[[#This Row],[Billing City]], ", ", Table1[[#This Row],[Billing State/Province]], ", ", Table1[[#This Row],[Billing Zip/Postal Code]])</f>
        <v>217 W. Main St., Okalona, Ms, 38860</v>
      </c>
    </row>
    <row r="4765" spans="1:13" ht="15.6" hidden="1" x14ac:dyDescent="0.3">
      <c r="A4765" s="1" t="s">
        <v>13800</v>
      </c>
      <c r="B4765" s="1"/>
      <c r="C4765" s="1"/>
      <c r="D4765" s="1"/>
      <c r="E4765" s="1"/>
      <c r="F4765" s="1"/>
      <c r="G4765" s="1" t="s">
        <v>43</v>
      </c>
      <c r="H4765" s="2">
        <v>184</v>
      </c>
      <c r="I4765" s="1" t="s">
        <v>13801</v>
      </c>
      <c r="J4765" s="1" t="s">
        <v>13802</v>
      </c>
      <c r="K4765" s="1" t="s">
        <v>82</v>
      </c>
      <c r="L4765" s="1" t="s">
        <v>13803</v>
      </c>
      <c r="M4765" s="6" t="str">
        <f>_xlfn.CONCAT(Table1[[#This Row],[Billing Street]], ", ", Table1[[#This Row],[Billing City]], ", ", Table1[[#This Row],[Billing State/Province]], ", ", Table1[[#This Row],[Billing Zip/Postal Code]])</f>
        <v>301 Market Street, Eaton Rapids, MI, 48827</v>
      </c>
    </row>
    <row r="4766" spans="1:13" ht="15.6" hidden="1" x14ac:dyDescent="0.3">
      <c r="A4766" s="1" t="s">
        <v>13804</v>
      </c>
      <c r="B4766" s="1"/>
      <c r="C4766" s="1"/>
      <c r="D4766" s="1"/>
      <c r="E4766" s="1"/>
      <c r="F4766" s="1"/>
      <c r="G4766" s="1" t="s">
        <v>43</v>
      </c>
      <c r="H4766" s="2">
        <v>5776</v>
      </c>
      <c r="I4766" s="1" t="s">
        <v>13</v>
      </c>
      <c r="J4766" s="1" t="s">
        <v>13</v>
      </c>
      <c r="K4766" s="1" t="s">
        <v>82</v>
      </c>
      <c r="L4766" s="1" t="s">
        <v>13</v>
      </c>
      <c r="M4766" s="6" t="str">
        <f>_xlfn.CONCAT(Table1[[#This Row],[Billing Street]], ", ", Table1[[#This Row],[Billing City]], ", ", Table1[[#This Row],[Billing State/Province]], ", ", Table1[[#This Row],[Billing Zip/Postal Code]])</f>
        <v xml:space="preserve">, , MI, </v>
      </c>
    </row>
    <row r="4767" spans="1:13" ht="15.6" hidden="1" x14ac:dyDescent="0.3">
      <c r="A4767" s="1" t="s">
        <v>13805</v>
      </c>
      <c r="B4767" s="1"/>
      <c r="C4767" s="1"/>
      <c r="D4767" s="1"/>
      <c r="E4767" s="1"/>
      <c r="F4767" s="1"/>
      <c r="G4767" s="1" t="s">
        <v>205</v>
      </c>
      <c r="H4767" s="2">
        <v>259</v>
      </c>
      <c r="I4767" s="1" t="s">
        <v>13806</v>
      </c>
      <c r="J4767" s="1" t="s">
        <v>5440</v>
      </c>
      <c r="K4767" s="1" t="s">
        <v>1695</v>
      </c>
      <c r="L4767" s="1" t="s">
        <v>13807</v>
      </c>
      <c r="M4767" s="6" t="str">
        <f>_xlfn.CONCAT(Table1[[#This Row],[Billing Street]], ", ", Table1[[#This Row],[Billing City]], ", ", Table1[[#This Row],[Billing State/Province]], ", ", Table1[[#This Row],[Billing Zip/Postal Code]])</f>
        <v>270 Commerce Park Ct., North Las Vegas, NV, 89032</v>
      </c>
    </row>
    <row r="4768" spans="1:13" ht="15.6" hidden="1" x14ac:dyDescent="0.3">
      <c r="A4768" s="1" t="s">
        <v>13808</v>
      </c>
      <c r="B4768" s="1"/>
      <c r="C4768" s="1"/>
      <c r="D4768" s="1"/>
      <c r="E4768" s="1"/>
      <c r="F4768" s="1"/>
      <c r="G4768" s="1" t="s">
        <v>43</v>
      </c>
      <c r="H4768" s="2">
        <v>5776</v>
      </c>
      <c r="I4768" s="1" t="s">
        <v>13809</v>
      </c>
      <c r="J4768" s="1" t="s">
        <v>4100</v>
      </c>
      <c r="K4768" s="1" t="s">
        <v>1154</v>
      </c>
      <c r="L4768" s="1" t="s">
        <v>4101</v>
      </c>
      <c r="M4768" s="6" t="str">
        <f>_xlfn.CONCAT(Table1[[#This Row],[Billing Street]], ", ", Table1[[#This Row],[Billing City]], ", ", Table1[[#This Row],[Billing State/Province]], ", ", Table1[[#This Row],[Billing Zip/Postal Code]])</f>
        <v>2100 Byberry rd, Huntingdon Valley, Pa, 19006</v>
      </c>
    </row>
    <row r="4769" spans="1:13" ht="15.6" hidden="1" x14ac:dyDescent="0.3">
      <c r="A4769" s="1" t="s">
        <v>13810</v>
      </c>
      <c r="B4769" s="1"/>
      <c r="C4769" s="1"/>
      <c r="D4769" s="1"/>
      <c r="E4769" s="1"/>
      <c r="F4769" s="1"/>
      <c r="G4769" s="1" t="s">
        <v>43</v>
      </c>
      <c r="H4769" s="2">
        <v>5776</v>
      </c>
      <c r="I4769" s="1" t="s">
        <v>13</v>
      </c>
      <c r="J4769" s="1" t="s">
        <v>13</v>
      </c>
      <c r="K4769" s="1" t="s">
        <v>82</v>
      </c>
      <c r="L4769" s="1" t="s">
        <v>13</v>
      </c>
      <c r="M4769" s="6" t="str">
        <f>_xlfn.CONCAT(Table1[[#This Row],[Billing Street]], ", ", Table1[[#This Row],[Billing City]], ", ", Table1[[#This Row],[Billing State/Province]], ", ", Table1[[#This Row],[Billing Zip/Postal Code]])</f>
        <v xml:space="preserve">, , MI, </v>
      </c>
    </row>
    <row r="4770" spans="1:13" ht="15.6" hidden="1" x14ac:dyDescent="0.3">
      <c r="A4770" s="1" t="s">
        <v>13811</v>
      </c>
      <c r="B4770" s="1"/>
      <c r="C4770" s="1"/>
      <c r="D4770" s="1"/>
      <c r="E4770" s="1"/>
      <c r="F4770" s="1"/>
      <c r="G4770" s="1" t="s">
        <v>43</v>
      </c>
      <c r="H4770" s="2">
        <v>5776</v>
      </c>
      <c r="I4770" s="1" t="s">
        <v>13</v>
      </c>
      <c r="J4770" s="1" t="s">
        <v>13</v>
      </c>
      <c r="K4770" s="1" t="s">
        <v>82</v>
      </c>
      <c r="L4770" s="1" t="s">
        <v>13</v>
      </c>
      <c r="M4770" s="6" t="str">
        <f>_xlfn.CONCAT(Table1[[#This Row],[Billing Street]], ", ", Table1[[#This Row],[Billing City]], ", ", Table1[[#This Row],[Billing State/Province]], ", ", Table1[[#This Row],[Billing Zip/Postal Code]])</f>
        <v xml:space="preserve">, , MI, </v>
      </c>
    </row>
    <row r="4771" spans="1:13" ht="15.6" hidden="1" x14ac:dyDescent="0.3">
      <c r="A4771" s="1" t="s">
        <v>13812</v>
      </c>
      <c r="B4771" s="1"/>
      <c r="C4771" s="1"/>
      <c r="D4771" s="1"/>
      <c r="E4771" s="1"/>
      <c r="F4771" s="1"/>
      <c r="G4771" s="1" t="s">
        <v>8</v>
      </c>
      <c r="H4771" s="2">
        <v>243</v>
      </c>
      <c r="I4771" s="1" t="s">
        <v>13</v>
      </c>
      <c r="J4771" s="1" t="s">
        <v>4744</v>
      </c>
      <c r="K4771" s="1" t="s">
        <v>165</v>
      </c>
      <c r="L4771" s="1" t="s">
        <v>5624</v>
      </c>
      <c r="M4771" s="6" t="str">
        <f>_xlfn.CONCAT(Table1[[#This Row],[Billing Street]], ", ", Table1[[#This Row],[Billing City]], ", ", Table1[[#This Row],[Billing State/Province]], ", ", Table1[[#This Row],[Billing Zip/Postal Code]])</f>
        <v>, North Little Rock, AR, 72120</v>
      </c>
    </row>
    <row r="4772" spans="1:13" ht="15.6" x14ac:dyDescent="0.3">
      <c r="A4772" s="1" t="s">
        <v>13813</v>
      </c>
      <c r="B4772" s="1"/>
      <c r="C4772" s="1"/>
      <c r="D4772" s="1"/>
      <c r="E4772" s="1"/>
      <c r="F4772" s="1"/>
      <c r="G4772" s="1" t="s">
        <v>24</v>
      </c>
      <c r="H4772" s="2">
        <v>302</v>
      </c>
      <c r="I4772" s="1" t="s">
        <v>13814</v>
      </c>
      <c r="J4772" s="1" t="s">
        <v>950</v>
      </c>
      <c r="K4772" s="1" t="s">
        <v>31</v>
      </c>
      <c r="L4772" s="1" t="s">
        <v>13815</v>
      </c>
      <c r="M4772" s="6" t="str">
        <f>_xlfn.CONCAT(Table1[[#This Row],[Billing Street]], ", ", Table1[[#This Row],[Billing City]], ", ", Table1[[#This Row],[Billing State/Province]], ", ", Table1[[#This Row],[Billing Zip/Postal Code]])</f>
        <v>P.O. Box 822585, Vicksburg, MS, 39182</v>
      </c>
    </row>
    <row r="4773" spans="1:13" ht="15.6" hidden="1" x14ac:dyDescent="0.3">
      <c r="A4773" s="1" t="s">
        <v>13816</v>
      </c>
      <c r="B4773" s="1"/>
      <c r="C4773" s="1"/>
      <c r="D4773" s="1"/>
      <c r="E4773" s="1"/>
      <c r="F4773" s="1"/>
      <c r="G4773" s="1" t="s">
        <v>43</v>
      </c>
      <c r="H4773" s="2">
        <v>207</v>
      </c>
      <c r="I4773" s="1" t="s">
        <v>13817</v>
      </c>
      <c r="J4773" s="1" t="s">
        <v>2322</v>
      </c>
      <c r="K4773" s="1" t="s">
        <v>82</v>
      </c>
      <c r="L4773" s="1" t="s">
        <v>13818</v>
      </c>
      <c r="M4773" s="6" t="str">
        <f>_xlfn.CONCAT(Table1[[#This Row],[Billing Street]], ", ", Table1[[#This Row],[Billing City]], ", ", Table1[[#This Row],[Billing State/Province]], ", ", Table1[[#This Row],[Billing Zip/Postal Code]])</f>
        <v>259 Kent Street, Portland, MI, 48875</v>
      </c>
    </row>
    <row r="4774" spans="1:13" ht="15.6" hidden="1" x14ac:dyDescent="0.3">
      <c r="A4774" s="1" t="s">
        <v>13819</v>
      </c>
      <c r="B4774" s="1"/>
      <c r="C4774" s="1"/>
      <c r="D4774" s="1"/>
      <c r="E4774" s="1"/>
      <c r="F4774" s="1"/>
      <c r="G4774" s="1" t="s">
        <v>205</v>
      </c>
      <c r="H4774" s="2">
        <v>23</v>
      </c>
      <c r="I4774" s="1" t="s">
        <v>13820</v>
      </c>
      <c r="J4774" s="1" t="s">
        <v>13821</v>
      </c>
      <c r="K4774" s="1" t="s">
        <v>479</v>
      </c>
      <c r="L4774" s="1" t="s">
        <v>13822</v>
      </c>
      <c r="M4774" s="6" t="str">
        <f>_xlfn.CONCAT(Table1[[#This Row],[Billing Street]], ", ", Table1[[#This Row],[Billing City]], ", ", Table1[[#This Row],[Billing State/Province]], ", ", Table1[[#This Row],[Billing Zip/Postal Code]])</f>
        <v>14825 W Grand Ave, Surprise, AZ, 85374</v>
      </c>
    </row>
    <row r="4775" spans="1:13" ht="15.6" hidden="1" x14ac:dyDescent="0.3">
      <c r="A4775" s="1" t="s">
        <v>13823</v>
      </c>
      <c r="B4775" s="1"/>
      <c r="C4775" s="1"/>
      <c r="D4775" s="1"/>
      <c r="E4775" s="1"/>
      <c r="F4775" s="1"/>
      <c r="G4775" s="1" t="s">
        <v>8</v>
      </c>
      <c r="H4775" s="2">
        <v>509</v>
      </c>
      <c r="I4775" s="1" t="s">
        <v>13824</v>
      </c>
      <c r="J4775" s="1" t="s">
        <v>13825</v>
      </c>
      <c r="K4775" s="1" t="s">
        <v>51</v>
      </c>
      <c r="L4775" s="1" t="s">
        <v>13826</v>
      </c>
      <c r="M4775" s="6" t="str">
        <f>_xlfn.CONCAT(Table1[[#This Row],[Billing Street]], ", ", Table1[[#This Row],[Billing City]], ", ", Table1[[#This Row],[Billing State/Province]], ", ", Table1[[#This Row],[Billing Zip/Postal Code]])</f>
        <v>11100 highway 225 PO Box 1490, LaPorte, TX, 77572</v>
      </c>
    </row>
    <row r="4776" spans="1:13" ht="15.6" hidden="1" x14ac:dyDescent="0.3">
      <c r="A4776" s="1" t="s">
        <v>13827</v>
      </c>
      <c r="B4776" s="1"/>
      <c r="C4776" s="1"/>
      <c r="D4776" s="1"/>
      <c r="E4776" s="1"/>
      <c r="F4776" s="1"/>
      <c r="G4776" s="1" t="s">
        <v>8</v>
      </c>
      <c r="H4776" s="2">
        <v>546</v>
      </c>
      <c r="I4776" s="1" t="s">
        <v>13828</v>
      </c>
      <c r="J4776" s="1" t="s">
        <v>6100</v>
      </c>
      <c r="K4776" s="1" t="s">
        <v>51</v>
      </c>
      <c r="L4776" s="1" t="s">
        <v>7703</v>
      </c>
      <c r="M4776" s="6" t="str">
        <f>_xlfn.CONCAT(Table1[[#This Row],[Billing Street]], ", ", Table1[[#This Row],[Billing City]], ", ", Table1[[#This Row],[Billing State/Province]], ", ", Table1[[#This Row],[Billing Zip/Postal Code]])</f>
        <v>5908 La Colonia, San Antonio, TX, 78218</v>
      </c>
    </row>
    <row r="4777" spans="1:13" ht="15.6" x14ac:dyDescent="0.3">
      <c r="A4777" s="1" t="s">
        <v>13829</v>
      </c>
      <c r="B4777" s="1"/>
      <c r="C4777" s="1"/>
      <c r="D4777" s="1"/>
      <c r="E4777" s="1"/>
      <c r="F4777" s="1"/>
      <c r="G4777" s="1" t="s">
        <v>24</v>
      </c>
      <c r="H4777" s="2">
        <v>455</v>
      </c>
      <c r="I4777" s="1" t="s">
        <v>13830</v>
      </c>
      <c r="J4777" s="1" t="s">
        <v>13831</v>
      </c>
      <c r="K4777" s="1" t="s">
        <v>36</v>
      </c>
      <c r="L4777" s="1" t="s">
        <v>13</v>
      </c>
      <c r="M4777" s="6" t="str">
        <f>_xlfn.CONCAT(Table1[[#This Row],[Billing Street]], ", ", Table1[[#This Row],[Billing City]], ", ", Table1[[#This Row],[Billing State/Province]], ", ", Table1[[#This Row],[Billing Zip/Postal Code]])</f>
        <v xml:space="preserve">2455 Port West Blvd, Riviera Beach, FL, </v>
      </c>
    </row>
    <row r="4778" spans="1:13" ht="15.6" hidden="1" x14ac:dyDescent="0.3">
      <c r="A4778" s="1" t="s">
        <v>13832</v>
      </c>
      <c r="B4778" s="1"/>
      <c r="C4778" s="1"/>
      <c r="D4778" s="1"/>
      <c r="E4778" s="1"/>
      <c r="F4778" s="1"/>
      <c r="G4778" s="1" t="s">
        <v>8</v>
      </c>
      <c r="H4778" s="2">
        <v>306</v>
      </c>
      <c r="I4778" s="1" t="s">
        <v>13833</v>
      </c>
      <c r="J4778" s="1" t="s">
        <v>13834</v>
      </c>
      <c r="K4778" s="1" t="s">
        <v>11</v>
      </c>
      <c r="L4778" s="1" t="s">
        <v>13835</v>
      </c>
      <c r="M4778" s="6" t="str">
        <f>_xlfn.CONCAT(Table1[[#This Row],[Billing Street]], ", ", Table1[[#This Row],[Billing City]], ", ", Table1[[#This Row],[Billing State/Province]], ", ", Table1[[#This Row],[Billing Zip/Postal Code]])</f>
        <v>15 Millpark Court, Maryland Heights, MO, 63043</v>
      </c>
    </row>
    <row r="4779" spans="1:13" ht="15.6" x14ac:dyDescent="0.3">
      <c r="A4779" s="1" t="s">
        <v>13836</v>
      </c>
      <c r="B4779" s="1"/>
      <c r="C4779" s="1"/>
      <c r="D4779" s="1"/>
      <c r="E4779" s="1"/>
      <c r="F4779" s="1"/>
      <c r="G4779" s="1" t="s">
        <v>24</v>
      </c>
      <c r="H4779" s="2">
        <v>5988</v>
      </c>
      <c r="I4779" s="1" t="s">
        <v>13837</v>
      </c>
      <c r="J4779" s="1" t="s">
        <v>4259</v>
      </c>
      <c r="K4779" s="1" t="s">
        <v>951</v>
      </c>
      <c r="L4779" s="1" t="s">
        <v>6601</v>
      </c>
      <c r="M4779" s="6" t="str">
        <f>_xlfn.CONCAT(Table1[[#This Row],[Billing Street]], ", ", Table1[[#This Row],[Billing City]], ", ", Table1[[#This Row],[Billing State/Province]], ", ", Table1[[#This Row],[Billing Zip/Postal Code]])</f>
        <v>612 West Commerce Street, Aberdeen, Ms, 39730</v>
      </c>
    </row>
    <row r="4780" spans="1:13" ht="15.6" x14ac:dyDescent="0.3">
      <c r="A4780" s="1" t="s">
        <v>13838</v>
      </c>
      <c r="B4780" s="1"/>
      <c r="C4780" s="1"/>
      <c r="D4780" s="1"/>
      <c r="E4780" s="1"/>
      <c r="F4780" s="1"/>
      <c r="G4780" s="1" t="s">
        <v>24</v>
      </c>
      <c r="H4780" s="2">
        <v>5988</v>
      </c>
      <c r="I4780" s="1" t="s">
        <v>13839</v>
      </c>
      <c r="J4780" s="1" t="s">
        <v>10193</v>
      </c>
      <c r="K4780" s="1" t="s">
        <v>26</v>
      </c>
      <c r="L4780" s="1" t="s">
        <v>10194</v>
      </c>
      <c r="M4780" s="6" t="str">
        <f>_xlfn.CONCAT(Table1[[#This Row],[Billing Street]], ", ", Table1[[#This Row],[Billing City]], ", ", Table1[[#This Row],[Billing State/Province]], ", ", Table1[[#This Row],[Billing Zip/Postal Code]])</f>
        <v>14464 Rockhouse Rd., Brookwood, AL, 35444</v>
      </c>
    </row>
    <row r="4781" spans="1:13" ht="15.6" hidden="1" x14ac:dyDescent="0.3">
      <c r="A4781" s="1" t="s">
        <v>13840</v>
      </c>
      <c r="B4781" s="1"/>
      <c r="C4781" s="1"/>
      <c r="D4781" s="1"/>
      <c r="E4781" s="1"/>
      <c r="F4781" s="1"/>
      <c r="G4781" s="1" t="s">
        <v>43</v>
      </c>
      <c r="H4781" s="2">
        <v>208</v>
      </c>
      <c r="I4781" s="1" t="s">
        <v>13841</v>
      </c>
      <c r="J4781" s="1" t="s">
        <v>2322</v>
      </c>
      <c r="K4781" s="1" t="s">
        <v>82</v>
      </c>
      <c r="L4781" s="1" t="s">
        <v>13818</v>
      </c>
      <c r="M4781" s="6" t="str">
        <f>_xlfn.CONCAT(Table1[[#This Row],[Billing Street]], ", ", Table1[[#This Row],[Billing City]], ", ", Table1[[#This Row],[Billing State/Province]], ", ", Table1[[#This Row],[Billing Zip/Postal Code]])</f>
        <v>7973 E. Grand River, Portland, MI, 48875</v>
      </c>
    </row>
    <row r="4782" spans="1:13" ht="15.6" hidden="1" x14ac:dyDescent="0.3">
      <c r="A4782" s="1" t="s">
        <v>13842</v>
      </c>
      <c r="B4782" s="1"/>
      <c r="C4782" s="1"/>
      <c r="D4782" s="1"/>
      <c r="E4782" s="1"/>
      <c r="F4782" s="1"/>
      <c r="G4782" s="1" t="s">
        <v>43</v>
      </c>
      <c r="H4782" s="2">
        <v>200</v>
      </c>
      <c r="I4782" s="1" t="s">
        <v>13843</v>
      </c>
      <c r="J4782" s="1" t="s">
        <v>5683</v>
      </c>
      <c r="K4782" s="1" t="s">
        <v>82</v>
      </c>
      <c r="L4782" s="1" t="s">
        <v>5684</v>
      </c>
      <c r="M4782" s="6" t="str">
        <f>_xlfn.CONCAT(Table1[[#This Row],[Billing Street]], ", ", Table1[[#This Row],[Billing City]], ", ", Table1[[#This Row],[Billing State/Province]], ", ", Table1[[#This Row],[Billing Zip/Postal Code]])</f>
        <v>122 Uptown Drive, Bay City, MI, 48708</v>
      </c>
    </row>
    <row r="4783" spans="1:13" ht="15.6" hidden="1" x14ac:dyDescent="0.3">
      <c r="A4783" s="1" t="s">
        <v>13844</v>
      </c>
      <c r="B4783" s="1"/>
      <c r="C4783" s="1"/>
      <c r="D4783" s="1"/>
      <c r="E4783" s="1"/>
      <c r="F4783" s="1"/>
      <c r="G4783" s="1" t="s">
        <v>205</v>
      </c>
      <c r="H4783" s="2">
        <v>358</v>
      </c>
      <c r="I4783" s="1" t="s">
        <v>13845</v>
      </c>
      <c r="J4783" s="1" t="s">
        <v>1642</v>
      </c>
      <c r="K4783" s="1" t="s">
        <v>472</v>
      </c>
      <c r="L4783" s="1" t="s">
        <v>13846</v>
      </c>
      <c r="M4783" s="6" t="str">
        <f>_xlfn.CONCAT(Table1[[#This Row],[Billing Street]], ", ", Table1[[#This Row],[Billing City]], ", ", Table1[[#This Row],[Billing State/Province]], ", ", Table1[[#This Row],[Billing Zip/Postal Code]])</f>
        <v>10 N Main St, Monroe, UT, 84754</v>
      </c>
    </row>
    <row r="4784" spans="1:13" ht="15.6" hidden="1" x14ac:dyDescent="0.3">
      <c r="A4784" s="1" t="s">
        <v>13847</v>
      </c>
      <c r="B4784" s="1"/>
      <c r="C4784" s="1"/>
      <c r="D4784" s="1"/>
      <c r="E4784" s="1"/>
      <c r="F4784" s="1"/>
      <c r="G4784" s="1" t="s">
        <v>8</v>
      </c>
      <c r="H4784" s="2">
        <v>725</v>
      </c>
      <c r="I4784" s="1" t="s">
        <v>13848</v>
      </c>
      <c r="J4784" s="1" t="s">
        <v>13849</v>
      </c>
      <c r="K4784" s="1" t="s">
        <v>3735</v>
      </c>
      <c r="L4784" s="1" t="s">
        <v>13850</v>
      </c>
      <c r="M4784" s="6" t="str">
        <f>_xlfn.CONCAT(Table1[[#This Row],[Billing Street]], ", ", Table1[[#This Row],[Billing City]], ", ", Table1[[#This Row],[Billing State/Province]], ", ", Table1[[#This Row],[Billing Zip/Postal Code]])</f>
        <v>400 N 4th St, Bismark, ND, 58501</v>
      </c>
    </row>
    <row r="4785" spans="1:13" ht="15.6" hidden="1" x14ac:dyDescent="0.3">
      <c r="A4785" s="1" t="s">
        <v>13851</v>
      </c>
      <c r="B4785" s="1"/>
      <c r="C4785" s="1"/>
      <c r="D4785" s="1"/>
      <c r="E4785" s="1"/>
      <c r="F4785" s="1"/>
      <c r="G4785" s="1" t="s">
        <v>8</v>
      </c>
      <c r="H4785" s="2">
        <v>6528</v>
      </c>
      <c r="I4785" s="1" t="s">
        <v>13</v>
      </c>
      <c r="J4785" s="1" t="s">
        <v>13</v>
      </c>
      <c r="K4785" s="1" t="s">
        <v>3735</v>
      </c>
      <c r="L4785" s="1" t="s">
        <v>13</v>
      </c>
      <c r="M4785" s="6" t="str">
        <f>_xlfn.CONCAT(Table1[[#This Row],[Billing Street]], ", ", Table1[[#This Row],[Billing City]], ", ", Table1[[#This Row],[Billing State/Province]], ", ", Table1[[#This Row],[Billing Zip/Postal Code]])</f>
        <v xml:space="preserve">, , ND, </v>
      </c>
    </row>
    <row r="4786" spans="1:13" ht="15.6" hidden="1" x14ac:dyDescent="0.3">
      <c r="A4786" s="1" t="s">
        <v>13852</v>
      </c>
      <c r="B4786" s="1"/>
      <c r="C4786" s="1"/>
      <c r="D4786" s="1"/>
      <c r="E4786" s="1"/>
      <c r="F4786" s="1"/>
      <c r="G4786" s="1" t="s">
        <v>8</v>
      </c>
      <c r="H4786" s="2">
        <v>370</v>
      </c>
      <c r="I4786" s="1" t="s">
        <v>13853</v>
      </c>
      <c r="J4786" s="1" t="s">
        <v>13854</v>
      </c>
      <c r="K4786" s="1" t="s">
        <v>21</v>
      </c>
      <c r="L4786" s="1" t="s">
        <v>13855</v>
      </c>
      <c r="M4786" s="6" t="str">
        <f>_xlfn.CONCAT(Table1[[#This Row],[Billing Street]], ", ", Table1[[#This Row],[Billing City]], ", ", Table1[[#This Row],[Billing State/Province]], ", ", Table1[[#This Row],[Billing Zip/Postal Code]])</f>
        <v>301 East Main Street, Anthon, IA, 51004</v>
      </c>
    </row>
    <row r="4787" spans="1:13" ht="15.6" hidden="1" x14ac:dyDescent="0.3">
      <c r="A4787" s="1" t="s">
        <v>13856</v>
      </c>
      <c r="B4787" s="1"/>
      <c r="C4787" s="1"/>
      <c r="D4787" s="1"/>
      <c r="E4787" s="1"/>
      <c r="F4787" s="1"/>
      <c r="G4787" s="1" t="s">
        <v>98</v>
      </c>
      <c r="H4787" s="2">
        <v>5887</v>
      </c>
      <c r="I4787" s="1" t="s">
        <v>13857</v>
      </c>
      <c r="J4787" s="1" t="s">
        <v>9245</v>
      </c>
      <c r="K4787" s="1" t="s">
        <v>234</v>
      </c>
      <c r="L4787" s="1" t="s">
        <v>9246</v>
      </c>
      <c r="M4787" s="6" t="str">
        <f>_xlfn.CONCAT(Table1[[#This Row],[Billing Street]], ", ", Table1[[#This Row],[Billing City]], ", ", Table1[[#This Row],[Billing State/Province]], ", ", Table1[[#This Row],[Billing Zip/Postal Code]])</f>
        <v>306 Cambridge St, Abbeville, SC, 29620</v>
      </c>
    </row>
    <row r="4788" spans="1:13" ht="15.6" hidden="1" x14ac:dyDescent="0.3">
      <c r="A4788" s="1" t="s">
        <v>13858</v>
      </c>
      <c r="B4788" s="1"/>
      <c r="C4788" s="1"/>
      <c r="D4788" s="1"/>
      <c r="E4788" s="1"/>
      <c r="F4788" s="1"/>
      <c r="G4788" s="1" t="s">
        <v>98</v>
      </c>
      <c r="H4788" s="2">
        <v>5887</v>
      </c>
      <c r="I4788" s="1" t="s">
        <v>13859</v>
      </c>
      <c r="J4788" s="1" t="s">
        <v>13860</v>
      </c>
      <c r="K4788" s="1" t="s">
        <v>234</v>
      </c>
      <c r="L4788" s="1" t="s">
        <v>13861</v>
      </c>
      <c r="M4788" s="6" t="str">
        <f>_xlfn.CONCAT(Table1[[#This Row],[Billing Street]], ", ", Table1[[#This Row],[Billing City]], ", ", Table1[[#This Row],[Billing State/Province]], ", ", Table1[[#This Row],[Billing Zip/Postal Code]])</f>
        <v>912 S Main St, McCormick, SC, 29835</v>
      </c>
    </row>
    <row r="4789" spans="1:13" ht="15.6" hidden="1" x14ac:dyDescent="0.3">
      <c r="A4789" s="1" t="s">
        <v>13862</v>
      </c>
      <c r="B4789" s="1"/>
      <c r="C4789" s="1"/>
      <c r="D4789" s="1"/>
      <c r="E4789" s="1"/>
      <c r="F4789" s="1"/>
      <c r="G4789" s="1" t="s">
        <v>98</v>
      </c>
      <c r="H4789" s="2">
        <v>5887</v>
      </c>
      <c r="I4789" s="1" t="s">
        <v>13863</v>
      </c>
      <c r="J4789" s="1" t="s">
        <v>13864</v>
      </c>
      <c r="K4789" s="1" t="s">
        <v>234</v>
      </c>
      <c r="L4789" s="1" t="s">
        <v>13865</v>
      </c>
      <c r="M4789" s="6" t="str">
        <f>_xlfn.CONCAT(Table1[[#This Row],[Billing Street]], ", ", Table1[[#This Row],[Billing City]], ", ", Table1[[#This Row],[Billing State/Province]], ", ", Table1[[#This Row],[Billing Zip/Postal Code]])</f>
        <v>757 S Anderson Rd, Rock Hill, SC, 29730</v>
      </c>
    </row>
    <row r="4790" spans="1:13" ht="15.6" hidden="1" x14ac:dyDescent="0.3">
      <c r="A4790" s="1" t="s">
        <v>13866</v>
      </c>
      <c r="B4790" s="1"/>
      <c r="C4790" s="1"/>
      <c r="D4790" s="1"/>
      <c r="E4790" s="1"/>
      <c r="F4790" s="1"/>
      <c r="G4790" s="1" t="s">
        <v>205</v>
      </c>
      <c r="H4790" s="2">
        <v>383</v>
      </c>
      <c r="I4790" s="1" t="s">
        <v>13867</v>
      </c>
      <c r="J4790" s="1" t="s">
        <v>13868</v>
      </c>
      <c r="K4790" s="1" t="s">
        <v>472</v>
      </c>
      <c r="L4790" s="1" t="s">
        <v>13869</v>
      </c>
      <c r="M4790" s="6" t="str">
        <f>_xlfn.CONCAT(Table1[[#This Row],[Billing Street]], ", ", Table1[[#This Row],[Billing City]], ", ", Table1[[#This Row],[Billing State/Province]], ", ", Table1[[#This Row],[Billing Zip/Postal Code]])</f>
        <v>495 North 3200 West, Fillmore, UT, 84631</v>
      </c>
    </row>
    <row r="4791" spans="1:13" ht="15.6" hidden="1" x14ac:dyDescent="0.3">
      <c r="A4791" s="1" t="s">
        <v>13870</v>
      </c>
      <c r="B4791" s="1"/>
      <c r="C4791" s="1"/>
      <c r="D4791" s="1"/>
      <c r="E4791" s="1"/>
      <c r="F4791" s="1"/>
      <c r="G4791" s="1" t="s">
        <v>98</v>
      </c>
      <c r="H4791" s="2">
        <v>5887</v>
      </c>
      <c r="I4791" s="1" t="s">
        <v>13871</v>
      </c>
      <c r="J4791" s="1" t="s">
        <v>3716</v>
      </c>
      <c r="K4791" s="1" t="s">
        <v>234</v>
      </c>
      <c r="L4791" s="1" t="s">
        <v>13872</v>
      </c>
      <c r="M4791" s="6" t="str">
        <f>_xlfn.CONCAT(Table1[[#This Row],[Billing Street]], ", ", Table1[[#This Row],[Billing City]], ", ", Table1[[#This Row],[Billing State/Province]], ", ", Table1[[#This Row],[Billing Zip/Postal Code]])</f>
        <v>254 Longs Pond Rd, Lexington, SC, 29072</v>
      </c>
    </row>
    <row r="4792" spans="1:13" ht="15.6" hidden="1" x14ac:dyDescent="0.3">
      <c r="A4792" s="1" t="s">
        <v>13873</v>
      </c>
      <c r="B4792" s="1"/>
      <c r="C4792" s="1"/>
      <c r="D4792" s="1"/>
      <c r="E4792" s="1"/>
      <c r="F4792" s="1"/>
      <c r="G4792" s="1" t="s">
        <v>98</v>
      </c>
      <c r="H4792" s="2">
        <v>5887</v>
      </c>
      <c r="I4792" s="1" t="s">
        <v>13874</v>
      </c>
      <c r="J4792" s="1" t="s">
        <v>8464</v>
      </c>
      <c r="K4792" s="1" t="s">
        <v>234</v>
      </c>
      <c r="L4792" s="1" t="s">
        <v>8465</v>
      </c>
      <c r="M4792" s="6" t="str">
        <f>_xlfn.CONCAT(Table1[[#This Row],[Billing Street]], ", ", Table1[[#This Row],[Billing City]], ", ", Table1[[#This Row],[Billing State/Province]], ", ", Table1[[#This Row],[Billing Zip/Postal Code]])</f>
        <v>2254 Hwy 14, Laurens, SC, 29360</v>
      </c>
    </row>
    <row r="4793" spans="1:13" ht="15.6" hidden="1" x14ac:dyDescent="0.3">
      <c r="A4793" s="1" t="s">
        <v>13875</v>
      </c>
      <c r="B4793" s="1"/>
      <c r="C4793" s="1"/>
      <c r="D4793" s="1"/>
      <c r="E4793" s="1"/>
      <c r="F4793" s="1"/>
      <c r="G4793" s="1" t="s">
        <v>8</v>
      </c>
      <c r="H4793" s="2">
        <v>6528</v>
      </c>
      <c r="I4793" s="1" t="s">
        <v>13</v>
      </c>
      <c r="J4793" s="1" t="s">
        <v>13</v>
      </c>
      <c r="K4793" s="1" t="s">
        <v>3735</v>
      </c>
      <c r="L4793" s="1" t="s">
        <v>13</v>
      </c>
      <c r="M4793" s="6" t="str">
        <f>_xlfn.CONCAT(Table1[[#This Row],[Billing Street]], ", ", Table1[[#This Row],[Billing City]], ", ", Table1[[#This Row],[Billing State/Province]], ", ", Table1[[#This Row],[Billing Zip/Postal Code]])</f>
        <v xml:space="preserve">, , ND, </v>
      </c>
    </row>
    <row r="4794" spans="1:13" ht="15.6" x14ac:dyDescent="0.3">
      <c r="A4794" s="1" t="s">
        <v>13876</v>
      </c>
      <c r="B4794" s="1"/>
      <c r="C4794" s="1"/>
      <c r="D4794" s="1"/>
      <c r="E4794" s="1"/>
      <c r="F4794" s="1"/>
      <c r="G4794" s="1" t="s">
        <v>24</v>
      </c>
      <c r="H4794" s="2">
        <v>5988</v>
      </c>
      <c r="I4794" s="1" t="s">
        <v>13877</v>
      </c>
      <c r="J4794" s="1" t="s">
        <v>3037</v>
      </c>
      <c r="K4794" s="1" t="s">
        <v>36</v>
      </c>
      <c r="L4794" s="1" t="s">
        <v>13</v>
      </c>
      <c r="M4794" s="6" t="str">
        <f>_xlfn.CONCAT(Table1[[#This Row],[Billing Street]], ", ", Table1[[#This Row],[Billing City]], ", ", Table1[[#This Row],[Billing State/Province]], ", ", Table1[[#This Row],[Billing Zip/Postal Code]])</f>
        <v xml:space="preserve">171 E Robinson St, Orlando, FL, </v>
      </c>
    </row>
    <row r="4795" spans="1:13" ht="15.6" hidden="1" x14ac:dyDescent="0.3">
      <c r="A4795" s="1" t="s">
        <v>13878</v>
      </c>
      <c r="B4795" s="1"/>
      <c r="C4795" s="1"/>
      <c r="D4795" s="1"/>
      <c r="E4795" s="1"/>
      <c r="F4795" s="1"/>
      <c r="G4795" s="1" t="s">
        <v>205</v>
      </c>
      <c r="H4795" s="2">
        <v>430</v>
      </c>
      <c r="I4795" s="1" t="s">
        <v>13879</v>
      </c>
      <c r="J4795" s="1" t="s">
        <v>13880</v>
      </c>
      <c r="K4795" s="1" t="s">
        <v>1695</v>
      </c>
      <c r="L4795" s="1" t="s">
        <v>13881</v>
      </c>
      <c r="M4795" s="6" t="str">
        <f>_xlfn.CONCAT(Table1[[#This Row],[Billing Street]], ", ", Table1[[#This Row],[Billing City]], ", ", Table1[[#This Row],[Billing State/Province]], ", ", Table1[[#This Row],[Billing Zip/Postal Code]])</f>
        <v>1600 Great Basin Blvd, Ely, NV, 89301</v>
      </c>
    </row>
    <row r="4796" spans="1:13" ht="15.6" hidden="1" x14ac:dyDescent="0.3">
      <c r="A4796" s="1" t="s">
        <v>13882</v>
      </c>
      <c r="B4796" s="1"/>
      <c r="C4796" s="1"/>
      <c r="D4796" s="1"/>
      <c r="E4796" s="1"/>
      <c r="F4796" s="1"/>
      <c r="G4796" s="1" t="s">
        <v>13</v>
      </c>
      <c r="H4796" s="2">
        <v>0</v>
      </c>
      <c r="I4796" s="1" t="s">
        <v>13883</v>
      </c>
      <c r="J4796" s="1" t="s">
        <v>13884</v>
      </c>
      <c r="K4796" s="1" t="s">
        <v>13</v>
      </c>
      <c r="L4796" s="1" t="s">
        <v>13885</v>
      </c>
      <c r="M4796" s="6" t="str">
        <f>_xlfn.CONCAT(Table1[[#This Row],[Billing Street]], ", ", Table1[[#This Row],[Billing City]], ", ", Table1[[#This Row],[Billing State/Province]], ", ", Table1[[#This Row],[Billing Zip/Postal Code]])</f>
        <v>600 Archimedes Street, New Glasgow, , B2H 2T3</v>
      </c>
    </row>
    <row r="4797" spans="1:13" ht="15.6" hidden="1" x14ac:dyDescent="0.3">
      <c r="A4797" s="1" t="s">
        <v>13886</v>
      </c>
      <c r="B4797" s="1"/>
      <c r="C4797" s="1"/>
      <c r="D4797" s="1"/>
      <c r="E4797" s="1"/>
      <c r="F4797" s="1"/>
      <c r="G4797" s="1" t="s">
        <v>13</v>
      </c>
      <c r="H4797" s="2">
        <v>0</v>
      </c>
      <c r="I4797" s="1" t="s">
        <v>13887</v>
      </c>
      <c r="J4797" s="1" t="s">
        <v>13</v>
      </c>
      <c r="K4797" s="1" t="s">
        <v>13</v>
      </c>
      <c r="L4797" s="1" t="s">
        <v>36</v>
      </c>
      <c r="M4797" s="6" t="str">
        <f>_xlfn.CONCAT(Table1[[#This Row],[Billing Street]], ", ", Table1[[#This Row],[Billing City]], ", ", Table1[[#This Row],[Billing State/Province]], ", ", Table1[[#This Row],[Billing Zip/Postal Code]])</f>
        <v>1805 N. E. 30Th Ave. Building 400, , , FL</v>
      </c>
    </row>
    <row r="4798" spans="1:13" ht="15.6" hidden="1" x14ac:dyDescent="0.3">
      <c r="A4798" s="1" t="s">
        <v>13888</v>
      </c>
      <c r="B4798" s="1"/>
      <c r="C4798" s="1"/>
      <c r="D4798" s="1"/>
      <c r="E4798" s="1"/>
      <c r="F4798" s="1"/>
      <c r="G4798" s="1" t="s">
        <v>8</v>
      </c>
      <c r="H4798" s="2">
        <v>901</v>
      </c>
      <c r="I4798" s="1" t="s">
        <v>13889</v>
      </c>
      <c r="J4798" s="1" t="s">
        <v>6949</v>
      </c>
      <c r="K4798" s="1" t="s">
        <v>410</v>
      </c>
      <c r="L4798" s="1" t="s">
        <v>13890</v>
      </c>
      <c r="M4798" s="6" t="str">
        <f>_xlfn.CONCAT(Table1[[#This Row],[Billing Street]], ", ", Table1[[#This Row],[Billing City]], ", ", Table1[[#This Row],[Billing State/Province]], ", ", Table1[[#This Row],[Billing Zip/Postal Code]])</f>
        <v>236 N Washington, Afton, WY, 83110</v>
      </c>
    </row>
    <row r="4799" spans="1:13" ht="15.6" hidden="1" x14ac:dyDescent="0.3">
      <c r="A4799" s="1" t="s">
        <v>13891</v>
      </c>
      <c r="B4799" s="1"/>
      <c r="C4799" s="1"/>
      <c r="D4799" s="1"/>
      <c r="E4799" s="1"/>
      <c r="F4799" s="1"/>
      <c r="G4799" s="1" t="s">
        <v>8</v>
      </c>
      <c r="H4799" s="2">
        <v>650</v>
      </c>
      <c r="I4799" s="1" t="s">
        <v>13892</v>
      </c>
      <c r="J4799" s="1" t="s">
        <v>13893</v>
      </c>
      <c r="K4799" s="1" t="s">
        <v>208</v>
      </c>
      <c r="L4799" s="1" t="s">
        <v>13894</v>
      </c>
      <c r="M4799" s="6" t="str">
        <f>_xlfn.CONCAT(Table1[[#This Row],[Billing Street]], ", ", Table1[[#This Row],[Billing City]], ", ", Table1[[#This Row],[Billing State/Province]], ", ", Table1[[#This Row],[Billing Zip/Postal Code]])</f>
        <v>2211 Elk River Rd, Steamboat Springs, CO, 80487</v>
      </c>
    </row>
    <row r="4800" spans="1:13" ht="15.6" hidden="1" x14ac:dyDescent="0.3">
      <c r="A4800" s="1" t="s">
        <v>13895</v>
      </c>
      <c r="B4800" s="1"/>
      <c r="C4800" s="1"/>
      <c r="D4800" s="1"/>
      <c r="E4800" s="1"/>
      <c r="F4800" s="1"/>
      <c r="G4800" s="1" t="s">
        <v>8</v>
      </c>
      <c r="H4800" s="2">
        <v>685</v>
      </c>
      <c r="I4800" s="1" t="s">
        <v>13896</v>
      </c>
      <c r="J4800" s="1" t="s">
        <v>13897</v>
      </c>
      <c r="K4800" s="1" t="s">
        <v>410</v>
      </c>
      <c r="L4800" s="1" t="s">
        <v>13898</v>
      </c>
      <c r="M4800" s="6" t="str">
        <f>_xlfn.CONCAT(Table1[[#This Row],[Billing Street]], ", ", Table1[[#This Row],[Billing City]], ", ", Table1[[#This Row],[Billing State/Province]], ", ", Table1[[#This Row],[Billing Zip/Postal Code]])</f>
        <v>221 W Main St, Sundance, WY, 82729</v>
      </c>
    </row>
    <row r="4801" spans="1:13" ht="15.6" hidden="1" x14ac:dyDescent="0.3">
      <c r="A4801" s="1" t="s">
        <v>13899</v>
      </c>
      <c r="B4801" s="1"/>
      <c r="C4801" s="1"/>
      <c r="D4801" s="1"/>
      <c r="E4801" s="1"/>
      <c r="F4801" s="1"/>
      <c r="G4801" s="1" t="s">
        <v>43</v>
      </c>
      <c r="H4801" s="2">
        <v>124</v>
      </c>
      <c r="I4801" s="1" t="s">
        <v>2668</v>
      </c>
      <c r="J4801" s="1" t="s">
        <v>711</v>
      </c>
      <c r="K4801" s="1" t="s">
        <v>45</v>
      </c>
      <c r="L4801" s="1" t="s">
        <v>2669</v>
      </c>
      <c r="M4801" s="6" t="str">
        <f>_xlfn.CONCAT(Table1[[#This Row],[Billing Street]], ", ", Table1[[#This Row],[Billing City]], ", ", Table1[[#This Row],[Billing State/Province]], ", ", Table1[[#This Row],[Billing Zip/Postal Code]])</f>
        <v>1 Riverside Plaza, Columbus, OH, 43215</v>
      </c>
    </row>
    <row r="4802" spans="1:13" ht="15.6" hidden="1" x14ac:dyDescent="0.3">
      <c r="A4802" s="1" t="s">
        <v>13900</v>
      </c>
      <c r="B4802" s="1"/>
      <c r="C4802" s="1"/>
      <c r="D4802" s="1"/>
      <c r="E4802" s="1"/>
      <c r="F4802" s="1"/>
      <c r="G4802" s="1" t="s">
        <v>43</v>
      </c>
      <c r="H4802" s="2">
        <v>5776</v>
      </c>
      <c r="I4802" s="1" t="s">
        <v>13</v>
      </c>
      <c r="J4802" s="1" t="s">
        <v>4704</v>
      </c>
      <c r="K4802" s="1" t="s">
        <v>45</v>
      </c>
      <c r="L4802" s="1" t="s">
        <v>13</v>
      </c>
      <c r="M4802" s="6" t="str">
        <f>_xlfn.CONCAT(Table1[[#This Row],[Billing Street]], ", ", Table1[[#This Row],[Billing City]], ", ", Table1[[#This Row],[Billing State/Province]], ", ", Table1[[#This Row],[Billing Zip/Postal Code]])</f>
        <v xml:space="preserve">, Akron, OH, </v>
      </c>
    </row>
    <row r="4803" spans="1:13" ht="15.6" hidden="1" x14ac:dyDescent="0.3">
      <c r="A4803" s="1" t="s">
        <v>13901</v>
      </c>
      <c r="B4803" s="1"/>
      <c r="C4803" s="1"/>
      <c r="D4803" s="1"/>
      <c r="E4803" s="1"/>
      <c r="F4803" s="1"/>
      <c r="G4803" s="1" t="s">
        <v>43</v>
      </c>
      <c r="H4803" s="2">
        <v>5776</v>
      </c>
      <c r="I4803" s="1" t="s">
        <v>13</v>
      </c>
      <c r="J4803" s="1" t="s">
        <v>13</v>
      </c>
      <c r="K4803" s="1" t="s">
        <v>45</v>
      </c>
      <c r="L4803" s="1" t="s">
        <v>13</v>
      </c>
      <c r="M4803" s="6" t="str">
        <f>_xlfn.CONCAT(Table1[[#This Row],[Billing Street]], ", ", Table1[[#This Row],[Billing City]], ", ", Table1[[#This Row],[Billing State/Province]], ", ", Table1[[#This Row],[Billing Zip/Postal Code]])</f>
        <v xml:space="preserve">, , OH, </v>
      </c>
    </row>
    <row r="4804" spans="1:13" ht="15.6" hidden="1" x14ac:dyDescent="0.3">
      <c r="A4804" s="1" t="s">
        <v>13902</v>
      </c>
      <c r="B4804" s="1"/>
      <c r="C4804" s="1"/>
      <c r="D4804" s="1"/>
      <c r="E4804" s="1"/>
      <c r="F4804" s="1"/>
      <c r="G4804" s="1" t="s">
        <v>54</v>
      </c>
      <c r="H4804" s="2">
        <v>341</v>
      </c>
      <c r="I4804" s="1" t="s">
        <v>13903</v>
      </c>
      <c r="J4804" s="1" t="s">
        <v>13904</v>
      </c>
      <c r="K4804" s="1" t="s">
        <v>57</v>
      </c>
      <c r="L4804" s="1" t="s">
        <v>13905</v>
      </c>
      <c r="M4804" s="6" t="str">
        <f>_xlfn.CONCAT(Table1[[#This Row],[Billing Street]], ", ", Table1[[#This Row],[Billing City]], ", ", Table1[[#This Row],[Billing State/Province]], ", ", Table1[[#This Row],[Billing Zip/Postal Code]])</f>
        <v>2000 Grand St., Alameda, CA, 94501</v>
      </c>
    </row>
    <row r="4805" spans="1:13" ht="15.6" hidden="1" x14ac:dyDescent="0.3">
      <c r="A4805" s="1" t="s">
        <v>13906</v>
      </c>
      <c r="B4805" s="1"/>
      <c r="C4805" s="1"/>
      <c r="D4805" s="1"/>
      <c r="E4805" s="1"/>
      <c r="F4805" s="1"/>
      <c r="G4805" s="1" t="s">
        <v>8</v>
      </c>
      <c r="H4805" s="2">
        <v>637</v>
      </c>
      <c r="I4805" s="1" t="s">
        <v>13907</v>
      </c>
      <c r="J4805" s="1" t="s">
        <v>13908</v>
      </c>
      <c r="K4805" s="1" t="s">
        <v>208</v>
      </c>
      <c r="L4805" s="1" t="s">
        <v>13909</v>
      </c>
      <c r="M4805" s="6" t="str">
        <f>_xlfn.CONCAT(Table1[[#This Row],[Billing Street]], ", ", Table1[[#This Row],[Billing City]], ", ", Table1[[#This Row],[Billing State/Province]], ", ", Table1[[#This Row],[Billing Zip/Postal Code]])</f>
        <v>132 Buckhorn Valley Blvd, Gypsum, CO, 81637</v>
      </c>
    </row>
    <row r="4806" spans="1:13" ht="15.6" hidden="1" x14ac:dyDescent="0.3">
      <c r="A4806" s="1" t="s">
        <v>13910</v>
      </c>
      <c r="B4806" s="1"/>
      <c r="C4806" s="1"/>
      <c r="D4806" s="1"/>
      <c r="E4806" s="1"/>
      <c r="F4806" s="1"/>
      <c r="G4806" s="1" t="s">
        <v>54</v>
      </c>
      <c r="H4806" s="2">
        <v>824</v>
      </c>
      <c r="I4806" s="1" t="s">
        <v>13911</v>
      </c>
      <c r="J4806" s="1" t="s">
        <v>13912</v>
      </c>
      <c r="K4806" s="1" t="s">
        <v>2304</v>
      </c>
      <c r="L4806" s="1" t="s">
        <v>13913</v>
      </c>
      <c r="M4806" s="6" t="str">
        <f>_xlfn.CONCAT(Table1[[#This Row],[Billing Street]], ", ", Table1[[#This Row],[Billing City]], ", ", Table1[[#This Row],[Billing State/Province]], ", ", Table1[[#This Row],[Billing Zip/Postal Code]])</f>
        <v>1313 S. Columbus ave, Goldendale, Wa, 98620</v>
      </c>
    </row>
    <row r="4807" spans="1:13" ht="15.6" hidden="1" x14ac:dyDescent="0.3">
      <c r="A4807" s="1" t="s">
        <v>13914</v>
      </c>
      <c r="B4807" s="1"/>
      <c r="C4807" s="1"/>
      <c r="D4807" s="1"/>
      <c r="E4807" s="1"/>
      <c r="F4807" s="1"/>
      <c r="G4807" s="1" t="s">
        <v>43</v>
      </c>
      <c r="H4807" s="2">
        <v>102</v>
      </c>
      <c r="I4807" s="1" t="s">
        <v>13915</v>
      </c>
      <c r="J4807" s="1" t="s">
        <v>3146</v>
      </c>
      <c r="K4807" s="1" t="s">
        <v>45</v>
      </c>
      <c r="L4807" s="1" t="s">
        <v>13916</v>
      </c>
      <c r="M4807" s="6" t="str">
        <f>_xlfn.CONCAT(Table1[[#This Row],[Billing Street]], ", ", Table1[[#This Row],[Billing City]], ", ", Table1[[#This Row],[Billing State/Province]], ", ", Table1[[#This Row],[Billing Zip/Postal Code]])</f>
        <v>1500 Granville Road, Newark, OH, 43058</v>
      </c>
    </row>
    <row r="4808" spans="1:13" ht="15.6" hidden="1" x14ac:dyDescent="0.3">
      <c r="A4808" s="1" t="s">
        <v>13917</v>
      </c>
      <c r="B4808" s="1"/>
      <c r="C4808" s="1"/>
      <c r="D4808" s="1"/>
      <c r="E4808" s="1"/>
      <c r="F4808" s="1"/>
      <c r="G4808" s="1" t="s">
        <v>54</v>
      </c>
      <c r="H4808" s="2">
        <v>814</v>
      </c>
      <c r="I4808" s="1" t="s">
        <v>13918</v>
      </c>
      <c r="J4808" s="1" t="s">
        <v>4722</v>
      </c>
      <c r="K4808" s="1" t="s">
        <v>2254</v>
      </c>
      <c r="L4808" s="1" t="s">
        <v>13919</v>
      </c>
      <c r="M4808" s="6" t="str">
        <f>_xlfn.CONCAT(Table1[[#This Row],[Billing Street]], ", ", Table1[[#This Row],[Billing City]], ", ", Table1[[#This Row],[Billing State/Province]], ", ", Table1[[#This Row],[Billing Zip/Postal Code]])</f>
        <v>855 NE Marsh Lane, McMinnville, OR, 97128</v>
      </c>
    </row>
    <row r="4809" spans="1:13" ht="15.6" hidden="1" x14ac:dyDescent="0.3">
      <c r="A4809" s="1" t="s">
        <v>13920</v>
      </c>
      <c r="B4809" s="1"/>
      <c r="C4809" s="1"/>
      <c r="D4809" s="1"/>
      <c r="E4809" s="1"/>
      <c r="F4809" s="1"/>
      <c r="G4809" s="1" t="s">
        <v>43</v>
      </c>
      <c r="H4809" s="2">
        <v>12</v>
      </c>
      <c r="I4809" s="1" t="s">
        <v>13921</v>
      </c>
      <c r="J4809" s="1" t="s">
        <v>13922</v>
      </c>
      <c r="K4809" s="1" t="s">
        <v>45</v>
      </c>
      <c r="L4809" s="1" t="s">
        <v>13923</v>
      </c>
      <c r="M4809" s="6" t="str">
        <f>_xlfn.CONCAT(Table1[[#This Row],[Billing Street]], ", ", Table1[[#This Row],[Billing City]], ", ", Table1[[#This Row],[Billing State/Province]], ", ", Table1[[#This Row],[Billing Zip/Postal Code]])</f>
        <v>2550 Bailey Road, Cuyahoga Falls, OH, 44221</v>
      </c>
    </row>
    <row r="4810" spans="1:13" ht="15.6" hidden="1" x14ac:dyDescent="0.3">
      <c r="A4810" s="1" t="s">
        <v>13924</v>
      </c>
      <c r="B4810" s="1"/>
      <c r="C4810" s="1"/>
      <c r="D4810" s="1"/>
      <c r="E4810" s="1"/>
      <c r="F4810" s="1"/>
      <c r="G4810" s="1" t="s">
        <v>43</v>
      </c>
      <c r="H4810" s="2">
        <v>114</v>
      </c>
      <c r="I4810" s="1" t="s">
        <v>13925</v>
      </c>
      <c r="J4810" s="1" t="s">
        <v>1959</v>
      </c>
      <c r="K4810" s="1" t="s">
        <v>45</v>
      </c>
      <c r="L4810" s="1" t="s">
        <v>3739</v>
      </c>
      <c r="M4810" s="6" t="str">
        <f>_xlfn.CONCAT(Table1[[#This Row],[Billing Street]], ", ", Table1[[#This Row],[Billing City]], ", ", Table1[[#This Row],[Billing State/Province]], ", ", Table1[[#This Row],[Billing Zip/Postal Code]])</f>
        <v>304 N. Church Street, Bowling Green, OH, 43402</v>
      </c>
    </row>
    <row r="4811" spans="1:13" ht="15.6" hidden="1" x14ac:dyDescent="0.3">
      <c r="A4811" s="1" t="s">
        <v>13926</v>
      </c>
      <c r="B4811" s="1"/>
      <c r="C4811" s="1"/>
      <c r="D4811" s="1"/>
      <c r="E4811" s="1"/>
      <c r="F4811" s="1"/>
      <c r="G4811" s="1" t="s">
        <v>8</v>
      </c>
      <c r="H4811" s="2">
        <v>6528</v>
      </c>
      <c r="I4811" s="1" t="s">
        <v>13927</v>
      </c>
      <c r="J4811" s="1" t="s">
        <v>13928</v>
      </c>
      <c r="K4811" s="1" t="s">
        <v>2414</v>
      </c>
      <c r="L4811" s="1" t="s">
        <v>13929</v>
      </c>
      <c r="M4811" s="6" t="str">
        <f>_xlfn.CONCAT(Table1[[#This Row],[Billing Street]], ", ", Table1[[#This Row],[Billing City]], ", ", Table1[[#This Row],[Billing State/Province]], ", ", Table1[[#This Row],[Billing Zip/Postal Code]])</f>
        <v>1700 W Broadway St, Missoula, MT, 59808</v>
      </c>
    </row>
    <row r="4812" spans="1:13" ht="15.6" hidden="1" x14ac:dyDescent="0.3">
      <c r="A4812" s="1" t="s">
        <v>13930</v>
      </c>
      <c r="B4812" s="1"/>
      <c r="C4812" s="1"/>
      <c r="D4812" s="1"/>
      <c r="E4812" s="1"/>
      <c r="F4812" s="1"/>
      <c r="G4812" s="1" t="s">
        <v>43</v>
      </c>
      <c r="H4812" s="2">
        <v>113</v>
      </c>
      <c r="I4812" s="1" t="s">
        <v>13931</v>
      </c>
      <c r="J4812" s="1" t="s">
        <v>4816</v>
      </c>
      <c r="K4812" s="1" t="s">
        <v>45</v>
      </c>
      <c r="L4812" s="1" t="s">
        <v>13932</v>
      </c>
      <c r="M4812" s="6" t="str">
        <f>_xlfn.CONCAT(Table1[[#This Row],[Billing Street]], ", ", Table1[[#This Row],[Billing City]], ", ", Table1[[#This Row],[Billing State/Province]], ", ", Table1[[#This Row],[Billing Zip/Postal Code]])</f>
        <v>139 E Broadway, Westerville, OH, 43081-1507</v>
      </c>
    </row>
    <row r="4813" spans="1:13" ht="15.6" hidden="1" x14ac:dyDescent="0.3">
      <c r="A4813" s="1" t="s">
        <v>13933</v>
      </c>
      <c r="B4813" s="1"/>
      <c r="C4813" s="1"/>
      <c r="D4813" s="1"/>
      <c r="E4813" s="1"/>
      <c r="F4813" s="1"/>
      <c r="G4813" s="1" t="s">
        <v>54</v>
      </c>
      <c r="H4813" s="2">
        <v>817</v>
      </c>
      <c r="I4813" s="1" t="s">
        <v>13934</v>
      </c>
      <c r="J4813" s="1" t="s">
        <v>13935</v>
      </c>
      <c r="K4813" s="1" t="s">
        <v>7350</v>
      </c>
      <c r="L4813" s="1" t="s">
        <v>7383</v>
      </c>
      <c r="M4813" s="6" t="str">
        <f>_xlfn.CONCAT(Table1[[#This Row],[Billing Street]], ", ", Table1[[#This Row],[Billing City]], ", ", Table1[[#This Row],[Billing State/Province]], ", ", Table1[[#This Row],[Billing Zip/Postal Code]])</f>
        <v>750 W Elm ave, Hemiston, Or, 97838</v>
      </c>
    </row>
    <row r="4814" spans="1:13" ht="15.6" hidden="1" x14ac:dyDescent="0.3">
      <c r="A4814" s="1" t="s">
        <v>13936</v>
      </c>
      <c r="B4814" s="1"/>
      <c r="C4814" s="1"/>
      <c r="D4814" s="1"/>
      <c r="E4814" s="1"/>
      <c r="F4814" s="1"/>
      <c r="G4814" s="1" t="s">
        <v>205</v>
      </c>
      <c r="H4814" s="2">
        <v>733</v>
      </c>
      <c r="I4814" s="1" t="s">
        <v>13937</v>
      </c>
      <c r="J4814" s="1" t="s">
        <v>13938</v>
      </c>
      <c r="K4814" s="1" t="s">
        <v>2309</v>
      </c>
      <c r="L4814" s="1" t="s">
        <v>13939</v>
      </c>
      <c r="M4814" s="6" t="str">
        <f>_xlfn.CONCAT(Table1[[#This Row],[Billing Street]], ", ", Table1[[#This Row],[Billing City]], ", ", Table1[[#This Row],[Billing State/Province]], ", ", Table1[[#This Row],[Billing Zip/Postal Code]])</f>
        <v>1150 N 3400 E, Ashton, ID, 83420</v>
      </c>
    </row>
    <row r="4815" spans="1:13" ht="15.6" hidden="1" x14ac:dyDescent="0.3">
      <c r="A4815" s="1" t="s">
        <v>13940</v>
      </c>
      <c r="B4815" s="1"/>
      <c r="C4815" s="1"/>
      <c r="D4815" s="1"/>
      <c r="E4815" s="1"/>
      <c r="F4815" s="1"/>
      <c r="G4815" s="1" t="s">
        <v>8</v>
      </c>
      <c r="H4815" s="2">
        <v>380</v>
      </c>
      <c r="I4815" s="1" t="s">
        <v>13941</v>
      </c>
      <c r="J4815" s="1" t="s">
        <v>13942</v>
      </c>
      <c r="K4815" s="1" t="s">
        <v>21</v>
      </c>
      <c r="L4815" s="1" t="s">
        <v>13943</v>
      </c>
      <c r="M4815" s="6" t="str">
        <f>_xlfn.CONCAT(Table1[[#This Row],[Billing Street]], ", ", Table1[[#This Row],[Billing City]], ", ", Table1[[#This Row],[Billing State/Province]], ", ", Table1[[#This Row],[Billing Zip/Postal Code]])</f>
        <v>2985 Inkpaduta Avenue, Webster City, IA, 50595</v>
      </c>
    </row>
    <row r="4816" spans="1:13" ht="15.6" hidden="1" x14ac:dyDescent="0.3">
      <c r="A4816" s="1" t="s">
        <v>13944</v>
      </c>
      <c r="B4816" s="1"/>
      <c r="C4816" s="1"/>
      <c r="D4816" s="1"/>
      <c r="E4816" s="1"/>
      <c r="F4816" s="1"/>
      <c r="G4816" s="1" t="s">
        <v>54</v>
      </c>
      <c r="H4816" s="2">
        <v>841</v>
      </c>
      <c r="I4816" s="1" t="s">
        <v>13945</v>
      </c>
      <c r="J4816" s="1" t="s">
        <v>13946</v>
      </c>
      <c r="K4816" s="1" t="s">
        <v>405</v>
      </c>
      <c r="L4816" s="1" t="s">
        <v>13947</v>
      </c>
      <c r="M4816" s="6" t="str">
        <f>_xlfn.CONCAT(Table1[[#This Row],[Billing Street]], ", ", Table1[[#This Row],[Billing City]], ", ", Table1[[#This Row],[Billing State/Province]], ", ", Table1[[#This Row],[Billing Zip/Postal Code]])</f>
        <v>2721 W 10th Ave, Kenniwick, WA, 99336</v>
      </c>
    </row>
    <row r="4817" spans="1:13" ht="15.6" hidden="1" x14ac:dyDescent="0.3">
      <c r="A4817" s="1" t="s">
        <v>13948</v>
      </c>
      <c r="B4817" s="1"/>
      <c r="C4817" s="1"/>
      <c r="D4817" s="1"/>
      <c r="E4817" s="1"/>
      <c r="F4817" s="1"/>
      <c r="G4817" s="1" t="s">
        <v>8</v>
      </c>
      <c r="H4817" s="2">
        <v>6528</v>
      </c>
      <c r="I4817" s="1" t="s">
        <v>13949</v>
      </c>
      <c r="J4817" s="1" t="s">
        <v>13950</v>
      </c>
      <c r="K4817" s="1" t="s">
        <v>2414</v>
      </c>
      <c r="L4817" s="1" t="s">
        <v>13951</v>
      </c>
      <c r="M4817" s="6" t="str">
        <f>_xlfn.CONCAT(Table1[[#This Row],[Billing Street]], ", ", Table1[[#This Row],[Billing City]], ", ", Table1[[#This Row],[Billing State/Province]], ", ", Table1[[#This Row],[Billing Zip/Postal Code]])</f>
        <v>150 Cooperative Way, Huntley, MT, 59037</v>
      </c>
    </row>
    <row r="4818" spans="1:13" ht="15.6" hidden="1" x14ac:dyDescent="0.3">
      <c r="A4818" s="1" t="s">
        <v>13952</v>
      </c>
      <c r="B4818" s="1"/>
      <c r="C4818" s="1"/>
      <c r="D4818" s="1"/>
      <c r="E4818" s="1"/>
      <c r="F4818" s="1"/>
      <c r="G4818" s="1" t="s">
        <v>43</v>
      </c>
      <c r="H4818" s="2">
        <v>5776</v>
      </c>
      <c r="I4818" s="1" t="s">
        <v>13</v>
      </c>
      <c r="J4818" s="1" t="s">
        <v>13</v>
      </c>
      <c r="K4818" s="1" t="s">
        <v>45</v>
      </c>
      <c r="L4818" s="1" t="s">
        <v>13</v>
      </c>
      <c r="M4818" s="6" t="str">
        <f>_xlfn.CONCAT(Table1[[#This Row],[Billing Street]], ", ", Table1[[#This Row],[Billing City]], ", ", Table1[[#This Row],[Billing State/Province]], ", ", Table1[[#This Row],[Billing Zip/Postal Code]])</f>
        <v xml:space="preserve">, , OH, </v>
      </c>
    </row>
    <row r="4819" spans="1:13" ht="15.6" x14ac:dyDescent="0.3">
      <c r="A4819" s="1" t="s">
        <v>13953</v>
      </c>
      <c r="B4819" s="1"/>
      <c r="C4819" s="1"/>
      <c r="D4819" s="1"/>
      <c r="E4819" s="1"/>
      <c r="F4819" s="1"/>
      <c r="G4819" s="1" t="s">
        <v>24</v>
      </c>
      <c r="H4819" s="2">
        <v>58</v>
      </c>
      <c r="I4819" s="1" t="s">
        <v>13954</v>
      </c>
      <c r="J4819" s="1" t="s">
        <v>1685</v>
      </c>
      <c r="K4819" s="1" t="s">
        <v>36</v>
      </c>
      <c r="L4819" s="1" t="s">
        <v>13344</v>
      </c>
      <c r="M4819" s="6" t="str">
        <f>_xlfn.CONCAT(Table1[[#This Row],[Billing Street]], ", ", Table1[[#This Row],[Billing City]], ", ", Table1[[#This Row],[Billing State/Province]], ", ", Table1[[#This Row],[Billing Zip/Postal Code]])</f>
        <v>3961 Avalon Blvd, Milton, FL, 32583</v>
      </c>
    </row>
    <row r="4820" spans="1:13" ht="15.6" hidden="1" x14ac:dyDescent="0.3">
      <c r="A4820" s="1" t="s">
        <v>13955</v>
      </c>
      <c r="B4820" s="1"/>
      <c r="C4820" s="1"/>
      <c r="D4820" s="1"/>
      <c r="E4820" s="1"/>
      <c r="F4820" s="1"/>
      <c r="G4820" s="1" t="s">
        <v>43</v>
      </c>
      <c r="H4820" s="2">
        <v>5776</v>
      </c>
      <c r="I4820" s="1" t="s">
        <v>13956</v>
      </c>
      <c r="J4820" s="1" t="s">
        <v>12117</v>
      </c>
      <c r="K4820" s="1" t="s">
        <v>241</v>
      </c>
      <c r="L4820" s="1" t="s">
        <v>12118</v>
      </c>
      <c r="M4820" s="6" t="str">
        <f>_xlfn.CONCAT(Table1[[#This Row],[Billing Street]], ", ", Table1[[#This Row],[Billing City]], ", ", Table1[[#This Row],[Billing State/Province]], ", ", Table1[[#This Row],[Billing Zip/Postal Code]])</f>
        <v>10 Paluso Dr, Charleroi, PA, 15022</v>
      </c>
    </row>
    <row r="4821" spans="1:13" ht="15.6" x14ac:dyDescent="0.3">
      <c r="A4821" s="1" t="s">
        <v>13957</v>
      </c>
      <c r="B4821" s="1"/>
      <c r="C4821" s="1"/>
      <c r="D4821" s="1"/>
      <c r="E4821" s="1"/>
      <c r="F4821" s="1"/>
      <c r="G4821" s="1" t="s">
        <v>24</v>
      </c>
      <c r="H4821" s="2">
        <v>5988</v>
      </c>
      <c r="I4821" s="1" t="s">
        <v>13958</v>
      </c>
      <c r="J4821" s="1" t="s">
        <v>4322</v>
      </c>
      <c r="K4821" s="1" t="s">
        <v>36</v>
      </c>
      <c r="L4821" s="1" t="s">
        <v>13</v>
      </c>
      <c r="M4821" s="6" t="str">
        <f>_xlfn.CONCAT(Table1[[#This Row],[Billing Street]], ", ", Table1[[#This Row],[Billing City]], ", ", Table1[[#This Row],[Billing State/Province]], ", ", Table1[[#This Row],[Billing Zip/Postal Code]])</f>
        <v xml:space="preserve">10165 NW 31st Ct, Sunrise, FL, </v>
      </c>
    </row>
    <row r="4822" spans="1:13" ht="15.6" hidden="1" x14ac:dyDescent="0.3">
      <c r="A4822" s="1" t="s">
        <v>13959</v>
      </c>
      <c r="B4822" s="1"/>
      <c r="C4822" s="1"/>
      <c r="D4822" s="1"/>
      <c r="E4822" s="1"/>
      <c r="F4822" s="1"/>
      <c r="G4822" s="1" t="s">
        <v>98</v>
      </c>
      <c r="H4822" s="2">
        <v>202</v>
      </c>
      <c r="I4822" s="1" t="s">
        <v>13960</v>
      </c>
      <c r="J4822" s="1" t="s">
        <v>13961</v>
      </c>
      <c r="K4822" s="1" t="s">
        <v>1178</v>
      </c>
      <c r="L4822" s="1" t="s">
        <v>13962</v>
      </c>
      <c r="M4822" s="6" t="str">
        <f>_xlfn.CONCAT(Table1[[#This Row],[Billing Street]], ", ", Table1[[#This Row],[Billing City]], ", ", Table1[[#This Row],[Billing State/Province]], ", ", Table1[[#This Row],[Billing Zip/Postal Code]])</f>
        <v>128 Motz Ave, Lincolnton, NC, 28092</v>
      </c>
    </row>
    <row r="4823" spans="1:13" ht="15.6" hidden="1" x14ac:dyDescent="0.3">
      <c r="A4823" s="1" t="s">
        <v>13963</v>
      </c>
      <c r="B4823" s="1"/>
      <c r="C4823" s="1"/>
      <c r="D4823" s="1"/>
      <c r="E4823" s="1"/>
      <c r="F4823" s="1"/>
      <c r="G4823" s="1" t="s">
        <v>43</v>
      </c>
      <c r="H4823" s="2">
        <v>30</v>
      </c>
      <c r="I4823" s="1" t="s">
        <v>13964</v>
      </c>
      <c r="J4823" s="1" t="s">
        <v>877</v>
      </c>
      <c r="K4823" s="1" t="s">
        <v>45</v>
      </c>
      <c r="L4823" s="1" t="s">
        <v>13965</v>
      </c>
      <c r="M4823" s="6" t="str">
        <f>_xlfn.CONCAT(Table1[[#This Row],[Billing Street]], ", ", Table1[[#This Row],[Billing City]], ", ", Table1[[#This Row],[Billing State/Province]], ", ", Table1[[#This Row],[Billing Zip/Postal Code]])</f>
        <v>7640 Whipple Ave. NW, North Canton, OH, 44720</v>
      </c>
    </row>
    <row r="4824" spans="1:13" ht="15.6" hidden="1" x14ac:dyDescent="0.3">
      <c r="A4824" s="1" t="s">
        <v>13966</v>
      </c>
      <c r="B4824" s="1"/>
      <c r="C4824" s="1"/>
      <c r="D4824" s="1"/>
      <c r="E4824" s="1"/>
      <c r="F4824" s="1"/>
      <c r="G4824" s="1" t="s">
        <v>43</v>
      </c>
      <c r="H4824" s="2">
        <v>122</v>
      </c>
      <c r="I4824" s="1" t="s">
        <v>13967</v>
      </c>
      <c r="J4824" s="1" t="s">
        <v>1517</v>
      </c>
      <c r="K4824" s="1" t="s">
        <v>45</v>
      </c>
      <c r="L4824" s="1" t="s">
        <v>13968</v>
      </c>
      <c r="M4824" s="6" t="str">
        <f>_xlfn.CONCAT(Table1[[#This Row],[Billing Street]], ", ", Table1[[#This Row],[Billing City]], ", ", Table1[[#This Row],[Billing State/Province]], ", ", Table1[[#This Row],[Billing Zip/Postal Code]])</f>
        <v>2780 Coonpath Road Northeast, Lancaster, OH, 43130-0250</v>
      </c>
    </row>
    <row r="4825" spans="1:13" ht="15.6" hidden="1" x14ac:dyDescent="0.3">
      <c r="A4825" s="1" t="s">
        <v>13969</v>
      </c>
      <c r="B4825" s="1"/>
      <c r="C4825" s="1"/>
      <c r="D4825" s="1"/>
      <c r="E4825" s="1"/>
      <c r="F4825" s="1"/>
      <c r="G4825" s="1" t="s">
        <v>98</v>
      </c>
      <c r="H4825" s="2">
        <v>5887</v>
      </c>
      <c r="I4825" s="1" t="s">
        <v>13970</v>
      </c>
      <c r="J4825" s="1" t="s">
        <v>13971</v>
      </c>
      <c r="K4825" s="1" t="s">
        <v>234</v>
      </c>
      <c r="L4825" s="1" t="s">
        <v>13972</v>
      </c>
      <c r="M4825" s="6" t="str">
        <f>_xlfn.CONCAT(Table1[[#This Row],[Billing Street]], ", ", Table1[[#This Row],[Billing City]], ", ", Table1[[#This Row],[Billing State/Province]], ", ", Table1[[#This Row],[Billing Zip/Postal Code]])</f>
        <v>734 W Main St, Pickens, SC, 29671</v>
      </c>
    </row>
    <row r="4826" spans="1:13" ht="15.6" hidden="1" x14ac:dyDescent="0.3">
      <c r="A4826" s="1" t="s">
        <v>13973</v>
      </c>
      <c r="B4826" s="1"/>
      <c r="C4826" s="1"/>
      <c r="D4826" s="1"/>
      <c r="E4826" s="1"/>
      <c r="F4826" s="1"/>
      <c r="G4826" s="1" t="s">
        <v>205</v>
      </c>
      <c r="H4826" s="2">
        <v>147</v>
      </c>
      <c r="I4826" s="1" t="s">
        <v>13974</v>
      </c>
      <c r="J4826" s="1" t="s">
        <v>12110</v>
      </c>
      <c r="K4826" s="1" t="s">
        <v>479</v>
      </c>
      <c r="L4826" s="1" t="s">
        <v>13975</v>
      </c>
      <c r="M4826" s="6" t="str">
        <f>_xlfn.CONCAT(Table1[[#This Row],[Billing Street]], ", ", Table1[[#This Row],[Billing City]], ", ", Table1[[#This Row],[Billing State/Province]], ", ", Table1[[#This Row],[Billing Zip/Postal Code]])</f>
        <v>1000 S. Highway 80, Benson, AZ, 85602</v>
      </c>
    </row>
    <row r="4827" spans="1:13" ht="15.6" hidden="1" x14ac:dyDescent="0.3">
      <c r="A4827" s="1" t="s">
        <v>13976</v>
      </c>
      <c r="B4827" s="1"/>
      <c r="C4827" s="1"/>
      <c r="D4827" s="1"/>
      <c r="E4827" s="1"/>
      <c r="F4827" s="1"/>
      <c r="G4827" s="1" t="s">
        <v>54</v>
      </c>
      <c r="H4827" s="2">
        <v>919</v>
      </c>
      <c r="I4827" s="1" t="s">
        <v>13977</v>
      </c>
      <c r="J4827" s="1" t="s">
        <v>13978</v>
      </c>
      <c r="K4827" s="1" t="s">
        <v>405</v>
      </c>
      <c r="L4827" s="1" t="s">
        <v>13979</v>
      </c>
      <c r="M4827" s="6" t="str">
        <f>_xlfn.CONCAT(Table1[[#This Row],[Billing Street]], ", ", Table1[[#This Row],[Billing City]], ", ", Table1[[#This Row],[Billing State/Province]], ", ", Table1[[#This Row],[Billing Zip/Postal Code]])</f>
        <v>405 Duryea St., Raymond, WA, 98577</v>
      </c>
    </row>
    <row r="4828" spans="1:13" ht="15.6" hidden="1" x14ac:dyDescent="0.3">
      <c r="A4828" s="1" t="s">
        <v>13980</v>
      </c>
      <c r="B4828" s="1"/>
      <c r="C4828" s="1"/>
      <c r="D4828" s="1"/>
      <c r="E4828" s="1"/>
      <c r="F4828" s="1"/>
      <c r="G4828" s="1" t="s">
        <v>54</v>
      </c>
      <c r="H4828" s="2">
        <v>930</v>
      </c>
      <c r="I4828" s="1" t="s">
        <v>13981</v>
      </c>
      <c r="J4828" s="1" t="s">
        <v>13982</v>
      </c>
      <c r="K4828" s="1" t="s">
        <v>405</v>
      </c>
      <c r="L4828" s="1" t="s">
        <v>13983</v>
      </c>
      <c r="M4828" s="6" t="str">
        <f>_xlfn.CONCAT(Table1[[#This Row],[Billing Street]], ", ", Table1[[#This Row],[Billing City]], ", ", Table1[[#This Row],[Billing State/Province]], ", ", Table1[[#This Row],[Billing Zip/Postal Code]])</f>
        <v>1151 Valley Mall Pkwy, East Wenatchee, WA, 98802</v>
      </c>
    </row>
    <row r="4829" spans="1:13" ht="15.6" hidden="1" x14ac:dyDescent="0.3">
      <c r="A4829" s="1" t="s">
        <v>13984</v>
      </c>
      <c r="B4829" s="1"/>
      <c r="C4829" s="1"/>
      <c r="D4829" s="1"/>
      <c r="E4829" s="1"/>
      <c r="F4829" s="1"/>
      <c r="G4829" s="1" t="s">
        <v>43</v>
      </c>
      <c r="H4829" s="2">
        <v>12</v>
      </c>
      <c r="I4829" s="1" t="s">
        <v>13985</v>
      </c>
      <c r="J4829" s="1" t="s">
        <v>1766</v>
      </c>
      <c r="K4829" s="1" t="s">
        <v>45</v>
      </c>
      <c r="L4829" s="1" t="s">
        <v>1782</v>
      </c>
      <c r="M4829" s="6" t="str">
        <f>_xlfn.CONCAT(Table1[[#This Row],[Billing Street]], ", ", Table1[[#This Row],[Billing City]], ", ", Table1[[#This Row],[Billing State/Province]], ", ", Table1[[#This Row],[Billing Zip/Postal Code]])</f>
        <v>5720 Schaaf Road, Independence, OH, 44131</v>
      </c>
    </row>
    <row r="4830" spans="1:13" ht="15.6" hidden="1" x14ac:dyDescent="0.3">
      <c r="A4830" s="1" t="s">
        <v>13986</v>
      </c>
      <c r="B4830" s="1"/>
      <c r="C4830" s="1"/>
      <c r="D4830" s="1"/>
      <c r="E4830" s="1"/>
      <c r="F4830" s="1"/>
      <c r="G4830" s="1" t="s">
        <v>54</v>
      </c>
      <c r="H4830" s="2">
        <v>851</v>
      </c>
      <c r="I4830" s="1" t="s">
        <v>13987</v>
      </c>
      <c r="J4830" s="1" t="s">
        <v>13988</v>
      </c>
      <c r="K4830" s="1" t="s">
        <v>2254</v>
      </c>
      <c r="L4830" s="1" t="s">
        <v>13989</v>
      </c>
      <c r="M4830" s="6" t="str">
        <f>_xlfn.CONCAT(Table1[[#This Row],[Billing Street]], ", ", Table1[[#This Row],[Billing City]], ", ", Table1[[#This Row],[Billing State/Province]], ", ", Table1[[#This Row],[Billing Zip/Postal Code]])</f>
        <v>64001 Columbia River Hwy, Saint Helens, OR, 97051</v>
      </c>
    </row>
    <row r="4831" spans="1:13" ht="15.6" hidden="1" x14ac:dyDescent="0.3">
      <c r="A4831" s="1" t="s">
        <v>13990</v>
      </c>
      <c r="B4831" s="1"/>
      <c r="C4831" s="1"/>
      <c r="D4831" s="1"/>
      <c r="E4831" s="1"/>
      <c r="F4831" s="1"/>
      <c r="G4831" s="1" t="s">
        <v>54</v>
      </c>
      <c r="H4831" s="2">
        <v>795</v>
      </c>
      <c r="I4831" s="1" t="s">
        <v>13991</v>
      </c>
      <c r="J4831" s="1" t="s">
        <v>866</v>
      </c>
      <c r="K4831" s="1" t="s">
        <v>2254</v>
      </c>
      <c r="L4831" s="1" t="s">
        <v>13992</v>
      </c>
      <c r="M4831" s="6" t="str">
        <f>_xlfn.CONCAT(Table1[[#This Row],[Billing Street]], ", ", Table1[[#This Row],[Billing City]], ", ", Table1[[#This Row],[Billing State/Province]], ", ", Table1[[#This Row],[Billing Zip/Postal Code]])</f>
        <v>633 7th street NW, Salem, OR, 97304</v>
      </c>
    </row>
    <row r="4832" spans="1:13" ht="15.6" hidden="1" x14ac:dyDescent="0.3">
      <c r="A4832" s="1" t="s">
        <v>13993</v>
      </c>
      <c r="B4832" s="1"/>
      <c r="C4832" s="1"/>
      <c r="D4832" s="1"/>
      <c r="E4832" s="1"/>
      <c r="F4832" s="1"/>
      <c r="G4832" s="1" t="s">
        <v>8</v>
      </c>
      <c r="H4832" s="2">
        <v>479</v>
      </c>
      <c r="I4832" s="1" t="s">
        <v>13994</v>
      </c>
      <c r="J4832" s="1" t="s">
        <v>8818</v>
      </c>
      <c r="K4832" s="1" t="s">
        <v>229</v>
      </c>
      <c r="L4832" s="1" t="s">
        <v>13995</v>
      </c>
      <c r="M4832" s="6" t="str">
        <f>_xlfn.CONCAT(Table1[[#This Row],[Billing Street]], ", ", Table1[[#This Row],[Billing City]], ", ", Table1[[#This Row],[Billing State/Province]], ", ", Table1[[#This Row],[Billing Zip/Postal Code]])</f>
        <v>25487 403rd Ave, Mitchell, SD, 57301</v>
      </c>
    </row>
    <row r="4833" spans="1:13" ht="15.6" hidden="1" x14ac:dyDescent="0.3">
      <c r="A4833" s="1" t="s">
        <v>13996</v>
      </c>
      <c r="B4833" s="1"/>
      <c r="C4833" s="1"/>
      <c r="D4833" s="1"/>
      <c r="E4833" s="1"/>
      <c r="F4833" s="1"/>
      <c r="G4833" s="1" t="s">
        <v>8</v>
      </c>
      <c r="H4833" s="2">
        <v>443</v>
      </c>
      <c r="I4833" s="1" t="s">
        <v>13997</v>
      </c>
      <c r="J4833" s="1" t="s">
        <v>13998</v>
      </c>
      <c r="K4833" s="1" t="s">
        <v>21</v>
      </c>
      <c r="L4833" s="1" t="s">
        <v>13999</v>
      </c>
      <c r="M4833" s="6" t="str">
        <f>_xlfn.CONCAT(Table1[[#This Row],[Billing Street]], ", ", Table1[[#This Row],[Billing City]], ", ", Table1[[#This Row],[Billing State/Province]], ", ", Table1[[#This Row],[Billing Zip/Postal Code]])</f>
        <v>700  25th Street NW, Mason City, IA, 50401</v>
      </c>
    </row>
    <row r="4834" spans="1:13" ht="15.6" hidden="1" x14ac:dyDescent="0.3">
      <c r="A4834" s="1" t="s">
        <v>14000</v>
      </c>
      <c r="B4834" s="1"/>
      <c r="C4834" s="1"/>
      <c r="D4834" s="1"/>
      <c r="E4834" s="1"/>
      <c r="F4834" s="1"/>
      <c r="G4834" s="1" t="s">
        <v>43</v>
      </c>
      <c r="H4834" s="2">
        <v>173</v>
      </c>
      <c r="I4834" s="1" t="s">
        <v>14001</v>
      </c>
      <c r="J4834" s="1" t="s">
        <v>3372</v>
      </c>
      <c r="K4834" s="1" t="s">
        <v>671</v>
      </c>
      <c r="L4834" s="1" t="s">
        <v>14002</v>
      </c>
      <c r="M4834" s="6" t="str">
        <f>_xlfn.CONCAT(Table1[[#This Row],[Billing Street]], ", ", Table1[[#This Row],[Billing City]], ", ", Table1[[#This Row],[Billing State/Province]], ", ", Table1[[#This Row],[Billing Zip/Postal Code]])</f>
        <v>699 Hertel Avenue, Buffalo, NY, 14207</v>
      </c>
    </row>
    <row r="4835" spans="1:13" ht="15.6" hidden="1" x14ac:dyDescent="0.3">
      <c r="A4835" s="1" t="s">
        <v>14003</v>
      </c>
      <c r="B4835" s="1"/>
      <c r="C4835" s="1"/>
      <c r="D4835" s="1"/>
      <c r="E4835" s="1"/>
      <c r="F4835" s="1"/>
      <c r="G4835" s="1" t="s">
        <v>54</v>
      </c>
      <c r="H4835" s="2">
        <v>1040</v>
      </c>
      <c r="I4835" s="1" t="s">
        <v>14004</v>
      </c>
      <c r="J4835" s="1" t="s">
        <v>14005</v>
      </c>
      <c r="K4835" s="1" t="s">
        <v>405</v>
      </c>
      <c r="L4835" s="1" t="s">
        <v>14006</v>
      </c>
      <c r="M4835" s="6" t="str">
        <f>_xlfn.CONCAT(Table1[[#This Row],[Billing Street]], ", ", Table1[[#This Row],[Billing City]], ", ", Table1[[#This Row],[Billing State/Province]], ", ", Table1[[#This Row],[Billing Zip/Postal Code]])</f>
        <v>183 Mt Baker Rd, Eastsound, WA, 98245</v>
      </c>
    </row>
    <row r="4836" spans="1:13" ht="15.6" x14ac:dyDescent="0.3">
      <c r="A4836" s="1" t="s">
        <v>14007</v>
      </c>
      <c r="B4836" s="1"/>
      <c r="C4836" s="1"/>
      <c r="D4836" s="1"/>
      <c r="E4836" s="1"/>
      <c r="F4836" s="1"/>
      <c r="G4836" s="1" t="s">
        <v>24</v>
      </c>
      <c r="H4836" s="2">
        <v>111</v>
      </c>
      <c r="I4836" s="1" t="s">
        <v>14008</v>
      </c>
      <c r="J4836" s="1" t="s">
        <v>4977</v>
      </c>
      <c r="K4836" s="1" t="s">
        <v>36</v>
      </c>
      <c r="L4836" s="1" t="s">
        <v>10388</v>
      </c>
      <c r="M4836" s="6" t="str">
        <f>_xlfn.CONCAT(Table1[[#This Row],[Billing Street]], ", ", Table1[[#This Row],[Billing City]], ", ", Table1[[#This Row],[Billing State/Province]], ", ", Table1[[#This Row],[Billing Zip/Postal Code]])</f>
        <v>501 S Calhoun St, Tallahassee, FL, 32399</v>
      </c>
    </row>
    <row r="4837" spans="1:13" ht="15.6" hidden="1" x14ac:dyDescent="0.3">
      <c r="A4837" s="1" t="s">
        <v>14009</v>
      </c>
      <c r="B4837" s="1"/>
      <c r="C4837" s="1"/>
      <c r="D4837" s="1"/>
      <c r="E4837" s="1"/>
      <c r="F4837" s="1"/>
      <c r="G4837" s="1" t="s">
        <v>98</v>
      </c>
      <c r="H4837" s="2">
        <v>289</v>
      </c>
      <c r="I4837" s="1" t="s">
        <v>14010</v>
      </c>
      <c r="J4837" s="1" t="s">
        <v>637</v>
      </c>
      <c r="K4837" s="1" t="s">
        <v>1135</v>
      </c>
      <c r="L4837" s="1" t="s">
        <v>5033</v>
      </c>
      <c r="M4837" s="6" t="str">
        <f>_xlfn.CONCAT(Table1[[#This Row],[Billing Street]], ", ", Table1[[#This Row],[Billing City]], ", ", Table1[[#This Row],[Billing State/Province]], ", ", Table1[[#This Row],[Billing Zip/Postal Code]])</f>
        <v>320 US Highway 45 Bypass, Jackson, TN, 38301</v>
      </c>
    </row>
    <row r="4838" spans="1:13" ht="15.6" hidden="1" x14ac:dyDescent="0.3">
      <c r="A4838" s="1" t="s">
        <v>14011</v>
      </c>
      <c r="B4838" s="1"/>
      <c r="C4838" s="1"/>
      <c r="D4838" s="1"/>
      <c r="E4838" s="1"/>
      <c r="F4838" s="1"/>
      <c r="G4838" s="1" t="s">
        <v>98</v>
      </c>
      <c r="H4838" s="2">
        <v>299</v>
      </c>
      <c r="I4838" s="1" t="s">
        <v>14012</v>
      </c>
      <c r="J4838" s="1" t="s">
        <v>1021</v>
      </c>
      <c r="K4838" s="1" t="s">
        <v>1135</v>
      </c>
      <c r="L4838" s="1" t="s">
        <v>1136</v>
      </c>
      <c r="M4838" s="6" t="str">
        <f>_xlfn.CONCAT(Table1[[#This Row],[Billing Street]], ", ", Table1[[#This Row],[Billing City]], ", ", Table1[[#This Row],[Billing State/Province]], ", ", Table1[[#This Row],[Billing Zip/Postal Code]])</f>
        <v>207 S 13th Avenue, Humboldt, TN, 38343</v>
      </c>
    </row>
    <row r="4839" spans="1:13" ht="15.6" hidden="1" x14ac:dyDescent="0.3">
      <c r="A4839" s="1" t="s">
        <v>14013</v>
      </c>
      <c r="B4839" s="1"/>
      <c r="C4839" s="1"/>
      <c r="D4839" s="1"/>
      <c r="E4839" s="1"/>
      <c r="F4839" s="1"/>
      <c r="G4839" s="1" t="s">
        <v>98</v>
      </c>
      <c r="H4839" s="2">
        <v>295</v>
      </c>
      <c r="I4839" s="1" t="s">
        <v>14014</v>
      </c>
      <c r="J4839" s="1" t="s">
        <v>14015</v>
      </c>
      <c r="K4839" s="1" t="s">
        <v>1135</v>
      </c>
      <c r="L4839" s="1" t="s">
        <v>14016</v>
      </c>
      <c r="M4839" s="6" t="str">
        <f>_xlfn.CONCAT(Table1[[#This Row],[Billing Street]], ", ", Table1[[#This Row],[Billing City]], ", ", Table1[[#This Row],[Billing State/Province]], ", ", Table1[[#This Row],[Billing Zip/Postal Code]])</f>
        <v>1085 2nd Street, MIlan, TN, 38358</v>
      </c>
    </row>
    <row r="4840" spans="1:13" ht="15.6" hidden="1" x14ac:dyDescent="0.3">
      <c r="A4840" s="1" t="s">
        <v>14017</v>
      </c>
      <c r="B4840" s="1"/>
      <c r="C4840" s="1"/>
      <c r="D4840" s="1"/>
      <c r="E4840" s="1"/>
      <c r="F4840" s="1"/>
      <c r="G4840" s="1" t="s">
        <v>98</v>
      </c>
      <c r="H4840" s="2">
        <v>5887</v>
      </c>
      <c r="I4840" s="1" t="s">
        <v>13</v>
      </c>
      <c r="J4840" s="1" t="s">
        <v>13</v>
      </c>
      <c r="K4840" s="1" t="s">
        <v>1135</v>
      </c>
      <c r="L4840" s="1" t="s">
        <v>13</v>
      </c>
      <c r="M4840" s="6" t="str">
        <f>_xlfn.CONCAT(Table1[[#This Row],[Billing Street]], ", ", Table1[[#This Row],[Billing City]], ", ", Table1[[#This Row],[Billing State/Province]], ", ", Table1[[#This Row],[Billing Zip/Postal Code]])</f>
        <v xml:space="preserve">, , TN, </v>
      </c>
    </row>
    <row r="4841" spans="1:13" ht="15.6" hidden="1" x14ac:dyDescent="0.3">
      <c r="A4841" s="1" t="s">
        <v>14018</v>
      </c>
      <c r="B4841" s="1"/>
      <c r="C4841" s="1"/>
      <c r="D4841" s="1"/>
      <c r="E4841" s="1"/>
      <c r="F4841" s="1"/>
      <c r="G4841" s="1" t="s">
        <v>98</v>
      </c>
      <c r="H4841" s="2">
        <v>207</v>
      </c>
      <c r="I4841" s="1" t="s">
        <v>14019</v>
      </c>
      <c r="J4841" s="1" t="s">
        <v>585</v>
      </c>
      <c r="K4841" s="1" t="s">
        <v>1135</v>
      </c>
      <c r="L4841" s="1" t="s">
        <v>3025</v>
      </c>
      <c r="M4841" s="6" t="str">
        <f>_xlfn.CONCAT(Table1[[#This Row],[Billing Street]], ", ", Table1[[#This Row],[Billing City]], ", ", Table1[[#This Row],[Billing State/Province]], ", ", Table1[[#This Row],[Billing Zip/Postal Code]])</f>
        <v>318 Seaboard Ln #318, Franklin, TN, 37067</v>
      </c>
    </row>
    <row r="4842" spans="1:13" ht="15.6" hidden="1" x14ac:dyDescent="0.3">
      <c r="A4842" s="1" t="s">
        <v>14020</v>
      </c>
      <c r="B4842" s="1"/>
      <c r="C4842" s="1"/>
      <c r="D4842" s="1"/>
      <c r="E4842" s="1"/>
      <c r="F4842" s="1"/>
      <c r="G4842" s="1" t="s">
        <v>54</v>
      </c>
      <c r="H4842" s="2">
        <v>910</v>
      </c>
      <c r="I4842" s="1" t="s">
        <v>14021</v>
      </c>
      <c r="J4842" s="1" t="s">
        <v>14022</v>
      </c>
      <c r="K4842" s="1" t="s">
        <v>405</v>
      </c>
      <c r="L4842" s="1" t="s">
        <v>7448</v>
      </c>
      <c r="M4842" s="6" t="str">
        <f>_xlfn.CONCAT(Table1[[#This Row],[Billing Street]], ", ", Table1[[#This Row],[Billing City]], ", ", Table1[[#This Row],[Billing State/Province]], ", ", Table1[[#This Row],[Billing Zip/Postal Code]])</f>
        <v>1100 N. Tower Abe, Centralists, WA, 98531</v>
      </c>
    </row>
    <row r="4843" spans="1:13" ht="15.6" hidden="1" x14ac:dyDescent="0.3">
      <c r="A4843" s="1" t="s">
        <v>14023</v>
      </c>
      <c r="B4843" s="1"/>
      <c r="C4843" s="1"/>
      <c r="D4843" s="1"/>
      <c r="E4843" s="1"/>
      <c r="F4843" s="1"/>
      <c r="G4843" s="1" t="s">
        <v>43</v>
      </c>
      <c r="H4843" s="2">
        <v>5776</v>
      </c>
      <c r="I4843" s="1" t="s">
        <v>14024</v>
      </c>
      <c r="J4843" s="1" t="s">
        <v>11624</v>
      </c>
      <c r="K4843" s="1" t="s">
        <v>781</v>
      </c>
      <c r="L4843" s="1" t="s">
        <v>11625</v>
      </c>
      <c r="M4843" s="6" t="str">
        <f>_xlfn.CONCAT(Table1[[#This Row],[Billing Street]], ", ", Table1[[#This Row],[Billing City]], ", ", Table1[[#This Row],[Billing State/Province]], ", ", Table1[[#This Row],[Billing Zip/Postal Code]])</f>
        <v>1330 Charlestown rd, Phoenixville, pa, 19460</v>
      </c>
    </row>
    <row r="4844" spans="1:13" ht="15.6" hidden="1" x14ac:dyDescent="0.3">
      <c r="A4844" s="1" t="s">
        <v>14025</v>
      </c>
      <c r="B4844" s="1"/>
      <c r="C4844" s="1"/>
      <c r="D4844" s="1"/>
      <c r="E4844" s="1"/>
      <c r="F4844" s="1"/>
      <c r="G4844" s="1" t="s">
        <v>43</v>
      </c>
      <c r="H4844" s="2">
        <v>21</v>
      </c>
      <c r="I4844" s="1" t="s">
        <v>14026</v>
      </c>
      <c r="J4844" s="1" t="s">
        <v>6349</v>
      </c>
      <c r="K4844" s="1" t="s">
        <v>45</v>
      </c>
      <c r="L4844" s="1" t="s">
        <v>14027</v>
      </c>
      <c r="M4844" s="6" t="str">
        <f>_xlfn.CONCAT(Table1[[#This Row],[Billing Street]], ", ", Table1[[#This Row],[Billing City]], ", ", Table1[[#This Row],[Billing State/Province]], ", ", Table1[[#This Row],[Billing Zip/Postal Code]])</f>
        <v>33210 Lakeland Blvd., Eastlake, OH, 44095</v>
      </c>
    </row>
    <row r="4845" spans="1:13" ht="15.6" hidden="1" x14ac:dyDescent="0.3">
      <c r="A4845" s="1" t="s">
        <v>14028</v>
      </c>
      <c r="B4845" s="1"/>
      <c r="C4845" s="1"/>
      <c r="D4845" s="1"/>
      <c r="E4845" s="1"/>
      <c r="F4845" s="1"/>
      <c r="G4845" s="1" t="s">
        <v>43</v>
      </c>
      <c r="H4845" s="2">
        <v>336</v>
      </c>
      <c r="I4845" s="1" t="s">
        <v>14029</v>
      </c>
      <c r="J4845" s="1" t="s">
        <v>3508</v>
      </c>
      <c r="K4845" s="1" t="s">
        <v>275</v>
      </c>
      <c r="L4845" s="1" t="s">
        <v>14030</v>
      </c>
      <c r="M4845" s="6" t="str">
        <f>_xlfn.CONCAT(Table1[[#This Row],[Billing Street]], ", ", Table1[[#This Row],[Billing City]], ", ", Table1[[#This Row],[Billing State/Province]], ", ", Table1[[#This Row],[Billing Zip/Postal Code]])</f>
        <v>8283 Seneca Turnpick, Clinton, ny, 13323</v>
      </c>
    </row>
    <row r="4846" spans="1:13" ht="15.6" hidden="1" x14ac:dyDescent="0.3">
      <c r="A4846" s="1" t="s">
        <v>14031</v>
      </c>
      <c r="B4846" s="1"/>
      <c r="C4846" s="1"/>
      <c r="D4846" s="1"/>
      <c r="E4846" s="1"/>
      <c r="F4846" s="1"/>
      <c r="G4846" s="1" t="s">
        <v>98</v>
      </c>
      <c r="H4846" s="2">
        <v>329</v>
      </c>
      <c r="I4846" s="1" t="s">
        <v>14032</v>
      </c>
      <c r="J4846" s="1" t="s">
        <v>14033</v>
      </c>
      <c r="K4846" s="1" t="s">
        <v>1135</v>
      </c>
      <c r="L4846" s="1" t="s">
        <v>14034</v>
      </c>
      <c r="M4846" s="6" t="str">
        <f>_xlfn.CONCAT(Table1[[#This Row],[Billing Street]], ", ", Table1[[#This Row],[Billing City]], ", ", Table1[[#This Row],[Billing State/Province]], ", ", Table1[[#This Row],[Billing Zip/Postal Code]])</f>
        <v>211 E. Court St., Dyersburg, TN, 38025</v>
      </c>
    </row>
    <row r="4847" spans="1:13" ht="15.6" x14ac:dyDescent="0.3">
      <c r="A4847" s="1" t="s">
        <v>14035</v>
      </c>
      <c r="B4847" s="1"/>
      <c r="C4847" s="1"/>
      <c r="D4847" s="1"/>
      <c r="E4847" s="1"/>
      <c r="F4847" s="1"/>
      <c r="G4847" s="1" t="s">
        <v>24</v>
      </c>
      <c r="H4847" s="2">
        <v>5988</v>
      </c>
      <c r="I4847" s="1" t="s">
        <v>14036</v>
      </c>
      <c r="J4847" s="1" t="s">
        <v>950</v>
      </c>
      <c r="K4847" s="1" t="s">
        <v>31</v>
      </c>
      <c r="L4847" s="1" t="s">
        <v>12547</v>
      </c>
      <c r="M4847" s="6" t="str">
        <f>_xlfn.CONCAT(Table1[[#This Row],[Billing Street]], ", ", Table1[[#This Row],[Billing City]], ", ", Table1[[#This Row],[Billing State/Province]], ", ", Table1[[#This Row],[Billing Zip/Postal Code]])</f>
        <v>150 Count Lane, Vicksburg, MS, 39183</v>
      </c>
    </row>
    <row r="4848" spans="1:13" ht="15.6" hidden="1" x14ac:dyDescent="0.3">
      <c r="A4848" s="1" t="s">
        <v>14037</v>
      </c>
      <c r="B4848" s="1"/>
      <c r="C4848" s="1"/>
      <c r="D4848" s="1"/>
      <c r="E4848" s="1"/>
      <c r="F4848" s="1"/>
      <c r="G4848" s="1" t="s">
        <v>98</v>
      </c>
      <c r="H4848" s="2">
        <v>326</v>
      </c>
      <c r="I4848" s="1" t="s">
        <v>14038</v>
      </c>
      <c r="J4848" s="1" t="s">
        <v>5737</v>
      </c>
      <c r="K4848" s="1" t="s">
        <v>1135</v>
      </c>
      <c r="L4848" s="1" t="s">
        <v>14039</v>
      </c>
      <c r="M4848" s="6" t="str">
        <f>_xlfn.CONCAT(Table1[[#This Row],[Billing Street]], ", ", Table1[[#This Row],[Billing City]], ", ", Table1[[#This Row],[Billing State/Province]], ", ", Table1[[#This Row],[Billing Zip/Postal Code]])</f>
        <v>312 North Division Street, Union City, TN, 38261</v>
      </c>
    </row>
    <row r="4849" spans="1:13" ht="15.6" hidden="1" x14ac:dyDescent="0.3">
      <c r="A4849" s="1" t="s">
        <v>14040</v>
      </c>
      <c r="B4849" s="1"/>
      <c r="C4849" s="1"/>
      <c r="D4849" s="1"/>
      <c r="E4849" s="1"/>
      <c r="F4849" s="1"/>
      <c r="G4849" s="1" t="s">
        <v>98</v>
      </c>
      <c r="H4849" s="2">
        <v>329</v>
      </c>
      <c r="I4849" s="1" t="s">
        <v>14041</v>
      </c>
      <c r="J4849" s="1" t="s">
        <v>4351</v>
      </c>
      <c r="K4849" s="1" t="s">
        <v>1135</v>
      </c>
      <c r="L4849" s="1" t="s">
        <v>14042</v>
      </c>
      <c r="M4849" s="6" t="str">
        <f>_xlfn.CONCAT(Table1[[#This Row],[Billing Street]], ", ", Table1[[#This Row],[Billing City]], ", ", Table1[[#This Row],[Billing State/Province]], ", ", Table1[[#This Row],[Billing Zip/Postal Code]])</f>
        <v>1469 South Main Street, Covington, TN, 38019</v>
      </c>
    </row>
    <row r="4850" spans="1:13" ht="15.6" hidden="1" x14ac:dyDescent="0.3">
      <c r="A4850" s="1" t="s">
        <v>14043</v>
      </c>
      <c r="B4850" s="1"/>
      <c r="C4850" s="1"/>
      <c r="D4850" s="1"/>
      <c r="E4850" s="1"/>
      <c r="F4850" s="1"/>
      <c r="G4850" s="1" t="s">
        <v>43</v>
      </c>
      <c r="H4850" s="2">
        <v>320</v>
      </c>
      <c r="I4850" s="1" t="s">
        <v>14044</v>
      </c>
      <c r="J4850" s="1" t="s">
        <v>3146</v>
      </c>
      <c r="K4850" s="1" t="s">
        <v>3127</v>
      </c>
      <c r="L4850" s="1" t="s">
        <v>11605</v>
      </c>
      <c r="M4850" s="6" t="str">
        <f>_xlfn.CONCAT(Table1[[#This Row],[Billing Street]], ", ", Table1[[#This Row],[Billing City]], ", ", Table1[[#This Row],[Billing State/Province]], ", ", Table1[[#This Row],[Billing Zip/Postal Code]])</f>
        <v>655 Papermill Rd, Newark, De, 19711</v>
      </c>
    </row>
    <row r="4851" spans="1:13" ht="15.6" hidden="1" x14ac:dyDescent="0.3">
      <c r="A4851" s="1" t="s">
        <v>14045</v>
      </c>
      <c r="B4851" s="1"/>
      <c r="C4851" s="1"/>
      <c r="D4851" s="1"/>
      <c r="E4851" s="1"/>
      <c r="F4851" s="1"/>
      <c r="G4851" s="1" t="s">
        <v>98</v>
      </c>
      <c r="H4851" s="2">
        <v>311</v>
      </c>
      <c r="I4851" s="1" t="s">
        <v>14046</v>
      </c>
      <c r="J4851" s="1" t="s">
        <v>14047</v>
      </c>
      <c r="K4851" s="1" t="s">
        <v>1135</v>
      </c>
      <c r="L4851" s="1" t="s">
        <v>14048</v>
      </c>
      <c r="M4851" s="6" t="str">
        <f>_xlfn.CONCAT(Table1[[#This Row],[Billing Street]], ", ", Table1[[#This Row],[Billing City]], ", ", Table1[[#This Row],[Billing State/Province]], ", ", Table1[[#This Row],[Billing Zip/Postal Code]])</f>
        <v>75 N. Lafayette Ave., Brownsville, TN, 38012</v>
      </c>
    </row>
    <row r="4852" spans="1:13" ht="15.6" hidden="1" x14ac:dyDescent="0.3">
      <c r="A4852" s="1" t="s">
        <v>14049</v>
      </c>
      <c r="B4852" s="1"/>
      <c r="C4852" s="1"/>
      <c r="D4852" s="1"/>
      <c r="E4852" s="1"/>
      <c r="F4852" s="1"/>
      <c r="G4852" s="1" t="s">
        <v>43</v>
      </c>
      <c r="H4852" s="2">
        <v>5776</v>
      </c>
      <c r="I4852" s="1" t="s">
        <v>14050</v>
      </c>
      <c r="J4852" s="1" t="s">
        <v>14051</v>
      </c>
      <c r="K4852" s="1" t="s">
        <v>781</v>
      </c>
      <c r="L4852" s="1" t="s">
        <v>14052</v>
      </c>
      <c r="M4852" s="6" t="str">
        <f>_xlfn.CONCAT(Table1[[#This Row],[Billing Street]], ", ", Table1[[#This Row],[Billing City]], ", ", Table1[[#This Row],[Billing State/Province]], ", ", Table1[[#This Row],[Billing Zip/Postal Code]])</f>
        <v>196 Beach Lake Highway, Homesdale, pa, 18431</v>
      </c>
    </row>
    <row r="4853" spans="1:13" ht="15.6" hidden="1" x14ac:dyDescent="0.3">
      <c r="A4853" s="1" t="s">
        <v>14053</v>
      </c>
      <c r="B4853" s="1"/>
      <c r="C4853" s="1"/>
      <c r="D4853" s="1"/>
      <c r="E4853" s="1"/>
      <c r="F4853" s="1"/>
      <c r="G4853" s="1" t="s">
        <v>8</v>
      </c>
      <c r="H4853" s="2">
        <v>6528</v>
      </c>
      <c r="I4853" s="1" t="s">
        <v>13</v>
      </c>
      <c r="J4853" s="1" t="s">
        <v>13</v>
      </c>
      <c r="K4853" s="1" t="s">
        <v>11</v>
      </c>
      <c r="L4853" s="1" t="s">
        <v>13</v>
      </c>
      <c r="M4853" s="6" t="str">
        <f>_xlfn.CONCAT(Table1[[#This Row],[Billing Street]], ", ", Table1[[#This Row],[Billing City]], ", ", Table1[[#This Row],[Billing State/Province]], ", ", Table1[[#This Row],[Billing Zip/Postal Code]])</f>
        <v xml:space="preserve">, , MO, </v>
      </c>
    </row>
    <row r="4854" spans="1:13" ht="15.6" hidden="1" x14ac:dyDescent="0.3">
      <c r="A4854" s="1" t="s">
        <v>14054</v>
      </c>
      <c r="B4854" s="1"/>
      <c r="C4854" s="1"/>
      <c r="D4854" s="1"/>
      <c r="E4854" s="1"/>
      <c r="F4854" s="1"/>
      <c r="G4854" s="1" t="s">
        <v>8</v>
      </c>
      <c r="H4854" s="2">
        <v>6528</v>
      </c>
      <c r="I4854" s="1" t="s">
        <v>13</v>
      </c>
      <c r="J4854" s="1" t="s">
        <v>13</v>
      </c>
      <c r="K4854" s="1" t="s">
        <v>11</v>
      </c>
      <c r="L4854" s="1" t="s">
        <v>13</v>
      </c>
      <c r="M4854" s="6" t="str">
        <f>_xlfn.CONCAT(Table1[[#This Row],[Billing Street]], ", ", Table1[[#This Row],[Billing City]], ", ", Table1[[#This Row],[Billing State/Province]], ", ", Table1[[#This Row],[Billing Zip/Postal Code]])</f>
        <v xml:space="preserve">, , MO, </v>
      </c>
    </row>
    <row r="4855" spans="1:13" ht="15.6" hidden="1" x14ac:dyDescent="0.3">
      <c r="A4855" s="1" t="s">
        <v>11041</v>
      </c>
      <c r="B4855" s="1"/>
      <c r="C4855" s="1"/>
      <c r="D4855" s="1"/>
      <c r="E4855" s="1"/>
      <c r="F4855" s="1"/>
      <c r="G4855" s="1" t="s">
        <v>43</v>
      </c>
      <c r="H4855" s="2">
        <v>5776</v>
      </c>
      <c r="I4855" s="1" t="s">
        <v>14055</v>
      </c>
      <c r="J4855" s="1" t="s">
        <v>9669</v>
      </c>
      <c r="K4855" s="1" t="s">
        <v>1154</v>
      </c>
      <c r="L4855" s="1" t="s">
        <v>9670</v>
      </c>
      <c r="M4855" s="6" t="str">
        <f>_xlfn.CONCAT(Table1[[#This Row],[Billing Street]], ", ", Table1[[#This Row],[Billing City]], ", ", Table1[[#This Row],[Billing State/Province]], ", ", Table1[[#This Row],[Billing Zip/Postal Code]])</f>
        <v>2527 Market St, Aston, Pa, 19014</v>
      </c>
    </row>
    <row r="4856" spans="1:13" ht="15.6" hidden="1" x14ac:dyDescent="0.3">
      <c r="A4856" s="1" t="s">
        <v>14056</v>
      </c>
      <c r="B4856" s="1"/>
      <c r="C4856" s="1"/>
      <c r="D4856" s="1"/>
      <c r="E4856" s="1"/>
      <c r="F4856" s="1"/>
      <c r="G4856" s="1" t="s">
        <v>43</v>
      </c>
      <c r="H4856" s="2">
        <v>5776</v>
      </c>
      <c r="I4856" s="1" t="s">
        <v>14057</v>
      </c>
      <c r="J4856" s="1" t="s">
        <v>14058</v>
      </c>
      <c r="K4856" s="1" t="s">
        <v>1154</v>
      </c>
      <c r="L4856" s="1" t="s">
        <v>14059</v>
      </c>
      <c r="M4856" s="6" t="str">
        <f>_xlfn.CONCAT(Table1[[#This Row],[Billing Street]], ", ", Table1[[#This Row],[Billing City]], ", ", Table1[[#This Row],[Billing State/Province]], ", ", Table1[[#This Row],[Billing Zip/Postal Code]])</f>
        <v>100 green st, Marcus hook, Pa, 19061</v>
      </c>
    </row>
    <row r="4857" spans="1:13" ht="15.6" hidden="1" x14ac:dyDescent="0.3">
      <c r="A4857" s="1" t="s">
        <v>14060</v>
      </c>
      <c r="B4857" s="1"/>
      <c r="C4857" s="1"/>
      <c r="D4857" s="1"/>
      <c r="E4857" s="1"/>
      <c r="F4857" s="1"/>
      <c r="G4857" s="1" t="s">
        <v>98</v>
      </c>
      <c r="H4857" s="2">
        <v>310</v>
      </c>
      <c r="I4857" s="1" t="s">
        <v>14061</v>
      </c>
      <c r="J4857" s="1" t="s">
        <v>14047</v>
      </c>
      <c r="K4857" s="1" t="s">
        <v>1135</v>
      </c>
      <c r="L4857" s="1" t="s">
        <v>14048</v>
      </c>
      <c r="M4857" s="6" t="str">
        <f>_xlfn.CONCAT(Table1[[#This Row],[Billing Street]], ", ", Table1[[#This Row],[Billing City]], ", ", Table1[[#This Row],[Billing State/Province]], ", ", Table1[[#This Row],[Billing Zip/Postal Code]])</f>
        <v>1000 East Main Street, Brownsville, TN, 38012</v>
      </c>
    </row>
    <row r="4858" spans="1:13" ht="15.6" hidden="1" x14ac:dyDescent="0.3">
      <c r="A4858" s="1" t="s">
        <v>14062</v>
      </c>
      <c r="B4858" s="1"/>
      <c r="C4858" s="1"/>
      <c r="D4858" s="1"/>
      <c r="E4858" s="1"/>
      <c r="F4858" s="1"/>
      <c r="G4858" s="1" t="s">
        <v>98</v>
      </c>
      <c r="H4858" s="2">
        <v>211</v>
      </c>
      <c r="I4858" s="1" t="s">
        <v>14063</v>
      </c>
      <c r="J4858" s="1" t="s">
        <v>997</v>
      </c>
      <c r="K4858" s="1" t="s">
        <v>1135</v>
      </c>
      <c r="L4858" s="1" t="s">
        <v>14064</v>
      </c>
      <c r="M4858" s="6" t="str">
        <f>_xlfn.CONCAT(Table1[[#This Row],[Billing Street]], ", ", Table1[[#This Row],[Billing City]], ", ", Table1[[#This Row],[Billing State/Province]], ", ", Table1[[#This Row],[Billing Zip/Postal Code]])</f>
        <v>405 College St., Lafayette, TN, 37083</v>
      </c>
    </row>
    <row r="4859" spans="1:13" ht="15.6" hidden="1" x14ac:dyDescent="0.3">
      <c r="A4859" s="1" t="s">
        <v>14065</v>
      </c>
      <c r="B4859" s="1"/>
      <c r="C4859" s="1"/>
      <c r="D4859" s="1"/>
      <c r="E4859" s="1"/>
      <c r="F4859" s="1"/>
      <c r="G4859" s="1" t="s">
        <v>43</v>
      </c>
      <c r="H4859" s="2">
        <v>5776</v>
      </c>
      <c r="I4859" s="1" t="s">
        <v>14066</v>
      </c>
      <c r="J4859" s="1" t="s">
        <v>5656</v>
      </c>
      <c r="K4859" s="1" t="s">
        <v>586</v>
      </c>
      <c r="L4859" s="1" t="s">
        <v>14067</v>
      </c>
      <c r="M4859" s="6" t="str">
        <f>_xlfn.CONCAT(Table1[[#This Row],[Billing Street]], ", ", Table1[[#This Row],[Billing City]], ", ", Table1[[#This Row],[Billing State/Province]], ", ", Table1[[#This Row],[Billing Zip/Postal Code]])</f>
        <v>53 Second Ave, Chicopee, ma, 1020</v>
      </c>
    </row>
    <row r="4860" spans="1:13" ht="15.6" hidden="1" x14ac:dyDescent="0.3">
      <c r="A4860" s="1" t="s">
        <v>14068</v>
      </c>
      <c r="B4860" s="1"/>
      <c r="C4860" s="1"/>
      <c r="D4860" s="1"/>
      <c r="E4860" s="1"/>
      <c r="F4860" s="1"/>
      <c r="G4860" s="1" t="s">
        <v>43</v>
      </c>
      <c r="H4860" s="2">
        <v>304</v>
      </c>
      <c r="I4860" s="1" t="s">
        <v>14069</v>
      </c>
      <c r="J4860" s="1" t="s">
        <v>14070</v>
      </c>
      <c r="K4860" s="1" t="s">
        <v>237</v>
      </c>
      <c r="L4860" s="1" t="s">
        <v>14071</v>
      </c>
      <c r="M4860" s="6" t="str">
        <f>_xlfn.CONCAT(Table1[[#This Row],[Billing Street]], ", ", Table1[[#This Row],[Billing City]], ", ", Table1[[#This Row],[Billing State/Province]], ", ", Table1[[#This Row],[Billing Zip/Postal Code]])</f>
        <v>1433 E. 83rd Avenue  Suite 200, Merrillville, IN, 46410</v>
      </c>
    </row>
    <row r="4861" spans="1:13" ht="15.6" hidden="1" x14ac:dyDescent="0.3">
      <c r="A4861" s="1" t="s">
        <v>14072</v>
      </c>
      <c r="B4861" s="1"/>
      <c r="C4861" s="1"/>
      <c r="D4861" s="1"/>
      <c r="E4861" s="1"/>
      <c r="F4861" s="1"/>
      <c r="G4861" s="1" t="s">
        <v>54</v>
      </c>
      <c r="H4861" s="2">
        <v>18</v>
      </c>
      <c r="I4861" s="1" t="s">
        <v>14073</v>
      </c>
      <c r="J4861" s="1" t="s">
        <v>2764</v>
      </c>
      <c r="K4861" s="1" t="s">
        <v>57</v>
      </c>
      <c r="L4861" s="1" t="s">
        <v>9039</v>
      </c>
      <c r="M4861" s="6" t="str">
        <f>_xlfn.CONCAT(Table1[[#This Row],[Billing Street]], ", ", Table1[[#This Row],[Billing City]], ", ", Table1[[#This Row],[Billing State/Province]], ", ", Table1[[#This Row],[Billing Zip/Postal Code]])</f>
        <v>1411 W. Gaylord St, Long Beach, CA, 90813</v>
      </c>
    </row>
    <row r="4862" spans="1:13" ht="15.6" hidden="1" x14ac:dyDescent="0.3">
      <c r="A4862" s="1" t="s">
        <v>14074</v>
      </c>
      <c r="B4862" s="1"/>
      <c r="C4862" s="1"/>
      <c r="D4862" s="1"/>
      <c r="E4862" s="1"/>
      <c r="F4862" s="1"/>
      <c r="G4862" s="1" t="s">
        <v>43</v>
      </c>
      <c r="H4862" s="2">
        <v>223</v>
      </c>
      <c r="I4862" s="1" t="s">
        <v>14075</v>
      </c>
      <c r="J4862" s="1" t="s">
        <v>14076</v>
      </c>
      <c r="K4862" s="1" t="s">
        <v>275</v>
      </c>
      <c r="L4862" s="1" t="s">
        <v>14077</v>
      </c>
      <c r="M4862" s="6" t="str">
        <f>_xlfn.CONCAT(Table1[[#This Row],[Billing Street]], ", ", Table1[[#This Row],[Billing City]], ", ", Table1[[#This Row],[Billing State/Province]], ", ", Table1[[#This Row],[Billing Zip/Postal Code]])</f>
        <v>7370 Fair St.  po box 263, Hemlock, ny, 14466</v>
      </c>
    </row>
    <row r="4863" spans="1:13" ht="15.6" x14ac:dyDescent="0.3">
      <c r="A4863" s="1" t="s">
        <v>14078</v>
      </c>
      <c r="B4863" s="1"/>
      <c r="C4863" s="1"/>
      <c r="D4863" s="1"/>
      <c r="E4863" s="1"/>
      <c r="F4863" s="1"/>
      <c r="G4863" s="1" t="s">
        <v>24</v>
      </c>
      <c r="H4863" s="2">
        <v>218</v>
      </c>
      <c r="I4863" s="1" t="s">
        <v>14079</v>
      </c>
      <c r="J4863" s="1" t="s">
        <v>2013</v>
      </c>
      <c r="K4863" s="1" t="s">
        <v>101</v>
      </c>
      <c r="L4863" s="1" t="s">
        <v>14080</v>
      </c>
      <c r="M4863" s="6" t="str">
        <f>_xlfn.CONCAT(Table1[[#This Row],[Billing Street]], ", ", Table1[[#This Row],[Billing City]], ", ", Table1[[#This Row],[Billing State/Province]], ", ", Table1[[#This Row],[Billing Zip/Postal Code]])</f>
        <v>310 W. Clinton St., Gray, GA, 31032</v>
      </c>
    </row>
    <row r="4864" spans="1:13" ht="15.6" hidden="1" x14ac:dyDescent="0.3">
      <c r="A4864" s="1" t="s">
        <v>14081</v>
      </c>
      <c r="B4864" s="1"/>
      <c r="C4864" s="1"/>
      <c r="D4864" s="1"/>
      <c r="E4864" s="1"/>
      <c r="F4864" s="1"/>
      <c r="G4864" s="1" t="s">
        <v>43</v>
      </c>
      <c r="H4864" s="2">
        <v>225</v>
      </c>
      <c r="I4864" s="1" t="s">
        <v>14082</v>
      </c>
      <c r="J4864" s="1" t="s">
        <v>2709</v>
      </c>
      <c r="K4864" s="1" t="s">
        <v>237</v>
      </c>
      <c r="L4864" s="1" t="s">
        <v>14083</v>
      </c>
      <c r="M4864" s="6" t="str">
        <f>_xlfn.CONCAT(Table1[[#This Row],[Billing Street]], ", ", Table1[[#This Row],[Billing City]], ", ", Table1[[#This Row],[Billing State/Province]], ", ", Table1[[#This Row],[Billing Zip/Postal Code]])</f>
        <v>201 East Charles Street, Marion, IN, 46952</v>
      </c>
    </row>
    <row r="4865" spans="1:13" ht="15.6" hidden="1" x14ac:dyDescent="0.3">
      <c r="A4865" s="1" t="s">
        <v>14084</v>
      </c>
      <c r="B4865" s="1"/>
      <c r="C4865" s="1"/>
      <c r="D4865" s="1"/>
      <c r="E4865" s="1"/>
      <c r="F4865" s="1"/>
      <c r="G4865" s="1" t="s">
        <v>43</v>
      </c>
      <c r="H4865" s="2">
        <v>331</v>
      </c>
      <c r="I4865" s="1" t="s">
        <v>14085</v>
      </c>
      <c r="J4865" s="1" t="s">
        <v>14086</v>
      </c>
      <c r="K4865" s="1" t="s">
        <v>241</v>
      </c>
      <c r="L4865" s="1" t="s">
        <v>14087</v>
      </c>
      <c r="M4865" s="6" t="str">
        <f>_xlfn.CONCAT(Table1[[#This Row],[Billing Street]], ", ", Table1[[#This Row],[Billing City]], ", ", Table1[[#This Row],[Billing State/Province]], ", ", Table1[[#This Row],[Billing Zip/Postal Code]])</f>
        <v>1 Vine St, Lansdale, PA, 19446-3601</v>
      </c>
    </row>
    <row r="4866" spans="1:13" ht="15.6" hidden="1" x14ac:dyDescent="0.3">
      <c r="A4866" s="1" t="s">
        <v>14088</v>
      </c>
      <c r="B4866" s="1"/>
      <c r="C4866" s="1"/>
      <c r="D4866" s="1"/>
      <c r="E4866" s="1"/>
      <c r="F4866" s="1"/>
      <c r="G4866" s="1" t="s">
        <v>43</v>
      </c>
      <c r="H4866" s="2">
        <v>171</v>
      </c>
      <c r="I4866" s="1" t="s">
        <v>14089</v>
      </c>
      <c r="J4866" s="1" t="s">
        <v>3372</v>
      </c>
      <c r="K4866" s="1" t="s">
        <v>275</v>
      </c>
      <c r="L4866" s="1" t="s">
        <v>14090</v>
      </c>
      <c r="M4866" s="6" t="str">
        <f>_xlfn.CONCAT(Table1[[#This Row],[Billing Street]], ", ", Table1[[#This Row],[Billing City]], ", ", Table1[[#This Row],[Billing State/Province]], ", ", Table1[[#This Row],[Billing Zip/Postal Code]])</f>
        <v>50 Fountain Plaza Suite 600, Buffalo, ny, 14202</v>
      </c>
    </row>
    <row r="4867" spans="1:13" ht="15.6" hidden="1" x14ac:dyDescent="0.3">
      <c r="A4867" s="1" t="s">
        <v>14091</v>
      </c>
      <c r="B4867" s="1"/>
      <c r="C4867" s="1"/>
      <c r="D4867" s="1"/>
      <c r="E4867" s="1"/>
      <c r="F4867" s="1"/>
      <c r="G4867" s="1" t="s">
        <v>43</v>
      </c>
      <c r="H4867" s="2">
        <v>244</v>
      </c>
      <c r="I4867" s="1" t="s">
        <v>14092</v>
      </c>
      <c r="J4867" s="1" t="s">
        <v>11965</v>
      </c>
      <c r="K4867" s="1" t="s">
        <v>275</v>
      </c>
      <c r="L4867" s="1" t="s">
        <v>14093</v>
      </c>
      <c r="M4867" s="6" t="str">
        <f>_xlfn.CONCAT(Table1[[#This Row],[Billing Street]], ", ", Table1[[#This Row],[Billing City]], ", ", Table1[[#This Row],[Billing State/Province]], ", ", Table1[[#This Row],[Billing Zip/Postal Code]])</f>
        <v>600 Roe Ave, Elmira, ny, 14905</v>
      </c>
    </row>
    <row r="4868" spans="1:13" ht="15.6" x14ac:dyDescent="0.3">
      <c r="A4868" s="1" t="s">
        <v>14094</v>
      </c>
      <c r="B4868" s="1"/>
      <c r="C4868" s="1"/>
      <c r="D4868" s="1"/>
      <c r="E4868" s="1"/>
      <c r="F4868" s="1"/>
      <c r="G4868" s="1" t="s">
        <v>24</v>
      </c>
      <c r="H4868" s="2">
        <v>5988</v>
      </c>
      <c r="I4868" s="1" t="s">
        <v>14095</v>
      </c>
      <c r="J4868" s="1" t="s">
        <v>14096</v>
      </c>
      <c r="K4868" s="1" t="s">
        <v>26</v>
      </c>
      <c r="L4868" s="1" t="s">
        <v>14097</v>
      </c>
      <c r="M4868" s="6" t="str">
        <f>_xlfn.CONCAT(Table1[[#This Row],[Billing Street]], ", ", Table1[[#This Row],[Billing City]], ", ", Table1[[#This Row],[Billing State/Province]], ", ", Table1[[#This Row],[Billing Zip/Postal Code]])</f>
        <v>1479 Valley Industrial Blvd, Valley, AL, 36854</v>
      </c>
    </row>
    <row r="4869" spans="1:13" ht="15.6" x14ac:dyDescent="0.3">
      <c r="A4869" s="1" t="s">
        <v>14098</v>
      </c>
      <c r="B4869" s="1"/>
      <c r="C4869" s="1"/>
      <c r="D4869" s="1"/>
      <c r="E4869" s="1"/>
      <c r="F4869" s="1"/>
      <c r="G4869" s="1" t="s">
        <v>24</v>
      </c>
      <c r="H4869" s="2">
        <v>5988</v>
      </c>
      <c r="I4869" s="1" t="s">
        <v>14099</v>
      </c>
      <c r="J4869" s="1" t="s">
        <v>5915</v>
      </c>
      <c r="K4869" s="1" t="s">
        <v>26</v>
      </c>
      <c r="L4869" s="1" t="s">
        <v>14100</v>
      </c>
      <c r="M4869" s="6" t="str">
        <f>_xlfn.CONCAT(Table1[[#This Row],[Billing Street]], ", ", Table1[[#This Row],[Billing City]], ", ", Table1[[#This Row],[Billing State/Province]], ", ", Table1[[#This Row],[Billing Zip/Postal Code]])</f>
        <v>309 Williamson Ave, Opelika, AL, 36804</v>
      </c>
    </row>
    <row r="4870" spans="1:13" ht="15.6" hidden="1" x14ac:dyDescent="0.3">
      <c r="A4870" s="1" t="s">
        <v>14101</v>
      </c>
      <c r="B4870" s="1"/>
      <c r="C4870" s="1"/>
      <c r="D4870" s="1"/>
      <c r="E4870" s="1"/>
      <c r="F4870" s="1"/>
      <c r="G4870" s="1" t="s">
        <v>43</v>
      </c>
      <c r="H4870" s="2">
        <v>183</v>
      </c>
      <c r="I4870" s="1" t="s">
        <v>14102</v>
      </c>
      <c r="J4870" s="1" t="s">
        <v>1386</v>
      </c>
      <c r="K4870" s="1" t="s">
        <v>82</v>
      </c>
      <c r="L4870" s="1" t="s">
        <v>14103</v>
      </c>
      <c r="M4870" s="6" t="str">
        <f>_xlfn.CONCAT(Table1[[#This Row],[Billing Street]], ", ", Table1[[#This Row],[Billing City]], ", ", Table1[[#This Row],[Billing State/Province]], ", ", Table1[[#This Row],[Billing Zip/Postal Code]])</f>
        <v>6133 Aurelius Road, Lansing, MI, 48911</v>
      </c>
    </row>
    <row r="4871" spans="1:13" ht="15.6" hidden="1" x14ac:dyDescent="0.3">
      <c r="A4871" s="1" t="s">
        <v>14104</v>
      </c>
      <c r="B4871" s="1"/>
      <c r="C4871" s="1"/>
      <c r="D4871" s="1"/>
      <c r="E4871" s="1"/>
      <c r="F4871" s="1"/>
      <c r="G4871" s="1" t="s">
        <v>43</v>
      </c>
      <c r="H4871" s="2">
        <v>113</v>
      </c>
      <c r="I4871" s="1" t="s">
        <v>14105</v>
      </c>
      <c r="J4871" s="1" t="s">
        <v>1650</v>
      </c>
      <c r="K4871" s="1" t="s">
        <v>45</v>
      </c>
      <c r="L4871" s="1" t="s">
        <v>14106</v>
      </c>
      <c r="M4871" s="6" t="str">
        <f>_xlfn.CONCAT(Table1[[#This Row],[Billing Street]], ", ", Table1[[#This Row],[Billing City]], ", ", Table1[[#This Row],[Billing State/Province]], ", ", Table1[[#This Row],[Billing Zip/Postal Code]])</f>
        <v>P. O. Box 507, Toledo, OH, 43697</v>
      </c>
    </row>
    <row r="4872" spans="1:13" ht="15.6" hidden="1" x14ac:dyDescent="0.3">
      <c r="A4872" s="1" t="s">
        <v>14107</v>
      </c>
      <c r="B4872" s="1"/>
      <c r="C4872" s="1"/>
      <c r="D4872" s="1"/>
      <c r="E4872" s="1"/>
      <c r="F4872" s="1"/>
      <c r="G4872" s="1" t="s">
        <v>43</v>
      </c>
      <c r="H4872" s="2">
        <v>5776</v>
      </c>
      <c r="I4872" s="1" t="s">
        <v>14108</v>
      </c>
      <c r="J4872" s="1" t="s">
        <v>14109</v>
      </c>
      <c r="K4872" s="1" t="s">
        <v>586</v>
      </c>
      <c r="L4872" s="1" t="s">
        <v>14110</v>
      </c>
      <c r="M4872" s="6" t="str">
        <f>_xlfn.CONCAT(Table1[[#This Row],[Billing Street]], ", ", Table1[[#This Row],[Billing City]], ", ", Table1[[#This Row],[Billing State/Province]], ", ", Table1[[#This Row],[Billing Zip/Postal Code]])</f>
        <v>37 Corey rd, Hancock, ma, 1237</v>
      </c>
    </row>
    <row r="4873" spans="1:13" ht="15.6" hidden="1" x14ac:dyDescent="0.3">
      <c r="A4873" s="1" t="s">
        <v>14111</v>
      </c>
      <c r="B4873" s="1"/>
      <c r="C4873" s="1"/>
      <c r="D4873" s="1"/>
      <c r="E4873" s="1"/>
      <c r="F4873" s="1"/>
      <c r="G4873" s="1" t="s">
        <v>98</v>
      </c>
      <c r="H4873" s="2">
        <v>216</v>
      </c>
      <c r="I4873" s="1" t="s">
        <v>14112</v>
      </c>
      <c r="J4873" s="1" t="s">
        <v>4692</v>
      </c>
      <c r="K4873" s="1" t="s">
        <v>1135</v>
      </c>
      <c r="L4873" s="1" t="s">
        <v>14113</v>
      </c>
      <c r="M4873" s="6" t="str">
        <f>_xlfn.CONCAT(Table1[[#This Row],[Billing Street]], ", ", Table1[[#This Row],[Billing City]], ", ", Table1[[#This Row],[Billing State/Province]], ", ", Table1[[#This Row],[Billing Zip/Postal Code]])</f>
        <v>1214 Church St., Nashville, TN, 37246</v>
      </c>
    </row>
    <row r="4874" spans="1:13" ht="15.6" hidden="1" x14ac:dyDescent="0.3">
      <c r="A4874" s="1" t="s">
        <v>14114</v>
      </c>
      <c r="B4874" s="1"/>
      <c r="C4874" s="1"/>
      <c r="D4874" s="1"/>
      <c r="E4874" s="1"/>
      <c r="F4874" s="1"/>
      <c r="G4874" s="1" t="s">
        <v>43</v>
      </c>
      <c r="H4874" s="2">
        <v>5776</v>
      </c>
      <c r="I4874" s="1" t="s">
        <v>14115</v>
      </c>
      <c r="J4874" s="1" t="s">
        <v>14116</v>
      </c>
      <c r="K4874" s="1" t="s">
        <v>2359</v>
      </c>
      <c r="L4874" s="1" t="s">
        <v>14117</v>
      </c>
      <c r="M4874" s="6" t="str">
        <f>_xlfn.CONCAT(Table1[[#This Row],[Billing Street]], ", ", Table1[[#This Row],[Billing City]], ", ", Table1[[#This Row],[Billing State/Province]], ", ", Table1[[#This Row],[Billing Zip/Postal Code]])</f>
        <v>626 Lafayette Rd., Seabrook, NH, 3874</v>
      </c>
    </row>
    <row r="4875" spans="1:13" ht="15.6" hidden="1" x14ac:dyDescent="0.3">
      <c r="A4875" s="1" t="s">
        <v>14118</v>
      </c>
      <c r="B4875" s="1"/>
      <c r="C4875" s="1"/>
      <c r="D4875" s="1"/>
      <c r="E4875" s="1"/>
      <c r="F4875" s="1"/>
      <c r="G4875" s="1" t="s">
        <v>98</v>
      </c>
      <c r="H4875" s="2">
        <v>121</v>
      </c>
      <c r="I4875" s="1" t="s">
        <v>14119</v>
      </c>
      <c r="J4875" s="1" t="s">
        <v>14120</v>
      </c>
      <c r="K4875" s="1" t="s">
        <v>1135</v>
      </c>
      <c r="L4875" s="1" t="s">
        <v>14121</v>
      </c>
      <c r="M4875" s="6" t="str">
        <f>_xlfn.CONCAT(Table1[[#This Row],[Billing Street]], ", ", Table1[[#This Row],[Billing City]], ", ", Table1[[#This Row],[Billing State/Province]], ", ", Table1[[#This Row],[Billing Zip/Postal Code]])</f>
        <v>310 East Walnut Street, Sweetwater, TN, 37874</v>
      </c>
    </row>
    <row r="4876" spans="1:13" ht="15.6" hidden="1" x14ac:dyDescent="0.3">
      <c r="A4876" s="1" t="s">
        <v>14122</v>
      </c>
      <c r="B4876" s="1"/>
      <c r="C4876" s="1"/>
      <c r="D4876" s="1"/>
      <c r="E4876" s="1"/>
      <c r="F4876" s="1"/>
      <c r="G4876" s="1" t="s">
        <v>98</v>
      </c>
      <c r="H4876" s="2">
        <v>120</v>
      </c>
      <c r="I4876" s="1" t="s">
        <v>14123</v>
      </c>
      <c r="J4876" s="1" t="s">
        <v>526</v>
      </c>
      <c r="K4876" s="1" t="s">
        <v>1135</v>
      </c>
      <c r="L4876" s="1" t="s">
        <v>14124</v>
      </c>
      <c r="M4876" s="6" t="str">
        <f>_xlfn.CONCAT(Table1[[#This Row],[Billing Street]], ", ", Table1[[#This Row],[Billing City]], ", ", Table1[[#This Row],[Billing State/Province]], ", ", Table1[[#This Row],[Billing Zip/Postal Code]])</f>
        <v>18359 Tennessee 58, Decatur, TN, 37322</v>
      </c>
    </row>
    <row r="4877" spans="1:13" ht="15.6" hidden="1" x14ac:dyDescent="0.3">
      <c r="A4877" s="1" t="s">
        <v>14125</v>
      </c>
      <c r="B4877" s="1"/>
      <c r="C4877" s="1"/>
      <c r="D4877" s="1"/>
      <c r="E4877" s="1"/>
      <c r="F4877" s="1"/>
      <c r="G4877" s="1" t="s">
        <v>98</v>
      </c>
      <c r="H4877" s="2">
        <v>228</v>
      </c>
      <c r="I4877" s="1" t="s">
        <v>14126</v>
      </c>
      <c r="J4877" s="1" t="s">
        <v>6762</v>
      </c>
      <c r="K4877" s="1" t="s">
        <v>1135</v>
      </c>
      <c r="L4877" s="1" t="s">
        <v>14127</v>
      </c>
      <c r="M4877" s="6" t="str">
        <f>_xlfn.CONCAT(Table1[[#This Row],[Billing Street]], ", ", Table1[[#This Row],[Billing City]], ", ", Table1[[#This Row],[Billing State/Province]], ", ", Table1[[#This Row],[Billing Zip/Postal Code]])</f>
        <v>1625 Highway 100, Centerville, TN, 37033</v>
      </c>
    </row>
    <row r="4878" spans="1:13" ht="15.6" hidden="1" x14ac:dyDescent="0.3">
      <c r="A4878" s="1" t="s">
        <v>14128</v>
      </c>
      <c r="B4878" s="1"/>
      <c r="C4878" s="1"/>
      <c r="D4878" s="1"/>
      <c r="E4878" s="1"/>
      <c r="F4878" s="1"/>
      <c r="G4878" s="1" t="s">
        <v>98</v>
      </c>
      <c r="H4878" s="2">
        <v>236</v>
      </c>
      <c r="I4878" s="1" t="s">
        <v>14129</v>
      </c>
      <c r="J4878" s="1" t="s">
        <v>14130</v>
      </c>
      <c r="K4878" s="1" t="s">
        <v>1135</v>
      </c>
      <c r="L4878" s="1" t="s">
        <v>14131</v>
      </c>
      <c r="M4878" s="6" t="str">
        <f>_xlfn.CONCAT(Table1[[#This Row],[Billing Street]], ", ", Table1[[#This Row],[Billing City]], ", ", Table1[[#This Row],[Billing State/Province]], ", ", Table1[[#This Row],[Billing Zip/Postal Code]])</f>
        <v>236 Cowan Rd., Dickson, TN, 37056</v>
      </c>
    </row>
    <row r="4879" spans="1:13" ht="15.6" hidden="1" x14ac:dyDescent="0.3">
      <c r="A4879" s="1" t="s">
        <v>14132</v>
      </c>
      <c r="B4879" s="1"/>
      <c r="C4879" s="1"/>
      <c r="D4879" s="1"/>
      <c r="E4879" s="1"/>
      <c r="F4879" s="1"/>
      <c r="G4879" s="1" t="s">
        <v>98</v>
      </c>
      <c r="H4879" s="2">
        <v>255</v>
      </c>
      <c r="I4879" s="1" t="s">
        <v>14133</v>
      </c>
      <c r="J4879" s="1" t="s">
        <v>4740</v>
      </c>
      <c r="K4879" s="1" t="s">
        <v>1135</v>
      </c>
      <c r="L4879" s="1" t="s">
        <v>4741</v>
      </c>
      <c r="M4879" s="6" t="str">
        <f>_xlfn.CONCAT(Table1[[#This Row],[Billing Street]], ", ", Table1[[#This Row],[Billing City]], ", ", Table1[[#This Row],[Billing State/Province]], ", ", Table1[[#This Row],[Billing Zip/Postal Code]])</f>
        <v>1448 Madison Street, Clarksville, TN, 37040</v>
      </c>
    </row>
    <row r="4880" spans="1:13" ht="15.6" hidden="1" x14ac:dyDescent="0.3">
      <c r="A4880" s="1" t="s">
        <v>14134</v>
      </c>
      <c r="B4880" s="1"/>
      <c r="C4880" s="1"/>
      <c r="D4880" s="1"/>
      <c r="E4880" s="1"/>
      <c r="F4880" s="1"/>
      <c r="G4880" s="1" t="s">
        <v>98</v>
      </c>
      <c r="H4880" s="2">
        <v>251</v>
      </c>
      <c r="I4880" s="1" t="s">
        <v>14135</v>
      </c>
      <c r="J4880" s="1" t="s">
        <v>4740</v>
      </c>
      <c r="K4880" s="1" t="s">
        <v>1135</v>
      </c>
      <c r="L4880" s="1" t="s">
        <v>6550</v>
      </c>
      <c r="M4880" s="6" t="str">
        <f>_xlfn.CONCAT(Table1[[#This Row],[Billing Street]], ", ", Table1[[#This Row],[Billing City]], ", ", Table1[[#This Row],[Billing State/Province]], ", ", Table1[[#This Row],[Billing Zip/Postal Code]])</f>
        <v>3950 International Blvd., Clarksville, TN, 37043</v>
      </c>
    </row>
    <row r="4881" spans="1:13" ht="15.6" hidden="1" x14ac:dyDescent="0.3">
      <c r="A4881" s="1" t="s">
        <v>14136</v>
      </c>
      <c r="B4881" s="1"/>
      <c r="C4881" s="1"/>
      <c r="D4881" s="1"/>
      <c r="E4881" s="1"/>
      <c r="F4881" s="1"/>
      <c r="G4881" s="1" t="s">
        <v>98</v>
      </c>
      <c r="H4881" s="2">
        <v>5887</v>
      </c>
      <c r="I4881" s="1" t="s">
        <v>13</v>
      </c>
      <c r="J4881" s="1" t="s">
        <v>14137</v>
      </c>
      <c r="K4881" s="1" t="s">
        <v>101</v>
      </c>
      <c r="L4881" s="1" t="s">
        <v>13</v>
      </c>
      <c r="M4881" s="6" t="str">
        <f>_xlfn.CONCAT(Table1[[#This Row],[Billing Street]], ", ", Table1[[#This Row],[Billing City]], ", ", Table1[[#This Row],[Billing State/Province]], ", ", Table1[[#This Row],[Billing Zip/Postal Code]])</f>
        <v xml:space="preserve">, Buford, GA, </v>
      </c>
    </row>
    <row r="4882" spans="1:13" ht="15.6" hidden="1" x14ac:dyDescent="0.3">
      <c r="A4882" s="1" t="s">
        <v>14138</v>
      </c>
      <c r="B4882" s="1"/>
      <c r="C4882" s="1"/>
      <c r="D4882" s="1"/>
      <c r="E4882" s="1"/>
      <c r="F4882" s="1"/>
      <c r="G4882" s="1" t="s">
        <v>98</v>
      </c>
      <c r="H4882" s="2">
        <v>281</v>
      </c>
      <c r="I4882" s="1" t="s">
        <v>14139</v>
      </c>
      <c r="J4882" s="1" t="s">
        <v>7281</v>
      </c>
      <c r="K4882" s="1" t="s">
        <v>1135</v>
      </c>
      <c r="L4882" s="1" t="s">
        <v>14140</v>
      </c>
      <c r="M4882" s="6" t="str">
        <f>_xlfn.CONCAT(Table1[[#This Row],[Billing Street]], ", ", Table1[[#This Row],[Billing City]], ", ", Table1[[#This Row],[Billing State/Province]], ", ", Table1[[#This Row],[Billing Zip/Postal Code]])</f>
        <v>103 West Paris Street, Huntingdon, TN, 38344</v>
      </c>
    </row>
    <row r="4883" spans="1:13" ht="15.6" hidden="1" x14ac:dyDescent="0.3">
      <c r="A4883" s="1" t="s">
        <v>14141</v>
      </c>
      <c r="B4883" s="1"/>
      <c r="C4883" s="1"/>
      <c r="D4883" s="1"/>
      <c r="E4883" s="1"/>
      <c r="F4883" s="1"/>
      <c r="G4883" s="1" t="s">
        <v>98</v>
      </c>
      <c r="H4883" s="2">
        <v>289</v>
      </c>
      <c r="I4883" s="1" t="s">
        <v>14142</v>
      </c>
      <c r="J4883" s="1" t="s">
        <v>11123</v>
      </c>
      <c r="K4883" s="1" t="s">
        <v>1135</v>
      </c>
      <c r="L4883" s="1" t="s">
        <v>14143</v>
      </c>
      <c r="M4883" s="6" t="str">
        <f>_xlfn.CONCAT(Table1[[#This Row],[Billing Street]], ", ", Table1[[#This Row],[Billing City]], ", ", Table1[[#This Row],[Billing State/Province]], ", ", Table1[[#This Row],[Billing Zip/Postal Code]])</f>
        <v>815 Tennessee Street, Bolivar, TN, 38008</v>
      </c>
    </row>
    <row r="4884" spans="1:13" ht="15.6" hidden="1" x14ac:dyDescent="0.3">
      <c r="A4884" s="1" t="s">
        <v>14144</v>
      </c>
      <c r="B4884" s="1"/>
      <c r="C4884" s="1"/>
      <c r="D4884" s="1"/>
      <c r="E4884" s="1"/>
      <c r="F4884" s="1"/>
      <c r="G4884" s="1" t="s">
        <v>98</v>
      </c>
      <c r="H4884" s="2">
        <v>120</v>
      </c>
      <c r="I4884" s="1" t="s">
        <v>14145</v>
      </c>
      <c r="J4884" s="1" t="s">
        <v>14146</v>
      </c>
      <c r="K4884" s="1" t="s">
        <v>1135</v>
      </c>
      <c r="L4884" s="1" t="s">
        <v>14147</v>
      </c>
      <c r="M4884" s="6" t="str">
        <f>_xlfn.CONCAT(Table1[[#This Row],[Billing Street]], ", ", Table1[[#This Row],[Billing City]], ", ", Table1[[#This Row],[Billing State/Province]], ", ", Table1[[#This Row],[Billing Zip/Postal Code]])</f>
        <v>116 Tellico Port Rd, Vonore, TN, 37885</v>
      </c>
    </row>
    <row r="4885" spans="1:13" ht="15.6" hidden="1" x14ac:dyDescent="0.3">
      <c r="A4885" s="1" t="s">
        <v>14148</v>
      </c>
      <c r="B4885" s="1"/>
      <c r="C4885" s="1"/>
      <c r="D4885" s="1"/>
      <c r="E4885" s="1"/>
      <c r="F4885" s="1"/>
      <c r="G4885" s="1" t="s">
        <v>98</v>
      </c>
      <c r="H4885" s="2">
        <v>5887</v>
      </c>
      <c r="I4885" s="1" t="s">
        <v>13</v>
      </c>
      <c r="J4885" s="1" t="s">
        <v>13</v>
      </c>
      <c r="K4885" s="1" t="s">
        <v>1135</v>
      </c>
      <c r="L4885" s="1" t="s">
        <v>13</v>
      </c>
      <c r="M4885" s="6" t="str">
        <f>_xlfn.CONCAT(Table1[[#This Row],[Billing Street]], ", ", Table1[[#This Row],[Billing City]], ", ", Table1[[#This Row],[Billing State/Province]], ", ", Table1[[#This Row],[Billing Zip/Postal Code]])</f>
        <v xml:space="preserve">, , TN, </v>
      </c>
    </row>
    <row r="4886" spans="1:13" ht="15.6" hidden="1" x14ac:dyDescent="0.3">
      <c r="A4886" s="1" t="s">
        <v>14149</v>
      </c>
      <c r="B4886" s="1"/>
      <c r="C4886" s="1"/>
      <c r="D4886" s="1"/>
      <c r="E4886" s="1"/>
      <c r="F4886" s="1"/>
      <c r="G4886" s="1" t="s">
        <v>98</v>
      </c>
      <c r="H4886" s="2">
        <v>144</v>
      </c>
      <c r="I4886" s="1" t="s">
        <v>14150</v>
      </c>
      <c r="J4886" s="1" t="s">
        <v>14151</v>
      </c>
      <c r="K4886" s="1" t="s">
        <v>1135</v>
      </c>
      <c r="L4886" s="1" t="s">
        <v>14152</v>
      </c>
      <c r="M4886" s="6" t="str">
        <f>_xlfn.CONCAT(Table1[[#This Row],[Billing Street]], ", ", Table1[[#This Row],[Billing City]], ", ", Table1[[#This Row],[Billing State/Province]], ", ", Table1[[#This Row],[Billing Zip/Postal Code]])</f>
        <v>302 Bruce Street, Sevierville, TN, 37862</v>
      </c>
    </row>
    <row r="4887" spans="1:13" ht="15.6" hidden="1" x14ac:dyDescent="0.3">
      <c r="A4887" s="1" t="s">
        <v>14153</v>
      </c>
      <c r="B4887" s="1"/>
      <c r="C4887" s="1"/>
      <c r="D4887" s="1"/>
      <c r="E4887" s="1"/>
      <c r="F4887" s="1"/>
      <c r="G4887" s="1" t="s">
        <v>98</v>
      </c>
      <c r="H4887" s="2">
        <v>160</v>
      </c>
      <c r="I4887" s="1" t="s">
        <v>14154</v>
      </c>
      <c r="J4887" s="1" t="s">
        <v>14155</v>
      </c>
      <c r="K4887" s="1" t="s">
        <v>1135</v>
      </c>
      <c r="L4887" s="1" t="s">
        <v>14156</v>
      </c>
      <c r="M4887" s="6" t="str">
        <f>_xlfn.CONCAT(Table1[[#This Row],[Billing Street]], ", ", Table1[[#This Row],[Billing City]], ", ", Table1[[#This Row],[Billing State/Province]], ", ", Table1[[#This Row],[Billing Zip/Postal Code]])</f>
        <v>1109 Hill Dr., New Market, TN, 37820</v>
      </c>
    </row>
    <row r="4888" spans="1:13" ht="15.6" hidden="1" x14ac:dyDescent="0.3">
      <c r="A4888" s="1" t="s">
        <v>14157</v>
      </c>
      <c r="B4888" s="1"/>
      <c r="C4888" s="1"/>
      <c r="D4888" s="1"/>
      <c r="E4888" s="1"/>
      <c r="F4888" s="1"/>
      <c r="G4888" s="1" t="s">
        <v>98</v>
      </c>
      <c r="H4888" s="2">
        <v>135</v>
      </c>
      <c r="I4888" s="1" t="s">
        <v>14158</v>
      </c>
      <c r="J4888" s="1" t="s">
        <v>4780</v>
      </c>
      <c r="K4888" s="1" t="s">
        <v>1135</v>
      </c>
      <c r="L4888" s="1" t="s">
        <v>4781</v>
      </c>
      <c r="M4888" s="6" t="str">
        <f>_xlfn.CONCAT(Table1[[#This Row],[Billing Street]], ", ", Table1[[#This Row],[Billing City]], ", ", Table1[[#This Row],[Billing State/Province]], ", ", Table1[[#This Row],[Billing Zip/Postal Code]])</f>
        <v>725 Universal Street, Alcoa, TN, 37701</v>
      </c>
    </row>
    <row r="4889" spans="1:13" ht="15.6" hidden="1" x14ac:dyDescent="0.3">
      <c r="A4889" s="1" t="s">
        <v>14159</v>
      </c>
      <c r="B4889" s="1"/>
      <c r="C4889" s="1"/>
      <c r="D4889" s="1"/>
      <c r="E4889" s="1"/>
      <c r="F4889" s="1"/>
      <c r="G4889" s="1" t="s">
        <v>43</v>
      </c>
      <c r="H4889" s="2">
        <v>294</v>
      </c>
      <c r="I4889" s="1" t="s">
        <v>14160</v>
      </c>
      <c r="J4889" s="1" t="s">
        <v>13082</v>
      </c>
      <c r="K4889" s="1" t="s">
        <v>671</v>
      </c>
      <c r="L4889" s="1" t="s">
        <v>9940</v>
      </c>
      <c r="M4889" s="6" t="str">
        <f>_xlfn.CONCAT(Table1[[#This Row],[Billing Street]], ", ", Table1[[#This Row],[Billing City]], ", ", Table1[[#This Row],[Billing State/Province]], ", ", Table1[[#This Row],[Billing Zip/Postal Code]])</f>
        <v>507 Charles Ave., Solvay, NY, 13209</v>
      </c>
    </row>
    <row r="4890" spans="1:13" ht="15.6" hidden="1" x14ac:dyDescent="0.3">
      <c r="A4890" s="1" t="s">
        <v>14161</v>
      </c>
      <c r="B4890" s="1"/>
      <c r="C4890" s="1"/>
      <c r="D4890" s="1"/>
      <c r="E4890" s="1"/>
      <c r="F4890" s="1"/>
      <c r="G4890" s="1" t="s">
        <v>98</v>
      </c>
      <c r="H4890" s="2">
        <v>221</v>
      </c>
      <c r="I4890" s="1" t="s">
        <v>14162</v>
      </c>
      <c r="J4890" s="1" t="s">
        <v>1642</v>
      </c>
      <c r="K4890" s="1" t="s">
        <v>1178</v>
      </c>
      <c r="L4890" s="1" t="s">
        <v>14163</v>
      </c>
      <c r="M4890" s="6" t="str">
        <f>_xlfn.CONCAT(Table1[[#This Row],[Billing Street]], ", ", Table1[[#This Row],[Billing City]], ", ", Table1[[#This Row],[Billing State/Province]], ", ", Table1[[#This Row],[Billing Zip/Postal Code]])</f>
        <v>1525 N rocky RIver Rd, Monroe, NC, 28110</v>
      </c>
    </row>
    <row r="4891" spans="1:13" ht="15.6" hidden="1" x14ac:dyDescent="0.3">
      <c r="A4891" s="1" t="s">
        <v>14164</v>
      </c>
      <c r="B4891" s="1"/>
      <c r="C4891" s="1"/>
      <c r="D4891" s="1"/>
      <c r="E4891" s="1"/>
      <c r="F4891" s="1"/>
      <c r="G4891" s="1" t="s">
        <v>98</v>
      </c>
      <c r="H4891" s="2">
        <v>100</v>
      </c>
      <c r="I4891" s="1" t="s">
        <v>14165</v>
      </c>
      <c r="J4891" s="1" t="s">
        <v>104</v>
      </c>
      <c r="K4891" s="1" t="s">
        <v>1135</v>
      </c>
      <c r="L4891" s="1" t="s">
        <v>14166</v>
      </c>
      <c r="M4891" s="6" t="str">
        <f>_xlfn.CONCAT(Table1[[#This Row],[Billing Street]], ", ", Table1[[#This Row],[Billing City]], ", ", Table1[[#This Row],[Billing State/Province]], ", ", Table1[[#This Row],[Billing Zip/Postal Code]])</f>
        <v>2450 Guthrie Avenue Northwest, Cleveland, TN, 37311</v>
      </c>
    </row>
    <row r="4892" spans="1:13" ht="15.6" hidden="1" x14ac:dyDescent="0.3">
      <c r="A4892" s="1" t="s">
        <v>14167</v>
      </c>
      <c r="B4892" s="1"/>
      <c r="C4892" s="1"/>
      <c r="D4892" s="1"/>
      <c r="E4892" s="1"/>
      <c r="F4892" s="1"/>
      <c r="G4892" s="1" t="s">
        <v>48</v>
      </c>
      <c r="H4892" s="2">
        <v>0</v>
      </c>
      <c r="I4892" s="1" t="s">
        <v>14168</v>
      </c>
      <c r="J4892" s="1" t="s">
        <v>557</v>
      </c>
      <c r="K4892" s="1" t="s">
        <v>51</v>
      </c>
      <c r="L4892" s="1" t="s">
        <v>3285</v>
      </c>
      <c r="M4892" s="6" t="str">
        <f>_xlfn.CONCAT(Table1[[#This Row],[Billing Street]], ", ", Table1[[#This Row],[Billing City]], ", ", Table1[[#This Row],[Billing State/Province]], ", ", Table1[[#This Row],[Billing Zip/Postal Code]])</f>
        <v>2217 Aldine Bender Road, Houston, TX, 77032</v>
      </c>
    </row>
    <row r="4893" spans="1:13" ht="15.6" hidden="1" x14ac:dyDescent="0.3">
      <c r="A4893" s="1" t="s">
        <v>14169</v>
      </c>
      <c r="B4893" s="1"/>
      <c r="C4893" s="1"/>
      <c r="D4893" s="1"/>
      <c r="E4893" s="1"/>
      <c r="F4893" s="1"/>
      <c r="G4893" s="1" t="s">
        <v>98</v>
      </c>
      <c r="H4893" s="2">
        <v>122</v>
      </c>
      <c r="I4893" s="1" t="s">
        <v>14170</v>
      </c>
      <c r="J4893" s="1" t="s">
        <v>2623</v>
      </c>
      <c r="K4893" s="1" t="s">
        <v>1135</v>
      </c>
      <c r="L4893" s="1" t="s">
        <v>14171</v>
      </c>
      <c r="M4893" s="6" t="str">
        <f>_xlfn.CONCAT(Table1[[#This Row],[Billing Street]], ", ", Table1[[#This Row],[Billing City]], ", ", Table1[[#This Row],[Billing State/Province]], ", ", Table1[[#This Row],[Billing Zip/Postal Code]])</f>
        <v>399 1st Ave, Dayton, TN, 37321</v>
      </c>
    </row>
    <row r="4894" spans="1:13" ht="15.6" hidden="1" x14ac:dyDescent="0.3">
      <c r="A4894" s="1" t="s">
        <v>14172</v>
      </c>
      <c r="B4894" s="1"/>
      <c r="C4894" s="1"/>
      <c r="D4894" s="1"/>
      <c r="E4894" s="1"/>
      <c r="F4894" s="1"/>
      <c r="G4894" s="1" t="s">
        <v>98</v>
      </c>
      <c r="H4894" s="2">
        <v>112</v>
      </c>
      <c r="I4894" s="1" t="s">
        <v>14173</v>
      </c>
      <c r="J4894" s="1" t="s">
        <v>3265</v>
      </c>
      <c r="K4894" s="1" t="s">
        <v>1135</v>
      </c>
      <c r="L4894" s="1" t="s">
        <v>14174</v>
      </c>
      <c r="M4894" s="6" t="str">
        <f>_xlfn.CONCAT(Table1[[#This Row],[Billing Street]], ", ", Table1[[#This Row],[Billing City]], ", ", Table1[[#This Row],[Billing State/Province]], ", ", Table1[[#This Row],[Billing Zip/Postal Code]])</f>
        <v>100 Englewood Road, Athens, TN, 37371</v>
      </c>
    </row>
    <row r="4895" spans="1:13" ht="15.6" hidden="1" x14ac:dyDescent="0.3">
      <c r="A4895" s="1" t="s">
        <v>14175</v>
      </c>
      <c r="B4895" s="1"/>
      <c r="C4895" s="1"/>
      <c r="D4895" s="1"/>
      <c r="E4895" s="1"/>
      <c r="F4895" s="1"/>
      <c r="G4895" s="1" t="s">
        <v>98</v>
      </c>
      <c r="H4895" s="2">
        <v>142</v>
      </c>
      <c r="I4895" s="1" t="s">
        <v>14176</v>
      </c>
      <c r="J4895" s="1" t="s">
        <v>12085</v>
      </c>
      <c r="K4895" s="1" t="s">
        <v>1135</v>
      </c>
      <c r="L4895" s="1" t="s">
        <v>14177</v>
      </c>
      <c r="M4895" s="6" t="str">
        <f>_xlfn.CONCAT(Table1[[#This Row],[Billing Street]], ", ", Table1[[#This Row],[Billing City]], ", ", Table1[[#This Row],[Billing State/Province]], ", ", Table1[[#This Row],[Billing Zip/Postal Code]])</f>
        <v>341 W Rockwood Street, Rockwood, TN, 37854</v>
      </c>
    </row>
    <row r="4896" spans="1:13" ht="15.6" hidden="1" x14ac:dyDescent="0.3">
      <c r="A4896" s="1" t="s">
        <v>14178</v>
      </c>
      <c r="B4896" s="1"/>
      <c r="C4896" s="1"/>
      <c r="D4896" s="1"/>
      <c r="E4896" s="1"/>
      <c r="F4896" s="1"/>
      <c r="G4896" s="1" t="s">
        <v>98</v>
      </c>
      <c r="H4896" s="2">
        <v>171</v>
      </c>
      <c r="I4896" s="1" t="s">
        <v>14179</v>
      </c>
      <c r="J4896" s="1" t="s">
        <v>14180</v>
      </c>
      <c r="K4896" s="1" t="s">
        <v>1135</v>
      </c>
      <c r="L4896" s="1" t="s">
        <v>14181</v>
      </c>
      <c r="M4896" s="6" t="str">
        <f>_xlfn.CONCAT(Table1[[#This Row],[Billing Street]], ", ", Table1[[#This Row],[Billing City]], ", ", Table1[[#This Row],[Billing State/Province]], ", ", Table1[[#This Row],[Billing Zip/Postal Code]])</f>
        <v>441 W. Main St., Morristown, TN, 14285</v>
      </c>
    </row>
    <row r="4897" spans="1:13" ht="15.6" hidden="1" x14ac:dyDescent="0.3">
      <c r="A4897" s="1" t="s">
        <v>14182</v>
      </c>
      <c r="B4897" s="1"/>
      <c r="C4897" s="1"/>
      <c r="D4897" s="1"/>
      <c r="E4897" s="1"/>
      <c r="F4897" s="1"/>
      <c r="G4897" s="1" t="s">
        <v>98</v>
      </c>
      <c r="H4897" s="2">
        <v>5887</v>
      </c>
      <c r="I4897" s="1" t="s">
        <v>13</v>
      </c>
      <c r="J4897" s="1" t="s">
        <v>963</v>
      </c>
      <c r="K4897" s="1" t="s">
        <v>234</v>
      </c>
      <c r="L4897" s="1" t="s">
        <v>13</v>
      </c>
      <c r="M4897" s="6" t="str">
        <f>_xlfn.CONCAT(Table1[[#This Row],[Billing Street]], ", ", Table1[[#This Row],[Billing City]], ", ", Table1[[#This Row],[Billing State/Province]], ", ", Table1[[#This Row],[Billing Zip/Postal Code]])</f>
        <v xml:space="preserve">, Orangeburg, SC, </v>
      </c>
    </row>
    <row r="4898" spans="1:13" ht="15.6" hidden="1" x14ac:dyDescent="0.3">
      <c r="A4898" s="1" t="s">
        <v>14183</v>
      </c>
      <c r="B4898" s="1"/>
      <c r="C4898" s="1"/>
      <c r="D4898" s="1"/>
      <c r="E4898" s="1"/>
      <c r="F4898" s="1"/>
      <c r="G4898" s="1" t="s">
        <v>98</v>
      </c>
      <c r="H4898" s="2">
        <v>148</v>
      </c>
      <c r="I4898" s="1" t="s">
        <v>14184</v>
      </c>
      <c r="J4898" s="1" t="s">
        <v>5015</v>
      </c>
      <c r="K4898" s="1" t="s">
        <v>1135</v>
      </c>
      <c r="L4898" s="1" t="s">
        <v>5016</v>
      </c>
      <c r="M4898" s="6" t="str">
        <f>_xlfn.CONCAT(Table1[[#This Row],[Billing Street]], ", ", Table1[[#This Row],[Billing City]], ", ", Table1[[#This Row],[Billing State/Province]], ", ", Table1[[#This Row],[Billing Zip/Postal Code]])</f>
        <v>100 Woodbury Lane, Oak Ridge, TN, 37830</v>
      </c>
    </row>
    <row r="4899" spans="1:13" ht="15.6" hidden="1" x14ac:dyDescent="0.3">
      <c r="A4899" s="1" t="s">
        <v>14185</v>
      </c>
      <c r="B4899" s="1"/>
      <c r="C4899" s="1"/>
      <c r="D4899" s="1"/>
      <c r="E4899" s="1"/>
      <c r="F4899" s="1"/>
      <c r="G4899" s="1" t="s">
        <v>98</v>
      </c>
      <c r="H4899" s="2">
        <v>182</v>
      </c>
      <c r="I4899" s="1" t="s">
        <v>14186</v>
      </c>
      <c r="J4899" s="1" t="s">
        <v>14187</v>
      </c>
      <c r="K4899" s="1" t="s">
        <v>1135</v>
      </c>
      <c r="L4899" s="1" t="s">
        <v>14188</v>
      </c>
      <c r="M4899" s="6" t="str">
        <f>_xlfn.CONCAT(Table1[[#This Row],[Billing Street]], ", ", Table1[[#This Row],[Billing City]], ", ", Table1[[#This Row],[Billing State/Province]], ", ", Table1[[#This Row],[Billing Zip/Postal Code]])</f>
        <v>16200 Scott Highway, Oneida, TN, 37841</v>
      </c>
    </row>
    <row r="4900" spans="1:13" ht="15.6" hidden="1" x14ac:dyDescent="0.3">
      <c r="A4900" s="1" t="s">
        <v>14189</v>
      </c>
      <c r="B4900" s="1"/>
      <c r="C4900" s="1"/>
      <c r="D4900" s="1"/>
      <c r="E4900" s="1"/>
      <c r="F4900" s="1"/>
      <c r="G4900" s="1" t="s">
        <v>43</v>
      </c>
      <c r="H4900" s="2">
        <v>5776</v>
      </c>
      <c r="I4900" s="1" t="s">
        <v>14190</v>
      </c>
      <c r="J4900" s="1" t="s">
        <v>4470</v>
      </c>
      <c r="K4900" s="1" t="s">
        <v>95</v>
      </c>
      <c r="L4900" s="1" t="s">
        <v>14191</v>
      </c>
      <c r="M4900" s="6" t="str">
        <f>_xlfn.CONCAT(Table1[[#This Row],[Billing Street]], ", ", Table1[[#This Row],[Billing City]], ", ", Table1[[#This Row],[Billing State/Province]], ", ", Table1[[#This Row],[Billing Zip/Postal Code]])</f>
        <v>168 Worcester Rd, Princeton, MA, 1541</v>
      </c>
    </row>
    <row r="4901" spans="1:13" ht="15.6" hidden="1" x14ac:dyDescent="0.3">
      <c r="A4901" s="1" t="s">
        <v>14192</v>
      </c>
      <c r="B4901" s="1"/>
      <c r="C4901" s="1"/>
      <c r="D4901" s="1"/>
      <c r="E4901" s="1"/>
      <c r="F4901" s="1"/>
      <c r="G4901" s="1" t="s">
        <v>98</v>
      </c>
      <c r="H4901" s="2">
        <v>156</v>
      </c>
      <c r="I4901" s="1" t="s">
        <v>14193</v>
      </c>
      <c r="J4901" s="1" t="s">
        <v>4240</v>
      </c>
      <c r="K4901" s="1" t="s">
        <v>1135</v>
      </c>
      <c r="L4901" s="1" t="s">
        <v>14194</v>
      </c>
      <c r="M4901" s="6" t="str">
        <f>_xlfn.CONCAT(Table1[[#This Row],[Billing Street]], ", ", Table1[[#This Row],[Billing City]], ", ", Table1[[#This Row],[Billing State/Province]], ", ", Table1[[#This Row],[Billing Zip/Postal Code]])</f>
        <v>114 Willis Road, Newport, TN, 37821</v>
      </c>
    </row>
    <row r="4902" spans="1:13" ht="15.6" hidden="1" x14ac:dyDescent="0.3">
      <c r="A4902" s="1" t="s">
        <v>14195</v>
      </c>
      <c r="B4902" s="1"/>
      <c r="C4902" s="1"/>
      <c r="D4902" s="1"/>
      <c r="E4902" s="1"/>
      <c r="F4902" s="1"/>
      <c r="G4902" s="1" t="s">
        <v>98</v>
      </c>
      <c r="H4902" s="2">
        <v>175</v>
      </c>
      <c r="I4902" s="1" t="s">
        <v>14196</v>
      </c>
      <c r="J4902" s="1" t="s">
        <v>14197</v>
      </c>
      <c r="K4902" s="1" t="s">
        <v>1135</v>
      </c>
      <c r="L4902" s="1" t="s">
        <v>14198</v>
      </c>
      <c r="M4902" s="6" t="str">
        <f>_xlfn.CONCAT(Table1[[#This Row],[Billing Street]], ", ", Table1[[#This Row],[Billing City]], ", ", Table1[[#This Row],[Billing State/Province]], ", ", Table1[[#This Row],[Billing Zip/Postal Code]])</f>
        <v>302 N. Tennessee Ave, LaFollette, TN, 21495</v>
      </c>
    </row>
    <row r="4903" spans="1:13" ht="15.6" hidden="1" x14ac:dyDescent="0.3">
      <c r="A4903" s="1" t="s">
        <v>14199</v>
      </c>
      <c r="B4903" s="1"/>
      <c r="C4903" s="1"/>
      <c r="D4903" s="1"/>
      <c r="E4903" s="1"/>
      <c r="F4903" s="1"/>
      <c r="G4903" s="1" t="s">
        <v>98</v>
      </c>
      <c r="H4903" s="2">
        <v>205</v>
      </c>
      <c r="I4903" s="1" t="s">
        <v>14200</v>
      </c>
      <c r="J4903" s="1" t="s">
        <v>14201</v>
      </c>
      <c r="K4903" s="1" t="s">
        <v>1135</v>
      </c>
      <c r="L4903" s="1" t="s">
        <v>14202</v>
      </c>
      <c r="M4903" s="6" t="str">
        <f>_xlfn.CONCAT(Table1[[#This Row],[Billing Street]], ", ", Table1[[#This Row],[Billing City]], ", ", Table1[[#This Row],[Billing State/Province]], ", ", Table1[[#This Row],[Billing Zip/Postal Code]])</f>
        <v>400 Hatcher Lane, Elizabethton, TN, 25582</v>
      </c>
    </row>
    <row r="4904" spans="1:13" ht="15.6" hidden="1" x14ac:dyDescent="0.3">
      <c r="A4904" s="1" t="s">
        <v>14203</v>
      </c>
      <c r="B4904" s="1"/>
      <c r="C4904" s="1"/>
      <c r="D4904" s="1"/>
      <c r="E4904" s="1"/>
      <c r="F4904" s="1"/>
      <c r="G4904" s="1" t="s">
        <v>98</v>
      </c>
      <c r="H4904" s="2">
        <v>156</v>
      </c>
      <c r="I4904" s="1" t="s">
        <v>14204</v>
      </c>
      <c r="J4904" s="1" t="s">
        <v>3508</v>
      </c>
      <c r="K4904" s="1" t="s">
        <v>1135</v>
      </c>
      <c r="L4904" s="1" t="s">
        <v>4777</v>
      </c>
      <c r="M4904" s="6" t="str">
        <f>_xlfn.CONCAT(Table1[[#This Row],[Billing Street]], ", ", Table1[[#This Row],[Billing City]], ", ", Table1[[#This Row],[Billing State/Province]], ", ", Table1[[#This Row],[Billing Zip/Postal Code]])</f>
        <v>1001 Charles G Seivers Blvd, Clinton, TN, 37716</v>
      </c>
    </row>
    <row r="4905" spans="1:13" ht="15.6" hidden="1" x14ac:dyDescent="0.3">
      <c r="A4905" s="1" t="s">
        <v>14205</v>
      </c>
      <c r="B4905" s="1"/>
      <c r="C4905" s="1"/>
      <c r="D4905" s="1"/>
      <c r="E4905" s="1"/>
      <c r="F4905" s="1"/>
      <c r="G4905" s="1" t="s">
        <v>98</v>
      </c>
      <c r="H4905" s="2">
        <v>183</v>
      </c>
      <c r="I4905" s="1" t="s">
        <v>14206</v>
      </c>
      <c r="J4905" s="1" t="s">
        <v>14207</v>
      </c>
      <c r="K4905" s="1" t="s">
        <v>1135</v>
      </c>
      <c r="L4905" s="1" t="s">
        <v>14208</v>
      </c>
      <c r="M4905" s="6" t="str">
        <f>_xlfn.CONCAT(Table1[[#This Row],[Billing Street]], ", ", Table1[[#This Row],[Billing City]], ", ", Table1[[#This Row],[Billing State/Province]], ", ", Table1[[#This Row],[Billing Zip/Postal Code]])</f>
        <v>325 Straight Creek Rd., New Tazewell, TN, 28965</v>
      </c>
    </row>
    <row r="4906" spans="1:13" ht="15.6" hidden="1" x14ac:dyDescent="0.3">
      <c r="A4906" s="1" t="s">
        <v>14209</v>
      </c>
      <c r="B4906" s="1"/>
      <c r="C4906" s="1"/>
      <c r="D4906" s="1"/>
      <c r="E4906" s="1"/>
      <c r="F4906" s="1"/>
      <c r="G4906" s="1" t="s">
        <v>98</v>
      </c>
      <c r="H4906" s="2">
        <v>155</v>
      </c>
      <c r="I4906" s="1" t="s">
        <v>14210</v>
      </c>
      <c r="J4906" s="1" t="s">
        <v>4722</v>
      </c>
      <c r="K4906" s="1" t="s">
        <v>1135</v>
      </c>
      <c r="L4906" s="1" t="s">
        <v>14211</v>
      </c>
      <c r="M4906" s="6" t="str">
        <f>_xlfn.CONCAT(Table1[[#This Row],[Billing Street]], ", ", Table1[[#This Row],[Billing City]], ", ", Table1[[#This Row],[Billing State/Province]], ", ", Table1[[#This Row],[Billing Zip/Postal Code]])</f>
        <v>920 Smithville Hwy, McMinnville, TN, 30344</v>
      </c>
    </row>
    <row r="4907" spans="1:13" ht="15.6" hidden="1" x14ac:dyDescent="0.3">
      <c r="A4907" s="1" t="s">
        <v>14212</v>
      </c>
      <c r="B4907" s="1"/>
      <c r="C4907" s="1"/>
      <c r="D4907" s="1"/>
      <c r="E4907" s="1"/>
      <c r="F4907" s="1"/>
      <c r="G4907" s="1" t="s">
        <v>98</v>
      </c>
      <c r="H4907" s="2">
        <v>226</v>
      </c>
      <c r="I4907" s="1" t="s">
        <v>14213</v>
      </c>
      <c r="J4907" s="1" t="s">
        <v>14214</v>
      </c>
      <c r="K4907" s="1" t="s">
        <v>1135</v>
      </c>
      <c r="L4907" s="1" t="s">
        <v>14215</v>
      </c>
      <c r="M4907" s="6" t="str">
        <f>_xlfn.CONCAT(Table1[[#This Row],[Billing Street]], ", ", Table1[[#This Row],[Billing City]], ", ", Table1[[#This Row],[Billing State/Province]], ", ", Table1[[#This Row],[Billing Zip/Postal Code]])</f>
        <v>604 S. Church St., Mountain City, TN, 31994</v>
      </c>
    </row>
    <row r="4908" spans="1:13" ht="15.6" hidden="1" x14ac:dyDescent="0.3">
      <c r="A4908" s="1" t="s">
        <v>14216</v>
      </c>
      <c r="B4908" s="1"/>
      <c r="C4908" s="1"/>
      <c r="D4908" s="1"/>
      <c r="E4908" s="1"/>
      <c r="F4908" s="1"/>
      <c r="G4908" s="1" t="s">
        <v>43</v>
      </c>
      <c r="H4908" s="2">
        <v>5776</v>
      </c>
      <c r="I4908" s="1" t="s">
        <v>13</v>
      </c>
      <c r="J4908" s="1" t="s">
        <v>14217</v>
      </c>
      <c r="K4908" s="1" t="s">
        <v>720</v>
      </c>
      <c r="L4908" s="1" t="s">
        <v>13</v>
      </c>
      <c r="M4908" s="6" t="str">
        <f>_xlfn.CONCAT(Table1[[#This Row],[Billing Street]], ", ", Table1[[#This Row],[Billing City]], ", ", Table1[[#This Row],[Billing State/Province]], ", ", Table1[[#This Row],[Billing Zip/Postal Code]])</f>
        <v xml:space="preserve">, Bayville, NJ, </v>
      </c>
    </row>
    <row r="4909" spans="1:13" ht="15.6" hidden="1" x14ac:dyDescent="0.3">
      <c r="A4909" s="1" t="s">
        <v>14218</v>
      </c>
      <c r="B4909" s="1"/>
      <c r="C4909" s="1"/>
      <c r="D4909" s="1"/>
      <c r="E4909" s="1"/>
      <c r="F4909" s="1"/>
      <c r="G4909" s="1" t="s">
        <v>98</v>
      </c>
      <c r="H4909" s="2">
        <v>216</v>
      </c>
      <c r="I4909" s="1" t="s">
        <v>14219</v>
      </c>
      <c r="J4909" s="1" t="s">
        <v>1114</v>
      </c>
      <c r="K4909" s="1" t="s">
        <v>1135</v>
      </c>
      <c r="L4909" s="1" t="s">
        <v>14220</v>
      </c>
      <c r="M4909" s="6" t="str">
        <f>_xlfn.CONCAT(Table1[[#This Row],[Billing Street]], ", ", Table1[[#This Row],[Billing City]], ", ", Table1[[#This Row],[Billing State/Province]], ", ", Table1[[#This Row],[Billing Zip/Postal Code]])</f>
        <v>2470 Volunteer Parkway, Bristol, TN, 37620</v>
      </c>
    </row>
    <row r="4910" spans="1:13" ht="15.6" hidden="1" x14ac:dyDescent="0.3">
      <c r="A4910" s="1" t="s">
        <v>14221</v>
      </c>
      <c r="B4910" s="1"/>
      <c r="C4910" s="1"/>
      <c r="D4910" s="1"/>
      <c r="E4910" s="1"/>
      <c r="F4910" s="1"/>
      <c r="G4910" s="1" t="s">
        <v>98</v>
      </c>
      <c r="H4910" s="2">
        <v>135</v>
      </c>
      <c r="I4910" s="1" t="s">
        <v>14222</v>
      </c>
      <c r="J4910" s="1" t="s">
        <v>14223</v>
      </c>
      <c r="K4910" s="1" t="s">
        <v>1135</v>
      </c>
      <c r="L4910" s="1" t="s">
        <v>14224</v>
      </c>
      <c r="M4910" s="6" t="str">
        <f>_xlfn.CONCAT(Table1[[#This Row],[Billing Street]], ", ", Table1[[#This Row],[Billing City]], ", ", Table1[[#This Row],[Billing State/Province]], ", ", Table1[[#This Row],[Billing Zip/Postal Code]])</f>
        <v>7698 Creekwood Park Boulevard, Lenoir City, TN, 37771</v>
      </c>
    </row>
    <row r="4911" spans="1:13" ht="15.6" hidden="1" x14ac:dyDescent="0.3">
      <c r="A4911" s="1" t="s">
        <v>14225</v>
      </c>
      <c r="B4911" s="1"/>
      <c r="C4911" s="1"/>
      <c r="D4911" s="1"/>
      <c r="E4911" s="1"/>
      <c r="F4911" s="1"/>
      <c r="G4911" s="1" t="s">
        <v>48</v>
      </c>
      <c r="H4911" s="2">
        <v>0</v>
      </c>
      <c r="I4911" s="1" t="s">
        <v>14226</v>
      </c>
      <c r="J4911" s="1" t="s">
        <v>3754</v>
      </c>
      <c r="K4911" s="1" t="s">
        <v>1135</v>
      </c>
      <c r="L4911" s="1" t="s">
        <v>14227</v>
      </c>
      <c r="M4911" s="6" t="str">
        <f>_xlfn.CONCAT(Table1[[#This Row],[Billing Street]], ", ", Table1[[#This Row],[Billing City]], ", ", Table1[[#This Row],[Billing State/Province]], ", ", Table1[[#This Row],[Billing Zip/Postal Code]])</f>
        <v>229 Dunavant Drive, Rockford, TN, 37853</v>
      </c>
    </row>
    <row r="4912" spans="1:13" ht="15.6" hidden="1" x14ac:dyDescent="0.3">
      <c r="A4912" s="1" t="s">
        <v>14228</v>
      </c>
      <c r="B4912" s="1"/>
      <c r="C4912" s="1"/>
      <c r="D4912" s="1"/>
      <c r="E4912" s="1"/>
      <c r="F4912" s="1"/>
      <c r="G4912" s="1" t="s">
        <v>98</v>
      </c>
      <c r="H4912" s="2">
        <v>178</v>
      </c>
      <c r="I4912" s="1" t="s">
        <v>14229</v>
      </c>
      <c r="J4912" s="1" t="s">
        <v>14230</v>
      </c>
      <c r="K4912" s="1" t="s">
        <v>1135</v>
      </c>
      <c r="L4912" s="1" t="s">
        <v>14231</v>
      </c>
      <c r="M4912" s="6" t="str">
        <f>_xlfn.CONCAT(Table1[[#This Row],[Billing Street]], ", ", Table1[[#This Row],[Billing City]], ", ", Table1[[#This Row],[Billing State/Province]], ", ", Table1[[#This Row],[Billing Zip/Postal Code]])</f>
        <v>106 Wren Street, Greeneville, TN, 37745</v>
      </c>
    </row>
    <row r="4913" spans="1:13" ht="15.6" hidden="1" x14ac:dyDescent="0.3">
      <c r="A4913" s="1" t="s">
        <v>14232</v>
      </c>
      <c r="B4913" s="1"/>
      <c r="C4913" s="1"/>
      <c r="D4913" s="1"/>
      <c r="E4913" s="1"/>
      <c r="F4913" s="1"/>
      <c r="G4913" s="1" t="s">
        <v>8</v>
      </c>
      <c r="H4913" s="2">
        <v>487</v>
      </c>
      <c r="I4913" s="1" t="s">
        <v>14233</v>
      </c>
      <c r="J4913" s="1" t="s">
        <v>14234</v>
      </c>
      <c r="K4913" s="1" t="s">
        <v>229</v>
      </c>
      <c r="L4913" s="1" t="s">
        <v>14235</v>
      </c>
      <c r="M4913" s="6" t="str">
        <f>_xlfn.CONCAT(Table1[[#This Row],[Billing Street]], ", ", Table1[[#This Row],[Billing City]], ", ", Table1[[#This Row],[Billing State/Province]], ", ", Table1[[#This Row],[Billing Zip/Postal Code]])</f>
        <v>1000 W. Elm Avenue, Flandreau, SD, 57028</v>
      </c>
    </row>
    <row r="4914" spans="1:13" ht="15.6" hidden="1" x14ac:dyDescent="0.3">
      <c r="A4914" s="1" t="s">
        <v>14236</v>
      </c>
      <c r="B4914" s="1"/>
      <c r="C4914" s="1"/>
      <c r="D4914" s="1"/>
      <c r="E4914" s="1"/>
      <c r="F4914" s="1"/>
      <c r="G4914" s="1" t="s">
        <v>98</v>
      </c>
      <c r="H4914" s="2">
        <v>201</v>
      </c>
      <c r="I4914" s="1" t="s">
        <v>14237</v>
      </c>
      <c r="J4914" s="1" t="s">
        <v>14238</v>
      </c>
      <c r="K4914" s="1" t="s">
        <v>1135</v>
      </c>
      <c r="L4914" s="1" t="s">
        <v>14239</v>
      </c>
      <c r="M4914" s="6" t="str">
        <f>_xlfn.CONCAT(Table1[[#This Row],[Billing Street]], ", ", Table1[[#This Row],[Billing City]], ", ", Table1[[#This Row],[Billing State/Province]], ", ", Table1[[#This Row],[Billing Zip/Postal Code]])</f>
        <v>350 Christian Church Road, Johnson City, TN, 37615</v>
      </c>
    </row>
    <row r="4915" spans="1:13" ht="15.6" hidden="1" x14ac:dyDescent="0.3">
      <c r="A4915" s="1" t="s">
        <v>14240</v>
      </c>
      <c r="B4915" s="1"/>
      <c r="C4915" s="1"/>
      <c r="D4915" s="1"/>
      <c r="E4915" s="1"/>
      <c r="F4915" s="1"/>
      <c r="G4915" s="1" t="s">
        <v>98</v>
      </c>
      <c r="H4915" s="2">
        <v>147</v>
      </c>
      <c r="I4915" s="1" t="s">
        <v>14241</v>
      </c>
      <c r="J4915" s="1" t="s">
        <v>11158</v>
      </c>
      <c r="K4915" s="1" t="s">
        <v>1135</v>
      </c>
      <c r="L4915" s="1" t="s">
        <v>14242</v>
      </c>
      <c r="M4915" s="6" t="str">
        <f>_xlfn.CONCAT(Table1[[#This Row],[Billing Street]], ", ", Table1[[#This Row],[Billing City]], ", ", Table1[[#This Row],[Billing State/Province]], ", ", Table1[[#This Row],[Billing Zip/Postal Code]])</f>
        <v>Middlebrook Pk WB @ KUB, Knoxville, TN, 37921</v>
      </c>
    </row>
    <row r="4916" spans="1:13" ht="15.6" hidden="1" x14ac:dyDescent="0.3">
      <c r="A4916" s="1" t="s">
        <v>14243</v>
      </c>
      <c r="B4916" s="1"/>
      <c r="C4916" s="1"/>
      <c r="D4916" s="1"/>
      <c r="E4916" s="1"/>
      <c r="F4916" s="1"/>
      <c r="G4916" s="1" t="s">
        <v>98</v>
      </c>
      <c r="H4916" s="2">
        <v>130</v>
      </c>
      <c r="I4916" s="1" t="s">
        <v>14244</v>
      </c>
      <c r="J4916" s="1" t="s">
        <v>14245</v>
      </c>
      <c r="K4916" s="1" t="s">
        <v>1135</v>
      </c>
      <c r="L4916" s="1" t="s">
        <v>14246</v>
      </c>
      <c r="M4916" s="6" t="str">
        <f>_xlfn.CONCAT(Table1[[#This Row],[Billing Street]], ", ", Table1[[#This Row],[Billing City]], ", ", Table1[[#This Row],[Billing State/Province]], ", ", Table1[[#This Row],[Billing Zip/Postal Code]])</f>
        <v>2323 Keene Street, Loudon, TN, 37774</v>
      </c>
    </row>
    <row r="4917" spans="1:13" ht="15.6" hidden="1" x14ac:dyDescent="0.3">
      <c r="A4917" s="1" t="s">
        <v>14247</v>
      </c>
      <c r="B4917" s="1"/>
      <c r="C4917" s="1"/>
      <c r="D4917" s="1"/>
      <c r="E4917" s="1"/>
      <c r="F4917" s="1"/>
      <c r="G4917" s="1" t="s">
        <v>98</v>
      </c>
      <c r="H4917" s="2">
        <v>307</v>
      </c>
      <c r="I4917" s="1" t="s">
        <v>14248</v>
      </c>
      <c r="J4917" s="1" t="s">
        <v>1778</v>
      </c>
      <c r="K4917" s="1" t="s">
        <v>1135</v>
      </c>
      <c r="L4917" s="1" t="s">
        <v>10132</v>
      </c>
      <c r="M4917" s="6" t="str">
        <f>_xlfn.CONCAT(Table1[[#This Row],[Billing Street]], ", ", Table1[[#This Row],[Billing City]], ", ", Table1[[#This Row],[Billing State/Province]], ", ", Table1[[#This Row],[Billing Zip/Postal Code]])</f>
        <v>17970 Highway 64 East, Somerville, TN, 38068</v>
      </c>
    </row>
    <row r="4918" spans="1:13" ht="15.6" hidden="1" x14ac:dyDescent="0.3">
      <c r="A4918" s="1" t="s">
        <v>14249</v>
      </c>
      <c r="B4918" s="1"/>
      <c r="C4918" s="1"/>
      <c r="D4918" s="1"/>
      <c r="E4918" s="1"/>
      <c r="F4918" s="1"/>
      <c r="G4918" s="1" t="s">
        <v>98</v>
      </c>
      <c r="H4918" s="2">
        <v>185</v>
      </c>
      <c r="I4918" s="1" t="s">
        <v>14250</v>
      </c>
      <c r="J4918" s="1" t="s">
        <v>14251</v>
      </c>
      <c r="K4918" s="1" t="s">
        <v>1135</v>
      </c>
      <c r="L4918" s="1" t="s">
        <v>14252</v>
      </c>
      <c r="M4918" s="6" t="str">
        <f>_xlfn.CONCAT(Table1[[#This Row],[Billing Street]], ", ", Table1[[#This Row],[Billing City]], ", ", Table1[[#This Row],[Billing State/Province]], ", ", Table1[[#This Row],[Billing Zip/Postal Code]])</f>
        <v>400 West Shoal Street, Pulaski, TN, 38478</v>
      </c>
    </row>
    <row r="4919" spans="1:13" ht="15.6" hidden="1" x14ac:dyDescent="0.3">
      <c r="A4919" s="1" t="s">
        <v>14253</v>
      </c>
      <c r="B4919" s="1"/>
      <c r="C4919" s="1"/>
      <c r="D4919" s="1"/>
      <c r="E4919" s="1"/>
      <c r="F4919" s="1"/>
      <c r="G4919" s="1" t="s">
        <v>98</v>
      </c>
      <c r="H4919" s="2">
        <v>248</v>
      </c>
      <c r="I4919" s="1" t="s">
        <v>14254</v>
      </c>
      <c r="J4919" s="1" t="s">
        <v>9281</v>
      </c>
      <c r="K4919" s="1" t="s">
        <v>1135</v>
      </c>
      <c r="L4919" s="1" t="s">
        <v>9282</v>
      </c>
      <c r="M4919" s="6" t="str">
        <f>_xlfn.CONCAT(Table1[[#This Row],[Billing Street]], ", ", Table1[[#This Row],[Billing City]], ", ", Table1[[#This Row],[Billing State/Province]], ", ", Table1[[#This Row],[Billing Zip/Postal Code]])</f>
        <v>590 Florence Rd., Savannah, TN, 38372</v>
      </c>
    </row>
    <row r="4920" spans="1:13" ht="15.6" hidden="1" x14ac:dyDescent="0.3">
      <c r="A4920" s="1" t="s">
        <v>14255</v>
      </c>
      <c r="B4920" s="1"/>
      <c r="C4920" s="1"/>
      <c r="D4920" s="1"/>
      <c r="E4920" s="1"/>
      <c r="F4920" s="1"/>
      <c r="G4920" s="1" t="s">
        <v>98</v>
      </c>
      <c r="H4920" s="2">
        <v>286</v>
      </c>
      <c r="I4920" s="1" t="s">
        <v>14256</v>
      </c>
      <c r="J4920" s="1" t="s">
        <v>1970</v>
      </c>
      <c r="K4920" s="1" t="s">
        <v>1135</v>
      </c>
      <c r="L4920" s="1" t="s">
        <v>13</v>
      </c>
      <c r="M4920" s="6" t="str">
        <f>_xlfn.CONCAT(Table1[[#This Row],[Billing Street]], ", ", Table1[[#This Row],[Billing City]], ", ", Table1[[#This Row],[Billing State/Province]], ", ", Table1[[#This Row],[Billing Zip/Postal Code]])</f>
        <v xml:space="preserve">4047 State Highway 218 Bypass, Paris, TN, </v>
      </c>
    </row>
    <row r="4921" spans="1:13" ht="15.6" hidden="1" x14ac:dyDescent="0.3">
      <c r="A4921" s="1" t="s">
        <v>14257</v>
      </c>
      <c r="B4921" s="1"/>
      <c r="C4921" s="1"/>
      <c r="D4921" s="1"/>
      <c r="E4921" s="1"/>
      <c r="F4921" s="1"/>
      <c r="G4921" s="1" t="s">
        <v>98</v>
      </c>
      <c r="H4921" s="2">
        <v>267</v>
      </c>
      <c r="I4921" s="1" t="s">
        <v>14258</v>
      </c>
      <c r="J4921" s="1" t="s">
        <v>3716</v>
      </c>
      <c r="K4921" s="1" t="s">
        <v>1135</v>
      </c>
      <c r="L4921" s="1" t="s">
        <v>14259</v>
      </c>
      <c r="M4921" s="6" t="str">
        <f>_xlfn.CONCAT(Table1[[#This Row],[Billing Street]], ", ", Table1[[#This Row],[Billing City]], ", ", Table1[[#This Row],[Billing State/Province]], ", ", Table1[[#This Row],[Billing Zip/Postal Code]])</f>
        <v>280 Factory Drive, Lexington, TN, 37033-0240</v>
      </c>
    </row>
    <row r="4922" spans="1:13" ht="15.6" hidden="1" x14ac:dyDescent="0.3">
      <c r="A4922" s="1" t="s">
        <v>14260</v>
      </c>
      <c r="B4922" s="1"/>
      <c r="C4922" s="1"/>
      <c r="D4922" s="1"/>
      <c r="E4922" s="1"/>
      <c r="F4922" s="1"/>
      <c r="G4922" s="1" t="s">
        <v>48</v>
      </c>
      <c r="H4922" s="2">
        <v>0</v>
      </c>
      <c r="I4922" s="1" t="s">
        <v>14261</v>
      </c>
      <c r="J4922" s="1" t="s">
        <v>502</v>
      </c>
      <c r="K4922" s="1" t="s">
        <v>1135</v>
      </c>
      <c r="L4922" s="1" t="s">
        <v>14262</v>
      </c>
      <c r="M4922" s="6" t="str">
        <f>_xlfn.CONCAT(Table1[[#This Row],[Billing Street]], ", ", Table1[[#This Row],[Billing City]], ", ", Table1[[#This Row],[Billing State/Province]], ", ", Table1[[#This Row],[Billing Zip/Postal Code]])</f>
        <v>201 Pickens Lane, Columbia, TN, 38401</v>
      </c>
    </row>
    <row r="4923" spans="1:13" ht="15.6" hidden="1" x14ac:dyDescent="0.3">
      <c r="A4923" s="1" t="s">
        <v>14263</v>
      </c>
      <c r="B4923" s="1"/>
      <c r="C4923" s="1"/>
      <c r="D4923" s="1"/>
      <c r="E4923" s="1"/>
      <c r="F4923" s="1"/>
      <c r="G4923" s="1" t="s">
        <v>98</v>
      </c>
      <c r="H4923" s="2">
        <v>185</v>
      </c>
      <c r="I4923" s="1" t="s">
        <v>14264</v>
      </c>
      <c r="J4923" s="1" t="s">
        <v>14265</v>
      </c>
      <c r="K4923" s="1" t="s">
        <v>1135</v>
      </c>
      <c r="L4923" s="1" t="s">
        <v>14266</v>
      </c>
      <c r="M4923" s="6" t="str">
        <f>_xlfn.CONCAT(Table1[[#This Row],[Billing Street]], ", ", Table1[[#This Row],[Billing City]], ", ", Table1[[#This Row],[Billing State/Province]], ", ", Table1[[#This Row],[Billing Zip/Postal Code]])</f>
        <v>205 N. Walnut street, Murfreesboro, TN, 37130</v>
      </c>
    </row>
    <row r="4924" spans="1:13" ht="15.6" hidden="1" x14ac:dyDescent="0.3">
      <c r="A4924" s="1" t="s">
        <v>14267</v>
      </c>
      <c r="B4924" s="1"/>
      <c r="C4924" s="1"/>
      <c r="D4924" s="1"/>
      <c r="E4924" s="1"/>
      <c r="F4924" s="1"/>
      <c r="G4924" s="1" t="s">
        <v>98</v>
      </c>
      <c r="H4924" s="2">
        <v>5887</v>
      </c>
      <c r="I4924" s="1" t="s">
        <v>13</v>
      </c>
      <c r="J4924" s="1" t="s">
        <v>3890</v>
      </c>
      <c r="K4924" s="1" t="s">
        <v>1135</v>
      </c>
      <c r="L4924" s="1" t="s">
        <v>13</v>
      </c>
      <c r="M4924" s="6" t="str">
        <f>_xlfn.CONCAT(Table1[[#This Row],[Billing Street]], ", ", Table1[[#This Row],[Billing City]], ", ", Table1[[#This Row],[Billing State/Province]], ", ", Table1[[#This Row],[Billing Zip/Postal Code]])</f>
        <v xml:space="preserve">, Shelbyville, TN, </v>
      </c>
    </row>
    <row r="4925" spans="1:13" ht="15.6" hidden="1" x14ac:dyDescent="0.3">
      <c r="A4925" s="1" t="s">
        <v>14268</v>
      </c>
      <c r="B4925" s="1"/>
      <c r="C4925" s="1"/>
      <c r="D4925" s="1"/>
      <c r="E4925" s="1"/>
      <c r="F4925" s="1"/>
      <c r="G4925" s="1" t="s">
        <v>98</v>
      </c>
      <c r="H4925" s="2">
        <v>253</v>
      </c>
      <c r="I4925" s="1" t="s">
        <v>14269</v>
      </c>
      <c r="J4925" s="1" t="s">
        <v>4740</v>
      </c>
      <c r="K4925" s="1" t="s">
        <v>1135</v>
      </c>
      <c r="L4925" s="1" t="s">
        <v>6550</v>
      </c>
      <c r="M4925" s="6" t="str">
        <f>_xlfn.CONCAT(Table1[[#This Row],[Billing Street]], ", ", Table1[[#This Row],[Billing City]], ", ", Table1[[#This Row],[Billing State/Province]], ", ", Table1[[#This Row],[Billing Zip/Postal Code]])</f>
        <v>1940 Madison Street, Clarksville, TN, 37043</v>
      </c>
    </row>
    <row r="4926" spans="1:13" ht="15.6" hidden="1" x14ac:dyDescent="0.3">
      <c r="A4926" s="1" t="s">
        <v>14270</v>
      </c>
      <c r="B4926" s="1"/>
      <c r="C4926" s="1"/>
      <c r="D4926" s="1"/>
      <c r="E4926" s="1"/>
      <c r="F4926" s="1"/>
      <c r="G4926" s="1" t="s">
        <v>98</v>
      </c>
      <c r="H4926" s="2">
        <v>185</v>
      </c>
      <c r="I4926" s="1" t="s">
        <v>14271</v>
      </c>
      <c r="J4926" s="1" t="s">
        <v>14265</v>
      </c>
      <c r="K4926" s="1" t="s">
        <v>1135</v>
      </c>
      <c r="L4926" s="1" t="s">
        <v>14272</v>
      </c>
      <c r="M4926" s="6" t="str">
        <f>_xlfn.CONCAT(Table1[[#This Row],[Billing Street]], ", ", Table1[[#This Row],[Billing City]], ", ", Table1[[#This Row],[Billing State/Province]], ", ", Table1[[#This Row],[Billing Zip/Postal Code]])</f>
        <v>555 New Salem Road, Murfreesboro, TN, 37129</v>
      </c>
    </row>
    <row r="4927" spans="1:13" ht="15.6" hidden="1" x14ac:dyDescent="0.3">
      <c r="A4927" s="1" t="s">
        <v>14273</v>
      </c>
      <c r="B4927" s="1"/>
      <c r="C4927" s="1"/>
      <c r="D4927" s="1"/>
      <c r="E4927" s="1"/>
      <c r="F4927" s="1"/>
      <c r="G4927" s="1" t="s">
        <v>8</v>
      </c>
      <c r="H4927" s="2">
        <v>370</v>
      </c>
      <c r="I4927" s="1" t="s">
        <v>14274</v>
      </c>
      <c r="J4927" s="1" t="s">
        <v>683</v>
      </c>
      <c r="K4927" s="1" t="s">
        <v>51</v>
      </c>
      <c r="L4927" s="1" t="s">
        <v>14275</v>
      </c>
      <c r="M4927" s="6" t="str">
        <f>_xlfn.CONCAT(Table1[[#This Row],[Billing Street]], ", ", Table1[[#This Row],[Billing City]], ", ", Table1[[#This Row],[Billing State/Province]], ", ", Table1[[#This Row],[Billing Zip/Postal Code]])</f>
        <v>201 South Shore Drive, Amarillo, TX, 79118</v>
      </c>
    </row>
    <row r="4928" spans="1:13" ht="15.6" hidden="1" x14ac:dyDescent="0.3">
      <c r="A4928" s="1" t="s">
        <v>14276</v>
      </c>
      <c r="B4928" s="1"/>
      <c r="C4928" s="1"/>
      <c r="D4928" s="1"/>
      <c r="E4928" s="1"/>
      <c r="F4928" s="1"/>
      <c r="G4928" s="1" t="s">
        <v>43</v>
      </c>
      <c r="H4928" s="2">
        <v>5776</v>
      </c>
      <c r="I4928" s="1" t="s">
        <v>13</v>
      </c>
      <c r="J4928" s="1" t="s">
        <v>3372</v>
      </c>
      <c r="K4928" s="1" t="s">
        <v>671</v>
      </c>
      <c r="L4928" s="1" t="s">
        <v>13</v>
      </c>
      <c r="M4928" s="6" t="str">
        <f>_xlfn.CONCAT(Table1[[#This Row],[Billing Street]], ", ", Table1[[#This Row],[Billing City]], ", ", Table1[[#This Row],[Billing State/Province]], ", ", Table1[[#This Row],[Billing Zip/Postal Code]])</f>
        <v xml:space="preserve">, Buffalo, NY, </v>
      </c>
    </row>
    <row r="4929" spans="1:13" ht="15.6" hidden="1" x14ac:dyDescent="0.3">
      <c r="A4929" s="1" t="s">
        <v>14277</v>
      </c>
      <c r="B4929" s="1"/>
      <c r="C4929" s="1"/>
      <c r="D4929" s="1"/>
      <c r="E4929" s="1"/>
      <c r="F4929" s="1"/>
      <c r="G4929" s="1" t="s">
        <v>43</v>
      </c>
      <c r="H4929" s="2">
        <v>5776</v>
      </c>
      <c r="I4929" s="1" t="s">
        <v>13</v>
      </c>
      <c r="J4929" s="1" t="s">
        <v>1566</v>
      </c>
      <c r="K4929" s="1" t="s">
        <v>1115</v>
      </c>
      <c r="L4929" s="1" t="s">
        <v>13</v>
      </c>
      <c r="M4929" s="6" t="str">
        <f>_xlfn.CONCAT(Table1[[#This Row],[Billing Street]], ", ", Table1[[#This Row],[Billing City]], ", ", Table1[[#This Row],[Billing State/Province]], ", ", Table1[[#This Row],[Billing Zip/Postal Code]])</f>
        <v xml:space="preserve">, Danville, VA, </v>
      </c>
    </row>
    <row r="4930" spans="1:13" ht="15.6" hidden="1" x14ac:dyDescent="0.3">
      <c r="A4930" s="1" t="s">
        <v>14278</v>
      </c>
      <c r="B4930" s="1"/>
      <c r="C4930" s="1"/>
      <c r="D4930" s="1"/>
      <c r="E4930" s="1"/>
      <c r="F4930" s="1"/>
      <c r="G4930" s="1" t="s">
        <v>43</v>
      </c>
      <c r="H4930" s="2">
        <v>286</v>
      </c>
      <c r="I4930" s="1" t="s">
        <v>14279</v>
      </c>
      <c r="J4930" s="1" t="s">
        <v>1689</v>
      </c>
      <c r="K4930" s="1" t="s">
        <v>1115</v>
      </c>
      <c r="L4930" s="1" t="s">
        <v>14280</v>
      </c>
      <c r="M4930" s="6" t="str">
        <f>_xlfn.CONCAT(Table1[[#This Row],[Billing Street]], ", ", Table1[[#This Row],[Billing City]], ", ", Table1[[#This Row],[Billing State/Province]], ", ", Table1[[#This Row],[Billing Zip/Postal Code]])</f>
        <v>3717 Columbia Pike, Arlington, VA, 22204</v>
      </c>
    </row>
    <row r="4931" spans="1:13" ht="15.6" x14ac:dyDescent="0.3">
      <c r="A4931" s="1" t="s">
        <v>14281</v>
      </c>
      <c r="B4931" s="1"/>
      <c r="C4931" s="1"/>
      <c r="D4931" s="1"/>
      <c r="E4931" s="1"/>
      <c r="F4931" s="1"/>
      <c r="G4931" s="1" t="s">
        <v>24</v>
      </c>
      <c r="H4931" s="2">
        <v>263</v>
      </c>
      <c r="I4931" s="1" t="s">
        <v>14282</v>
      </c>
      <c r="J4931" s="1" t="s">
        <v>637</v>
      </c>
      <c r="K4931" s="1" t="s">
        <v>14283</v>
      </c>
      <c r="L4931" s="1" t="s">
        <v>7717</v>
      </c>
      <c r="M4931" s="6" t="str">
        <f>_xlfn.CONCAT(Table1[[#This Row],[Billing Street]], ", ", Table1[[#This Row],[Billing City]], ", ", Table1[[#This Row],[Billing State/Province]], ", ", Table1[[#This Row],[Billing Zip/Postal Code]])</f>
        <v>530 Julienne St, Jackson, Mississippi, 39201</v>
      </c>
    </row>
    <row r="4932" spans="1:13" ht="15.6" hidden="1" x14ac:dyDescent="0.3">
      <c r="A4932" s="1" t="s">
        <v>14284</v>
      </c>
      <c r="B4932" s="1"/>
      <c r="C4932" s="1"/>
      <c r="D4932" s="1"/>
      <c r="E4932" s="1"/>
      <c r="F4932" s="1"/>
      <c r="G4932" s="1" t="s">
        <v>13</v>
      </c>
      <c r="H4932" s="2">
        <v>0</v>
      </c>
      <c r="I4932" s="1" t="s">
        <v>13</v>
      </c>
      <c r="J4932" s="1" t="s">
        <v>13</v>
      </c>
      <c r="K4932" s="1" t="s">
        <v>13</v>
      </c>
      <c r="L4932" s="1" t="s">
        <v>13</v>
      </c>
      <c r="M4932" s="6" t="str">
        <f>_xlfn.CONCAT(Table1[[#This Row],[Billing Street]], ", ", Table1[[#This Row],[Billing City]], ", ", Table1[[#This Row],[Billing State/Province]], ", ", Table1[[#This Row],[Billing Zip/Postal Code]])</f>
        <v xml:space="preserve">, , , </v>
      </c>
    </row>
    <row r="4933" spans="1:13" ht="15.6" hidden="1" x14ac:dyDescent="0.3">
      <c r="A4933" s="1" t="s">
        <v>14285</v>
      </c>
      <c r="B4933" s="1"/>
      <c r="C4933" s="1"/>
      <c r="D4933" s="1"/>
      <c r="E4933" s="1"/>
      <c r="F4933" s="1"/>
      <c r="G4933" s="1" t="s">
        <v>98</v>
      </c>
      <c r="H4933" s="2">
        <v>5887</v>
      </c>
      <c r="I4933" s="1" t="s">
        <v>13</v>
      </c>
      <c r="J4933" s="1" t="s">
        <v>9856</v>
      </c>
      <c r="K4933" s="1" t="s">
        <v>101</v>
      </c>
      <c r="L4933" s="1" t="s">
        <v>13</v>
      </c>
      <c r="M4933" s="6" t="str">
        <f>_xlfn.CONCAT(Table1[[#This Row],[Billing Street]], ", ", Table1[[#This Row],[Billing City]], ", ", Table1[[#This Row],[Billing State/Province]], ", ", Table1[[#This Row],[Billing Zip/Postal Code]])</f>
        <v xml:space="preserve">, Dudley, GA, </v>
      </c>
    </row>
    <row r="4934" spans="1:13" ht="15.6" hidden="1" x14ac:dyDescent="0.3">
      <c r="A4934" s="1" t="s">
        <v>14286</v>
      </c>
      <c r="B4934" s="1"/>
      <c r="C4934" s="1"/>
      <c r="D4934" s="1"/>
      <c r="E4934" s="1"/>
      <c r="F4934" s="1"/>
      <c r="G4934" s="1" t="s">
        <v>43</v>
      </c>
      <c r="H4934" s="2">
        <v>306</v>
      </c>
      <c r="I4934" s="1" t="s">
        <v>14287</v>
      </c>
      <c r="J4934" s="1" t="s">
        <v>14288</v>
      </c>
      <c r="K4934" s="1" t="s">
        <v>237</v>
      </c>
      <c r="L4934" s="1" t="s">
        <v>14289</v>
      </c>
      <c r="M4934" s="6" t="str">
        <f>_xlfn.CONCAT(Table1[[#This Row],[Billing Street]], ", ", Table1[[#This Row],[Billing City]], ", ", Table1[[#This Row],[Billing State/Province]], ", ", Table1[[#This Row],[Billing Zip/Postal Code]])</f>
        <v>7810 State Rd 60, Sellersburg, IN, 47172</v>
      </c>
    </row>
    <row r="4935" spans="1:13" ht="15.6" hidden="1" x14ac:dyDescent="0.3">
      <c r="A4935" s="1" t="s">
        <v>14290</v>
      </c>
      <c r="B4935" s="1"/>
      <c r="C4935" s="1"/>
      <c r="D4935" s="1"/>
      <c r="E4935" s="1"/>
      <c r="F4935" s="1"/>
      <c r="G4935" s="1" t="s">
        <v>43</v>
      </c>
      <c r="H4935" s="2">
        <v>329</v>
      </c>
      <c r="I4935" s="1" t="s">
        <v>14291</v>
      </c>
      <c r="J4935" s="1" t="s">
        <v>14292</v>
      </c>
      <c r="K4935" s="1" t="s">
        <v>237</v>
      </c>
      <c r="L4935" s="1" t="s">
        <v>14293</v>
      </c>
      <c r="M4935" s="6" t="str">
        <f>_xlfn.CONCAT(Table1[[#This Row],[Billing Street]], ", ", Table1[[#This Row],[Billing City]], ", ", Table1[[#This Row],[Billing State/Province]], ", ", Table1[[#This Row],[Billing Zip/Postal Code]])</f>
        <v>1165 Old Forest Rd, Corydon, IN, 47112</v>
      </c>
    </row>
    <row r="4936" spans="1:13" ht="15.6" hidden="1" x14ac:dyDescent="0.3">
      <c r="A4936" s="1" t="s">
        <v>14294</v>
      </c>
      <c r="B4936" s="1"/>
      <c r="C4936" s="1"/>
      <c r="D4936" s="1"/>
      <c r="E4936" s="1"/>
      <c r="F4936" s="1"/>
      <c r="G4936" s="1" t="s">
        <v>43</v>
      </c>
      <c r="H4936" s="2">
        <v>186</v>
      </c>
      <c r="I4936" s="1" t="s">
        <v>14295</v>
      </c>
      <c r="J4936" s="1" t="s">
        <v>14296</v>
      </c>
      <c r="K4936" s="1" t="s">
        <v>275</v>
      </c>
      <c r="L4936" s="1" t="s">
        <v>14297</v>
      </c>
      <c r="M4936" s="6" t="str">
        <f>_xlfn.CONCAT(Table1[[#This Row],[Billing Street]], ", ", Table1[[#This Row],[Billing City]], ", ", Table1[[#This Row],[Billing State/Province]], ", ", Table1[[#This Row],[Billing Zip/Postal Code]])</f>
        <v>6204 Goodrich Rd, Clarence Center, ny, 14032</v>
      </c>
    </row>
    <row r="4937" spans="1:13" ht="15.6" hidden="1" x14ac:dyDescent="0.3">
      <c r="A4937" s="1" t="s">
        <v>14298</v>
      </c>
      <c r="B4937" s="1"/>
      <c r="C4937" s="1"/>
      <c r="D4937" s="1"/>
      <c r="E4937" s="1"/>
      <c r="F4937" s="1"/>
      <c r="G4937" s="1" t="s">
        <v>98</v>
      </c>
      <c r="H4937" s="2">
        <v>160</v>
      </c>
      <c r="I4937" s="1" t="s">
        <v>13</v>
      </c>
      <c r="J4937" s="1" t="s">
        <v>793</v>
      </c>
      <c r="K4937" s="1" t="s">
        <v>101</v>
      </c>
      <c r="L4937" s="1" t="s">
        <v>14299</v>
      </c>
      <c r="M4937" s="6" t="str">
        <f>_xlfn.CONCAT(Table1[[#This Row],[Billing Street]], ", ", Table1[[#This Row],[Billing City]], ", ", Table1[[#This Row],[Billing State/Province]], ", ", Table1[[#This Row],[Billing Zip/Postal Code]])</f>
        <v>, Lyons, GA, 30436</v>
      </c>
    </row>
    <row r="4938" spans="1:13" ht="15.6" hidden="1" x14ac:dyDescent="0.3">
      <c r="A4938" s="1" t="s">
        <v>14300</v>
      </c>
      <c r="B4938" s="1"/>
      <c r="C4938" s="1"/>
      <c r="D4938" s="1"/>
      <c r="E4938" s="1"/>
      <c r="F4938" s="1"/>
      <c r="G4938" s="1" t="s">
        <v>98</v>
      </c>
      <c r="H4938" s="2">
        <v>218</v>
      </c>
      <c r="I4938" s="1" t="s">
        <v>14301</v>
      </c>
      <c r="J4938" s="1" t="s">
        <v>4692</v>
      </c>
      <c r="K4938" s="1" t="s">
        <v>1135</v>
      </c>
      <c r="L4938" s="1" t="s">
        <v>14302</v>
      </c>
      <c r="M4938" s="6" t="str">
        <f>_xlfn.CONCAT(Table1[[#This Row],[Billing Street]], ", ", Table1[[#This Row],[Billing City]], ", ", Table1[[#This Row],[Billing State/Province]], ", ", Table1[[#This Row],[Billing Zip/Postal Code]])</f>
        <v>220 Athens Way, Nashville, TN, 37228</v>
      </c>
    </row>
    <row r="4939" spans="1:13" ht="15.6" hidden="1" x14ac:dyDescent="0.3">
      <c r="A4939" s="1" t="s">
        <v>14303</v>
      </c>
      <c r="B4939" s="1"/>
      <c r="C4939" s="1"/>
      <c r="D4939" s="1"/>
      <c r="E4939" s="1"/>
      <c r="F4939" s="1"/>
      <c r="G4939" s="1" t="s">
        <v>43</v>
      </c>
      <c r="H4939" s="2">
        <v>209</v>
      </c>
      <c r="I4939" s="1" t="s">
        <v>14304</v>
      </c>
      <c r="J4939" s="1" t="s">
        <v>1543</v>
      </c>
      <c r="K4939" s="1" t="s">
        <v>237</v>
      </c>
      <c r="L4939" s="1" t="s">
        <v>14305</v>
      </c>
      <c r="M4939" s="6" t="str">
        <f>_xlfn.CONCAT(Table1[[#This Row],[Billing Street]], ", ", Table1[[#This Row],[Billing City]], ", ", Table1[[#This Row],[Billing State/Province]], ", ", Table1[[#This Row],[Billing Zip/Postal Code]])</f>
        <v>2000 US Hwy 27 So, Richmond, IN, 47374</v>
      </c>
    </row>
    <row r="4940" spans="1:13" ht="15.6" hidden="1" x14ac:dyDescent="0.3">
      <c r="A4940" s="1" t="s">
        <v>14306</v>
      </c>
      <c r="B4940" s="1"/>
      <c r="C4940" s="1"/>
      <c r="D4940" s="1"/>
      <c r="E4940" s="1"/>
      <c r="F4940" s="1"/>
      <c r="G4940" s="1" t="s">
        <v>43</v>
      </c>
      <c r="H4940" s="2">
        <v>296</v>
      </c>
      <c r="I4940" s="1" t="s">
        <v>14307</v>
      </c>
      <c r="J4940" s="1" t="s">
        <v>1609</v>
      </c>
      <c r="K4940" s="1" t="s">
        <v>237</v>
      </c>
      <c r="L4940" s="1" t="s">
        <v>14308</v>
      </c>
      <c r="M4940" s="6" t="str">
        <f>_xlfn.CONCAT(Table1[[#This Row],[Billing Street]], ", ", Table1[[#This Row],[Billing City]], ", ", Table1[[#This Row],[Billing State/Province]], ", ", Table1[[#This Row],[Billing Zip/Postal Code]])</f>
        <v>403 S. Main St., Linden, IN, iN</v>
      </c>
    </row>
    <row r="4941" spans="1:13" ht="15.6" x14ac:dyDescent="0.3">
      <c r="A4941" s="1" t="s">
        <v>14309</v>
      </c>
      <c r="B4941" s="1"/>
      <c r="C4941" s="1"/>
      <c r="D4941" s="1"/>
      <c r="E4941" s="1"/>
      <c r="F4941" s="1"/>
      <c r="G4941" s="1" t="s">
        <v>24</v>
      </c>
      <c r="H4941" s="2">
        <v>47</v>
      </c>
      <c r="I4941" s="1" t="s">
        <v>14310</v>
      </c>
      <c r="J4941" s="1" t="s">
        <v>522</v>
      </c>
      <c r="K4941" s="1" t="s">
        <v>26</v>
      </c>
      <c r="L4941" s="1" t="s">
        <v>523</v>
      </c>
      <c r="M4941" s="6" t="str">
        <f>_xlfn.CONCAT(Table1[[#This Row],[Billing Street]], ", ", Table1[[#This Row],[Billing City]], ", ", Table1[[#This Row],[Billing State/Province]], ", ", Table1[[#This Row],[Billing Zip/Postal Code]])</f>
        <v>105 Waits Dr, Andalusia, AL, 36421</v>
      </c>
    </row>
    <row r="4942" spans="1:13" ht="15.6" hidden="1" x14ac:dyDescent="0.3">
      <c r="A4942" s="1" t="s">
        <v>14311</v>
      </c>
      <c r="B4942" s="1"/>
      <c r="C4942" s="1"/>
      <c r="D4942" s="1"/>
      <c r="E4942" s="1"/>
      <c r="F4942" s="1"/>
      <c r="G4942" s="1" t="s">
        <v>43</v>
      </c>
      <c r="H4942" s="2">
        <v>295</v>
      </c>
      <c r="I4942" s="1" t="s">
        <v>14312</v>
      </c>
      <c r="J4942" s="1" t="s">
        <v>3868</v>
      </c>
      <c r="K4942" s="1" t="s">
        <v>237</v>
      </c>
      <c r="L4942" s="1" t="s">
        <v>3869</v>
      </c>
      <c r="M4942" s="6" t="str">
        <f>_xlfn.CONCAT(Table1[[#This Row],[Billing Street]], ", ", Table1[[#This Row],[Billing City]], ", ", Table1[[#This Row],[Billing State/Province]], ", ", Table1[[#This Row],[Billing Zip/Postal Code]])</f>
        <v>274 E. Base Rd, Brownstown, IN, 47220</v>
      </c>
    </row>
    <row r="4943" spans="1:13" ht="15.6" hidden="1" x14ac:dyDescent="0.3">
      <c r="A4943" s="1" t="s">
        <v>14313</v>
      </c>
      <c r="B4943" s="1"/>
      <c r="C4943" s="1"/>
      <c r="D4943" s="1"/>
      <c r="E4943" s="1"/>
      <c r="F4943" s="1"/>
      <c r="G4943" s="1" t="s">
        <v>43</v>
      </c>
      <c r="H4943" s="2">
        <v>283</v>
      </c>
      <c r="I4943" s="1" t="s">
        <v>14314</v>
      </c>
      <c r="J4943" s="1" t="s">
        <v>388</v>
      </c>
      <c r="K4943" s="1" t="s">
        <v>237</v>
      </c>
      <c r="L4943" s="1" t="s">
        <v>14315</v>
      </c>
      <c r="M4943" s="6" t="str">
        <f>_xlfn.CONCAT(Table1[[#This Row],[Billing Street]], ", ", Table1[[#This Row],[Billing City]], ", ", Table1[[#This Row],[Billing State/Province]], ", ", Table1[[#This Row],[Billing Zip/Postal Code]])</f>
        <v>86 N CR-500 E, Avon, IN, 46123</v>
      </c>
    </row>
    <row r="4944" spans="1:13" ht="15.6" hidden="1" x14ac:dyDescent="0.3">
      <c r="A4944" s="1" t="s">
        <v>14316</v>
      </c>
      <c r="B4944" s="1"/>
      <c r="C4944" s="1"/>
      <c r="D4944" s="1"/>
      <c r="E4944" s="1"/>
      <c r="F4944" s="1"/>
      <c r="G4944" s="1" t="s">
        <v>8</v>
      </c>
      <c r="H4944" s="2">
        <v>257</v>
      </c>
      <c r="I4944" s="1" t="s">
        <v>14317</v>
      </c>
      <c r="J4944" s="1" t="s">
        <v>8322</v>
      </c>
      <c r="K4944" s="1" t="s">
        <v>165</v>
      </c>
      <c r="L4944" s="1" t="s">
        <v>9197</v>
      </c>
      <c r="M4944" s="6" t="str">
        <f>_xlfn.CONCAT(Table1[[#This Row],[Billing Street]], ", ", Table1[[#This Row],[Billing City]], ", ", Table1[[#This Row],[Billing State/Province]], ", ", Table1[[#This Row],[Billing Zip/Postal Code]])</f>
        <v>118 W. Elm St., Prescott, AR, 71857</v>
      </c>
    </row>
    <row r="4945" spans="1:13" ht="15.6" hidden="1" x14ac:dyDescent="0.3">
      <c r="A4945" s="1" t="s">
        <v>14318</v>
      </c>
      <c r="B4945" s="1"/>
      <c r="C4945" s="1"/>
      <c r="D4945" s="1"/>
      <c r="E4945" s="1"/>
      <c r="F4945" s="1"/>
      <c r="G4945" s="1" t="s">
        <v>43</v>
      </c>
      <c r="H4945" s="2">
        <v>253</v>
      </c>
      <c r="I4945" s="1" t="s">
        <v>14319</v>
      </c>
      <c r="J4945" s="1" t="s">
        <v>14320</v>
      </c>
      <c r="K4945" s="1" t="s">
        <v>237</v>
      </c>
      <c r="L4945" s="1" t="s">
        <v>14321</v>
      </c>
      <c r="M4945" s="6" t="str">
        <f>_xlfn.CONCAT(Table1[[#This Row],[Billing Street]], ", ", Table1[[#This Row],[Billing City]], ", ", Table1[[#This Row],[Billing State/Province]], ", ", Table1[[#This Row],[Billing Zip/Postal Code]])</f>
        <v>712 South Buckeye St., Osgood, IN, 47037</v>
      </c>
    </row>
    <row r="4946" spans="1:13" ht="15.6" hidden="1" x14ac:dyDescent="0.3">
      <c r="A4946" s="1" t="s">
        <v>3016</v>
      </c>
      <c r="B4946" s="1"/>
      <c r="C4946" s="1"/>
      <c r="D4946" s="1"/>
      <c r="E4946" s="1"/>
      <c r="F4946" s="1"/>
      <c r="G4946" s="1" t="s">
        <v>43</v>
      </c>
      <c r="H4946" s="2">
        <v>5776</v>
      </c>
      <c r="I4946" s="1" t="s">
        <v>13</v>
      </c>
      <c r="J4946" s="1" t="s">
        <v>13</v>
      </c>
      <c r="K4946" s="1" t="s">
        <v>237</v>
      </c>
      <c r="L4946" s="1" t="s">
        <v>13</v>
      </c>
      <c r="M4946" s="6" t="str">
        <f>_xlfn.CONCAT(Table1[[#This Row],[Billing Street]], ", ", Table1[[#This Row],[Billing City]], ", ", Table1[[#This Row],[Billing State/Province]], ", ", Table1[[#This Row],[Billing Zip/Postal Code]])</f>
        <v xml:space="preserve">, , IN, </v>
      </c>
    </row>
    <row r="4947" spans="1:13" ht="15.6" hidden="1" x14ac:dyDescent="0.3">
      <c r="A4947" s="1" t="s">
        <v>14322</v>
      </c>
      <c r="B4947" s="1"/>
      <c r="C4947" s="1"/>
      <c r="D4947" s="1"/>
      <c r="E4947" s="1"/>
      <c r="F4947" s="1"/>
      <c r="G4947" s="1" t="s">
        <v>43</v>
      </c>
      <c r="H4947" s="2">
        <v>395</v>
      </c>
      <c r="I4947" s="1" t="s">
        <v>14323</v>
      </c>
      <c r="J4947" s="1" t="s">
        <v>338</v>
      </c>
      <c r="K4947" s="1" t="s">
        <v>237</v>
      </c>
      <c r="L4947" s="1" t="s">
        <v>14324</v>
      </c>
      <c r="M4947" s="6" t="str">
        <f>_xlfn.CONCAT(Table1[[#This Row],[Billing Street]], ", ", Table1[[#This Row],[Billing City]], ", ", Table1[[#This Row],[Billing State/Province]], ", ", Table1[[#This Row],[Billing Zip/Postal Code]])</f>
        <v>7100 Eagle Crest Blvd, Evansville, IN, 47715</v>
      </c>
    </row>
    <row r="4948" spans="1:13" ht="15.6" hidden="1" x14ac:dyDescent="0.3">
      <c r="A4948" s="1" t="s">
        <v>14325</v>
      </c>
      <c r="B4948" s="1"/>
      <c r="C4948" s="1"/>
      <c r="D4948" s="1"/>
      <c r="E4948" s="1"/>
      <c r="F4948" s="1"/>
      <c r="G4948" s="1" t="s">
        <v>43</v>
      </c>
      <c r="H4948" s="2">
        <v>196</v>
      </c>
      <c r="I4948" s="1" t="s">
        <v>14326</v>
      </c>
      <c r="J4948" s="1" t="s">
        <v>2322</v>
      </c>
      <c r="K4948" s="1" t="s">
        <v>237</v>
      </c>
      <c r="L4948" s="1" t="s">
        <v>14327</v>
      </c>
      <c r="M4948" s="6" t="str">
        <f>_xlfn.CONCAT(Table1[[#This Row],[Billing Street]], ", ", Table1[[#This Row],[Billing City]], ", ", Table1[[#This Row],[Billing State/Province]], ", ", Table1[[#This Row],[Billing Zip/Postal Code]])</f>
        <v>484 S 200 W, Portland, IN, 47371</v>
      </c>
    </row>
    <row r="4949" spans="1:13" ht="15.6" hidden="1" x14ac:dyDescent="0.3">
      <c r="A4949" s="1" t="s">
        <v>14328</v>
      </c>
      <c r="B4949" s="1"/>
      <c r="C4949" s="1"/>
      <c r="D4949" s="1"/>
      <c r="E4949" s="1"/>
      <c r="F4949" s="1"/>
      <c r="G4949" s="1" t="s">
        <v>43</v>
      </c>
      <c r="H4949" s="2">
        <v>217</v>
      </c>
      <c r="I4949" s="1" t="s">
        <v>14329</v>
      </c>
      <c r="J4949" s="1" t="s">
        <v>6001</v>
      </c>
      <c r="K4949" s="1" t="s">
        <v>237</v>
      </c>
      <c r="L4949" s="1" t="s">
        <v>14330</v>
      </c>
      <c r="M4949" s="6" t="str">
        <f>_xlfn.CONCAT(Table1[[#This Row],[Billing Street]], ", ", Table1[[#This Row],[Billing City]], ", ", Table1[[#This Row],[Billing State/Province]], ", ", Table1[[#This Row],[Billing Zip/Postal Code]])</f>
        <v>101 BROWNSVILLE AVE, Liberty, IN, 47353</v>
      </c>
    </row>
    <row r="4950" spans="1:13" ht="15.6" hidden="1" x14ac:dyDescent="0.3">
      <c r="A4950" s="1" t="s">
        <v>14331</v>
      </c>
      <c r="B4950" s="1"/>
      <c r="C4950" s="1"/>
      <c r="D4950" s="1"/>
      <c r="E4950" s="1"/>
      <c r="F4950" s="1"/>
      <c r="G4950" s="1" t="s">
        <v>48</v>
      </c>
      <c r="H4950" s="2">
        <v>0</v>
      </c>
      <c r="I4950" s="1" t="s">
        <v>14332</v>
      </c>
      <c r="J4950" s="1" t="s">
        <v>388</v>
      </c>
      <c r="K4950" s="1" t="s">
        <v>237</v>
      </c>
      <c r="L4950" s="1" t="s">
        <v>14315</v>
      </c>
      <c r="M4950" s="6" t="str">
        <f>_xlfn.CONCAT(Table1[[#This Row],[Billing Street]], ", ", Table1[[#This Row],[Billing City]], ", ", Table1[[#This Row],[Billing State/Province]], ", ", Table1[[#This Row],[Billing Zip/Postal Code]])</f>
        <v>5250 East US Highway 36 - Building 1000, Avon, IN, 46123</v>
      </c>
    </row>
    <row r="4951" spans="1:13" ht="15.6" hidden="1" x14ac:dyDescent="0.3">
      <c r="A4951" s="1" t="s">
        <v>14333</v>
      </c>
      <c r="B4951" s="1"/>
      <c r="C4951" s="1"/>
      <c r="D4951" s="1"/>
      <c r="E4951" s="1"/>
      <c r="F4951" s="1"/>
      <c r="G4951" s="1" t="s">
        <v>43</v>
      </c>
      <c r="H4951" s="2">
        <v>448</v>
      </c>
      <c r="I4951" s="1" t="s">
        <v>14334</v>
      </c>
      <c r="J4951" s="1" t="s">
        <v>418</v>
      </c>
      <c r="K4951" s="1" t="s">
        <v>152</v>
      </c>
      <c r="L4951" s="1" t="s">
        <v>14335</v>
      </c>
      <c r="M4951" s="6" t="str">
        <f>_xlfn.CONCAT(Table1[[#This Row],[Billing Street]], ", ", Table1[[#This Row],[Billing City]], ", ", Table1[[#This Row],[Billing State/Province]], ", ", Table1[[#This Row],[Billing Zip/Postal Code]])</f>
        <v>3130 Pleasant Run, Springfield, IL, 62711</v>
      </c>
    </row>
    <row r="4952" spans="1:13" ht="15.6" hidden="1" x14ac:dyDescent="0.3">
      <c r="A4952" s="1" t="s">
        <v>14336</v>
      </c>
      <c r="B4952" s="1"/>
      <c r="C4952" s="1"/>
      <c r="D4952" s="1"/>
      <c r="E4952" s="1"/>
      <c r="F4952" s="1"/>
      <c r="G4952" s="1" t="s">
        <v>98</v>
      </c>
      <c r="H4952" s="2">
        <v>133</v>
      </c>
      <c r="I4952" s="1" t="s">
        <v>14337</v>
      </c>
      <c r="J4952" s="1" t="s">
        <v>4784</v>
      </c>
      <c r="K4952" s="1" t="s">
        <v>1135</v>
      </c>
      <c r="L4952" s="1" t="s">
        <v>4785</v>
      </c>
      <c r="M4952" s="6" t="str">
        <f>_xlfn.CONCAT(Table1[[#This Row],[Billing Street]], ", ", Table1[[#This Row],[Billing City]], ", ", Table1[[#This Row],[Billing State/Province]], ", ", Table1[[#This Row],[Billing Zip/Postal Code]])</f>
        <v>1652 E. Broadway Avenue, Maryville, TN, 37804</v>
      </c>
    </row>
    <row r="4953" spans="1:13" ht="15.6" hidden="1" x14ac:dyDescent="0.3">
      <c r="A4953" s="1" t="s">
        <v>14338</v>
      </c>
      <c r="B4953" s="1"/>
      <c r="C4953" s="1"/>
      <c r="D4953" s="1"/>
      <c r="E4953" s="1"/>
      <c r="F4953" s="1"/>
      <c r="G4953" s="1" t="s">
        <v>43</v>
      </c>
      <c r="H4953" s="2">
        <v>384</v>
      </c>
      <c r="I4953" s="1" t="s">
        <v>14339</v>
      </c>
      <c r="J4953" s="1" t="s">
        <v>2591</v>
      </c>
      <c r="K4953" s="1" t="s">
        <v>152</v>
      </c>
      <c r="L4953" s="1" t="s">
        <v>14340</v>
      </c>
      <c r="M4953" s="6" t="str">
        <f>_xlfn.CONCAT(Table1[[#This Row],[Billing Street]], ", ", Table1[[#This Row],[Billing City]], ", ", Table1[[#This Row],[Billing State/Province]], ", ", Table1[[#This Row],[Billing Zip/Postal Code]])</f>
        <v>104 Dewitt Ave, Mattoon, IL, 61938-0709</v>
      </c>
    </row>
    <row r="4954" spans="1:13" ht="15.6" hidden="1" x14ac:dyDescent="0.3">
      <c r="A4954" s="1" t="s">
        <v>14341</v>
      </c>
      <c r="B4954" s="1"/>
      <c r="C4954" s="1"/>
      <c r="D4954" s="1"/>
      <c r="E4954" s="1"/>
      <c r="F4954" s="1"/>
      <c r="G4954" s="1" t="s">
        <v>43</v>
      </c>
      <c r="H4954" s="2">
        <v>5776</v>
      </c>
      <c r="I4954" s="1" t="s">
        <v>13</v>
      </c>
      <c r="J4954" s="1" t="s">
        <v>13</v>
      </c>
      <c r="K4954" s="1" t="s">
        <v>237</v>
      </c>
      <c r="L4954" s="1" t="s">
        <v>13</v>
      </c>
      <c r="M4954" s="6" t="str">
        <f>_xlfn.CONCAT(Table1[[#This Row],[Billing Street]], ", ", Table1[[#This Row],[Billing City]], ", ", Table1[[#This Row],[Billing State/Province]], ", ", Table1[[#This Row],[Billing Zip/Postal Code]])</f>
        <v xml:space="preserve">, , IN, </v>
      </c>
    </row>
    <row r="4955" spans="1:13" ht="15.6" hidden="1" x14ac:dyDescent="0.3">
      <c r="A4955" s="1" t="s">
        <v>14342</v>
      </c>
      <c r="B4955" s="1"/>
      <c r="C4955" s="1"/>
      <c r="D4955" s="1"/>
      <c r="E4955" s="1"/>
      <c r="F4955" s="1"/>
      <c r="G4955" s="1" t="s">
        <v>43</v>
      </c>
      <c r="H4955" s="2">
        <v>271</v>
      </c>
      <c r="I4955" s="1" t="s">
        <v>14343</v>
      </c>
      <c r="J4955" s="1" t="s">
        <v>860</v>
      </c>
      <c r="K4955" s="1" t="s">
        <v>237</v>
      </c>
      <c r="L4955" s="1" t="s">
        <v>14344</v>
      </c>
      <c r="M4955" s="6" t="str">
        <f>_xlfn.CONCAT(Table1[[#This Row],[Billing Street]], ", ", Table1[[#This Row],[Billing City]], ", ", Table1[[#This Row],[Billing State/Province]], ", ", Table1[[#This Row],[Billing Zip/Postal Code]])</f>
        <v>500 Polk St., Greenwood, IN, 46143</v>
      </c>
    </row>
    <row r="4956" spans="1:13" ht="15.6" hidden="1" x14ac:dyDescent="0.3">
      <c r="A4956" s="1" t="s">
        <v>14345</v>
      </c>
      <c r="B4956" s="1"/>
      <c r="C4956" s="1"/>
      <c r="D4956" s="1"/>
      <c r="E4956" s="1"/>
      <c r="F4956" s="1"/>
      <c r="G4956" s="1" t="s">
        <v>43</v>
      </c>
      <c r="H4956" s="2">
        <v>5776</v>
      </c>
      <c r="I4956" s="1" t="s">
        <v>13</v>
      </c>
      <c r="J4956" s="1" t="s">
        <v>13</v>
      </c>
      <c r="K4956" s="1" t="s">
        <v>237</v>
      </c>
      <c r="L4956" s="1" t="s">
        <v>13</v>
      </c>
      <c r="M4956" s="6" t="str">
        <f>_xlfn.CONCAT(Table1[[#This Row],[Billing Street]], ", ", Table1[[#This Row],[Billing City]], ", ", Table1[[#This Row],[Billing State/Province]], ", ", Table1[[#This Row],[Billing Zip/Postal Code]])</f>
        <v xml:space="preserve">, , IN, </v>
      </c>
    </row>
    <row r="4957" spans="1:13" ht="15.6" hidden="1" x14ac:dyDescent="0.3">
      <c r="A4957" s="1" t="s">
        <v>14346</v>
      </c>
      <c r="B4957" s="1"/>
      <c r="C4957" s="1"/>
      <c r="D4957" s="1"/>
      <c r="E4957" s="1"/>
      <c r="F4957" s="1"/>
      <c r="G4957" s="1" t="s">
        <v>43</v>
      </c>
      <c r="H4957" s="2">
        <v>5776</v>
      </c>
      <c r="I4957" s="1" t="s">
        <v>14347</v>
      </c>
      <c r="J4957" s="1" t="s">
        <v>10276</v>
      </c>
      <c r="K4957" s="1" t="s">
        <v>241</v>
      </c>
      <c r="L4957" s="1" t="s">
        <v>14348</v>
      </c>
      <c r="M4957" s="6" t="str">
        <f>_xlfn.CONCAT(Table1[[#This Row],[Billing Street]], ", ", Table1[[#This Row],[Billing City]], ", ", Table1[[#This Row],[Billing State/Province]], ", ", Table1[[#This Row],[Billing Zip/Postal Code]])</f>
        <v>6079 DePues Ferry Road, Bangor, PA, 18013</v>
      </c>
    </row>
    <row r="4958" spans="1:13" ht="15.6" hidden="1" x14ac:dyDescent="0.3">
      <c r="A4958" s="1" t="s">
        <v>14349</v>
      </c>
      <c r="B4958" s="1"/>
      <c r="C4958" s="1"/>
      <c r="D4958" s="1"/>
      <c r="E4958" s="1"/>
      <c r="F4958" s="1"/>
      <c r="G4958" s="1" t="s">
        <v>43</v>
      </c>
      <c r="H4958" s="2">
        <v>5776</v>
      </c>
      <c r="I4958" s="1" t="s">
        <v>13</v>
      </c>
      <c r="J4958" s="1" t="s">
        <v>13</v>
      </c>
      <c r="K4958" s="1" t="s">
        <v>237</v>
      </c>
      <c r="L4958" s="1" t="s">
        <v>13</v>
      </c>
      <c r="M4958" s="6" t="str">
        <f>_xlfn.CONCAT(Table1[[#This Row],[Billing Street]], ", ", Table1[[#This Row],[Billing City]], ", ", Table1[[#This Row],[Billing State/Province]], ", ", Table1[[#This Row],[Billing Zip/Postal Code]])</f>
        <v xml:space="preserve">, , IN, </v>
      </c>
    </row>
    <row r="4959" spans="1:13" ht="15.6" hidden="1" x14ac:dyDescent="0.3">
      <c r="A4959" s="1" t="s">
        <v>14350</v>
      </c>
      <c r="B4959" s="1"/>
      <c r="C4959" s="1"/>
      <c r="D4959" s="1"/>
      <c r="E4959" s="1"/>
      <c r="F4959" s="1"/>
      <c r="G4959" s="1" t="s">
        <v>43</v>
      </c>
      <c r="H4959" s="2">
        <v>307</v>
      </c>
      <c r="I4959" s="1" t="s">
        <v>14351</v>
      </c>
      <c r="J4959" s="1" t="s">
        <v>2436</v>
      </c>
      <c r="K4959" s="1" t="s">
        <v>237</v>
      </c>
      <c r="L4959" s="1" t="s">
        <v>13</v>
      </c>
      <c r="M4959" s="6" t="str">
        <f>_xlfn.CONCAT(Table1[[#This Row],[Billing Street]], ", ", Table1[[#This Row],[Billing City]], ", ", Table1[[#This Row],[Billing State/Province]], ", ", Table1[[#This Row],[Billing Zip/Postal Code]])</f>
        <v xml:space="preserve">1309 West Vernal Pike, Bloomington, IN, </v>
      </c>
    </row>
    <row r="4960" spans="1:13" ht="15.6" hidden="1" x14ac:dyDescent="0.3">
      <c r="A4960" s="1" t="s">
        <v>14352</v>
      </c>
      <c r="B4960" s="1"/>
      <c r="C4960" s="1"/>
      <c r="D4960" s="1"/>
      <c r="E4960" s="1"/>
      <c r="F4960" s="1"/>
      <c r="G4960" s="1" t="s">
        <v>43</v>
      </c>
      <c r="H4960" s="2">
        <v>451</v>
      </c>
      <c r="I4960" s="1" t="s">
        <v>14353</v>
      </c>
      <c r="J4960" s="1" t="s">
        <v>197</v>
      </c>
      <c r="K4960" s="1" t="s">
        <v>152</v>
      </c>
      <c r="L4960" s="1" t="s">
        <v>14354</v>
      </c>
      <c r="M4960" s="6" t="str">
        <f>_xlfn.CONCAT(Table1[[#This Row],[Billing Street]], ", ", Table1[[#This Row],[Billing City]], ", ", Table1[[#This Row],[Billing State/Province]], ", ", Table1[[#This Row],[Billing Zip/Postal Code]])</f>
        <v>3973 W State Rte 104, Auburn, IL, 62615-0019</v>
      </c>
    </row>
    <row r="4961" spans="1:13" ht="15.6" x14ac:dyDescent="0.3">
      <c r="A4961" s="1" t="s">
        <v>14355</v>
      </c>
      <c r="B4961" s="1"/>
      <c r="C4961" s="1"/>
      <c r="D4961" s="1"/>
      <c r="E4961" s="1"/>
      <c r="F4961" s="1"/>
      <c r="G4961" s="1" t="s">
        <v>24</v>
      </c>
      <c r="H4961" s="2">
        <v>475</v>
      </c>
      <c r="I4961" s="1" t="s">
        <v>14356</v>
      </c>
      <c r="J4961" s="1" t="s">
        <v>8556</v>
      </c>
      <c r="K4961" s="1" t="s">
        <v>36</v>
      </c>
      <c r="L4961" s="1" t="s">
        <v>8557</v>
      </c>
      <c r="M4961" s="6" t="str">
        <f>_xlfn.CONCAT(Table1[[#This Row],[Billing Street]], ", ", Table1[[#This Row],[Billing City]], ", ", Table1[[#This Row],[Billing State/Province]], ", ", Table1[[#This Row],[Billing Zip/Postal Code]])</f>
        <v>2063 Blount Rd., Pompano Beach, FL, 33069</v>
      </c>
    </row>
    <row r="4962" spans="1:13" ht="15.6" hidden="1" x14ac:dyDescent="0.3">
      <c r="A4962" s="1" t="s">
        <v>14357</v>
      </c>
      <c r="B4962" s="1"/>
      <c r="C4962" s="1"/>
      <c r="D4962" s="1"/>
      <c r="E4962" s="1"/>
      <c r="F4962" s="1"/>
      <c r="G4962" s="1" t="s">
        <v>43</v>
      </c>
      <c r="H4962" s="2">
        <v>292</v>
      </c>
      <c r="I4962" s="1" t="s">
        <v>14358</v>
      </c>
      <c r="J4962" s="1" t="s">
        <v>997</v>
      </c>
      <c r="K4962" s="1" t="s">
        <v>237</v>
      </c>
      <c r="L4962" s="1" t="s">
        <v>14359</v>
      </c>
      <c r="M4962" s="6" t="str">
        <f>_xlfn.CONCAT(Table1[[#This Row],[Billing Street]], ", ", Table1[[#This Row],[Billing City]], ", ", Table1[[#This Row],[Billing State/Province]], ", ", Table1[[#This Row],[Billing Zip/Postal Code]])</f>
        <v>2723 Old Romney Road, Lafayette, IN, 47909</v>
      </c>
    </row>
    <row r="4963" spans="1:13" ht="15.6" hidden="1" x14ac:dyDescent="0.3">
      <c r="A4963" s="1" t="s">
        <v>14360</v>
      </c>
      <c r="B4963" s="1"/>
      <c r="C4963" s="1"/>
      <c r="D4963" s="1"/>
      <c r="E4963" s="1"/>
      <c r="F4963" s="1"/>
      <c r="G4963" s="1" t="s">
        <v>43</v>
      </c>
      <c r="H4963" s="2">
        <v>5776</v>
      </c>
      <c r="I4963" s="1" t="s">
        <v>14361</v>
      </c>
      <c r="J4963" s="1" t="s">
        <v>3909</v>
      </c>
      <c r="K4963" s="1" t="s">
        <v>10056</v>
      </c>
      <c r="L4963" s="1" t="s">
        <v>14362</v>
      </c>
      <c r="M4963" s="6" t="str">
        <f>_xlfn.CONCAT(Table1[[#This Row],[Billing Street]], ", ", Table1[[#This Row],[Billing City]], ", ", Table1[[#This Row],[Billing State/Province]], ", ", Table1[[#This Row],[Billing Zip/Postal Code]])</f>
        <v>1 Duchess Way, Lincoln, RI, 2865</v>
      </c>
    </row>
    <row r="4964" spans="1:13" ht="15.6" hidden="1" x14ac:dyDescent="0.3">
      <c r="A4964" s="1" t="s">
        <v>14363</v>
      </c>
      <c r="B4964" s="1"/>
      <c r="C4964" s="1"/>
      <c r="D4964" s="1"/>
      <c r="E4964" s="1"/>
      <c r="F4964" s="1"/>
      <c r="G4964" s="1" t="s">
        <v>43</v>
      </c>
      <c r="H4964" s="2">
        <v>5776</v>
      </c>
      <c r="I4964" s="1" t="s">
        <v>13</v>
      </c>
      <c r="J4964" s="1" t="s">
        <v>13</v>
      </c>
      <c r="K4964" s="1" t="s">
        <v>237</v>
      </c>
      <c r="L4964" s="1" t="s">
        <v>13</v>
      </c>
      <c r="M4964" s="6" t="str">
        <f>_xlfn.CONCAT(Table1[[#This Row],[Billing Street]], ", ", Table1[[#This Row],[Billing City]], ", ", Table1[[#This Row],[Billing State/Province]], ", ", Table1[[#This Row],[Billing Zip/Postal Code]])</f>
        <v xml:space="preserve">, , IN, </v>
      </c>
    </row>
    <row r="4965" spans="1:13" ht="15.6" hidden="1" x14ac:dyDescent="0.3">
      <c r="A4965" s="1" t="s">
        <v>14364</v>
      </c>
      <c r="B4965" s="1"/>
      <c r="C4965" s="1"/>
      <c r="D4965" s="1"/>
      <c r="E4965" s="1"/>
      <c r="F4965" s="1"/>
      <c r="G4965" s="1" t="s">
        <v>43</v>
      </c>
      <c r="H4965" s="2">
        <v>5776</v>
      </c>
      <c r="I4965" s="1" t="s">
        <v>13</v>
      </c>
      <c r="J4965" s="1" t="s">
        <v>4271</v>
      </c>
      <c r="K4965" s="1" t="s">
        <v>237</v>
      </c>
      <c r="L4965" s="1" t="s">
        <v>13</v>
      </c>
      <c r="M4965" s="6" t="str">
        <f>_xlfn.CONCAT(Table1[[#This Row],[Billing Street]], ", ", Table1[[#This Row],[Billing City]], ", ", Table1[[#This Row],[Billing State/Province]], ", ", Table1[[#This Row],[Billing Zip/Postal Code]])</f>
        <v xml:space="preserve">, Chandler, IN, </v>
      </c>
    </row>
    <row r="4966" spans="1:13" ht="15.6" hidden="1" x14ac:dyDescent="0.3">
      <c r="A4966" s="1" t="s">
        <v>14365</v>
      </c>
      <c r="B4966" s="1"/>
      <c r="C4966" s="1"/>
      <c r="D4966" s="1"/>
      <c r="E4966" s="1"/>
      <c r="F4966" s="1"/>
      <c r="G4966" s="1" t="s">
        <v>43</v>
      </c>
      <c r="H4966" s="2">
        <v>5776</v>
      </c>
      <c r="I4966" s="1" t="s">
        <v>13</v>
      </c>
      <c r="J4966" s="1" t="s">
        <v>13</v>
      </c>
      <c r="K4966" s="1" t="s">
        <v>237</v>
      </c>
      <c r="L4966" s="1" t="s">
        <v>13</v>
      </c>
      <c r="M4966" s="6" t="str">
        <f>_xlfn.CONCAT(Table1[[#This Row],[Billing Street]], ", ", Table1[[#This Row],[Billing City]], ", ", Table1[[#This Row],[Billing State/Province]], ", ", Table1[[#This Row],[Billing Zip/Postal Code]])</f>
        <v xml:space="preserve">, , IN, </v>
      </c>
    </row>
    <row r="4967" spans="1:13" ht="15.6" hidden="1" x14ac:dyDescent="0.3">
      <c r="A4967" s="1" t="s">
        <v>14366</v>
      </c>
      <c r="B4967" s="1"/>
      <c r="C4967" s="1"/>
      <c r="D4967" s="1"/>
      <c r="E4967" s="1"/>
      <c r="F4967" s="1"/>
      <c r="G4967" s="1" t="s">
        <v>43</v>
      </c>
      <c r="H4967" s="2">
        <v>5776</v>
      </c>
      <c r="I4967" s="1" t="s">
        <v>13</v>
      </c>
      <c r="J4967" s="1" t="s">
        <v>13</v>
      </c>
      <c r="K4967" s="1" t="s">
        <v>237</v>
      </c>
      <c r="L4967" s="1" t="s">
        <v>13</v>
      </c>
      <c r="M4967" s="6" t="str">
        <f>_xlfn.CONCAT(Table1[[#This Row],[Billing Street]], ", ", Table1[[#This Row],[Billing City]], ", ", Table1[[#This Row],[Billing State/Province]], ", ", Table1[[#This Row],[Billing Zip/Postal Code]])</f>
        <v xml:space="preserve">, , IN, </v>
      </c>
    </row>
    <row r="4968" spans="1:13" ht="15.6" hidden="1" x14ac:dyDescent="0.3">
      <c r="A4968" s="1" t="s">
        <v>14367</v>
      </c>
      <c r="B4968" s="1"/>
      <c r="C4968" s="1"/>
      <c r="D4968" s="1"/>
      <c r="E4968" s="1"/>
      <c r="F4968" s="1"/>
      <c r="G4968" s="1" t="s">
        <v>43</v>
      </c>
      <c r="H4968" s="2">
        <v>5776</v>
      </c>
      <c r="I4968" s="1" t="s">
        <v>13</v>
      </c>
      <c r="J4968" s="1" t="s">
        <v>13</v>
      </c>
      <c r="K4968" s="1" t="s">
        <v>237</v>
      </c>
      <c r="L4968" s="1" t="s">
        <v>13</v>
      </c>
      <c r="M4968" s="6" t="str">
        <f>_xlfn.CONCAT(Table1[[#This Row],[Billing Street]], ", ", Table1[[#This Row],[Billing City]], ", ", Table1[[#This Row],[Billing State/Province]], ", ", Table1[[#This Row],[Billing Zip/Postal Code]])</f>
        <v xml:space="preserve">, , IN, </v>
      </c>
    </row>
    <row r="4969" spans="1:13" ht="15.6" hidden="1" x14ac:dyDescent="0.3">
      <c r="A4969" s="1" t="s">
        <v>14368</v>
      </c>
      <c r="B4969" s="1"/>
      <c r="C4969" s="1"/>
      <c r="D4969" s="1"/>
      <c r="E4969" s="1"/>
      <c r="F4969" s="1"/>
      <c r="G4969" s="1" t="s">
        <v>43</v>
      </c>
      <c r="H4969" s="2">
        <v>5776</v>
      </c>
      <c r="I4969" s="1" t="s">
        <v>13</v>
      </c>
      <c r="J4969" s="1" t="s">
        <v>13</v>
      </c>
      <c r="K4969" s="1" t="s">
        <v>237</v>
      </c>
      <c r="L4969" s="1" t="s">
        <v>13</v>
      </c>
      <c r="M4969" s="6" t="str">
        <f>_xlfn.CONCAT(Table1[[#This Row],[Billing Street]], ", ", Table1[[#This Row],[Billing City]], ", ", Table1[[#This Row],[Billing State/Province]], ", ", Table1[[#This Row],[Billing Zip/Postal Code]])</f>
        <v xml:space="preserve">, , IN, </v>
      </c>
    </row>
    <row r="4970" spans="1:13" ht="15.6" hidden="1" x14ac:dyDescent="0.3">
      <c r="A4970" s="1" t="s">
        <v>14369</v>
      </c>
      <c r="B4970" s="1"/>
      <c r="C4970" s="1"/>
      <c r="D4970" s="1"/>
      <c r="E4970" s="1"/>
      <c r="F4970" s="1"/>
      <c r="G4970" s="1" t="s">
        <v>43</v>
      </c>
      <c r="H4970" s="2">
        <v>5776</v>
      </c>
      <c r="I4970" s="1" t="s">
        <v>13</v>
      </c>
      <c r="J4970" s="1" t="s">
        <v>13</v>
      </c>
      <c r="K4970" s="1" t="s">
        <v>237</v>
      </c>
      <c r="L4970" s="1" t="s">
        <v>13</v>
      </c>
      <c r="M4970" s="6" t="str">
        <f>_xlfn.CONCAT(Table1[[#This Row],[Billing Street]], ", ", Table1[[#This Row],[Billing City]], ", ", Table1[[#This Row],[Billing State/Province]], ", ", Table1[[#This Row],[Billing Zip/Postal Code]])</f>
        <v xml:space="preserve">, , IN, </v>
      </c>
    </row>
    <row r="4971" spans="1:13" ht="15.6" hidden="1" x14ac:dyDescent="0.3">
      <c r="A4971" s="1" t="s">
        <v>14370</v>
      </c>
      <c r="B4971" s="1"/>
      <c r="C4971" s="1"/>
      <c r="D4971" s="1"/>
      <c r="E4971" s="1"/>
      <c r="F4971" s="1"/>
      <c r="G4971" s="1" t="s">
        <v>43</v>
      </c>
      <c r="H4971" s="2">
        <v>5776</v>
      </c>
      <c r="I4971" s="1" t="s">
        <v>13</v>
      </c>
      <c r="J4971" s="1" t="s">
        <v>13</v>
      </c>
      <c r="K4971" s="1" t="s">
        <v>237</v>
      </c>
      <c r="L4971" s="1" t="s">
        <v>13</v>
      </c>
      <c r="M4971" s="6" t="str">
        <f>_xlfn.CONCAT(Table1[[#This Row],[Billing Street]], ", ", Table1[[#This Row],[Billing City]], ", ", Table1[[#This Row],[Billing State/Province]], ", ", Table1[[#This Row],[Billing Zip/Postal Code]])</f>
        <v xml:space="preserve">, , IN, </v>
      </c>
    </row>
    <row r="4972" spans="1:13" ht="15.6" hidden="1" x14ac:dyDescent="0.3">
      <c r="A4972" s="1" t="s">
        <v>14371</v>
      </c>
      <c r="B4972" s="1"/>
      <c r="C4972" s="1"/>
      <c r="D4972" s="1"/>
      <c r="E4972" s="1"/>
      <c r="F4972" s="1"/>
      <c r="G4972" s="1" t="s">
        <v>43</v>
      </c>
      <c r="H4972" s="2">
        <v>5776</v>
      </c>
      <c r="I4972" s="1" t="s">
        <v>13</v>
      </c>
      <c r="J4972" s="1" t="s">
        <v>14372</v>
      </c>
      <c r="K4972" s="1" t="s">
        <v>45</v>
      </c>
      <c r="L4972" s="1" t="s">
        <v>13</v>
      </c>
      <c r="M4972" s="6" t="str">
        <f>_xlfn.CONCAT(Table1[[#This Row],[Billing Street]], ", ", Table1[[#This Row],[Billing City]], ", ", Table1[[#This Row],[Billing State/Province]], ", ", Table1[[#This Row],[Billing Zip/Postal Code]])</f>
        <v xml:space="preserve">, Napolean, OH, </v>
      </c>
    </row>
    <row r="4973" spans="1:13" ht="15.6" hidden="1" x14ac:dyDescent="0.3">
      <c r="A4973" s="1" t="s">
        <v>14373</v>
      </c>
      <c r="B4973" s="1"/>
      <c r="C4973" s="1"/>
      <c r="D4973" s="1"/>
      <c r="E4973" s="1"/>
      <c r="F4973" s="1"/>
      <c r="G4973" s="1" t="s">
        <v>43</v>
      </c>
      <c r="H4973" s="2">
        <v>272</v>
      </c>
      <c r="I4973" s="1" t="s">
        <v>14374</v>
      </c>
      <c r="J4973" s="1" t="s">
        <v>261</v>
      </c>
      <c r="K4973" s="1" t="s">
        <v>237</v>
      </c>
      <c r="L4973" s="1" t="s">
        <v>14375</v>
      </c>
      <c r="M4973" s="6" t="str">
        <f>_xlfn.CONCAT(Table1[[#This Row],[Billing Street]], ", ", Table1[[#This Row],[Billing City]], ", ", Table1[[#This Row],[Billing State/Province]], ", ", Table1[[#This Row],[Billing Zip/Postal Code]])</f>
        <v>940 W Troy Ave, Indianapolis, IN, 46225</v>
      </c>
    </row>
    <row r="4974" spans="1:13" ht="15.6" hidden="1" x14ac:dyDescent="0.3">
      <c r="A4974" s="1" t="s">
        <v>14376</v>
      </c>
      <c r="B4974" s="1"/>
      <c r="C4974" s="1"/>
      <c r="D4974" s="1"/>
      <c r="E4974" s="1"/>
      <c r="F4974" s="1"/>
      <c r="G4974" s="1" t="s">
        <v>8</v>
      </c>
      <c r="H4974" s="2">
        <v>288</v>
      </c>
      <c r="I4974" s="1" t="s">
        <v>14377</v>
      </c>
      <c r="J4974" s="1" t="s">
        <v>14378</v>
      </c>
      <c r="K4974" s="1" t="s">
        <v>198</v>
      </c>
      <c r="L4974" s="1" t="s">
        <v>14379</v>
      </c>
      <c r="M4974" s="6" t="str">
        <f>_xlfn.CONCAT(Table1[[#This Row],[Billing Street]], ", ", Table1[[#This Row],[Billing City]], ", ", Table1[[#This Row],[Billing State/Province]], ", ", Table1[[#This Row],[Billing Zip/Postal Code]])</f>
        <v>7800 Serum Ave, Ralston, NE, 68127</v>
      </c>
    </row>
    <row r="4975" spans="1:13" ht="15.6" hidden="1" x14ac:dyDescent="0.3">
      <c r="A4975" s="1" t="s">
        <v>14380</v>
      </c>
      <c r="B4975" s="1"/>
      <c r="C4975" s="1"/>
      <c r="D4975" s="1"/>
      <c r="E4975" s="1"/>
      <c r="F4975" s="1"/>
      <c r="G4975" s="1" t="s">
        <v>43</v>
      </c>
      <c r="H4975" s="2">
        <v>506</v>
      </c>
      <c r="I4975" s="1" t="s">
        <v>14381</v>
      </c>
      <c r="J4975" s="1" t="s">
        <v>11343</v>
      </c>
      <c r="K4975" s="1" t="s">
        <v>152</v>
      </c>
      <c r="L4975" s="1" t="s">
        <v>11344</v>
      </c>
      <c r="M4975" s="6" t="str">
        <f>_xlfn.CONCAT(Table1[[#This Row],[Billing Street]], ", ", Table1[[#This Row],[Billing City]], ", ", Table1[[#This Row],[Billing State/Province]], ", ", Table1[[#This Row],[Billing Zip/Postal Code]])</f>
        <v>6132 State Route 3, Waterloo, IL, 62298</v>
      </c>
    </row>
    <row r="4976" spans="1:13" ht="15.6" hidden="1" x14ac:dyDescent="0.3">
      <c r="A4976" s="1" t="s">
        <v>14382</v>
      </c>
      <c r="B4976" s="1"/>
      <c r="C4976" s="1"/>
      <c r="D4976" s="1"/>
      <c r="E4976" s="1"/>
      <c r="F4976" s="1"/>
      <c r="G4976" s="1" t="s">
        <v>43</v>
      </c>
      <c r="H4976" s="2">
        <v>5776</v>
      </c>
      <c r="I4976" s="1" t="s">
        <v>13</v>
      </c>
      <c r="J4976" s="1" t="s">
        <v>13</v>
      </c>
      <c r="K4976" s="1" t="s">
        <v>237</v>
      </c>
      <c r="L4976" s="1" t="s">
        <v>13</v>
      </c>
      <c r="M4976" s="6" t="str">
        <f>_xlfn.CONCAT(Table1[[#This Row],[Billing Street]], ", ", Table1[[#This Row],[Billing City]], ", ", Table1[[#This Row],[Billing State/Province]], ", ", Table1[[#This Row],[Billing Zip/Postal Code]])</f>
        <v xml:space="preserve">, , IN, </v>
      </c>
    </row>
    <row r="4977" spans="1:13" ht="15.6" hidden="1" x14ac:dyDescent="0.3">
      <c r="A4977" s="1" t="s">
        <v>14383</v>
      </c>
      <c r="B4977" s="1"/>
      <c r="C4977" s="1"/>
      <c r="D4977" s="1"/>
      <c r="E4977" s="1"/>
      <c r="F4977" s="1"/>
      <c r="G4977" s="1" t="s">
        <v>43</v>
      </c>
      <c r="H4977" s="2">
        <v>277</v>
      </c>
      <c r="I4977" s="1" t="s">
        <v>14384</v>
      </c>
      <c r="J4977" s="1" t="s">
        <v>3694</v>
      </c>
      <c r="K4977" s="1" t="s">
        <v>82</v>
      </c>
      <c r="L4977" s="1" t="s">
        <v>3695</v>
      </c>
      <c r="M4977" s="6" t="str">
        <f>_xlfn.CONCAT(Table1[[#This Row],[Billing Street]], ", ", Table1[[#This Row],[Billing City]], ", ", Table1[[#This Row],[Billing State/Province]], ", ", Table1[[#This Row],[Billing Zip/Postal Code]])</f>
        <v>1875 Roberts Street, Muskegon, MI, 49442</v>
      </c>
    </row>
    <row r="4978" spans="1:13" ht="15.6" hidden="1" x14ac:dyDescent="0.3">
      <c r="A4978" s="1" t="s">
        <v>14385</v>
      </c>
      <c r="B4978" s="1"/>
      <c r="C4978" s="1"/>
      <c r="D4978" s="1"/>
      <c r="E4978" s="1"/>
      <c r="F4978" s="1"/>
      <c r="G4978" s="1" t="s">
        <v>43</v>
      </c>
      <c r="H4978" s="2">
        <v>5776</v>
      </c>
      <c r="I4978" s="1" t="s">
        <v>13</v>
      </c>
      <c r="J4978" s="1" t="s">
        <v>13</v>
      </c>
      <c r="K4978" s="1" t="s">
        <v>237</v>
      </c>
      <c r="L4978" s="1" t="s">
        <v>13</v>
      </c>
      <c r="M4978" s="6" t="str">
        <f>_xlfn.CONCAT(Table1[[#This Row],[Billing Street]], ", ", Table1[[#This Row],[Billing City]], ", ", Table1[[#This Row],[Billing State/Province]], ", ", Table1[[#This Row],[Billing Zip/Postal Code]])</f>
        <v xml:space="preserve">, , IN, </v>
      </c>
    </row>
    <row r="4979" spans="1:13" ht="15.6" hidden="1" x14ac:dyDescent="0.3">
      <c r="A4979" s="1" t="s">
        <v>14386</v>
      </c>
      <c r="B4979" s="1"/>
      <c r="C4979" s="1"/>
      <c r="D4979" s="1"/>
      <c r="E4979" s="1"/>
      <c r="F4979" s="1"/>
      <c r="G4979" s="1" t="s">
        <v>43</v>
      </c>
      <c r="H4979" s="2">
        <v>187</v>
      </c>
      <c r="I4979" s="1" t="s">
        <v>14387</v>
      </c>
      <c r="J4979" s="1" t="s">
        <v>197</v>
      </c>
      <c r="K4979" s="1" t="s">
        <v>237</v>
      </c>
      <c r="L4979" s="1" t="s">
        <v>14388</v>
      </c>
      <c r="M4979" s="6" t="str">
        <f>_xlfn.CONCAT(Table1[[#This Row],[Billing Street]], ", ", Table1[[#This Row],[Billing City]], ", ", Table1[[#This Row],[Billing State/Province]], ", ", Table1[[#This Row],[Billing Zip/Postal Code]])</f>
        <v>5066 Co. Rd. 29, Auburn, IN, 46706</v>
      </c>
    </row>
    <row r="4980" spans="1:13" ht="15.6" hidden="1" x14ac:dyDescent="0.3">
      <c r="A4980" s="1" t="s">
        <v>14389</v>
      </c>
      <c r="B4980" s="1"/>
      <c r="C4980" s="1"/>
      <c r="D4980" s="1"/>
      <c r="E4980" s="1"/>
      <c r="F4980" s="1"/>
      <c r="G4980" s="1" t="s">
        <v>43</v>
      </c>
      <c r="H4980" s="2">
        <v>5776</v>
      </c>
      <c r="I4980" s="1" t="s">
        <v>14390</v>
      </c>
      <c r="J4980" s="1" t="s">
        <v>2436</v>
      </c>
      <c r="K4980" s="1" t="s">
        <v>237</v>
      </c>
      <c r="L4980" s="1" t="s">
        <v>13</v>
      </c>
      <c r="M4980" s="6" t="str">
        <f>_xlfn.CONCAT(Table1[[#This Row],[Billing Street]], ", ", Table1[[#This Row],[Billing City]], ", ", Table1[[#This Row],[Billing State/Province]], ", ", Table1[[#This Row],[Billing Zip/Postal Code]])</f>
        <v xml:space="preserve">1550 W. Third Street, Bloomington, IN, </v>
      </c>
    </row>
    <row r="4981" spans="1:13" ht="15.6" hidden="1" x14ac:dyDescent="0.3">
      <c r="A4981" s="1" t="s">
        <v>14391</v>
      </c>
      <c r="B4981" s="1"/>
      <c r="C4981" s="1"/>
      <c r="D4981" s="1"/>
      <c r="E4981" s="1"/>
      <c r="F4981" s="1"/>
      <c r="G4981" s="1" t="s">
        <v>43</v>
      </c>
      <c r="H4981" s="2">
        <v>314</v>
      </c>
      <c r="I4981" s="1" t="s">
        <v>14392</v>
      </c>
      <c r="J4981" s="1" t="s">
        <v>12229</v>
      </c>
      <c r="K4981" s="1" t="s">
        <v>237</v>
      </c>
      <c r="L4981" s="1" t="s">
        <v>12230</v>
      </c>
      <c r="M4981" s="6" t="str">
        <f>_xlfn.CONCAT(Table1[[#This Row],[Billing Street]], ", ", Table1[[#This Row],[Billing City]], ", ", Table1[[#This Row],[Billing State/Province]], ", ", Table1[[#This Row],[Billing Zip/Postal Code]])</f>
        <v>29 North Monroe Street, Williamsport, IN, 47993</v>
      </c>
    </row>
    <row r="4982" spans="1:13" ht="15.6" hidden="1" x14ac:dyDescent="0.3">
      <c r="A4982" s="1" t="s">
        <v>14393</v>
      </c>
      <c r="B4982" s="1"/>
      <c r="C4982" s="1"/>
      <c r="D4982" s="1"/>
      <c r="E4982" s="1"/>
      <c r="F4982" s="1"/>
      <c r="G4982" s="1" t="s">
        <v>43</v>
      </c>
      <c r="H4982" s="2">
        <v>281</v>
      </c>
      <c r="I4982" s="1" t="s">
        <v>14394</v>
      </c>
      <c r="J4982" s="1" t="s">
        <v>14395</v>
      </c>
      <c r="K4982" s="1" t="s">
        <v>237</v>
      </c>
      <c r="L4982" s="1" t="s">
        <v>14396</v>
      </c>
      <c r="M4982" s="6" t="str">
        <f>_xlfn.CONCAT(Table1[[#This Row],[Billing Street]], ", ", Table1[[#This Row],[Billing City]], ", ", Table1[[#This Row],[Billing State/Province]], ", ", Table1[[#This Row],[Billing Zip/Postal Code]])</f>
        <v>8642 W US Hwy 30, Wanatah, IN, 46390</v>
      </c>
    </row>
    <row r="4983" spans="1:13" ht="15.6" x14ac:dyDescent="0.3">
      <c r="A4983" s="1" t="s">
        <v>14397</v>
      </c>
      <c r="B4983" s="1"/>
      <c r="C4983" s="1"/>
      <c r="D4983" s="1"/>
      <c r="E4983" s="1"/>
      <c r="F4983" s="1"/>
      <c r="G4983" s="1" t="s">
        <v>24</v>
      </c>
      <c r="H4983" s="2">
        <v>102</v>
      </c>
      <c r="I4983" s="1" t="s">
        <v>14398</v>
      </c>
      <c r="J4983" s="1" t="s">
        <v>5189</v>
      </c>
      <c r="K4983" s="1" t="s">
        <v>36</v>
      </c>
      <c r="L4983" s="1" t="s">
        <v>14399</v>
      </c>
      <c r="M4983" s="6" t="str">
        <f>_xlfn.CONCAT(Table1[[#This Row],[Billing Street]], ", ", Table1[[#This Row],[Billing City]], ", ", Table1[[#This Row],[Billing State/Province]], ", ", Table1[[#This Row],[Billing Zip/Postal Code]])</f>
        <v>950 Business Park Rd, Midway, FL, 32343</v>
      </c>
    </row>
    <row r="4984" spans="1:13" ht="15.6" x14ac:dyDescent="0.3">
      <c r="A4984" s="1" t="s">
        <v>14400</v>
      </c>
      <c r="B4984" s="1"/>
      <c r="C4984" s="1"/>
      <c r="D4984" s="1"/>
      <c r="E4984" s="1"/>
      <c r="F4984" s="1"/>
      <c r="G4984" s="1" t="s">
        <v>24</v>
      </c>
      <c r="H4984" s="2">
        <v>278</v>
      </c>
      <c r="I4984" s="1" t="s">
        <v>14401</v>
      </c>
      <c r="J4984" s="1" t="s">
        <v>613</v>
      </c>
      <c r="K4984" s="1" t="s">
        <v>36</v>
      </c>
      <c r="L4984" s="1" t="s">
        <v>9218</v>
      </c>
      <c r="M4984" s="6" t="str">
        <f>_xlfn.CONCAT(Table1[[#This Row],[Billing Street]], ", ", Table1[[#This Row],[Billing City]], ", ", Table1[[#This Row],[Billing State/Province]], ", ", Table1[[#This Row],[Billing Zip/Postal Code]])</f>
        <v>3919 CR 273, Bushnell, FL, 33513</v>
      </c>
    </row>
    <row r="4985" spans="1:13" ht="15.6" x14ac:dyDescent="0.3">
      <c r="A4985" s="1" t="s">
        <v>14402</v>
      </c>
      <c r="B4985" s="1"/>
      <c r="C4985" s="1"/>
      <c r="D4985" s="1"/>
      <c r="E4985" s="1"/>
      <c r="F4985" s="1"/>
      <c r="G4985" s="1" t="s">
        <v>24</v>
      </c>
      <c r="H4985" s="2">
        <v>262</v>
      </c>
      <c r="I4985" s="1" t="s">
        <v>14403</v>
      </c>
      <c r="J4985" s="1" t="s">
        <v>5652</v>
      </c>
      <c r="K4985" s="1" t="s">
        <v>36</v>
      </c>
      <c r="L4985" s="1" t="s">
        <v>11628</v>
      </c>
      <c r="M4985" s="6" t="str">
        <f>_xlfn.CONCAT(Table1[[#This Row],[Billing Street]], ", ", Table1[[#This Row],[Billing City]], ", ", Table1[[#This Row],[Billing State/Province]], ", ", Table1[[#This Row],[Billing Zip/Postal Code]])</f>
        <v>2441 King St, Ocala, FL, 34471</v>
      </c>
    </row>
    <row r="4986" spans="1:13" ht="15.6" x14ac:dyDescent="0.3">
      <c r="A4986" s="1" t="s">
        <v>14404</v>
      </c>
      <c r="B4986" s="1"/>
      <c r="C4986" s="1"/>
      <c r="D4986" s="1"/>
      <c r="E4986" s="1"/>
      <c r="F4986" s="1"/>
      <c r="G4986" s="1" t="s">
        <v>24</v>
      </c>
      <c r="H4986" s="2">
        <v>158</v>
      </c>
      <c r="I4986" s="1" t="s">
        <v>14405</v>
      </c>
      <c r="J4986" s="1" t="s">
        <v>9397</v>
      </c>
      <c r="K4986" s="1" t="s">
        <v>26</v>
      </c>
      <c r="L4986" s="1" t="s">
        <v>9398</v>
      </c>
      <c r="M4986" s="6" t="str">
        <f>_xlfn.CONCAT(Table1[[#This Row],[Billing Street]], ", ", Table1[[#This Row],[Billing City]], ", ", Table1[[#This Row],[Billing State/Province]], ", ", Table1[[#This Row],[Billing Zip/Postal Code]])</f>
        <v>145 N. Industrial Park Dr, Demopolis, AL, 36732</v>
      </c>
    </row>
    <row r="4987" spans="1:13" ht="15.6" x14ac:dyDescent="0.3">
      <c r="A4987" s="1" t="s">
        <v>14406</v>
      </c>
      <c r="B4987" s="1"/>
      <c r="C4987" s="1"/>
      <c r="D4987" s="1"/>
      <c r="E4987" s="1"/>
      <c r="F4987" s="1"/>
      <c r="G4987" s="1" t="s">
        <v>24</v>
      </c>
      <c r="H4987" s="2">
        <v>5988</v>
      </c>
      <c r="I4987" s="1" t="s">
        <v>14407</v>
      </c>
      <c r="J4987" s="1" t="s">
        <v>780</v>
      </c>
      <c r="K4987" s="1" t="s">
        <v>951</v>
      </c>
      <c r="L4987" s="1" t="s">
        <v>12514</v>
      </c>
      <c r="M4987" s="6" t="str">
        <f>_xlfn.CONCAT(Table1[[#This Row],[Billing Street]], ", ", Table1[[#This Row],[Billing City]], ", ", Table1[[#This Row],[Billing State/Province]], ", ", Table1[[#This Row],[Billing Zip/Postal Code]])</f>
        <v>One Gully Avenue, Philadelphia, Ms, 39350</v>
      </c>
    </row>
    <row r="4988" spans="1:13" ht="15.6" hidden="1" x14ac:dyDescent="0.3">
      <c r="A4988" s="1" t="s">
        <v>14408</v>
      </c>
      <c r="B4988" s="1"/>
      <c r="C4988" s="1"/>
      <c r="D4988" s="1"/>
      <c r="E4988" s="1"/>
      <c r="F4988" s="1"/>
      <c r="G4988" s="1" t="s">
        <v>13</v>
      </c>
      <c r="H4988" s="2">
        <v>0</v>
      </c>
      <c r="I4988" s="1" t="s">
        <v>13</v>
      </c>
      <c r="J4988" s="1" t="s">
        <v>13</v>
      </c>
      <c r="K4988" s="1" t="s">
        <v>13</v>
      </c>
      <c r="L4988" s="1" t="s">
        <v>13</v>
      </c>
      <c r="M4988" s="6" t="str">
        <f>_xlfn.CONCAT(Table1[[#This Row],[Billing Street]], ", ", Table1[[#This Row],[Billing City]], ", ", Table1[[#This Row],[Billing State/Province]], ", ", Table1[[#This Row],[Billing Zip/Postal Code]])</f>
        <v xml:space="preserve">, , , </v>
      </c>
    </row>
    <row r="4989" spans="1:13" ht="15.6" hidden="1" x14ac:dyDescent="0.3">
      <c r="A4989" s="1" t="s">
        <v>14409</v>
      </c>
      <c r="B4989" s="1"/>
      <c r="C4989" s="1"/>
      <c r="D4989" s="1"/>
      <c r="E4989" s="1"/>
      <c r="F4989" s="1"/>
      <c r="G4989" s="1" t="s">
        <v>48</v>
      </c>
      <c r="H4989" s="2">
        <v>0</v>
      </c>
      <c r="I4989" s="1" t="s">
        <v>14410</v>
      </c>
      <c r="J4989" s="1" t="s">
        <v>1944</v>
      </c>
      <c r="K4989" s="1" t="s">
        <v>36</v>
      </c>
      <c r="L4989" s="1" t="s">
        <v>8568</v>
      </c>
      <c r="M4989" s="6" t="str">
        <f>_xlfn.CONCAT(Table1[[#This Row],[Billing Street]], ", ", Table1[[#This Row],[Billing City]], ", ", Table1[[#This Row],[Billing State/Province]], ", ", Table1[[#This Row],[Billing Zip/Postal Code]])</f>
        <v>5385 Gateway Boulevard, Lakeland, FL, 33811</v>
      </c>
    </row>
    <row r="4990" spans="1:13" ht="15.6" hidden="1" x14ac:dyDescent="0.3">
      <c r="A4990" s="1" t="s">
        <v>14411</v>
      </c>
      <c r="B4990" s="1"/>
      <c r="C4990" s="1"/>
      <c r="D4990" s="1"/>
      <c r="E4990" s="1"/>
      <c r="F4990" s="1"/>
      <c r="G4990" s="1" t="s">
        <v>13</v>
      </c>
      <c r="H4990" s="2">
        <v>0</v>
      </c>
      <c r="I4990" s="1" t="s">
        <v>13</v>
      </c>
      <c r="J4990" s="1" t="s">
        <v>13</v>
      </c>
      <c r="K4990" s="1" t="s">
        <v>13</v>
      </c>
      <c r="L4990" s="1" t="s">
        <v>13</v>
      </c>
      <c r="M4990" s="6" t="str">
        <f>_xlfn.CONCAT(Table1[[#This Row],[Billing Street]], ", ", Table1[[#This Row],[Billing City]], ", ", Table1[[#This Row],[Billing State/Province]], ", ", Table1[[#This Row],[Billing Zip/Postal Code]])</f>
        <v xml:space="preserve">, , , </v>
      </c>
    </row>
    <row r="4991" spans="1:13" ht="15.6" hidden="1" x14ac:dyDescent="0.3">
      <c r="A4991" s="1" t="s">
        <v>14412</v>
      </c>
      <c r="B4991" s="1"/>
      <c r="C4991" s="1"/>
      <c r="D4991" s="1"/>
      <c r="E4991" s="1"/>
      <c r="F4991" s="1"/>
      <c r="G4991" s="1" t="s">
        <v>13</v>
      </c>
      <c r="H4991" s="2">
        <v>0</v>
      </c>
      <c r="I4991" s="1" t="s">
        <v>13</v>
      </c>
      <c r="J4991" s="1" t="s">
        <v>13</v>
      </c>
      <c r="K4991" s="1" t="s">
        <v>13</v>
      </c>
      <c r="L4991" s="1" t="s">
        <v>13</v>
      </c>
      <c r="M4991" s="6" t="str">
        <f>_xlfn.CONCAT(Table1[[#This Row],[Billing Street]], ", ", Table1[[#This Row],[Billing City]], ", ", Table1[[#This Row],[Billing State/Province]], ", ", Table1[[#This Row],[Billing Zip/Postal Code]])</f>
        <v xml:space="preserve">, , , </v>
      </c>
    </row>
    <row r="4992" spans="1:13" ht="15.6" hidden="1" x14ac:dyDescent="0.3">
      <c r="A4992" s="1" t="s">
        <v>14413</v>
      </c>
      <c r="B4992" s="1"/>
      <c r="C4992" s="1"/>
      <c r="D4992" s="1"/>
      <c r="E4992" s="1"/>
      <c r="F4992" s="1"/>
      <c r="G4992" s="1" t="s">
        <v>13</v>
      </c>
      <c r="H4992" s="2">
        <v>0</v>
      </c>
      <c r="I4992" s="1" t="s">
        <v>14414</v>
      </c>
      <c r="J4992" s="1" t="s">
        <v>1496</v>
      </c>
      <c r="K4992" s="1" t="s">
        <v>13</v>
      </c>
      <c r="L4992" s="1" t="s">
        <v>13</v>
      </c>
      <c r="M4992" s="6" t="str">
        <f>_xlfn.CONCAT(Table1[[#This Row],[Billing Street]], ", ", Table1[[#This Row],[Billing City]], ", ", Table1[[#This Row],[Billing State/Province]], ", ", Table1[[#This Row],[Billing Zip/Postal Code]])</f>
        <v xml:space="preserve">242 24th Ave NW, Norman, , </v>
      </c>
    </row>
    <row r="4993" spans="1:13" ht="15.6" hidden="1" x14ac:dyDescent="0.3">
      <c r="A4993" s="1" t="s">
        <v>14415</v>
      </c>
      <c r="B4993" s="1"/>
      <c r="C4993" s="1"/>
      <c r="D4993" s="1"/>
      <c r="E4993" s="1"/>
      <c r="F4993" s="1"/>
      <c r="G4993" s="1" t="s">
        <v>8</v>
      </c>
      <c r="H4993" s="2">
        <v>532</v>
      </c>
      <c r="I4993" s="1" t="s">
        <v>14416</v>
      </c>
      <c r="J4993" s="1" t="s">
        <v>14417</v>
      </c>
      <c r="K4993" s="1" t="s">
        <v>51</v>
      </c>
      <c r="L4993" s="1" t="s">
        <v>14418</v>
      </c>
      <c r="M4993" s="6" t="str">
        <f>_xlfn.CONCAT(Table1[[#This Row],[Billing Street]], ", ", Table1[[#This Row],[Billing City]], ", ", Table1[[#This Row],[Billing State/Province]], ", ", Table1[[#This Row],[Billing Zip/Postal Code]])</f>
        <v>2800 FM 519 East, Texas City, TX, 77592</v>
      </c>
    </row>
    <row r="4994" spans="1:13" ht="15.6" x14ac:dyDescent="0.3">
      <c r="A4994" s="1" t="s">
        <v>14419</v>
      </c>
      <c r="B4994" s="1"/>
      <c r="C4994" s="1"/>
      <c r="D4994" s="1"/>
      <c r="E4994" s="1"/>
      <c r="F4994" s="1"/>
      <c r="G4994" s="1" t="s">
        <v>24</v>
      </c>
      <c r="H4994" s="2">
        <v>280</v>
      </c>
      <c r="I4994" s="1" t="s">
        <v>14420</v>
      </c>
      <c r="J4994" s="1" t="s">
        <v>3440</v>
      </c>
      <c r="K4994" s="1" t="s">
        <v>36</v>
      </c>
      <c r="L4994" s="1" t="s">
        <v>3441</v>
      </c>
      <c r="M4994" s="6" t="str">
        <f>_xlfn.CONCAT(Table1[[#This Row],[Billing Street]], ", ", Table1[[#This Row],[Billing City]], ", ", Table1[[#This Row],[Billing State/Province]], ", ", Table1[[#This Row],[Billing Zip/Postal Code]])</f>
        <v>4750 CR 470, Sumterville, FL, 33585</v>
      </c>
    </row>
    <row r="4995" spans="1:13" ht="15.6" hidden="1" x14ac:dyDescent="0.3">
      <c r="A4995" s="1" t="s">
        <v>14421</v>
      </c>
      <c r="B4995" s="1"/>
      <c r="C4995" s="1"/>
      <c r="D4995" s="1"/>
      <c r="E4995" s="1"/>
      <c r="F4995" s="1"/>
      <c r="G4995" s="1" t="s">
        <v>13</v>
      </c>
      <c r="H4995" s="2">
        <v>0</v>
      </c>
      <c r="I4995" s="1" t="s">
        <v>13</v>
      </c>
      <c r="J4995" s="1" t="s">
        <v>13</v>
      </c>
      <c r="K4995" s="1" t="s">
        <v>13</v>
      </c>
      <c r="L4995" s="1" t="s">
        <v>13</v>
      </c>
      <c r="M4995" s="6" t="str">
        <f>_xlfn.CONCAT(Table1[[#This Row],[Billing Street]], ", ", Table1[[#This Row],[Billing City]], ", ", Table1[[#This Row],[Billing State/Province]], ", ", Table1[[#This Row],[Billing Zip/Postal Code]])</f>
        <v xml:space="preserve">, , , </v>
      </c>
    </row>
    <row r="4996" spans="1:13" ht="15.6" hidden="1" x14ac:dyDescent="0.3">
      <c r="A4996" s="1" t="s">
        <v>14422</v>
      </c>
      <c r="B4996" s="1"/>
      <c r="C4996" s="1"/>
      <c r="D4996" s="1"/>
      <c r="E4996" s="1"/>
      <c r="F4996" s="1"/>
      <c r="G4996" s="1" t="s">
        <v>13</v>
      </c>
      <c r="H4996" s="2">
        <v>0</v>
      </c>
      <c r="I4996" s="1" t="s">
        <v>13</v>
      </c>
      <c r="J4996" s="1" t="s">
        <v>13</v>
      </c>
      <c r="K4996" s="1" t="s">
        <v>13</v>
      </c>
      <c r="L4996" s="1" t="s">
        <v>13</v>
      </c>
      <c r="M4996" s="6" t="str">
        <f>_xlfn.CONCAT(Table1[[#This Row],[Billing Street]], ", ", Table1[[#This Row],[Billing City]], ", ", Table1[[#This Row],[Billing State/Province]], ", ", Table1[[#This Row],[Billing Zip/Postal Code]])</f>
        <v xml:space="preserve">, , , </v>
      </c>
    </row>
    <row r="4997" spans="1:13" ht="15.6" hidden="1" x14ac:dyDescent="0.3">
      <c r="A4997" s="1" t="s">
        <v>14423</v>
      </c>
      <c r="B4997" s="1"/>
      <c r="C4997" s="1"/>
      <c r="D4997" s="1"/>
      <c r="E4997" s="1"/>
      <c r="F4997" s="1"/>
      <c r="G4997" s="1" t="s">
        <v>13</v>
      </c>
      <c r="H4997" s="2">
        <v>0</v>
      </c>
      <c r="I4997" s="1" t="s">
        <v>13</v>
      </c>
      <c r="J4997" s="1" t="s">
        <v>13</v>
      </c>
      <c r="K4997" s="1" t="s">
        <v>13</v>
      </c>
      <c r="L4997" s="1" t="s">
        <v>13</v>
      </c>
      <c r="M4997" s="6" t="str">
        <f>_xlfn.CONCAT(Table1[[#This Row],[Billing Street]], ", ", Table1[[#This Row],[Billing City]], ", ", Table1[[#This Row],[Billing State/Province]], ", ", Table1[[#This Row],[Billing Zip/Postal Code]])</f>
        <v xml:space="preserve">, , , </v>
      </c>
    </row>
    <row r="4998" spans="1:13" ht="15.6" x14ac:dyDescent="0.3">
      <c r="A4998" s="1" t="s">
        <v>14424</v>
      </c>
      <c r="B4998" s="1"/>
      <c r="C4998" s="1"/>
      <c r="D4998" s="1"/>
      <c r="E4998" s="1"/>
      <c r="F4998" s="1"/>
      <c r="G4998" s="1" t="s">
        <v>24</v>
      </c>
      <c r="H4998" s="2">
        <v>309</v>
      </c>
      <c r="I4998" s="1" t="s">
        <v>14425</v>
      </c>
      <c r="J4998" s="1" t="s">
        <v>14426</v>
      </c>
      <c r="K4998" s="1" t="s">
        <v>36</v>
      </c>
      <c r="L4998" s="1" t="s">
        <v>14427</v>
      </c>
      <c r="M4998" s="6" t="str">
        <f>_xlfn.CONCAT(Table1[[#This Row],[Billing Street]], ", ", Table1[[#This Row],[Billing City]], ", ", Table1[[#This Row],[Billing State/Province]], ", ", Table1[[#This Row],[Billing Zip/Postal Code]])</f>
        <v>100 Sea Ray Dr, Flagler Beach, FL, 32136</v>
      </c>
    </row>
    <row r="4999" spans="1:13" ht="15.6" hidden="1" x14ac:dyDescent="0.3">
      <c r="A4999" s="1" t="s">
        <v>14428</v>
      </c>
      <c r="B4999" s="1"/>
      <c r="C4999" s="1"/>
      <c r="D4999" s="1"/>
      <c r="E4999" s="1"/>
      <c r="F4999" s="1"/>
      <c r="G4999" s="1" t="s">
        <v>13</v>
      </c>
      <c r="H4999" s="2">
        <v>0</v>
      </c>
      <c r="I4999" s="1" t="s">
        <v>13</v>
      </c>
      <c r="J4999" s="1" t="s">
        <v>13</v>
      </c>
      <c r="K4999" s="1" t="s">
        <v>13</v>
      </c>
      <c r="L4999" s="1" t="s">
        <v>13</v>
      </c>
      <c r="M4999" s="6" t="str">
        <f>_xlfn.CONCAT(Table1[[#This Row],[Billing Street]], ", ", Table1[[#This Row],[Billing City]], ", ", Table1[[#This Row],[Billing State/Province]], ", ", Table1[[#This Row],[Billing Zip/Postal Code]])</f>
        <v xml:space="preserve">, , , </v>
      </c>
    </row>
    <row r="5000" spans="1:13" ht="15.6" x14ac:dyDescent="0.3">
      <c r="A5000" s="1" t="s">
        <v>14429</v>
      </c>
      <c r="B5000" s="1"/>
      <c r="C5000" s="1"/>
      <c r="D5000" s="1"/>
      <c r="E5000" s="1"/>
      <c r="F5000" s="1"/>
      <c r="G5000" s="1" t="s">
        <v>24</v>
      </c>
      <c r="H5000" s="2">
        <v>306</v>
      </c>
      <c r="I5000" s="1" t="s">
        <v>14430</v>
      </c>
      <c r="J5000" s="1" t="s">
        <v>2440</v>
      </c>
      <c r="K5000" s="1" t="s">
        <v>36</v>
      </c>
      <c r="L5000" s="1" t="s">
        <v>14431</v>
      </c>
      <c r="M5000" s="6" t="str">
        <f>_xlfn.CONCAT(Table1[[#This Row],[Billing Street]], ", ", Table1[[#This Row],[Billing City]], ", ", Table1[[#This Row],[Billing State/Province]], ", ", Table1[[#This Row],[Billing Zip/Postal Code]])</f>
        <v>8455 County Rd 474, Clermont, FL, 34714</v>
      </c>
    </row>
    <row r="5001" spans="1:13" ht="15.6" x14ac:dyDescent="0.3">
      <c r="A5001" s="1" t="s">
        <v>14432</v>
      </c>
      <c r="B5001" s="1"/>
      <c r="C5001" s="1"/>
      <c r="D5001" s="1"/>
      <c r="E5001" s="1"/>
      <c r="F5001" s="1"/>
      <c r="G5001" s="1" t="s">
        <v>24</v>
      </c>
      <c r="H5001" s="2">
        <v>455</v>
      </c>
      <c r="I5001" s="1" t="s">
        <v>14433</v>
      </c>
      <c r="J5001" s="1" t="s">
        <v>656</v>
      </c>
      <c r="K5001" s="1" t="s">
        <v>36</v>
      </c>
      <c r="L5001" s="1" t="s">
        <v>13195</v>
      </c>
      <c r="M5001" s="6" t="str">
        <f>_xlfn.CONCAT(Table1[[#This Row],[Billing Street]], ", ", Table1[[#This Row],[Billing City]], ", ", Table1[[#This Row],[Billing State/Province]], ", ", Table1[[#This Row],[Billing Zip/Postal Code]])</f>
        <v>101 Sansburys Way, West Palm Beach, FL, 33411</v>
      </c>
    </row>
    <row r="5002" spans="1:13" ht="15.6" hidden="1" x14ac:dyDescent="0.3">
      <c r="A5002" s="1" t="s">
        <v>14434</v>
      </c>
      <c r="B5002" s="1"/>
      <c r="C5002" s="1"/>
      <c r="D5002" s="1"/>
      <c r="E5002" s="1"/>
      <c r="F5002" s="1"/>
      <c r="G5002" s="1" t="s">
        <v>43</v>
      </c>
      <c r="H5002" s="2">
        <v>5776</v>
      </c>
      <c r="I5002" s="1" t="s">
        <v>14435</v>
      </c>
      <c r="J5002" s="1" t="s">
        <v>14436</v>
      </c>
      <c r="K5002" s="1" t="s">
        <v>1745</v>
      </c>
      <c r="L5002" s="1" t="s">
        <v>14437</v>
      </c>
      <c r="M5002" s="6" t="str">
        <f>_xlfn.CONCAT(Table1[[#This Row],[Billing Street]], ", ", Table1[[#This Row],[Billing City]], ", ", Table1[[#This Row],[Billing State/Province]], ", ", Table1[[#This Row],[Billing Zip/Postal Code]])</f>
        <v>509 Heron Dr, Swedesboro, nj, 8085</v>
      </c>
    </row>
    <row r="5003" spans="1:13" ht="15.6" hidden="1" x14ac:dyDescent="0.3">
      <c r="A5003" s="1" t="s">
        <v>14438</v>
      </c>
      <c r="B5003" s="1"/>
      <c r="C5003" s="1"/>
      <c r="D5003" s="1"/>
      <c r="E5003" s="1"/>
      <c r="F5003" s="1"/>
      <c r="G5003" s="1" t="s">
        <v>54</v>
      </c>
      <c r="H5003" s="2">
        <v>353</v>
      </c>
      <c r="I5003" s="1" t="s">
        <v>14439</v>
      </c>
      <c r="J5003" s="1" t="s">
        <v>12813</v>
      </c>
      <c r="K5003" s="1" t="s">
        <v>57</v>
      </c>
      <c r="L5003" s="1" t="s">
        <v>12814</v>
      </c>
      <c r="M5003" s="6" t="str">
        <f>_xlfn.CONCAT(Table1[[#This Row],[Billing Street]], ", ", Table1[[#This Row],[Billing City]], ", ", Table1[[#This Row],[Billing State/Province]], ", ", Table1[[#This Row],[Billing Zip/Postal Code]])</f>
        <v>4563 E. 2nd Street, Benicia, CA, 94510</v>
      </c>
    </row>
    <row r="5004" spans="1:13" ht="15.6" x14ac:dyDescent="0.3">
      <c r="A5004" s="1" t="s">
        <v>14440</v>
      </c>
      <c r="B5004" s="1"/>
      <c r="C5004" s="1"/>
      <c r="D5004" s="1"/>
      <c r="E5004" s="1"/>
      <c r="F5004" s="1"/>
      <c r="G5004" s="1" t="s">
        <v>24</v>
      </c>
      <c r="H5004" s="2">
        <v>323</v>
      </c>
      <c r="I5004" s="1" t="s">
        <v>14441</v>
      </c>
      <c r="J5004" s="1" t="s">
        <v>8299</v>
      </c>
      <c r="K5004" s="1" t="s">
        <v>36</v>
      </c>
      <c r="L5004" s="1" t="s">
        <v>14442</v>
      </c>
      <c r="M5004" s="6" t="str">
        <f>_xlfn.CONCAT(Table1[[#This Row],[Billing Street]], ", ", Table1[[#This Row],[Billing City]], ", ", Table1[[#This Row],[Billing State/Province]], ", ", Table1[[#This Row],[Billing Zip/Postal Code]])</f>
        <v>US Hwy 17+Spirit Lake Rd, Bartow, FL, 33831</v>
      </c>
    </row>
    <row r="5005" spans="1:13" ht="15.6" hidden="1" x14ac:dyDescent="0.3">
      <c r="A5005" s="1" t="s">
        <v>14443</v>
      </c>
      <c r="B5005" s="1"/>
      <c r="C5005" s="1"/>
      <c r="D5005" s="1"/>
      <c r="E5005" s="1"/>
      <c r="F5005" s="1"/>
      <c r="G5005" s="1" t="s">
        <v>13</v>
      </c>
      <c r="H5005" s="2">
        <v>0</v>
      </c>
      <c r="I5005" s="1" t="s">
        <v>13</v>
      </c>
      <c r="J5005" s="1" t="s">
        <v>13</v>
      </c>
      <c r="K5005" s="1" t="s">
        <v>13</v>
      </c>
      <c r="L5005" s="1" t="s">
        <v>13</v>
      </c>
      <c r="M5005" s="6" t="str">
        <f>_xlfn.CONCAT(Table1[[#This Row],[Billing Street]], ", ", Table1[[#This Row],[Billing City]], ", ", Table1[[#This Row],[Billing State/Province]], ", ", Table1[[#This Row],[Billing Zip/Postal Code]])</f>
        <v xml:space="preserve">, , , </v>
      </c>
    </row>
    <row r="5006" spans="1:13" ht="15.6" hidden="1" x14ac:dyDescent="0.3">
      <c r="A5006" s="1" t="s">
        <v>14444</v>
      </c>
      <c r="B5006" s="1"/>
      <c r="C5006" s="1"/>
      <c r="D5006" s="1"/>
      <c r="E5006" s="1"/>
      <c r="F5006" s="1"/>
      <c r="G5006" s="1" t="s">
        <v>13</v>
      </c>
      <c r="H5006" s="2">
        <v>0</v>
      </c>
      <c r="I5006" s="1" t="s">
        <v>13</v>
      </c>
      <c r="J5006" s="1" t="s">
        <v>13</v>
      </c>
      <c r="K5006" s="1" t="s">
        <v>13</v>
      </c>
      <c r="L5006" s="1" t="s">
        <v>13</v>
      </c>
      <c r="M5006" s="6" t="str">
        <f>_xlfn.CONCAT(Table1[[#This Row],[Billing Street]], ", ", Table1[[#This Row],[Billing City]], ", ", Table1[[#This Row],[Billing State/Province]], ", ", Table1[[#This Row],[Billing Zip/Postal Code]])</f>
        <v xml:space="preserve">, , , </v>
      </c>
    </row>
    <row r="5007" spans="1:13" ht="15.6" x14ac:dyDescent="0.3">
      <c r="A5007" s="1" t="s">
        <v>14445</v>
      </c>
      <c r="B5007" s="1"/>
      <c r="C5007" s="1"/>
      <c r="D5007" s="1"/>
      <c r="E5007" s="1"/>
      <c r="F5007" s="1"/>
      <c r="G5007" s="1" t="s">
        <v>24</v>
      </c>
      <c r="H5007" s="2">
        <v>200</v>
      </c>
      <c r="I5007" s="1" t="s">
        <v>14446</v>
      </c>
      <c r="J5007" s="1" t="s">
        <v>3184</v>
      </c>
      <c r="K5007" s="1" t="s">
        <v>26</v>
      </c>
      <c r="L5007" s="1" t="s">
        <v>3185</v>
      </c>
      <c r="M5007" s="6" t="str">
        <f>_xlfn.CONCAT(Table1[[#This Row],[Billing Street]], ", ", Table1[[#This Row],[Billing City]], ", ", Table1[[#This Row],[Billing State/Province]], ", ", Table1[[#This Row],[Billing Zip/Postal Code]])</f>
        <v>1001 Barry St., Oxford, AL, 36203</v>
      </c>
    </row>
    <row r="5008" spans="1:13" ht="15.6" hidden="1" x14ac:dyDescent="0.3">
      <c r="A5008" s="1" t="s">
        <v>14447</v>
      </c>
      <c r="B5008" s="1"/>
      <c r="C5008" s="1"/>
      <c r="D5008" s="1"/>
      <c r="E5008" s="1"/>
      <c r="F5008" s="1"/>
      <c r="G5008" s="1" t="s">
        <v>43</v>
      </c>
      <c r="H5008" s="2">
        <v>5776</v>
      </c>
      <c r="I5008" s="1" t="s">
        <v>14448</v>
      </c>
      <c r="J5008" s="1" t="s">
        <v>14449</v>
      </c>
      <c r="K5008" s="1" t="s">
        <v>781</v>
      </c>
      <c r="L5008" s="1" t="s">
        <v>14450</v>
      </c>
      <c r="M5008" s="6" t="str">
        <f>_xlfn.CONCAT(Table1[[#This Row],[Billing Street]], ", ", Table1[[#This Row],[Billing City]], ", ", Table1[[#This Row],[Billing State/Province]], ", ", Table1[[#This Row],[Billing Zip/Postal Code]])</f>
        <v>1121 North Providence rd, Media, pa, 19063</v>
      </c>
    </row>
    <row r="5009" spans="1:13" ht="15.6" hidden="1" x14ac:dyDescent="0.3">
      <c r="A5009" s="1" t="s">
        <v>14451</v>
      </c>
      <c r="B5009" s="1"/>
      <c r="C5009" s="1"/>
      <c r="D5009" s="1"/>
      <c r="E5009" s="1"/>
      <c r="F5009" s="1"/>
      <c r="G5009" s="1" t="s">
        <v>43</v>
      </c>
      <c r="H5009" s="2">
        <v>63</v>
      </c>
      <c r="I5009" s="1" t="s">
        <v>14452</v>
      </c>
      <c r="J5009" s="1" t="s">
        <v>14453</v>
      </c>
      <c r="K5009" s="1" t="s">
        <v>241</v>
      </c>
      <c r="L5009" s="1" t="s">
        <v>14454</v>
      </c>
      <c r="M5009" s="6" t="str">
        <f>_xlfn.CONCAT(Table1[[#This Row],[Billing Street]], ", ", Table1[[#This Row],[Billing City]], ", ", Table1[[#This Row],[Billing State/Province]], ", ", Table1[[#This Row],[Billing Zip/Postal Code]])</f>
        <v>138 Diamond Street, Mercer, PA, 16137</v>
      </c>
    </row>
    <row r="5010" spans="1:13" ht="15.6" hidden="1" x14ac:dyDescent="0.3">
      <c r="A5010" s="1" t="s">
        <v>14455</v>
      </c>
      <c r="B5010" s="1"/>
      <c r="C5010" s="1"/>
      <c r="D5010" s="1"/>
      <c r="E5010" s="1"/>
      <c r="F5010" s="1"/>
      <c r="G5010" s="1" t="s">
        <v>43</v>
      </c>
      <c r="H5010" s="2">
        <v>5776</v>
      </c>
      <c r="I5010" s="1" t="s">
        <v>14456</v>
      </c>
      <c r="J5010" s="1" t="s">
        <v>254</v>
      </c>
      <c r="K5010" s="1" t="s">
        <v>237</v>
      </c>
      <c r="L5010" s="1" t="s">
        <v>13</v>
      </c>
      <c r="M5010" s="6" t="str">
        <f>_xlfn.CONCAT(Table1[[#This Row],[Billing Street]], ", ", Table1[[#This Row],[Billing City]], ", ", Table1[[#This Row],[Billing State/Province]], ", ", Table1[[#This Row],[Billing Zip/Postal Code]])</f>
        <v xml:space="preserve">3709 Transportation Drive, Fort Wayne, IN, </v>
      </c>
    </row>
    <row r="5011" spans="1:13" ht="15.6" hidden="1" x14ac:dyDescent="0.3">
      <c r="A5011" s="1" t="s">
        <v>14457</v>
      </c>
      <c r="B5011" s="1"/>
      <c r="C5011" s="1"/>
      <c r="D5011" s="1"/>
      <c r="E5011" s="1"/>
      <c r="F5011" s="1"/>
      <c r="G5011" s="1" t="s">
        <v>98</v>
      </c>
      <c r="H5011" s="2">
        <v>418</v>
      </c>
      <c r="I5011" s="1" t="s">
        <v>14458</v>
      </c>
      <c r="J5011" s="1" t="s">
        <v>4761</v>
      </c>
      <c r="K5011" s="1" t="s">
        <v>1178</v>
      </c>
      <c r="L5011" s="1" t="s">
        <v>14459</v>
      </c>
      <c r="M5011" s="6" t="str">
        <f>_xlfn.CONCAT(Table1[[#This Row],[Billing Street]], ", ", Table1[[#This Row],[Billing City]], ", ", Table1[[#This Row],[Billing State/Province]], ", ", Table1[[#This Row],[Billing Zip/Postal Code]])</f>
        <v>300 Pollock St., Newbern, NC, 28560</v>
      </c>
    </row>
    <row r="5012" spans="1:13" ht="15.6" hidden="1" x14ac:dyDescent="0.3">
      <c r="A5012" s="1" t="s">
        <v>14460</v>
      </c>
      <c r="B5012" s="1"/>
      <c r="C5012" s="1"/>
      <c r="D5012" s="1"/>
      <c r="E5012" s="1"/>
      <c r="F5012" s="1"/>
      <c r="G5012" s="1" t="s">
        <v>98</v>
      </c>
      <c r="H5012" s="2">
        <v>390</v>
      </c>
      <c r="I5012" s="1" t="s">
        <v>14461</v>
      </c>
      <c r="J5012" s="1" t="s">
        <v>1632</v>
      </c>
      <c r="K5012" s="1" t="s">
        <v>1178</v>
      </c>
      <c r="L5012" s="1" t="s">
        <v>14462</v>
      </c>
      <c r="M5012" s="6" t="str">
        <f>_xlfn.CONCAT(Table1[[#This Row],[Billing Street]], ", ", Table1[[#This Row],[Billing City]], ", ", Table1[[#This Row],[Billing State/Province]], ", ", Table1[[#This Row],[Billing Zip/Postal Code]])</f>
        <v>207 E. King Street, Kinston, NC, 28502</v>
      </c>
    </row>
    <row r="5013" spans="1:13" ht="15.6" x14ac:dyDescent="0.3">
      <c r="A5013" s="1" t="s">
        <v>14463</v>
      </c>
      <c r="B5013" s="1"/>
      <c r="C5013" s="1"/>
      <c r="D5013" s="1"/>
      <c r="E5013" s="1"/>
      <c r="F5013" s="1"/>
      <c r="G5013" s="1" t="s">
        <v>24</v>
      </c>
      <c r="H5013" s="2">
        <v>446</v>
      </c>
      <c r="I5013" s="1" t="s">
        <v>14464</v>
      </c>
      <c r="J5013" s="1" t="s">
        <v>14465</v>
      </c>
      <c r="K5013" s="1" t="s">
        <v>36</v>
      </c>
      <c r="L5013" s="1" t="s">
        <v>14466</v>
      </c>
      <c r="M5013" s="6" t="str">
        <f>_xlfn.CONCAT(Table1[[#This Row],[Billing Street]], ", ", Table1[[#This Row],[Billing City]], ", ", Table1[[#This Row],[Billing State/Province]], ", ", Table1[[#This Row],[Billing Zip/Postal Code]])</f>
        <v>20125 SR 80, Loxahatchee, FL, 33470</v>
      </c>
    </row>
    <row r="5014" spans="1:13" ht="15.6" x14ac:dyDescent="0.3">
      <c r="A5014" s="1" t="s">
        <v>14467</v>
      </c>
      <c r="B5014" s="1"/>
      <c r="C5014" s="1"/>
      <c r="D5014" s="1"/>
      <c r="E5014" s="1"/>
      <c r="F5014" s="1"/>
      <c r="G5014" s="1" t="s">
        <v>24</v>
      </c>
      <c r="H5014" s="2">
        <v>496</v>
      </c>
      <c r="I5014" s="1" t="s">
        <v>14468</v>
      </c>
      <c r="J5014" s="1" t="s">
        <v>2587</v>
      </c>
      <c r="K5014" s="1" t="s">
        <v>36</v>
      </c>
      <c r="L5014" s="1" t="s">
        <v>8895</v>
      </c>
      <c r="M5014" s="6" t="str">
        <f>_xlfn.CONCAT(Table1[[#This Row],[Billing Street]], ", ", Table1[[#This Row],[Billing City]], ", ", Table1[[#This Row],[Billing State/Province]], ", ", Table1[[#This Row],[Billing Zip/Postal Code]])</f>
        <v>9350 S. Dixie Hwy #1250, Miami, FL, 33156</v>
      </c>
    </row>
    <row r="5015" spans="1:13" ht="15.6" hidden="1" x14ac:dyDescent="0.3">
      <c r="A5015" s="1" t="s">
        <v>14469</v>
      </c>
      <c r="B5015" s="1"/>
      <c r="C5015" s="1"/>
      <c r="D5015" s="1"/>
      <c r="E5015" s="1"/>
      <c r="F5015" s="1"/>
      <c r="G5015" s="1" t="s">
        <v>43</v>
      </c>
      <c r="H5015" s="2">
        <v>5776</v>
      </c>
      <c r="I5015" s="1" t="s">
        <v>13</v>
      </c>
      <c r="J5015" s="1" t="s">
        <v>6967</v>
      </c>
      <c r="K5015" s="1" t="s">
        <v>1191</v>
      </c>
      <c r="L5015" s="1" t="s">
        <v>13</v>
      </c>
      <c r="M5015" s="6" t="str">
        <f>_xlfn.CONCAT(Table1[[#This Row],[Billing Street]], ", ", Table1[[#This Row],[Billing City]], ", ", Table1[[#This Row],[Billing State/Province]], ", ", Table1[[#This Row],[Billing Zip/Postal Code]])</f>
        <v xml:space="preserve">, Harlan, KY, </v>
      </c>
    </row>
    <row r="5016" spans="1:13" ht="15.6" hidden="1" x14ac:dyDescent="0.3">
      <c r="A5016" s="1" t="s">
        <v>14470</v>
      </c>
      <c r="B5016" s="1"/>
      <c r="C5016" s="1"/>
      <c r="D5016" s="1"/>
      <c r="E5016" s="1"/>
      <c r="F5016" s="1"/>
      <c r="G5016" s="1" t="s">
        <v>8</v>
      </c>
      <c r="H5016" s="2">
        <v>6528</v>
      </c>
      <c r="I5016" s="1" t="s">
        <v>13</v>
      </c>
      <c r="J5016" s="1" t="s">
        <v>2160</v>
      </c>
      <c r="K5016" s="1" t="s">
        <v>165</v>
      </c>
      <c r="L5016" s="1" t="s">
        <v>13</v>
      </c>
      <c r="M5016" s="6" t="str">
        <f>_xlfn.CONCAT(Table1[[#This Row],[Billing Street]], ", ", Table1[[#This Row],[Billing City]], ", ", Table1[[#This Row],[Billing State/Province]], ", ", Table1[[#This Row],[Billing Zip/Postal Code]])</f>
        <v xml:space="preserve">, El Dorado, AR, </v>
      </c>
    </row>
    <row r="5017" spans="1:13" ht="15.6" hidden="1" x14ac:dyDescent="0.3">
      <c r="A5017" s="1" t="s">
        <v>14471</v>
      </c>
      <c r="B5017" s="1"/>
      <c r="C5017" s="1"/>
      <c r="D5017" s="1"/>
      <c r="E5017" s="1"/>
      <c r="F5017" s="1"/>
      <c r="G5017" s="1" t="s">
        <v>8</v>
      </c>
      <c r="H5017" s="2">
        <v>6528</v>
      </c>
      <c r="I5017" s="1" t="s">
        <v>13</v>
      </c>
      <c r="J5017" s="1" t="s">
        <v>2160</v>
      </c>
      <c r="K5017" s="1" t="s">
        <v>165</v>
      </c>
      <c r="L5017" s="1" t="s">
        <v>13</v>
      </c>
      <c r="M5017" s="6" t="str">
        <f>_xlfn.CONCAT(Table1[[#This Row],[Billing Street]], ", ", Table1[[#This Row],[Billing City]], ", ", Table1[[#This Row],[Billing State/Province]], ", ", Table1[[#This Row],[Billing Zip/Postal Code]])</f>
        <v xml:space="preserve">, El Dorado, AR, </v>
      </c>
    </row>
    <row r="5018" spans="1:13" ht="15.6" hidden="1" x14ac:dyDescent="0.3">
      <c r="A5018" s="1" t="s">
        <v>14472</v>
      </c>
      <c r="B5018" s="1"/>
      <c r="C5018" s="1"/>
      <c r="D5018" s="1"/>
      <c r="E5018" s="1"/>
      <c r="F5018" s="1"/>
      <c r="G5018" s="1" t="s">
        <v>8</v>
      </c>
      <c r="H5018" s="2">
        <v>6528</v>
      </c>
      <c r="I5018" s="1" t="s">
        <v>13</v>
      </c>
      <c r="J5018" s="1" t="s">
        <v>2160</v>
      </c>
      <c r="K5018" s="1" t="s">
        <v>165</v>
      </c>
      <c r="L5018" s="1" t="s">
        <v>13</v>
      </c>
      <c r="M5018" s="6" t="str">
        <f>_xlfn.CONCAT(Table1[[#This Row],[Billing Street]], ", ", Table1[[#This Row],[Billing City]], ", ", Table1[[#This Row],[Billing State/Province]], ", ", Table1[[#This Row],[Billing Zip/Postal Code]])</f>
        <v xml:space="preserve">, El Dorado, AR, </v>
      </c>
    </row>
    <row r="5019" spans="1:13" ht="15.6" hidden="1" x14ac:dyDescent="0.3">
      <c r="A5019" s="1" t="s">
        <v>14473</v>
      </c>
      <c r="B5019" s="1"/>
      <c r="C5019" s="1"/>
      <c r="D5019" s="1"/>
      <c r="E5019" s="1"/>
      <c r="F5019" s="1"/>
      <c r="G5019" s="1" t="s">
        <v>43</v>
      </c>
      <c r="H5019" s="2">
        <v>5776</v>
      </c>
      <c r="I5019" s="1" t="s">
        <v>14474</v>
      </c>
      <c r="J5019" s="1" t="s">
        <v>14475</v>
      </c>
      <c r="K5019" s="1" t="s">
        <v>781</v>
      </c>
      <c r="L5019" s="1" t="s">
        <v>14476</v>
      </c>
      <c r="M5019" s="6" t="str">
        <f>_xlfn.CONCAT(Table1[[#This Row],[Billing Street]], ", ", Table1[[#This Row],[Billing City]], ", ", Table1[[#This Row],[Billing State/Province]], ", ", Table1[[#This Row],[Billing Zip/Postal Code]])</f>
        <v>2500 Edgly Rd, Levittown, pa, 19057</v>
      </c>
    </row>
    <row r="5020" spans="1:13" ht="15.6" hidden="1" x14ac:dyDescent="0.3">
      <c r="A5020" s="1" t="s">
        <v>14477</v>
      </c>
      <c r="B5020" s="1"/>
      <c r="C5020" s="1"/>
      <c r="D5020" s="1"/>
      <c r="E5020" s="1"/>
      <c r="F5020" s="1"/>
      <c r="G5020" s="1" t="s">
        <v>13</v>
      </c>
      <c r="H5020" s="2">
        <v>0</v>
      </c>
      <c r="I5020" s="1" t="s">
        <v>14478</v>
      </c>
      <c r="J5020" s="1" t="s">
        <v>2228</v>
      </c>
      <c r="K5020" s="1" t="s">
        <v>13</v>
      </c>
      <c r="L5020" s="1" t="s">
        <v>2229</v>
      </c>
      <c r="M5020" s="6" t="str">
        <f>_xlfn.CONCAT(Table1[[#This Row],[Billing Street]], ", ", Table1[[#This Row],[Billing City]], ", ", Table1[[#This Row],[Billing State/Province]], ", ", Table1[[#This Row],[Billing Zip/Postal Code]])</f>
        <v>219 Glider Cir, Corona, , 92880</v>
      </c>
    </row>
    <row r="5021" spans="1:13" ht="15.6" x14ac:dyDescent="0.3">
      <c r="A5021" s="1" t="s">
        <v>14479</v>
      </c>
      <c r="B5021" s="1"/>
      <c r="C5021" s="1"/>
      <c r="D5021" s="1"/>
      <c r="E5021" s="1"/>
      <c r="F5021" s="1"/>
      <c r="G5021" s="1" t="s">
        <v>24</v>
      </c>
      <c r="H5021" s="2">
        <v>5988</v>
      </c>
      <c r="I5021" s="1" t="s">
        <v>14480</v>
      </c>
      <c r="J5021" s="1" t="s">
        <v>1940</v>
      </c>
      <c r="K5021" s="1" t="s">
        <v>31</v>
      </c>
      <c r="L5021" s="1" t="s">
        <v>11985</v>
      </c>
      <c r="M5021" s="6" t="str">
        <f>_xlfn.CONCAT(Table1[[#This Row],[Billing Street]], ", ", Table1[[#This Row],[Billing City]], ", ", Table1[[#This Row],[Billing State/Province]], ", ", Table1[[#This Row],[Billing Zip/Postal Code]])</f>
        <v>153 East Center Street, Canton, MS, 39046</v>
      </c>
    </row>
    <row r="5022" spans="1:13" ht="15.6" x14ac:dyDescent="0.3">
      <c r="A5022" s="1" t="s">
        <v>14481</v>
      </c>
      <c r="B5022" s="1"/>
      <c r="C5022" s="1"/>
      <c r="D5022" s="1"/>
      <c r="E5022" s="1"/>
      <c r="F5022" s="1"/>
      <c r="G5022" s="1" t="s">
        <v>24</v>
      </c>
      <c r="H5022" s="2">
        <v>5988</v>
      </c>
      <c r="I5022" s="1" t="s">
        <v>14482</v>
      </c>
      <c r="J5022" s="1" t="s">
        <v>6629</v>
      </c>
      <c r="K5022" s="1" t="s">
        <v>3357</v>
      </c>
      <c r="L5022" s="1" t="s">
        <v>13</v>
      </c>
      <c r="M5022" s="6" t="str">
        <f>_xlfn.CONCAT(Table1[[#This Row],[Billing Street]], ", ", Table1[[#This Row],[Billing City]], ", ", Table1[[#This Row],[Billing State/Province]], ", ", Table1[[#This Row],[Billing Zip/Postal Code]])</f>
        <v xml:space="preserve">1678 Highway 190, Eunice, La, </v>
      </c>
    </row>
    <row r="5023" spans="1:13" ht="15.6" x14ac:dyDescent="0.3">
      <c r="A5023" s="1" t="s">
        <v>14483</v>
      </c>
      <c r="B5023" s="1"/>
      <c r="C5023" s="1"/>
      <c r="D5023" s="1"/>
      <c r="E5023" s="1"/>
      <c r="F5023" s="1"/>
      <c r="G5023" s="1" t="s">
        <v>24</v>
      </c>
      <c r="H5023" s="2">
        <v>294</v>
      </c>
      <c r="I5023" s="1" t="s">
        <v>14484</v>
      </c>
      <c r="J5023" s="1" t="s">
        <v>4402</v>
      </c>
      <c r="K5023" s="1" t="s">
        <v>577</v>
      </c>
      <c r="L5023" s="1" t="s">
        <v>10927</v>
      </c>
      <c r="M5023" s="6" t="str">
        <f>_xlfn.CONCAT(Table1[[#This Row],[Billing Street]], ", ", Table1[[#This Row],[Billing City]], ", ", Table1[[#This Row],[Billing State/Province]], ", ", Table1[[#This Row],[Billing Zip/Postal Code]])</f>
        <v>5618 Superior Drive; Suite E, Baton Rouge, LA, 70816</v>
      </c>
    </row>
    <row r="5024" spans="1:13" ht="15.6" hidden="1" x14ac:dyDescent="0.3">
      <c r="A5024" s="1" t="s">
        <v>14485</v>
      </c>
      <c r="B5024" s="1"/>
      <c r="C5024" s="1"/>
      <c r="D5024" s="1"/>
      <c r="E5024" s="1"/>
      <c r="F5024" s="1"/>
      <c r="G5024" s="1" t="s">
        <v>13</v>
      </c>
      <c r="H5024" s="2">
        <v>0</v>
      </c>
      <c r="I5024" s="1" t="s">
        <v>13</v>
      </c>
      <c r="J5024" s="1" t="s">
        <v>13</v>
      </c>
      <c r="K5024" s="1" t="s">
        <v>13</v>
      </c>
      <c r="L5024" s="1" t="s">
        <v>13</v>
      </c>
      <c r="M5024" s="6" t="str">
        <f>_xlfn.CONCAT(Table1[[#This Row],[Billing Street]], ", ", Table1[[#This Row],[Billing City]], ", ", Table1[[#This Row],[Billing State/Province]], ", ", Table1[[#This Row],[Billing Zip/Postal Code]])</f>
        <v xml:space="preserve">, , , </v>
      </c>
    </row>
    <row r="5025" spans="1:13" ht="15.6" x14ac:dyDescent="0.3">
      <c r="A5025" s="1" t="s">
        <v>14486</v>
      </c>
      <c r="B5025" s="1"/>
      <c r="C5025" s="1"/>
      <c r="D5025" s="1"/>
      <c r="E5025" s="1"/>
      <c r="F5025" s="1"/>
      <c r="G5025" s="1" t="s">
        <v>24</v>
      </c>
      <c r="H5025" s="2">
        <v>326</v>
      </c>
      <c r="I5025" s="1" t="s">
        <v>14487</v>
      </c>
      <c r="J5025" s="1" t="s">
        <v>8299</v>
      </c>
      <c r="K5025" s="1" t="s">
        <v>36</v>
      </c>
      <c r="L5025" s="1" t="s">
        <v>8300</v>
      </c>
      <c r="M5025" s="6" t="str">
        <f>_xlfn.CONCAT(Table1[[#This Row],[Billing Street]], ", ", Table1[[#This Row],[Billing City]], ", ", Table1[[#This Row],[Billing State/Province]], ", ", Table1[[#This Row],[Billing Zip/Postal Code]])</f>
        <v>4151 US 17, Bartow, FL, 33830</v>
      </c>
    </row>
    <row r="5026" spans="1:13" ht="15.6" x14ac:dyDescent="0.3">
      <c r="A5026" s="1" t="s">
        <v>14488</v>
      </c>
      <c r="B5026" s="1"/>
      <c r="C5026" s="1"/>
      <c r="D5026" s="1"/>
      <c r="E5026" s="1"/>
      <c r="F5026" s="1"/>
      <c r="G5026" s="1" t="s">
        <v>24</v>
      </c>
      <c r="H5026" s="2">
        <v>226</v>
      </c>
      <c r="I5026" s="1" t="s">
        <v>14489</v>
      </c>
      <c r="J5026" s="1" t="s">
        <v>9309</v>
      </c>
      <c r="K5026" s="1" t="s">
        <v>36</v>
      </c>
      <c r="L5026" s="1" t="s">
        <v>14490</v>
      </c>
      <c r="M5026" s="6" t="str">
        <f>_xlfn.CONCAT(Table1[[#This Row],[Billing Street]], ", ", Table1[[#This Row],[Billing City]], ", ", Table1[[#This Row],[Billing State/Province]], ", ", Table1[[#This Row],[Billing Zip/Postal Code]])</f>
        <v>1300 CR 235, Alachua, FL, 32615</v>
      </c>
    </row>
    <row r="5027" spans="1:13" ht="15.6" x14ac:dyDescent="0.3">
      <c r="A5027" s="1" t="s">
        <v>14491</v>
      </c>
      <c r="B5027" s="1"/>
      <c r="C5027" s="1"/>
      <c r="D5027" s="1"/>
      <c r="E5027" s="1"/>
      <c r="F5027" s="1"/>
      <c r="G5027" s="1" t="s">
        <v>24</v>
      </c>
      <c r="H5027" s="2">
        <v>326</v>
      </c>
      <c r="I5027" s="1" t="s">
        <v>9287</v>
      </c>
      <c r="J5027" s="1" t="s">
        <v>8299</v>
      </c>
      <c r="K5027" s="1" t="s">
        <v>36</v>
      </c>
      <c r="L5027" s="1" t="s">
        <v>8300</v>
      </c>
      <c r="M5027" s="6" t="str">
        <f>_xlfn.CONCAT(Table1[[#This Row],[Billing Street]], ", ", Table1[[#This Row],[Billing City]], ", ", Table1[[#This Row],[Billing State/Province]], ", ", Table1[[#This Row],[Billing Zip/Postal Code]])</f>
        <v>4131 US 17, Bartow, FL, 33830</v>
      </c>
    </row>
    <row r="5028" spans="1:13" ht="15.6" hidden="1" x14ac:dyDescent="0.3">
      <c r="A5028" s="1" t="s">
        <v>14492</v>
      </c>
      <c r="B5028" s="1"/>
      <c r="C5028" s="1"/>
      <c r="D5028" s="1"/>
      <c r="E5028" s="1"/>
      <c r="F5028" s="1"/>
      <c r="G5028" s="1" t="s">
        <v>43</v>
      </c>
      <c r="H5028" s="2">
        <v>112</v>
      </c>
      <c r="I5028" s="1" t="s">
        <v>14493</v>
      </c>
      <c r="J5028" s="1" t="s">
        <v>14494</v>
      </c>
      <c r="K5028" s="1" t="s">
        <v>82</v>
      </c>
      <c r="L5028" s="1" t="s">
        <v>14495</v>
      </c>
      <c r="M5028" s="6" t="str">
        <f>_xlfn.CONCAT(Table1[[#This Row],[Billing Street]], ", ", Table1[[#This Row],[Billing City]], ", ", Table1[[#This Row],[Billing State/Province]], ", ", Table1[[#This Row],[Billing Zip/Postal Code]])</f>
        <v>14661 Rotunda Drive, Dearborn, MI, 48120</v>
      </c>
    </row>
    <row r="5029" spans="1:13" ht="15.6" hidden="1" x14ac:dyDescent="0.3">
      <c r="A5029" s="1" t="s">
        <v>14496</v>
      </c>
      <c r="B5029" s="1"/>
      <c r="C5029" s="1"/>
      <c r="D5029" s="1"/>
      <c r="E5029" s="1"/>
      <c r="F5029" s="1"/>
      <c r="G5029" s="1" t="s">
        <v>98</v>
      </c>
      <c r="H5029" s="2">
        <v>52</v>
      </c>
      <c r="I5029" s="1" t="s">
        <v>14497</v>
      </c>
      <c r="J5029" s="1" t="s">
        <v>12844</v>
      </c>
      <c r="K5029" s="1" t="s">
        <v>101</v>
      </c>
      <c r="L5029" s="1" t="s">
        <v>9384</v>
      </c>
      <c r="M5029" s="6" t="str">
        <f>_xlfn.CONCAT(Table1[[#This Row],[Billing Street]], ", ", Table1[[#This Row],[Billing City]], ", ", Table1[[#This Row],[Billing State/Province]], ", ", Table1[[#This Row],[Billing Zip/Postal Code]])</f>
        <v>155 GA-113, Carrollton, GA, 30117</v>
      </c>
    </row>
    <row r="5030" spans="1:13" ht="15.6" hidden="1" x14ac:dyDescent="0.3">
      <c r="A5030" s="1" t="s">
        <v>14498</v>
      </c>
      <c r="B5030" s="1"/>
      <c r="C5030" s="1"/>
      <c r="D5030" s="1"/>
      <c r="E5030" s="1"/>
      <c r="F5030" s="1"/>
      <c r="G5030" s="1" t="s">
        <v>8</v>
      </c>
      <c r="H5030" s="2">
        <v>308</v>
      </c>
      <c r="I5030" s="1" t="s">
        <v>14499</v>
      </c>
      <c r="J5030" s="1" t="s">
        <v>14500</v>
      </c>
      <c r="K5030" s="1" t="s">
        <v>21</v>
      </c>
      <c r="L5030" s="1" t="s">
        <v>14501</v>
      </c>
      <c r="M5030" s="6" t="str">
        <f>_xlfn.CONCAT(Table1[[#This Row],[Billing Street]], ", ", Table1[[#This Row],[Billing City]], ", ", Table1[[#This Row],[Billing State/Province]], ", ", Table1[[#This Row],[Billing Zip/Postal Code]])</f>
        <v>828 Main Street, Anita, IA, 50020</v>
      </c>
    </row>
    <row r="5031" spans="1:13" ht="15.6" hidden="1" x14ac:dyDescent="0.3">
      <c r="A5031" s="1" t="s">
        <v>14502</v>
      </c>
      <c r="B5031" s="1"/>
      <c r="C5031" s="1"/>
      <c r="D5031" s="1"/>
      <c r="E5031" s="1"/>
      <c r="F5031" s="1"/>
      <c r="G5031" s="1" t="s">
        <v>98</v>
      </c>
      <c r="H5031" s="2">
        <v>5887</v>
      </c>
      <c r="I5031" s="1" t="s">
        <v>14503</v>
      </c>
      <c r="J5031" s="1" t="s">
        <v>13540</v>
      </c>
      <c r="K5031" s="1" t="s">
        <v>14504</v>
      </c>
      <c r="L5031" s="1" t="s">
        <v>13541</v>
      </c>
      <c r="M5031" s="6" t="str">
        <f>_xlfn.CONCAT(Table1[[#This Row],[Billing Street]], ", ", Table1[[#This Row],[Billing City]], ", ", Table1[[#This Row],[Billing State/Province]], ", ", Table1[[#This Row],[Billing Zip/Postal Code]])</f>
        <v>915 industrial rd, Walterboro, Sc, 29488</v>
      </c>
    </row>
    <row r="5032" spans="1:13" ht="15.6" hidden="1" x14ac:dyDescent="0.3">
      <c r="A5032" s="1" t="s">
        <v>14505</v>
      </c>
      <c r="B5032" s="1"/>
      <c r="C5032" s="1"/>
      <c r="D5032" s="1"/>
      <c r="E5032" s="1"/>
      <c r="F5032" s="1"/>
      <c r="G5032" s="1" t="s">
        <v>98</v>
      </c>
      <c r="H5032" s="2">
        <v>5887</v>
      </c>
      <c r="I5032" s="1" t="s">
        <v>13</v>
      </c>
      <c r="J5032" s="1" t="s">
        <v>5240</v>
      </c>
      <c r="K5032" s="1" t="s">
        <v>101</v>
      </c>
      <c r="L5032" s="1" t="s">
        <v>13</v>
      </c>
      <c r="M5032" s="6" t="str">
        <f>_xlfn.CONCAT(Table1[[#This Row],[Billing Street]], ", ", Table1[[#This Row],[Billing City]], ", ", Table1[[#This Row],[Billing State/Province]], ", ", Table1[[#This Row],[Billing Zip/Postal Code]])</f>
        <v xml:space="preserve">, Forsyth, GA, </v>
      </c>
    </row>
    <row r="5033" spans="1:13" ht="15.6" hidden="1" x14ac:dyDescent="0.3">
      <c r="A5033" s="1" t="s">
        <v>14506</v>
      </c>
      <c r="B5033" s="1"/>
      <c r="C5033" s="1"/>
      <c r="D5033" s="1"/>
      <c r="E5033" s="1"/>
      <c r="F5033" s="1"/>
      <c r="G5033" s="1" t="s">
        <v>8</v>
      </c>
      <c r="H5033" s="2">
        <v>239</v>
      </c>
      <c r="I5033" s="1" t="s">
        <v>14507</v>
      </c>
      <c r="J5033" s="1" t="s">
        <v>3886</v>
      </c>
      <c r="K5033" s="1" t="s">
        <v>11</v>
      </c>
      <c r="L5033" s="1" t="s">
        <v>14508</v>
      </c>
      <c r="M5033" s="6" t="str">
        <f>_xlfn.CONCAT(Table1[[#This Row],[Billing Street]], ", ", Table1[[#This Row],[Billing City]], ", ", Table1[[#This Row],[Billing State/Province]], ", ", Table1[[#This Row],[Billing Zip/Postal Code]])</f>
        <v>808 South 11th Street, Bethany, MO, 64424</v>
      </c>
    </row>
    <row r="5034" spans="1:13" ht="15.6" hidden="1" x14ac:dyDescent="0.3">
      <c r="A5034" s="1" t="s">
        <v>14509</v>
      </c>
      <c r="B5034" s="1"/>
      <c r="C5034" s="1"/>
      <c r="D5034" s="1"/>
      <c r="E5034" s="1"/>
      <c r="F5034" s="1"/>
      <c r="G5034" s="1" t="s">
        <v>8</v>
      </c>
      <c r="H5034" s="2">
        <v>233</v>
      </c>
      <c r="I5034" s="1" t="s">
        <v>14510</v>
      </c>
      <c r="J5034" s="1" t="s">
        <v>100</v>
      </c>
      <c r="K5034" s="1" t="s">
        <v>11</v>
      </c>
      <c r="L5034" s="1" t="s">
        <v>2319</v>
      </c>
      <c r="M5034" s="6" t="str">
        <f>_xlfn.CONCAT(Table1[[#This Row],[Billing Street]], ", ", Table1[[#This Row],[Billing City]], ", ", Table1[[#This Row],[Billing State/Province]], ", ", Table1[[#This Row],[Billing Zip/Postal Code]])</f>
        <v>310 S Macon St, Albany, MO, 64402</v>
      </c>
    </row>
    <row r="5035" spans="1:13" ht="15.6" hidden="1" x14ac:dyDescent="0.3">
      <c r="A5035" s="1" t="s">
        <v>14511</v>
      </c>
      <c r="B5035" s="1"/>
      <c r="C5035" s="1"/>
      <c r="D5035" s="1"/>
      <c r="E5035" s="1"/>
      <c r="F5035" s="1"/>
      <c r="G5035" s="1" t="s">
        <v>8</v>
      </c>
      <c r="H5035" s="2">
        <v>227</v>
      </c>
      <c r="I5035" s="1" t="s">
        <v>14512</v>
      </c>
      <c r="J5035" s="1" t="s">
        <v>14513</v>
      </c>
      <c r="K5035" s="1" t="s">
        <v>11</v>
      </c>
      <c r="L5035" s="1" t="s">
        <v>14514</v>
      </c>
      <c r="M5035" s="6" t="str">
        <f>_xlfn.CONCAT(Table1[[#This Row],[Billing Street]], ", ", Table1[[#This Row],[Billing City]], ", ", Table1[[#This Row],[Billing State/Province]], ", ", Table1[[#This Row],[Billing Zip/Postal Code]])</f>
        <v>113 Main St, Stanberry, MO, 64489</v>
      </c>
    </row>
    <row r="5036" spans="1:13" ht="15.6" hidden="1" x14ac:dyDescent="0.3">
      <c r="A5036" s="1" t="s">
        <v>14515</v>
      </c>
      <c r="B5036" s="1"/>
      <c r="C5036" s="1"/>
      <c r="D5036" s="1"/>
      <c r="E5036" s="1"/>
      <c r="F5036" s="1"/>
      <c r="G5036" s="1" t="s">
        <v>8</v>
      </c>
      <c r="H5036" s="2">
        <v>233</v>
      </c>
      <c r="I5036" s="1" t="s">
        <v>14516</v>
      </c>
      <c r="J5036" s="1" t="s">
        <v>5769</v>
      </c>
      <c r="K5036" s="1" t="s">
        <v>11</v>
      </c>
      <c r="L5036" s="1" t="s">
        <v>5770</v>
      </c>
      <c r="M5036" s="6" t="str">
        <f>_xlfn.CONCAT(Table1[[#This Row],[Billing Street]], ", ", Table1[[#This Row],[Billing City]], ", ", Table1[[#This Row],[Billing State/Province]], ", ", Table1[[#This Row],[Billing Zip/Postal Code]])</f>
        <v>102 west clay street, Rock Port, MO, 64482</v>
      </c>
    </row>
    <row r="5037" spans="1:13" ht="15.6" hidden="1" x14ac:dyDescent="0.3">
      <c r="A5037" s="1" t="s">
        <v>14517</v>
      </c>
      <c r="B5037" s="1"/>
      <c r="C5037" s="1"/>
      <c r="D5037" s="1"/>
      <c r="E5037" s="1"/>
      <c r="F5037" s="1"/>
      <c r="G5037" s="1" t="s">
        <v>8</v>
      </c>
      <c r="H5037" s="2">
        <v>274</v>
      </c>
      <c r="I5037" s="1" t="s">
        <v>14518</v>
      </c>
      <c r="J5037" s="1" t="s">
        <v>8861</v>
      </c>
      <c r="K5037" s="1" t="s">
        <v>21</v>
      </c>
      <c r="L5037" s="1" t="s">
        <v>14519</v>
      </c>
      <c r="M5037" s="6" t="str">
        <f>_xlfn.CONCAT(Table1[[#This Row],[Billing Street]], ", ", Table1[[#This Row],[Billing City]], ", ", Table1[[#This Row],[Billing State/Province]], ", ", Table1[[#This Row],[Billing Zip/Postal Code]])</f>
        <v>415 Broad Ave, Stanton, IA, 51573</v>
      </c>
    </row>
    <row r="5038" spans="1:13" ht="15.6" hidden="1" x14ac:dyDescent="0.3">
      <c r="A5038" s="1" t="s">
        <v>14520</v>
      </c>
      <c r="B5038" s="1"/>
      <c r="C5038" s="1"/>
      <c r="D5038" s="1"/>
      <c r="E5038" s="1"/>
      <c r="F5038" s="1"/>
      <c r="G5038" s="1" t="s">
        <v>8</v>
      </c>
      <c r="H5038" s="2">
        <v>278</v>
      </c>
      <c r="I5038" s="1" t="s">
        <v>14521</v>
      </c>
      <c r="J5038" s="1" t="s">
        <v>9109</v>
      </c>
      <c r="K5038" s="1" t="s">
        <v>21</v>
      </c>
      <c r="L5038" s="1" t="s">
        <v>13</v>
      </c>
      <c r="M5038" s="6" t="str">
        <f>_xlfn.CONCAT(Table1[[#This Row],[Billing Street]], ", ", Table1[[#This Row],[Billing City]], ", ", Table1[[#This Row],[Billing State/Province]], ", ", Table1[[#This Row],[Billing Zip/Postal Code]])</f>
        <v xml:space="preserve">1801 Grove Avenue, Corning, IA, </v>
      </c>
    </row>
    <row r="5039" spans="1:13" ht="15.6" hidden="1" x14ac:dyDescent="0.3">
      <c r="A5039" s="1" t="s">
        <v>14522</v>
      </c>
      <c r="B5039" s="1"/>
      <c r="C5039" s="1"/>
      <c r="D5039" s="1"/>
      <c r="E5039" s="1"/>
      <c r="F5039" s="1"/>
      <c r="G5039" s="1" t="s">
        <v>43</v>
      </c>
      <c r="H5039" s="2">
        <v>525</v>
      </c>
      <c r="I5039" s="1" t="s">
        <v>14523</v>
      </c>
      <c r="J5039" s="1" t="s">
        <v>3924</v>
      </c>
      <c r="K5039" s="1" t="s">
        <v>133</v>
      </c>
      <c r="L5039" s="1" t="s">
        <v>14524</v>
      </c>
      <c r="M5039" s="6" t="str">
        <f>_xlfn.CONCAT(Table1[[#This Row],[Billing Street]], ", ", Table1[[#This Row],[Billing City]], ", ", Table1[[#This Row],[Billing State/Province]], ", ", Table1[[#This Row],[Billing Zip/Postal Code]])</f>
        <v>3200 East Ave South, La Crosse, WI, 54602</v>
      </c>
    </row>
    <row r="5040" spans="1:13" ht="15.6" hidden="1" x14ac:dyDescent="0.3">
      <c r="A5040" s="1" t="s">
        <v>14525</v>
      </c>
      <c r="B5040" s="1"/>
      <c r="C5040" s="1"/>
      <c r="D5040" s="1"/>
      <c r="E5040" s="1"/>
      <c r="F5040" s="1"/>
      <c r="G5040" s="1" t="s">
        <v>8</v>
      </c>
      <c r="H5040" s="2">
        <v>309</v>
      </c>
      <c r="I5040" s="1" t="s">
        <v>14526</v>
      </c>
      <c r="J5040" s="1" t="s">
        <v>14527</v>
      </c>
      <c r="K5040" s="1" t="s">
        <v>21</v>
      </c>
      <c r="L5040" s="1" t="s">
        <v>14528</v>
      </c>
      <c r="M5040" s="6" t="str">
        <f>_xlfn.CONCAT(Table1[[#This Row],[Billing Street]], ", ", Table1[[#This Row],[Billing City]], ", ", Table1[[#This Row],[Billing State/Province]], ", ", Table1[[#This Row],[Billing Zip/Postal Code]])</f>
        <v>321 N 1st Street, Winterset, IA, 50273</v>
      </c>
    </row>
    <row r="5041" spans="1:13" ht="15.6" hidden="1" x14ac:dyDescent="0.3">
      <c r="A5041" s="1" t="s">
        <v>14529</v>
      </c>
      <c r="B5041" s="1"/>
      <c r="C5041" s="1"/>
      <c r="D5041" s="1"/>
      <c r="E5041" s="1"/>
      <c r="F5041" s="1"/>
      <c r="G5041" s="1" t="s">
        <v>8</v>
      </c>
      <c r="H5041" s="2">
        <v>272</v>
      </c>
      <c r="I5041" s="1" t="s">
        <v>8391</v>
      </c>
      <c r="J5041" s="1" t="s">
        <v>14530</v>
      </c>
      <c r="K5041" s="1" t="s">
        <v>21</v>
      </c>
      <c r="L5041" s="1" t="s">
        <v>14531</v>
      </c>
      <c r="M5041" s="6" t="str">
        <f>_xlfn.CONCAT(Table1[[#This Row],[Billing Street]], ", ", Table1[[#This Row],[Billing City]], ", ", Table1[[#This Row],[Billing State/Province]], ", ", Table1[[#This Row],[Billing Zip/Postal Code]])</f>
        <v>205 S. Main Street, Lenox, IA, 50851</v>
      </c>
    </row>
    <row r="5042" spans="1:13" ht="15.6" hidden="1" x14ac:dyDescent="0.3">
      <c r="A5042" s="1" t="s">
        <v>14532</v>
      </c>
      <c r="B5042" s="1"/>
      <c r="C5042" s="1"/>
      <c r="D5042" s="1"/>
      <c r="E5042" s="1"/>
      <c r="F5042" s="1"/>
      <c r="G5042" s="1" t="s">
        <v>8</v>
      </c>
      <c r="H5042" s="2">
        <v>105</v>
      </c>
      <c r="I5042" s="1" t="s">
        <v>14533</v>
      </c>
      <c r="J5042" s="1" t="s">
        <v>660</v>
      </c>
      <c r="K5042" s="1" t="s">
        <v>11</v>
      </c>
      <c r="L5042" s="1" t="s">
        <v>661</v>
      </c>
      <c r="M5042" s="6" t="str">
        <f>_xlfn.CONCAT(Table1[[#This Row],[Billing Street]], ", ", Table1[[#This Row],[Billing City]], ", ", Table1[[#This Row],[Billing State/Province]], ", ", Table1[[#This Row],[Billing Zip/Postal Code]])</f>
        <v>135 W. Spring Street, El Dorado Springs, MO, 64744</v>
      </c>
    </row>
    <row r="5043" spans="1:13" ht="15.6" hidden="1" x14ac:dyDescent="0.3">
      <c r="A5043" s="1" t="s">
        <v>14534</v>
      </c>
      <c r="B5043" s="1"/>
      <c r="C5043" s="1"/>
      <c r="D5043" s="1"/>
      <c r="E5043" s="1"/>
      <c r="F5043" s="1"/>
      <c r="G5043" s="1" t="s">
        <v>8</v>
      </c>
      <c r="H5043" s="2">
        <v>264</v>
      </c>
      <c r="I5043" s="1" t="s">
        <v>14535</v>
      </c>
      <c r="J5043" s="1" t="s">
        <v>14536</v>
      </c>
      <c r="K5043" s="1" t="s">
        <v>21</v>
      </c>
      <c r="L5043" s="1" t="s">
        <v>14537</v>
      </c>
      <c r="M5043" s="6" t="str">
        <f>_xlfn.CONCAT(Table1[[#This Row],[Billing Street]], ", ", Table1[[#This Row],[Billing City]], ", ", Table1[[#This Row],[Billing State/Province]], ", ", Table1[[#This Row],[Billing Zip/Postal Code]])</f>
        <v>111 South Chestnut Street, Lamoni, IA, 50140</v>
      </c>
    </row>
    <row r="5044" spans="1:13" ht="15.6" hidden="1" x14ac:dyDescent="0.3">
      <c r="A5044" s="1" t="s">
        <v>14538</v>
      </c>
      <c r="B5044" s="1"/>
      <c r="C5044" s="1"/>
      <c r="D5044" s="1"/>
      <c r="E5044" s="1"/>
      <c r="F5044" s="1"/>
      <c r="G5044" s="1" t="s">
        <v>8</v>
      </c>
      <c r="H5044" s="2">
        <v>329</v>
      </c>
      <c r="I5044" s="1" t="s">
        <v>14539</v>
      </c>
      <c r="J5044" s="1" t="s">
        <v>14540</v>
      </c>
      <c r="K5044" s="1" t="s">
        <v>21</v>
      </c>
      <c r="L5044" s="1" t="s">
        <v>14541</v>
      </c>
      <c r="M5044" s="6" t="str">
        <f>_xlfn.CONCAT(Table1[[#This Row],[Billing Street]], ", ", Table1[[#This Row],[Billing City]], ", ", Table1[[#This Row],[Billing State/Province]], ", ", Table1[[#This Row],[Billing Zip/Postal Code]])</f>
        <v>405 Railroad, Carlisle, IA, 50047</v>
      </c>
    </row>
    <row r="5045" spans="1:13" ht="15.6" hidden="1" x14ac:dyDescent="0.3">
      <c r="A5045" s="1" t="s">
        <v>14542</v>
      </c>
      <c r="B5045" s="1"/>
      <c r="C5045" s="1"/>
      <c r="D5045" s="1"/>
      <c r="E5045" s="1"/>
      <c r="F5045" s="1"/>
      <c r="G5045" s="1" t="s">
        <v>8</v>
      </c>
      <c r="H5045" s="2">
        <v>338</v>
      </c>
      <c r="I5045" s="1" t="s">
        <v>14543</v>
      </c>
      <c r="J5045" s="1" t="s">
        <v>4430</v>
      </c>
      <c r="K5045" s="1" t="s">
        <v>21</v>
      </c>
      <c r="L5045" s="1" t="s">
        <v>14544</v>
      </c>
      <c r="M5045" s="6" t="str">
        <f>_xlfn.CONCAT(Table1[[#This Row],[Billing Street]], ", ", Table1[[#This Row],[Billing City]], ", ", Table1[[#This Row],[Billing State/Province]], ", ", Table1[[#This Row],[Billing Zip/Postal Code]])</f>
        <v>123 3rd Avenue South, Coon Rapids, IA, 50058</v>
      </c>
    </row>
    <row r="5046" spans="1:13" ht="15.6" hidden="1" x14ac:dyDescent="0.3">
      <c r="A5046" s="1" t="s">
        <v>14545</v>
      </c>
      <c r="B5046" s="1"/>
      <c r="C5046" s="1"/>
      <c r="D5046" s="1"/>
      <c r="E5046" s="1"/>
      <c r="F5046" s="1"/>
      <c r="G5046" s="1" t="s">
        <v>8</v>
      </c>
      <c r="H5046" s="2">
        <v>405</v>
      </c>
      <c r="I5046" s="1" t="s">
        <v>14546</v>
      </c>
      <c r="J5046" s="1" t="s">
        <v>2527</v>
      </c>
      <c r="K5046" s="1" t="s">
        <v>21</v>
      </c>
      <c r="L5046" s="1" t="s">
        <v>14547</v>
      </c>
      <c r="M5046" s="6" t="str">
        <f>_xlfn.CONCAT(Table1[[#This Row],[Billing Street]], ", ", Table1[[#This Row],[Billing City]], ", ", Table1[[#This Row],[Billing State/Province]], ", ", Table1[[#This Row],[Billing Zip/Postal Code]])</f>
        <v>407 Lynn Street, Tipton, IA, 52772</v>
      </c>
    </row>
    <row r="5047" spans="1:13" ht="15.6" hidden="1" x14ac:dyDescent="0.3">
      <c r="A5047" s="1" t="s">
        <v>14548</v>
      </c>
      <c r="B5047" s="1"/>
      <c r="C5047" s="1"/>
      <c r="D5047" s="1"/>
      <c r="E5047" s="1"/>
      <c r="F5047" s="1"/>
      <c r="G5047" s="1" t="s">
        <v>8</v>
      </c>
      <c r="H5047" s="2">
        <v>412</v>
      </c>
      <c r="I5047" s="1" t="s">
        <v>14549</v>
      </c>
      <c r="J5047" s="1" t="s">
        <v>5806</v>
      </c>
      <c r="K5047" s="1" t="s">
        <v>21</v>
      </c>
      <c r="L5047" s="1" t="s">
        <v>5807</v>
      </c>
      <c r="M5047" s="6" t="str">
        <f>_xlfn.CONCAT(Table1[[#This Row],[Billing Street]], ", ", Table1[[#This Row],[Billing City]], ", ", Table1[[#This Row],[Billing State/Province]], ", ", Table1[[#This Row],[Billing Zip/Postal Code]])</f>
        <v>1505 Albany Pl SE, Orange City, IA, 51041</v>
      </c>
    </row>
    <row r="5048" spans="1:13" ht="15.6" hidden="1" x14ac:dyDescent="0.3">
      <c r="A5048" s="1" t="s">
        <v>14550</v>
      </c>
      <c r="B5048" s="1"/>
      <c r="C5048" s="1"/>
      <c r="D5048" s="1"/>
      <c r="E5048" s="1"/>
      <c r="F5048" s="1"/>
      <c r="G5048" s="1" t="s">
        <v>8</v>
      </c>
      <c r="H5048" s="2">
        <v>325</v>
      </c>
      <c r="I5048" s="1" t="s">
        <v>14551</v>
      </c>
      <c r="J5048" s="1" t="s">
        <v>9588</v>
      </c>
      <c r="K5048" s="1" t="s">
        <v>21</v>
      </c>
      <c r="L5048" s="1" t="s">
        <v>9589</v>
      </c>
      <c r="M5048" s="6" t="str">
        <f>_xlfn.CONCAT(Table1[[#This Row],[Billing Street]], ", ", Table1[[#This Row],[Billing City]], ", ", Table1[[#This Row],[Billing State/Province]], ", ", Table1[[#This Row],[Billing Zip/Postal Code]])</f>
        <v>105 Enterprise Dr., Woodbine, IA, 51579</v>
      </c>
    </row>
    <row r="5049" spans="1:13" ht="15.6" hidden="1" x14ac:dyDescent="0.3">
      <c r="A5049" s="1" t="s">
        <v>14552</v>
      </c>
      <c r="B5049" s="1"/>
      <c r="C5049" s="1"/>
      <c r="D5049" s="1"/>
      <c r="E5049" s="1"/>
      <c r="F5049" s="1"/>
      <c r="G5049" s="1" t="s">
        <v>8</v>
      </c>
      <c r="H5049" s="2">
        <v>428</v>
      </c>
      <c r="I5049" s="1" t="s">
        <v>14553</v>
      </c>
      <c r="J5049" s="1" t="s">
        <v>7556</v>
      </c>
      <c r="K5049" s="1" t="s">
        <v>21</v>
      </c>
      <c r="L5049" s="1" t="s">
        <v>14554</v>
      </c>
      <c r="M5049" s="6" t="str">
        <f>_xlfn.CONCAT(Table1[[#This Row],[Billing Street]], ", ", Table1[[#This Row],[Billing City]], ", ", Table1[[#This Row],[Billing State/Province]], ", ", Table1[[#This Row],[Billing Zip/Postal Code]])</f>
        <v>1002 Adams Pkwy, Waverly, IA, 50677</v>
      </c>
    </row>
    <row r="5050" spans="1:13" ht="15.6" hidden="1" x14ac:dyDescent="0.3">
      <c r="A5050" s="1" t="s">
        <v>14555</v>
      </c>
      <c r="B5050" s="1"/>
      <c r="C5050" s="1"/>
      <c r="D5050" s="1"/>
      <c r="E5050" s="1"/>
      <c r="F5050" s="1"/>
      <c r="G5050" s="1" t="s">
        <v>8</v>
      </c>
      <c r="H5050" s="2">
        <v>441</v>
      </c>
      <c r="I5050" s="1" t="s">
        <v>14556</v>
      </c>
      <c r="J5050" s="1" t="s">
        <v>14557</v>
      </c>
      <c r="K5050" s="1" t="s">
        <v>21</v>
      </c>
      <c r="L5050" s="1" t="s">
        <v>14558</v>
      </c>
      <c r="M5050" s="6" t="str">
        <f>_xlfn.CONCAT(Table1[[#This Row],[Billing Street]], ", ", Table1[[#This Row],[Billing City]], ", ", Table1[[#This Row],[Billing State/Province]], ", ", Table1[[#This Row],[Billing Zip/Postal Code]])</f>
        <v>702 S 1st St, Estherville, IA, 51334</v>
      </c>
    </row>
    <row r="5051" spans="1:13" ht="15.6" hidden="1" x14ac:dyDescent="0.3">
      <c r="A5051" s="1" t="s">
        <v>14559</v>
      </c>
      <c r="B5051" s="1"/>
      <c r="C5051" s="1"/>
      <c r="D5051" s="1"/>
      <c r="E5051" s="1"/>
      <c r="F5051" s="1"/>
      <c r="G5051" s="1" t="s">
        <v>8</v>
      </c>
      <c r="H5051" s="2">
        <v>334</v>
      </c>
      <c r="I5051" s="1" t="s">
        <v>14560</v>
      </c>
      <c r="J5051" s="1" t="s">
        <v>3325</v>
      </c>
      <c r="K5051" s="1" t="s">
        <v>21</v>
      </c>
      <c r="L5051" s="1" t="s">
        <v>3326</v>
      </c>
      <c r="M5051" s="6" t="str">
        <f>_xlfn.CONCAT(Table1[[#This Row],[Billing Street]], ", ", Table1[[#This Row],[Billing City]], ", ", Table1[[#This Row],[Billing State/Province]], ", ", Table1[[#This Row],[Billing Zip/Postal Code]])</f>
        <v>2615 Washington St, Pella, IA, 50219</v>
      </c>
    </row>
    <row r="5052" spans="1:13" ht="15.6" hidden="1" x14ac:dyDescent="0.3">
      <c r="A5052" s="1" t="s">
        <v>14561</v>
      </c>
      <c r="B5052" s="1"/>
      <c r="C5052" s="1"/>
      <c r="D5052" s="1"/>
      <c r="E5052" s="1"/>
      <c r="F5052" s="1"/>
      <c r="G5052" s="1" t="s">
        <v>8</v>
      </c>
      <c r="H5052" s="2">
        <v>334</v>
      </c>
      <c r="I5052" s="1" t="s">
        <v>14562</v>
      </c>
      <c r="J5052" s="1" t="s">
        <v>3325</v>
      </c>
      <c r="K5052" s="1" t="s">
        <v>21</v>
      </c>
      <c r="L5052" s="1" t="s">
        <v>3326</v>
      </c>
      <c r="M5052" s="6" t="str">
        <f>_xlfn.CONCAT(Table1[[#This Row],[Billing Street]], ", ", Table1[[#This Row],[Billing City]], ", ", Table1[[#This Row],[Billing State/Province]], ", ", Table1[[#This Row],[Billing Zip/Postal Code]])</f>
        <v>222 Truman Road, Pella, IA, 50219</v>
      </c>
    </row>
    <row r="5053" spans="1:13" ht="15.6" hidden="1" x14ac:dyDescent="0.3">
      <c r="A5053" s="1" t="s">
        <v>14563</v>
      </c>
      <c r="B5053" s="1"/>
      <c r="C5053" s="1"/>
      <c r="D5053" s="1"/>
      <c r="E5053" s="1"/>
      <c r="F5053" s="1"/>
      <c r="G5053" s="1" t="s">
        <v>8</v>
      </c>
      <c r="H5053" s="2">
        <v>388</v>
      </c>
      <c r="I5053" s="1" t="s">
        <v>14564</v>
      </c>
      <c r="J5053" s="1" t="s">
        <v>13942</v>
      </c>
      <c r="K5053" s="1" t="s">
        <v>21</v>
      </c>
      <c r="L5053" s="1" t="s">
        <v>13943</v>
      </c>
      <c r="M5053" s="6" t="str">
        <f>_xlfn.CONCAT(Table1[[#This Row],[Billing Street]], ", ", Table1[[#This Row],[Billing City]], ", ", Table1[[#This Row],[Billing State/Province]], ", ", Table1[[#This Row],[Billing Zip/Postal Code]])</f>
        <v>309 3rd St, Webster City, IA, 50595</v>
      </c>
    </row>
    <row r="5054" spans="1:13" ht="15.6" hidden="1" x14ac:dyDescent="0.3">
      <c r="A5054" s="1" t="s">
        <v>14565</v>
      </c>
      <c r="B5054" s="1"/>
      <c r="C5054" s="1"/>
      <c r="D5054" s="1"/>
      <c r="E5054" s="1"/>
      <c r="F5054" s="1"/>
      <c r="G5054" s="1" t="s">
        <v>43</v>
      </c>
      <c r="H5054" s="2">
        <v>270</v>
      </c>
      <c r="I5054" s="1" t="s">
        <v>14566</v>
      </c>
      <c r="J5054" s="1" t="s">
        <v>261</v>
      </c>
      <c r="K5054" s="1" t="s">
        <v>237</v>
      </c>
      <c r="L5054" s="1" t="s">
        <v>14375</v>
      </c>
      <c r="M5054" s="6" t="str">
        <f>_xlfn.CONCAT(Table1[[#This Row],[Billing Street]], ", ", Table1[[#This Row],[Billing City]], ", ", Table1[[#This Row],[Billing State/Province]], ", ", Table1[[#This Row],[Billing Zip/Postal Code]])</f>
        <v>1509 S Senate Avenue, Indianapolis, IN, 46225</v>
      </c>
    </row>
    <row r="5055" spans="1:13" ht="15.6" hidden="1" x14ac:dyDescent="0.3">
      <c r="A5055" s="1" t="s">
        <v>14567</v>
      </c>
      <c r="B5055" s="1"/>
      <c r="C5055" s="1"/>
      <c r="D5055" s="1"/>
      <c r="E5055" s="1"/>
      <c r="F5055" s="1"/>
      <c r="G5055" s="1" t="s">
        <v>8</v>
      </c>
      <c r="H5055" s="2">
        <v>350</v>
      </c>
      <c r="I5055" s="1" t="s">
        <v>14568</v>
      </c>
      <c r="J5055" s="1" t="s">
        <v>8267</v>
      </c>
      <c r="K5055" s="1" t="s">
        <v>21</v>
      </c>
      <c r="L5055" s="1" t="s">
        <v>14569</v>
      </c>
      <c r="M5055" s="6" t="str">
        <f>_xlfn.CONCAT(Table1[[#This Row],[Billing Street]], ", ", Table1[[#This Row],[Billing City]], ", ", Table1[[#This Row],[Billing State/Province]], ", ", Table1[[#This Row],[Billing Zip/Postal Code]])</f>
        <v>1005 E Lincoln Way, Jefferson, IA, 50129</v>
      </c>
    </row>
    <row r="5056" spans="1:13" ht="15.6" x14ac:dyDescent="0.3">
      <c r="A5056" s="1" t="s">
        <v>14570</v>
      </c>
      <c r="B5056" s="1"/>
      <c r="C5056" s="1"/>
      <c r="D5056" s="1"/>
      <c r="E5056" s="1"/>
      <c r="F5056" s="1"/>
      <c r="G5056" s="1" t="s">
        <v>24</v>
      </c>
      <c r="H5056" s="2">
        <v>192</v>
      </c>
      <c r="I5056" s="1" t="s">
        <v>14571</v>
      </c>
      <c r="J5056" s="1" t="s">
        <v>14572</v>
      </c>
      <c r="K5056" s="1" t="s">
        <v>31</v>
      </c>
      <c r="L5056" s="1" t="s">
        <v>14573</v>
      </c>
      <c r="M5056" s="6" t="str">
        <f>_xlfn.CONCAT(Table1[[#This Row],[Billing Street]], ", ", Table1[[#This Row],[Billing City]], ", ", Table1[[#This Row],[Billing State/Province]], ", ", Table1[[#This Row],[Billing Zip/Postal Code]])</f>
        <v>7685 Kiln Delisle Rd, Pass Christian, MS, 39751-0430</v>
      </c>
    </row>
    <row r="5057" spans="1:13" ht="15.6" hidden="1" x14ac:dyDescent="0.3">
      <c r="A5057" s="1" t="s">
        <v>14574</v>
      </c>
      <c r="B5057" s="1"/>
      <c r="C5057" s="1"/>
      <c r="D5057" s="1"/>
      <c r="E5057" s="1"/>
      <c r="F5057" s="1"/>
      <c r="G5057" s="1" t="s">
        <v>8</v>
      </c>
      <c r="H5057" s="2">
        <v>94</v>
      </c>
      <c r="I5057" s="1" t="s">
        <v>14575</v>
      </c>
      <c r="J5057" s="1" t="s">
        <v>14576</v>
      </c>
      <c r="K5057" s="1" t="s">
        <v>11</v>
      </c>
      <c r="L5057" s="1" t="s">
        <v>14577</v>
      </c>
      <c r="M5057" s="6" t="str">
        <f>_xlfn.CONCAT(Table1[[#This Row],[Billing Street]], ", ", Table1[[#This Row],[Billing City]], ", ", Table1[[#This Row],[Billing State/Province]], ", ", Table1[[#This Row],[Billing Zip/Postal Code]])</f>
        <v>217 Fifth Street, Monett, MO, 65708</v>
      </c>
    </row>
    <row r="5058" spans="1:13" ht="15.6" x14ac:dyDescent="0.3">
      <c r="A5058" s="1" t="s">
        <v>14578</v>
      </c>
      <c r="B5058" s="1"/>
      <c r="C5058" s="1"/>
      <c r="D5058" s="1"/>
      <c r="E5058" s="1"/>
      <c r="F5058" s="1"/>
      <c r="G5058" s="1" t="s">
        <v>24</v>
      </c>
      <c r="H5058" s="2">
        <v>391</v>
      </c>
      <c r="I5058" s="1" t="s">
        <v>14579</v>
      </c>
      <c r="J5058" s="1" t="s">
        <v>5369</v>
      </c>
      <c r="K5058" s="1" t="s">
        <v>577</v>
      </c>
      <c r="L5058" s="1" t="s">
        <v>5370</v>
      </c>
      <c r="M5058" s="6" t="str">
        <f>_xlfn.CONCAT(Table1[[#This Row],[Billing Street]], ", ", Table1[[#This Row],[Billing City]], ", ", Table1[[#This Row],[Billing State/Province]], ", ", Table1[[#This Row],[Billing Zip/Postal Code]])</f>
        <v>214 East Nezpique Street, Jennings, LA, 70546</v>
      </c>
    </row>
    <row r="5059" spans="1:13" ht="15.6" hidden="1" x14ac:dyDescent="0.3">
      <c r="A5059" s="1" t="s">
        <v>14580</v>
      </c>
      <c r="B5059" s="1"/>
      <c r="C5059" s="1"/>
      <c r="D5059" s="1"/>
      <c r="E5059" s="1"/>
      <c r="F5059" s="1"/>
      <c r="G5059" s="1" t="s">
        <v>8</v>
      </c>
      <c r="H5059" s="2">
        <v>420</v>
      </c>
      <c r="I5059" s="1" t="s">
        <v>14581</v>
      </c>
      <c r="J5059" s="1" t="s">
        <v>14582</v>
      </c>
      <c r="K5059" s="1" t="s">
        <v>21</v>
      </c>
      <c r="L5059" s="1" t="s">
        <v>14583</v>
      </c>
      <c r="M5059" s="6" t="str">
        <f>_xlfn.CONCAT(Table1[[#This Row],[Billing Street]], ", ", Table1[[#This Row],[Billing City]], ", ", Table1[[#This Row],[Billing State/Province]], ", ", Table1[[#This Row],[Billing Zip/Postal Code]])</f>
        <v>109 N Huber St, Anamosa, IA, 52205</v>
      </c>
    </row>
    <row r="5060" spans="1:13" ht="15.6" hidden="1" x14ac:dyDescent="0.3">
      <c r="A5060" s="1" t="s">
        <v>14584</v>
      </c>
      <c r="B5060" s="1"/>
      <c r="C5060" s="1"/>
      <c r="D5060" s="1"/>
      <c r="E5060" s="1"/>
      <c r="F5060" s="1"/>
      <c r="G5060" s="1" t="s">
        <v>8</v>
      </c>
      <c r="H5060" s="2">
        <v>288</v>
      </c>
      <c r="I5060" s="1" t="s">
        <v>14585</v>
      </c>
      <c r="J5060" s="1" t="s">
        <v>14586</v>
      </c>
      <c r="K5060" s="1" t="s">
        <v>165</v>
      </c>
      <c r="L5060" s="1" t="s">
        <v>14587</v>
      </c>
      <c r="M5060" s="6" t="str">
        <f>_xlfn.CONCAT(Table1[[#This Row],[Billing Street]], ", ", Table1[[#This Row],[Billing City]], ", ", Table1[[#This Row],[Billing State/Province]], ", ", Table1[[#This Row],[Billing Zip/Postal Code]])</f>
        <v>146 Highway 146 Spur, Stuttgart, AR, 72160</v>
      </c>
    </row>
    <row r="5061" spans="1:13" ht="15.6" hidden="1" x14ac:dyDescent="0.3">
      <c r="A5061" s="1" t="s">
        <v>14588</v>
      </c>
      <c r="B5061" s="1"/>
      <c r="C5061" s="1"/>
      <c r="D5061" s="1"/>
      <c r="E5061" s="1"/>
      <c r="F5061" s="1"/>
      <c r="G5061" s="1" t="s">
        <v>8</v>
      </c>
      <c r="H5061" s="2">
        <v>436</v>
      </c>
      <c r="I5061" s="1" t="s">
        <v>14589</v>
      </c>
      <c r="J5061" s="1" t="s">
        <v>14590</v>
      </c>
      <c r="K5061" s="1" t="s">
        <v>21</v>
      </c>
      <c r="L5061" s="1" t="s">
        <v>14591</v>
      </c>
      <c r="M5061" s="6" t="str">
        <f>_xlfn.CONCAT(Table1[[#This Row],[Billing Street]], ", ", Table1[[#This Row],[Billing City]], ", ", Table1[[#This Row],[Billing State/Province]], ", ", Table1[[#This Row],[Billing Zip/Postal Code]])</f>
        <v>201 E Pleasant St, Maquoketa, IA, 52060</v>
      </c>
    </row>
    <row r="5062" spans="1:13" ht="15.6" hidden="1" x14ac:dyDescent="0.3">
      <c r="A5062" s="1" t="s">
        <v>14592</v>
      </c>
      <c r="B5062" s="1"/>
      <c r="C5062" s="1"/>
      <c r="D5062" s="1"/>
      <c r="E5062" s="1"/>
      <c r="F5062" s="1"/>
      <c r="G5062" s="1" t="s">
        <v>8</v>
      </c>
      <c r="H5062" s="2">
        <v>389</v>
      </c>
      <c r="I5062" s="1" t="s">
        <v>14593</v>
      </c>
      <c r="J5062" s="1" t="s">
        <v>12885</v>
      </c>
      <c r="K5062" s="1" t="s">
        <v>21</v>
      </c>
      <c r="L5062" s="1" t="s">
        <v>12886</v>
      </c>
      <c r="M5062" s="6" t="str">
        <f>_xlfn.CONCAT(Table1[[#This Row],[Billing Street]], ", ", Table1[[#This Row],[Billing City]], ", ", Table1[[#This Row],[Billing State/Province]], ", ", Table1[[#This Row],[Billing Zip/Postal Code]])</f>
        <v>3205 Cedar Street, Muscatine, IA, 52761</v>
      </c>
    </row>
    <row r="5063" spans="1:13" ht="15.6" hidden="1" x14ac:dyDescent="0.3">
      <c r="A5063" s="1" t="s">
        <v>14594</v>
      </c>
      <c r="B5063" s="1"/>
      <c r="C5063" s="1"/>
      <c r="D5063" s="1"/>
      <c r="E5063" s="1"/>
      <c r="F5063" s="1"/>
      <c r="G5063" s="1" t="s">
        <v>8</v>
      </c>
      <c r="H5063" s="2">
        <v>351</v>
      </c>
      <c r="I5063" s="1" t="s">
        <v>14595</v>
      </c>
      <c r="J5063" s="1" t="s">
        <v>8759</v>
      </c>
      <c r="K5063" s="1" t="s">
        <v>21</v>
      </c>
      <c r="L5063" s="1" t="s">
        <v>8760</v>
      </c>
      <c r="M5063" s="6" t="str">
        <f>_xlfn.CONCAT(Table1[[#This Row],[Billing Street]], ", ", Table1[[#This Row],[Billing City]], ", ", Table1[[#This Row],[Billing State/Province]], ", ", Table1[[#This Row],[Billing Zip/Postal Code]])</f>
        <v>28725 Highway 30, Glidden, IA, 51443</v>
      </c>
    </row>
    <row r="5064" spans="1:13" ht="15.6" hidden="1" x14ac:dyDescent="0.3">
      <c r="A5064" s="1" t="s">
        <v>14596</v>
      </c>
      <c r="B5064" s="1"/>
      <c r="C5064" s="1"/>
      <c r="D5064" s="1"/>
      <c r="E5064" s="1"/>
      <c r="F5064" s="1"/>
      <c r="G5064" s="1" t="s">
        <v>8</v>
      </c>
      <c r="H5064" s="2">
        <v>348</v>
      </c>
      <c r="I5064" s="1" t="s">
        <v>14597</v>
      </c>
      <c r="J5064" s="1" t="s">
        <v>1628</v>
      </c>
      <c r="K5064" s="1" t="s">
        <v>21</v>
      </c>
      <c r="L5064" s="1" t="s">
        <v>14598</v>
      </c>
      <c r="M5064" s="6" t="str">
        <f>_xlfn.CONCAT(Table1[[#This Row],[Billing Street]], ", ", Table1[[#This Row],[Billing City]], ", ", Table1[[#This Row],[Billing State/Province]], ", ", Table1[[#This Row],[Billing Zip/Postal Code]])</f>
        <v>1800 W. Washington Street, Mt. Pleasant, IA, 52641</v>
      </c>
    </row>
    <row r="5065" spans="1:13" ht="15.6" hidden="1" x14ac:dyDescent="0.3">
      <c r="A5065" s="1" t="s">
        <v>14599</v>
      </c>
      <c r="B5065" s="1"/>
      <c r="C5065" s="1"/>
      <c r="D5065" s="1"/>
      <c r="E5065" s="1"/>
      <c r="F5065" s="1"/>
      <c r="G5065" s="1" t="s">
        <v>8</v>
      </c>
      <c r="H5065" s="2">
        <v>355</v>
      </c>
      <c r="I5065" s="1" t="s">
        <v>14600</v>
      </c>
      <c r="J5065" s="1" t="s">
        <v>3047</v>
      </c>
      <c r="K5065" s="1" t="s">
        <v>21</v>
      </c>
      <c r="L5065" s="1" t="s">
        <v>14601</v>
      </c>
      <c r="M5065" s="6" t="str">
        <f>_xlfn.CONCAT(Table1[[#This Row],[Billing Street]], ", ", Table1[[#This Row],[Billing City]], ", ", Table1[[#This Row],[Billing State/Province]], ", ", Table1[[#This Row],[Billing Zip/Postal Code]])</f>
        <v>501 E Main Street, Montezuma, IA, 50171</v>
      </c>
    </row>
    <row r="5066" spans="1:13" ht="15.6" hidden="1" x14ac:dyDescent="0.3">
      <c r="A5066" s="1" t="s">
        <v>14602</v>
      </c>
      <c r="B5066" s="1"/>
      <c r="C5066" s="1"/>
      <c r="D5066" s="1"/>
      <c r="E5066" s="1"/>
      <c r="F5066" s="1"/>
      <c r="G5066" s="1" t="s">
        <v>8</v>
      </c>
      <c r="H5066" s="2">
        <v>182</v>
      </c>
      <c r="I5066" s="1" t="s">
        <v>14603</v>
      </c>
      <c r="J5066" s="1" t="s">
        <v>2185</v>
      </c>
      <c r="K5066" s="1" t="s">
        <v>554</v>
      </c>
      <c r="L5066" s="1" t="s">
        <v>2186</v>
      </c>
      <c r="M5066" s="6" t="str">
        <f>_xlfn.CONCAT(Table1[[#This Row],[Billing Street]], ", ", Table1[[#This Row],[Billing City]], ", ", Table1[[#This Row],[Billing State/Province]], ", ", Table1[[#This Row],[Billing Zip/Postal Code]])</f>
        <v>1712 Central, Horton, KS, 66439</v>
      </c>
    </row>
    <row r="5067" spans="1:13" ht="15.6" x14ac:dyDescent="0.3">
      <c r="A5067" s="1" t="s">
        <v>14604</v>
      </c>
      <c r="B5067" s="1"/>
      <c r="C5067" s="1"/>
      <c r="D5067" s="1"/>
      <c r="E5067" s="1"/>
      <c r="F5067" s="1"/>
      <c r="G5067" s="1" t="s">
        <v>24</v>
      </c>
      <c r="H5067" s="2">
        <v>306</v>
      </c>
      <c r="I5067" s="1" t="s">
        <v>14605</v>
      </c>
      <c r="J5067" s="1" t="s">
        <v>637</v>
      </c>
      <c r="K5067" s="1" t="s">
        <v>577</v>
      </c>
      <c r="L5067" s="1" t="s">
        <v>14606</v>
      </c>
      <c r="M5067" s="6" t="str">
        <f>_xlfn.CONCAT(Table1[[#This Row],[Billing Street]], ", ", Table1[[#This Row],[Billing City]], ", ", Table1[[#This Row],[Billing State/Province]], ", ", Table1[[#This Row],[Billing Zip/Postal Code]])</f>
        <v>1476 Highway 61, Jackson, LA, 70748</v>
      </c>
    </row>
    <row r="5068" spans="1:13" ht="15.6" hidden="1" x14ac:dyDescent="0.3">
      <c r="A5068" s="1" t="s">
        <v>14607</v>
      </c>
      <c r="B5068" s="1"/>
      <c r="C5068" s="1"/>
      <c r="D5068" s="1"/>
      <c r="E5068" s="1"/>
      <c r="F5068" s="1"/>
      <c r="G5068" s="1" t="s">
        <v>43</v>
      </c>
      <c r="H5068" s="2">
        <v>5776</v>
      </c>
      <c r="I5068" s="1" t="s">
        <v>14608</v>
      </c>
      <c r="J5068" s="1" t="s">
        <v>14609</v>
      </c>
      <c r="K5068" s="1" t="s">
        <v>781</v>
      </c>
      <c r="L5068" s="1" t="s">
        <v>14610</v>
      </c>
      <c r="M5068" s="6" t="str">
        <f>_xlfn.CONCAT(Table1[[#This Row],[Billing Street]], ", ", Table1[[#This Row],[Billing City]], ", ", Table1[[#This Row],[Billing State/Province]], ", ", Table1[[#This Row],[Billing Zip/Postal Code]])</f>
        <v>32 sproul Rd, frazer, pa, 19355</v>
      </c>
    </row>
    <row r="5069" spans="1:13" ht="15.6" hidden="1" x14ac:dyDescent="0.3">
      <c r="A5069" s="1" t="s">
        <v>14611</v>
      </c>
      <c r="B5069" s="1"/>
      <c r="C5069" s="1"/>
      <c r="D5069" s="1"/>
      <c r="E5069" s="1"/>
      <c r="F5069" s="1"/>
      <c r="G5069" s="1" t="s">
        <v>8</v>
      </c>
      <c r="H5069" s="2">
        <v>366</v>
      </c>
      <c r="I5069" s="1" t="s">
        <v>14612</v>
      </c>
      <c r="J5069" s="1" t="s">
        <v>14613</v>
      </c>
      <c r="K5069" s="1" t="s">
        <v>21</v>
      </c>
      <c r="L5069" s="1" t="s">
        <v>9521</v>
      </c>
      <c r="M5069" s="6" t="str">
        <f>_xlfn.CONCAT(Table1[[#This Row],[Billing Street]], ", ", Table1[[#This Row],[Billing City]], ", ", Table1[[#This Row],[Billing State/Province]], ", ", Table1[[#This Row],[Billing Zip/Postal Code]])</f>
        <v>612 W. Des Moines St., Brookllyn, IA, 52211</v>
      </c>
    </row>
    <row r="5070" spans="1:13" ht="15.6" hidden="1" x14ac:dyDescent="0.3">
      <c r="A5070" s="1" t="s">
        <v>14614</v>
      </c>
      <c r="B5070" s="1"/>
      <c r="C5070" s="1"/>
      <c r="D5070" s="1"/>
      <c r="E5070" s="1"/>
      <c r="F5070" s="1"/>
      <c r="G5070" s="1" t="s">
        <v>98</v>
      </c>
      <c r="H5070" s="2">
        <v>5887</v>
      </c>
      <c r="I5070" s="1" t="s">
        <v>13</v>
      </c>
      <c r="J5070" s="1" t="s">
        <v>14615</v>
      </c>
      <c r="K5070" s="1" t="s">
        <v>101</v>
      </c>
      <c r="L5070" s="1" t="s">
        <v>13</v>
      </c>
      <c r="M5070" s="6" t="str">
        <f>_xlfn.CONCAT(Table1[[#This Row],[Billing Street]], ", ", Table1[[#This Row],[Billing City]], ", ", Table1[[#This Row],[Billing State/Province]], ", ", Table1[[#This Row],[Billing Zip/Postal Code]])</f>
        <v xml:space="preserve">, Elberton, GA, </v>
      </c>
    </row>
    <row r="5071" spans="1:13" ht="15.6" hidden="1" x14ac:dyDescent="0.3">
      <c r="A5071" s="1" t="s">
        <v>14616</v>
      </c>
      <c r="B5071" s="1"/>
      <c r="C5071" s="1"/>
      <c r="D5071" s="1"/>
      <c r="E5071" s="1"/>
      <c r="F5071" s="1"/>
      <c r="G5071" s="1" t="s">
        <v>8</v>
      </c>
      <c r="H5071" s="2">
        <v>394</v>
      </c>
      <c r="I5071" s="1" t="s">
        <v>14617</v>
      </c>
      <c r="J5071" s="1" t="s">
        <v>14618</v>
      </c>
      <c r="K5071" s="1" t="s">
        <v>21</v>
      </c>
      <c r="L5071" s="1" t="s">
        <v>14619</v>
      </c>
      <c r="M5071" s="6" t="str">
        <f>_xlfn.CONCAT(Table1[[#This Row],[Billing Street]], ", ", Table1[[#This Row],[Billing City]], ", ", Table1[[#This Row],[Billing State/Province]], ", ", Table1[[#This Row],[Billing Zip/Postal Code]])</f>
        <v>649 2nd St., Traer, IA, 50675</v>
      </c>
    </row>
    <row r="5072" spans="1:13" ht="15.6" hidden="1" x14ac:dyDescent="0.3">
      <c r="A5072" s="1" t="s">
        <v>14620</v>
      </c>
      <c r="B5072" s="1"/>
      <c r="C5072" s="1"/>
      <c r="D5072" s="1"/>
      <c r="E5072" s="1"/>
      <c r="F5072" s="1"/>
      <c r="G5072" s="1" t="s">
        <v>8</v>
      </c>
      <c r="H5072" s="2">
        <v>6528</v>
      </c>
      <c r="I5072" s="1" t="s">
        <v>13</v>
      </c>
      <c r="J5072" s="1" t="s">
        <v>13</v>
      </c>
      <c r="K5072" s="1" t="s">
        <v>21</v>
      </c>
      <c r="L5072" s="1" t="s">
        <v>13</v>
      </c>
      <c r="M5072" s="6" t="str">
        <f>_xlfn.CONCAT(Table1[[#This Row],[Billing Street]], ", ", Table1[[#This Row],[Billing City]], ", ", Table1[[#This Row],[Billing State/Province]], ", ", Table1[[#This Row],[Billing Zip/Postal Code]])</f>
        <v xml:space="preserve">, , IA, </v>
      </c>
    </row>
    <row r="5073" spans="1:13" ht="15.6" hidden="1" x14ac:dyDescent="0.3">
      <c r="A5073" s="1" t="s">
        <v>14621</v>
      </c>
      <c r="B5073" s="1"/>
      <c r="C5073" s="1"/>
      <c r="D5073" s="1"/>
      <c r="E5073" s="1"/>
      <c r="F5073" s="1"/>
      <c r="G5073" s="1" t="s">
        <v>8</v>
      </c>
      <c r="H5073" s="2">
        <v>408</v>
      </c>
      <c r="I5073" s="1" t="s">
        <v>14622</v>
      </c>
      <c r="J5073" s="1" t="s">
        <v>14623</v>
      </c>
      <c r="K5073" s="1" t="s">
        <v>21</v>
      </c>
      <c r="L5073" s="1" t="s">
        <v>14624</v>
      </c>
      <c r="M5073" s="6" t="str">
        <f>_xlfn.CONCAT(Table1[[#This Row],[Billing Street]], ", ", Table1[[#This Row],[Billing City]], ", ", Table1[[#This Row],[Billing State/Province]], ", ", Table1[[#This Row],[Billing Zip/Postal Code]])</f>
        <v>200 Main St, La Porte City, IA, 50651</v>
      </c>
    </row>
    <row r="5074" spans="1:13" ht="15.6" hidden="1" x14ac:dyDescent="0.3">
      <c r="A5074" s="1" t="s">
        <v>14625</v>
      </c>
      <c r="B5074" s="1"/>
      <c r="C5074" s="1"/>
      <c r="D5074" s="1"/>
      <c r="E5074" s="1"/>
      <c r="F5074" s="1"/>
      <c r="G5074" s="1" t="s">
        <v>8</v>
      </c>
      <c r="H5074" s="2">
        <v>302</v>
      </c>
      <c r="I5074" s="1" t="s">
        <v>14626</v>
      </c>
      <c r="J5074" s="1" t="s">
        <v>6934</v>
      </c>
      <c r="K5074" s="1" t="s">
        <v>21</v>
      </c>
      <c r="L5074" s="1" t="s">
        <v>7000</v>
      </c>
      <c r="M5074" s="6" t="str">
        <f>_xlfn.CONCAT(Table1[[#This Row],[Billing Street]], ", ", Table1[[#This Row],[Billing City]], ", ", Table1[[#This Row],[Billing State/Province]], ", ", Table1[[#This Row],[Billing Zip/Postal Code]])</f>
        <v>2389 IA-92, Greenfield, IA, 50849</v>
      </c>
    </row>
    <row r="5075" spans="1:13" ht="15.6" hidden="1" x14ac:dyDescent="0.3">
      <c r="A5075" s="1" t="s">
        <v>14627</v>
      </c>
      <c r="B5075" s="1"/>
      <c r="C5075" s="1"/>
      <c r="D5075" s="1"/>
      <c r="E5075" s="1"/>
      <c r="F5075" s="1"/>
      <c r="G5075" s="1" t="s">
        <v>8</v>
      </c>
      <c r="H5075" s="2">
        <v>431</v>
      </c>
      <c r="I5075" s="1" t="s">
        <v>14628</v>
      </c>
      <c r="J5075" s="1" t="s">
        <v>14629</v>
      </c>
      <c r="K5075" s="1" t="s">
        <v>21</v>
      </c>
      <c r="L5075" s="1" t="s">
        <v>14630</v>
      </c>
      <c r="M5075" s="6" t="str">
        <f>_xlfn.CONCAT(Table1[[#This Row],[Billing Street]], ", ", Table1[[#This Row],[Billing City]], ", ", Table1[[#This Row],[Billing State/Province]], ", ", Table1[[#This Row],[Billing Zip/Postal Code]])</f>
        <v>116 East Main Street, Fairbank, IA, 50629</v>
      </c>
    </row>
    <row r="5076" spans="1:13" ht="15.6" hidden="1" x14ac:dyDescent="0.3">
      <c r="A5076" s="1" t="s">
        <v>14631</v>
      </c>
      <c r="B5076" s="1"/>
      <c r="C5076" s="1"/>
      <c r="D5076" s="1"/>
      <c r="E5076" s="1"/>
      <c r="F5076" s="1"/>
      <c r="G5076" s="1" t="s">
        <v>8</v>
      </c>
      <c r="H5076" s="2">
        <v>409</v>
      </c>
      <c r="I5076" s="1" t="s">
        <v>14632</v>
      </c>
      <c r="J5076" s="1" t="s">
        <v>8661</v>
      </c>
      <c r="K5076" s="1" t="s">
        <v>21</v>
      </c>
      <c r="L5076" s="1" t="s">
        <v>8662</v>
      </c>
      <c r="M5076" s="6" t="str">
        <f>_xlfn.CONCAT(Table1[[#This Row],[Billing Street]], ", ", Table1[[#This Row],[Billing City]], ", ", Table1[[#This Row],[Billing State/Province]], ", ", Table1[[#This Row],[Billing Zip/Postal Code]])</f>
        <v>PO Box 71, Renwick, IA, 50577</v>
      </c>
    </row>
    <row r="5077" spans="1:13" ht="15.6" hidden="1" x14ac:dyDescent="0.3">
      <c r="A5077" s="1" t="s">
        <v>14633</v>
      </c>
      <c r="B5077" s="1"/>
      <c r="C5077" s="1"/>
      <c r="D5077" s="1"/>
      <c r="E5077" s="1"/>
      <c r="F5077" s="1"/>
      <c r="G5077" s="1" t="s">
        <v>8</v>
      </c>
      <c r="H5077" s="2">
        <v>412</v>
      </c>
      <c r="I5077" s="1" t="s">
        <v>14634</v>
      </c>
      <c r="J5077" s="1" t="s">
        <v>14635</v>
      </c>
      <c r="K5077" s="1" t="s">
        <v>21</v>
      </c>
      <c r="L5077" s="1" t="s">
        <v>14636</v>
      </c>
      <c r="M5077" s="6" t="str">
        <f>_xlfn.CONCAT(Table1[[#This Row],[Billing Street]], ", ", Table1[[#This Row],[Billing City]], ", ", Table1[[#This Row],[Billing State/Province]], ", ", Table1[[#This Row],[Billing Zip/Postal Code]])</f>
        <v>905 3rd Avenue, Alton, IA, 51003</v>
      </c>
    </row>
    <row r="5078" spans="1:13" ht="15.6" hidden="1" x14ac:dyDescent="0.3">
      <c r="A5078" s="1" t="s">
        <v>14637</v>
      </c>
      <c r="B5078" s="1"/>
      <c r="C5078" s="1"/>
      <c r="D5078" s="1"/>
      <c r="E5078" s="1"/>
      <c r="F5078" s="1"/>
      <c r="G5078" s="1" t="s">
        <v>8</v>
      </c>
      <c r="H5078" s="2">
        <v>338</v>
      </c>
      <c r="I5078" s="1" t="s">
        <v>14638</v>
      </c>
      <c r="J5078" s="1" t="s">
        <v>14639</v>
      </c>
      <c r="K5078" s="1" t="s">
        <v>21</v>
      </c>
      <c r="L5078" s="1" t="s">
        <v>14640</v>
      </c>
      <c r="M5078" s="6" t="str">
        <f>_xlfn.CONCAT(Table1[[#This Row],[Billing Street]], ", ", Table1[[#This Row],[Billing City]], ", ", Table1[[#This Row],[Billing State/Province]], ", ", Table1[[#This Row],[Billing Zip/Postal Code]])</f>
        <v>321 Center Street, Manning, IA, 51455</v>
      </c>
    </row>
    <row r="5079" spans="1:13" ht="15.6" x14ac:dyDescent="0.3">
      <c r="A5079" s="1" t="s">
        <v>14641</v>
      </c>
      <c r="B5079" s="1"/>
      <c r="C5079" s="1"/>
      <c r="D5079" s="1"/>
      <c r="E5079" s="1"/>
      <c r="F5079" s="1"/>
      <c r="G5079" s="1" t="s">
        <v>24</v>
      </c>
      <c r="H5079" s="2">
        <v>5988</v>
      </c>
      <c r="I5079" s="1" t="s">
        <v>13</v>
      </c>
      <c r="J5079" s="1" t="s">
        <v>9221</v>
      </c>
      <c r="K5079" s="1" t="s">
        <v>26</v>
      </c>
      <c r="L5079" s="1" t="s">
        <v>13</v>
      </c>
      <c r="M5079" s="6" t="str">
        <f>_xlfn.CONCAT(Table1[[#This Row],[Billing Street]], ", ", Table1[[#This Row],[Billing City]], ", ", Table1[[#This Row],[Billing State/Province]], ", ", Table1[[#This Row],[Billing Zip/Postal Code]])</f>
        <v xml:space="preserve">, Fairhope, AL, </v>
      </c>
    </row>
    <row r="5080" spans="1:13" ht="15.6" hidden="1" x14ac:dyDescent="0.3">
      <c r="A5080" s="1" t="s">
        <v>14642</v>
      </c>
      <c r="B5080" s="1"/>
      <c r="C5080" s="1"/>
      <c r="D5080" s="1"/>
      <c r="E5080" s="1"/>
      <c r="F5080" s="1"/>
      <c r="G5080" s="1" t="s">
        <v>13</v>
      </c>
      <c r="H5080" s="2">
        <v>0</v>
      </c>
      <c r="I5080" s="1" t="s">
        <v>14643</v>
      </c>
      <c r="J5080" s="1" t="s">
        <v>6979</v>
      </c>
      <c r="K5080" s="1" t="s">
        <v>13</v>
      </c>
      <c r="L5080" s="1" t="s">
        <v>14644</v>
      </c>
      <c r="M5080" s="6" t="str">
        <f>_xlfn.CONCAT(Table1[[#This Row],[Billing Street]], ", ", Table1[[#This Row],[Billing City]], ", ", Table1[[#This Row],[Billing State/Province]], ", ", Table1[[#This Row],[Billing Zip/Postal Code]])</f>
        <v>780 School House Rd, New Castle, , 19726</v>
      </c>
    </row>
    <row r="5081" spans="1:13" ht="15.6" hidden="1" x14ac:dyDescent="0.3">
      <c r="A5081" s="1" t="s">
        <v>528</v>
      </c>
      <c r="B5081" s="1"/>
      <c r="C5081" s="1"/>
      <c r="D5081" s="1"/>
      <c r="E5081" s="1"/>
      <c r="F5081" s="1"/>
      <c r="G5081" s="1" t="s">
        <v>13</v>
      </c>
      <c r="H5081" s="2">
        <v>0</v>
      </c>
      <c r="I5081" s="1" t="s">
        <v>13</v>
      </c>
      <c r="J5081" s="1" t="s">
        <v>13</v>
      </c>
      <c r="K5081" s="1" t="s">
        <v>13</v>
      </c>
      <c r="L5081" s="1" t="s">
        <v>13</v>
      </c>
      <c r="M5081" s="6" t="str">
        <f>_xlfn.CONCAT(Table1[[#This Row],[Billing Street]], ", ", Table1[[#This Row],[Billing City]], ", ", Table1[[#This Row],[Billing State/Province]], ", ", Table1[[#This Row],[Billing Zip/Postal Code]])</f>
        <v xml:space="preserve">, , , </v>
      </c>
    </row>
    <row r="5082" spans="1:13" ht="15.6" hidden="1" x14ac:dyDescent="0.3">
      <c r="A5082" s="1" t="s">
        <v>14645</v>
      </c>
      <c r="B5082" s="1"/>
      <c r="C5082" s="1"/>
      <c r="D5082" s="1"/>
      <c r="E5082" s="1"/>
      <c r="F5082" s="1"/>
      <c r="G5082" s="1" t="s">
        <v>13</v>
      </c>
      <c r="H5082" s="2">
        <v>0</v>
      </c>
      <c r="I5082" s="1" t="s">
        <v>13</v>
      </c>
      <c r="J5082" s="1" t="s">
        <v>13</v>
      </c>
      <c r="K5082" s="1" t="s">
        <v>13</v>
      </c>
      <c r="L5082" s="1" t="s">
        <v>13</v>
      </c>
      <c r="M5082" s="6" t="str">
        <f>_xlfn.CONCAT(Table1[[#This Row],[Billing Street]], ", ", Table1[[#This Row],[Billing City]], ", ", Table1[[#This Row],[Billing State/Province]], ", ", Table1[[#This Row],[Billing Zip/Postal Code]])</f>
        <v xml:space="preserve">, , , </v>
      </c>
    </row>
    <row r="5083" spans="1:13" ht="15.6" x14ac:dyDescent="0.3">
      <c r="A5083" s="1" t="s">
        <v>14646</v>
      </c>
      <c r="B5083" s="1"/>
      <c r="C5083" s="1"/>
      <c r="D5083" s="1"/>
      <c r="E5083" s="1"/>
      <c r="F5083" s="1"/>
      <c r="G5083" s="1" t="s">
        <v>24</v>
      </c>
      <c r="H5083" s="2">
        <v>253</v>
      </c>
      <c r="I5083" s="1" t="s">
        <v>13481</v>
      </c>
      <c r="J5083" s="1" t="s">
        <v>14647</v>
      </c>
      <c r="K5083" s="1" t="s">
        <v>577</v>
      </c>
      <c r="L5083" s="1" t="s">
        <v>4088</v>
      </c>
      <c r="M5083" s="6" t="str">
        <f>_xlfn.CONCAT(Table1[[#This Row],[Billing Street]], ", ", Table1[[#This Row],[Billing City]], ", ", Table1[[#This Row],[Billing State/Province]], ", ", Table1[[#This Row],[Billing Zip/Postal Code]])</f>
        <v>10800 River Road, Waggaman, LA, 70094</v>
      </c>
    </row>
    <row r="5084" spans="1:13" ht="15.6" hidden="1" x14ac:dyDescent="0.3">
      <c r="A5084" s="1" t="s">
        <v>14648</v>
      </c>
      <c r="B5084" s="1"/>
      <c r="C5084" s="1"/>
      <c r="D5084" s="1"/>
      <c r="E5084" s="1"/>
      <c r="F5084" s="1"/>
      <c r="G5084" s="1" t="s">
        <v>13</v>
      </c>
      <c r="H5084" s="2">
        <v>0</v>
      </c>
      <c r="I5084" s="1" t="s">
        <v>13</v>
      </c>
      <c r="J5084" s="1" t="s">
        <v>13</v>
      </c>
      <c r="K5084" s="1" t="s">
        <v>13</v>
      </c>
      <c r="L5084" s="1" t="s">
        <v>13</v>
      </c>
      <c r="M5084" s="6" t="str">
        <f>_xlfn.CONCAT(Table1[[#This Row],[Billing Street]], ", ", Table1[[#This Row],[Billing City]], ", ", Table1[[#This Row],[Billing State/Province]], ", ", Table1[[#This Row],[Billing Zip/Postal Code]])</f>
        <v xml:space="preserve">, , , </v>
      </c>
    </row>
    <row r="5085" spans="1:13" ht="15.6" hidden="1" x14ac:dyDescent="0.3">
      <c r="A5085" s="1" t="s">
        <v>14649</v>
      </c>
      <c r="B5085" s="1"/>
      <c r="C5085" s="1"/>
      <c r="D5085" s="1"/>
      <c r="E5085" s="1"/>
      <c r="F5085" s="1"/>
      <c r="G5085" s="1" t="s">
        <v>8</v>
      </c>
      <c r="H5085" s="2">
        <v>284</v>
      </c>
      <c r="I5085" s="1" t="s">
        <v>14650</v>
      </c>
      <c r="J5085" s="1" t="s">
        <v>9102</v>
      </c>
      <c r="K5085" s="1" t="s">
        <v>165</v>
      </c>
      <c r="L5085" s="1" t="s">
        <v>9103</v>
      </c>
      <c r="M5085" s="6" t="str">
        <f>_xlfn.CONCAT(Table1[[#This Row],[Billing Street]], ", ", Table1[[#This Row],[Billing City]], ", ", Table1[[#This Row],[Billing State/Province]], ", ", Table1[[#This Row],[Billing Zip/Postal Code]])</f>
        <v>305 N Floyd St, Jonesboro, AR, 72401</v>
      </c>
    </row>
    <row r="5086" spans="1:13" ht="15.6" hidden="1" x14ac:dyDescent="0.3">
      <c r="A5086" s="1" t="s">
        <v>14651</v>
      </c>
      <c r="B5086" s="1"/>
      <c r="C5086" s="1"/>
      <c r="D5086" s="1"/>
      <c r="E5086" s="1"/>
      <c r="F5086" s="1"/>
      <c r="G5086" s="1" t="s">
        <v>43</v>
      </c>
      <c r="H5086" s="2">
        <v>164</v>
      </c>
      <c r="I5086" s="1" t="s">
        <v>14652</v>
      </c>
      <c r="J5086" s="1" t="s">
        <v>14653</v>
      </c>
      <c r="K5086" s="1" t="s">
        <v>3373</v>
      </c>
      <c r="L5086" s="1" t="s">
        <v>14654</v>
      </c>
      <c r="M5086" s="6" t="str">
        <f>_xlfn.CONCAT(Table1[[#This Row],[Billing Street]], ", ", Table1[[#This Row],[Billing City]], ", ", Table1[[#This Row],[Billing State/Province]], ", ", Table1[[#This Row],[Billing Zip/Postal Code]])</f>
        <v>10282 Rick Spring Rd, West Valley, Ny, 14171</v>
      </c>
    </row>
    <row r="5087" spans="1:13" ht="15.6" hidden="1" x14ac:dyDescent="0.3">
      <c r="A5087" s="1" t="s">
        <v>14655</v>
      </c>
      <c r="B5087" s="1"/>
      <c r="C5087" s="1"/>
      <c r="D5087" s="1"/>
      <c r="E5087" s="1"/>
      <c r="F5087" s="1"/>
      <c r="G5087" s="1" t="s">
        <v>43</v>
      </c>
      <c r="H5087" s="2">
        <v>316</v>
      </c>
      <c r="I5087" s="1" t="s">
        <v>14656</v>
      </c>
      <c r="J5087" s="1" t="s">
        <v>14657</v>
      </c>
      <c r="K5087" s="1" t="s">
        <v>3373</v>
      </c>
      <c r="L5087" s="1" t="s">
        <v>14658</v>
      </c>
      <c r="M5087" s="6" t="str">
        <f>_xlfn.CONCAT(Table1[[#This Row],[Billing Street]], ", ", Table1[[#This Row],[Billing City]], ", ", Table1[[#This Row],[Billing State/Province]], ", ", Table1[[#This Row],[Billing Zip/Postal Code]])</f>
        <v>1 commercial Dr, Canastota, Ny, 13032</v>
      </c>
    </row>
    <row r="5088" spans="1:13" ht="15.6" hidden="1" x14ac:dyDescent="0.3">
      <c r="A5088" s="1" t="s">
        <v>14659</v>
      </c>
      <c r="B5088" s="1"/>
      <c r="C5088" s="1"/>
      <c r="D5088" s="1"/>
      <c r="E5088" s="1"/>
      <c r="F5088" s="1"/>
      <c r="G5088" s="1" t="s">
        <v>13</v>
      </c>
      <c r="H5088" s="2">
        <v>0</v>
      </c>
      <c r="I5088" s="1" t="s">
        <v>13</v>
      </c>
      <c r="J5088" s="1" t="s">
        <v>13</v>
      </c>
      <c r="K5088" s="1" t="s">
        <v>13</v>
      </c>
      <c r="L5088" s="1" t="s">
        <v>13</v>
      </c>
      <c r="M5088" s="6" t="str">
        <f>_xlfn.CONCAT(Table1[[#This Row],[Billing Street]], ", ", Table1[[#This Row],[Billing City]], ", ", Table1[[#This Row],[Billing State/Province]], ", ", Table1[[#This Row],[Billing Zip/Postal Code]])</f>
        <v xml:space="preserve">, , , </v>
      </c>
    </row>
    <row r="5089" spans="1:13" ht="15.6" hidden="1" x14ac:dyDescent="0.3">
      <c r="A5089" s="1" t="s">
        <v>14660</v>
      </c>
      <c r="B5089" s="1"/>
      <c r="C5089" s="1"/>
      <c r="D5089" s="1"/>
      <c r="E5089" s="1"/>
      <c r="F5089" s="1"/>
      <c r="G5089" s="1" t="s">
        <v>13</v>
      </c>
      <c r="H5089" s="2">
        <v>0</v>
      </c>
      <c r="I5089" s="1" t="s">
        <v>13</v>
      </c>
      <c r="J5089" s="1" t="s">
        <v>13</v>
      </c>
      <c r="K5089" s="1" t="s">
        <v>13</v>
      </c>
      <c r="L5089" s="1" t="s">
        <v>13</v>
      </c>
      <c r="M5089" s="6" t="str">
        <f>_xlfn.CONCAT(Table1[[#This Row],[Billing Street]], ", ", Table1[[#This Row],[Billing City]], ", ", Table1[[#This Row],[Billing State/Province]], ", ", Table1[[#This Row],[Billing Zip/Postal Code]])</f>
        <v xml:space="preserve">, , , </v>
      </c>
    </row>
    <row r="5090" spans="1:13" ht="15.6" hidden="1" x14ac:dyDescent="0.3">
      <c r="A5090" s="1" t="s">
        <v>14661</v>
      </c>
      <c r="B5090" s="1"/>
      <c r="C5090" s="1"/>
      <c r="D5090" s="1"/>
      <c r="E5090" s="1"/>
      <c r="F5090" s="1"/>
      <c r="G5090" s="1" t="s">
        <v>13</v>
      </c>
      <c r="H5090" s="2">
        <v>0</v>
      </c>
      <c r="I5090" s="1" t="s">
        <v>13</v>
      </c>
      <c r="J5090" s="1" t="s">
        <v>13</v>
      </c>
      <c r="K5090" s="1" t="s">
        <v>13</v>
      </c>
      <c r="L5090" s="1" t="s">
        <v>13</v>
      </c>
      <c r="M5090" s="6" t="str">
        <f>_xlfn.CONCAT(Table1[[#This Row],[Billing Street]], ", ", Table1[[#This Row],[Billing City]], ", ", Table1[[#This Row],[Billing State/Province]], ", ", Table1[[#This Row],[Billing Zip/Postal Code]])</f>
        <v xml:space="preserve">, , , </v>
      </c>
    </row>
    <row r="5091" spans="1:13" ht="15.6" hidden="1" x14ac:dyDescent="0.3">
      <c r="A5091" s="1" t="s">
        <v>14662</v>
      </c>
      <c r="B5091" s="1"/>
      <c r="C5091" s="1"/>
      <c r="D5091" s="1"/>
      <c r="E5091" s="1"/>
      <c r="F5091" s="1"/>
      <c r="G5091" s="1" t="s">
        <v>13</v>
      </c>
      <c r="H5091" s="2">
        <v>0</v>
      </c>
      <c r="I5091" s="1" t="s">
        <v>13</v>
      </c>
      <c r="J5091" s="1" t="s">
        <v>13</v>
      </c>
      <c r="K5091" s="1" t="s">
        <v>13</v>
      </c>
      <c r="L5091" s="1" t="s">
        <v>13</v>
      </c>
      <c r="M5091" s="6" t="str">
        <f>_xlfn.CONCAT(Table1[[#This Row],[Billing Street]], ", ", Table1[[#This Row],[Billing City]], ", ", Table1[[#This Row],[Billing State/Province]], ", ", Table1[[#This Row],[Billing Zip/Postal Code]])</f>
        <v xml:space="preserve">, , , </v>
      </c>
    </row>
    <row r="5092" spans="1:13" ht="15.6" hidden="1" x14ac:dyDescent="0.3">
      <c r="A5092" s="1" t="s">
        <v>14663</v>
      </c>
      <c r="B5092" s="1"/>
      <c r="C5092" s="1"/>
      <c r="D5092" s="1"/>
      <c r="E5092" s="1"/>
      <c r="F5092" s="1"/>
      <c r="G5092" s="1" t="s">
        <v>13</v>
      </c>
      <c r="H5092" s="2">
        <v>0</v>
      </c>
      <c r="I5092" s="1" t="s">
        <v>14664</v>
      </c>
      <c r="J5092" s="1" t="s">
        <v>26</v>
      </c>
      <c r="K5092" s="1" t="s">
        <v>13</v>
      </c>
      <c r="L5092" s="1" t="s">
        <v>13</v>
      </c>
      <c r="M5092" s="6" t="str">
        <f>_xlfn.CONCAT(Table1[[#This Row],[Billing Street]], ", ", Table1[[#This Row],[Billing City]], ", ", Table1[[#This Row],[Billing State/Province]], ", ", Table1[[#This Row],[Billing Zip/Postal Code]])</f>
        <v xml:space="preserve">Hollywood, AL 35752, AL, , </v>
      </c>
    </row>
    <row r="5093" spans="1:13" ht="15.6" hidden="1" x14ac:dyDescent="0.3">
      <c r="A5093" s="1" t="s">
        <v>14665</v>
      </c>
      <c r="B5093" s="1"/>
      <c r="C5093" s="1"/>
      <c r="D5093" s="1"/>
      <c r="E5093" s="1"/>
      <c r="F5093" s="1"/>
      <c r="G5093" s="1" t="s">
        <v>13</v>
      </c>
      <c r="H5093" s="2">
        <v>0</v>
      </c>
      <c r="I5093" s="1" t="s">
        <v>13</v>
      </c>
      <c r="J5093" s="1" t="s">
        <v>13</v>
      </c>
      <c r="K5093" s="1" t="s">
        <v>13</v>
      </c>
      <c r="L5093" s="1" t="s">
        <v>13</v>
      </c>
      <c r="M5093" s="6" t="str">
        <f>_xlfn.CONCAT(Table1[[#This Row],[Billing Street]], ", ", Table1[[#This Row],[Billing City]], ", ", Table1[[#This Row],[Billing State/Province]], ", ", Table1[[#This Row],[Billing Zip/Postal Code]])</f>
        <v xml:space="preserve">, , , </v>
      </c>
    </row>
    <row r="5094" spans="1:13" ht="15.6" hidden="1" x14ac:dyDescent="0.3">
      <c r="A5094" s="1" t="s">
        <v>14666</v>
      </c>
      <c r="B5094" s="1"/>
      <c r="C5094" s="1"/>
      <c r="D5094" s="1"/>
      <c r="E5094" s="1"/>
      <c r="F5094" s="1"/>
      <c r="G5094" s="1" t="s">
        <v>13</v>
      </c>
      <c r="H5094" s="2">
        <v>0</v>
      </c>
      <c r="I5094" s="1" t="s">
        <v>13</v>
      </c>
      <c r="J5094" s="1" t="s">
        <v>13</v>
      </c>
      <c r="K5094" s="1" t="s">
        <v>13</v>
      </c>
      <c r="L5094" s="1" t="s">
        <v>13</v>
      </c>
      <c r="M5094" s="6" t="str">
        <f>_xlfn.CONCAT(Table1[[#This Row],[Billing Street]], ", ", Table1[[#This Row],[Billing City]], ", ", Table1[[#This Row],[Billing State/Province]], ", ", Table1[[#This Row],[Billing Zip/Postal Code]])</f>
        <v xml:space="preserve">, , , </v>
      </c>
    </row>
    <row r="5095" spans="1:13" ht="15.6" hidden="1" x14ac:dyDescent="0.3">
      <c r="A5095" s="1" t="s">
        <v>14667</v>
      </c>
      <c r="B5095" s="1"/>
      <c r="C5095" s="1"/>
      <c r="D5095" s="1"/>
      <c r="E5095" s="1"/>
      <c r="F5095" s="1"/>
      <c r="G5095" s="1" t="s">
        <v>13</v>
      </c>
      <c r="H5095" s="2">
        <v>0</v>
      </c>
      <c r="I5095" s="1" t="s">
        <v>13</v>
      </c>
      <c r="J5095" s="1" t="s">
        <v>13</v>
      </c>
      <c r="K5095" s="1" t="s">
        <v>13</v>
      </c>
      <c r="L5095" s="1" t="s">
        <v>13</v>
      </c>
      <c r="M5095" s="6" t="str">
        <f>_xlfn.CONCAT(Table1[[#This Row],[Billing Street]], ", ", Table1[[#This Row],[Billing City]], ", ", Table1[[#This Row],[Billing State/Province]], ", ", Table1[[#This Row],[Billing Zip/Postal Code]])</f>
        <v xml:space="preserve">, , , </v>
      </c>
    </row>
    <row r="5096" spans="1:13" ht="15.6" hidden="1" x14ac:dyDescent="0.3">
      <c r="A5096" s="1" t="s">
        <v>14668</v>
      </c>
      <c r="B5096" s="1"/>
      <c r="C5096" s="1"/>
      <c r="D5096" s="1"/>
      <c r="E5096" s="1"/>
      <c r="F5096" s="1"/>
      <c r="G5096" s="1" t="s">
        <v>13</v>
      </c>
      <c r="H5096" s="2">
        <v>0</v>
      </c>
      <c r="I5096" s="1" t="s">
        <v>13</v>
      </c>
      <c r="J5096" s="1" t="s">
        <v>13</v>
      </c>
      <c r="K5096" s="1" t="s">
        <v>13</v>
      </c>
      <c r="L5096" s="1" t="s">
        <v>13</v>
      </c>
      <c r="M5096" s="6" t="str">
        <f>_xlfn.CONCAT(Table1[[#This Row],[Billing Street]], ", ", Table1[[#This Row],[Billing City]], ", ", Table1[[#This Row],[Billing State/Province]], ", ", Table1[[#This Row],[Billing Zip/Postal Code]])</f>
        <v xml:space="preserve">, , , </v>
      </c>
    </row>
    <row r="5097" spans="1:13" ht="15.6" hidden="1" x14ac:dyDescent="0.3">
      <c r="A5097" s="1" t="s">
        <v>14669</v>
      </c>
      <c r="B5097" s="1"/>
      <c r="C5097" s="1"/>
      <c r="D5097" s="1"/>
      <c r="E5097" s="1"/>
      <c r="F5097" s="1"/>
      <c r="G5097" s="1" t="s">
        <v>13</v>
      </c>
      <c r="H5097" s="2">
        <v>0</v>
      </c>
      <c r="I5097" s="1" t="s">
        <v>13</v>
      </c>
      <c r="J5097" s="1" t="s">
        <v>13</v>
      </c>
      <c r="K5097" s="1" t="s">
        <v>13</v>
      </c>
      <c r="L5097" s="1" t="s">
        <v>13</v>
      </c>
      <c r="M5097" s="6" t="str">
        <f>_xlfn.CONCAT(Table1[[#This Row],[Billing Street]], ", ", Table1[[#This Row],[Billing City]], ", ", Table1[[#This Row],[Billing State/Province]], ", ", Table1[[#This Row],[Billing Zip/Postal Code]])</f>
        <v xml:space="preserve">, , , </v>
      </c>
    </row>
    <row r="5098" spans="1:13" ht="15.6" hidden="1" x14ac:dyDescent="0.3">
      <c r="A5098" s="1" t="s">
        <v>14670</v>
      </c>
      <c r="B5098" s="1"/>
      <c r="C5098" s="1"/>
      <c r="D5098" s="1"/>
      <c r="E5098" s="1"/>
      <c r="F5098" s="1"/>
      <c r="G5098" s="1" t="s">
        <v>13</v>
      </c>
      <c r="H5098" s="2">
        <v>0</v>
      </c>
      <c r="I5098" s="1" t="s">
        <v>13</v>
      </c>
      <c r="J5098" s="1" t="s">
        <v>13</v>
      </c>
      <c r="K5098" s="1" t="s">
        <v>13</v>
      </c>
      <c r="L5098" s="1" t="s">
        <v>13</v>
      </c>
      <c r="M5098" s="6" t="str">
        <f>_xlfn.CONCAT(Table1[[#This Row],[Billing Street]], ", ", Table1[[#This Row],[Billing City]], ", ", Table1[[#This Row],[Billing State/Province]], ", ", Table1[[#This Row],[Billing Zip/Postal Code]])</f>
        <v xml:space="preserve">, , , </v>
      </c>
    </row>
    <row r="5099" spans="1:13" ht="15.6" hidden="1" x14ac:dyDescent="0.3">
      <c r="A5099" s="1" t="s">
        <v>14671</v>
      </c>
      <c r="B5099" s="1"/>
      <c r="C5099" s="1"/>
      <c r="D5099" s="1"/>
      <c r="E5099" s="1"/>
      <c r="F5099" s="1"/>
      <c r="G5099" s="1" t="s">
        <v>13</v>
      </c>
      <c r="H5099" s="2">
        <v>0</v>
      </c>
      <c r="I5099" s="1" t="s">
        <v>13</v>
      </c>
      <c r="J5099" s="1" t="s">
        <v>13</v>
      </c>
      <c r="K5099" s="1" t="s">
        <v>13</v>
      </c>
      <c r="L5099" s="1" t="s">
        <v>13</v>
      </c>
      <c r="M5099" s="6" t="str">
        <f>_xlfn.CONCAT(Table1[[#This Row],[Billing Street]], ", ", Table1[[#This Row],[Billing City]], ", ", Table1[[#This Row],[Billing State/Province]], ", ", Table1[[#This Row],[Billing Zip/Postal Code]])</f>
        <v xml:space="preserve">, , , </v>
      </c>
    </row>
    <row r="5100" spans="1:13" ht="15.6" hidden="1" x14ac:dyDescent="0.3">
      <c r="A5100" s="1" t="s">
        <v>14672</v>
      </c>
      <c r="B5100" s="1"/>
      <c r="C5100" s="1"/>
      <c r="D5100" s="1"/>
      <c r="E5100" s="1"/>
      <c r="F5100" s="1"/>
      <c r="G5100" s="1" t="s">
        <v>13</v>
      </c>
      <c r="H5100" s="2">
        <v>0</v>
      </c>
      <c r="I5100" s="1" t="s">
        <v>13</v>
      </c>
      <c r="J5100" s="1" t="s">
        <v>13</v>
      </c>
      <c r="K5100" s="1" t="s">
        <v>13</v>
      </c>
      <c r="L5100" s="1" t="s">
        <v>13</v>
      </c>
      <c r="M5100" s="6" t="str">
        <f>_xlfn.CONCAT(Table1[[#This Row],[Billing Street]], ", ", Table1[[#This Row],[Billing City]], ", ", Table1[[#This Row],[Billing State/Province]], ", ", Table1[[#This Row],[Billing Zip/Postal Code]])</f>
        <v xml:space="preserve">, , , </v>
      </c>
    </row>
    <row r="5101" spans="1:13" ht="15.6" hidden="1" x14ac:dyDescent="0.3">
      <c r="A5101" s="1" t="s">
        <v>14673</v>
      </c>
      <c r="B5101" s="1"/>
      <c r="C5101" s="1"/>
      <c r="D5101" s="1"/>
      <c r="E5101" s="1"/>
      <c r="F5101" s="1"/>
      <c r="G5101" s="1" t="s">
        <v>13</v>
      </c>
      <c r="H5101" s="2">
        <v>0</v>
      </c>
      <c r="I5101" s="1" t="s">
        <v>13</v>
      </c>
      <c r="J5101" s="1" t="s">
        <v>13</v>
      </c>
      <c r="K5101" s="1" t="s">
        <v>13</v>
      </c>
      <c r="L5101" s="1" t="s">
        <v>13</v>
      </c>
      <c r="M5101" s="6" t="str">
        <f>_xlfn.CONCAT(Table1[[#This Row],[Billing Street]], ", ", Table1[[#This Row],[Billing City]], ", ", Table1[[#This Row],[Billing State/Province]], ", ", Table1[[#This Row],[Billing Zip/Postal Code]])</f>
        <v xml:space="preserve">, , , </v>
      </c>
    </row>
    <row r="5102" spans="1:13" ht="15.6" hidden="1" x14ac:dyDescent="0.3">
      <c r="A5102" s="1" t="s">
        <v>14674</v>
      </c>
      <c r="B5102" s="1"/>
      <c r="C5102" s="1"/>
      <c r="D5102" s="1"/>
      <c r="E5102" s="1"/>
      <c r="F5102" s="1"/>
      <c r="G5102" s="1" t="s">
        <v>13</v>
      </c>
      <c r="H5102" s="2">
        <v>0</v>
      </c>
      <c r="I5102" s="1" t="s">
        <v>13</v>
      </c>
      <c r="J5102" s="1" t="s">
        <v>13</v>
      </c>
      <c r="K5102" s="1" t="s">
        <v>13</v>
      </c>
      <c r="L5102" s="1" t="s">
        <v>13</v>
      </c>
      <c r="M5102" s="6" t="str">
        <f>_xlfn.CONCAT(Table1[[#This Row],[Billing Street]], ", ", Table1[[#This Row],[Billing City]], ", ", Table1[[#This Row],[Billing State/Province]], ", ", Table1[[#This Row],[Billing Zip/Postal Code]])</f>
        <v xml:space="preserve">, , , </v>
      </c>
    </row>
    <row r="5103" spans="1:13" ht="15.6" hidden="1" x14ac:dyDescent="0.3">
      <c r="A5103" s="1" t="s">
        <v>14675</v>
      </c>
      <c r="B5103" s="1"/>
      <c r="C5103" s="1"/>
      <c r="D5103" s="1"/>
      <c r="E5103" s="1"/>
      <c r="F5103" s="1"/>
      <c r="G5103" s="1" t="s">
        <v>13</v>
      </c>
      <c r="H5103" s="2">
        <v>0</v>
      </c>
      <c r="I5103" s="1" t="s">
        <v>14676</v>
      </c>
      <c r="J5103" s="1" t="s">
        <v>352</v>
      </c>
      <c r="K5103" s="1" t="s">
        <v>13</v>
      </c>
      <c r="L5103" s="1" t="s">
        <v>14677</v>
      </c>
      <c r="M5103" s="6" t="str">
        <f>_xlfn.CONCAT(Table1[[#This Row],[Billing Street]], ", ", Table1[[#This Row],[Billing City]], ", ", Table1[[#This Row],[Billing State/Province]], ", ", Table1[[#This Row],[Billing Zip/Postal Code]])</f>
        <v>17400 Chestnut St, City of Industry, , 91748</v>
      </c>
    </row>
    <row r="5104" spans="1:13" ht="15.6" hidden="1" x14ac:dyDescent="0.3">
      <c r="A5104" s="1" t="s">
        <v>14678</v>
      </c>
      <c r="B5104" s="1"/>
      <c r="C5104" s="1"/>
      <c r="D5104" s="1"/>
      <c r="E5104" s="1"/>
      <c r="F5104" s="1"/>
      <c r="G5104" s="1" t="s">
        <v>13</v>
      </c>
      <c r="H5104" s="2">
        <v>0</v>
      </c>
      <c r="I5104" s="1" t="s">
        <v>13</v>
      </c>
      <c r="J5104" s="1" t="s">
        <v>13</v>
      </c>
      <c r="K5104" s="1" t="s">
        <v>13</v>
      </c>
      <c r="L5104" s="1" t="s">
        <v>13</v>
      </c>
      <c r="M5104" s="6" t="str">
        <f>_xlfn.CONCAT(Table1[[#This Row],[Billing Street]], ", ", Table1[[#This Row],[Billing City]], ", ", Table1[[#This Row],[Billing State/Province]], ", ", Table1[[#This Row],[Billing Zip/Postal Code]])</f>
        <v xml:space="preserve">, , , </v>
      </c>
    </row>
    <row r="5105" spans="1:13" ht="15.6" hidden="1" x14ac:dyDescent="0.3">
      <c r="A5105" s="1" t="s">
        <v>14679</v>
      </c>
      <c r="B5105" s="1"/>
      <c r="C5105" s="1"/>
      <c r="D5105" s="1"/>
      <c r="E5105" s="1"/>
      <c r="F5105" s="1"/>
      <c r="G5105" s="1" t="s">
        <v>13</v>
      </c>
      <c r="H5105" s="2">
        <v>0</v>
      </c>
      <c r="I5105" s="1" t="s">
        <v>13</v>
      </c>
      <c r="J5105" s="1" t="s">
        <v>13</v>
      </c>
      <c r="K5105" s="1" t="s">
        <v>13</v>
      </c>
      <c r="L5105" s="1" t="s">
        <v>13</v>
      </c>
      <c r="M5105" s="6" t="str">
        <f>_xlfn.CONCAT(Table1[[#This Row],[Billing Street]], ", ", Table1[[#This Row],[Billing City]], ", ", Table1[[#This Row],[Billing State/Province]], ", ", Table1[[#This Row],[Billing Zip/Postal Code]])</f>
        <v xml:space="preserve">, , , </v>
      </c>
    </row>
    <row r="5106" spans="1:13" ht="15.6" hidden="1" x14ac:dyDescent="0.3">
      <c r="A5106" s="1" t="s">
        <v>14680</v>
      </c>
      <c r="B5106" s="1"/>
      <c r="C5106" s="1"/>
      <c r="D5106" s="1"/>
      <c r="E5106" s="1"/>
      <c r="F5106" s="1"/>
      <c r="G5106" s="1" t="s">
        <v>13</v>
      </c>
      <c r="H5106" s="2">
        <v>0</v>
      </c>
      <c r="I5106" s="1" t="s">
        <v>13</v>
      </c>
      <c r="J5106" s="1" t="s">
        <v>13</v>
      </c>
      <c r="K5106" s="1" t="s">
        <v>13</v>
      </c>
      <c r="L5106" s="1" t="s">
        <v>13</v>
      </c>
      <c r="M5106" s="6" t="str">
        <f>_xlfn.CONCAT(Table1[[#This Row],[Billing Street]], ", ", Table1[[#This Row],[Billing City]], ", ", Table1[[#This Row],[Billing State/Province]], ", ", Table1[[#This Row],[Billing Zip/Postal Code]])</f>
        <v xml:space="preserve">, , , </v>
      </c>
    </row>
    <row r="5107" spans="1:13" ht="15.6" hidden="1" x14ac:dyDescent="0.3">
      <c r="A5107" s="1" t="s">
        <v>14681</v>
      </c>
      <c r="B5107" s="1"/>
      <c r="C5107" s="1"/>
      <c r="D5107" s="1"/>
      <c r="E5107" s="1"/>
      <c r="F5107" s="1"/>
      <c r="G5107" s="1" t="s">
        <v>13</v>
      </c>
      <c r="H5107" s="2">
        <v>0</v>
      </c>
      <c r="I5107" s="1" t="s">
        <v>13</v>
      </c>
      <c r="J5107" s="1" t="s">
        <v>13</v>
      </c>
      <c r="K5107" s="1" t="s">
        <v>13</v>
      </c>
      <c r="L5107" s="1" t="s">
        <v>13</v>
      </c>
      <c r="M5107" s="6" t="str">
        <f>_xlfn.CONCAT(Table1[[#This Row],[Billing Street]], ", ", Table1[[#This Row],[Billing City]], ", ", Table1[[#This Row],[Billing State/Province]], ", ", Table1[[#This Row],[Billing Zip/Postal Code]])</f>
        <v xml:space="preserve">, , , </v>
      </c>
    </row>
    <row r="5108" spans="1:13" ht="15.6" hidden="1" x14ac:dyDescent="0.3">
      <c r="A5108" s="1" t="s">
        <v>14682</v>
      </c>
      <c r="B5108" s="1"/>
      <c r="C5108" s="1"/>
      <c r="D5108" s="1"/>
      <c r="E5108" s="1"/>
      <c r="F5108" s="1"/>
      <c r="G5108" s="1" t="s">
        <v>13</v>
      </c>
      <c r="H5108" s="2">
        <v>0</v>
      </c>
      <c r="I5108" s="1" t="s">
        <v>13</v>
      </c>
      <c r="J5108" s="1" t="s">
        <v>13</v>
      </c>
      <c r="K5108" s="1" t="s">
        <v>13</v>
      </c>
      <c r="L5108" s="1" t="s">
        <v>13</v>
      </c>
      <c r="M5108" s="6" t="str">
        <f>_xlfn.CONCAT(Table1[[#This Row],[Billing Street]], ", ", Table1[[#This Row],[Billing City]], ", ", Table1[[#This Row],[Billing State/Province]], ", ", Table1[[#This Row],[Billing Zip/Postal Code]])</f>
        <v xml:space="preserve">, , , </v>
      </c>
    </row>
    <row r="5109" spans="1:13" ht="15.6" x14ac:dyDescent="0.3">
      <c r="A5109" s="1" t="s">
        <v>14683</v>
      </c>
      <c r="B5109" s="1"/>
      <c r="C5109" s="1"/>
      <c r="D5109" s="1"/>
      <c r="E5109" s="1"/>
      <c r="F5109" s="1"/>
      <c r="G5109" s="1" t="s">
        <v>24</v>
      </c>
      <c r="H5109" s="2">
        <v>191</v>
      </c>
      <c r="I5109" s="1" t="s">
        <v>14684</v>
      </c>
      <c r="J5109" s="1" t="s">
        <v>438</v>
      </c>
      <c r="K5109" s="1" t="s">
        <v>26</v>
      </c>
      <c r="L5109" s="1" t="s">
        <v>439</v>
      </c>
      <c r="M5109" s="6" t="str">
        <f>_xlfn.CONCAT(Table1[[#This Row],[Billing Street]], ", ", Table1[[#This Row],[Billing City]], ", ", Table1[[#This Row],[Billing State/Province]], ", ", Table1[[#This Row],[Billing Zip/Postal Code]])</f>
        <v>3150 15th St, Tuscaloosa, AL, 35401</v>
      </c>
    </row>
    <row r="5110" spans="1:13" ht="15.6" hidden="1" x14ac:dyDescent="0.3">
      <c r="A5110" s="1" t="s">
        <v>14685</v>
      </c>
      <c r="B5110" s="1"/>
      <c r="C5110" s="1"/>
      <c r="D5110" s="1"/>
      <c r="E5110" s="1"/>
      <c r="F5110" s="1"/>
      <c r="G5110" s="1" t="s">
        <v>13</v>
      </c>
      <c r="H5110" s="2">
        <v>0</v>
      </c>
      <c r="I5110" s="1" t="s">
        <v>13</v>
      </c>
      <c r="J5110" s="1" t="s">
        <v>13</v>
      </c>
      <c r="K5110" s="1" t="s">
        <v>13</v>
      </c>
      <c r="L5110" s="1" t="s">
        <v>13</v>
      </c>
      <c r="M5110" s="6" t="str">
        <f>_xlfn.CONCAT(Table1[[#This Row],[Billing Street]], ", ", Table1[[#This Row],[Billing City]], ", ", Table1[[#This Row],[Billing State/Province]], ", ", Table1[[#This Row],[Billing Zip/Postal Code]])</f>
        <v xml:space="preserve">, , , </v>
      </c>
    </row>
    <row r="5111" spans="1:13" ht="15.6" hidden="1" x14ac:dyDescent="0.3">
      <c r="A5111" s="1" t="s">
        <v>14686</v>
      </c>
      <c r="B5111" s="1"/>
      <c r="C5111" s="1"/>
      <c r="D5111" s="1"/>
      <c r="E5111" s="1"/>
      <c r="F5111" s="1"/>
      <c r="G5111" s="1" t="s">
        <v>43</v>
      </c>
      <c r="H5111" s="2">
        <v>384</v>
      </c>
      <c r="I5111" s="1" t="s">
        <v>14687</v>
      </c>
      <c r="J5111" s="1" t="s">
        <v>5006</v>
      </c>
      <c r="K5111" s="1" t="s">
        <v>1115</v>
      </c>
      <c r="L5111" s="1" t="s">
        <v>14688</v>
      </c>
      <c r="M5111" s="6" t="str">
        <f>_xlfn.CONCAT(Table1[[#This Row],[Billing Street]], ", ", Table1[[#This Row],[Billing City]], ", ", Table1[[#This Row],[Billing State/Province]], ", ", Table1[[#This Row],[Billing Zip/Postal Code]])</f>
        <v>200 W Main St., Wakefield, VA, 23888</v>
      </c>
    </row>
    <row r="5112" spans="1:13" ht="15.6" hidden="1" x14ac:dyDescent="0.3">
      <c r="A5112" s="1" t="s">
        <v>14689</v>
      </c>
      <c r="B5112" s="1"/>
      <c r="C5112" s="1"/>
      <c r="D5112" s="1"/>
      <c r="E5112" s="1"/>
      <c r="F5112" s="1"/>
      <c r="G5112" s="1" t="s">
        <v>13</v>
      </c>
      <c r="H5112" s="2">
        <v>0</v>
      </c>
      <c r="I5112" s="1" t="s">
        <v>13</v>
      </c>
      <c r="J5112" s="1" t="s">
        <v>13</v>
      </c>
      <c r="K5112" s="1" t="s">
        <v>13</v>
      </c>
      <c r="L5112" s="1" t="s">
        <v>13</v>
      </c>
      <c r="M5112" s="6" t="str">
        <f>_xlfn.CONCAT(Table1[[#This Row],[Billing Street]], ", ", Table1[[#This Row],[Billing City]], ", ", Table1[[#This Row],[Billing State/Province]], ", ", Table1[[#This Row],[Billing Zip/Postal Code]])</f>
        <v xml:space="preserve">, , , </v>
      </c>
    </row>
    <row r="5113" spans="1:13" ht="15.6" hidden="1" x14ac:dyDescent="0.3">
      <c r="A5113" s="1" t="s">
        <v>14690</v>
      </c>
      <c r="B5113" s="1"/>
      <c r="C5113" s="1"/>
      <c r="D5113" s="1"/>
      <c r="E5113" s="1"/>
      <c r="F5113" s="1"/>
      <c r="G5113" s="1" t="s">
        <v>43</v>
      </c>
      <c r="H5113" s="2">
        <v>5776</v>
      </c>
      <c r="I5113" s="1" t="s">
        <v>14691</v>
      </c>
      <c r="J5113" s="1" t="s">
        <v>4590</v>
      </c>
      <c r="K5113" s="1" t="s">
        <v>1154</v>
      </c>
      <c r="L5113" s="1" t="s">
        <v>14692</v>
      </c>
      <c r="M5113" s="6" t="str">
        <f>_xlfn.CONCAT(Table1[[#This Row],[Billing Street]], ", ", Table1[[#This Row],[Billing City]], ", ", Table1[[#This Row],[Billing State/Province]], ", ", Table1[[#This Row],[Billing Zip/Postal Code]])</f>
        <v>100 Buffalo Center Lane, Washington, Pa, 15301</v>
      </c>
    </row>
    <row r="5114" spans="1:13" ht="15.6" x14ac:dyDescent="0.3">
      <c r="A5114" s="1" t="s">
        <v>14693</v>
      </c>
      <c r="B5114" s="1"/>
      <c r="C5114" s="1"/>
      <c r="D5114" s="1"/>
      <c r="E5114" s="1"/>
      <c r="F5114" s="1"/>
      <c r="G5114" s="1" t="s">
        <v>24</v>
      </c>
      <c r="H5114" s="2">
        <v>5988</v>
      </c>
      <c r="I5114" s="1" t="s">
        <v>14694</v>
      </c>
      <c r="J5114" s="1" t="s">
        <v>5550</v>
      </c>
      <c r="K5114" s="1" t="s">
        <v>577</v>
      </c>
      <c r="L5114" s="1" t="s">
        <v>13</v>
      </c>
      <c r="M5114" s="6" t="str">
        <f>_xlfn.CONCAT(Table1[[#This Row],[Billing Street]], ", ", Table1[[#This Row],[Billing City]], ", ", Table1[[#This Row],[Billing State/Province]], ", ", Table1[[#This Row],[Billing Zip/Postal Code]])</f>
        <v xml:space="preserve">901 Cherry Ridge, Bastrop, LA, </v>
      </c>
    </row>
    <row r="5115" spans="1:13" ht="15.6" hidden="1" x14ac:dyDescent="0.3">
      <c r="A5115" s="1" t="s">
        <v>14695</v>
      </c>
      <c r="B5115" s="1"/>
      <c r="C5115" s="1"/>
      <c r="D5115" s="1"/>
      <c r="E5115" s="1"/>
      <c r="F5115" s="1"/>
      <c r="G5115" s="1" t="s">
        <v>43</v>
      </c>
      <c r="H5115" s="2">
        <v>5776</v>
      </c>
      <c r="I5115" s="1" t="s">
        <v>14696</v>
      </c>
      <c r="J5115" s="1" t="s">
        <v>780</v>
      </c>
      <c r="K5115" s="1" t="s">
        <v>1154</v>
      </c>
      <c r="L5115" s="1" t="s">
        <v>2905</v>
      </c>
      <c r="M5115" s="6" t="str">
        <f>_xlfn.CONCAT(Table1[[#This Row],[Billing Street]], ", ", Table1[[#This Row],[Billing City]], ", ", Table1[[#This Row],[Billing State/Province]], ", ", Table1[[#This Row],[Billing Zip/Postal Code]])</f>
        <v>4520 Worth St, Philadelphia, Pa, 19124</v>
      </c>
    </row>
    <row r="5116" spans="1:13" ht="15.6" hidden="1" x14ac:dyDescent="0.3">
      <c r="A5116" s="1" t="s">
        <v>14697</v>
      </c>
      <c r="B5116" s="1"/>
      <c r="C5116" s="1"/>
      <c r="D5116" s="1"/>
      <c r="E5116" s="1"/>
      <c r="F5116" s="1"/>
      <c r="G5116" s="1" t="s">
        <v>8</v>
      </c>
      <c r="H5116" s="2">
        <v>722</v>
      </c>
      <c r="I5116" s="1" t="s">
        <v>14698</v>
      </c>
      <c r="J5116" s="1" t="s">
        <v>11246</v>
      </c>
      <c r="K5116" s="1" t="s">
        <v>410</v>
      </c>
      <c r="L5116" s="1" t="s">
        <v>11247</v>
      </c>
      <c r="M5116" s="6" t="str">
        <f>_xlfn.CONCAT(Table1[[#This Row],[Billing Street]], ", ", Table1[[#This Row],[Billing City]], ", ", Table1[[#This Row],[Billing State/Province]], ", ", Table1[[#This Row],[Billing Zip/Postal Code]])</f>
        <v>3510 Garman Rd, Gillette, WY, 82716</v>
      </c>
    </row>
    <row r="5117" spans="1:13" ht="15.6" hidden="1" x14ac:dyDescent="0.3">
      <c r="A5117" s="1" t="s">
        <v>14699</v>
      </c>
      <c r="B5117" s="1"/>
      <c r="C5117" s="1"/>
      <c r="D5117" s="1"/>
      <c r="E5117" s="1"/>
      <c r="F5117" s="1"/>
      <c r="G5117" s="1" t="s">
        <v>43</v>
      </c>
      <c r="H5117" s="2">
        <v>395</v>
      </c>
      <c r="I5117" s="1" t="s">
        <v>14700</v>
      </c>
      <c r="J5117" s="1" t="s">
        <v>2901</v>
      </c>
      <c r="K5117" s="1" t="s">
        <v>133</v>
      </c>
      <c r="L5117" s="1" t="s">
        <v>14701</v>
      </c>
      <c r="M5117" s="6" t="str">
        <f>_xlfn.CONCAT(Table1[[#This Row],[Billing Street]], ", ", Table1[[#This Row],[Billing City]], ", ", Table1[[#This Row],[Billing State/Province]], ", ", Table1[[#This Row],[Billing Zip/Postal Code]])</f>
        <v>1390 Gateway Blvd., Beloit, WI, 53511</v>
      </c>
    </row>
    <row r="5118" spans="1:13" ht="15.6" hidden="1" x14ac:dyDescent="0.3">
      <c r="A5118" s="1" t="s">
        <v>14702</v>
      </c>
      <c r="B5118" s="1"/>
      <c r="C5118" s="1"/>
      <c r="D5118" s="1"/>
      <c r="E5118" s="1"/>
      <c r="F5118" s="1"/>
      <c r="G5118" s="1" t="s">
        <v>205</v>
      </c>
      <c r="H5118" s="2">
        <v>356</v>
      </c>
      <c r="I5118" s="1" t="s">
        <v>14703</v>
      </c>
      <c r="J5118" s="1" t="s">
        <v>14704</v>
      </c>
      <c r="K5118" s="1" t="s">
        <v>266</v>
      </c>
      <c r="L5118" s="1" t="s">
        <v>14705</v>
      </c>
      <c r="M5118" s="6" t="str">
        <f>_xlfn.CONCAT(Table1[[#This Row],[Billing Street]], ", ", Table1[[#This Row],[Billing City]], ", ", Table1[[#This Row],[Billing State/Province]], ", ", Table1[[#This Row],[Billing Zip/Postal Code]])</f>
        <v>2600 North Flordia Avenue, Alamogordo, NM, 88310</v>
      </c>
    </row>
    <row r="5119" spans="1:13" ht="15.6" hidden="1" x14ac:dyDescent="0.3">
      <c r="A5119" s="1" t="s">
        <v>14706</v>
      </c>
      <c r="B5119" s="1"/>
      <c r="C5119" s="1"/>
      <c r="D5119" s="1"/>
      <c r="E5119" s="1"/>
      <c r="F5119" s="1"/>
      <c r="G5119" s="1" t="s">
        <v>43</v>
      </c>
      <c r="H5119" s="2">
        <v>239</v>
      </c>
      <c r="I5119" s="1" t="s">
        <v>14707</v>
      </c>
      <c r="J5119" s="1" t="s">
        <v>2337</v>
      </c>
      <c r="K5119" s="1" t="s">
        <v>671</v>
      </c>
      <c r="L5119" s="1" t="s">
        <v>14708</v>
      </c>
      <c r="M5119" s="6" t="str">
        <f>_xlfn.CONCAT(Table1[[#This Row],[Billing Street]], ", ", Table1[[#This Row],[Billing City]], ", ", Table1[[#This Row],[Billing State/Province]], ", ", Table1[[#This Row],[Billing Zip/Postal Code]])</f>
        <v>5857 State Route 96, Farmington, NY, 14425</v>
      </c>
    </row>
    <row r="5120" spans="1:13" ht="15.6" hidden="1" x14ac:dyDescent="0.3">
      <c r="A5120" s="1" t="s">
        <v>14709</v>
      </c>
      <c r="B5120" s="1"/>
      <c r="C5120" s="1"/>
      <c r="D5120" s="1"/>
      <c r="E5120" s="1"/>
      <c r="F5120" s="1"/>
      <c r="G5120" s="1" t="s">
        <v>43</v>
      </c>
      <c r="H5120" s="2">
        <v>341</v>
      </c>
      <c r="I5120" s="1" t="s">
        <v>14710</v>
      </c>
      <c r="J5120" s="1" t="s">
        <v>12251</v>
      </c>
      <c r="K5120" s="1" t="s">
        <v>1115</v>
      </c>
      <c r="L5120" s="1" t="s">
        <v>14711</v>
      </c>
      <c r="M5120" s="6" t="str">
        <f>_xlfn.CONCAT(Table1[[#This Row],[Billing Street]], ", ", Table1[[#This Row],[Billing City]], ", ", Table1[[#This Row],[Billing State/Province]], ", ", Table1[[#This Row],[Billing Zip/Postal Code]])</f>
        <v>85 St Johns St, Warsaw, VA, 22572</v>
      </c>
    </row>
    <row r="5121" spans="1:13" ht="15.6" hidden="1" x14ac:dyDescent="0.3">
      <c r="A5121" s="1" t="s">
        <v>14712</v>
      </c>
      <c r="B5121" s="1"/>
      <c r="C5121" s="1"/>
      <c r="D5121" s="1"/>
      <c r="E5121" s="1"/>
      <c r="F5121" s="1"/>
      <c r="G5121" s="1" t="s">
        <v>13</v>
      </c>
      <c r="H5121" s="2">
        <v>0</v>
      </c>
      <c r="I5121" s="1" t="s">
        <v>14713</v>
      </c>
      <c r="J5121" s="1" t="s">
        <v>2048</v>
      </c>
      <c r="K5121" s="1" t="s">
        <v>13</v>
      </c>
      <c r="L5121" s="1" t="s">
        <v>14714</v>
      </c>
      <c r="M5121" s="6" t="str">
        <f>_xlfn.CONCAT(Table1[[#This Row],[Billing Street]], ", ", Table1[[#This Row],[Billing City]], ", ", Table1[[#This Row],[Billing State/Province]], ", ", Table1[[#This Row],[Billing Zip/Postal Code]])</f>
        <v>2459 Lee Ave # 1, Los Angeles, , 91733</v>
      </c>
    </row>
    <row r="5122" spans="1:13" ht="15.6" hidden="1" x14ac:dyDescent="0.3">
      <c r="A5122" s="1" t="s">
        <v>14715</v>
      </c>
      <c r="B5122" s="1"/>
      <c r="C5122" s="1"/>
      <c r="D5122" s="1"/>
      <c r="E5122" s="1"/>
      <c r="F5122" s="1"/>
      <c r="G5122" s="1" t="s">
        <v>43</v>
      </c>
      <c r="H5122" s="2">
        <v>140</v>
      </c>
      <c r="I5122" s="1" t="s">
        <v>14716</v>
      </c>
      <c r="J5122" s="1" t="s">
        <v>3508</v>
      </c>
      <c r="K5122" s="1" t="s">
        <v>82</v>
      </c>
      <c r="L5122" s="1" t="s">
        <v>14717</v>
      </c>
      <c r="M5122" s="6" t="str">
        <f>_xlfn.CONCAT(Table1[[#This Row],[Billing Street]], ", ", Table1[[#This Row],[Billing City]], ", ", Table1[[#This Row],[Billing State/Province]], ", ", Table1[[#This Row],[Billing Zip/Postal Code]])</f>
        <v>119 E. Michigan Ave., Clinton, MI, 49236</v>
      </c>
    </row>
    <row r="5123" spans="1:13" ht="15.6" hidden="1" x14ac:dyDescent="0.3">
      <c r="A5123" s="1" t="s">
        <v>14718</v>
      </c>
      <c r="B5123" s="1"/>
      <c r="C5123" s="1"/>
      <c r="D5123" s="1"/>
      <c r="E5123" s="1"/>
      <c r="F5123" s="1"/>
      <c r="G5123" s="1" t="s">
        <v>13</v>
      </c>
      <c r="H5123" s="2">
        <v>0</v>
      </c>
      <c r="I5123" s="1" t="s">
        <v>13</v>
      </c>
      <c r="J5123" s="1" t="s">
        <v>13</v>
      </c>
      <c r="K5123" s="1" t="s">
        <v>13</v>
      </c>
      <c r="L5123" s="1" t="s">
        <v>13</v>
      </c>
      <c r="M5123" s="6" t="str">
        <f>_xlfn.CONCAT(Table1[[#This Row],[Billing Street]], ", ", Table1[[#This Row],[Billing City]], ", ", Table1[[#This Row],[Billing State/Province]], ", ", Table1[[#This Row],[Billing Zip/Postal Code]])</f>
        <v xml:space="preserve">, , , </v>
      </c>
    </row>
    <row r="5124" spans="1:13" ht="15.6" hidden="1" x14ac:dyDescent="0.3">
      <c r="A5124" s="1" t="s">
        <v>14719</v>
      </c>
      <c r="B5124" s="1"/>
      <c r="C5124" s="1"/>
      <c r="D5124" s="1"/>
      <c r="E5124" s="1"/>
      <c r="F5124" s="1"/>
      <c r="G5124" s="1" t="s">
        <v>13</v>
      </c>
      <c r="H5124" s="2">
        <v>0</v>
      </c>
      <c r="I5124" s="1" t="s">
        <v>13</v>
      </c>
      <c r="J5124" s="1" t="s">
        <v>13</v>
      </c>
      <c r="K5124" s="1" t="s">
        <v>13</v>
      </c>
      <c r="L5124" s="1" t="s">
        <v>13</v>
      </c>
      <c r="M5124" s="6" t="str">
        <f>_xlfn.CONCAT(Table1[[#This Row],[Billing Street]], ", ", Table1[[#This Row],[Billing City]], ", ", Table1[[#This Row],[Billing State/Province]], ", ", Table1[[#This Row],[Billing Zip/Postal Code]])</f>
        <v xml:space="preserve">, , , </v>
      </c>
    </row>
    <row r="5125" spans="1:13" ht="15.6" hidden="1" x14ac:dyDescent="0.3">
      <c r="A5125" s="1" t="s">
        <v>14720</v>
      </c>
      <c r="B5125" s="1"/>
      <c r="C5125" s="1"/>
      <c r="D5125" s="1"/>
      <c r="E5125" s="1"/>
      <c r="F5125" s="1"/>
      <c r="G5125" s="1" t="s">
        <v>43</v>
      </c>
      <c r="H5125" s="2">
        <v>254</v>
      </c>
      <c r="I5125" s="1" t="s">
        <v>14721</v>
      </c>
      <c r="J5125" s="1" t="s">
        <v>10335</v>
      </c>
      <c r="K5125" s="1" t="s">
        <v>241</v>
      </c>
      <c r="L5125" s="1" t="s">
        <v>14722</v>
      </c>
      <c r="M5125" s="6" t="str">
        <f>_xlfn.CONCAT(Table1[[#This Row],[Billing Street]], ", ", Table1[[#This Row],[Billing City]], ", ", Table1[[#This Row],[Billing State/Province]], ", ", Table1[[#This Row],[Billing Zip/Postal Code]])</f>
        <v>4391 Chambers Hill Road, Harrisburg, PA, 17111</v>
      </c>
    </row>
    <row r="5126" spans="1:13" ht="15.6" hidden="1" x14ac:dyDescent="0.3">
      <c r="A5126" s="1" t="s">
        <v>14723</v>
      </c>
      <c r="B5126" s="1"/>
      <c r="C5126" s="1"/>
      <c r="D5126" s="1"/>
      <c r="E5126" s="1"/>
      <c r="F5126" s="1"/>
      <c r="G5126" s="1" t="s">
        <v>43</v>
      </c>
      <c r="H5126" s="2">
        <v>287</v>
      </c>
      <c r="I5126" s="1" t="s">
        <v>14724</v>
      </c>
      <c r="J5126" s="1" t="s">
        <v>675</v>
      </c>
      <c r="K5126" s="1" t="s">
        <v>3373</v>
      </c>
      <c r="L5126" s="1" t="s">
        <v>676</v>
      </c>
      <c r="M5126" s="6" t="str">
        <f>_xlfn.CONCAT(Table1[[#This Row],[Billing Street]], ", ", Table1[[#This Row],[Billing City]], ", ", Table1[[#This Row],[Billing State/Province]], ", ", Table1[[#This Row],[Billing Zip/Postal Code]])</f>
        <v>320 N. Jensen Rd, Vestal, Ny, 13850</v>
      </c>
    </row>
    <row r="5127" spans="1:13" ht="15.6" hidden="1" x14ac:dyDescent="0.3">
      <c r="A5127" s="1" t="s">
        <v>14725</v>
      </c>
      <c r="B5127" s="1"/>
      <c r="C5127" s="1"/>
      <c r="D5127" s="1"/>
      <c r="E5127" s="1"/>
      <c r="F5127" s="1"/>
      <c r="G5127" s="1" t="s">
        <v>43</v>
      </c>
      <c r="H5127" s="2">
        <v>221</v>
      </c>
      <c r="I5127" s="1" t="s">
        <v>14726</v>
      </c>
      <c r="J5127" s="1" t="s">
        <v>14727</v>
      </c>
      <c r="K5127" s="1" t="s">
        <v>1191</v>
      </c>
      <c r="L5127" s="1" t="s">
        <v>14728</v>
      </c>
      <c r="M5127" s="6" t="str">
        <f>_xlfn.CONCAT(Table1[[#This Row],[Billing Street]], ", ", Table1[[#This Row],[Billing City]], ", ", Table1[[#This Row],[Billing State/Province]], ", ", Table1[[#This Row],[Billing Zip/Postal Code]])</f>
        <v>109 Bagby Park St., Grayson, KY, 41143</v>
      </c>
    </row>
    <row r="5128" spans="1:13" ht="15.6" hidden="1" x14ac:dyDescent="0.3">
      <c r="A5128" s="1" t="s">
        <v>14729</v>
      </c>
      <c r="B5128" s="1"/>
      <c r="C5128" s="1"/>
      <c r="D5128" s="1"/>
      <c r="E5128" s="1"/>
      <c r="F5128" s="1"/>
      <c r="G5128" s="1" t="s">
        <v>8</v>
      </c>
      <c r="H5128" s="2">
        <v>291</v>
      </c>
      <c r="I5128" s="1" t="s">
        <v>14730</v>
      </c>
      <c r="J5128" s="1" t="s">
        <v>14731</v>
      </c>
      <c r="K5128" s="1" t="s">
        <v>11</v>
      </c>
      <c r="L5128" s="1" t="s">
        <v>14732</v>
      </c>
      <c r="M5128" s="6" t="str">
        <f>_xlfn.CONCAT(Table1[[#This Row],[Billing Street]], ", ", Table1[[#This Row],[Billing City]], ", ", Table1[[#This Row],[Billing State/Province]], ", ", Table1[[#This Row],[Billing Zip/Postal Code]])</f>
        <v>2 Industrial Drive, Farmingtom, MO, 63640</v>
      </c>
    </row>
    <row r="5129" spans="1:13" ht="15.6" hidden="1" x14ac:dyDescent="0.3">
      <c r="A5129" s="1" t="s">
        <v>14733</v>
      </c>
      <c r="B5129" s="1"/>
      <c r="C5129" s="1"/>
      <c r="D5129" s="1"/>
      <c r="E5129" s="1"/>
      <c r="F5129" s="1"/>
      <c r="G5129" s="1" t="s">
        <v>43</v>
      </c>
      <c r="H5129" s="2">
        <v>281</v>
      </c>
      <c r="I5129" s="1" t="s">
        <v>14734</v>
      </c>
      <c r="J5129" s="1" t="s">
        <v>6963</v>
      </c>
      <c r="K5129" s="1" t="s">
        <v>1191</v>
      </c>
      <c r="L5129" s="1" t="s">
        <v>14735</v>
      </c>
      <c r="M5129" s="6" t="str">
        <f>_xlfn.CONCAT(Table1[[#This Row],[Billing Street]], ", ", Table1[[#This Row],[Billing City]], ", ", Table1[[#This Row],[Billing State/Province]], ", ", Table1[[#This Row],[Billing Zip/Postal Code]])</f>
        <v>305 Hickory Dr, Frankfort, KY, 40601</v>
      </c>
    </row>
    <row r="5130" spans="1:13" ht="15.6" hidden="1" x14ac:dyDescent="0.3">
      <c r="A5130" s="1" t="s">
        <v>14736</v>
      </c>
      <c r="B5130" s="1"/>
      <c r="C5130" s="1"/>
      <c r="D5130" s="1"/>
      <c r="E5130" s="1"/>
      <c r="F5130" s="1"/>
      <c r="G5130" s="1" t="s">
        <v>8</v>
      </c>
      <c r="H5130" s="2">
        <v>315</v>
      </c>
      <c r="I5130" s="1" t="s">
        <v>14737</v>
      </c>
      <c r="J5130" s="1" t="s">
        <v>14738</v>
      </c>
      <c r="K5130" s="1" t="s">
        <v>11</v>
      </c>
      <c r="L5130" s="1" t="s">
        <v>14739</v>
      </c>
      <c r="M5130" s="6" t="str">
        <f>_xlfn.CONCAT(Table1[[#This Row],[Billing Street]], ", ", Table1[[#This Row],[Billing City]], ", ", Table1[[#This Row],[Billing State/Province]], ", ", Table1[[#This Row],[Billing Zip/Postal Code]])</f>
        <v>111 E. Laclede St., Malden, MO, 63863</v>
      </c>
    </row>
    <row r="5131" spans="1:13" ht="15.6" hidden="1" x14ac:dyDescent="0.3">
      <c r="A5131" s="1" t="s">
        <v>14740</v>
      </c>
      <c r="B5131" s="1"/>
      <c r="C5131" s="1"/>
      <c r="D5131" s="1"/>
      <c r="E5131" s="1"/>
      <c r="F5131" s="1"/>
      <c r="G5131" s="1" t="s">
        <v>43</v>
      </c>
      <c r="H5131" s="2">
        <v>235</v>
      </c>
      <c r="I5131" s="1" t="s">
        <v>14741</v>
      </c>
      <c r="J5131" s="1" t="s">
        <v>14742</v>
      </c>
      <c r="K5131" s="1" t="s">
        <v>1191</v>
      </c>
      <c r="L5131" s="1" t="s">
        <v>14743</v>
      </c>
      <c r="M5131" s="6" t="str">
        <f>_xlfn.CONCAT(Table1[[#This Row],[Billing Street]], ", ", Table1[[#This Row],[Billing City]], ", ", Table1[[#This Row],[Billing State/Province]], ", ", Table1[[#This Row],[Billing Zip/Postal Code]])</f>
        <v>1449 Elizaville Rd, Flemingsburg, KY, 41041-0328</v>
      </c>
    </row>
    <row r="5132" spans="1:13" ht="15.6" hidden="1" x14ac:dyDescent="0.3">
      <c r="A5132" s="1" t="s">
        <v>14744</v>
      </c>
      <c r="B5132" s="1"/>
      <c r="C5132" s="1"/>
      <c r="D5132" s="1"/>
      <c r="E5132" s="1"/>
      <c r="F5132" s="1"/>
      <c r="G5132" s="1" t="s">
        <v>43</v>
      </c>
      <c r="H5132" s="2">
        <v>323</v>
      </c>
      <c r="I5132" s="1" t="s">
        <v>14745</v>
      </c>
      <c r="J5132" s="1" t="s">
        <v>5295</v>
      </c>
      <c r="K5132" s="1" t="s">
        <v>1191</v>
      </c>
      <c r="L5132" s="1" t="s">
        <v>3175</v>
      </c>
      <c r="M5132" s="6" t="str">
        <f>_xlfn.CONCAT(Table1[[#This Row],[Billing Street]], ", ", Table1[[#This Row],[Billing City]], ", ", Table1[[#This Row],[Billing State/Province]], ", ", Table1[[#This Row],[Billing Zip/Postal Code]])</f>
        <v>111 West Brashear Ave, Bardstown, KY, 40004</v>
      </c>
    </row>
    <row r="5133" spans="1:13" ht="15.6" hidden="1" x14ac:dyDescent="0.3">
      <c r="A5133" s="1" t="s">
        <v>14746</v>
      </c>
      <c r="B5133" s="1"/>
      <c r="C5133" s="1"/>
      <c r="D5133" s="1"/>
      <c r="E5133" s="1"/>
      <c r="F5133" s="1"/>
      <c r="G5133" s="1" t="s">
        <v>43</v>
      </c>
      <c r="H5133" s="2">
        <v>331</v>
      </c>
      <c r="I5133" s="1" t="s">
        <v>14747</v>
      </c>
      <c r="J5133" s="1" t="s">
        <v>2013</v>
      </c>
      <c r="K5133" s="1" t="s">
        <v>1191</v>
      </c>
      <c r="L5133" s="1" t="s">
        <v>14748</v>
      </c>
      <c r="M5133" s="6" t="str">
        <f>_xlfn.CONCAT(Table1[[#This Row],[Billing Street]], ", ", Table1[[#This Row],[Billing City]], ", ", Table1[[#This Row],[Billing State/Province]], ", ", Table1[[#This Row],[Billing Zip/Postal Code]])</f>
        <v>6219 North US Hwy 25 East, Gray, KY, 40734</v>
      </c>
    </row>
    <row r="5134" spans="1:13" ht="15.6" hidden="1" x14ac:dyDescent="0.3">
      <c r="A5134" s="1" t="s">
        <v>14749</v>
      </c>
      <c r="B5134" s="1"/>
      <c r="C5134" s="1"/>
      <c r="D5134" s="1"/>
      <c r="E5134" s="1"/>
      <c r="F5134" s="1"/>
      <c r="G5134" s="1" t="s">
        <v>43</v>
      </c>
      <c r="H5134" s="2">
        <v>76</v>
      </c>
      <c r="I5134" s="1" t="s">
        <v>14750</v>
      </c>
      <c r="J5134" s="1" t="s">
        <v>14751</v>
      </c>
      <c r="K5134" s="1" t="s">
        <v>241</v>
      </c>
      <c r="L5134" s="1" t="s">
        <v>14752</v>
      </c>
      <c r="M5134" s="6" t="str">
        <f>_xlfn.CONCAT(Table1[[#This Row],[Billing Street]], ", ", Table1[[#This Row],[Billing City]], ", ", Table1[[#This Row],[Billing State/Province]], ", ", Table1[[#This Row],[Billing Zip/Postal Code]])</f>
        <v>1711 Route 588, Fombell, PA, 16123</v>
      </c>
    </row>
    <row r="5135" spans="1:13" ht="15.6" hidden="1" x14ac:dyDescent="0.3">
      <c r="A5135" s="1" t="s">
        <v>14753</v>
      </c>
      <c r="B5135" s="1"/>
      <c r="C5135" s="1"/>
      <c r="D5135" s="1"/>
      <c r="E5135" s="1"/>
      <c r="F5135" s="1"/>
      <c r="G5135" s="1" t="s">
        <v>43</v>
      </c>
      <c r="H5135" s="2">
        <v>328</v>
      </c>
      <c r="I5135" s="1" t="s">
        <v>14754</v>
      </c>
      <c r="J5135" s="1" t="s">
        <v>14755</v>
      </c>
      <c r="K5135" s="1" t="s">
        <v>152</v>
      </c>
      <c r="L5135" s="1" t="s">
        <v>14756</v>
      </c>
      <c r="M5135" s="6" t="str">
        <f>_xlfn.CONCAT(Table1[[#This Row],[Billing Street]], ", ", Table1[[#This Row],[Billing City]], ", ", Table1[[#This Row],[Billing State/Province]], ", ", Table1[[#This Row],[Billing Zip/Postal Code]])</f>
        <v>510 Green Bay Rd, Winnetka, IL, 60093</v>
      </c>
    </row>
    <row r="5136" spans="1:13" ht="15.6" hidden="1" x14ac:dyDescent="0.3">
      <c r="A5136" s="1" t="s">
        <v>14757</v>
      </c>
      <c r="B5136" s="1"/>
      <c r="C5136" s="1"/>
      <c r="D5136" s="1"/>
      <c r="E5136" s="1"/>
      <c r="F5136" s="1"/>
      <c r="G5136" s="1" t="s">
        <v>43</v>
      </c>
      <c r="H5136" s="2">
        <v>5776</v>
      </c>
      <c r="I5136" s="1" t="s">
        <v>13</v>
      </c>
      <c r="J5136" s="1" t="s">
        <v>1858</v>
      </c>
      <c r="K5136" s="1" t="s">
        <v>152</v>
      </c>
      <c r="L5136" s="1" t="s">
        <v>13</v>
      </c>
      <c r="M5136" s="6" t="str">
        <f>_xlfn.CONCAT(Table1[[#This Row],[Billing Street]], ", ", Table1[[#This Row],[Billing City]], ", ", Table1[[#This Row],[Billing State/Province]], ", ", Table1[[#This Row],[Billing Zip/Postal Code]])</f>
        <v xml:space="preserve">, Greenville, IL, </v>
      </c>
    </row>
    <row r="5137" spans="1:13" ht="15.6" hidden="1" x14ac:dyDescent="0.3">
      <c r="A5137" s="1" t="s">
        <v>14758</v>
      </c>
      <c r="B5137" s="1"/>
      <c r="C5137" s="1"/>
      <c r="D5137" s="1"/>
      <c r="E5137" s="1"/>
      <c r="F5137" s="1"/>
      <c r="G5137" s="1" t="s">
        <v>43</v>
      </c>
      <c r="H5137" s="2">
        <v>238</v>
      </c>
      <c r="I5137" s="1" t="s">
        <v>14759</v>
      </c>
      <c r="J5137" s="1" t="s">
        <v>14760</v>
      </c>
      <c r="K5137" s="1" t="s">
        <v>1191</v>
      </c>
      <c r="L5137" s="1" t="s">
        <v>14761</v>
      </c>
      <c r="M5137" s="6" t="str">
        <f>_xlfn.CONCAT(Table1[[#This Row],[Billing Street]], ", ", Table1[[#This Row],[Billing City]], ", ", Table1[[#This Row],[Billing State/Province]], ", ", Table1[[#This Row],[Billing Zip/Postal Code]])</f>
        <v>230 Main St, Falmouth, KY, 41040</v>
      </c>
    </row>
    <row r="5138" spans="1:13" ht="15.6" hidden="1" x14ac:dyDescent="0.3">
      <c r="A5138" s="1" t="s">
        <v>14762</v>
      </c>
      <c r="B5138" s="1"/>
      <c r="C5138" s="1"/>
      <c r="D5138" s="1"/>
      <c r="E5138" s="1"/>
      <c r="F5138" s="1"/>
      <c r="G5138" s="1" t="s">
        <v>43</v>
      </c>
      <c r="H5138" s="2">
        <v>336</v>
      </c>
      <c r="I5138" s="1" t="s">
        <v>14763</v>
      </c>
      <c r="J5138" s="1" t="s">
        <v>14764</v>
      </c>
      <c r="K5138" s="1" t="s">
        <v>1191</v>
      </c>
      <c r="L5138" s="1" t="s">
        <v>14765</v>
      </c>
      <c r="M5138" s="6" t="str">
        <f>_xlfn.CONCAT(Table1[[#This Row],[Billing Street]], ", ", Table1[[#This Row],[Billing City]], ", ", Table1[[#This Row],[Billing State/Province]], ", ", Table1[[#This Row],[Billing Zip/Postal Code]])</f>
        <v>1515 Cumberland Falls Hwy, Corbin, KY, 40702</v>
      </c>
    </row>
    <row r="5139" spans="1:13" ht="15.6" hidden="1" x14ac:dyDescent="0.3">
      <c r="A5139" s="1" t="s">
        <v>14766</v>
      </c>
      <c r="B5139" s="1"/>
      <c r="C5139" s="1"/>
      <c r="D5139" s="1"/>
      <c r="E5139" s="1"/>
      <c r="F5139" s="1"/>
      <c r="G5139" s="1" t="s">
        <v>8</v>
      </c>
      <c r="H5139" s="2">
        <v>168</v>
      </c>
      <c r="I5139" s="1" t="s">
        <v>14767</v>
      </c>
      <c r="J5139" s="1" t="s">
        <v>7027</v>
      </c>
      <c r="K5139" s="1" t="s">
        <v>11</v>
      </c>
      <c r="L5139" s="1" t="s">
        <v>14768</v>
      </c>
      <c r="M5139" s="6" t="str">
        <f>_xlfn.CONCAT(Table1[[#This Row],[Billing Street]], ", ", Table1[[#This Row],[Billing City]], ", ", Table1[[#This Row],[Billing State/Province]], ", ", Table1[[#This Row],[Billing Zip/Postal Code]])</f>
        <v>601 N Business 60 HWY, PO Box 318, Mansfield, MO, 65704-0318</v>
      </c>
    </row>
    <row r="5140" spans="1:13" ht="15.6" hidden="1" x14ac:dyDescent="0.3">
      <c r="A5140" s="1" t="s">
        <v>14769</v>
      </c>
      <c r="B5140" s="1"/>
      <c r="C5140" s="1"/>
      <c r="D5140" s="1"/>
      <c r="E5140" s="1"/>
      <c r="F5140" s="1"/>
      <c r="G5140" s="1" t="s">
        <v>43</v>
      </c>
      <c r="H5140" s="2">
        <v>271</v>
      </c>
      <c r="I5140" s="1" t="s">
        <v>14770</v>
      </c>
      <c r="J5140" s="1" t="s">
        <v>4687</v>
      </c>
      <c r="K5140" s="1" t="s">
        <v>1191</v>
      </c>
      <c r="L5140" s="1" t="s">
        <v>14771</v>
      </c>
      <c r="M5140" s="6" t="str">
        <f>_xlfn.CONCAT(Table1[[#This Row],[Billing Street]], ", ", Table1[[#This Row],[Billing City]], ", ", Table1[[#This Row],[Billing State/Province]], ", ", Table1[[#This Row],[Billing Zip/Postal Code]])</f>
        <v>2640 Iron Works Rd., Winchester, KY, 40392</v>
      </c>
    </row>
    <row r="5141" spans="1:13" ht="15.6" hidden="1" x14ac:dyDescent="0.3">
      <c r="A5141" s="1" t="s">
        <v>14772</v>
      </c>
      <c r="B5141" s="1"/>
      <c r="C5141" s="1"/>
      <c r="D5141" s="1"/>
      <c r="E5141" s="1"/>
      <c r="F5141" s="1"/>
      <c r="G5141" s="1" t="s">
        <v>43</v>
      </c>
      <c r="H5141" s="2">
        <v>288</v>
      </c>
      <c r="I5141" s="1" t="s">
        <v>14773</v>
      </c>
      <c r="J5141" s="1" t="s">
        <v>5258</v>
      </c>
      <c r="K5141" s="1" t="s">
        <v>1191</v>
      </c>
      <c r="L5141" s="1" t="s">
        <v>14774</v>
      </c>
      <c r="M5141" s="6" t="str">
        <f>_xlfn.CONCAT(Table1[[#This Row],[Billing Street]], ", ", Table1[[#This Row],[Billing City]], ", ", Table1[[#This Row],[Billing State/Province]], ", ", Table1[[#This Row],[Billing Zip/Postal Code]])</f>
        <v>1201 Lexington Rd., Nicholasville, KY, 40340</v>
      </c>
    </row>
    <row r="5142" spans="1:13" ht="15.6" x14ac:dyDescent="0.3">
      <c r="A5142" s="1" t="s">
        <v>14775</v>
      </c>
      <c r="B5142" s="1"/>
      <c r="C5142" s="1"/>
      <c r="D5142" s="1"/>
      <c r="E5142" s="1"/>
      <c r="F5142" s="1"/>
      <c r="G5142" s="1" t="s">
        <v>24</v>
      </c>
      <c r="H5142" s="2">
        <v>5988</v>
      </c>
      <c r="I5142" s="1" t="s">
        <v>14776</v>
      </c>
      <c r="J5142" s="1" t="s">
        <v>1232</v>
      </c>
      <c r="K5142" s="1" t="s">
        <v>31</v>
      </c>
      <c r="L5142" s="1" t="s">
        <v>14777</v>
      </c>
      <c r="M5142" s="6" t="str">
        <f>_xlfn.CONCAT(Table1[[#This Row],[Billing Street]], ", ", Table1[[#This Row],[Billing City]], ", ", Table1[[#This Row],[Billing State/Province]], ", ", Table1[[#This Row],[Billing Zip/Postal Code]])</f>
        <v>335 Washington St., West Point, MS, 39773</v>
      </c>
    </row>
    <row r="5143" spans="1:13" ht="15.6" hidden="1" x14ac:dyDescent="0.3">
      <c r="A5143" s="1" t="s">
        <v>14778</v>
      </c>
      <c r="B5143" s="1"/>
      <c r="C5143" s="1"/>
      <c r="D5143" s="1"/>
      <c r="E5143" s="1"/>
      <c r="F5143" s="1"/>
      <c r="G5143" s="1" t="s">
        <v>43</v>
      </c>
      <c r="H5143" s="2">
        <v>300</v>
      </c>
      <c r="I5143" s="1" t="s">
        <v>14779</v>
      </c>
      <c r="J5143" s="1" t="s">
        <v>14780</v>
      </c>
      <c r="K5143" s="1" t="s">
        <v>1191</v>
      </c>
      <c r="L5143" s="1" t="s">
        <v>14781</v>
      </c>
      <c r="M5143" s="6" t="str">
        <f>_xlfn.CONCAT(Table1[[#This Row],[Billing Street]], ", ", Table1[[#This Row],[Billing City]], ", ", Table1[[#This Row],[Billing State/Province]], ", ", Table1[[#This Row],[Billing Zip/Postal Code]])</f>
        <v>200 Harrison Rd., Berea, KY, 40403</v>
      </c>
    </row>
    <row r="5144" spans="1:13" ht="15.6" hidden="1" x14ac:dyDescent="0.3">
      <c r="A5144" s="1" t="s">
        <v>14782</v>
      </c>
      <c r="B5144" s="1"/>
      <c r="C5144" s="1"/>
      <c r="D5144" s="1"/>
      <c r="E5144" s="1"/>
      <c r="F5144" s="1"/>
      <c r="G5144" s="1" t="s">
        <v>43</v>
      </c>
      <c r="H5144" s="2">
        <v>18</v>
      </c>
      <c r="I5144" s="1" t="s">
        <v>14783</v>
      </c>
      <c r="J5144" s="1" t="s">
        <v>12206</v>
      </c>
      <c r="K5144" s="1" t="s">
        <v>45</v>
      </c>
      <c r="L5144" s="1" t="s">
        <v>6502</v>
      </c>
      <c r="M5144" s="6" t="str">
        <f>_xlfn.CONCAT(Table1[[#This Row],[Billing Street]], ", ", Table1[[#This Row],[Billing City]], ", ", Table1[[#This Row],[Billing State/Province]], ", ", Table1[[#This Row],[Billing Zip/Postal Code]])</f>
        <v>365 Munroe Falls Road, Tallmadge, OH, 44278</v>
      </c>
    </row>
    <row r="5145" spans="1:13" ht="15.6" hidden="1" x14ac:dyDescent="0.3">
      <c r="A5145" s="1" t="s">
        <v>14784</v>
      </c>
      <c r="B5145" s="1"/>
      <c r="C5145" s="1"/>
      <c r="D5145" s="1"/>
      <c r="E5145" s="1"/>
      <c r="F5145" s="1"/>
      <c r="G5145" s="1" t="s">
        <v>43</v>
      </c>
      <c r="H5145" s="2">
        <v>400</v>
      </c>
      <c r="I5145" s="1" t="s">
        <v>14785</v>
      </c>
      <c r="J5145" s="1" t="s">
        <v>14786</v>
      </c>
      <c r="K5145" s="1" t="s">
        <v>671</v>
      </c>
      <c r="L5145" s="1" t="s">
        <v>14787</v>
      </c>
      <c r="M5145" s="6" t="str">
        <f>_xlfn.CONCAT(Table1[[#This Row],[Billing Street]], ", ", Table1[[#This Row],[Billing City]], ", ", Table1[[#This Row],[Billing State/Province]], ", ", Table1[[#This Row],[Billing Zip/Postal Code]])</f>
        <v>397 Anthont Street, Schenectady, NY, 12308</v>
      </c>
    </row>
    <row r="5146" spans="1:13" ht="15.6" hidden="1" x14ac:dyDescent="0.3">
      <c r="A5146" s="1" t="s">
        <v>14788</v>
      </c>
      <c r="B5146" s="1"/>
      <c r="C5146" s="1"/>
      <c r="D5146" s="1"/>
      <c r="E5146" s="1"/>
      <c r="F5146" s="1"/>
      <c r="G5146" s="1" t="s">
        <v>54</v>
      </c>
      <c r="H5146" s="2">
        <v>948</v>
      </c>
      <c r="I5146" s="1" t="s">
        <v>14789</v>
      </c>
      <c r="J5146" s="1" t="s">
        <v>14790</v>
      </c>
      <c r="K5146" s="1" t="s">
        <v>405</v>
      </c>
      <c r="L5146" s="1" t="s">
        <v>7860</v>
      </c>
      <c r="M5146" s="6" t="str">
        <f>_xlfn.CONCAT(Table1[[#This Row],[Billing Street]], ", ", Table1[[#This Row],[Billing City]], ", ", Table1[[#This Row],[Billing State/Province]], ", ", Table1[[#This Row],[Billing Zip/Postal Code]])</f>
        <v>13628 229th Dr. SE, Issaquah, WA, 98027</v>
      </c>
    </row>
    <row r="5147" spans="1:13" ht="15.6" hidden="1" x14ac:dyDescent="0.3">
      <c r="A5147" s="1" t="s">
        <v>14791</v>
      </c>
      <c r="B5147" s="1"/>
      <c r="C5147" s="1"/>
      <c r="D5147" s="1"/>
      <c r="E5147" s="1"/>
      <c r="F5147" s="1"/>
      <c r="G5147" s="1" t="s">
        <v>54</v>
      </c>
      <c r="H5147" s="2">
        <v>79</v>
      </c>
      <c r="I5147" s="1" t="s">
        <v>14792</v>
      </c>
      <c r="J5147" s="1" t="s">
        <v>14793</v>
      </c>
      <c r="K5147" s="1" t="s">
        <v>57</v>
      </c>
      <c r="L5147" s="1" t="s">
        <v>14794</v>
      </c>
      <c r="M5147" s="6" t="str">
        <f>_xlfn.CONCAT(Table1[[#This Row],[Billing Street]], ", ", Table1[[#This Row],[Billing City]], ", ", Table1[[#This Row],[Billing State/Province]], ", ", Table1[[#This Row],[Billing Zip/Postal Code]])</f>
        <v>176 E Lincoln St, Banning, CA, 92220-0998</v>
      </c>
    </row>
    <row r="5148" spans="1:13" ht="15.6" hidden="1" x14ac:dyDescent="0.3">
      <c r="A5148" s="1" t="s">
        <v>14795</v>
      </c>
      <c r="B5148" s="1"/>
      <c r="C5148" s="1"/>
      <c r="D5148" s="1"/>
      <c r="E5148" s="1"/>
      <c r="F5148" s="1"/>
      <c r="G5148" s="1" t="s">
        <v>43</v>
      </c>
      <c r="H5148" s="2">
        <v>298</v>
      </c>
      <c r="I5148" s="1" t="s">
        <v>14796</v>
      </c>
      <c r="J5148" s="1" t="s">
        <v>1105</v>
      </c>
      <c r="K5148" s="1" t="s">
        <v>1832</v>
      </c>
      <c r="L5148" s="1" t="s">
        <v>14797</v>
      </c>
      <c r="M5148" s="6" t="str">
        <f>_xlfn.CONCAT(Table1[[#This Row],[Billing Street]], ", ", Table1[[#This Row],[Billing City]], ", ", Table1[[#This Row],[Billing State/Province]], ", ", Table1[[#This Row],[Billing Zip/Postal Code]])</f>
        <v>7610 Energy Parkway, Baltimore, Md, 21226</v>
      </c>
    </row>
    <row r="5149" spans="1:13" ht="15.6" hidden="1" x14ac:dyDescent="0.3">
      <c r="A5149" s="1" t="s">
        <v>14798</v>
      </c>
      <c r="B5149" s="1"/>
      <c r="C5149" s="1"/>
      <c r="D5149" s="1"/>
      <c r="E5149" s="1"/>
      <c r="F5149" s="1"/>
      <c r="G5149" s="1" t="s">
        <v>43</v>
      </c>
      <c r="H5149" s="2">
        <v>89</v>
      </c>
      <c r="I5149" s="1" t="s">
        <v>14799</v>
      </c>
      <c r="J5149" s="1" t="s">
        <v>3989</v>
      </c>
      <c r="K5149" s="1" t="s">
        <v>241</v>
      </c>
      <c r="L5149" s="1" t="s">
        <v>14800</v>
      </c>
      <c r="M5149" s="6" t="str">
        <f>_xlfn.CONCAT(Table1[[#This Row],[Billing Street]], ", ", Table1[[#This Row],[Billing City]], ", ", Table1[[#This Row],[Billing State/Province]], ", ", Table1[[#This Row],[Billing Zip/Postal Code]])</f>
        <v>301 W. 12th Street, Erie, PA, 16501</v>
      </c>
    </row>
    <row r="5150" spans="1:13" ht="15.6" hidden="1" x14ac:dyDescent="0.3">
      <c r="A5150" s="1" t="s">
        <v>14801</v>
      </c>
      <c r="B5150" s="1"/>
      <c r="C5150" s="1"/>
      <c r="D5150" s="1"/>
      <c r="E5150" s="1"/>
      <c r="F5150" s="1"/>
      <c r="G5150" s="1" t="s">
        <v>43</v>
      </c>
      <c r="H5150" s="2">
        <v>253</v>
      </c>
      <c r="I5150" s="1" t="s">
        <v>14802</v>
      </c>
      <c r="J5150" s="1" t="s">
        <v>14803</v>
      </c>
      <c r="K5150" s="1" t="s">
        <v>1191</v>
      </c>
      <c r="L5150" s="1" t="s">
        <v>14804</v>
      </c>
      <c r="M5150" s="6" t="str">
        <f>_xlfn.CONCAT(Table1[[#This Row],[Billing Street]], ", ", Table1[[#This Row],[Billing City]], ", ", Table1[[#This Row],[Billing State/Province]], ", ", Table1[[#This Row],[Billing Zip/Postal Code]])</f>
        <v>504 11th Street, Paintsville, KY, 41240</v>
      </c>
    </row>
    <row r="5151" spans="1:13" ht="15.6" hidden="1" x14ac:dyDescent="0.3">
      <c r="A5151" s="1" t="s">
        <v>14805</v>
      </c>
      <c r="B5151" s="1"/>
      <c r="C5151" s="1"/>
      <c r="D5151" s="1"/>
      <c r="E5151" s="1"/>
      <c r="F5151" s="1"/>
      <c r="G5151" s="1" t="s">
        <v>43</v>
      </c>
      <c r="H5151" s="2">
        <v>5776</v>
      </c>
      <c r="I5151" s="1" t="s">
        <v>13</v>
      </c>
      <c r="J5151" s="1" t="s">
        <v>1940</v>
      </c>
      <c r="K5151" s="1" t="s">
        <v>152</v>
      </c>
      <c r="L5151" s="1" t="s">
        <v>13</v>
      </c>
      <c r="M5151" s="6" t="str">
        <f>_xlfn.CONCAT(Table1[[#This Row],[Billing Street]], ", ", Table1[[#This Row],[Billing City]], ", ", Table1[[#This Row],[Billing State/Province]], ", ", Table1[[#This Row],[Billing Zip/Postal Code]])</f>
        <v xml:space="preserve">, Canton, IL, </v>
      </c>
    </row>
    <row r="5152" spans="1:13" ht="15.6" hidden="1" x14ac:dyDescent="0.3">
      <c r="A5152" s="1" t="s">
        <v>14806</v>
      </c>
      <c r="B5152" s="1"/>
      <c r="C5152" s="1"/>
      <c r="D5152" s="1"/>
      <c r="E5152" s="1"/>
      <c r="F5152" s="1"/>
      <c r="G5152" s="1" t="s">
        <v>8</v>
      </c>
      <c r="H5152" s="2">
        <v>242</v>
      </c>
      <c r="I5152" s="1" t="s">
        <v>14807</v>
      </c>
      <c r="J5152" s="1" t="s">
        <v>14808</v>
      </c>
      <c r="K5152" s="1" t="s">
        <v>165</v>
      </c>
      <c r="L5152" s="1" t="s">
        <v>5624</v>
      </c>
      <c r="M5152" s="6" t="str">
        <f>_xlfn.CONCAT(Table1[[#This Row],[Billing Street]], ", ", Table1[[#This Row],[Billing City]], ", ", Table1[[#This Row],[Billing State/Province]], ", ", Table1[[#This Row],[Billing Zip/Postal Code]])</f>
        <v>1400 W Maryland Ave, Sherwood, AR, 72120</v>
      </c>
    </row>
    <row r="5153" spans="1:13" ht="15.6" hidden="1" x14ac:dyDescent="0.3">
      <c r="A5153" s="1" t="s">
        <v>14809</v>
      </c>
      <c r="B5153" s="1"/>
      <c r="C5153" s="1"/>
      <c r="D5153" s="1"/>
      <c r="E5153" s="1"/>
      <c r="F5153" s="1"/>
      <c r="G5153" s="1" t="s">
        <v>43</v>
      </c>
      <c r="H5153" s="2">
        <v>334</v>
      </c>
      <c r="I5153" s="1" t="s">
        <v>14810</v>
      </c>
      <c r="J5153" s="1" t="s">
        <v>14811</v>
      </c>
      <c r="K5153" s="1" t="s">
        <v>1191</v>
      </c>
      <c r="L5153" s="1" t="s">
        <v>14812</v>
      </c>
      <c r="M5153" s="6" t="str">
        <f>_xlfn.CONCAT(Table1[[#This Row],[Billing Street]], ", ", Table1[[#This Row],[Billing City]], ", ", Table1[[#This Row],[Billing State/Province]], ", ", Table1[[#This Row],[Billing Zip/Postal Code]])</f>
        <v>202 Daniel Boone Dr, Barbourville, KY, 40906-5600</v>
      </c>
    </row>
    <row r="5154" spans="1:13" ht="15.6" hidden="1" x14ac:dyDescent="0.3">
      <c r="A5154" s="1" t="s">
        <v>14813</v>
      </c>
      <c r="B5154" s="1"/>
      <c r="C5154" s="1"/>
      <c r="D5154" s="1"/>
      <c r="E5154" s="1"/>
      <c r="F5154" s="1"/>
      <c r="G5154" s="1" t="s">
        <v>8</v>
      </c>
      <c r="H5154" s="2">
        <v>47</v>
      </c>
      <c r="I5154" s="1" t="s">
        <v>14814</v>
      </c>
      <c r="J5154" s="1" t="s">
        <v>6521</v>
      </c>
      <c r="K5154" s="1" t="s">
        <v>554</v>
      </c>
      <c r="L5154" s="1" t="s">
        <v>6522</v>
      </c>
      <c r="M5154" s="6" t="str">
        <f>_xlfn.CONCAT(Table1[[#This Row],[Billing Street]], ", ", Table1[[#This Row],[Billing City]], ", ", Table1[[#This Row],[Billing State/Province]], ", ", Table1[[#This Row],[Billing Zip/Postal Code]])</f>
        <v>1801 N Santa Fe Ave, Chanute, KS, 66720</v>
      </c>
    </row>
    <row r="5155" spans="1:13" ht="15.6" hidden="1" x14ac:dyDescent="0.3">
      <c r="A5155" s="1" t="s">
        <v>14815</v>
      </c>
      <c r="B5155" s="1"/>
      <c r="C5155" s="1"/>
      <c r="D5155" s="1"/>
      <c r="E5155" s="1"/>
      <c r="F5155" s="1"/>
      <c r="G5155" s="1" t="s">
        <v>43</v>
      </c>
      <c r="H5155" s="2">
        <v>482</v>
      </c>
      <c r="I5155" s="1" t="s">
        <v>14816</v>
      </c>
      <c r="J5155" s="1" t="s">
        <v>7173</v>
      </c>
      <c r="K5155" s="1" t="s">
        <v>1191</v>
      </c>
      <c r="L5155" s="1" t="s">
        <v>14817</v>
      </c>
      <c r="M5155" s="6" t="str">
        <f>_xlfn.CONCAT(Table1[[#This Row],[Billing Street]], ", ", Table1[[#This Row],[Billing City]], ", ", Table1[[#This Row],[Billing State/Province]], ", ", Table1[[#This Row],[Billing Zip/Postal Code]])</f>
        <v>2900 Irvin Cobb Dr, Paducah, KY, 42002-4030</v>
      </c>
    </row>
    <row r="5156" spans="1:13" ht="15.6" x14ac:dyDescent="0.3">
      <c r="A5156" s="1" t="s">
        <v>14818</v>
      </c>
      <c r="B5156" s="1"/>
      <c r="C5156" s="1"/>
      <c r="D5156" s="1"/>
      <c r="E5156" s="1"/>
      <c r="F5156" s="1"/>
      <c r="G5156" s="1" t="s">
        <v>24</v>
      </c>
      <c r="H5156" s="2">
        <v>310</v>
      </c>
      <c r="I5156" s="1" t="s">
        <v>14819</v>
      </c>
      <c r="J5156" s="1" t="s">
        <v>14820</v>
      </c>
      <c r="K5156" s="1" t="s">
        <v>31</v>
      </c>
      <c r="L5156" s="1" t="s">
        <v>14821</v>
      </c>
      <c r="M5156" s="6" t="str">
        <f>_xlfn.CONCAT(Table1[[#This Row],[Billing Street]], ", ", Table1[[#This Row],[Billing City]], ", ", Table1[[#This Row],[Billing State/Province]], ", ", Table1[[#This Row],[Billing Zip/Postal Code]])</f>
        <v>100 Cleveland Street, New Albany, MS, 38652</v>
      </c>
    </row>
    <row r="5157" spans="1:13" ht="15.6" hidden="1" x14ac:dyDescent="0.3">
      <c r="A5157" s="1" t="s">
        <v>14822</v>
      </c>
      <c r="B5157" s="1"/>
      <c r="C5157" s="1"/>
      <c r="D5157" s="1"/>
      <c r="E5157" s="1"/>
      <c r="F5157" s="1"/>
      <c r="G5157" s="1" t="s">
        <v>8</v>
      </c>
      <c r="H5157" s="2">
        <v>711</v>
      </c>
      <c r="I5157" s="1" t="s">
        <v>14823</v>
      </c>
      <c r="J5157" s="1" t="s">
        <v>14824</v>
      </c>
      <c r="K5157" s="1" t="s">
        <v>128</v>
      </c>
      <c r="L5157" s="1" t="s">
        <v>14825</v>
      </c>
      <c r="M5157" s="6" t="str">
        <f>_xlfn.CONCAT(Table1[[#This Row],[Billing Street]], ", ", Table1[[#This Row],[Billing City]], ", ", Table1[[#This Row],[Billing State/Province]], ", ", Table1[[#This Row],[Billing Zip/Postal Code]])</f>
        <v>502 North Main, Mahnomen, MN, 56557</v>
      </c>
    </row>
    <row r="5158" spans="1:13" ht="15.6" hidden="1" x14ac:dyDescent="0.3">
      <c r="A5158" s="1" t="s">
        <v>14826</v>
      </c>
      <c r="B5158" s="1"/>
      <c r="C5158" s="1"/>
      <c r="D5158" s="1"/>
      <c r="E5158" s="1"/>
      <c r="F5158" s="1"/>
      <c r="G5158" s="1" t="s">
        <v>8</v>
      </c>
      <c r="H5158" s="2">
        <v>6528</v>
      </c>
      <c r="I5158" s="1" t="s">
        <v>14827</v>
      </c>
      <c r="J5158" s="1" t="s">
        <v>7483</v>
      </c>
      <c r="K5158" s="1" t="s">
        <v>2414</v>
      </c>
      <c r="L5158" s="1" t="s">
        <v>7484</v>
      </c>
      <c r="M5158" s="6" t="str">
        <f>_xlfn.CONCAT(Table1[[#This Row],[Billing Street]], ", ", Table1[[#This Row],[Billing City]], ", ", Table1[[#This Row],[Billing State/Province]], ", ", Table1[[#This Row],[Billing Zip/Postal Code]])</f>
        <v>P. O. Box 1934, Colstrip, MT, 59323</v>
      </c>
    </row>
    <row r="5159" spans="1:13" ht="15.6" hidden="1" x14ac:dyDescent="0.3">
      <c r="A5159" s="1" t="s">
        <v>14828</v>
      </c>
      <c r="B5159" s="1"/>
      <c r="C5159" s="1"/>
      <c r="D5159" s="1"/>
      <c r="E5159" s="1"/>
      <c r="F5159" s="1"/>
      <c r="G5159" s="1" t="s">
        <v>54</v>
      </c>
      <c r="H5159" s="2">
        <v>933</v>
      </c>
      <c r="I5159" s="1" t="s">
        <v>14829</v>
      </c>
      <c r="J5159" s="1" t="s">
        <v>14830</v>
      </c>
      <c r="K5159" s="1" t="s">
        <v>405</v>
      </c>
      <c r="L5159" s="1" t="s">
        <v>14831</v>
      </c>
      <c r="M5159" s="6" t="str">
        <f>_xlfn.CONCAT(Table1[[#This Row],[Billing Street]], ", ", Table1[[#This Row],[Billing City]], ", ", Table1[[#This Row],[Billing State/Province]], ", ", Table1[[#This Row],[Billing Zip/Postal Code]])</f>
        <v>PO box 99987, Lakewood, WA, 98496</v>
      </c>
    </row>
    <row r="5160" spans="1:13" ht="15.6" hidden="1" x14ac:dyDescent="0.3">
      <c r="A5160" s="1" t="s">
        <v>14832</v>
      </c>
      <c r="B5160" s="1"/>
      <c r="C5160" s="1"/>
      <c r="D5160" s="1"/>
      <c r="E5160" s="1"/>
      <c r="F5160" s="1"/>
      <c r="G5160" s="1" t="s">
        <v>54</v>
      </c>
      <c r="H5160" s="2">
        <v>932</v>
      </c>
      <c r="I5160" s="1" t="s">
        <v>14833</v>
      </c>
      <c r="J5160" s="1" t="s">
        <v>14830</v>
      </c>
      <c r="K5160" s="1" t="s">
        <v>405</v>
      </c>
      <c r="L5160" s="1" t="s">
        <v>14834</v>
      </c>
      <c r="M5160" s="6" t="str">
        <f>_xlfn.CONCAT(Table1[[#This Row],[Billing Street]], ", ", Table1[[#This Row],[Billing City]], ", ", Table1[[#This Row],[Billing State/Province]], ", ", Table1[[#This Row],[Billing Zip/Postal Code]])</f>
        <v>11509 Bridgeport way S.W, Lakewood, WA, 98499</v>
      </c>
    </row>
    <row r="5161" spans="1:13" ht="15.6" hidden="1" x14ac:dyDescent="0.3">
      <c r="A5161" s="1" t="s">
        <v>14835</v>
      </c>
      <c r="B5161" s="1"/>
      <c r="C5161" s="1"/>
      <c r="D5161" s="1"/>
      <c r="E5161" s="1"/>
      <c r="F5161" s="1"/>
      <c r="G5161" s="1" t="s">
        <v>54</v>
      </c>
      <c r="H5161" s="2">
        <v>940</v>
      </c>
      <c r="I5161" s="1" t="s">
        <v>14836</v>
      </c>
      <c r="J5161" s="1" t="s">
        <v>4259</v>
      </c>
      <c r="K5161" s="1" t="s">
        <v>405</v>
      </c>
      <c r="L5161" s="1" t="s">
        <v>14837</v>
      </c>
      <c r="M5161" s="6" t="str">
        <f>_xlfn.CONCAT(Table1[[#This Row],[Billing Street]], ", ", Table1[[#This Row],[Billing City]], ", ", Table1[[#This Row],[Billing State/Province]], ", ", Table1[[#This Row],[Billing Zip/Postal Code]])</f>
        <v>2720 summer Ave, Aberdeen, WA, 98520</v>
      </c>
    </row>
    <row r="5162" spans="1:13" ht="15.6" hidden="1" x14ac:dyDescent="0.3">
      <c r="A5162" s="1" t="s">
        <v>14838</v>
      </c>
      <c r="B5162" s="1"/>
      <c r="C5162" s="1"/>
      <c r="D5162" s="1"/>
      <c r="E5162" s="1"/>
      <c r="F5162" s="1"/>
      <c r="G5162" s="1" t="s">
        <v>43</v>
      </c>
      <c r="H5162" s="2">
        <v>499</v>
      </c>
      <c r="I5162" s="1" t="s">
        <v>14839</v>
      </c>
      <c r="J5162" s="1" t="s">
        <v>9294</v>
      </c>
      <c r="K5162" s="1" t="s">
        <v>1191</v>
      </c>
      <c r="L5162" s="1" t="s">
        <v>9295</v>
      </c>
      <c r="M5162" s="6" t="str">
        <f>_xlfn.CONCAT(Table1[[#This Row],[Billing Street]], ", ", Table1[[#This Row],[Billing City]], ", ", Table1[[#This Row],[Billing State/Province]], ", ", Table1[[#This Row],[Billing Zip/Postal Code]])</f>
        <v>PO Box 347, Mayfield, KY, 42066</v>
      </c>
    </row>
    <row r="5163" spans="1:13" ht="15.6" hidden="1" x14ac:dyDescent="0.3">
      <c r="A5163" s="1" t="s">
        <v>14840</v>
      </c>
      <c r="B5163" s="1"/>
      <c r="C5163" s="1"/>
      <c r="D5163" s="1"/>
      <c r="E5163" s="1"/>
      <c r="F5163" s="1"/>
      <c r="G5163" s="1" t="s">
        <v>43</v>
      </c>
      <c r="H5163" s="2">
        <v>272</v>
      </c>
      <c r="I5163" s="1" t="s">
        <v>14841</v>
      </c>
      <c r="J5163" s="1" t="s">
        <v>4687</v>
      </c>
      <c r="K5163" s="1" t="s">
        <v>1191</v>
      </c>
      <c r="L5163" s="1" t="s">
        <v>14842</v>
      </c>
      <c r="M5163" s="6" t="str">
        <f>_xlfn.CONCAT(Table1[[#This Row],[Billing Street]], ", ", Table1[[#This Row],[Billing City]], ", ", Table1[[#This Row],[Billing State/Province]], ", ", Table1[[#This Row],[Billing Zip/Postal Code]])</f>
        <v>4775 Lexington Road, Winchester, KY, 40391</v>
      </c>
    </row>
    <row r="5164" spans="1:13" ht="15.6" hidden="1" x14ac:dyDescent="0.3">
      <c r="A5164" s="1" t="s">
        <v>14843</v>
      </c>
      <c r="B5164" s="1"/>
      <c r="C5164" s="1"/>
      <c r="D5164" s="1"/>
      <c r="E5164" s="1"/>
      <c r="F5164" s="1"/>
      <c r="G5164" s="1" t="s">
        <v>43</v>
      </c>
      <c r="H5164" s="2">
        <v>345</v>
      </c>
      <c r="I5164" s="1" t="s">
        <v>14844</v>
      </c>
      <c r="J5164" s="1" t="s">
        <v>5342</v>
      </c>
      <c r="K5164" s="1" t="s">
        <v>1191</v>
      </c>
      <c r="L5164" s="1" t="s">
        <v>14845</v>
      </c>
      <c r="M5164" s="6" t="str">
        <f>_xlfn.CONCAT(Table1[[#This Row],[Billing Street]], ", ", Table1[[#This Row],[Billing City]], ", ", Table1[[#This Row],[Billing State/Province]], ", ", Table1[[#This Row],[Billing Zip/Postal Code]])</f>
        <v>411 Ring Rd, Elizabethtown, KY, 42701</v>
      </c>
    </row>
    <row r="5165" spans="1:13" ht="15.6" hidden="1" x14ac:dyDescent="0.3">
      <c r="A5165" s="1" t="s">
        <v>14846</v>
      </c>
      <c r="B5165" s="1"/>
      <c r="C5165" s="1"/>
      <c r="D5165" s="1"/>
      <c r="E5165" s="1"/>
      <c r="F5165" s="1"/>
      <c r="G5165" s="1" t="s">
        <v>43</v>
      </c>
      <c r="H5165" s="2">
        <v>391</v>
      </c>
      <c r="I5165" s="1" t="s">
        <v>14847</v>
      </c>
      <c r="J5165" s="1" t="s">
        <v>4275</v>
      </c>
      <c r="K5165" s="1" t="s">
        <v>1191</v>
      </c>
      <c r="L5165" s="1" t="s">
        <v>14848</v>
      </c>
      <c r="M5165" s="6" t="str">
        <f>_xlfn.CONCAT(Table1[[#This Row],[Billing Street]], ", ", Table1[[#This Row],[Billing City]], ", ", Table1[[#This Row],[Billing State/Province]], ", ", Table1[[#This Row],[Billing Zip/Postal Code]])</f>
        <v>2070 Tamarack Road, Owensboro, KY, 42302-0806</v>
      </c>
    </row>
    <row r="5166" spans="1:13" ht="15.6" hidden="1" x14ac:dyDescent="0.3">
      <c r="A5166" s="1" t="s">
        <v>14849</v>
      </c>
      <c r="B5166" s="1"/>
      <c r="C5166" s="1"/>
      <c r="D5166" s="1"/>
      <c r="E5166" s="1"/>
      <c r="F5166" s="1"/>
      <c r="G5166" s="1" t="s">
        <v>43</v>
      </c>
      <c r="H5166" s="2">
        <v>383</v>
      </c>
      <c r="I5166" s="1" t="s">
        <v>14850</v>
      </c>
      <c r="J5166" s="1" t="s">
        <v>3170</v>
      </c>
      <c r="K5166" s="1" t="s">
        <v>1191</v>
      </c>
      <c r="L5166" s="1" t="s">
        <v>3171</v>
      </c>
      <c r="M5166" s="6" t="str">
        <f>_xlfn.CONCAT(Table1[[#This Row],[Billing Street]], ", ", Table1[[#This Row],[Billing City]], ", ", Table1[[#This Row],[Billing State/Province]], ", ", Table1[[#This Row],[Billing Zip/Postal Code]])</f>
        <v>504 South Broadway, Glasgow, KY, 42141</v>
      </c>
    </row>
    <row r="5167" spans="1:13" ht="15.6" hidden="1" x14ac:dyDescent="0.3">
      <c r="A5167" s="1" t="s">
        <v>14851</v>
      </c>
      <c r="B5167" s="1"/>
      <c r="C5167" s="1"/>
      <c r="D5167" s="1"/>
      <c r="E5167" s="1"/>
      <c r="F5167" s="1"/>
      <c r="G5167" s="1" t="s">
        <v>43</v>
      </c>
      <c r="H5167" s="2">
        <v>425</v>
      </c>
      <c r="I5167" s="1" t="s">
        <v>14852</v>
      </c>
      <c r="J5167" s="1" t="s">
        <v>368</v>
      </c>
      <c r="K5167" s="1" t="s">
        <v>1191</v>
      </c>
      <c r="L5167" s="1" t="s">
        <v>14853</v>
      </c>
      <c r="M5167" s="6" t="str">
        <f>_xlfn.CONCAT(Table1[[#This Row],[Billing Street]], ", ", Table1[[#This Row],[Billing City]], ", ", Table1[[#This Row],[Billing State/Province]], ", ", Table1[[#This Row],[Billing Zip/Postal Code]])</f>
        <v>165 East Fourth St, Russellville, KY, 42276</v>
      </c>
    </row>
    <row r="5168" spans="1:13" ht="15.6" hidden="1" x14ac:dyDescent="0.3">
      <c r="A5168" s="1" t="s">
        <v>14854</v>
      </c>
      <c r="B5168" s="1"/>
      <c r="C5168" s="1"/>
      <c r="D5168" s="1"/>
      <c r="E5168" s="1"/>
      <c r="F5168" s="1"/>
      <c r="G5168" s="1" t="s">
        <v>43</v>
      </c>
      <c r="H5168" s="2">
        <v>401</v>
      </c>
      <c r="I5168" s="1" t="s">
        <v>14855</v>
      </c>
      <c r="J5168" s="1" t="s">
        <v>1959</v>
      </c>
      <c r="K5168" s="1" t="s">
        <v>1191</v>
      </c>
      <c r="L5168" s="1" t="s">
        <v>14856</v>
      </c>
      <c r="M5168" s="6" t="str">
        <f>_xlfn.CONCAT(Table1[[#This Row],[Billing Street]], ", ", Table1[[#This Row],[Billing City]], ", ", Table1[[#This Row],[Billing State/Province]], ", ", Table1[[#This Row],[Billing Zip/Postal Code]])</f>
        <v>801 Center Street, Bowling Green, KY, 42102</v>
      </c>
    </row>
    <row r="5169" spans="1:13" ht="15.6" hidden="1" x14ac:dyDescent="0.3">
      <c r="A5169" s="1" t="s">
        <v>14857</v>
      </c>
      <c r="B5169" s="1"/>
      <c r="C5169" s="1"/>
      <c r="D5169" s="1"/>
      <c r="E5169" s="1"/>
      <c r="F5169" s="1"/>
      <c r="G5169" s="1" t="s">
        <v>98</v>
      </c>
      <c r="H5169" s="2">
        <v>352</v>
      </c>
      <c r="I5169" s="1" t="s">
        <v>14858</v>
      </c>
      <c r="J5169" s="1" t="s">
        <v>8375</v>
      </c>
      <c r="K5169" s="1" t="s">
        <v>1178</v>
      </c>
      <c r="L5169" s="1" t="s">
        <v>14859</v>
      </c>
      <c r="M5169" s="6" t="str">
        <f>_xlfn.CONCAT(Table1[[#This Row],[Billing Street]], ", ", Table1[[#This Row],[Billing City]], ", ", Table1[[#This Row],[Billing State/Province]], ", ", Table1[[#This Row],[Billing Zip/Postal Code]])</f>
        <v>5684 Wilsons Mill Road, Clayton, NC, 27520</v>
      </c>
    </row>
    <row r="5170" spans="1:13" ht="15.6" hidden="1" x14ac:dyDescent="0.3">
      <c r="A5170" s="1" t="s">
        <v>14860</v>
      </c>
      <c r="B5170" s="1"/>
      <c r="C5170" s="1"/>
      <c r="D5170" s="1"/>
      <c r="E5170" s="1"/>
      <c r="F5170" s="1"/>
      <c r="G5170" s="1" t="s">
        <v>54</v>
      </c>
      <c r="H5170" s="2">
        <v>737</v>
      </c>
      <c r="I5170" s="1" t="s">
        <v>14861</v>
      </c>
      <c r="J5170" s="1" t="s">
        <v>418</v>
      </c>
      <c r="K5170" s="1" t="s">
        <v>2254</v>
      </c>
      <c r="L5170" s="1" t="s">
        <v>11827</v>
      </c>
      <c r="M5170" s="6" t="str">
        <f>_xlfn.CONCAT(Table1[[#This Row],[Billing Street]], ", ", Table1[[#This Row],[Billing City]], ", ", Table1[[#This Row],[Billing State/Province]], ", ", Table1[[#This Row],[Billing Zip/Postal Code]])</f>
        <v>1919 Laura Street, Springfield, OR, 97477</v>
      </c>
    </row>
    <row r="5171" spans="1:13" ht="15.6" hidden="1" x14ac:dyDescent="0.3">
      <c r="A5171" s="1" t="s">
        <v>14862</v>
      </c>
      <c r="B5171" s="1"/>
      <c r="C5171" s="1"/>
      <c r="D5171" s="1"/>
      <c r="E5171" s="1"/>
      <c r="F5171" s="1"/>
      <c r="G5171" s="1" t="s">
        <v>8</v>
      </c>
      <c r="H5171" s="2">
        <v>245</v>
      </c>
      <c r="I5171" s="1" t="s">
        <v>14863</v>
      </c>
      <c r="J5171" s="1" t="s">
        <v>1305</v>
      </c>
      <c r="K5171" s="1" t="s">
        <v>165</v>
      </c>
      <c r="L5171" s="1" t="s">
        <v>14864</v>
      </c>
      <c r="M5171" s="6" t="str">
        <f>_xlfn.CONCAT(Table1[[#This Row],[Billing Street]], ", ", Table1[[#This Row],[Billing City]], ", ", Table1[[#This Row],[Billing State/Province]], ", ", Table1[[#This Row],[Billing Zip/Postal Code]])</f>
        <v>700 W. Capital Ave. arm 7315, Little Rock, AR, 72203</v>
      </c>
    </row>
    <row r="5172" spans="1:13" ht="15.6" hidden="1" x14ac:dyDescent="0.3">
      <c r="A5172" s="1" t="s">
        <v>14865</v>
      </c>
      <c r="B5172" s="1"/>
      <c r="C5172" s="1"/>
      <c r="D5172" s="1"/>
      <c r="E5172" s="1"/>
      <c r="F5172" s="1"/>
      <c r="G5172" s="1" t="s">
        <v>8</v>
      </c>
      <c r="H5172" s="2">
        <v>68</v>
      </c>
      <c r="I5172" s="1" t="s">
        <v>14866</v>
      </c>
      <c r="J5172" s="1" t="s">
        <v>6237</v>
      </c>
      <c r="K5172" s="1" t="s">
        <v>147</v>
      </c>
      <c r="L5172" s="1" t="s">
        <v>9285</v>
      </c>
      <c r="M5172" s="6" t="str">
        <f>_xlfn.CONCAT(Table1[[#This Row],[Billing Street]], ", ", Table1[[#This Row],[Billing City]], ", ", Table1[[#This Row],[Billing State/Province]], ", ", Table1[[#This Row],[Billing Zip/Postal Code]])</f>
        <v>5510 S Lewis Avenue, Tulsa, OK, 74105</v>
      </c>
    </row>
    <row r="5173" spans="1:13" ht="15.6" hidden="1" x14ac:dyDescent="0.3">
      <c r="A5173" s="1" t="s">
        <v>14867</v>
      </c>
      <c r="B5173" s="1"/>
      <c r="C5173" s="1"/>
      <c r="D5173" s="1"/>
      <c r="E5173" s="1"/>
      <c r="F5173" s="1"/>
      <c r="G5173" s="1" t="s">
        <v>43</v>
      </c>
      <c r="H5173" s="2">
        <v>411</v>
      </c>
      <c r="I5173" s="1" t="s">
        <v>14868</v>
      </c>
      <c r="J5173" s="1" t="s">
        <v>5273</v>
      </c>
      <c r="K5173" s="1" t="s">
        <v>1191</v>
      </c>
      <c r="L5173" s="1" t="s">
        <v>5274</v>
      </c>
      <c r="M5173" s="6" t="str">
        <f>_xlfn.CONCAT(Table1[[#This Row],[Billing Street]], ", ", Table1[[#This Row],[Billing City]], ", ", Table1[[#This Row],[Billing State/Province]], ", ", Table1[[#This Row],[Billing Zip/Postal Code]])</f>
        <v>6402 Old Corydon Rd, Henderson, KY, 42419</v>
      </c>
    </row>
    <row r="5174" spans="1:13" ht="15.6" hidden="1" x14ac:dyDescent="0.3">
      <c r="A5174" s="1" t="s">
        <v>14869</v>
      </c>
      <c r="B5174" s="1"/>
      <c r="C5174" s="1"/>
      <c r="D5174" s="1"/>
      <c r="E5174" s="1"/>
      <c r="F5174" s="1"/>
      <c r="G5174" s="1" t="s">
        <v>8</v>
      </c>
      <c r="H5174" s="2">
        <v>205</v>
      </c>
      <c r="I5174" s="1" t="s">
        <v>14870</v>
      </c>
      <c r="J5174" s="1" t="s">
        <v>14871</v>
      </c>
      <c r="K5174" s="1" t="s">
        <v>11</v>
      </c>
      <c r="L5174" s="1" t="s">
        <v>14872</v>
      </c>
      <c r="M5174" s="6" t="str">
        <f>_xlfn.CONCAT(Table1[[#This Row],[Billing Street]], ", ", Table1[[#This Row],[Billing City]], ", ", Table1[[#This Row],[Billing State/Province]], ", ", Table1[[#This Row],[Billing Zip/Postal Code]])</f>
        <v>109 W Main, Slater, MO, 65349</v>
      </c>
    </row>
    <row r="5175" spans="1:13" ht="15.6" hidden="1" x14ac:dyDescent="0.3">
      <c r="A5175" s="1" t="s">
        <v>14873</v>
      </c>
      <c r="B5175" s="1"/>
      <c r="C5175" s="1"/>
      <c r="D5175" s="1"/>
      <c r="E5175" s="1"/>
      <c r="F5175" s="1"/>
      <c r="G5175" s="1" t="s">
        <v>8</v>
      </c>
      <c r="H5175" s="2">
        <v>278</v>
      </c>
      <c r="I5175" s="1" t="s">
        <v>14874</v>
      </c>
      <c r="J5175" s="1" t="s">
        <v>14875</v>
      </c>
      <c r="K5175" s="1" t="s">
        <v>11</v>
      </c>
      <c r="L5175" s="1" t="s">
        <v>14876</v>
      </c>
      <c r="M5175" s="6" t="str">
        <f>_xlfn.CONCAT(Table1[[#This Row],[Billing Street]], ", ", Table1[[#This Row],[Billing City]], ", ", Table1[[#This Row],[Billing State/Province]], ", ", Table1[[#This Row],[Billing Zip/Postal Code]])</f>
        <v>200 E. Summer Street, Monroe City, MO, 63456</v>
      </c>
    </row>
    <row r="5176" spans="1:13" ht="15.6" hidden="1" x14ac:dyDescent="0.3">
      <c r="A5176" s="1" t="s">
        <v>14877</v>
      </c>
      <c r="B5176" s="1"/>
      <c r="C5176" s="1"/>
      <c r="D5176" s="1"/>
      <c r="E5176" s="1"/>
      <c r="F5176" s="1"/>
      <c r="G5176" s="1" t="s">
        <v>54</v>
      </c>
      <c r="H5176" s="2">
        <v>523</v>
      </c>
      <c r="I5176" s="1" t="s">
        <v>14878</v>
      </c>
      <c r="J5176" s="1" t="s">
        <v>14879</v>
      </c>
      <c r="K5176" s="1" t="s">
        <v>57</v>
      </c>
      <c r="L5176" s="1" t="s">
        <v>14880</v>
      </c>
      <c r="M5176" s="6" t="str">
        <f>_xlfn.CONCAT(Table1[[#This Row],[Billing Street]], ", ", Table1[[#This Row],[Billing City]], ", ", Table1[[#This Row],[Billing State/Province]], ", ", Table1[[#This Row],[Billing Zip/Postal Code]])</f>
        <v>9126 shelter Cove Rd, Whitehorn, CA, 95589</v>
      </c>
    </row>
    <row r="5177" spans="1:13" ht="15.6" hidden="1" x14ac:dyDescent="0.3">
      <c r="A5177" s="1" t="s">
        <v>14881</v>
      </c>
      <c r="B5177" s="1"/>
      <c r="C5177" s="1"/>
      <c r="D5177" s="1"/>
      <c r="E5177" s="1"/>
      <c r="F5177" s="1"/>
      <c r="G5177" s="1" t="s">
        <v>43</v>
      </c>
      <c r="H5177" s="2">
        <v>5776</v>
      </c>
      <c r="I5177" s="1" t="s">
        <v>13</v>
      </c>
      <c r="J5177" s="1" t="s">
        <v>12283</v>
      </c>
      <c r="K5177" s="1" t="s">
        <v>2610</v>
      </c>
      <c r="L5177" s="1" t="s">
        <v>13</v>
      </c>
      <c r="M5177" s="6" t="str">
        <f>_xlfn.CONCAT(Table1[[#This Row],[Billing Street]], ", ", Table1[[#This Row],[Billing City]], ", ", Table1[[#This Row],[Billing State/Province]], ", ", Table1[[#This Row],[Billing Zip/Postal Code]])</f>
        <v xml:space="preserve">, Berlin, MD, </v>
      </c>
    </row>
    <row r="5178" spans="1:13" ht="15.6" hidden="1" x14ac:dyDescent="0.3">
      <c r="A5178" s="1" t="s">
        <v>14882</v>
      </c>
      <c r="B5178" s="1"/>
      <c r="C5178" s="1"/>
      <c r="D5178" s="1"/>
      <c r="E5178" s="1"/>
      <c r="F5178" s="1"/>
      <c r="G5178" s="1" t="s">
        <v>54</v>
      </c>
      <c r="H5178" s="2">
        <v>19</v>
      </c>
      <c r="I5178" s="1" t="s">
        <v>14883</v>
      </c>
      <c r="J5178" s="1" t="s">
        <v>14884</v>
      </c>
      <c r="K5178" s="1" t="s">
        <v>57</v>
      </c>
      <c r="L5178" s="1" t="s">
        <v>11868</v>
      </c>
      <c r="M5178" s="6" t="str">
        <f>_xlfn.CONCAT(Table1[[#This Row],[Billing Street]], ", ", Table1[[#This Row],[Billing City]], ", ", Table1[[#This Row],[Billing State/Province]], ", ", Table1[[#This Row],[Billing Zip/Postal Code]])</f>
        <v>16019 Adelante Street, Irwindale, CA, 91702</v>
      </c>
    </row>
    <row r="5179" spans="1:13" ht="15.6" hidden="1" x14ac:dyDescent="0.3">
      <c r="A5179" s="1" t="s">
        <v>14885</v>
      </c>
      <c r="B5179" s="1"/>
      <c r="C5179" s="1"/>
      <c r="D5179" s="1"/>
      <c r="E5179" s="1"/>
      <c r="F5179" s="1"/>
      <c r="G5179" s="1" t="s">
        <v>54</v>
      </c>
      <c r="H5179" s="2">
        <v>279</v>
      </c>
      <c r="I5179" s="1" t="s">
        <v>14886</v>
      </c>
      <c r="J5179" s="1" t="s">
        <v>14887</v>
      </c>
      <c r="K5179" s="1" t="s">
        <v>57</v>
      </c>
      <c r="L5179" s="1" t="s">
        <v>14888</v>
      </c>
      <c r="M5179" s="6" t="str">
        <f>_xlfn.CONCAT(Table1[[#This Row],[Billing Street]], ", ", Table1[[#This Row],[Billing City]], ", ", Table1[[#This Row],[Billing State/Province]], ", ", Table1[[#This Row],[Billing Zip/Postal Code]])</f>
        <v>333 East Canal Street, Turlock, CA, 95381-0949</v>
      </c>
    </row>
    <row r="5180" spans="1:13" ht="15.6" hidden="1" x14ac:dyDescent="0.3">
      <c r="A5180" s="1" t="s">
        <v>14889</v>
      </c>
      <c r="B5180" s="1"/>
      <c r="C5180" s="1"/>
      <c r="D5180" s="1"/>
      <c r="E5180" s="1"/>
      <c r="F5180" s="1"/>
      <c r="G5180" s="1" t="s">
        <v>43</v>
      </c>
      <c r="H5180" s="2">
        <v>5776</v>
      </c>
      <c r="I5180" s="1" t="s">
        <v>13</v>
      </c>
      <c r="J5180" s="1" t="s">
        <v>13</v>
      </c>
      <c r="K5180" s="1" t="s">
        <v>95</v>
      </c>
      <c r="L5180" s="1" t="s">
        <v>13</v>
      </c>
      <c r="M5180" s="6" t="str">
        <f>_xlfn.CONCAT(Table1[[#This Row],[Billing Street]], ", ", Table1[[#This Row],[Billing City]], ", ", Table1[[#This Row],[Billing State/Province]], ", ", Table1[[#This Row],[Billing Zip/Postal Code]])</f>
        <v xml:space="preserve">, , MA, </v>
      </c>
    </row>
    <row r="5181" spans="1:13" ht="15.6" hidden="1" x14ac:dyDescent="0.3">
      <c r="A5181" s="1" t="s">
        <v>14890</v>
      </c>
      <c r="B5181" s="1"/>
      <c r="C5181" s="1"/>
      <c r="D5181" s="1"/>
      <c r="E5181" s="1"/>
      <c r="F5181" s="1"/>
      <c r="G5181" s="1" t="s">
        <v>43</v>
      </c>
      <c r="H5181" s="2">
        <v>32</v>
      </c>
      <c r="I5181" s="1" t="s">
        <v>14891</v>
      </c>
      <c r="J5181" s="1" t="s">
        <v>703</v>
      </c>
      <c r="K5181" s="1" t="s">
        <v>45</v>
      </c>
      <c r="L5181" s="1" t="s">
        <v>1757</v>
      </c>
      <c r="M5181" s="6" t="str">
        <f>_xlfn.CONCAT(Table1[[#This Row],[Billing Street]], ", ", Table1[[#This Row],[Billing City]], ", ", Table1[[#This Row],[Billing State/Province]], ", ", Table1[[#This Row],[Billing Zip/Postal Code]])</f>
        <v>2081 McCrea Street, Alliance, OH, 44601</v>
      </c>
    </row>
    <row r="5182" spans="1:13" ht="15.6" hidden="1" x14ac:dyDescent="0.3">
      <c r="A5182" s="1" t="s">
        <v>14892</v>
      </c>
      <c r="B5182" s="1"/>
      <c r="C5182" s="1"/>
      <c r="D5182" s="1"/>
      <c r="E5182" s="1"/>
      <c r="F5182" s="1"/>
      <c r="G5182" s="1" t="s">
        <v>43</v>
      </c>
      <c r="H5182" s="2">
        <v>33</v>
      </c>
      <c r="I5182" s="1" t="s">
        <v>14893</v>
      </c>
      <c r="J5182" s="1" t="s">
        <v>703</v>
      </c>
      <c r="K5182" s="1" t="s">
        <v>45</v>
      </c>
      <c r="L5182" s="1" t="s">
        <v>1757</v>
      </c>
      <c r="M5182" s="6" t="str">
        <f>_xlfn.CONCAT(Table1[[#This Row],[Billing Street]], ", ", Table1[[#This Row],[Billing City]], ", ", Table1[[#This Row],[Billing State/Province]], ", ", Table1[[#This Row],[Billing Zip/Postal Code]])</f>
        <v>640 Keystone Street, Alliance, OH, 44601</v>
      </c>
    </row>
    <row r="5183" spans="1:13" ht="15.6" hidden="1" x14ac:dyDescent="0.3">
      <c r="A5183" s="1" t="s">
        <v>14894</v>
      </c>
      <c r="B5183" s="1"/>
      <c r="C5183" s="1"/>
      <c r="D5183" s="1"/>
      <c r="E5183" s="1"/>
      <c r="F5183" s="1"/>
      <c r="G5183" s="1" t="s">
        <v>205</v>
      </c>
      <c r="H5183" s="2">
        <v>277</v>
      </c>
      <c r="I5183" s="1" t="s">
        <v>14895</v>
      </c>
      <c r="J5183" s="1" t="s">
        <v>14896</v>
      </c>
      <c r="K5183" s="1" t="s">
        <v>266</v>
      </c>
      <c r="L5183" s="1" t="s">
        <v>14897</v>
      </c>
      <c r="M5183" s="6" t="str">
        <f>_xlfn.CONCAT(Table1[[#This Row],[Billing Street]], ", ", Table1[[#This Row],[Billing City]], ", ", Table1[[#This Row],[Billing State/Province]], ", ", Table1[[#This Row],[Billing Zip/Postal Code]])</f>
        <v>PO Box 330, Acoma, NM, 87034</v>
      </c>
    </row>
    <row r="5184" spans="1:13" ht="15.6" hidden="1" x14ac:dyDescent="0.3">
      <c r="A5184" s="1" t="s">
        <v>14898</v>
      </c>
      <c r="B5184" s="1"/>
      <c r="C5184" s="1"/>
      <c r="D5184" s="1"/>
      <c r="E5184" s="1"/>
      <c r="F5184" s="1"/>
      <c r="G5184" s="1" t="s">
        <v>54</v>
      </c>
      <c r="H5184" s="2">
        <v>7813</v>
      </c>
      <c r="I5184" s="1" t="s">
        <v>14899</v>
      </c>
      <c r="J5184" s="1" t="s">
        <v>202</v>
      </c>
      <c r="K5184" s="1" t="s">
        <v>57</v>
      </c>
      <c r="L5184" s="1" t="s">
        <v>13</v>
      </c>
      <c r="M5184" s="6" t="str">
        <f>_xlfn.CONCAT(Table1[[#This Row],[Billing Street]], ", ", Table1[[#This Row],[Billing City]], ", ", Table1[[#This Row],[Billing State/Province]], ", ", Table1[[#This Row],[Billing Zip/Postal Code]])</f>
        <v xml:space="preserve">1620E Brundage Lane, Bakersfield, CA, </v>
      </c>
    </row>
    <row r="5185" spans="1:13" ht="15.6" hidden="1" x14ac:dyDescent="0.3">
      <c r="A5185" s="1" t="s">
        <v>14900</v>
      </c>
      <c r="B5185" s="1"/>
      <c r="C5185" s="1"/>
      <c r="D5185" s="1"/>
      <c r="E5185" s="1"/>
      <c r="F5185" s="1"/>
      <c r="G5185" s="1" t="s">
        <v>8</v>
      </c>
      <c r="H5185" s="2">
        <v>350</v>
      </c>
      <c r="I5185" s="1" t="s">
        <v>14901</v>
      </c>
      <c r="J5185" s="1" t="s">
        <v>6930</v>
      </c>
      <c r="K5185" s="1" t="s">
        <v>152</v>
      </c>
      <c r="L5185" s="1" t="s">
        <v>6931</v>
      </c>
      <c r="M5185" s="6" t="str">
        <f>_xlfn.CONCAT(Table1[[#This Row],[Billing Street]], ", ", Table1[[#This Row],[Billing City]], ", ", Table1[[#This Row],[Billing State/Province]], ", ", Table1[[#This Row],[Billing Zip/Postal Code]])</f>
        <v>800 N First Street, Breese, IL, 62230</v>
      </c>
    </row>
    <row r="5186" spans="1:13" ht="15.6" hidden="1" x14ac:dyDescent="0.3">
      <c r="A5186" s="1" t="s">
        <v>14902</v>
      </c>
      <c r="B5186" s="1"/>
      <c r="C5186" s="1"/>
      <c r="D5186" s="1"/>
      <c r="E5186" s="1"/>
      <c r="F5186" s="1"/>
      <c r="G5186" s="1" t="s">
        <v>8</v>
      </c>
      <c r="H5186" s="2">
        <v>336</v>
      </c>
      <c r="I5186" s="1" t="s">
        <v>14903</v>
      </c>
      <c r="J5186" s="1" t="s">
        <v>11300</v>
      </c>
      <c r="K5186" s="1" t="s">
        <v>554</v>
      </c>
      <c r="L5186" s="1" t="s">
        <v>11301</v>
      </c>
      <c r="M5186" s="6" t="str">
        <f>_xlfn.CONCAT(Table1[[#This Row],[Billing Street]], ", ", Table1[[#This Row],[Billing City]], ", ", Table1[[#This Row],[Billing State/Province]], ", ", Table1[[#This Row],[Billing Zip/Postal Code]])</f>
        <v>1125 Range Ave, Colby, KS, 67701</v>
      </c>
    </row>
    <row r="5187" spans="1:13" ht="15.6" hidden="1" x14ac:dyDescent="0.3">
      <c r="A5187" s="1" t="s">
        <v>14904</v>
      </c>
      <c r="B5187" s="1"/>
      <c r="C5187" s="1"/>
      <c r="D5187" s="1"/>
      <c r="E5187" s="1"/>
      <c r="F5187" s="1"/>
      <c r="G5187" s="1" t="s">
        <v>43</v>
      </c>
      <c r="H5187" s="2">
        <v>5776</v>
      </c>
      <c r="I5187" s="1" t="s">
        <v>14905</v>
      </c>
      <c r="J5187" s="1" t="s">
        <v>2623</v>
      </c>
      <c r="K5187" s="1" t="s">
        <v>5495</v>
      </c>
      <c r="L5187" s="1" t="s">
        <v>14906</v>
      </c>
      <c r="M5187" s="6" t="str">
        <f>_xlfn.CONCAT(Table1[[#This Row],[Billing Street]], ", ", Table1[[#This Row],[Billing City]], ", ", Table1[[#This Row],[Billing State/Province]], ", ", Table1[[#This Row],[Billing Zip/Postal Code]])</f>
        <v>10 Griggs Drive, Dayton, Nj, 8810</v>
      </c>
    </row>
    <row r="5188" spans="1:13" ht="15.6" hidden="1" x14ac:dyDescent="0.3">
      <c r="A5188" s="1" t="s">
        <v>14907</v>
      </c>
      <c r="B5188" s="1"/>
      <c r="C5188" s="1"/>
      <c r="D5188" s="1"/>
      <c r="E5188" s="1"/>
      <c r="F5188" s="1"/>
      <c r="G5188" s="1" t="s">
        <v>43</v>
      </c>
      <c r="H5188" s="2">
        <v>359</v>
      </c>
      <c r="I5188" s="1" t="s">
        <v>14908</v>
      </c>
      <c r="J5188" s="1" t="s">
        <v>4226</v>
      </c>
      <c r="K5188" s="1" t="s">
        <v>133</v>
      </c>
      <c r="L5188" s="1" t="s">
        <v>14909</v>
      </c>
      <c r="M5188" s="6" t="str">
        <f>_xlfn.CONCAT(Table1[[#This Row],[Billing Street]], ", ", Table1[[#This Row],[Billing City]], ", ", Table1[[#This Row],[Billing State/Province]], ", ", Table1[[#This Row],[Billing Zip/Postal Code]])</f>
        <v>5477 Westridge Court, New Berlin, WI, 53151</v>
      </c>
    </row>
    <row r="5189" spans="1:13" ht="15.6" hidden="1" x14ac:dyDescent="0.3">
      <c r="A5189" s="1" t="s">
        <v>14910</v>
      </c>
      <c r="B5189" s="1"/>
      <c r="C5189" s="1"/>
      <c r="D5189" s="1"/>
      <c r="E5189" s="1"/>
      <c r="F5189" s="1"/>
      <c r="G5189" s="1" t="s">
        <v>43</v>
      </c>
      <c r="H5189" s="2">
        <v>549</v>
      </c>
      <c r="I5189" s="1" t="s">
        <v>14911</v>
      </c>
      <c r="J5189" s="1" t="s">
        <v>14912</v>
      </c>
      <c r="K5189" s="1" t="s">
        <v>95</v>
      </c>
      <c r="L5189" s="1" t="s">
        <v>14913</v>
      </c>
      <c r="M5189" s="6" t="str">
        <f>_xlfn.CONCAT(Table1[[#This Row],[Billing Street]], ", ", Table1[[#This Row],[Billing City]], ", ", Table1[[#This Row],[Billing State/Province]], ", ", Table1[[#This Row],[Billing Zip/Postal Code]])</f>
        <v>15 Edgewater Rd., Hull, MA, 2045</v>
      </c>
    </row>
    <row r="5190" spans="1:13" ht="15.6" x14ac:dyDescent="0.3">
      <c r="A5190" s="1" t="s">
        <v>14914</v>
      </c>
      <c r="B5190" s="1"/>
      <c r="C5190" s="1"/>
      <c r="D5190" s="1"/>
      <c r="E5190" s="1"/>
      <c r="F5190" s="1"/>
      <c r="G5190" s="1" t="s">
        <v>24</v>
      </c>
      <c r="H5190" s="2">
        <v>321</v>
      </c>
      <c r="I5190" s="1" t="s">
        <v>14915</v>
      </c>
      <c r="J5190" s="1" t="s">
        <v>3184</v>
      </c>
      <c r="K5190" s="1" t="s">
        <v>31</v>
      </c>
      <c r="L5190" s="1" t="s">
        <v>6312</v>
      </c>
      <c r="M5190" s="6" t="str">
        <f>_xlfn.CONCAT(Table1[[#This Row],[Billing Street]], ", ", Table1[[#This Row],[Billing City]], ", ", Table1[[#This Row],[Billing State/Province]], ", ", Table1[[#This Row],[Billing Zip/Postal Code]])</f>
        <v>300 Mcelroy Drive, Oxford, MS, 38655</v>
      </c>
    </row>
    <row r="5191" spans="1:13" ht="15.6" x14ac:dyDescent="0.3">
      <c r="A5191" s="1" t="s">
        <v>14916</v>
      </c>
      <c r="B5191" s="1"/>
      <c r="C5191" s="1"/>
      <c r="D5191" s="1"/>
      <c r="E5191" s="1"/>
      <c r="F5191" s="1"/>
      <c r="G5191" s="1" t="s">
        <v>24</v>
      </c>
      <c r="H5191" s="2">
        <v>5988</v>
      </c>
      <c r="I5191" s="1" t="s">
        <v>14917</v>
      </c>
      <c r="J5191" s="1" t="s">
        <v>711</v>
      </c>
      <c r="K5191" s="1" t="s">
        <v>31</v>
      </c>
      <c r="L5191" s="1" t="s">
        <v>6186</v>
      </c>
      <c r="M5191" s="6" t="str">
        <f>_xlfn.CONCAT(Table1[[#This Row],[Billing Street]], ", ", Table1[[#This Row],[Billing City]], ", ", Table1[[#This Row],[Billing State/Province]], ", ", Table1[[#This Row],[Billing Zip/Postal Code]])</f>
        <v>1100 College Street, Columbus, MS, 39701</v>
      </c>
    </row>
    <row r="5192" spans="1:13" ht="15.6" x14ac:dyDescent="0.3">
      <c r="A5192" s="1" t="s">
        <v>14918</v>
      </c>
      <c r="B5192" s="1"/>
      <c r="C5192" s="1"/>
      <c r="D5192" s="1"/>
      <c r="E5192" s="1"/>
      <c r="F5192" s="1"/>
      <c r="G5192" s="1" t="s">
        <v>24</v>
      </c>
      <c r="H5192" s="2">
        <v>5988</v>
      </c>
      <c r="I5192" s="1" t="s">
        <v>14919</v>
      </c>
      <c r="J5192" s="1" t="s">
        <v>3184</v>
      </c>
      <c r="K5192" s="1" t="s">
        <v>31</v>
      </c>
      <c r="L5192" s="1" t="s">
        <v>13</v>
      </c>
      <c r="M5192" s="6" t="str">
        <f>_xlfn.CONCAT(Table1[[#This Row],[Billing Street]], ", ", Table1[[#This Row],[Billing City]], ", ", Table1[[#This Row],[Billing State/Province]], ", ", Table1[[#This Row],[Billing Zip/Postal Code]])</f>
        <v xml:space="preserve">700 Hathorn Road, Oxford, MS, </v>
      </c>
    </row>
    <row r="5193" spans="1:13" ht="15.6" x14ac:dyDescent="0.3">
      <c r="A5193" s="1" t="s">
        <v>14920</v>
      </c>
      <c r="B5193" s="1"/>
      <c r="C5193" s="1"/>
      <c r="D5193" s="1"/>
      <c r="E5193" s="1"/>
      <c r="F5193" s="1"/>
      <c r="G5193" s="1" t="s">
        <v>24</v>
      </c>
      <c r="H5193" s="2">
        <v>313</v>
      </c>
      <c r="I5193" s="1" t="s">
        <v>14921</v>
      </c>
      <c r="J5193" s="1" t="s">
        <v>14922</v>
      </c>
      <c r="K5193" s="1" t="s">
        <v>31</v>
      </c>
      <c r="L5193" s="1" t="s">
        <v>14923</v>
      </c>
      <c r="M5193" s="6" t="str">
        <f>_xlfn.CONCAT(Table1[[#This Row],[Billing Street]], ", ", Table1[[#This Row],[Billing City]], ", ", Table1[[#This Row],[Billing State/Province]], ", ", Table1[[#This Row],[Billing Zip/Postal Code]])</f>
        <v>110 Gore Circle, Water Valley, MS, 38965</v>
      </c>
    </row>
    <row r="5194" spans="1:13" ht="15.6" x14ac:dyDescent="0.3">
      <c r="A5194" s="1" t="s">
        <v>14924</v>
      </c>
      <c r="B5194" s="1"/>
      <c r="C5194" s="1"/>
      <c r="D5194" s="1"/>
      <c r="E5194" s="1"/>
      <c r="F5194" s="1"/>
      <c r="G5194" s="1" t="s">
        <v>24</v>
      </c>
      <c r="H5194" s="2">
        <v>5988</v>
      </c>
      <c r="I5194" s="1" t="s">
        <v>14925</v>
      </c>
      <c r="J5194" s="1" t="s">
        <v>3184</v>
      </c>
      <c r="K5194" s="1" t="s">
        <v>31</v>
      </c>
      <c r="L5194" s="1" t="s">
        <v>6312</v>
      </c>
      <c r="M5194" s="6" t="str">
        <f>_xlfn.CONCAT(Table1[[#This Row],[Billing Street]], ", ", Table1[[#This Row],[Billing City]], ", ", Table1[[#This Row],[Billing State/Province]], ", ", Table1[[#This Row],[Billing Zip/Postal Code]])</f>
        <v>10 Private Road 2050, Oxford, MS, 38655</v>
      </c>
    </row>
    <row r="5195" spans="1:13" ht="15.6" x14ac:dyDescent="0.3">
      <c r="A5195" s="1" t="s">
        <v>14926</v>
      </c>
      <c r="B5195" s="1"/>
      <c r="C5195" s="1"/>
      <c r="D5195" s="1"/>
      <c r="E5195" s="1"/>
      <c r="F5195" s="1"/>
      <c r="G5195" s="1" t="s">
        <v>24</v>
      </c>
      <c r="H5195" s="2">
        <v>333</v>
      </c>
      <c r="I5195" s="1" t="s">
        <v>14927</v>
      </c>
      <c r="J5195" s="1" t="s">
        <v>14928</v>
      </c>
      <c r="K5195" s="1" t="s">
        <v>31</v>
      </c>
      <c r="L5195" s="1" t="s">
        <v>14929</v>
      </c>
      <c r="M5195" s="6" t="str">
        <f>_xlfn.CONCAT(Table1[[#This Row],[Billing Street]], ", ", Table1[[#This Row],[Billing City]], ", ", Table1[[#This Row],[Billing State/Province]], ", ", Table1[[#This Row],[Billing Zip/Postal Code]])</f>
        <v>250 Power Dr., Batesville, MS, 38606</v>
      </c>
    </row>
    <row r="5196" spans="1:13" ht="15.6" hidden="1" x14ac:dyDescent="0.3">
      <c r="A5196" s="1" t="s">
        <v>14930</v>
      </c>
      <c r="B5196" s="1"/>
      <c r="C5196" s="1"/>
      <c r="D5196" s="1"/>
      <c r="E5196" s="1"/>
      <c r="F5196" s="1"/>
      <c r="G5196" s="1" t="s">
        <v>54</v>
      </c>
      <c r="H5196" s="2">
        <v>37</v>
      </c>
      <c r="I5196" s="1" t="s">
        <v>14931</v>
      </c>
      <c r="J5196" s="1" t="s">
        <v>14932</v>
      </c>
      <c r="K5196" s="1" t="s">
        <v>57</v>
      </c>
      <c r="L5196" s="1" t="s">
        <v>14933</v>
      </c>
      <c r="M5196" s="6" t="str">
        <f>_xlfn.CONCAT(Table1[[#This Row],[Billing Street]], ", ", Table1[[#This Row],[Billing City]], ", ", Table1[[#This Row],[Billing State/Province]], ", ", Table1[[#This Row],[Billing Zip/Postal Code]])</f>
        <v>9852 Crescent Center Dr #801, Rancho Cucamonga, CA, 91730</v>
      </c>
    </row>
    <row r="5197" spans="1:13" ht="15.6" x14ac:dyDescent="0.3">
      <c r="A5197" s="1" t="s">
        <v>14934</v>
      </c>
      <c r="B5197" s="1"/>
      <c r="C5197" s="1"/>
      <c r="D5197" s="1"/>
      <c r="E5197" s="1"/>
      <c r="F5197" s="1"/>
      <c r="G5197" s="1" t="s">
        <v>24</v>
      </c>
      <c r="H5197" s="2">
        <v>5988</v>
      </c>
      <c r="I5197" s="1" t="s">
        <v>14935</v>
      </c>
      <c r="J5197" s="1" t="s">
        <v>14936</v>
      </c>
      <c r="K5197" s="1" t="s">
        <v>951</v>
      </c>
      <c r="L5197" s="1" t="s">
        <v>14937</v>
      </c>
      <c r="M5197" s="6" t="str">
        <f>_xlfn.CONCAT(Table1[[#This Row],[Billing Street]], ", ", Table1[[#This Row],[Billing City]], ", ", Table1[[#This Row],[Billing State/Province]], ", ", Table1[[#This Row],[Billing Zip/Postal Code]])</f>
        <v>12 S. Main St., Ponotoc, Ms, 38863</v>
      </c>
    </row>
    <row r="5198" spans="1:13" ht="15.6" hidden="1" x14ac:dyDescent="0.3">
      <c r="A5198" s="1" t="s">
        <v>14938</v>
      </c>
      <c r="B5198" s="1"/>
      <c r="C5198" s="1"/>
      <c r="D5198" s="1"/>
      <c r="E5198" s="1"/>
      <c r="F5198" s="1"/>
      <c r="G5198" s="1" t="s">
        <v>43</v>
      </c>
      <c r="H5198" s="2">
        <v>348</v>
      </c>
      <c r="I5198" s="1" t="s">
        <v>14939</v>
      </c>
      <c r="J5198" s="1" t="s">
        <v>1970</v>
      </c>
      <c r="K5198" s="1" t="s">
        <v>152</v>
      </c>
      <c r="L5198" s="1" t="s">
        <v>14940</v>
      </c>
      <c r="M5198" s="6" t="str">
        <f>_xlfn.CONCAT(Table1[[#This Row],[Billing Street]], ", ", Table1[[#This Row],[Billing City]], ", ", Table1[[#This Row],[Billing State/Province]], ", ", Table1[[#This Row],[Billing Zip/Postal Code]])</f>
        <v>11597 IL Hwy 1, Paris, IL, 61944-8447</v>
      </c>
    </row>
    <row r="5199" spans="1:13" ht="15.6" hidden="1" x14ac:dyDescent="0.3">
      <c r="A5199" s="1" t="s">
        <v>14941</v>
      </c>
      <c r="B5199" s="1"/>
      <c r="C5199" s="1"/>
      <c r="D5199" s="1"/>
      <c r="E5199" s="1"/>
      <c r="F5199" s="1"/>
      <c r="G5199" s="1" t="s">
        <v>43</v>
      </c>
      <c r="H5199" s="2">
        <v>459</v>
      </c>
      <c r="I5199" s="1" t="s">
        <v>14942</v>
      </c>
      <c r="J5199" s="1" t="s">
        <v>487</v>
      </c>
      <c r="K5199" s="1" t="s">
        <v>95</v>
      </c>
      <c r="L5199" s="1" t="s">
        <v>14943</v>
      </c>
      <c r="M5199" s="6" t="str">
        <f>_xlfn.CONCAT(Table1[[#This Row],[Billing Street]], ", ", Table1[[#This Row],[Billing City]], ", ", Table1[[#This Row],[Billing State/Province]], ", ", Table1[[#This Row],[Billing Zip/Postal Code]])</f>
        <v>80 Jackson St.  102 cabot, Holyoke, MA, 1040</v>
      </c>
    </row>
    <row r="5200" spans="1:13" ht="15.6" hidden="1" x14ac:dyDescent="0.3">
      <c r="A5200" s="1" t="s">
        <v>14944</v>
      </c>
      <c r="B5200" s="1"/>
      <c r="C5200" s="1"/>
      <c r="D5200" s="1"/>
      <c r="E5200" s="1"/>
      <c r="F5200" s="1"/>
      <c r="G5200" s="1" t="s">
        <v>8</v>
      </c>
      <c r="H5200" s="2">
        <v>81</v>
      </c>
      <c r="I5200" s="1" t="s">
        <v>14945</v>
      </c>
      <c r="J5200" s="1" t="s">
        <v>2120</v>
      </c>
      <c r="K5200" s="1" t="s">
        <v>554</v>
      </c>
      <c r="L5200" s="1" t="s">
        <v>2121</v>
      </c>
      <c r="M5200" s="6" t="str">
        <f>_xlfn.CONCAT(Table1[[#This Row],[Billing Street]], ", ", Table1[[#This Row],[Billing City]], ", ", Table1[[#This Row],[Billing State/Province]], ", ", Table1[[#This Row],[Billing Zip/Postal Code]])</f>
        <v>119 s. 12th st, Burlington, KS, 66839</v>
      </c>
    </row>
    <row r="5201" spans="1:13" ht="15.6" hidden="1" x14ac:dyDescent="0.3">
      <c r="A5201" s="1" t="s">
        <v>14946</v>
      </c>
      <c r="B5201" s="1"/>
      <c r="C5201" s="1"/>
      <c r="D5201" s="1"/>
      <c r="E5201" s="1"/>
      <c r="F5201" s="1"/>
      <c r="G5201" s="1" t="s">
        <v>8</v>
      </c>
      <c r="H5201" s="2">
        <v>439</v>
      </c>
      <c r="I5201" s="1" t="s">
        <v>14947</v>
      </c>
      <c r="J5201" s="1" t="s">
        <v>1843</v>
      </c>
      <c r="K5201" s="1" t="s">
        <v>51</v>
      </c>
      <c r="L5201" s="1" t="s">
        <v>1844</v>
      </c>
      <c r="M5201" s="6" t="str">
        <f>_xlfn.CONCAT(Table1[[#This Row],[Billing Street]], ", ", Table1[[#This Row],[Billing City]], ", ", Table1[[#This Row],[Billing State/Province]], ", ", Table1[[#This Row],[Billing Zip/Postal Code]])</f>
        <v>2730 old woodville rd, Livingston, TX, 77351</v>
      </c>
    </row>
    <row r="5202" spans="1:13" ht="15.6" hidden="1" x14ac:dyDescent="0.3">
      <c r="A5202" s="1" t="s">
        <v>14948</v>
      </c>
      <c r="B5202" s="1"/>
      <c r="C5202" s="1"/>
      <c r="D5202" s="1"/>
      <c r="E5202" s="1"/>
      <c r="F5202" s="1"/>
      <c r="G5202" s="1" t="s">
        <v>43</v>
      </c>
      <c r="H5202" s="2">
        <v>509</v>
      </c>
      <c r="I5202" s="1" t="s">
        <v>14949</v>
      </c>
      <c r="J5202" s="1" t="s">
        <v>10141</v>
      </c>
      <c r="K5202" s="1" t="s">
        <v>152</v>
      </c>
      <c r="L5202" s="1" t="s">
        <v>14950</v>
      </c>
      <c r="M5202" s="6" t="str">
        <f>_xlfn.CONCAT(Table1[[#This Row],[Billing Street]], ", ", Table1[[#This Row],[Billing City]], ", ", Table1[[#This Row],[Billing State/Province]], ", ", Table1[[#This Row],[Billing Zip/Postal Code]])</f>
        <v>524 N Madison St, Carthage, IL, 62321</v>
      </c>
    </row>
    <row r="5203" spans="1:13" ht="15.6" hidden="1" x14ac:dyDescent="0.3">
      <c r="A5203" s="1" t="s">
        <v>14951</v>
      </c>
      <c r="B5203" s="1"/>
      <c r="C5203" s="1"/>
      <c r="D5203" s="1"/>
      <c r="E5203" s="1"/>
      <c r="F5203" s="1"/>
      <c r="G5203" s="1" t="s">
        <v>8</v>
      </c>
      <c r="H5203" s="2">
        <v>149</v>
      </c>
      <c r="I5203" s="1" t="s">
        <v>14952</v>
      </c>
      <c r="J5203" s="1" t="s">
        <v>14953</v>
      </c>
      <c r="K5203" s="1" t="s">
        <v>11</v>
      </c>
      <c r="L5203" s="1" t="s">
        <v>14954</v>
      </c>
      <c r="M5203" s="6" t="str">
        <f>_xlfn.CONCAT(Table1[[#This Row],[Billing Street]], ", ", Table1[[#This Row],[Billing City]], ", ", Table1[[#This Row],[Billing State/Province]], ", ", Table1[[#This Row],[Billing Zip/Postal Code]])</f>
        <v>7320 Arlington Avenue, Raytown, MO, 64133-6567</v>
      </c>
    </row>
    <row r="5204" spans="1:13" ht="15.6" hidden="1" x14ac:dyDescent="0.3">
      <c r="A5204" s="1" t="s">
        <v>14955</v>
      </c>
      <c r="B5204" s="1"/>
      <c r="C5204" s="1"/>
      <c r="D5204" s="1"/>
      <c r="E5204" s="1"/>
      <c r="F5204" s="1"/>
      <c r="G5204" s="1" t="s">
        <v>8</v>
      </c>
      <c r="H5204" s="2">
        <v>6528</v>
      </c>
      <c r="I5204" s="1" t="s">
        <v>13</v>
      </c>
      <c r="J5204" s="1" t="s">
        <v>8818</v>
      </c>
      <c r="K5204" s="1" t="s">
        <v>229</v>
      </c>
      <c r="L5204" s="1" t="s">
        <v>13</v>
      </c>
      <c r="M5204" s="6" t="str">
        <f>_xlfn.CONCAT(Table1[[#This Row],[Billing Street]], ", ", Table1[[#This Row],[Billing City]], ", ", Table1[[#This Row],[Billing State/Province]], ", ", Table1[[#This Row],[Billing Zip/Postal Code]])</f>
        <v xml:space="preserve">, Mitchell, SD, </v>
      </c>
    </row>
    <row r="5205" spans="1:13" ht="15.6" x14ac:dyDescent="0.3">
      <c r="A5205" s="1" t="s">
        <v>14956</v>
      </c>
      <c r="B5205" s="1"/>
      <c r="C5205" s="1"/>
      <c r="D5205" s="1"/>
      <c r="E5205" s="1"/>
      <c r="F5205" s="1"/>
      <c r="G5205" s="1" t="s">
        <v>24</v>
      </c>
      <c r="H5205" s="2">
        <v>224</v>
      </c>
      <c r="I5205" s="1" t="s">
        <v>14957</v>
      </c>
      <c r="J5205" s="1" t="s">
        <v>3159</v>
      </c>
      <c r="K5205" s="1" t="s">
        <v>36</v>
      </c>
      <c r="L5205" s="1" t="s">
        <v>14958</v>
      </c>
      <c r="M5205" s="6" t="str">
        <f>_xlfn.CONCAT(Table1[[#This Row],[Billing Street]], ", ", Table1[[#This Row],[Billing City]], ", ", Table1[[#This Row],[Billing State/Province]], ", ", Table1[[#This Row],[Billing Zip/Postal Code]])</f>
        <v>954 NW 244th St Dr, Newberry, FL, 32669</v>
      </c>
    </row>
    <row r="5206" spans="1:13" ht="15.6" hidden="1" x14ac:dyDescent="0.3">
      <c r="A5206" s="1" t="s">
        <v>14959</v>
      </c>
      <c r="B5206" s="1"/>
      <c r="C5206" s="1"/>
      <c r="D5206" s="1"/>
      <c r="E5206" s="1"/>
      <c r="F5206" s="1"/>
      <c r="G5206" s="1" t="s">
        <v>43</v>
      </c>
      <c r="H5206" s="2">
        <v>23</v>
      </c>
      <c r="I5206" s="1" t="s">
        <v>14960</v>
      </c>
      <c r="J5206" s="1" t="s">
        <v>14961</v>
      </c>
      <c r="K5206" s="1" t="s">
        <v>45</v>
      </c>
      <c r="L5206" s="1" t="s">
        <v>14962</v>
      </c>
      <c r="M5206" s="6" t="str">
        <f>_xlfn.CONCAT(Table1[[#This Row],[Billing Street]], ", ", Table1[[#This Row],[Billing City]], ", ", Table1[[#This Row],[Billing State/Province]], ", ", Table1[[#This Row],[Billing Zip/Postal Code]])</f>
        <v>91 Stirling Avenue, Barberton, OH, 44203</v>
      </c>
    </row>
    <row r="5207" spans="1:13" ht="15.6" hidden="1" x14ac:dyDescent="0.3">
      <c r="A5207" s="1" t="s">
        <v>12550</v>
      </c>
      <c r="B5207" s="1"/>
      <c r="C5207" s="1"/>
      <c r="D5207" s="1"/>
      <c r="E5207" s="1"/>
      <c r="F5207" s="1"/>
      <c r="G5207" s="1" t="s">
        <v>43</v>
      </c>
      <c r="H5207" s="2">
        <v>5776</v>
      </c>
      <c r="I5207" s="1" t="s">
        <v>13</v>
      </c>
      <c r="J5207" s="1" t="s">
        <v>13</v>
      </c>
      <c r="K5207" s="1" t="s">
        <v>95</v>
      </c>
      <c r="L5207" s="1" t="s">
        <v>13</v>
      </c>
      <c r="M5207" s="6" t="str">
        <f>_xlfn.CONCAT(Table1[[#This Row],[Billing Street]], ", ", Table1[[#This Row],[Billing City]], ", ", Table1[[#This Row],[Billing State/Province]], ", ", Table1[[#This Row],[Billing Zip/Postal Code]])</f>
        <v xml:space="preserve">, , MA, </v>
      </c>
    </row>
    <row r="5208" spans="1:13" ht="15.6" hidden="1" x14ac:dyDescent="0.3">
      <c r="A5208" s="1" t="s">
        <v>14963</v>
      </c>
      <c r="B5208" s="1"/>
      <c r="C5208" s="1"/>
      <c r="D5208" s="1"/>
      <c r="E5208" s="1"/>
      <c r="F5208" s="1"/>
      <c r="G5208" s="1" t="s">
        <v>43</v>
      </c>
      <c r="H5208" s="2">
        <v>495</v>
      </c>
      <c r="I5208" s="1" t="s">
        <v>14964</v>
      </c>
      <c r="J5208" s="1" t="s">
        <v>9186</v>
      </c>
      <c r="K5208" s="1" t="s">
        <v>95</v>
      </c>
      <c r="L5208" s="1" t="s">
        <v>14965</v>
      </c>
      <c r="M5208" s="6" t="str">
        <f>_xlfn.CONCAT(Table1[[#This Row],[Billing Street]], ", ", Table1[[#This Row],[Billing City]], ", ", Table1[[#This Row],[Billing State/Province]], ", ", Table1[[#This Row],[Billing Zip/Postal Code]])</f>
        <v>578 Pleasant Street, Paxton, MA, 1612</v>
      </c>
    </row>
    <row r="5209" spans="1:13" ht="15.6" hidden="1" x14ac:dyDescent="0.3">
      <c r="A5209" s="1" t="s">
        <v>14966</v>
      </c>
      <c r="B5209" s="1"/>
      <c r="C5209" s="1"/>
      <c r="D5209" s="1"/>
      <c r="E5209" s="1"/>
      <c r="F5209" s="1"/>
      <c r="G5209" s="1" t="s">
        <v>43</v>
      </c>
      <c r="H5209" s="2">
        <v>5776</v>
      </c>
      <c r="I5209" s="1" t="s">
        <v>13</v>
      </c>
      <c r="J5209" s="1" t="s">
        <v>13</v>
      </c>
      <c r="K5209" s="1" t="s">
        <v>95</v>
      </c>
      <c r="L5209" s="1" t="s">
        <v>13</v>
      </c>
      <c r="M5209" s="6" t="str">
        <f>_xlfn.CONCAT(Table1[[#This Row],[Billing Street]], ", ", Table1[[#This Row],[Billing City]], ", ", Table1[[#This Row],[Billing State/Province]], ", ", Table1[[#This Row],[Billing Zip/Postal Code]])</f>
        <v xml:space="preserve">, , MA, </v>
      </c>
    </row>
    <row r="5210" spans="1:13" ht="15.6" hidden="1" x14ac:dyDescent="0.3">
      <c r="A5210" s="1" t="s">
        <v>14967</v>
      </c>
      <c r="B5210" s="1"/>
      <c r="C5210" s="1"/>
      <c r="D5210" s="1"/>
      <c r="E5210" s="1"/>
      <c r="F5210" s="1"/>
      <c r="G5210" s="1" t="s">
        <v>43</v>
      </c>
      <c r="H5210" s="2">
        <v>543</v>
      </c>
      <c r="I5210" s="1" t="s">
        <v>14968</v>
      </c>
      <c r="J5210" s="1" t="s">
        <v>14969</v>
      </c>
      <c r="K5210" s="1" t="s">
        <v>95</v>
      </c>
      <c r="L5210" s="1" t="s">
        <v>14970</v>
      </c>
      <c r="M5210" s="6" t="str">
        <f>_xlfn.CONCAT(Table1[[#This Row],[Billing Street]], ", ", Table1[[#This Row],[Billing City]], ", ", Table1[[#This Row],[Billing State/Province]], ", ", Table1[[#This Row],[Billing Zip/Postal Code]])</f>
        <v>23 School St., Groveland, MA, 1834</v>
      </c>
    </row>
    <row r="5211" spans="1:13" ht="15.6" x14ac:dyDescent="0.3">
      <c r="A5211" s="1" t="s">
        <v>14971</v>
      </c>
      <c r="B5211" s="1"/>
      <c r="C5211" s="1"/>
      <c r="D5211" s="1"/>
      <c r="E5211" s="1"/>
      <c r="F5211" s="1"/>
      <c r="G5211" s="1" t="s">
        <v>24</v>
      </c>
      <c r="H5211" s="2">
        <v>5988</v>
      </c>
      <c r="I5211" s="1" t="s">
        <v>14972</v>
      </c>
      <c r="J5211" s="1" t="s">
        <v>14973</v>
      </c>
      <c r="K5211" s="1" t="s">
        <v>951</v>
      </c>
      <c r="L5211" s="1" t="s">
        <v>14974</v>
      </c>
      <c r="M5211" s="6" t="str">
        <f>_xlfn.CONCAT(Table1[[#This Row],[Billing Street]], ", ", Table1[[#This Row],[Billing City]], ", ", Table1[[#This Row],[Billing State/Province]], ", ", Table1[[#This Row],[Billing Zip/Postal Code]])</f>
        <v>302 w church street, Boonville, Ms, 38829</v>
      </c>
    </row>
    <row r="5212" spans="1:13" ht="15.6" hidden="1" x14ac:dyDescent="0.3">
      <c r="A5212" s="1" t="s">
        <v>14975</v>
      </c>
      <c r="B5212" s="1"/>
      <c r="C5212" s="1"/>
      <c r="D5212" s="1"/>
      <c r="E5212" s="1"/>
      <c r="F5212" s="1"/>
      <c r="G5212" s="1" t="s">
        <v>43</v>
      </c>
      <c r="H5212" s="2">
        <v>5776</v>
      </c>
      <c r="I5212" s="1" t="s">
        <v>14976</v>
      </c>
      <c r="J5212" s="1" t="s">
        <v>14977</v>
      </c>
      <c r="K5212" s="1" t="s">
        <v>1154</v>
      </c>
      <c r="L5212" s="1" t="s">
        <v>14978</v>
      </c>
      <c r="M5212" s="6" t="str">
        <f>_xlfn.CONCAT(Table1[[#This Row],[Billing Street]], ", ", Table1[[#This Row],[Billing City]], ", ", Table1[[#This Row],[Billing State/Province]], ", ", Table1[[#This Row],[Billing Zip/Postal Code]])</f>
        <v>29 United Rd, Dubois, Pa, 15801</v>
      </c>
    </row>
    <row r="5213" spans="1:13" ht="15.6" hidden="1" x14ac:dyDescent="0.3">
      <c r="A5213" s="1" t="s">
        <v>14979</v>
      </c>
      <c r="B5213" s="1"/>
      <c r="C5213" s="1"/>
      <c r="D5213" s="1"/>
      <c r="E5213" s="1"/>
      <c r="F5213" s="1"/>
      <c r="G5213" s="1" t="s">
        <v>43</v>
      </c>
      <c r="H5213" s="2">
        <v>5776</v>
      </c>
      <c r="I5213" s="1" t="s">
        <v>14980</v>
      </c>
      <c r="J5213" s="1" t="s">
        <v>13051</v>
      </c>
      <c r="K5213" s="1" t="s">
        <v>781</v>
      </c>
      <c r="L5213" s="1" t="s">
        <v>14981</v>
      </c>
      <c r="M5213" s="6" t="str">
        <f>_xlfn.CONCAT(Table1[[#This Row],[Billing Street]], ", ", Table1[[#This Row],[Billing City]], ", ", Table1[[#This Row],[Billing State/Province]], ", ", Table1[[#This Row],[Billing Zip/Postal Code]])</f>
        <v>80 South Franklin Street, Chambersburg, pa, 17201</v>
      </c>
    </row>
    <row r="5214" spans="1:13" ht="15.6" hidden="1" x14ac:dyDescent="0.3">
      <c r="A5214" s="1" t="s">
        <v>1053</v>
      </c>
      <c r="B5214" s="1"/>
      <c r="C5214" s="1"/>
      <c r="D5214" s="1"/>
      <c r="E5214" s="1"/>
      <c r="F5214" s="1"/>
      <c r="G5214" s="1" t="s">
        <v>43</v>
      </c>
      <c r="H5214" s="2">
        <v>319</v>
      </c>
      <c r="I5214" s="1" t="s">
        <v>14982</v>
      </c>
      <c r="J5214" s="1" t="s">
        <v>14983</v>
      </c>
      <c r="K5214" s="1" t="s">
        <v>152</v>
      </c>
      <c r="L5214" s="1" t="s">
        <v>14984</v>
      </c>
      <c r="M5214" s="6" t="str">
        <f>_xlfn.CONCAT(Table1[[#This Row],[Billing Street]], ", ", Table1[[#This Row],[Billing City]], ", ", Table1[[#This Row],[Billing State/Province]], ", ", Table1[[#This Row],[Billing Zip/Postal Code]])</f>
        <v>633 E. 138th Street, Dolton, IL, 60419</v>
      </c>
    </row>
    <row r="5215" spans="1:13" ht="15.6" hidden="1" x14ac:dyDescent="0.3">
      <c r="A5215" s="1" t="s">
        <v>14985</v>
      </c>
      <c r="B5215" s="1"/>
      <c r="C5215" s="1"/>
      <c r="D5215" s="1"/>
      <c r="E5215" s="1"/>
      <c r="F5215" s="1"/>
      <c r="G5215" s="1" t="s">
        <v>43</v>
      </c>
      <c r="H5215" s="2">
        <v>5776</v>
      </c>
      <c r="I5215" s="1" t="s">
        <v>13</v>
      </c>
      <c r="J5215" s="1" t="s">
        <v>13</v>
      </c>
      <c r="K5215" s="1" t="s">
        <v>95</v>
      </c>
      <c r="L5215" s="1" t="s">
        <v>13</v>
      </c>
      <c r="M5215" s="6" t="str">
        <f>_xlfn.CONCAT(Table1[[#This Row],[Billing Street]], ", ", Table1[[#This Row],[Billing City]], ", ", Table1[[#This Row],[Billing State/Province]], ", ", Table1[[#This Row],[Billing Zip/Postal Code]])</f>
        <v xml:space="preserve">, , MA, </v>
      </c>
    </row>
    <row r="5216" spans="1:13" ht="15.6" hidden="1" x14ac:dyDescent="0.3">
      <c r="A5216" s="1" t="s">
        <v>14986</v>
      </c>
      <c r="B5216" s="1"/>
      <c r="C5216" s="1"/>
      <c r="D5216" s="1"/>
      <c r="E5216" s="1"/>
      <c r="F5216" s="1"/>
      <c r="G5216" s="1" t="s">
        <v>43</v>
      </c>
      <c r="H5216" s="2">
        <v>5776</v>
      </c>
      <c r="I5216" s="1" t="s">
        <v>13</v>
      </c>
      <c r="J5216" s="1" t="s">
        <v>13</v>
      </c>
      <c r="K5216" s="1" t="s">
        <v>95</v>
      </c>
      <c r="L5216" s="1" t="s">
        <v>13</v>
      </c>
      <c r="M5216" s="6" t="str">
        <f>_xlfn.CONCAT(Table1[[#This Row],[Billing Street]], ", ", Table1[[#This Row],[Billing City]], ", ", Table1[[#This Row],[Billing State/Province]], ", ", Table1[[#This Row],[Billing Zip/Postal Code]])</f>
        <v xml:space="preserve">, , MA, </v>
      </c>
    </row>
    <row r="5217" spans="1:13" ht="15.6" hidden="1" x14ac:dyDescent="0.3">
      <c r="A5217" s="1" t="s">
        <v>14987</v>
      </c>
      <c r="B5217" s="1"/>
      <c r="C5217" s="1"/>
      <c r="D5217" s="1"/>
      <c r="E5217" s="1"/>
      <c r="F5217" s="1"/>
      <c r="G5217" s="1" t="s">
        <v>8</v>
      </c>
      <c r="H5217" s="2">
        <v>431</v>
      </c>
      <c r="I5217" s="1" t="s">
        <v>14988</v>
      </c>
      <c r="J5217" s="1" t="s">
        <v>14989</v>
      </c>
      <c r="K5217" s="1" t="s">
        <v>21</v>
      </c>
      <c r="L5217" s="1" t="s">
        <v>14990</v>
      </c>
      <c r="M5217" s="6" t="str">
        <f>_xlfn.CONCAT(Table1[[#This Row],[Billing Street]], ", ", Table1[[#This Row],[Billing City]], ", ", Table1[[#This Row],[Billing State/Province]], ", ", Table1[[#This Row],[Billing Zip/Postal Code]])</f>
        <v>101 W Hoffman St, Graettinger, IA, 51342</v>
      </c>
    </row>
    <row r="5218" spans="1:13" ht="15.6" hidden="1" x14ac:dyDescent="0.3">
      <c r="A5218" s="1" t="s">
        <v>14991</v>
      </c>
      <c r="B5218" s="1"/>
      <c r="C5218" s="1"/>
      <c r="D5218" s="1"/>
      <c r="E5218" s="1"/>
      <c r="F5218" s="1"/>
      <c r="G5218" s="1" t="s">
        <v>43</v>
      </c>
      <c r="H5218" s="2">
        <v>389</v>
      </c>
      <c r="I5218" s="1" t="s">
        <v>14992</v>
      </c>
      <c r="J5218" s="1" t="s">
        <v>2644</v>
      </c>
      <c r="K5218" s="1" t="s">
        <v>152</v>
      </c>
      <c r="L5218" s="1" t="s">
        <v>10547</v>
      </c>
      <c r="M5218" s="6" t="str">
        <f>_xlfn.CONCAT(Table1[[#This Row],[Billing Street]], ", ", Table1[[#This Row],[Billing City]], ", ", Table1[[#This Row],[Billing State/Province]], ", ", Table1[[#This Row],[Billing Zip/Postal Code]])</f>
        <v>108 N Van Buren St, Newton, IL, 62448</v>
      </c>
    </row>
    <row r="5219" spans="1:13" ht="15.6" hidden="1" x14ac:dyDescent="0.3">
      <c r="A5219" s="1" t="s">
        <v>14993</v>
      </c>
      <c r="B5219" s="1"/>
      <c r="C5219" s="1"/>
      <c r="D5219" s="1"/>
      <c r="E5219" s="1"/>
      <c r="F5219" s="1"/>
      <c r="G5219" s="1" t="s">
        <v>43</v>
      </c>
      <c r="H5219" s="2">
        <v>551</v>
      </c>
      <c r="I5219" s="1" t="s">
        <v>14994</v>
      </c>
      <c r="J5219" s="1" t="s">
        <v>14995</v>
      </c>
      <c r="K5219" s="1" t="s">
        <v>95</v>
      </c>
      <c r="L5219" s="1" t="s">
        <v>14996</v>
      </c>
      <c r="M5219" s="6" t="str">
        <f>_xlfn.CONCAT(Table1[[#This Row],[Billing Street]], ", ", Table1[[#This Row],[Billing City]], ", ", Table1[[#This Row],[Billing State/Province]], ", ", Table1[[#This Row],[Billing Zip/Postal Code]])</f>
        <v>272 High St, Ipswich, MA, 1938</v>
      </c>
    </row>
    <row r="5220" spans="1:13" ht="15.6" hidden="1" x14ac:dyDescent="0.3">
      <c r="A5220" s="1" t="s">
        <v>14997</v>
      </c>
      <c r="B5220" s="1"/>
      <c r="C5220" s="1"/>
      <c r="D5220" s="1"/>
      <c r="E5220" s="1"/>
      <c r="F5220" s="1"/>
      <c r="G5220" s="1" t="s">
        <v>43</v>
      </c>
      <c r="H5220" s="2">
        <v>5776</v>
      </c>
      <c r="I5220" s="1" t="s">
        <v>13</v>
      </c>
      <c r="J5220" s="1" t="s">
        <v>13</v>
      </c>
      <c r="K5220" s="1" t="s">
        <v>95</v>
      </c>
      <c r="L5220" s="1" t="s">
        <v>13</v>
      </c>
      <c r="M5220" s="6" t="str">
        <f>_xlfn.CONCAT(Table1[[#This Row],[Billing Street]], ", ", Table1[[#This Row],[Billing City]], ", ", Table1[[#This Row],[Billing State/Province]], ", ", Table1[[#This Row],[Billing Zip/Postal Code]])</f>
        <v xml:space="preserve">, , MA, </v>
      </c>
    </row>
    <row r="5221" spans="1:13" ht="15.6" hidden="1" x14ac:dyDescent="0.3">
      <c r="A5221" s="1" t="s">
        <v>14998</v>
      </c>
      <c r="B5221" s="1"/>
      <c r="C5221" s="1"/>
      <c r="D5221" s="1"/>
      <c r="E5221" s="1"/>
      <c r="F5221" s="1"/>
      <c r="G5221" s="1" t="s">
        <v>43</v>
      </c>
      <c r="H5221" s="2">
        <v>355</v>
      </c>
      <c r="I5221" s="1" t="s">
        <v>14999</v>
      </c>
      <c r="J5221" s="1" t="s">
        <v>3064</v>
      </c>
      <c r="K5221" s="1" t="s">
        <v>152</v>
      </c>
      <c r="L5221" s="1" t="s">
        <v>3065</v>
      </c>
      <c r="M5221" s="6" t="str">
        <f>_xlfn.CONCAT(Table1[[#This Row],[Billing Street]], ", ", Table1[[#This Row],[Billing City]], ", ", Table1[[#This Row],[Billing State/Province]], ", ", Table1[[#This Row],[Billing Zip/Postal Code]])</f>
        <v>Kirk &amp; Wilson STreets  PO Box 500, Batavia, IL, 60510</v>
      </c>
    </row>
    <row r="5222" spans="1:13" ht="15.6" hidden="1" x14ac:dyDescent="0.3">
      <c r="A5222" s="1" t="s">
        <v>15000</v>
      </c>
      <c r="B5222" s="1"/>
      <c r="C5222" s="1"/>
      <c r="D5222" s="1"/>
      <c r="E5222" s="1"/>
      <c r="F5222" s="1"/>
      <c r="G5222" s="1" t="s">
        <v>43</v>
      </c>
      <c r="H5222" s="2">
        <v>5776</v>
      </c>
      <c r="I5222" s="1" t="s">
        <v>13</v>
      </c>
      <c r="J5222" s="1" t="s">
        <v>13</v>
      </c>
      <c r="K5222" s="1" t="s">
        <v>95</v>
      </c>
      <c r="L5222" s="1" t="s">
        <v>13</v>
      </c>
      <c r="M5222" s="6" t="str">
        <f>_xlfn.CONCAT(Table1[[#This Row],[Billing Street]], ", ", Table1[[#This Row],[Billing City]], ", ", Table1[[#This Row],[Billing State/Province]], ", ", Table1[[#This Row],[Billing Zip/Postal Code]])</f>
        <v xml:space="preserve">, , MA, </v>
      </c>
    </row>
    <row r="5223" spans="1:13" ht="15.6" hidden="1" x14ac:dyDescent="0.3">
      <c r="A5223" s="1" t="s">
        <v>15001</v>
      </c>
      <c r="B5223" s="1"/>
      <c r="C5223" s="1"/>
      <c r="D5223" s="1"/>
      <c r="E5223" s="1"/>
      <c r="F5223" s="1"/>
      <c r="G5223" s="1" t="s">
        <v>8</v>
      </c>
      <c r="H5223" s="2">
        <v>533</v>
      </c>
      <c r="I5223" s="1" t="s">
        <v>15002</v>
      </c>
      <c r="J5223" s="1" t="s">
        <v>2756</v>
      </c>
      <c r="K5223" s="1" t="s">
        <v>208</v>
      </c>
      <c r="L5223" s="1" t="s">
        <v>2757</v>
      </c>
      <c r="M5223" s="6" t="str">
        <f>_xlfn.CONCAT(Table1[[#This Row],[Billing Street]], ", ", Table1[[#This Row],[Billing City]], ", ", Table1[[#This Row],[Billing State/Province]], ", ", Table1[[#This Row],[Billing Zip/Postal Code]])</f>
        <v>100 Bromley Business Parkway, Brighton, CO, 80603</v>
      </c>
    </row>
    <row r="5224" spans="1:13" ht="15.6" hidden="1" x14ac:dyDescent="0.3">
      <c r="A5224" s="1" t="s">
        <v>15003</v>
      </c>
      <c r="B5224" s="1"/>
      <c r="C5224" s="1"/>
      <c r="D5224" s="1"/>
      <c r="E5224" s="1"/>
      <c r="F5224" s="1"/>
      <c r="G5224" s="1" t="s">
        <v>43</v>
      </c>
      <c r="H5224" s="2">
        <v>5776</v>
      </c>
      <c r="I5224" s="1" t="s">
        <v>13</v>
      </c>
      <c r="J5224" s="1" t="s">
        <v>13</v>
      </c>
      <c r="K5224" s="1" t="s">
        <v>95</v>
      </c>
      <c r="L5224" s="1" t="s">
        <v>13</v>
      </c>
      <c r="M5224" s="6" t="str">
        <f>_xlfn.CONCAT(Table1[[#This Row],[Billing Street]], ", ", Table1[[#This Row],[Billing City]], ", ", Table1[[#This Row],[Billing State/Province]], ", ", Table1[[#This Row],[Billing Zip/Postal Code]])</f>
        <v xml:space="preserve">, , MA, </v>
      </c>
    </row>
    <row r="5225" spans="1:13" ht="15.6" hidden="1" x14ac:dyDescent="0.3">
      <c r="A5225" s="1" t="s">
        <v>15004</v>
      </c>
      <c r="B5225" s="1"/>
      <c r="C5225" s="1"/>
      <c r="D5225" s="1"/>
      <c r="E5225" s="1"/>
      <c r="F5225" s="1"/>
      <c r="G5225" s="1" t="s">
        <v>43</v>
      </c>
      <c r="H5225" s="2">
        <v>94</v>
      </c>
      <c r="I5225" s="1" t="s">
        <v>15005</v>
      </c>
      <c r="J5225" s="1" t="s">
        <v>15006</v>
      </c>
      <c r="K5225" s="1" t="s">
        <v>241</v>
      </c>
      <c r="L5225" s="1" t="s">
        <v>15007</v>
      </c>
      <c r="M5225" s="6" t="str">
        <f>_xlfn.CONCAT(Table1[[#This Row],[Billing Street]], ", ", Table1[[#This Row],[Billing City]], ", ", Table1[[#This Row],[Billing State/Province]], ", ", Table1[[#This Row],[Billing Zip/Postal Code]])</f>
        <v>3960 William Flynn Highway   Suite 100, Allison Park, PA, 15101</v>
      </c>
    </row>
    <row r="5226" spans="1:13" ht="15.6" hidden="1" x14ac:dyDescent="0.3">
      <c r="A5226" s="1" t="s">
        <v>15008</v>
      </c>
      <c r="B5226" s="1"/>
      <c r="C5226" s="1"/>
      <c r="D5226" s="1"/>
      <c r="E5226" s="1"/>
      <c r="F5226" s="1"/>
      <c r="G5226" s="1" t="s">
        <v>43</v>
      </c>
      <c r="H5226" s="2">
        <v>28</v>
      </c>
      <c r="I5226" s="1" t="s">
        <v>15009</v>
      </c>
      <c r="J5226" s="1" t="s">
        <v>877</v>
      </c>
      <c r="K5226" s="1" t="s">
        <v>2028</v>
      </c>
      <c r="L5226" s="1" t="s">
        <v>13965</v>
      </c>
      <c r="M5226" s="6" t="str">
        <f>_xlfn.CONCAT(Table1[[#This Row],[Billing Street]], ", ", Table1[[#This Row],[Billing City]], ", ", Table1[[#This Row],[Billing State/Province]], ", ", Table1[[#This Row],[Billing Zip/Postal Code]])</f>
        <v>9107 Pleasantwood Ave NW, North Canton, Ohio, 44720</v>
      </c>
    </row>
    <row r="5227" spans="1:13" ht="15.6" hidden="1" x14ac:dyDescent="0.3">
      <c r="A5227" s="1" t="s">
        <v>15010</v>
      </c>
      <c r="B5227" s="1"/>
      <c r="C5227" s="1"/>
      <c r="D5227" s="1"/>
      <c r="E5227" s="1"/>
      <c r="F5227" s="1"/>
      <c r="G5227" s="1" t="s">
        <v>48</v>
      </c>
      <c r="H5227" s="2">
        <v>0</v>
      </c>
      <c r="I5227" s="1" t="s">
        <v>15011</v>
      </c>
      <c r="J5227" s="1" t="s">
        <v>15012</v>
      </c>
      <c r="K5227" s="1" t="s">
        <v>11174</v>
      </c>
      <c r="L5227" s="1" t="s">
        <v>15013</v>
      </c>
      <c r="M5227" s="6" t="str">
        <f>_xlfn.CONCAT(Table1[[#This Row],[Billing Street]], ", ", Table1[[#This Row],[Billing City]], ", ", Table1[[#This Row],[Billing State/Province]], ", ", Table1[[#This Row],[Billing Zip/Postal Code]])</f>
        <v>93 Paper Mill St, Honeoye Falls, New York, 14472</v>
      </c>
    </row>
    <row r="5228" spans="1:13" ht="15.6" hidden="1" x14ac:dyDescent="0.3">
      <c r="A5228" s="1" t="s">
        <v>15014</v>
      </c>
      <c r="B5228" s="1"/>
      <c r="C5228" s="1"/>
      <c r="D5228" s="1"/>
      <c r="E5228" s="1"/>
      <c r="F5228" s="1"/>
      <c r="G5228" s="1" t="s">
        <v>48</v>
      </c>
      <c r="H5228" s="2">
        <v>0</v>
      </c>
      <c r="I5228" s="1" t="s">
        <v>15015</v>
      </c>
      <c r="J5228" s="1" t="s">
        <v>2041</v>
      </c>
      <c r="K5228" s="1" t="s">
        <v>152</v>
      </c>
      <c r="L5228" s="1" t="s">
        <v>15016</v>
      </c>
      <c r="M5228" s="6" t="str">
        <f>_xlfn.CONCAT(Table1[[#This Row],[Billing Street]], ", ", Table1[[#This Row],[Billing City]], ", ", Table1[[#This Row],[Billing State/Province]], ", ", Table1[[#This Row],[Billing Zip/Postal Code]])</f>
        <v>353 North Clark Street_x000D_
Floor 30, Chicago, IL, 60654</v>
      </c>
    </row>
    <row r="5229" spans="1:13" ht="15.6" hidden="1" x14ac:dyDescent="0.3">
      <c r="A5229" s="1" t="s">
        <v>15017</v>
      </c>
      <c r="B5229" s="1"/>
      <c r="C5229" s="1"/>
      <c r="D5229" s="1"/>
      <c r="E5229" s="1"/>
      <c r="F5229" s="1"/>
      <c r="G5229" s="1" t="s">
        <v>48</v>
      </c>
      <c r="H5229" s="2">
        <v>0</v>
      </c>
      <c r="I5229" s="1" t="s">
        <v>15018</v>
      </c>
      <c r="J5229" s="1" t="s">
        <v>15019</v>
      </c>
      <c r="K5229" s="1" t="s">
        <v>10429</v>
      </c>
      <c r="L5229" s="1" t="s">
        <v>15020</v>
      </c>
      <c r="M5229" s="6" t="str">
        <f>_xlfn.CONCAT(Table1[[#This Row],[Billing Street]], ", ", Table1[[#This Row],[Billing City]], ", ", Table1[[#This Row],[Billing State/Province]], ", ", Table1[[#This Row],[Billing Zip/Postal Code]])</f>
        <v>999 Airbrake Ave, Wilmerding, Pennsylvania, 15148</v>
      </c>
    </row>
    <row r="5230" spans="1:13" ht="15.6" hidden="1" x14ac:dyDescent="0.3">
      <c r="A5230" s="1" t="s">
        <v>15021</v>
      </c>
      <c r="B5230" s="1"/>
      <c r="C5230" s="1"/>
      <c r="D5230" s="1"/>
      <c r="E5230" s="1"/>
      <c r="F5230" s="1"/>
      <c r="G5230" s="1" t="s">
        <v>48</v>
      </c>
      <c r="H5230" s="2">
        <v>0</v>
      </c>
      <c r="I5230" s="1" t="s">
        <v>15022</v>
      </c>
      <c r="J5230" s="1" t="s">
        <v>896</v>
      </c>
      <c r="K5230" s="1" t="s">
        <v>11</v>
      </c>
      <c r="L5230" s="1" t="s">
        <v>1602</v>
      </c>
      <c r="M5230" s="6" t="str">
        <f>_xlfn.CONCAT(Table1[[#This Row],[Billing Street]], ", ", Table1[[#This Row],[Billing City]], ", ", Table1[[#This Row],[Billing State/Province]], ", ", Table1[[#This Row],[Billing Zip/Postal Code]])</f>
        <v>6001 East Front Street, Kansas City, MO, 64120</v>
      </c>
    </row>
    <row r="5231" spans="1:13" ht="15.6" hidden="1" x14ac:dyDescent="0.3">
      <c r="A5231" s="1" t="s">
        <v>15023</v>
      </c>
      <c r="B5231" s="1"/>
      <c r="C5231" s="1"/>
      <c r="D5231" s="1"/>
      <c r="E5231" s="1"/>
      <c r="F5231" s="1"/>
      <c r="G5231" s="1" t="s">
        <v>48</v>
      </c>
      <c r="H5231" s="2">
        <v>0</v>
      </c>
      <c r="I5231" s="1" t="s">
        <v>15024</v>
      </c>
      <c r="J5231" s="1" t="s">
        <v>177</v>
      </c>
      <c r="K5231" s="1" t="s">
        <v>152</v>
      </c>
      <c r="L5231" s="1" t="s">
        <v>178</v>
      </c>
      <c r="M5231" s="6" t="str">
        <f>_xlfn.CONCAT(Table1[[#This Row],[Billing Street]], ", ", Table1[[#This Row],[Billing City]], ", ", Table1[[#This Row],[Billing State/Province]], ", ", Table1[[#This Row],[Billing Zip/Postal Code]])</f>
        <v>941 Busse Road, Elk Grove Village, IL, 60007</v>
      </c>
    </row>
    <row r="5232" spans="1:13" ht="15.6" hidden="1" x14ac:dyDescent="0.3">
      <c r="A5232" s="1" t="s">
        <v>15025</v>
      </c>
      <c r="B5232" s="1"/>
      <c r="C5232" s="1"/>
      <c r="D5232" s="1"/>
      <c r="E5232" s="1"/>
      <c r="F5232" s="1"/>
      <c r="G5232" s="1" t="s">
        <v>54</v>
      </c>
      <c r="H5232" s="2">
        <v>7813</v>
      </c>
      <c r="I5232" s="1" t="s">
        <v>13</v>
      </c>
      <c r="J5232" s="1" t="s">
        <v>13</v>
      </c>
      <c r="K5232" s="1" t="s">
        <v>13</v>
      </c>
      <c r="L5232" s="1" t="s">
        <v>13</v>
      </c>
      <c r="M5232" s="6" t="str">
        <f>_xlfn.CONCAT(Table1[[#This Row],[Billing Street]], ", ", Table1[[#This Row],[Billing City]], ", ", Table1[[#This Row],[Billing State/Province]], ", ", Table1[[#This Row],[Billing Zip/Postal Code]])</f>
        <v xml:space="preserve">, , , </v>
      </c>
    </row>
    <row r="5233" spans="1:13" ht="15.6" hidden="1" x14ac:dyDescent="0.3">
      <c r="A5233" s="1" t="s">
        <v>15026</v>
      </c>
      <c r="B5233" s="1"/>
      <c r="C5233" s="1"/>
      <c r="D5233" s="1"/>
      <c r="E5233" s="1"/>
      <c r="F5233" s="1"/>
      <c r="G5233" s="1" t="s">
        <v>48</v>
      </c>
      <c r="H5233" s="2">
        <v>0</v>
      </c>
      <c r="I5233" s="1" t="s">
        <v>15027</v>
      </c>
      <c r="J5233" s="1" t="s">
        <v>4590</v>
      </c>
      <c r="K5233" s="1" t="s">
        <v>15028</v>
      </c>
      <c r="L5233" s="1" t="s">
        <v>15029</v>
      </c>
      <c r="M5233" s="6" t="str">
        <f>_xlfn.CONCAT(Table1[[#This Row],[Billing Street]], ", ", Table1[[#This Row],[Billing City]], ", ", Table1[[#This Row],[Billing State/Province]], ", ", Table1[[#This Row],[Billing Zip/Postal Code]])</f>
        <v>4555 Overlook Ave SW_x000D_
Building 71, Washington, District of Columbia, 20375</v>
      </c>
    </row>
    <row r="5234" spans="1:13" ht="15.6" hidden="1" x14ac:dyDescent="0.3">
      <c r="A5234" s="1" t="s">
        <v>15030</v>
      </c>
      <c r="B5234" s="1"/>
      <c r="C5234" s="1"/>
      <c r="D5234" s="1"/>
      <c r="E5234" s="1"/>
      <c r="F5234" s="1"/>
      <c r="G5234" s="1" t="s">
        <v>48</v>
      </c>
      <c r="H5234" s="2">
        <v>0</v>
      </c>
      <c r="I5234" s="1" t="s">
        <v>15031</v>
      </c>
      <c r="J5234" s="1" t="s">
        <v>856</v>
      </c>
      <c r="K5234" s="1" t="s">
        <v>1115</v>
      </c>
      <c r="L5234" s="1" t="s">
        <v>15032</v>
      </c>
      <c r="M5234" s="6" t="str">
        <f>_xlfn.CONCAT(Table1[[#This Row],[Billing Street]], ", ", Table1[[#This Row],[Billing City]], ", ", Table1[[#This Row],[Billing State/Province]], ", ", Table1[[#This Row],[Billing Zip/Postal Code]])</f>
        <v>2301 Aluminum Avenue, Hampton, VA, 23661</v>
      </c>
    </row>
    <row r="5235" spans="1:13" ht="15.6" hidden="1" x14ac:dyDescent="0.3">
      <c r="A5235" s="1" t="s">
        <v>15033</v>
      </c>
      <c r="B5235" s="1"/>
      <c r="C5235" s="1"/>
      <c r="D5235" s="1"/>
      <c r="E5235" s="1"/>
      <c r="F5235" s="1"/>
      <c r="G5235" s="1" t="s">
        <v>48</v>
      </c>
      <c r="H5235" s="2">
        <v>0</v>
      </c>
      <c r="I5235" s="1" t="s">
        <v>15034</v>
      </c>
      <c r="J5235" s="1" t="s">
        <v>2246</v>
      </c>
      <c r="K5235" s="1" t="s">
        <v>2254</v>
      </c>
      <c r="L5235" s="1" t="s">
        <v>15035</v>
      </c>
      <c r="M5235" s="6" t="str">
        <f>_xlfn.CONCAT(Table1[[#This Row],[Billing Street]], ", ", Table1[[#This Row],[Billing City]], ", ", Table1[[#This Row],[Billing State/Province]], ", ", Table1[[#This Row],[Billing Zip/Postal Code]])</f>
        <v>7905 NW Cherry Lane, Hillsboro, OR, 97124</v>
      </c>
    </row>
    <row r="5236" spans="1:13" ht="15.6" hidden="1" x14ac:dyDescent="0.3">
      <c r="A5236" s="1" t="s">
        <v>15036</v>
      </c>
      <c r="B5236" s="1"/>
      <c r="C5236" s="1"/>
      <c r="D5236" s="1"/>
      <c r="E5236" s="1"/>
      <c r="F5236" s="1"/>
      <c r="G5236" s="1" t="s">
        <v>98</v>
      </c>
      <c r="H5236" s="2">
        <v>344</v>
      </c>
      <c r="I5236" s="1" t="s">
        <v>15037</v>
      </c>
      <c r="J5236" s="1" t="s">
        <v>6657</v>
      </c>
      <c r="K5236" s="1" t="s">
        <v>1178</v>
      </c>
      <c r="L5236" s="1" t="s">
        <v>15038</v>
      </c>
      <c r="M5236" s="6" t="str">
        <f>_xlfn.CONCAT(Table1[[#This Row],[Billing Street]], ", ", Table1[[#This Row],[Billing City]], ", ", Table1[[#This Row],[Billing State/Province]], ", ", Table1[[#This Row],[Billing Zip/Postal Code]])</f>
        <v>P.O. Box 37339, Raleigh, NC, 27627</v>
      </c>
    </row>
    <row r="5237" spans="1:13" ht="15.6" x14ac:dyDescent="0.3">
      <c r="A5237" s="1" t="s">
        <v>15039</v>
      </c>
      <c r="B5237" s="1"/>
      <c r="C5237" s="1"/>
      <c r="D5237" s="1"/>
      <c r="E5237" s="1"/>
      <c r="F5237" s="1"/>
      <c r="G5237" s="1" t="s">
        <v>24</v>
      </c>
      <c r="H5237" s="2">
        <v>617</v>
      </c>
      <c r="I5237" s="1" t="s">
        <v>15040</v>
      </c>
      <c r="J5237" s="1" t="s">
        <v>15041</v>
      </c>
      <c r="K5237" s="1" t="s">
        <v>51</v>
      </c>
      <c r="L5237" s="1" t="s">
        <v>15042</v>
      </c>
      <c r="M5237" s="6" t="str">
        <f>_xlfn.CONCAT(Table1[[#This Row],[Billing Street]], ", ", Table1[[#This Row],[Billing City]], ", ", Table1[[#This Row],[Billing State/Province]], ", ", Table1[[#This Row],[Billing Zip/Postal Code]])</f>
        <v>200 North 12th Street, Corsicana, TX, 75110</v>
      </c>
    </row>
    <row r="5238" spans="1:13" ht="15.6" x14ac:dyDescent="0.3">
      <c r="A5238" s="1" t="s">
        <v>15043</v>
      </c>
      <c r="B5238" s="1"/>
      <c r="C5238" s="1"/>
      <c r="D5238" s="1"/>
      <c r="E5238" s="1"/>
      <c r="F5238" s="1"/>
      <c r="G5238" s="1" t="s">
        <v>24</v>
      </c>
      <c r="H5238" s="2">
        <v>671</v>
      </c>
      <c r="I5238" s="1" t="s">
        <v>15044</v>
      </c>
      <c r="J5238" s="1" t="s">
        <v>12559</v>
      </c>
      <c r="K5238" s="1" t="s">
        <v>51</v>
      </c>
      <c r="L5238" s="1" t="s">
        <v>12560</v>
      </c>
      <c r="M5238" s="6" t="str">
        <f>_xlfn.CONCAT(Table1[[#This Row],[Billing Street]], ", ", Table1[[#This Row],[Billing City]], ", ", Table1[[#This Row],[Billing State/Province]], ", ", Table1[[#This Row],[Billing Zip/Postal Code]])</f>
        <v>140 West Clark Street, Bartlett, TX, 76511</v>
      </c>
    </row>
    <row r="5239" spans="1:13" ht="15.6" x14ac:dyDescent="0.3">
      <c r="A5239" s="1" t="s">
        <v>15045</v>
      </c>
      <c r="B5239" s="1"/>
      <c r="C5239" s="1"/>
      <c r="D5239" s="1"/>
      <c r="E5239" s="1"/>
      <c r="F5239" s="1"/>
      <c r="G5239" s="1" t="s">
        <v>24</v>
      </c>
      <c r="H5239" s="2">
        <v>5988</v>
      </c>
      <c r="I5239" s="1" t="s">
        <v>13</v>
      </c>
      <c r="J5239" s="1" t="s">
        <v>13</v>
      </c>
      <c r="K5239" s="1" t="s">
        <v>13</v>
      </c>
      <c r="L5239" s="1" t="s">
        <v>13</v>
      </c>
      <c r="M5239" s="6" t="str">
        <f>_xlfn.CONCAT(Table1[[#This Row],[Billing Street]], ", ", Table1[[#This Row],[Billing City]], ", ", Table1[[#This Row],[Billing State/Province]], ", ", Table1[[#This Row],[Billing Zip/Postal Code]])</f>
        <v xml:space="preserve">, , , </v>
      </c>
    </row>
    <row r="5240" spans="1:13" ht="15.6" hidden="1" x14ac:dyDescent="0.3">
      <c r="A5240" s="1" t="s">
        <v>15046</v>
      </c>
      <c r="B5240" s="1"/>
      <c r="C5240" s="1"/>
      <c r="D5240" s="1"/>
      <c r="E5240" s="1"/>
      <c r="F5240" s="1"/>
      <c r="G5240" s="1" t="s">
        <v>43</v>
      </c>
      <c r="H5240" s="2">
        <v>460</v>
      </c>
      <c r="I5240" s="1" t="s">
        <v>15047</v>
      </c>
      <c r="J5240" s="1" t="s">
        <v>1539</v>
      </c>
      <c r="K5240" s="1" t="s">
        <v>1505</v>
      </c>
      <c r="L5240" s="1" t="s">
        <v>15048</v>
      </c>
      <c r="M5240" s="6" t="str">
        <f>_xlfn.CONCAT(Table1[[#This Row],[Billing Street]], ", ", Table1[[#This Row],[Billing City]], ", ", Table1[[#This Row],[Billing State/Province]], ", ", Table1[[#This Row],[Billing Zip/Postal Code]])</f>
        <v>52 Washington Street, Rutland, VT, 05701</v>
      </c>
    </row>
    <row r="5241" spans="1:13" ht="15.6" x14ac:dyDescent="0.3">
      <c r="A5241" s="1" t="s">
        <v>15049</v>
      </c>
      <c r="B5241" s="1"/>
      <c r="C5241" s="1"/>
      <c r="D5241" s="1"/>
      <c r="E5241" s="1"/>
      <c r="F5241" s="1"/>
      <c r="G5241" s="1" t="s">
        <v>24</v>
      </c>
      <c r="H5241" s="2">
        <v>635</v>
      </c>
      <c r="I5241" s="1" t="s">
        <v>15050</v>
      </c>
      <c r="J5241" s="1" t="s">
        <v>261</v>
      </c>
      <c r="K5241" s="1" t="s">
        <v>237</v>
      </c>
      <c r="L5241" s="1" t="s">
        <v>15051</v>
      </c>
      <c r="M5241" s="6" t="str">
        <f>_xlfn.CONCAT(Table1[[#This Row],[Billing Street]], ", ", Table1[[#This Row],[Billing City]], ", ", Table1[[#This Row],[Billing State/Province]], ", ", Table1[[#This Row],[Billing Zip/Postal Code]])</f>
        <v>5975 Castle Creek Parkway North Drive, Indianapolis, IN, 46250</v>
      </c>
    </row>
    <row r="5242" spans="1:13" ht="15.6" hidden="1" x14ac:dyDescent="0.3">
      <c r="A5242" s="1" t="s">
        <v>15052</v>
      </c>
      <c r="B5242" s="1"/>
      <c r="C5242" s="1"/>
      <c r="D5242" s="1"/>
      <c r="E5242" s="1"/>
      <c r="F5242" s="1"/>
      <c r="G5242" s="1" t="s">
        <v>48</v>
      </c>
      <c r="H5242" s="2">
        <v>0</v>
      </c>
      <c r="I5242" s="1" t="s">
        <v>15053</v>
      </c>
      <c r="J5242" s="1" t="s">
        <v>1940</v>
      </c>
      <c r="K5242" s="1" t="s">
        <v>45</v>
      </c>
      <c r="L5242" s="1" t="s">
        <v>15054</v>
      </c>
      <c r="M5242" s="6" t="str">
        <f>_xlfn.CONCAT(Table1[[#This Row],[Billing Street]], ", ", Table1[[#This Row],[Billing City]], ", ", Table1[[#This Row],[Billing State/Province]], ", ", Table1[[#This Row],[Billing Zip/Postal Code]])</f>
        <v>P.O. Box 24400, Canton, OH, 44701</v>
      </c>
    </row>
    <row r="5243" spans="1:13" ht="15.6" hidden="1" x14ac:dyDescent="0.3">
      <c r="A5243" s="1" t="s">
        <v>15055</v>
      </c>
      <c r="B5243" s="1"/>
      <c r="C5243" s="1"/>
      <c r="D5243" s="1"/>
      <c r="E5243" s="1"/>
      <c r="F5243" s="1"/>
      <c r="G5243" s="1" t="s">
        <v>48</v>
      </c>
      <c r="H5243" s="2">
        <v>0</v>
      </c>
      <c r="I5243" s="1" t="s">
        <v>15056</v>
      </c>
      <c r="J5243" s="1" t="s">
        <v>15057</v>
      </c>
      <c r="K5243" s="1" t="s">
        <v>4407</v>
      </c>
      <c r="L5243" s="1" t="s">
        <v>15058</v>
      </c>
      <c r="M5243" s="6" t="str">
        <f>_xlfn.CONCAT(Table1[[#This Row],[Billing Street]], ", ", Table1[[#This Row],[Billing City]], ", ", Table1[[#This Row],[Billing State/Province]], ", ", Table1[[#This Row],[Billing Zip/Postal Code]])</f>
        <v>9999 SW Avery St, Tualatin, Oregon, 97062</v>
      </c>
    </row>
    <row r="5244" spans="1:13" ht="15.6" hidden="1" x14ac:dyDescent="0.3">
      <c r="A5244" s="1" t="s">
        <v>15059</v>
      </c>
      <c r="B5244" s="1"/>
      <c r="C5244" s="1"/>
      <c r="D5244" s="1"/>
      <c r="E5244" s="1"/>
      <c r="F5244" s="1"/>
      <c r="G5244" s="1" t="s">
        <v>48</v>
      </c>
      <c r="H5244" s="2">
        <v>0</v>
      </c>
      <c r="I5244" s="1" t="s">
        <v>15060</v>
      </c>
      <c r="J5244" s="1" t="s">
        <v>3609</v>
      </c>
      <c r="K5244" s="1" t="s">
        <v>2610</v>
      </c>
      <c r="L5244" s="1" t="s">
        <v>15061</v>
      </c>
      <c r="M5244" s="6" t="str">
        <f>_xlfn.CONCAT(Table1[[#This Row],[Billing Street]], ", ", Table1[[#This Row],[Billing City]], ", ", Table1[[#This Row],[Billing State/Province]], ", ", Table1[[#This Row],[Billing Zip/Postal Code]])</f>
        <v>20501 Seneca Meadows Pkwy, Germantown, MD, 20876-_</v>
      </c>
    </row>
    <row r="5245" spans="1:13" ht="15.6" hidden="1" x14ac:dyDescent="0.3">
      <c r="A5245" s="1" t="s">
        <v>15062</v>
      </c>
      <c r="B5245" s="1"/>
      <c r="C5245" s="1"/>
      <c r="D5245" s="1"/>
      <c r="E5245" s="1"/>
      <c r="F5245" s="1"/>
      <c r="G5245" s="1" t="s">
        <v>48</v>
      </c>
      <c r="H5245" s="2">
        <v>0</v>
      </c>
      <c r="I5245" s="1" t="s">
        <v>15063</v>
      </c>
      <c r="J5245" s="1" t="s">
        <v>69</v>
      </c>
      <c r="K5245" s="1" t="s">
        <v>1191</v>
      </c>
      <c r="L5245" s="1" t="s">
        <v>15064</v>
      </c>
      <c r="M5245" s="6" t="str">
        <f>_xlfn.CONCAT(Table1[[#This Row],[Billing Street]], ", ", Table1[[#This Row],[Billing City]], ", ", Table1[[#This Row],[Billing State/Province]], ", ", Table1[[#This Row],[Billing Zip/Postal Code]])</f>
        <v>9000 Wessex Place_x000D_
Suite 202, Louisville, KY, 40222</v>
      </c>
    </row>
    <row r="5246" spans="1:13" ht="15.6" hidden="1" x14ac:dyDescent="0.3">
      <c r="A5246" s="1" t="s">
        <v>15065</v>
      </c>
      <c r="B5246" s="1"/>
      <c r="C5246" s="1"/>
      <c r="D5246" s="1"/>
      <c r="E5246" s="1"/>
      <c r="F5246" s="1"/>
      <c r="G5246" s="1" t="s">
        <v>48</v>
      </c>
      <c r="H5246" s="2">
        <v>0</v>
      </c>
      <c r="I5246" s="1" t="s">
        <v>15066</v>
      </c>
      <c r="J5246" s="1" t="s">
        <v>15067</v>
      </c>
      <c r="K5246" s="1" t="s">
        <v>237</v>
      </c>
      <c r="L5246" s="1" t="s">
        <v>15068</v>
      </c>
      <c r="M5246" s="6" t="str">
        <f>_xlfn.CONCAT(Table1[[#This Row],[Billing Street]], ", ", Table1[[#This Row],[Billing City]], ", ", Table1[[#This Row],[Billing State/Province]], ", ", Table1[[#This Row],[Billing Zip/Postal Code]])</f>
        <v>3801 Voorde Drive, South Bend, IN, 46628</v>
      </c>
    </row>
    <row r="5247" spans="1:13" ht="15.6" hidden="1" x14ac:dyDescent="0.3">
      <c r="A5247" s="1" t="s">
        <v>15069</v>
      </c>
      <c r="B5247" s="1"/>
      <c r="C5247" s="1"/>
      <c r="D5247" s="1"/>
      <c r="E5247" s="1"/>
      <c r="F5247" s="1"/>
      <c r="G5247" s="1" t="s">
        <v>48</v>
      </c>
      <c r="H5247" s="2">
        <v>0</v>
      </c>
      <c r="I5247" s="1" t="s">
        <v>15070</v>
      </c>
      <c r="J5247" s="1" t="s">
        <v>15071</v>
      </c>
      <c r="K5247" s="1" t="s">
        <v>57</v>
      </c>
      <c r="L5247" s="1" t="s">
        <v>15072</v>
      </c>
      <c r="M5247" s="6" t="str">
        <f>_xlfn.CONCAT(Table1[[#This Row],[Billing Street]], ", ", Table1[[#This Row],[Billing City]], ", ", Table1[[#This Row],[Billing State/Province]], ", ", Table1[[#This Row],[Billing Zip/Postal Code]])</f>
        <v>4300 Llano Road, Santa Rosa, CA, 95407</v>
      </c>
    </row>
    <row r="5248" spans="1:13" ht="15.6" hidden="1" x14ac:dyDescent="0.3">
      <c r="A5248" s="1" t="s">
        <v>15073</v>
      </c>
      <c r="B5248" s="1"/>
      <c r="C5248" s="1"/>
      <c r="D5248" s="1"/>
      <c r="E5248" s="1"/>
      <c r="F5248" s="1"/>
      <c r="G5248" s="1" t="s">
        <v>48</v>
      </c>
      <c r="H5248" s="2">
        <v>0</v>
      </c>
      <c r="I5248" s="1" t="s">
        <v>15074</v>
      </c>
      <c r="J5248" s="1" t="s">
        <v>5273</v>
      </c>
      <c r="K5248" s="1" t="s">
        <v>1191</v>
      </c>
      <c r="L5248" s="1" t="s">
        <v>5274</v>
      </c>
      <c r="M5248" s="6" t="str">
        <f>_xlfn.CONCAT(Table1[[#This Row],[Billing Street]], ", ", Table1[[#This Row],[Billing City]], ", ", Table1[[#This Row],[Billing State/Province]], ", ", Table1[[#This Row],[Billing Zip/Postal Code]])</f>
        <v>P.O. BOX 397, Henderson, KY, 42419</v>
      </c>
    </row>
    <row r="5249" spans="1:13" ht="15.6" hidden="1" x14ac:dyDescent="0.3">
      <c r="A5249" s="1" t="s">
        <v>15075</v>
      </c>
      <c r="B5249" s="1"/>
      <c r="C5249" s="1"/>
      <c r="D5249" s="1"/>
      <c r="E5249" s="1"/>
      <c r="F5249" s="1"/>
      <c r="G5249" s="1" t="s">
        <v>48</v>
      </c>
      <c r="H5249" s="2">
        <v>0</v>
      </c>
      <c r="I5249" s="1" t="s">
        <v>15076</v>
      </c>
      <c r="J5249" s="1" t="s">
        <v>8123</v>
      </c>
      <c r="K5249" s="1" t="s">
        <v>671</v>
      </c>
      <c r="L5249" s="1" t="s">
        <v>11195</v>
      </c>
      <c r="M5249" s="6" t="str">
        <f>_xlfn.CONCAT(Table1[[#This Row],[Billing Street]], ", ", Table1[[#This Row],[Billing City]], ", ", Table1[[#This Row],[Billing State/Province]], ", ", Table1[[#This Row],[Billing Zip/Postal Code]])</f>
        <v>P.O. Box 150, Wilmington, NY, 14450</v>
      </c>
    </row>
    <row r="5250" spans="1:13" ht="15.6" x14ac:dyDescent="0.3">
      <c r="A5250" s="1" t="s">
        <v>15077</v>
      </c>
      <c r="B5250" s="1"/>
      <c r="C5250" s="1"/>
      <c r="D5250" s="1"/>
      <c r="E5250" s="1"/>
      <c r="F5250" s="1"/>
      <c r="G5250" s="1" t="s">
        <v>24</v>
      </c>
      <c r="H5250" s="2">
        <v>28</v>
      </c>
      <c r="I5250" s="1" t="s">
        <v>15078</v>
      </c>
      <c r="J5250" s="1" t="s">
        <v>381</v>
      </c>
      <c r="K5250" s="1" t="s">
        <v>36</v>
      </c>
      <c r="L5250" s="1" t="s">
        <v>4049</v>
      </c>
      <c r="M5250" s="6" t="str">
        <f>_xlfn.CONCAT(Table1[[#This Row],[Billing Street]], ", ", Table1[[#This Row],[Billing City]], ", ", Table1[[#This Row],[Billing State/Province]], ", ", Table1[[#This Row],[Billing Zip/Postal Code]])</f>
        <v>506 W First Av, Crestview, FL, 32536</v>
      </c>
    </row>
    <row r="5251" spans="1:13" ht="15.6" hidden="1" x14ac:dyDescent="0.3">
      <c r="A5251" s="1" t="s">
        <v>15079</v>
      </c>
      <c r="B5251" s="1"/>
      <c r="C5251" s="1"/>
      <c r="D5251" s="1"/>
      <c r="E5251" s="1"/>
      <c r="F5251" s="1"/>
      <c r="G5251" s="1" t="s">
        <v>48</v>
      </c>
      <c r="H5251" s="2">
        <v>0</v>
      </c>
      <c r="I5251" s="1" t="s">
        <v>15080</v>
      </c>
      <c r="J5251" s="1" t="s">
        <v>5070</v>
      </c>
      <c r="K5251" s="1" t="s">
        <v>237</v>
      </c>
      <c r="L5251" s="1" t="s">
        <v>15081</v>
      </c>
      <c r="M5251" s="6" t="str">
        <f>_xlfn.CONCAT(Table1[[#This Row],[Billing Street]], ", ", Table1[[#This Row],[Billing City]], ", ", Table1[[#This Row],[Billing State/Province]], ", ", Table1[[#This Row],[Billing Zip/Postal Code]])</f>
        <v>610 West Main Street, Jasper, IN, 47547-0029</v>
      </c>
    </row>
    <row r="5252" spans="1:13" ht="15.6" hidden="1" x14ac:dyDescent="0.3">
      <c r="A5252" s="1" t="s">
        <v>15082</v>
      </c>
      <c r="B5252" s="1"/>
      <c r="C5252" s="1"/>
      <c r="D5252" s="1"/>
      <c r="E5252" s="1"/>
      <c r="F5252" s="1"/>
      <c r="G5252" s="1" t="s">
        <v>48</v>
      </c>
      <c r="H5252" s="2">
        <v>0</v>
      </c>
      <c r="I5252" s="1" t="s">
        <v>13</v>
      </c>
      <c r="J5252" s="1" t="s">
        <v>13</v>
      </c>
      <c r="K5252" s="1" t="s">
        <v>13</v>
      </c>
      <c r="L5252" s="1" t="s">
        <v>13</v>
      </c>
      <c r="M5252" s="6" t="str">
        <f>_xlfn.CONCAT(Table1[[#This Row],[Billing Street]], ", ", Table1[[#This Row],[Billing City]], ", ", Table1[[#This Row],[Billing State/Province]], ", ", Table1[[#This Row],[Billing Zip/Postal Code]])</f>
        <v xml:space="preserve">, , , </v>
      </c>
    </row>
    <row r="5253" spans="1:13" ht="15.6" hidden="1" x14ac:dyDescent="0.3">
      <c r="A5253" s="1" t="s">
        <v>15083</v>
      </c>
      <c r="B5253" s="1"/>
      <c r="C5253" s="1"/>
      <c r="D5253" s="1"/>
      <c r="E5253" s="1"/>
      <c r="F5253" s="1"/>
      <c r="G5253" s="1" t="s">
        <v>48</v>
      </c>
      <c r="H5253" s="2">
        <v>0</v>
      </c>
      <c r="I5253" s="1" t="s">
        <v>15084</v>
      </c>
      <c r="J5253" s="1" t="s">
        <v>15085</v>
      </c>
      <c r="K5253" s="1" t="s">
        <v>152</v>
      </c>
      <c r="L5253" s="1" t="s">
        <v>15086</v>
      </c>
      <c r="M5253" s="6" t="str">
        <f>_xlfn.CONCAT(Table1[[#This Row],[Billing Street]], ", ", Table1[[#This Row],[Billing City]], ", ", Table1[[#This Row],[Billing State/Province]], ", ", Table1[[#This Row],[Billing Zip/Postal Code]])</f>
        <v>1415 South Roselle Road, Palatine, IL, 60067</v>
      </c>
    </row>
    <row r="5254" spans="1:13" ht="15.6" hidden="1" x14ac:dyDescent="0.3">
      <c r="A5254" s="1" t="s">
        <v>15087</v>
      </c>
      <c r="B5254" s="1"/>
      <c r="C5254" s="1"/>
      <c r="D5254" s="1"/>
      <c r="E5254" s="1"/>
      <c r="F5254" s="1"/>
      <c r="G5254" s="1" t="s">
        <v>48</v>
      </c>
      <c r="H5254" s="2">
        <v>0</v>
      </c>
      <c r="I5254" s="1" t="s">
        <v>15088</v>
      </c>
      <c r="J5254" s="1" t="s">
        <v>13155</v>
      </c>
      <c r="K5254" s="1" t="s">
        <v>95</v>
      </c>
      <c r="L5254" s="1" t="s">
        <v>15089</v>
      </c>
      <c r="M5254" s="6" t="str">
        <f>_xlfn.CONCAT(Table1[[#This Row],[Billing Street]], ", ", Table1[[#This Row],[Billing City]], ", ", Table1[[#This Row],[Billing State/Province]], ", ", Table1[[#This Row],[Billing Zip/Postal Code]])</f>
        <v>310 Lockhouse Road, Westfield, MA, 01085</v>
      </c>
    </row>
    <row r="5255" spans="1:13" ht="15.6" hidden="1" x14ac:dyDescent="0.3">
      <c r="A5255" s="1" t="s">
        <v>15090</v>
      </c>
      <c r="B5255" s="1"/>
      <c r="C5255" s="1"/>
      <c r="D5255" s="1"/>
      <c r="E5255" s="1"/>
      <c r="F5255" s="1"/>
      <c r="G5255" s="1" t="s">
        <v>48</v>
      </c>
      <c r="H5255" s="2">
        <v>0</v>
      </c>
      <c r="I5255" s="1" t="s">
        <v>15091</v>
      </c>
      <c r="J5255" s="1" t="s">
        <v>104</v>
      </c>
      <c r="K5255" s="1" t="s">
        <v>45</v>
      </c>
      <c r="L5255" s="1" t="s">
        <v>15092</v>
      </c>
      <c r="M5255" s="6" t="str">
        <f>_xlfn.CONCAT(Table1[[#This Row],[Billing Street]], ", ", Table1[[#This Row],[Billing City]], ", ", Table1[[#This Row],[Billing State/Province]], ", ", Table1[[#This Row],[Billing Zip/Postal Code]])</f>
        <v>21000 Brookpark Road, Cleveland, OH, 44135</v>
      </c>
    </row>
    <row r="5256" spans="1:13" ht="15.6" hidden="1" x14ac:dyDescent="0.3">
      <c r="A5256" s="1" t="s">
        <v>15093</v>
      </c>
      <c r="B5256" s="1"/>
      <c r="C5256" s="1"/>
      <c r="D5256" s="1"/>
      <c r="E5256" s="1"/>
      <c r="F5256" s="1"/>
      <c r="G5256" s="1" t="s">
        <v>48</v>
      </c>
      <c r="H5256" s="2">
        <v>0</v>
      </c>
      <c r="I5256" s="1" t="s">
        <v>15094</v>
      </c>
      <c r="J5256" s="1" t="s">
        <v>15095</v>
      </c>
      <c r="K5256" s="1" t="s">
        <v>15096</v>
      </c>
      <c r="L5256" s="1" t="s">
        <v>15097</v>
      </c>
      <c r="M5256" s="6" t="str">
        <f>_xlfn.CONCAT(Table1[[#This Row],[Billing Street]], ", ", Table1[[#This Row],[Billing City]], ", ", Table1[[#This Row],[Billing State/Province]], ", ", Table1[[#This Row],[Billing Zip/Postal Code]])</f>
        <v>6107 S Zero St, Fort Smith, Arkansas, 72903</v>
      </c>
    </row>
    <row r="5257" spans="1:13" ht="15.6" hidden="1" x14ac:dyDescent="0.3">
      <c r="A5257" s="1" t="s">
        <v>15098</v>
      </c>
      <c r="B5257" s="1"/>
      <c r="C5257" s="1"/>
      <c r="D5257" s="1"/>
      <c r="E5257" s="1"/>
      <c r="F5257" s="1"/>
      <c r="G5257" s="1" t="s">
        <v>43</v>
      </c>
      <c r="H5257" s="2">
        <v>345</v>
      </c>
      <c r="I5257" s="1" t="s">
        <v>11353</v>
      </c>
      <c r="J5257" s="1" t="s">
        <v>780</v>
      </c>
      <c r="K5257" s="1" t="s">
        <v>241</v>
      </c>
      <c r="L5257" s="1" t="s">
        <v>15099</v>
      </c>
      <c r="M5257" s="6" t="str">
        <f>_xlfn.CONCAT(Table1[[#This Row],[Billing Street]], ", ", Table1[[#This Row],[Billing City]], ", ", Table1[[#This Row],[Billing State/Province]], ", ", Table1[[#This Row],[Billing Zip/Postal Code]])</f>
        <v>16 Wolf Street, Philadelphia, PA, 19148</v>
      </c>
    </row>
    <row r="5258" spans="1:13" ht="15.6" hidden="1" x14ac:dyDescent="0.3">
      <c r="A5258" s="1" t="s">
        <v>6652</v>
      </c>
      <c r="B5258" s="1"/>
      <c r="C5258" s="1"/>
      <c r="D5258" s="1"/>
      <c r="E5258" s="1"/>
      <c r="F5258" s="1"/>
      <c r="G5258" s="1" t="s">
        <v>48</v>
      </c>
      <c r="H5258" s="2">
        <v>0</v>
      </c>
      <c r="I5258" s="1" t="s">
        <v>15100</v>
      </c>
      <c r="J5258" s="1" t="s">
        <v>10819</v>
      </c>
      <c r="K5258" s="1" t="s">
        <v>101</v>
      </c>
      <c r="L5258" s="1" t="s">
        <v>15101</v>
      </c>
      <c r="M5258" s="6" t="str">
        <f>_xlfn.CONCAT(Table1[[#This Row],[Billing Street]], ", ", Table1[[#This Row],[Billing City]], ", ", Table1[[#This Row],[Billing State/Province]], ", ", Table1[[#This Row],[Billing Zip/Postal Code]])</f>
        <v>4480 Riverside Drive, Macon, GA, 31210</v>
      </c>
    </row>
    <row r="5259" spans="1:13" ht="15.6" hidden="1" x14ac:dyDescent="0.3">
      <c r="A5259" s="1" t="s">
        <v>15102</v>
      </c>
      <c r="B5259" s="1"/>
      <c r="C5259" s="1"/>
      <c r="D5259" s="1"/>
      <c r="E5259" s="1"/>
      <c r="F5259" s="1"/>
      <c r="G5259" s="1" t="s">
        <v>43</v>
      </c>
      <c r="H5259" s="2">
        <v>345</v>
      </c>
      <c r="I5259" s="1" t="s">
        <v>15103</v>
      </c>
      <c r="J5259" s="1" t="s">
        <v>15104</v>
      </c>
      <c r="K5259" s="1" t="s">
        <v>671</v>
      </c>
      <c r="L5259" s="1" t="s">
        <v>15105</v>
      </c>
      <c r="M5259" s="6" t="str">
        <f>_xlfn.CONCAT(Table1[[#This Row],[Billing Street]], ", ", Table1[[#This Row],[Billing City]], ", ", Table1[[#This Row],[Billing State/Province]], ", ", Table1[[#This Row],[Billing Zip/Postal Code]])</f>
        <v>P. O. Box 83, East Meredith, NY, 13757</v>
      </c>
    </row>
    <row r="5260" spans="1:13" ht="15.6" hidden="1" x14ac:dyDescent="0.3">
      <c r="A5260" s="1" t="s">
        <v>15106</v>
      </c>
      <c r="B5260" s="1"/>
      <c r="C5260" s="1"/>
      <c r="D5260" s="1"/>
      <c r="E5260" s="1"/>
      <c r="F5260" s="1"/>
      <c r="G5260" s="1" t="s">
        <v>43</v>
      </c>
      <c r="H5260" s="2">
        <v>125</v>
      </c>
      <c r="I5260" s="1" t="s">
        <v>15107</v>
      </c>
      <c r="J5260" s="1" t="s">
        <v>6806</v>
      </c>
      <c r="K5260" s="1" t="s">
        <v>82</v>
      </c>
      <c r="L5260" s="1" t="s">
        <v>13211</v>
      </c>
      <c r="M5260" s="6" t="str">
        <f>_xlfn.CONCAT(Table1[[#This Row],[Billing Street]], ", ", Table1[[#This Row],[Billing City]], ", ", Table1[[#This Row],[Billing State/Province]], ", ", Table1[[#This Row],[Billing Zip/Postal Code]])</f>
        <v>37666 Amrhein Road, Livonia, MI, 48150</v>
      </c>
    </row>
    <row r="5261" spans="1:13" ht="15.6" hidden="1" x14ac:dyDescent="0.3">
      <c r="A5261" s="1" t="s">
        <v>15108</v>
      </c>
      <c r="B5261" s="1"/>
      <c r="C5261" s="1"/>
      <c r="D5261" s="1"/>
      <c r="E5261" s="1"/>
      <c r="F5261" s="1"/>
      <c r="G5261" s="1" t="s">
        <v>43</v>
      </c>
      <c r="H5261" s="2">
        <v>302</v>
      </c>
      <c r="I5261" s="1" t="s">
        <v>15109</v>
      </c>
      <c r="J5261" s="1" t="s">
        <v>1798</v>
      </c>
      <c r="K5261" s="1" t="s">
        <v>671</v>
      </c>
      <c r="L5261" s="1" t="s">
        <v>1799</v>
      </c>
      <c r="M5261" s="6" t="str">
        <f>_xlfn.CONCAT(Table1[[#This Row],[Billing Street]], ", ", Table1[[#This Row],[Billing City]], ", ", Table1[[#This Row],[Billing State/Province]], ", ", Table1[[#This Row],[Billing Zip/Postal Code]])</f>
        <v>5870 Fisher Road, East Syracuse, NY, 13057</v>
      </c>
    </row>
    <row r="5262" spans="1:13" ht="15.6" hidden="1" x14ac:dyDescent="0.3">
      <c r="A5262" s="1" t="s">
        <v>15110</v>
      </c>
      <c r="B5262" s="1"/>
      <c r="C5262" s="1"/>
      <c r="D5262" s="1"/>
      <c r="E5262" s="1"/>
      <c r="F5262" s="1"/>
      <c r="G5262" s="1" t="s">
        <v>13</v>
      </c>
      <c r="H5262" s="2">
        <v>0</v>
      </c>
      <c r="I5262" s="1" t="s">
        <v>13</v>
      </c>
      <c r="J5262" s="1" t="s">
        <v>13</v>
      </c>
      <c r="K5262" s="1" t="s">
        <v>13</v>
      </c>
      <c r="L5262" s="1" t="s">
        <v>13</v>
      </c>
      <c r="M5262" s="6" t="str">
        <f>_xlfn.CONCAT(Table1[[#This Row],[Billing Street]], ", ", Table1[[#This Row],[Billing City]], ", ", Table1[[#This Row],[Billing State/Province]], ", ", Table1[[#This Row],[Billing Zip/Postal Code]])</f>
        <v xml:space="preserve">, , , </v>
      </c>
    </row>
    <row r="5263" spans="1:13" ht="15.6" hidden="1" x14ac:dyDescent="0.3">
      <c r="A5263" s="1" t="s">
        <v>15111</v>
      </c>
      <c r="B5263" s="1"/>
      <c r="C5263" s="1"/>
      <c r="D5263" s="1"/>
      <c r="E5263" s="1"/>
      <c r="F5263" s="1"/>
      <c r="G5263" s="1" t="s">
        <v>43</v>
      </c>
      <c r="H5263" s="2">
        <v>128</v>
      </c>
      <c r="I5263" s="1" t="s">
        <v>3083</v>
      </c>
      <c r="J5263" s="1" t="s">
        <v>2479</v>
      </c>
      <c r="K5263" s="1" t="s">
        <v>11174</v>
      </c>
      <c r="L5263" s="1" t="s">
        <v>3084</v>
      </c>
      <c r="M5263" s="6" t="str">
        <f>_xlfn.CONCAT(Table1[[#This Row],[Billing Street]], ", ", Table1[[#This Row],[Billing City]], ", ", Table1[[#This Row],[Billing State/Province]], ", ", Table1[[#This Row],[Billing Zip/Postal Code]])</f>
        <v>46 Hopkins Ave, Jamestown, New York, 14701</v>
      </c>
    </row>
    <row r="5264" spans="1:13" ht="15.6" hidden="1" x14ac:dyDescent="0.3">
      <c r="A5264" s="1" t="s">
        <v>15112</v>
      </c>
      <c r="B5264" s="1"/>
      <c r="C5264" s="1"/>
      <c r="D5264" s="1"/>
      <c r="E5264" s="1"/>
      <c r="F5264" s="1"/>
      <c r="G5264" s="1" t="s">
        <v>205</v>
      </c>
      <c r="H5264" s="2">
        <v>7481</v>
      </c>
      <c r="I5264" s="1" t="s">
        <v>13</v>
      </c>
      <c r="J5264" s="1" t="s">
        <v>518</v>
      </c>
      <c r="K5264" s="1" t="s">
        <v>479</v>
      </c>
      <c r="L5264" s="1" t="s">
        <v>13</v>
      </c>
      <c r="M5264" s="6" t="str">
        <f>_xlfn.CONCAT(Table1[[#This Row],[Billing Street]], ", ", Table1[[#This Row],[Billing City]], ", ", Table1[[#This Row],[Billing State/Province]], ", ", Table1[[#This Row],[Billing Zip/Postal Code]])</f>
        <v xml:space="preserve">, Phoenix, AZ, </v>
      </c>
    </row>
    <row r="5265" spans="1:13" ht="15.6" hidden="1" x14ac:dyDescent="0.3">
      <c r="A5265" s="1" t="s">
        <v>15113</v>
      </c>
      <c r="B5265" s="1"/>
      <c r="C5265" s="1"/>
      <c r="D5265" s="1"/>
      <c r="E5265" s="1"/>
      <c r="F5265" s="1"/>
      <c r="G5265" s="1" t="s">
        <v>43</v>
      </c>
      <c r="H5265" s="2">
        <v>5776</v>
      </c>
      <c r="I5265" s="1" t="s">
        <v>13</v>
      </c>
      <c r="J5265" s="1" t="s">
        <v>13</v>
      </c>
      <c r="K5265" s="1" t="s">
        <v>13</v>
      </c>
      <c r="L5265" s="1" t="s">
        <v>13</v>
      </c>
      <c r="M5265" s="6" t="str">
        <f>_xlfn.CONCAT(Table1[[#This Row],[Billing Street]], ", ", Table1[[#This Row],[Billing City]], ", ", Table1[[#This Row],[Billing State/Province]], ", ", Table1[[#This Row],[Billing Zip/Postal Code]])</f>
        <v xml:space="preserve">, , , </v>
      </c>
    </row>
    <row r="5266" spans="1:13" ht="15.6" hidden="1" x14ac:dyDescent="0.3">
      <c r="A5266" s="1" t="s">
        <v>15114</v>
      </c>
      <c r="B5266" s="1"/>
      <c r="C5266" s="1"/>
      <c r="D5266" s="1"/>
      <c r="E5266" s="1"/>
      <c r="F5266" s="1"/>
      <c r="G5266" s="1" t="s">
        <v>54</v>
      </c>
      <c r="H5266" s="2">
        <v>34</v>
      </c>
      <c r="I5266" s="1" t="s">
        <v>15115</v>
      </c>
      <c r="J5266" s="1" t="s">
        <v>15116</v>
      </c>
      <c r="K5266" s="1" t="s">
        <v>57</v>
      </c>
      <c r="L5266" s="1" t="s">
        <v>15117</v>
      </c>
      <c r="M5266" s="6" t="str">
        <f>_xlfn.CONCAT(Table1[[#This Row],[Billing Street]], ", ", Table1[[#This Row],[Billing City]], ", ", Table1[[#This Row],[Billing State/Province]], ", ", Table1[[#This Row],[Billing Zip/Postal Code]])</f>
        <v>825 16th Street, Newport Beach, CA, 92663</v>
      </c>
    </row>
    <row r="5267" spans="1:13" ht="15.6" x14ac:dyDescent="0.3">
      <c r="A5267" s="1" t="s">
        <v>15118</v>
      </c>
      <c r="B5267" s="1"/>
      <c r="C5267" s="1"/>
      <c r="D5267" s="1"/>
      <c r="E5267" s="1"/>
      <c r="F5267" s="1"/>
      <c r="G5267" s="1" t="s">
        <v>24</v>
      </c>
      <c r="H5267" s="2">
        <v>5988</v>
      </c>
      <c r="I5267" s="1" t="s">
        <v>13</v>
      </c>
      <c r="J5267" s="1" t="s">
        <v>4402</v>
      </c>
      <c r="K5267" s="1" t="s">
        <v>577</v>
      </c>
      <c r="L5267" s="1" t="s">
        <v>13</v>
      </c>
      <c r="M5267" s="6" t="str">
        <f>_xlfn.CONCAT(Table1[[#This Row],[Billing Street]], ", ", Table1[[#This Row],[Billing City]], ", ", Table1[[#This Row],[Billing State/Province]], ", ", Table1[[#This Row],[Billing Zip/Postal Code]])</f>
        <v xml:space="preserve">, Baton Rouge, LA, </v>
      </c>
    </row>
    <row r="5268" spans="1:13" ht="15.6" hidden="1" x14ac:dyDescent="0.3">
      <c r="A5268" s="1" t="s">
        <v>15119</v>
      </c>
      <c r="B5268" s="1"/>
      <c r="C5268" s="1"/>
      <c r="D5268" s="1"/>
      <c r="E5268" s="1"/>
      <c r="F5268" s="1"/>
      <c r="G5268" s="1" t="s">
        <v>13</v>
      </c>
      <c r="H5268" s="2">
        <v>0</v>
      </c>
      <c r="I5268" s="1" t="s">
        <v>13</v>
      </c>
      <c r="J5268" s="1" t="s">
        <v>13</v>
      </c>
      <c r="K5268" s="1" t="s">
        <v>13</v>
      </c>
      <c r="L5268" s="1" t="s">
        <v>13</v>
      </c>
      <c r="M5268" s="6" t="str">
        <f>_xlfn.CONCAT(Table1[[#This Row],[Billing Street]], ", ", Table1[[#This Row],[Billing City]], ", ", Table1[[#This Row],[Billing State/Province]], ", ", Table1[[#This Row],[Billing Zip/Postal Code]])</f>
        <v xml:space="preserve">, , , </v>
      </c>
    </row>
    <row r="5269" spans="1:13" ht="15.6" hidden="1" x14ac:dyDescent="0.3">
      <c r="A5269" s="1" t="s">
        <v>15120</v>
      </c>
      <c r="B5269" s="1"/>
      <c r="C5269" s="1"/>
      <c r="D5269" s="1"/>
      <c r="E5269" s="1"/>
      <c r="F5269" s="1"/>
      <c r="G5269" s="1" t="s">
        <v>54</v>
      </c>
      <c r="H5269" s="2">
        <v>7813</v>
      </c>
      <c r="I5269" s="1" t="s">
        <v>13</v>
      </c>
      <c r="J5269" s="1" t="s">
        <v>4106</v>
      </c>
      <c r="K5269" s="1" t="s">
        <v>57</v>
      </c>
      <c r="L5269" s="1" t="s">
        <v>13</v>
      </c>
      <c r="M5269" s="6" t="str">
        <f>_xlfn.CONCAT(Table1[[#This Row],[Billing Street]], ", ", Table1[[#This Row],[Billing City]], ", ", Table1[[#This Row],[Billing State/Province]], ", ", Table1[[#This Row],[Billing Zip/Postal Code]])</f>
        <v xml:space="preserve">, Sacramento, CA, </v>
      </c>
    </row>
    <row r="5270" spans="1:13" ht="15.6" hidden="1" x14ac:dyDescent="0.3">
      <c r="A5270" s="1" t="s">
        <v>15121</v>
      </c>
      <c r="B5270" s="1"/>
      <c r="C5270" s="1"/>
      <c r="D5270" s="1"/>
      <c r="E5270" s="1"/>
      <c r="F5270" s="1"/>
      <c r="G5270" s="1" t="s">
        <v>8</v>
      </c>
      <c r="H5270" s="2">
        <v>6528</v>
      </c>
      <c r="I5270" s="1" t="s">
        <v>13</v>
      </c>
      <c r="J5270" s="1" t="s">
        <v>13</v>
      </c>
      <c r="K5270" s="1" t="s">
        <v>13</v>
      </c>
      <c r="L5270" s="1" t="s">
        <v>13</v>
      </c>
      <c r="M5270" s="6" t="str">
        <f>_xlfn.CONCAT(Table1[[#This Row],[Billing Street]], ", ", Table1[[#This Row],[Billing City]], ", ", Table1[[#This Row],[Billing State/Province]], ", ", Table1[[#This Row],[Billing Zip/Postal Code]])</f>
        <v xml:space="preserve">, , , </v>
      </c>
    </row>
    <row r="5271" spans="1:13" ht="15.6" hidden="1" x14ac:dyDescent="0.3">
      <c r="A5271" s="1" t="s">
        <v>15122</v>
      </c>
      <c r="B5271" s="1"/>
      <c r="C5271" s="1"/>
      <c r="D5271" s="1"/>
      <c r="E5271" s="1"/>
      <c r="F5271" s="1"/>
      <c r="G5271" s="1" t="s">
        <v>43</v>
      </c>
      <c r="H5271" s="2">
        <v>282</v>
      </c>
      <c r="I5271" s="1" t="s">
        <v>15123</v>
      </c>
      <c r="J5271" s="1" t="s">
        <v>15124</v>
      </c>
      <c r="K5271" s="1" t="s">
        <v>2610</v>
      </c>
      <c r="L5271" s="1" t="s">
        <v>15125</v>
      </c>
      <c r="M5271" s="6" t="str">
        <f>_xlfn.CONCAT(Table1[[#This Row],[Billing Street]], ", ", Table1[[#This Row],[Billing City]], ", ", Table1[[#This Row],[Billing State/Province]], ", ", Table1[[#This Row],[Billing Zip/Postal Code]])</f>
        <v>11125 Pepper Road, Cockeysville, MD, 21031</v>
      </c>
    </row>
    <row r="5272" spans="1:13" ht="15.6" x14ac:dyDescent="0.3">
      <c r="A5272" s="1" t="s">
        <v>15126</v>
      </c>
      <c r="B5272" s="1"/>
      <c r="C5272" s="1"/>
      <c r="D5272" s="1"/>
      <c r="E5272" s="1"/>
      <c r="F5272" s="1"/>
      <c r="G5272" s="1" t="s">
        <v>24</v>
      </c>
      <c r="H5272" s="2">
        <v>5988</v>
      </c>
      <c r="I5272" s="1" t="s">
        <v>13</v>
      </c>
      <c r="J5272" s="1" t="s">
        <v>13</v>
      </c>
      <c r="K5272" s="1" t="s">
        <v>13</v>
      </c>
      <c r="L5272" s="1" t="s">
        <v>13</v>
      </c>
      <c r="M5272" s="6" t="str">
        <f>_xlfn.CONCAT(Table1[[#This Row],[Billing Street]], ", ", Table1[[#This Row],[Billing City]], ", ", Table1[[#This Row],[Billing State/Province]], ", ", Table1[[#This Row],[Billing Zip/Postal Code]])</f>
        <v xml:space="preserve">, , , </v>
      </c>
    </row>
    <row r="5273" spans="1:13" ht="15.6" x14ac:dyDescent="0.3">
      <c r="A5273" s="1" t="s">
        <v>15127</v>
      </c>
      <c r="B5273" s="1"/>
      <c r="C5273" s="1"/>
      <c r="D5273" s="1"/>
      <c r="E5273" s="1"/>
      <c r="F5273" s="1"/>
      <c r="G5273" s="1" t="s">
        <v>24</v>
      </c>
      <c r="H5273" s="2">
        <v>5988</v>
      </c>
      <c r="I5273" s="1" t="s">
        <v>13</v>
      </c>
      <c r="J5273" s="1" t="s">
        <v>13</v>
      </c>
      <c r="K5273" s="1" t="s">
        <v>13</v>
      </c>
      <c r="L5273" s="1" t="s">
        <v>13</v>
      </c>
      <c r="M5273" s="6" t="str">
        <f>_xlfn.CONCAT(Table1[[#This Row],[Billing Street]], ", ", Table1[[#This Row],[Billing City]], ", ", Table1[[#This Row],[Billing State/Province]], ", ", Table1[[#This Row],[Billing Zip/Postal Code]])</f>
        <v xml:space="preserve">, , , </v>
      </c>
    </row>
    <row r="5274" spans="1:13" ht="15.6" hidden="1" x14ac:dyDescent="0.3">
      <c r="A5274" s="1" t="s">
        <v>15128</v>
      </c>
      <c r="B5274" s="1"/>
      <c r="C5274" s="1"/>
      <c r="D5274" s="1"/>
      <c r="E5274" s="1"/>
      <c r="F5274" s="1"/>
      <c r="G5274" s="1" t="s">
        <v>8</v>
      </c>
      <c r="H5274" s="2">
        <v>158</v>
      </c>
      <c r="I5274" s="1" t="s">
        <v>15129</v>
      </c>
      <c r="J5274" s="1" t="s">
        <v>896</v>
      </c>
      <c r="K5274" s="1" t="s">
        <v>11</v>
      </c>
      <c r="L5274" s="1" t="s">
        <v>15130</v>
      </c>
      <c r="M5274" s="6" t="str">
        <f>_xlfn.CONCAT(Table1[[#This Row],[Billing Street]], ", ", Table1[[#This Row],[Billing City]], ", ", Table1[[#This Row],[Billing State/Province]], ", ", Table1[[#This Row],[Billing Zip/Postal Code]])</f>
        <v>4770 N Belleview Ave, Ste 300, Kansas City, MO, 64116</v>
      </c>
    </row>
    <row r="5275" spans="1:13" ht="15.6" hidden="1" x14ac:dyDescent="0.3">
      <c r="A5275" s="1" t="s">
        <v>15131</v>
      </c>
      <c r="B5275" s="1"/>
      <c r="C5275" s="1"/>
      <c r="D5275" s="1"/>
      <c r="E5275" s="1"/>
      <c r="F5275" s="1"/>
      <c r="G5275" s="1" t="s">
        <v>205</v>
      </c>
      <c r="H5275" s="2">
        <v>7481</v>
      </c>
      <c r="I5275" s="1" t="s">
        <v>13</v>
      </c>
      <c r="J5275" s="1" t="s">
        <v>13</v>
      </c>
      <c r="K5275" s="1" t="s">
        <v>13</v>
      </c>
      <c r="L5275" s="1" t="s">
        <v>13</v>
      </c>
      <c r="M5275" s="6" t="str">
        <f>_xlfn.CONCAT(Table1[[#This Row],[Billing Street]], ", ", Table1[[#This Row],[Billing City]], ", ", Table1[[#This Row],[Billing State/Province]], ", ", Table1[[#This Row],[Billing Zip/Postal Code]])</f>
        <v xml:space="preserve">, , , </v>
      </c>
    </row>
    <row r="5276" spans="1:13" ht="15.6" x14ac:dyDescent="0.3">
      <c r="A5276" s="1" t="s">
        <v>6680</v>
      </c>
      <c r="B5276" s="1"/>
      <c r="C5276" s="1"/>
      <c r="D5276" s="1"/>
      <c r="E5276" s="1"/>
      <c r="F5276" s="1"/>
      <c r="G5276" s="1" t="s">
        <v>24</v>
      </c>
      <c r="H5276" s="2">
        <v>317</v>
      </c>
      <c r="I5276" s="1" t="s">
        <v>15132</v>
      </c>
      <c r="J5276" s="1" t="s">
        <v>3037</v>
      </c>
      <c r="K5276" s="1" t="s">
        <v>36</v>
      </c>
      <c r="L5276" s="1" t="s">
        <v>3843</v>
      </c>
      <c r="M5276" s="6" t="str">
        <f>_xlfn.CONCAT(Table1[[#This Row],[Billing Street]], ", ", Table1[[#This Row],[Billing City]], ", ", Table1[[#This Row],[Billing State/Province]], ", ", Table1[[#This Row],[Billing Zip/Postal Code]])</f>
        <v>P.O. Box 4959, Orlando, FL, 32802</v>
      </c>
    </row>
    <row r="5277" spans="1:13" ht="15.6" hidden="1" x14ac:dyDescent="0.3">
      <c r="A5277" s="1" t="s">
        <v>15133</v>
      </c>
      <c r="B5277" s="1"/>
      <c r="C5277" s="1"/>
      <c r="D5277" s="1"/>
      <c r="E5277" s="1"/>
      <c r="F5277" s="1"/>
      <c r="G5277" s="1" t="s">
        <v>8</v>
      </c>
      <c r="H5277" s="2">
        <v>243</v>
      </c>
      <c r="I5277" s="1" t="s">
        <v>15134</v>
      </c>
      <c r="J5277" s="1" t="s">
        <v>1305</v>
      </c>
      <c r="K5277" s="1" t="s">
        <v>165</v>
      </c>
      <c r="L5277" s="1" t="s">
        <v>14864</v>
      </c>
      <c r="M5277" s="6" t="str">
        <f>_xlfn.CONCAT(Table1[[#This Row],[Billing Street]], ", ", Table1[[#This Row],[Billing City]], ", ", Table1[[#This Row],[Billing State/Province]], ", ", Table1[[#This Row],[Billing Zip/Postal Code]])</f>
        <v>PO Box 77, Little Rock, AR, 72203</v>
      </c>
    </row>
    <row r="5278" spans="1:13" ht="15.6" hidden="1" x14ac:dyDescent="0.3">
      <c r="A5278" s="1" t="s">
        <v>15135</v>
      </c>
      <c r="B5278" s="1"/>
      <c r="C5278" s="1"/>
      <c r="D5278" s="1"/>
      <c r="E5278" s="1"/>
      <c r="F5278" s="1"/>
      <c r="G5278" s="1" t="s">
        <v>43</v>
      </c>
      <c r="H5278" s="2">
        <v>368</v>
      </c>
      <c r="I5278" s="1" t="s">
        <v>15136</v>
      </c>
      <c r="J5278" s="1" t="s">
        <v>7648</v>
      </c>
      <c r="K5278" s="1" t="s">
        <v>133</v>
      </c>
      <c r="L5278" s="1" t="s">
        <v>15137</v>
      </c>
      <c r="M5278" s="6" t="str">
        <f>_xlfn.CONCAT(Table1[[#This Row],[Billing Street]], ", ", Table1[[#This Row],[Billing City]], ", ", Table1[[#This Row],[Billing State/Province]], ", ", Table1[[#This Row],[Billing Zip/Postal Code]])</f>
        <v>2300 Badger Drive, Waukesha, WI, 53188</v>
      </c>
    </row>
    <row r="5279" spans="1:13" ht="15.6" hidden="1" x14ac:dyDescent="0.3">
      <c r="A5279" s="1" t="s">
        <v>15138</v>
      </c>
      <c r="B5279" s="1"/>
      <c r="C5279" s="1"/>
      <c r="D5279" s="1"/>
      <c r="E5279" s="1"/>
      <c r="F5279" s="1"/>
      <c r="G5279" s="1" t="s">
        <v>43</v>
      </c>
      <c r="H5279" s="2">
        <v>322</v>
      </c>
      <c r="I5279" s="1" t="s">
        <v>15139</v>
      </c>
      <c r="J5279" s="1" t="s">
        <v>2041</v>
      </c>
      <c r="K5279" s="1" t="s">
        <v>152</v>
      </c>
      <c r="L5279" s="1" t="s">
        <v>15140</v>
      </c>
      <c r="M5279" s="6" t="str">
        <f>_xlfn.CONCAT(Table1[[#This Row],[Billing Street]], ", ", Table1[[#This Row],[Billing City]], ", ", Table1[[#This Row],[Billing State/Province]], ", ", Table1[[#This Row],[Billing Zip/Postal Code]])</f>
        <v>1 South Wacker Drive, Chicago, IL, 60606</v>
      </c>
    </row>
    <row r="5280" spans="1:13" ht="15.6" hidden="1" x14ac:dyDescent="0.3">
      <c r="A5280" s="1" t="s">
        <v>15141</v>
      </c>
      <c r="B5280" s="1"/>
      <c r="C5280" s="1"/>
      <c r="D5280" s="1"/>
      <c r="E5280" s="1"/>
      <c r="F5280" s="1"/>
      <c r="G5280" s="1" t="s">
        <v>43</v>
      </c>
      <c r="H5280" s="2">
        <v>96</v>
      </c>
      <c r="I5280" s="1" t="s">
        <v>15142</v>
      </c>
      <c r="J5280" s="1" t="s">
        <v>2221</v>
      </c>
      <c r="K5280" s="1" t="s">
        <v>241</v>
      </c>
      <c r="L5280" s="1" t="s">
        <v>15143</v>
      </c>
      <c r="M5280" s="6" t="str">
        <f>_xlfn.CONCAT(Table1[[#This Row],[Billing Street]], ", ", Table1[[#This Row],[Billing City]], ", ", Table1[[#This Row],[Billing State/Province]], ", ", Table1[[#This Row],[Billing Zip/Postal Code]])</f>
        <v>503 Martindale Street, Pittsburgh, PA, 15212</v>
      </c>
    </row>
    <row r="5281" spans="1:13" ht="15.6" hidden="1" x14ac:dyDescent="0.3">
      <c r="A5281" s="1" t="s">
        <v>15144</v>
      </c>
      <c r="B5281" s="1"/>
      <c r="C5281" s="1"/>
      <c r="D5281" s="1"/>
      <c r="E5281" s="1"/>
      <c r="F5281" s="1"/>
      <c r="G5281" s="1" t="s">
        <v>48</v>
      </c>
      <c r="H5281" s="2">
        <v>0</v>
      </c>
      <c r="I5281" s="1" t="s">
        <v>13</v>
      </c>
      <c r="J5281" s="1" t="s">
        <v>13</v>
      </c>
      <c r="K5281" s="1" t="s">
        <v>13</v>
      </c>
      <c r="L5281" s="1" t="s">
        <v>13</v>
      </c>
      <c r="M5281" s="6" t="str">
        <f>_xlfn.CONCAT(Table1[[#This Row],[Billing Street]], ", ", Table1[[#This Row],[Billing City]], ", ", Table1[[#This Row],[Billing State/Province]], ", ", Table1[[#This Row],[Billing Zip/Postal Code]])</f>
        <v xml:space="preserve">, , , </v>
      </c>
    </row>
    <row r="5282" spans="1:13" ht="15.6" hidden="1" x14ac:dyDescent="0.3">
      <c r="A5282" s="1" t="s">
        <v>15145</v>
      </c>
      <c r="B5282" s="1"/>
      <c r="C5282" s="1"/>
      <c r="D5282" s="1"/>
      <c r="E5282" s="1"/>
      <c r="F5282" s="1"/>
      <c r="G5282" s="1" t="s">
        <v>8</v>
      </c>
      <c r="H5282" s="2">
        <v>494</v>
      </c>
      <c r="I5282" s="1" t="s">
        <v>15146</v>
      </c>
      <c r="J5282" s="1" t="s">
        <v>557</v>
      </c>
      <c r="K5282" s="1" t="s">
        <v>4343</v>
      </c>
      <c r="L5282" s="1" t="s">
        <v>15147</v>
      </c>
      <c r="M5282" s="6" t="str">
        <f>_xlfn.CONCAT(Table1[[#This Row],[Billing Street]], ", ", Table1[[#This Row],[Billing City]], ", ", Table1[[#This Row],[Billing State/Province]], ", ", Table1[[#This Row],[Billing Zip/Postal Code]])</f>
        <v>7402 N Eldridge Pkwy, Houston, Texas, 77041</v>
      </c>
    </row>
    <row r="5283" spans="1:13" ht="15.6" hidden="1" x14ac:dyDescent="0.3">
      <c r="A5283" s="1" t="s">
        <v>15148</v>
      </c>
      <c r="B5283" s="1"/>
      <c r="C5283" s="1"/>
      <c r="D5283" s="1"/>
      <c r="E5283" s="1"/>
      <c r="F5283" s="1"/>
      <c r="G5283" s="1" t="s">
        <v>13</v>
      </c>
      <c r="H5283" s="2">
        <v>0</v>
      </c>
      <c r="I5283" s="1" t="s">
        <v>15149</v>
      </c>
      <c r="J5283" s="1" t="s">
        <v>15150</v>
      </c>
      <c r="K5283" s="1" t="s">
        <v>7012</v>
      </c>
      <c r="L5283" s="1" t="s">
        <v>13</v>
      </c>
      <c r="M5283" s="6" t="str">
        <f>_xlfn.CONCAT(Table1[[#This Row],[Billing Street]], ", ", Table1[[#This Row],[Billing City]], ", ", Table1[[#This Row],[Billing State/Province]], ", ", Table1[[#This Row],[Billing Zip/Postal Code]])</f>
        <v xml:space="preserve">8580 Dr. A.  Santos Ave, Paranaque,, Manilla, </v>
      </c>
    </row>
    <row r="5284" spans="1:13" ht="15.6" hidden="1" x14ac:dyDescent="0.3">
      <c r="A5284" s="1" t="s">
        <v>15151</v>
      </c>
      <c r="B5284" s="1"/>
      <c r="C5284" s="1"/>
      <c r="D5284" s="1"/>
      <c r="E5284" s="1"/>
      <c r="F5284" s="1"/>
      <c r="G5284" s="1" t="s">
        <v>13</v>
      </c>
      <c r="H5284" s="2">
        <v>0</v>
      </c>
      <c r="I5284" s="1" t="s">
        <v>13</v>
      </c>
      <c r="J5284" s="1" t="s">
        <v>13</v>
      </c>
      <c r="K5284" s="1" t="s">
        <v>13</v>
      </c>
      <c r="L5284" s="1" t="s">
        <v>13</v>
      </c>
      <c r="M5284" s="6" t="str">
        <f>_xlfn.CONCAT(Table1[[#This Row],[Billing Street]], ", ", Table1[[#This Row],[Billing City]], ", ", Table1[[#This Row],[Billing State/Province]], ", ", Table1[[#This Row],[Billing Zip/Postal Code]])</f>
        <v xml:space="preserve">, , , </v>
      </c>
    </row>
    <row r="5285" spans="1:13" ht="15.6" hidden="1" x14ac:dyDescent="0.3">
      <c r="A5285" s="1" t="s">
        <v>15152</v>
      </c>
      <c r="B5285" s="1"/>
      <c r="C5285" s="1"/>
      <c r="D5285" s="1"/>
      <c r="E5285" s="1"/>
      <c r="F5285" s="1"/>
      <c r="G5285" s="1" t="s">
        <v>48</v>
      </c>
      <c r="H5285" s="2">
        <v>0</v>
      </c>
      <c r="I5285" s="1" t="s">
        <v>15153</v>
      </c>
      <c r="J5285" s="1" t="s">
        <v>15154</v>
      </c>
      <c r="K5285" s="1" t="s">
        <v>720</v>
      </c>
      <c r="L5285" s="1" t="s">
        <v>15155</v>
      </c>
      <c r="M5285" s="6" t="str">
        <f>_xlfn.CONCAT(Table1[[#This Row],[Billing Street]], ", ", Table1[[#This Row],[Billing City]], ", ", Table1[[#This Row],[Billing State/Province]], ", ", Table1[[#This Row],[Billing Zip/Postal Code]])</f>
        <v>191 Heller Place, Bellmawr, NJ, 08031</v>
      </c>
    </row>
    <row r="5286" spans="1:13" ht="15.6" hidden="1" x14ac:dyDescent="0.3">
      <c r="A5286" s="1" t="s">
        <v>15156</v>
      </c>
      <c r="B5286" s="1"/>
      <c r="C5286" s="1"/>
      <c r="D5286" s="1"/>
      <c r="E5286" s="1"/>
      <c r="F5286" s="1"/>
      <c r="G5286" s="1" t="s">
        <v>8</v>
      </c>
      <c r="H5286" s="2">
        <v>541</v>
      </c>
      <c r="I5286" s="1" t="s">
        <v>15157</v>
      </c>
      <c r="J5286" s="1" t="s">
        <v>2337</v>
      </c>
      <c r="K5286" s="1" t="s">
        <v>128</v>
      </c>
      <c r="L5286" s="1" t="s">
        <v>3812</v>
      </c>
      <c r="M5286" s="6" t="str">
        <f>_xlfn.CONCAT(Table1[[#This Row],[Billing Street]], ", ", Table1[[#This Row],[Billing City]], ", ", Table1[[#This Row],[Billing State/Province]], ", ", Table1[[#This Row],[Billing Zip/Postal Code]])</f>
        <v>P.O. Box 96, Farmington, MN, 55024</v>
      </c>
    </row>
    <row r="5287" spans="1:13" ht="15.6" hidden="1" x14ac:dyDescent="0.3">
      <c r="A5287" s="1" t="s">
        <v>15158</v>
      </c>
      <c r="B5287" s="1"/>
      <c r="C5287" s="1"/>
      <c r="D5287" s="1"/>
      <c r="E5287" s="1"/>
      <c r="F5287" s="1"/>
      <c r="G5287" s="1" t="s">
        <v>8</v>
      </c>
      <c r="H5287" s="2">
        <v>249</v>
      </c>
      <c r="I5287" s="1" t="s">
        <v>13479</v>
      </c>
      <c r="J5287" s="1" t="s">
        <v>1305</v>
      </c>
      <c r="K5287" s="1" t="s">
        <v>165</v>
      </c>
      <c r="L5287" s="1" t="s">
        <v>6245</v>
      </c>
      <c r="M5287" s="6" t="str">
        <f>_xlfn.CONCAT(Table1[[#This Row],[Billing Street]], ", ", Table1[[#This Row],[Billing City]], ", ", Table1[[#This Row],[Billing State/Province]], ", ", Table1[[#This Row],[Billing Zip/Postal Code]])</f>
        <v>15223 Ireton Road, Little Rock, AR, 72206</v>
      </c>
    </row>
    <row r="5288" spans="1:13" ht="15.6" hidden="1" x14ac:dyDescent="0.3">
      <c r="A5288" s="1" t="s">
        <v>15159</v>
      </c>
      <c r="B5288" s="1"/>
      <c r="C5288" s="1"/>
      <c r="D5288" s="1"/>
      <c r="E5288" s="1"/>
      <c r="F5288" s="1"/>
      <c r="G5288" s="1" t="s">
        <v>13</v>
      </c>
      <c r="H5288" s="2">
        <v>0</v>
      </c>
      <c r="I5288" s="1" t="s">
        <v>15160</v>
      </c>
      <c r="J5288" s="1" t="s">
        <v>13</v>
      </c>
      <c r="K5288" s="1" t="s">
        <v>13</v>
      </c>
      <c r="L5288" s="1" t="s">
        <v>13</v>
      </c>
      <c r="M5288" s="6" t="str">
        <f>_xlfn.CONCAT(Table1[[#This Row],[Billing Street]], ", ", Table1[[#This Row],[Billing City]], ", ", Table1[[#This Row],[Billing State/Province]], ", ", Table1[[#This Row],[Billing Zip/Postal Code]])</f>
        <v xml:space="preserve">3100 Pinson Valley Parkway_x000D_
Birmingham, Alabama 35217, , , </v>
      </c>
    </row>
    <row r="5289" spans="1:13" ht="15.6" hidden="1" x14ac:dyDescent="0.3">
      <c r="A5289" s="1" t="s">
        <v>15161</v>
      </c>
      <c r="B5289" s="1"/>
      <c r="C5289" s="1"/>
      <c r="D5289" s="1"/>
      <c r="E5289" s="1"/>
      <c r="F5289" s="1"/>
      <c r="G5289" s="1" t="s">
        <v>8</v>
      </c>
      <c r="H5289" s="2">
        <v>334</v>
      </c>
      <c r="I5289" s="1" t="s">
        <v>15162</v>
      </c>
      <c r="J5289" s="1" t="s">
        <v>1785</v>
      </c>
      <c r="K5289" s="1" t="s">
        <v>21</v>
      </c>
      <c r="L5289" s="1" t="s">
        <v>15163</v>
      </c>
      <c r="M5289" s="6" t="str">
        <f>_xlfn.CONCAT(Table1[[#This Row],[Billing Street]], ", ", Table1[[#This Row],[Billing City]], ", ", Table1[[#This Row],[Billing State/Province]], ", ", Table1[[#This Row],[Billing Zip/Postal Code]])</f>
        <v>1901 Easton Blvd, Des Moines, IA, 50316</v>
      </c>
    </row>
    <row r="5290" spans="1:13" ht="15.6" hidden="1" x14ac:dyDescent="0.3">
      <c r="A5290" s="1" t="s">
        <v>15164</v>
      </c>
      <c r="B5290" s="1"/>
      <c r="C5290" s="1"/>
      <c r="D5290" s="1"/>
      <c r="E5290" s="1"/>
      <c r="F5290" s="1"/>
      <c r="G5290" s="1" t="s">
        <v>8</v>
      </c>
      <c r="H5290" s="2">
        <v>413</v>
      </c>
      <c r="I5290" s="1" t="s">
        <v>15165</v>
      </c>
      <c r="J5290" s="1" t="s">
        <v>2701</v>
      </c>
      <c r="K5290" s="1" t="s">
        <v>21</v>
      </c>
      <c r="L5290" s="1" t="s">
        <v>11400</v>
      </c>
      <c r="M5290" s="6" t="str">
        <f>_xlfn.CONCAT(Table1[[#This Row],[Billing Street]], ", ", Table1[[#This Row],[Billing City]], ", ", Table1[[#This Row],[Billing State/Province]], ", ", Table1[[#This Row],[Billing Zip/Postal Code]])</f>
        <v>3104 W 76Th St, Davenport, IA, 52806</v>
      </c>
    </row>
    <row r="5291" spans="1:13" ht="15.6" hidden="1" x14ac:dyDescent="0.3">
      <c r="A5291" s="1" t="s">
        <v>15164</v>
      </c>
      <c r="B5291" s="1"/>
      <c r="C5291" s="1"/>
      <c r="D5291" s="1"/>
      <c r="E5291" s="1"/>
      <c r="F5291" s="1"/>
      <c r="G5291" s="1" t="s">
        <v>8</v>
      </c>
      <c r="H5291" s="2">
        <v>413</v>
      </c>
      <c r="I5291" s="1" t="s">
        <v>15165</v>
      </c>
      <c r="J5291" s="1" t="s">
        <v>2701</v>
      </c>
      <c r="K5291" s="1" t="s">
        <v>21</v>
      </c>
      <c r="L5291" s="1" t="s">
        <v>11400</v>
      </c>
      <c r="M5291" s="6" t="str">
        <f>_xlfn.CONCAT(Table1[[#This Row],[Billing Street]], ", ", Table1[[#This Row],[Billing City]], ", ", Table1[[#This Row],[Billing State/Province]], ", ", Table1[[#This Row],[Billing Zip/Postal Code]])</f>
        <v>3104 W 76Th St, Davenport, IA, 52806</v>
      </c>
    </row>
    <row r="5292" spans="1:13" ht="15.6" hidden="1" x14ac:dyDescent="0.3">
      <c r="A5292" s="1" t="s">
        <v>15166</v>
      </c>
      <c r="B5292" s="1"/>
      <c r="C5292" s="1"/>
      <c r="D5292" s="1"/>
      <c r="E5292" s="1"/>
      <c r="F5292" s="1"/>
      <c r="G5292" s="1" t="s">
        <v>8</v>
      </c>
      <c r="H5292" s="2">
        <v>334</v>
      </c>
      <c r="I5292" s="1" t="s">
        <v>15162</v>
      </c>
      <c r="J5292" s="1" t="s">
        <v>1785</v>
      </c>
      <c r="K5292" s="1" t="s">
        <v>21</v>
      </c>
      <c r="L5292" s="1" t="s">
        <v>15163</v>
      </c>
      <c r="M5292" s="6" t="str">
        <f>_xlfn.CONCAT(Table1[[#This Row],[Billing Street]], ", ", Table1[[#This Row],[Billing City]], ", ", Table1[[#This Row],[Billing State/Province]], ", ", Table1[[#This Row],[Billing Zip/Postal Code]])</f>
        <v>1901 Easton Blvd, Des Moines, IA, 50316</v>
      </c>
    </row>
    <row r="5293" spans="1:13" ht="15.6" hidden="1" x14ac:dyDescent="0.3">
      <c r="A5293" s="1" t="s">
        <v>15167</v>
      </c>
      <c r="B5293" s="1"/>
      <c r="C5293" s="1"/>
      <c r="D5293" s="1"/>
      <c r="E5293" s="1"/>
      <c r="F5293" s="1"/>
      <c r="G5293" s="1" t="s">
        <v>8</v>
      </c>
      <c r="H5293" s="2">
        <v>399</v>
      </c>
      <c r="I5293" s="1" t="s">
        <v>15168</v>
      </c>
      <c r="J5293" s="1" t="s">
        <v>8485</v>
      </c>
      <c r="K5293" s="1" t="s">
        <v>21</v>
      </c>
      <c r="L5293" s="1" t="s">
        <v>8486</v>
      </c>
      <c r="M5293" s="6" t="str">
        <f>_xlfn.CONCAT(Table1[[#This Row],[Billing Street]], ", ", Table1[[#This Row],[Billing City]], ", ", Table1[[#This Row],[Billing State/Province]], ", ", Table1[[#This Row],[Billing Zip/Postal Code]])</f>
        <v>250 50Th Ave Sw, Cedar Rapids, IA, 52404</v>
      </c>
    </row>
    <row r="5294" spans="1:13" ht="15.6" hidden="1" x14ac:dyDescent="0.3">
      <c r="A5294" s="1" t="s">
        <v>15169</v>
      </c>
      <c r="B5294" s="1"/>
      <c r="C5294" s="1"/>
      <c r="D5294" s="1"/>
      <c r="E5294" s="1"/>
      <c r="F5294" s="1"/>
      <c r="G5294" s="1" t="s">
        <v>8</v>
      </c>
      <c r="H5294" s="2">
        <v>336</v>
      </c>
      <c r="I5294" s="1" t="s">
        <v>15170</v>
      </c>
      <c r="J5294" s="1" t="s">
        <v>1785</v>
      </c>
      <c r="K5294" s="1" t="s">
        <v>21</v>
      </c>
      <c r="L5294" s="1" t="s">
        <v>7181</v>
      </c>
      <c r="M5294" s="6" t="str">
        <f>_xlfn.CONCAT(Table1[[#This Row],[Billing Street]], ", ", Table1[[#This Row],[Billing City]], ", ", Table1[[#This Row],[Billing State/Province]], ", ", Table1[[#This Row],[Billing Zip/Postal Code]])</f>
        <v>260 Ne 44Th Ave, Des Moines, IA, 50313</v>
      </c>
    </row>
    <row r="5295" spans="1:13" ht="15.6" hidden="1" x14ac:dyDescent="0.3">
      <c r="A5295" s="1" t="s">
        <v>15171</v>
      </c>
      <c r="B5295" s="1"/>
      <c r="C5295" s="1"/>
      <c r="D5295" s="1"/>
      <c r="E5295" s="1"/>
      <c r="F5295" s="1"/>
      <c r="G5295" s="1" t="s">
        <v>8</v>
      </c>
      <c r="H5295" s="2">
        <v>334</v>
      </c>
      <c r="I5295" s="1" t="s">
        <v>15172</v>
      </c>
      <c r="J5295" s="1" t="s">
        <v>15173</v>
      </c>
      <c r="K5295" s="1" t="s">
        <v>21</v>
      </c>
      <c r="L5295" s="1" t="s">
        <v>15174</v>
      </c>
      <c r="M5295" s="6" t="str">
        <f>_xlfn.CONCAT(Table1[[#This Row],[Billing Street]], ", ", Table1[[#This Row],[Billing City]], ", ", Table1[[#This Row],[Billing State/Province]], ", ", Table1[[#This Row],[Billing Zip/Postal Code]])</f>
        <v>3505 SE Crossroads Dr, Grimes, IA, 50111</v>
      </c>
    </row>
    <row r="5296" spans="1:13" ht="15.6" hidden="1" x14ac:dyDescent="0.3">
      <c r="A5296" s="1" t="s">
        <v>15175</v>
      </c>
      <c r="B5296" s="1"/>
      <c r="C5296" s="1"/>
      <c r="D5296" s="1"/>
      <c r="E5296" s="1"/>
      <c r="F5296" s="1"/>
      <c r="G5296" s="1" t="s">
        <v>8</v>
      </c>
      <c r="H5296" s="2">
        <v>72</v>
      </c>
      <c r="I5296" s="1" t="s">
        <v>15176</v>
      </c>
      <c r="J5296" s="1" t="s">
        <v>6237</v>
      </c>
      <c r="K5296" s="1" t="s">
        <v>147</v>
      </c>
      <c r="L5296" s="1" t="s">
        <v>15177</v>
      </c>
      <c r="M5296" s="6" t="str">
        <f>_xlfn.CONCAT(Table1[[#This Row],[Billing Street]], ", ", Table1[[#This Row],[Billing City]], ", ", Table1[[#This Row],[Billing State/Province]], ", ", Table1[[#This Row],[Billing Zip/Postal Code]])</f>
        <v>9521B Riverside Parkway, Tulsa, OK, 74137</v>
      </c>
    </row>
    <row r="5297" spans="1:13" ht="15.6" hidden="1" x14ac:dyDescent="0.3">
      <c r="A5297" s="1" t="s">
        <v>15178</v>
      </c>
      <c r="B5297" s="1"/>
      <c r="C5297" s="1"/>
      <c r="D5297" s="1"/>
      <c r="E5297" s="1"/>
      <c r="F5297" s="1"/>
      <c r="G5297" s="1" t="s">
        <v>43</v>
      </c>
      <c r="H5297" s="2">
        <v>109</v>
      </c>
      <c r="I5297" s="1" t="s">
        <v>15179</v>
      </c>
      <c r="J5297" s="1" t="s">
        <v>15180</v>
      </c>
      <c r="K5297" s="1" t="s">
        <v>45</v>
      </c>
      <c r="L5297" s="1" t="s">
        <v>15181</v>
      </c>
      <c r="M5297" s="6" t="str">
        <f>_xlfn.CONCAT(Table1[[#This Row],[Billing Street]], ", ", Table1[[#This Row],[Billing City]], ", ", Table1[[#This Row],[Billing State/Province]], ", ", Table1[[#This Row],[Billing Zip/Postal Code]])</f>
        <v>200 N. East Street, Prospect, OH, 43342</v>
      </c>
    </row>
    <row r="5298" spans="1:13" ht="15.6" hidden="1" x14ac:dyDescent="0.3">
      <c r="A5298" s="1" t="s">
        <v>15182</v>
      </c>
      <c r="B5298" s="1"/>
      <c r="C5298" s="1"/>
      <c r="D5298" s="1"/>
      <c r="E5298" s="1"/>
      <c r="F5298" s="1"/>
      <c r="G5298" s="1" t="s">
        <v>43</v>
      </c>
      <c r="H5298" s="2">
        <v>5776</v>
      </c>
      <c r="I5298" s="1" t="s">
        <v>13</v>
      </c>
      <c r="J5298" s="1" t="s">
        <v>13</v>
      </c>
      <c r="K5298" s="1" t="s">
        <v>45</v>
      </c>
      <c r="L5298" s="1" t="s">
        <v>13</v>
      </c>
      <c r="M5298" s="6" t="str">
        <f>_xlfn.CONCAT(Table1[[#This Row],[Billing Street]], ", ", Table1[[#This Row],[Billing City]], ", ", Table1[[#This Row],[Billing State/Province]], ", ", Table1[[#This Row],[Billing Zip/Postal Code]])</f>
        <v xml:space="preserve">, , OH, </v>
      </c>
    </row>
    <row r="5299" spans="1:13" ht="15.6" hidden="1" x14ac:dyDescent="0.3">
      <c r="A5299" s="1" t="s">
        <v>15183</v>
      </c>
      <c r="B5299" s="1"/>
      <c r="C5299" s="1"/>
      <c r="D5299" s="1"/>
      <c r="E5299" s="1"/>
      <c r="F5299" s="1"/>
      <c r="G5299" s="1" t="s">
        <v>43</v>
      </c>
      <c r="H5299" s="2">
        <v>67</v>
      </c>
      <c r="I5299" s="1" t="s">
        <v>15184</v>
      </c>
      <c r="J5299" s="1" t="s">
        <v>7027</v>
      </c>
      <c r="K5299" s="1" t="s">
        <v>45</v>
      </c>
      <c r="L5299" s="1" t="s">
        <v>15185</v>
      </c>
      <c r="M5299" s="6" t="str">
        <f>_xlfn.CONCAT(Table1[[#This Row],[Billing Street]], ", ", Table1[[#This Row],[Billing City]], ", ", Table1[[#This Row],[Billing State/Province]], ", ", Table1[[#This Row],[Billing Zip/Postal Code]])</f>
        <v>389 Park Avenue East, Mansfield, OH, 44905</v>
      </c>
    </row>
    <row r="5300" spans="1:13" ht="15.6" hidden="1" x14ac:dyDescent="0.3">
      <c r="A5300" s="1" t="s">
        <v>15186</v>
      </c>
      <c r="B5300" s="1"/>
      <c r="C5300" s="1"/>
      <c r="D5300" s="1"/>
      <c r="E5300" s="1"/>
      <c r="F5300" s="1"/>
      <c r="G5300" s="1" t="s">
        <v>8</v>
      </c>
      <c r="H5300" s="2">
        <v>484</v>
      </c>
      <c r="I5300" s="1" t="s">
        <v>15187</v>
      </c>
      <c r="J5300" s="1" t="s">
        <v>6001</v>
      </c>
      <c r="K5300" s="1" t="s">
        <v>51</v>
      </c>
      <c r="L5300" s="1" t="s">
        <v>15188</v>
      </c>
      <c r="M5300" s="6" t="str">
        <f>_xlfn.CONCAT(Table1[[#This Row],[Billing Street]], ", ", Table1[[#This Row],[Billing City]], ", ", Table1[[#This Row],[Billing State/Province]], ", ", Table1[[#This Row],[Billing Zip/Postal Code]])</f>
        <v>1100 North Main, Liberty, TX, 77575</v>
      </c>
    </row>
    <row r="5301" spans="1:13" ht="15.6" x14ac:dyDescent="0.3">
      <c r="A5301" s="1" t="s">
        <v>15189</v>
      </c>
      <c r="B5301" s="1"/>
      <c r="C5301" s="1"/>
      <c r="D5301" s="1"/>
      <c r="E5301" s="1"/>
      <c r="F5301" s="1"/>
      <c r="G5301" s="1" t="s">
        <v>24</v>
      </c>
      <c r="H5301" s="2">
        <v>5988</v>
      </c>
      <c r="I5301" s="1" t="s">
        <v>13</v>
      </c>
      <c r="J5301" s="1" t="s">
        <v>15190</v>
      </c>
      <c r="K5301" s="1" t="s">
        <v>577</v>
      </c>
      <c r="L5301" s="1" t="s">
        <v>13</v>
      </c>
      <c r="M5301" s="6" t="str">
        <f>_xlfn.CONCAT(Table1[[#This Row],[Billing Street]], ", ", Table1[[#This Row],[Billing City]], ", ", Table1[[#This Row],[Billing State/Province]], ", ", Table1[[#This Row],[Billing Zip/Postal Code]])</f>
        <v xml:space="preserve">, Lena, LA, </v>
      </c>
    </row>
    <row r="5302" spans="1:13" ht="15.6" hidden="1" x14ac:dyDescent="0.3">
      <c r="A5302" s="1" t="s">
        <v>15191</v>
      </c>
      <c r="B5302" s="1"/>
      <c r="C5302" s="1"/>
      <c r="D5302" s="1"/>
      <c r="E5302" s="1"/>
      <c r="F5302" s="1"/>
      <c r="G5302" s="1" t="s">
        <v>8</v>
      </c>
      <c r="H5302" s="2">
        <v>483</v>
      </c>
      <c r="I5302" s="1" t="s">
        <v>15192</v>
      </c>
      <c r="J5302" s="1" t="s">
        <v>977</v>
      </c>
      <c r="K5302" s="1" t="s">
        <v>51</v>
      </c>
      <c r="L5302" s="1" t="s">
        <v>15193</v>
      </c>
      <c r="M5302" s="6" t="str">
        <f>_xlfn.CONCAT(Table1[[#This Row],[Billing Street]], ", ", Table1[[#This Row],[Billing City]], ", ", Table1[[#This Row],[Billing State/Province]], ", ", Table1[[#This Row],[Billing Zip/Postal Code]])</f>
        <v>13301 Galleria Cir #300, Austin, TX, 78738</v>
      </c>
    </row>
    <row r="5303" spans="1:13" ht="15.6" hidden="1" x14ac:dyDescent="0.3">
      <c r="A5303" s="1" t="s">
        <v>15194</v>
      </c>
      <c r="B5303" s="1"/>
      <c r="C5303" s="1"/>
      <c r="D5303" s="1"/>
      <c r="E5303" s="1"/>
      <c r="F5303" s="1"/>
      <c r="G5303" s="1" t="s">
        <v>8</v>
      </c>
      <c r="H5303" s="2">
        <v>426</v>
      </c>
      <c r="I5303" s="1" t="s">
        <v>15195</v>
      </c>
      <c r="J5303" s="1" t="s">
        <v>6047</v>
      </c>
      <c r="K5303" s="1" t="s">
        <v>51</v>
      </c>
      <c r="L5303" s="1" t="s">
        <v>9075</v>
      </c>
      <c r="M5303" s="6" t="str">
        <f>_xlfn.CONCAT(Table1[[#This Row],[Billing Street]], ", ", Table1[[#This Row],[Billing City]], ", ", Table1[[#This Row],[Billing State/Province]], ", ", Table1[[#This Row],[Billing Zip/Postal Code]])</f>
        <v>720 S.E. Loop 289, Lubbock, TX, 79404</v>
      </c>
    </row>
    <row r="5304" spans="1:13" ht="15.6" hidden="1" x14ac:dyDescent="0.3">
      <c r="A5304" s="1" t="s">
        <v>15196</v>
      </c>
      <c r="B5304" s="1"/>
      <c r="C5304" s="1"/>
      <c r="D5304" s="1"/>
      <c r="E5304" s="1"/>
      <c r="F5304" s="1"/>
      <c r="G5304" s="1" t="s">
        <v>43</v>
      </c>
      <c r="H5304" s="2">
        <v>5776</v>
      </c>
      <c r="I5304" s="1" t="s">
        <v>15197</v>
      </c>
      <c r="J5304" s="1" t="s">
        <v>15198</v>
      </c>
      <c r="K5304" s="1" t="s">
        <v>1745</v>
      </c>
      <c r="L5304" s="1" t="s">
        <v>15199</v>
      </c>
      <c r="M5304" s="6" t="str">
        <f>_xlfn.CONCAT(Table1[[#This Row],[Billing Street]], ", ", Table1[[#This Row],[Billing City]], ", ", Table1[[#This Row],[Billing State/Province]], ", ", Table1[[#This Row],[Billing Zip/Postal Code]])</f>
        <v>209 Broad St, Palmra, nj, 8065</v>
      </c>
    </row>
    <row r="5305" spans="1:13" ht="15.6" hidden="1" x14ac:dyDescent="0.3">
      <c r="A5305" s="1" t="s">
        <v>15200</v>
      </c>
      <c r="B5305" s="1"/>
      <c r="C5305" s="1"/>
      <c r="D5305" s="1"/>
      <c r="E5305" s="1"/>
      <c r="F5305" s="1"/>
      <c r="G5305" s="1" t="s">
        <v>43</v>
      </c>
      <c r="H5305" s="2">
        <v>5776</v>
      </c>
      <c r="I5305" s="1" t="s">
        <v>13</v>
      </c>
      <c r="J5305" s="1" t="s">
        <v>13</v>
      </c>
      <c r="K5305" s="1" t="s">
        <v>45</v>
      </c>
      <c r="L5305" s="1" t="s">
        <v>13</v>
      </c>
      <c r="M5305" s="6" t="str">
        <f>_xlfn.CONCAT(Table1[[#This Row],[Billing Street]], ", ", Table1[[#This Row],[Billing City]], ", ", Table1[[#This Row],[Billing State/Province]], ", ", Table1[[#This Row],[Billing Zip/Postal Code]])</f>
        <v xml:space="preserve">, , OH, </v>
      </c>
    </row>
    <row r="5306" spans="1:13" ht="15.6" hidden="1" x14ac:dyDescent="0.3">
      <c r="A5306" s="1" t="s">
        <v>15201</v>
      </c>
      <c r="B5306" s="1"/>
      <c r="C5306" s="1"/>
      <c r="D5306" s="1"/>
      <c r="E5306" s="1"/>
      <c r="F5306" s="1"/>
      <c r="G5306" s="1" t="s">
        <v>43</v>
      </c>
      <c r="H5306" s="2">
        <v>295</v>
      </c>
      <c r="I5306" s="1" t="s">
        <v>15202</v>
      </c>
      <c r="J5306" s="1" t="s">
        <v>3890</v>
      </c>
      <c r="K5306" s="1" t="s">
        <v>1191</v>
      </c>
      <c r="L5306" s="1" t="s">
        <v>15203</v>
      </c>
      <c r="M5306" s="6" t="str">
        <f>_xlfn.CONCAT(Table1[[#This Row],[Billing Street]], ", ", Table1[[#This Row],[Billing City]], ", ", Table1[[#This Row],[Billing State/Province]], ", ", Table1[[#This Row],[Billing Zip/Postal Code]])</f>
        <v>857 Kentucky St.
Po Box 1483, Shelbyville, KY, 40066</v>
      </c>
    </row>
    <row r="5307" spans="1:13" ht="15.6" hidden="1" x14ac:dyDescent="0.3">
      <c r="A5307" s="1" t="s">
        <v>15204</v>
      </c>
      <c r="B5307" s="1"/>
      <c r="C5307" s="1"/>
      <c r="D5307" s="1"/>
      <c r="E5307" s="1"/>
      <c r="F5307" s="1"/>
      <c r="G5307" s="1" t="s">
        <v>8</v>
      </c>
      <c r="H5307" s="2">
        <v>61</v>
      </c>
      <c r="I5307" s="1" t="s">
        <v>15205</v>
      </c>
      <c r="J5307" s="1" t="s">
        <v>6237</v>
      </c>
      <c r="K5307" s="1" t="s">
        <v>147</v>
      </c>
      <c r="L5307" s="1" t="s">
        <v>10251</v>
      </c>
      <c r="M5307" s="6" t="str">
        <f>_xlfn.CONCAT(Table1[[#This Row],[Billing Street]], ", ", Table1[[#This Row],[Billing City]], ", ", Table1[[#This Row],[Billing State/Province]], ", ", Table1[[#This Row],[Billing Zip/Postal Code]])</f>
        <v>10838 East Marshall Street, Suite 200, Tulsa, OK, 74116</v>
      </c>
    </row>
    <row r="5308" spans="1:13" ht="15.6" hidden="1" x14ac:dyDescent="0.3">
      <c r="A5308" s="1" t="s">
        <v>15206</v>
      </c>
      <c r="B5308" s="1"/>
      <c r="C5308" s="1"/>
      <c r="D5308" s="1"/>
      <c r="E5308" s="1"/>
      <c r="F5308" s="1"/>
      <c r="G5308" s="1" t="s">
        <v>43</v>
      </c>
      <c r="H5308" s="2">
        <v>327</v>
      </c>
      <c r="I5308" s="1" t="s">
        <v>15207</v>
      </c>
      <c r="J5308" s="1" t="s">
        <v>2041</v>
      </c>
      <c r="K5308" s="1" t="s">
        <v>152</v>
      </c>
      <c r="L5308" s="1" t="s">
        <v>15208</v>
      </c>
      <c r="M5308" s="6" t="str">
        <f>_xlfn.CONCAT(Table1[[#This Row],[Billing Street]], ", ", Table1[[#This Row],[Billing City]], ", ", Table1[[#This Row],[Billing State/Province]], ", ", Table1[[#This Row],[Billing Zip/Postal Code]])</f>
        <v>4605 N Elston Ave, Chicago, IL, 60630</v>
      </c>
    </row>
    <row r="5309" spans="1:13" ht="15.6" hidden="1" x14ac:dyDescent="0.3">
      <c r="A5309" s="1" t="s">
        <v>15209</v>
      </c>
      <c r="B5309" s="1"/>
      <c r="C5309" s="1"/>
      <c r="D5309" s="1"/>
      <c r="E5309" s="1"/>
      <c r="F5309" s="1"/>
      <c r="G5309" s="1" t="s">
        <v>43</v>
      </c>
      <c r="H5309" s="2">
        <v>339</v>
      </c>
      <c r="I5309" s="1" t="s">
        <v>15210</v>
      </c>
      <c r="J5309" s="1" t="s">
        <v>15211</v>
      </c>
      <c r="K5309" s="1" t="s">
        <v>152</v>
      </c>
      <c r="L5309" s="1" t="s">
        <v>15212</v>
      </c>
      <c r="M5309" s="6" t="str">
        <f>_xlfn.CONCAT(Table1[[#This Row],[Billing Street]], ", ", Table1[[#This Row],[Billing City]], ", ", Table1[[#This Row],[Billing State/Province]], ", ", Table1[[#This Row],[Billing Zip/Postal Code]])</f>
        <v>648 Blackhawk Dr, Westmont, IL, 60559</v>
      </c>
    </row>
    <row r="5310" spans="1:13" ht="15.6" hidden="1" x14ac:dyDescent="0.3">
      <c r="A5310" s="1" t="s">
        <v>15213</v>
      </c>
      <c r="B5310" s="1"/>
      <c r="C5310" s="1"/>
      <c r="D5310" s="1"/>
      <c r="E5310" s="1"/>
      <c r="F5310" s="1"/>
      <c r="G5310" s="1" t="s">
        <v>43</v>
      </c>
      <c r="H5310" s="2">
        <v>292</v>
      </c>
      <c r="I5310" s="1" t="s">
        <v>15214</v>
      </c>
      <c r="J5310" s="1" t="s">
        <v>12472</v>
      </c>
      <c r="K5310" s="1" t="s">
        <v>671</v>
      </c>
      <c r="L5310" s="1" t="s">
        <v>15215</v>
      </c>
      <c r="M5310" s="6" t="str">
        <f>_xlfn.CONCAT(Table1[[#This Row],[Billing Street]], ", ", Table1[[#This Row],[Billing City]], ", ", Table1[[#This Row],[Billing State/Province]], ", ", Table1[[#This Row],[Billing Zip/Postal Code]])</f>
        <v>1080 Chenango Street, Binghamton, NY, 13901</v>
      </c>
    </row>
    <row r="5311" spans="1:13" ht="15.6" hidden="1" x14ac:dyDescent="0.3">
      <c r="A5311" s="1" t="s">
        <v>15216</v>
      </c>
      <c r="B5311" s="1"/>
      <c r="C5311" s="1"/>
      <c r="D5311" s="1"/>
      <c r="E5311" s="1"/>
      <c r="F5311" s="1"/>
      <c r="G5311" s="1" t="s">
        <v>54</v>
      </c>
      <c r="H5311" s="2">
        <v>344</v>
      </c>
      <c r="I5311" s="1" t="s">
        <v>15217</v>
      </c>
      <c r="J5311" s="1" t="s">
        <v>15218</v>
      </c>
      <c r="K5311" s="1" t="s">
        <v>57</v>
      </c>
      <c r="L5311" s="1" t="s">
        <v>15219</v>
      </c>
      <c r="M5311" s="6" t="str">
        <f>_xlfn.CONCAT(Table1[[#This Row],[Billing Street]], ", ", Table1[[#This Row],[Billing City]], ", ", Table1[[#This Row],[Billing State/Province]], ", ", Table1[[#This Row],[Billing Zip/Postal Code]])</f>
        <v>151 Milagra Drive, Pacifica, CA, 94044</v>
      </c>
    </row>
    <row r="5312" spans="1:13" ht="15.6" hidden="1" x14ac:dyDescent="0.3">
      <c r="A5312" s="1" t="s">
        <v>7040</v>
      </c>
      <c r="B5312" s="1"/>
      <c r="C5312" s="1"/>
      <c r="D5312" s="1"/>
      <c r="E5312" s="1"/>
      <c r="F5312" s="1"/>
      <c r="G5312" s="1" t="s">
        <v>43</v>
      </c>
      <c r="H5312" s="2">
        <v>114</v>
      </c>
      <c r="I5312" s="1" t="s">
        <v>15220</v>
      </c>
      <c r="J5312" s="1" t="s">
        <v>396</v>
      </c>
      <c r="K5312" s="1" t="s">
        <v>82</v>
      </c>
      <c r="L5312" s="1" t="s">
        <v>15221</v>
      </c>
      <c r="M5312" s="6" t="str">
        <f>_xlfn.CONCAT(Table1[[#This Row],[Billing Street]], ", ", Table1[[#This Row],[Billing City]], ", ", Table1[[#This Row],[Billing State/Province]], ", ", Table1[[#This Row],[Billing Zip/Postal Code]])</f>
        <v>320 E Seven Mile Rd, Detroit, MI, 48203</v>
      </c>
    </row>
    <row r="5313" spans="1:13" ht="15.6" x14ac:dyDescent="0.3">
      <c r="A5313" s="1" t="s">
        <v>15222</v>
      </c>
      <c r="B5313" s="1"/>
      <c r="C5313" s="1"/>
      <c r="D5313" s="1"/>
      <c r="E5313" s="1"/>
      <c r="F5313" s="1"/>
      <c r="G5313" s="1" t="s">
        <v>24</v>
      </c>
      <c r="H5313" s="2">
        <v>5988</v>
      </c>
      <c r="I5313" s="1" t="s">
        <v>13</v>
      </c>
      <c r="J5313" s="1" t="s">
        <v>4870</v>
      </c>
      <c r="K5313" s="1" t="s">
        <v>577</v>
      </c>
      <c r="L5313" s="1" t="s">
        <v>13</v>
      </c>
      <c r="M5313" s="6" t="str">
        <f>_xlfn.CONCAT(Table1[[#This Row],[Billing Street]], ", ", Table1[[#This Row],[Billing City]], ", ", Table1[[#This Row],[Billing State/Province]], ", ", Table1[[#This Row],[Billing Zip/Postal Code]])</f>
        <v xml:space="preserve">, Gonzales, LA, </v>
      </c>
    </row>
    <row r="5314" spans="1:13" ht="15.6" hidden="1" x14ac:dyDescent="0.3">
      <c r="A5314" s="1" t="s">
        <v>15223</v>
      </c>
      <c r="B5314" s="1"/>
      <c r="C5314" s="1"/>
      <c r="D5314" s="1"/>
      <c r="E5314" s="1"/>
      <c r="F5314" s="1"/>
      <c r="G5314" s="1" t="s">
        <v>43</v>
      </c>
      <c r="H5314" s="2">
        <v>22</v>
      </c>
      <c r="I5314" s="1" t="s">
        <v>15224</v>
      </c>
      <c r="J5314" s="1" t="s">
        <v>10416</v>
      </c>
      <c r="K5314" s="1" t="s">
        <v>45</v>
      </c>
      <c r="L5314" s="1" t="s">
        <v>10417</v>
      </c>
      <c r="M5314" s="6" t="str">
        <f>_xlfn.CONCAT(Table1[[#This Row],[Billing Street]], ", ", Table1[[#This Row],[Billing City]], ", ", Table1[[#This Row],[Billing State/Province]], ", ", Table1[[#This Row],[Billing Zip/Postal Code]])</f>
        <v>4245 Hamann Industrial Parkway, Willoughby, OH, 44094</v>
      </c>
    </row>
    <row r="5315" spans="1:13" ht="15.6" hidden="1" x14ac:dyDescent="0.3">
      <c r="A5315" s="1" t="s">
        <v>15225</v>
      </c>
      <c r="B5315" s="1"/>
      <c r="C5315" s="1"/>
      <c r="D5315" s="1"/>
      <c r="E5315" s="1"/>
      <c r="F5315" s="1"/>
      <c r="G5315" s="1" t="s">
        <v>43</v>
      </c>
      <c r="H5315" s="2">
        <v>5776</v>
      </c>
      <c r="I5315" s="1" t="s">
        <v>13</v>
      </c>
      <c r="J5315" s="1" t="s">
        <v>13</v>
      </c>
      <c r="K5315" s="1" t="s">
        <v>45</v>
      </c>
      <c r="L5315" s="1" t="s">
        <v>13</v>
      </c>
      <c r="M5315" s="6" t="str">
        <f>_xlfn.CONCAT(Table1[[#This Row],[Billing Street]], ", ", Table1[[#This Row],[Billing City]], ", ", Table1[[#This Row],[Billing State/Province]], ", ", Table1[[#This Row],[Billing Zip/Postal Code]])</f>
        <v xml:space="preserve">, , OH, </v>
      </c>
    </row>
    <row r="5316" spans="1:13" ht="15.6" hidden="1" x14ac:dyDescent="0.3">
      <c r="A5316" s="1" t="s">
        <v>15226</v>
      </c>
      <c r="B5316" s="1"/>
      <c r="C5316" s="1"/>
      <c r="D5316" s="1"/>
      <c r="E5316" s="1"/>
      <c r="F5316" s="1"/>
      <c r="G5316" s="1" t="s">
        <v>205</v>
      </c>
      <c r="H5316" s="2">
        <v>473</v>
      </c>
      <c r="I5316" s="1" t="s">
        <v>15227</v>
      </c>
      <c r="J5316" s="1" t="s">
        <v>15228</v>
      </c>
      <c r="K5316" s="1" t="s">
        <v>472</v>
      </c>
      <c r="L5316" s="1" t="s">
        <v>15229</v>
      </c>
      <c r="M5316" s="6" t="str">
        <f>_xlfn.CONCAT(Table1[[#This Row],[Billing Street]], ", ", Table1[[#This Row],[Billing City]], ", ", Table1[[#This Row],[Billing State/Province]], ", ", Table1[[#This Row],[Billing Zip/Postal Code]])</f>
        <v>362 South Commerce Loop, Orem, UT, 84058</v>
      </c>
    </row>
    <row r="5317" spans="1:13" ht="15.6" hidden="1" x14ac:dyDescent="0.3">
      <c r="A5317" s="1" t="s">
        <v>15230</v>
      </c>
      <c r="B5317" s="1"/>
      <c r="C5317" s="1"/>
      <c r="D5317" s="1"/>
      <c r="E5317" s="1"/>
      <c r="F5317" s="1"/>
      <c r="G5317" s="1" t="s">
        <v>54</v>
      </c>
      <c r="H5317" s="2">
        <v>836</v>
      </c>
      <c r="I5317" s="1" t="s">
        <v>15231</v>
      </c>
      <c r="J5317" s="1" t="s">
        <v>7590</v>
      </c>
      <c r="K5317" s="1" t="s">
        <v>405</v>
      </c>
      <c r="L5317" s="1" t="s">
        <v>15232</v>
      </c>
      <c r="M5317" s="6" t="str">
        <f>_xlfn.CONCAT(Table1[[#This Row],[Billing Street]], ", ", Table1[[#This Row],[Billing City]], ", ", Table1[[#This Row],[Billing State/Province]], ", ", Table1[[#This Row],[Billing Zip/Postal Code]])</f>
        <v>5900 NE 88th Street Bld B Ste 205, Vancouver, WA, 98665</v>
      </c>
    </row>
    <row r="5318" spans="1:13" ht="15.6" x14ac:dyDescent="0.3">
      <c r="A5318" s="1" t="s">
        <v>15233</v>
      </c>
      <c r="B5318" s="1"/>
      <c r="C5318" s="1"/>
      <c r="D5318" s="1"/>
      <c r="E5318" s="1"/>
      <c r="F5318" s="1"/>
      <c r="G5318" s="1" t="s">
        <v>24</v>
      </c>
      <c r="H5318" s="2">
        <v>118</v>
      </c>
      <c r="I5318" s="1" t="s">
        <v>15234</v>
      </c>
      <c r="J5318" s="1" t="s">
        <v>5790</v>
      </c>
      <c r="K5318" s="1" t="s">
        <v>26</v>
      </c>
      <c r="L5318" s="1" t="s">
        <v>5791</v>
      </c>
      <c r="M5318" s="6" t="str">
        <f>_xlfn.CONCAT(Table1[[#This Row],[Billing Street]], ", ", Table1[[#This Row],[Billing City]], ", ", Table1[[#This Row],[Billing State/Province]], ", ", Table1[[#This Row],[Billing Zip/Postal Code]])</f>
        <v>13580 Celeste Rd, Saraland, AL, 36571</v>
      </c>
    </row>
    <row r="5319" spans="1:13" ht="15.6" hidden="1" x14ac:dyDescent="0.3">
      <c r="A5319" s="1" t="s">
        <v>15235</v>
      </c>
      <c r="B5319" s="1"/>
      <c r="C5319" s="1"/>
      <c r="D5319" s="1"/>
      <c r="E5319" s="1"/>
      <c r="F5319" s="1"/>
      <c r="G5319" s="1" t="s">
        <v>8</v>
      </c>
      <c r="H5319" s="2">
        <v>549</v>
      </c>
      <c r="I5319" s="1" t="s">
        <v>15236</v>
      </c>
      <c r="J5319" s="1" t="s">
        <v>220</v>
      </c>
      <c r="K5319" s="1" t="s">
        <v>208</v>
      </c>
      <c r="L5319" s="1" t="s">
        <v>15237</v>
      </c>
      <c r="M5319" s="6" t="str">
        <f>_xlfn.CONCAT(Table1[[#This Row],[Billing Street]], ", ", Table1[[#This Row],[Billing City]], ", ", Table1[[#This Row],[Billing State/Province]], ", ", Table1[[#This Row],[Billing Zip/Postal Code]])</f>
        <v>9586 E. I25 Frontage Rd, Longmont, CO, 80504</v>
      </c>
    </row>
    <row r="5320" spans="1:13" ht="15.6" hidden="1" x14ac:dyDescent="0.3">
      <c r="A5320" s="1" t="s">
        <v>15238</v>
      </c>
      <c r="B5320" s="1"/>
      <c r="C5320" s="1"/>
      <c r="D5320" s="1"/>
      <c r="E5320" s="1"/>
      <c r="F5320" s="1"/>
      <c r="G5320" s="1" t="s">
        <v>43</v>
      </c>
      <c r="H5320" s="2">
        <v>56</v>
      </c>
      <c r="I5320" s="1" t="s">
        <v>15239</v>
      </c>
      <c r="J5320" s="1" t="s">
        <v>15240</v>
      </c>
      <c r="K5320" s="1" t="s">
        <v>45</v>
      </c>
      <c r="L5320" s="1" t="s">
        <v>12799</v>
      </c>
      <c r="M5320" s="6" t="str">
        <f>_xlfn.CONCAT(Table1[[#This Row],[Billing Street]], ", ", Table1[[#This Row],[Billing City]], ", ", Table1[[#This Row],[Billing State/Province]], ", ", Table1[[#This Row],[Billing Zip/Postal Code]])</f>
        <v>520 W. THIRD STREET, DOVER, OH, 44622</v>
      </c>
    </row>
    <row r="5321" spans="1:13" ht="15.6" hidden="1" x14ac:dyDescent="0.3">
      <c r="A5321" s="1" t="s">
        <v>15241</v>
      </c>
      <c r="B5321" s="1"/>
      <c r="C5321" s="1"/>
      <c r="D5321" s="1"/>
      <c r="E5321" s="1"/>
      <c r="F5321" s="1"/>
      <c r="G5321" s="1" t="s">
        <v>43</v>
      </c>
      <c r="H5321" s="2">
        <v>460</v>
      </c>
      <c r="I5321" s="1" t="s">
        <v>15242</v>
      </c>
      <c r="J5321" s="1" t="s">
        <v>15243</v>
      </c>
      <c r="K5321" s="1" t="s">
        <v>4987</v>
      </c>
      <c r="L5321" s="1" t="s">
        <v>15244</v>
      </c>
      <c r="M5321" s="6" t="str">
        <f>_xlfn.CONCAT(Table1[[#This Row],[Billing Street]], ", ", Table1[[#This Row],[Billing City]], ", ", Table1[[#This Row],[Billing State/Province]], ", ", Table1[[#This Row],[Billing Zip/Postal Code]])</f>
        <v>90 Brookfield Street, South Windsor, CT, 6074</v>
      </c>
    </row>
    <row r="5322" spans="1:13" ht="15.6" hidden="1" x14ac:dyDescent="0.3">
      <c r="A5322" s="1" t="s">
        <v>15245</v>
      </c>
      <c r="B5322" s="1"/>
      <c r="C5322" s="1"/>
      <c r="D5322" s="1"/>
      <c r="E5322" s="1"/>
      <c r="F5322" s="1"/>
      <c r="G5322" s="1" t="s">
        <v>8</v>
      </c>
      <c r="H5322" s="2">
        <v>6528</v>
      </c>
      <c r="I5322" s="1" t="s">
        <v>13</v>
      </c>
      <c r="J5322" s="1" t="s">
        <v>15095</v>
      </c>
      <c r="K5322" s="1" t="s">
        <v>165</v>
      </c>
      <c r="L5322" s="1" t="s">
        <v>13</v>
      </c>
      <c r="M5322" s="6" t="str">
        <f>_xlfn.CONCAT(Table1[[#This Row],[Billing Street]], ", ", Table1[[#This Row],[Billing City]], ", ", Table1[[#This Row],[Billing State/Province]], ", ", Table1[[#This Row],[Billing Zip/Postal Code]])</f>
        <v xml:space="preserve">, Fort Smith, AR, </v>
      </c>
    </row>
    <row r="5323" spans="1:13" ht="15.6" hidden="1" x14ac:dyDescent="0.3">
      <c r="A5323" s="1" t="s">
        <v>15246</v>
      </c>
      <c r="B5323" s="1"/>
      <c r="C5323" s="1"/>
      <c r="D5323" s="1"/>
      <c r="E5323" s="1"/>
      <c r="F5323" s="1"/>
      <c r="G5323" s="1" t="s">
        <v>43</v>
      </c>
      <c r="H5323" s="2">
        <v>5776</v>
      </c>
      <c r="I5323" s="1" t="s">
        <v>13</v>
      </c>
      <c r="J5323" s="1" t="s">
        <v>13</v>
      </c>
      <c r="K5323" s="1" t="s">
        <v>45</v>
      </c>
      <c r="L5323" s="1" t="s">
        <v>13</v>
      </c>
      <c r="M5323" s="6" t="str">
        <f>_xlfn.CONCAT(Table1[[#This Row],[Billing Street]], ", ", Table1[[#This Row],[Billing City]], ", ", Table1[[#This Row],[Billing State/Province]], ", ", Table1[[#This Row],[Billing Zip/Postal Code]])</f>
        <v xml:space="preserve">, , OH, </v>
      </c>
    </row>
    <row r="5324" spans="1:13" ht="15.6" hidden="1" x14ac:dyDescent="0.3">
      <c r="A5324" s="1" t="s">
        <v>15247</v>
      </c>
      <c r="B5324" s="1"/>
      <c r="C5324" s="1"/>
      <c r="D5324" s="1"/>
      <c r="E5324" s="1"/>
      <c r="F5324" s="1"/>
      <c r="G5324" s="1" t="s">
        <v>205</v>
      </c>
      <c r="H5324" s="2">
        <v>694</v>
      </c>
      <c r="I5324" s="1" t="s">
        <v>15248</v>
      </c>
      <c r="J5324" s="1" t="s">
        <v>6583</v>
      </c>
      <c r="K5324" s="1" t="s">
        <v>2309</v>
      </c>
      <c r="L5324" s="1" t="s">
        <v>15249</v>
      </c>
      <c r="M5324" s="6" t="str">
        <f>_xlfn.CONCAT(Table1[[#This Row],[Billing Street]], ", ", Table1[[#This Row],[Billing City]], ", ", Table1[[#This Row],[Billing State/Province]], ", ", Table1[[#This Row],[Billing Zip/Postal Code]])</f>
        <v>545 Utah Cir, Idaho Falls, ID, 83402</v>
      </c>
    </row>
    <row r="5325" spans="1:13" ht="15.6" hidden="1" x14ac:dyDescent="0.3">
      <c r="A5325" s="1" t="s">
        <v>15250</v>
      </c>
      <c r="B5325" s="1"/>
      <c r="C5325" s="1"/>
      <c r="D5325" s="1"/>
      <c r="E5325" s="1"/>
      <c r="F5325" s="1"/>
      <c r="G5325" s="1" t="s">
        <v>43</v>
      </c>
      <c r="H5325" s="2">
        <v>55</v>
      </c>
      <c r="I5325" s="1" t="s">
        <v>15251</v>
      </c>
      <c r="J5325" s="1" t="s">
        <v>12844</v>
      </c>
      <c r="K5325" s="1" t="s">
        <v>45</v>
      </c>
      <c r="L5325" s="1" t="s">
        <v>15252</v>
      </c>
      <c r="M5325" s="6" t="str">
        <f>_xlfn.CONCAT(Table1[[#This Row],[Billing Street]], ", ", Table1[[#This Row],[Billing City]], ", ", Table1[[#This Row],[Billing State/Province]], ", ", Table1[[#This Row],[Billing Zip/Postal Code]])</f>
        <v>350 Canton Road NW, Carrollton, OH, 44615</v>
      </c>
    </row>
    <row r="5326" spans="1:13" ht="15.6" x14ac:dyDescent="0.3">
      <c r="A5326" s="1" t="s">
        <v>15253</v>
      </c>
      <c r="B5326" s="1"/>
      <c r="C5326" s="1"/>
      <c r="D5326" s="1"/>
      <c r="E5326" s="1"/>
      <c r="F5326" s="1"/>
      <c r="G5326" s="1" t="s">
        <v>24</v>
      </c>
      <c r="H5326" s="2">
        <v>353</v>
      </c>
      <c r="I5326" s="1" t="s">
        <v>15254</v>
      </c>
      <c r="J5326" s="1" t="s">
        <v>15255</v>
      </c>
      <c r="K5326" s="1" t="s">
        <v>577</v>
      </c>
      <c r="L5326" s="1" t="s">
        <v>15256</v>
      </c>
      <c r="M5326" s="6" t="str">
        <f>_xlfn.CONCAT(Table1[[#This Row],[Billing Street]], ", ", Table1[[#This Row],[Billing City]], ", ", Table1[[#This Row],[Billing State/Province]], ", ", Table1[[#This Row],[Billing Zip/Postal Code]])</f>
        <v>120 Clinto St, LaFayette, LA, 70501</v>
      </c>
    </row>
    <row r="5327" spans="1:13" ht="15.6" hidden="1" x14ac:dyDescent="0.3">
      <c r="A5327" s="1" t="s">
        <v>15257</v>
      </c>
      <c r="B5327" s="1"/>
      <c r="C5327" s="1"/>
      <c r="D5327" s="1"/>
      <c r="E5327" s="1"/>
      <c r="F5327" s="1"/>
      <c r="G5327" s="1" t="s">
        <v>43</v>
      </c>
      <c r="H5327" s="2">
        <v>49</v>
      </c>
      <c r="I5327" s="1" t="s">
        <v>15258</v>
      </c>
      <c r="J5327" s="1" t="s">
        <v>15259</v>
      </c>
      <c r="K5327" s="1" t="s">
        <v>45</v>
      </c>
      <c r="L5327" s="1" t="s">
        <v>15260</v>
      </c>
      <c r="M5327" s="6" t="str">
        <f>_xlfn.CONCAT(Table1[[#This Row],[Billing Street]], ", ", Table1[[#This Row],[Billing City]], ", ", Table1[[#This Row],[Billing State/Province]], ", ", Table1[[#This Row],[Billing Zip/Postal Code]])</f>
        <v>536 W. Park Street, Columbiana, OH, 44408</v>
      </c>
    </row>
    <row r="5328" spans="1:13" ht="15.6" hidden="1" x14ac:dyDescent="0.3">
      <c r="A5328" s="1" t="s">
        <v>15261</v>
      </c>
      <c r="B5328" s="1"/>
      <c r="C5328" s="1"/>
      <c r="D5328" s="1"/>
      <c r="E5328" s="1"/>
      <c r="F5328" s="1"/>
      <c r="G5328" s="1" t="s">
        <v>43</v>
      </c>
      <c r="H5328" s="2">
        <v>278</v>
      </c>
      <c r="I5328" s="1" t="s">
        <v>15262</v>
      </c>
      <c r="J5328" s="1" t="s">
        <v>3683</v>
      </c>
      <c r="K5328" s="1" t="s">
        <v>82</v>
      </c>
      <c r="L5328" s="1" t="s">
        <v>3684</v>
      </c>
      <c r="M5328" s="6" t="str">
        <f>_xlfn.CONCAT(Table1[[#This Row],[Billing Street]], ", ", Table1[[#This Row],[Billing City]], ", ", Table1[[#This Row],[Billing State/Province]], ", ", Table1[[#This Row],[Billing Zip/Postal Code]])</f>
        <v>1693 M-32 West, Alpena, MI, 49707</v>
      </c>
    </row>
    <row r="5329" spans="1:13" ht="15.6" hidden="1" x14ac:dyDescent="0.3">
      <c r="A5329" s="1" t="s">
        <v>15263</v>
      </c>
      <c r="B5329" s="1"/>
      <c r="C5329" s="1"/>
      <c r="D5329" s="1"/>
      <c r="E5329" s="1"/>
      <c r="F5329" s="1"/>
      <c r="G5329" s="1" t="s">
        <v>8</v>
      </c>
      <c r="H5329" s="2">
        <v>144</v>
      </c>
      <c r="I5329" s="1" t="s">
        <v>15264</v>
      </c>
      <c r="J5329" s="1" t="s">
        <v>10566</v>
      </c>
      <c r="K5329" s="1" t="s">
        <v>554</v>
      </c>
      <c r="L5329" s="1" t="s">
        <v>10567</v>
      </c>
      <c r="M5329" s="6" t="str">
        <f>_xlfn.CONCAT(Table1[[#This Row],[Billing Street]], ", ", Table1[[#This Row],[Billing City]], ", ", Table1[[#This Row],[Billing State/Province]], ", ", Table1[[#This Row],[Billing Zip/Postal Code]])</f>
        <v>2000 S Main St, McPherson, KS, 67460</v>
      </c>
    </row>
    <row r="5330" spans="1:13" ht="15.6" hidden="1" x14ac:dyDescent="0.3">
      <c r="A5330" s="1" t="s">
        <v>15265</v>
      </c>
      <c r="B5330" s="1"/>
      <c r="C5330" s="1"/>
      <c r="D5330" s="1"/>
      <c r="E5330" s="1"/>
      <c r="F5330" s="1"/>
      <c r="G5330" s="1" t="s">
        <v>8</v>
      </c>
      <c r="H5330" s="2">
        <v>271</v>
      </c>
      <c r="I5330" s="1" t="s">
        <v>15266</v>
      </c>
      <c r="J5330" s="1" t="s">
        <v>4590</v>
      </c>
      <c r="K5330" s="1" t="s">
        <v>11</v>
      </c>
      <c r="L5330" s="1" t="s">
        <v>15267</v>
      </c>
      <c r="M5330" s="6" t="str">
        <f>_xlfn.CONCAT(Table1[[#This Row],[Billing Street]], ", ", Table1[[#This Row],[Billing City]], ", ", Table1[[#This Row],[Billing State/Province]], ", ", Table1[[#This Row],[Billing Zip/Postal Code]])</f>
        <v>One Pauwels Drive, Washington, MO, 63090</v>
      </c>
    </row>
    <row r="5331" spans="1:13" ht="15.6" hidden="1" x14ac:dyDescent="0.3">
      <c r="A5331" s="1" t="s">
        <v>15268</v>
      </c>
      <c r="B5331" s="1"/>
      <c r="C5331" s="1"/>
      <c r="D5331" s="1"/>
      <c r="E5331" s="1"/>
      <c r="F5331" s="1"/>
      <c r="G5331" s="1" t="s">
        <v>43</v>
      </c>
      <c r="H5331" s="2">
        <v>32</v>
      </c>
      <c r="I5331" s="1" t="s">
        <v>15269</v>
      </c>
      <c r="J5331" s="1" t="s">
        <v>15270</v>
      </c>
      <c r="K5331" s="1" t="s">
        <v>45</v>
      </c>
      <c r="L5331" s="1" t="s">
        <v>15271</v>
      </c>
      <c r="M5331" s="6" t="str">
        <f>_xlfn.CONCAT(Table1[[#This Row],[Billing Street]], ", ", Table1[[#This Row],[Billing City]], ", ", Table1[[#This Row],[Billing State/Province]], ", ", Table1[[#This Row],[Billing Zip/Postal Code]])</f>
        <v>10247 Dewhurst Road, Elyria, OH, 44035</v>
      </c>
    </row>
    <row r="5332" spans="1:13" ht="15.6" hidden="1" x14ac:dyDescent="0.3">
      <c r="A5332" s="1" t="s">
        <v>15272</v>
      </c>
      <c r="B5332" s="1"/>
      <c r="C5332" s="1"/>
      <c r="D5332" s="1"/>
      <c r="E5332" s="1"/>
      <c r="F5332" s="1"/>
      <c r="G5332" s="1" t="s">
        <v>8</v>
      </c>
      <c r="H5332" s="2">
        <v>497</v>
      </c>
      <c r="I5332" s="1" t="s">
        <v>15273</v>
      </c>
      <c r="J5332" s="1" t="s">
        <v>15274</v>
      </c>
      <c r="K5332" s="1" t="s">
        <v>208</v>
      </c>
      <c r="L5332" s="1" t="s">
        <v>15275</v>
      </c>
      <c r="M5332" s="6" t="str">
        <f>_xlfn.CONCAT(Table1[[#This Row],[Billing Street]], ", ", Table1[[#This Row],[Billing City]], ", ", Table1[[#This Row],[Billing State/Province]], ", ", Table1[[#This Row],[Billing Zip/Postal Code]])</f>
        <v>2005 Lime Road, Pueblo, CO, 81006</v>
      </c>
    </row>
    <row r="5333" spans="1:13" ht="15.6" hidden="1" x14ac:dyDescent="0.3">
      <c r="A5333" s="1" t="s">
        <v>15276</v>
      </c>
      <c r="B5333" s="1"/>
      <c r="C5333" s="1"/>
      <c r="D5333" s="1"/>
      <c r="E5333" s="1"/>
      <c r="F5333" s="1"/>
      <c r="G5333" s="1" t="s">
        <v>8</v>
      </c>
      <c r="H5333" s="2">
        <v>480</v>
      </c>
      <c r="I5333" s="1" t="s">
        <v>15277</v>
      </c>
      <c r="J5333" s="1" t="s">
        <v>977</v>
      </c>
      <c r="K5333" s="1" t="s">
        <v>128</v>
      </c>
      <c r="L5333" s="1" t="s">
        <v>15278</v>
      </c>
      <c r="M5333" s="6" t="str">
        <f>_xlfn.CONCAT(Table1[[#This Row],[Billing Street]], ", ", Table1[[#This Row],[Billing City]], ", ", Table1[[#This Row],[Billing State/Province]], ", ", Table1[[#This Row],[Billing Zip/Postal Code]])</f>
        <v>1908 14th Street NE, Austin, MN, 55912</v>
      </c>
    </row>
    <row r="5334" spans="1:13" ht="15.6" hidden="1" x14ac:dyDescent="0.3">
      <c r="A5334" s="1" t="s">
        <v>15279</v>
      </c>
      <c r="B5334" s="1"/>
      <c r="C5334" s="1"/>
      <c r="D5334" s="1"/>
      <c r="E5334" s="1"/>
      <c r="F5334" s="1"/>
      <c r="G5334" s="1" t="s">
        <v>8</v>
      </c>
      <c r="H5334" s="2">
        <v>499</v>
      </c>
      <c r="I5334" s="1" t="s">
        <v>15280</v>
      </c>
      <c r="J5334" s="1" t="s">
        <v>15274</v>
      </c>
      <c r="K5334" s="1" t="s">
        <v>208</v>
      </c>
      <c r="L5334" s="1" t="s">
        <v>15281</v>
      </c>
      <c r="M5334" s="6" t="str">
        <f>_xlfn.CONCAT(Table1[[#This Row],[Billing Street]], ", ", Table1[[#This Row],[Billing City]], ", ", Table1[[#This Row],[Billing State/Province]], ", ", Table1[[#This Row],[Billing Zip/Postal Code]])</f>
        <v>1612  Abriendo, Pueblo, CO, 81004</v>
      </c>
    </row>
    <row r="5335" spans="1:13" ht="15.6" hidden="1" x14ac:dyDescent="0.3">
      <c r="A5335" s="1" t="s">
        <v>15282</v>
      </c>
      <c r="B5335" s="1"/>
      <c r="C5335" s="1"/>
      <c r="D5335" s="1"/>
      <c r="E5335" s="1"/>
      <c r="F5335" s="1"/>
      <c r="G5335" s="1" t="s">
        <v>8</v>
      </c>
      <c r="H5335" s="2">
        <v>489</v>
      </c>
      <c r="I5335" s="1" t="s">
        <v>15283</v>
      </c>
      <c r="J5335" s="1" t="s">
        <v>15284</v>
      </c>
      <c r="K5335" s="1" t="s">
        <v>128</v>
      </c>
      <c r="L5335" s="1" t="s">
        <v>15285</v>
      </c>
      <c r="M5335" s="6" t="str">
        <f>_xlfn.CONCAT(Table1[[#This Row],[Billing Street]], ", ", Table1[[#This Row],[Billing City]], ", ", Table1[[#This Row],[Billing State/Province]], ", ", Table1[[#This Row],[Billing Zip/Postal Code]])</f>
        <v>414 Center Avenue, Madelia, MN, 56052</v>
      </c>
    </row>
    <row r="5336" spans="1:13" ht="15.6" hidden="1" x14ac:dyDescent="0.3">
      <c r="A5336" s="1" t="s">
        <v>15286</v>
      </c>
      <c r="B5336" s="1"/>
      <c r="C5336" s="1"/>
      <c r="D5336" s="1"/>
      <c r="E5336" s="1"/>
      <c r="F5336" s="1"/>
      <c r="G5336" s="1" t="s">
        <v>54</v>
      </c>
      <c r="H5336" s="2">
        <v>910</v>
      </c>
      <c r="I5336" s="1" t="s">
        <v>15287</v>
      </c>
      <c r="J5336" s="1" t="s">
        <v>3640</v>
      </c>
      <c r="K5336" s="1" t="s">
        <v>2304</v>
      </c>
      <c r="L5336" s="1" t="s">
        <v>3641</v>
      </c>
      <c r="M5336" s="6" t="str">
        <f>_xlfn.CONCAT(Table1[[#This Row],[Billing Street]], ", ", Table1[[#This Row],[Billing City]], ", ", Table1[[#This Row],[Billing State/Province]], ", ", Table1[[#This Row],[Billing Zip/Postal Code]])</f>
        <v>201 center street W, Eatonville, Wa, 98328</v>
      </c>
    </row>
    <row r="5337" spans="1:13" ht="15.6" hidden="1" x14ac:dyDescent="0.3">
      <c r="A5337" s="1" t="s">
        <v>15288</v>
      </c>
      <c r="B5337" s="1"/>
      <c r="C5337" s="1"/>
      <c r="D5337" s="1"/>
      <c r="E5337" s="1"/>
      <c r="F5337" s="1"/>
      <c r="G5337" s="1" t="s">
        <v>98</v>
      </c>
      <c r="H5337" s="2">
        <v>5887</v>
      </c>
      <c r="I5337" s="1" t="s">
        <v>13</v>
      </c>
      <c r="J5337" s="1" t="s">
        <v>15289</v>
      </c>
      <c r="K5337" s="1" t="s">
        <v>101</v>
      </c>
      <c r="L5337" s="1" t="s">
        <v>13</v>
      </c>
      <c r="M5337" s="6" t="str">
        <f>_xlfn.CONCAT(Table1[[#This Row],[Billing Street]], ", ", Table1[[#This Row],[Billing City]], ", ", Table1[[#This Row],[Billing State/Province]], ", ", Table1[[#This Row],[Billing Zip/Postal Code]])</f>
        <v xml:space="preserve">, Dalton, GA, </v>
      </c>
    </row>
    <row r="5338" spans="1:13" ht="15.6" hidden="1" x14ac:dyDescent="0.3">
      <c r="A5338" s="1" t="s">
        <v>15290</v>
      </c>
      <c r="B5338" s="1"/>
      <c r="C5338" s="1"/>
      <c r="D5338" s="1"/>
      <c r="E5338" s="1"/>
      <c r="F5338" s="1"/>
      <c r="G5338" s="1" t="s">
        <v>43</v>
      </c>
      <c r="H5338" s="2">
        <v>159</v>
      </c>
      <c r="I5338" s="1" t="s">
        <v>15291</v>
      </c>
      <c r="J5338" s="1" t="s">
        <v>16</v>
      </c>
      <c r="K5338" s="1" t="s">
        <v>45</v>
      </c>
      <c r="L5338" s="1" t="s">
        <v>15292</v>
      </c>
      <c r="M5338" s="6" t="str">
        <f>_xlfn.CONCAT(Table1[[#This Row],[Billing Street]], ", ", Table1[[#This Row],[Billing City]], ", ", Table1[[#This Row],[Billing State/Province]], ", ", Table1[[#This Row],[Billing Zip/Postal Code]])</f>
        <v>331 S. Watt Street, Chillicothe, OH, 45601</v>
      </c>
    </row>
    <row r="5339" spans="1:13" ht="15.6" hidden="1" x14ac:dyDescent="0.3">
      <c r="A5339" s="1" t="s">
        <v>15293</v>
      </c>
      <c r="B5339" s="1"/>
      <c r="C5339" s="1"/>
      <c r="D5339" s="1"/>
      <c r="E5339" s="1"/>
      <c r="F5339" s="1"/>
      <c r="G5339" s="1" t="s">
        <v>8</v>
      </c>
      <c r="H5339" s="2">
        <v>503</v>
      </c>
      <c r="I5339" s="1" t="s">
        <v>15294</v>
      </c>
      <c r="J5339" s="1" t="s">
        <v>15295</v>
      </c>
      <c r="K5339" s="1" t="s">
        <v>229</v>
      </c>
      <c r="L5339" s="1" t="s">
        <v>15296</v>
      </c>
      <c r="M5339" s="6" t="str">
        <f>_xlfn.CONCAT(Table1[[#This Row],[Billing Street]], ", ", Table1[[#This Row],[Billing City]], ", ", Table1[[#This Row],[Billing State/Province]], ", ", Table1[[#This Row],[Billing Zip/Postal Code]])</f>
        <v>West 2nd Street, Mission, SD, 57555</v>
      </c>
    </row>
    <row r="5340" spans="1:13" ht="15.6" hidden="1" x14ac:dyDescent="0.3">
      <c r="A5340" s="1" t="s">
        <v>15297</v>
      </c>
      <c r="B5340" s="1"/>
      <c r="C5340" s="1"/>
      <c r="D5340" s="1"/>
      <c r="E5340" s="1"/>
      <c r="F5340" s="1"/>
      <c r="G5340" s="1" t="s">
        <v>43</v>
      </c>
      <c r="H5340" s="2">
        <v>401</v>
      </c>
      <c r="I5340" s="1" t="s">
        <v>15298</v>
      </c>
      <c r="J5340" s="1" t="s">
        <v>4748</v>
      </c>
      <c r="K5340" s="1" t="s">
        <v>1115</v>
      </c>
      <c r="L5340" s="1" t="s">
        <v>15299</v>
      </c>
      <c r="M5340" s="6" t="str">
        <f>_xlfn.CONCAT(Table1[[#This Row],[Billing Street]], ", ", Table1[[#This Row],[Billing City]], ", ", Table1[[#This Row],[Billing State/Province]], ", ", Table1[[#This Row],[Billing Zip/Postal Code]])</f>
        <v>52 W Windsor Blvd, Windsor, VA, 23487-0267</v>
      </c>
    </row>
    <row r="5341" spans="1:13" ht="15.6" hidden="1" x14ac:dyDescent="0.3">
      <c r="A5341" s="1" t="s">
        <v>15300</v>
      </c>
      <c r="B5341" s="1"/>
      <c r="C5341" s="1"/>
      <c r="D5341" s="1"/>
      <c r="E5341" s="1"/>
      <c r="F5341" s="1"/>
      <c r="G5341" s="1" t="s">
        <v>8</v>
      </c>
      <c r="H5341" s="2">
        <v>480</v>
      </c>
      <c r="I5341" s="1" t="s">
        <v>15301</v>
      </c>
      <c r="J5341" s="1" t="s">
        <v>15302</v>
      </c>
      <c r="K5341" s="1" t="s">
        <v>51</v>
      </c>
      <c r="L5341" s="1" t="s">
        <v>15303</v>
      </c>
      <c r="M5341" s="6" t="str">
        <f>_xlfn.CONCAT(Table1[[#This Row],[Billing Street]], ", ", Table1[[#This Row],[Billing City]], ", ", Table1[[#This Row],[Billing State/Province]], ", ", Table1[[#This Row],[Billing Zip/Postal Code]])</f>
        <v>1125 Austin St, Hempstead, TX, 77445</v>
      </c>
    </row>
    <row r="5342" spans="1:13" ht="15.6" hidden="1" x14ac:dyDescent="0.3">
      <c r="A5342" s="1" t="s">
        <v>15304</v>
      </c>
      <c r="B5342" s="1"/>
      <c r="C5342" s="1"/>
      <c r="D5342" s="1"/>
      <c r="E5342" s="1"/>
      <c r="F5342" s="1"/>
      <c r="G5342" s="1" t="s">
        <v>43</v>
      </c>
      <c r="H5342" s="2">
        <v>5776</v>
      </c>
      <c r="I5342" s="1" t="s">
        <v>15305</v>
      </c>
      <c r="J5342" s="1" t="s">
        <v>15306</v>
      </c>
      <c r="K5342" s="1" t="s">
        <v>1745</v>
      </c>
      <c r="L5342" s="1" t="s">
        <v>15307</v>
      </c>
      <c r="M5342" s="6" t="str">
        <f>_xlfn.CONCAT(Table1[[#This Row],[Billing Street]], ", ", Table1[[#This Row],[Billing City]], ", ", Table1[[#This Row],[Billing State/Province]], ", ", Table1[[#This Row],[Billing Zip/Postal Code]])</f>
        <v>1115 Globe Ave Suite A, Mountainside, nj, 7092</v>
      </c>
    </row>
    <row r="5343" spans="1:13" ht="15.6" hidden="1" x14ac:dyDescent="0.3">
      <c r="A5343" s="1" t="s">
        <v>15308</v>
      </c>
      <c r="B5343" s="1"/>
      <c r="C5343" s="1"/>
      <c r="D5343" s="1"/>
      <c r="E5343" s="1"/>
      <c r="F5343" s="1"/>
      <c r="G5343" s="1" t="s">
        <v>8</v>
      </c>
      <c r="H5343" s="2">
        <v>406</v>
      </c>
      <c r="I5343" s="1" t="s">
        <v>15309</v>
      </c>
      <c r="J5343" s="1" t="s">
        <v>15310</v>
      </c>
      <c r="K5343" s="1" t="s">
        <v>51</v>
      </c>
      <c r="L5343" s="1" t="s">
        <v>15311</v>
      </c>
      <c r="M5343" s="6" t="str">
        <f>_xlfn.CONCAT(Table1[[#This Row],[Billing Street]], ", ", Table1[[#This Row],[Billing City]], ", ", Table1[[#This Row],[Billing State/Province]], ", ", Table1[[#This Row],[Billing Zip/Postal Code]])</f>
        <v>211 Starr Street, Hemphill, TX, 75948</v>
      </c>
    </row>
    <row r="5344" spans="1:13" ht="15.6" hidden="1" x14ac:dyDescent="0.3">
      <c r="A5344" s="1" t="s">
        <v>15312</v>
      </c>
      <c r="B5344" s="1"/>
      <c r="C5344" s="1"/>
      <c r="D5344" s="1"/>
      <c r="E5344" s="1"/>
      <c r="F5344" s="1"/>
      <c r="G5344" s="1" t="s">
        <v>43</v>
      </c>
      <c r="H5344" s="2">
        <v>239</v>
      </c>
      <c r="I5344" s="1" t="s">
        <v>15313</v>
      </c>
      <c r="J5344" s="1" t="s">
        <v>15314</v>
      </c>
      <c r="K5344" s="1" t="s">
        <v>1115</v>
      </c>
      <c r="L5344" s="1" t="s">
        <v>15315</v>
      </c>
      <c r="M5344" s="6" t="str">
        <f>_xlfn.CONCAT(Table1[[#This Row],[Billing Street]], ", ", Table1[[#This Row],[Billing City]], ", ", Table1[[#This Row],[Billing State/Province]], ", ", Table1[[#This Row],[Billing Zip/Postal Code]])</f>
        <v>520-A E Sixth St, Front Royal, VA, 22630-1560</v>
      </c>
    </row>
    <row r="5345" spans="1:13" ht="15.6" hidden="1" x14ac:dyDescent="0.3">
      <c r="A5345" s="1" t="s">
        <v>15316</v>
      </c>
      <c r="B5345" s="1"/>
      <c r="C5345" s="1"/>
      <c r="D5345" s="1"/>
      <c r="E5345" s="1"/>
      <c r="F5345" s="1"/>
      <c r="G5345" s="1" t="s">
        <v>8</v>
      </c>
      <c r="H5345" s="2">
        <v>429</v>
      </c>
      <c r="I5345" s="1" t="s">
        <v>15317</v>
      </c>
      <c r="J5345" s="1" t="s">
        <v>15318</v>
      </c>
      <c r="K5345" s="1" t="s">
        <v>51</v>
      </c>
      <c r="L5345" s="1" t="s">
        <v>15319</v>
      </c>
      <c r="M5345" s="6" t="str">
        <f>_xlfn.CONCAT(Table1[[#This Row],[Billing Street]], ", ", Table1[[#This Row],[Billing City]], ", ", Table1[[#This Row],[Billing State/Province]], ", ", Table1[[#This Row],[Billing Zip/Postal Code]])</f>
        <v>209 Cedar Street, Hearne, TX, 77859</v>
      </c>
    </row>
    <row r="5346" spans="1:13" ht="15.6" hidden="1" x14ac:dyDescent="0.3">
      <c r="A5346" s="1" t="s">
        <v>15320</v>
      </c>
      <c r="B5346" s="1"/>
      <c r="C5346" s="1"/>
      <c r="D5346" s="1"/>
      <c r="E5346" s="1"/>
      <c r="F5346" s="1"/>
      <c r="G5346" s="1" t="s">
        <v>8</v>
      </c>
      <c r="H5346" s="2">
        <v>527</v>
      </c>
      <c r="I5346" s="1" t="s">
        <v>15321</v>
      </c>
      <c r="J5346" s="1" t="s">
        <v>15322</v>
      </c>
      <c r="K5346" s="1" t="s">
        <v>51</v>
      </c>
      <c r="L5346" s="1" t="s">
        <v>15323</v>
      </c>
      <c r="M5346" s="6" t="str">
        <f>_xlfn.CONCAT(Table1[[#This Row],[Billing Street]], ", ", Table1[[#This Row],[Billing City]], ", ", Table1[[#This Row],[Billing State/Province]], ", ", Table1[[#This Row],[Billing Zip/Postal Code]])</f>
        <v>101 Main St, Hallettsville, TX, 77964</v>
      </c>
    </row>
    <row r="5347" spans="1:13" ht="15.6" x14ac:dyDescent="0.3">
      <c r="A5347" s="1" t="s">
        <v>15324</v>
      </c>
      <c r="B5347" s="1"/>
      <c r="C5347" s="1"/>
      <c r="D5347" s="1"/>
      <c r="E5347" s="1"/>
      <c r="F5347" s="1"/>
      <c r="G5347" s="1" t="s">
        <v>24</v>
      </c>
      <c r="H5347" s="2">
        <v>334</v>
      </c>
      <c r="I5347" s="1" t="s">
        <v>15325</v>
      </c>
      <c r="J5347" s="1" t="s">
        <v>9954</v>
      </c>
      <c r="K5347" s="1" t="s">
        <v>36</v>
      </c>
      <c r="L5347" s="1" t="s">
        <v>9955</v>
      </c>
      <c r="M5347" s="6" t="str">
        <f>_xlfn.CONCAT(Table1[[#This Row],[Billing Street]], ", ", Table1[[#This Row],[Billing City]], ", ", Table1[[#This Row],[Billing State/Province]], ", ", Table1[[#This Row],[Billing Zip/Postal Code]])</f>
        <v>3200 SR 630 W, Fort Meade, FL, 33841</v>
      </c>
    </row>
    <row r="5348" spans="1:13" ht="15.6" hidden="1" x14ac:dyDescent="0.3">
      <c r="A5348" s="1" t="s">
        <v>15326</v>
      </c>
      <c r="B5348" s="1"/>
      <c r="C5348" s="1"/>
      <c r="D5348" s="1"/>
      <c r="E5348" s="1"/>
      <c r="F5348" s="1"/>
      <c r="G5348" s="1" t="s">
        <v>8</v>
      </c>
      <c r="H5348" s="2">
        <v>490</v>
      </c>
      <c r="I5348" s="1" t="s">
        <v>15327</v>
      </c>
      <c r="J5348" s="1" t="s">
        <v>4475</v>
      </c>
      <c r="K5348" s="1" t="s">
        <v>51</v>
      </c>
      <c r="L5348" s="1" t="s">
        <v>15328</v>
      </c>
      <c r="M5348" s="6" t="str">
        <f>_xlfn.CONCAT(Table1[[#This Row],[Billing Street]], ", ", Table1[[#This Row],[Billing City]], ", ", Table1[[#This Row],[Billing State/Province]], ", ", Table1[[#This Row],[Billing Zip/Postal Code]])</f>
        <v>4950 Washington Blvd, Beaumont, TX, 77707</v>
      </c>
    </row>
    <row r="5349" spans="1:13" ht="15.6" hidden="1" x14ac:dyDescent="0.3">
      <c r="A5349" s="1" t="s">
        <v>15329</v>
      </c>
      <c r="B5349" s="1"/>
      <c r="C5349" s="1"/>
      <c r="D5349" s="1"/>
      <c r="E5349" s="1"/>
      <c r="F5349" s="1"/>
      <c r="G5349" s="1" t="s">
        <v>8</v>
      </c>
      <c r="H5349" s="2">
        <v>480</v>
      </c>
      <c r="I5349" s="1" t="s">
        <v>15330</v>
      </c>
      <c r="J5349" s="1" t="s">
        <v>15331</v>
      </c>
      <c r="K5349" s="1" t="s">
        <v>51</v>
      </c>
      <c r="L5349" s="1" t="s">
        <v>15332</v>
      </c>
      <c r="M5349" s="6" t="str">
        <f>_xlfn.CONCAT(Table1[[#This Row],[Billing Street]], ", ", Table1[[#This Row],[Billing City]], ", ", Table1[[#This Row],[Billing State/Province]], ", ", Table1[[#This Row],[Billing Zip/Postal Code]])</f>
        <v>118 E Richmond St, Giddings, TX, 78942</v>
      </c>
    </row>
    <row r="5350" spans="1:13" ht="15.6" hidden="1" x14ac:dyDescent="0.3">
      <c r="A5350" s="1" t="s">
        <v>15333</v>
      </c>
      <c r="B5350" s="1"/>
      <c r="C5350" s="1"/>
      <c r="D5350" s="1"/>
      <c r="E5350" s="1"/>
      <c r="F5350" s="1"/>
      <c r="G5350" s="1" t="s">
        <v>43</v>
      </c>
      <c r="H5350" s="2">
        <v>294</v>
      </c>
      <c r="I5350" s="1" t="s">
        <v>15334</v>
      </c>
      <c r="J5350" s="1" t="s">
        <v>15335</v>
      </c>
      <c r="K5350" s="1" t="s">
        <v>1115</v>
      </c>
      <c r="L5350" s="1" t="s">
        <v>15336</v>
      </c>
      <c r="M5350" s="6" t="str">
        <f>_xlfn.CONCAT(Table1[[#This Row],[Billing Street]], ", ", Table1[[#This Row],[Billing City]], ", ", Table1[[#This Row],[Billing State/Province]], ", ", Table1[[#This Row],[Billing Zip/Postal Code]])</f>
        <v>701 17th St, Radford, VA, 24141-3424</v>
      </c>
    </row>
    <row r="5351" spans="1:13" ht="15.6" hidden="1" x14ac:dyDescent="0.3">
      <c r="A5351" s="1" t="s">
        <v>15337</v>
      </c>
      <c r="B5351" s="1"/>
      <c r="C5351" s="1"/>
      <c r="D5351" s="1"/>
      <c r="E5351" s="1"/>
      <c r="F5351" s="1"/>
      <c r="G5351" s="1" t="s">
        <v>8</v>
      </c>
      <c r="H5351" s="2">
        <v>651</v>
      </c>
      <c r="I5351" s="1" t="s">
        <v>8362</v>
      </c>
      <c r="J5351" s="1" t="s">
        <v>8361</v>
      </c>
      <c r="K5351" s="1" t="s">
        <v>51</v>
      </c>
      <c r="L5351" s="1" t="s">
        <v>15338</v>
      </c>
      <c r="M5351" s="6" t="str">
        <f>_xlfn.CONCAT(Table1[[#This Row],[Billing Street]], ", ", Table1[[#This Row],[Billing City]], ", ", Table1[[#This Row],[Billing State/Province]], ", ", Table1[[#This Row],[Billing Zip/Postal Code]])</f>
        <v>361-387-2581, Robstown, TX, 78380</v>
      </c>
    </row>
    <row r="5352" spans="1:13" ht="15.6" hidden="1" x14ac:dyDescent="0.3">
      <c r="A5352" s="1" t="s">
        <v>15339</v>
      </c>
      <c r="B5352" s="1"/>
      <c r="C5352" s="1"/>
      <c r="D5352" s="1"/>
      <c r="E5352" s="1"/>
      <c r="F5352" s="1"/>
      <c r="G5352" s="1" t="s">
        <v>8</v>
      </c>
      <c r="H5352" s="2">
        <v>376</v>
      </c>
      <c r="I5352" s="1" t="s">
        <v>15340</v>
      </c>
      <c r="J5352" s="1" t="s">
        <v>4342</v>
      </c>
      <c r="K5352" s="1" t="s">
        <v>51</v>
      </c>
      <c r="L5352" s="1" t="s">
        <v>4344</v>
      </c>
      <c r="M5352" s="6" t="str">
        <f>_xlfn.CONCAT(Table1[[#This Row],[Billing Street]], ", ", Table1[[#This Row],[Billing City]], ", ", Table1[[#This Row],[Billing State/Province]], ", ", Table1[[#This Row],[Billing Zip/Postal Code]])</f>
        <v>2905 Westward Drive, Nacogdoches, TX, 75964</v>
      </c>
    </row>
    <row r="5353" spans="1:13" ht="15.6" hidden="1" x14ac:dyDescent="0.3">
      <c r="A5353" s="1" t="s">
        <v>15341</v>
      </c>
      <c r="B5353" s="1"/>
      <c r="C5353" s="1"/>
      <c r="D5353" s="1"/>
      <c r="E5353" s="1"/>
      <c r="F5353" s="1"/>
      <c r="G5353" s="1" t="s">
        <v>43</v>
      </c>
      <c r="H5353" s="2">
        <v>5776</v>
      </c>
      <c r="I5353" s="1" t="s">
        <v>15342</v>
      </c>
      <c r="J5353" s="1" t="s">
        <v>2460</v>
      </c>
      <c r="K5353" s="1" t="s">
        <v>1154</v>
      </c>
      <c r="L5353" s="1" t="s">
        <v>15343</v>
      </c>
      <c r="M5353" s="6" t="str">
        <f>_xlfn.CONCAT(Table1[[#This Row],[Billing Street]], ", ", Table1[[#This Row],[Billing City]], ", ", Table1[[#This Row],[Billing State/Province]], ", ", Table1[[#This Row],[Billing Zip/Postal Code]])</f>
        <v>1325 Clay St, Bethlehem, Pa, 18018</v>
      </c>
    </row>
    <row r="5354" spans="1:13" ht="15.6" hidden="1" x14ac:dyDescent="0.3">
      <c r="A5354" s="1" t="s">
        <v>15344</v>
      </c>
      <c r="B5354" s="1"/>
      <c r="C5354" s="1"/>
      <c r="D5354" s="1"/>
      <c r="E5354" s="1"/>
      <c r="F5354" s="1"/>
      <c r="G5354" s="1" t="s">
        <v>43</v>
      </c>
      <c r="H5354" s="2">
        <v>541</v>
      </c>
      <c r="I5354" s="1" t="s">
        <v>15345</v>
      </c>
      <c r="J5354" s="1" t="s">
        <v>621</v>
      </c>
      <c r="K5354" s="1" t="s">
        <v>95</v>
      </c>
      <c r="L5354" s="1" t="s">
        <v>15346</v>
      </c>
      <c r="M5354" s="6" t="str">
        <f>_xlfn.CONCAT(Table1[[#This Row],[Billing Street]], ", ", Table1[[#This Row],[Billing City]], ", ", Table1[[#This Row],[Billing State/Province]], ", ", Table1[[#This Row],[Billing Zip/Postal Code]])</f>
        <v>300 Congress Street, Quincy, MA, 2169</v>
      </c>
    </row>
    <row r="5355" spans="1:13" ht="15.6" hidden="1" x14ac:dyDescent="0.3">
      <c r="A5355" s="1" t="s">
        <v>15347</v>
      </c>
      <c r="B5355" s="1"/>
      <c r="C5355" s="1"/>
      <c r="D5355" s="1"/>
      <c r="E5355" s="1"/>
      <c r="F5355" s="1"/>
      <c r="G5355" s="1" t="s">
        <v>43</v>
      </c>
      <c r="H5355" s="2">
        <v>216</v>
      </c>
      <c r="I5355" s="1" t="s">
        <v>15348</v>
      </c>
      <c r="J5355" s="1" t="s">
        <v>15349</v>
      </c>
      <c r="K5355" s="1" t="s">
        <v>241</v>
      </c>
      <c r="L5355" s="1" t="s">
        <v>15350</v>
      </c>
      <c r="M5355" s="6" t="str">
        <f>_xlfn.CONCAT(Table1[[#This Row],[Billing Street]], ", ", Table1[[#This Row],[Billing City]], ", ", Table1[[#This Row],[Billing State/Province]], ", ", Table1[[#This Row],[Billing Zip/Postal Code]])</f>
        <v>33 Austin St., Wellsboro, PA  16901, Wellsboro, PA, 16901</v>
      </c>
    </row>
    <row r="5356" spans="1:13" ht="15.6" x14ac:dyDescent="0.3">
      <c r="A5356" s="1" t="s">
        <v>15351</v>
      </c>
      <c r="B5356" s="1"/>
      <c r="C5356" s="1"/>
      <c r="D5356" s="1"/>
      <c r="E5356" s="1"/>
      <c r="F5356" s="1"/>
      <c r="G5356" s="1" t="s">
        <v>24</v>
      </c>
      <c r="H5356" s="2">
        <v>54</v>
      </c>
      <c r="I5356" s="1" t="s">
        <v>15352</v>
      </c>
      <c r="J5356" s="1" t="s">
        <v>652</v>
      </c>
      <c r="K5356" s="1" t="s">
        <v>26</v>
      </c>
      <c r="L5356" s="1" t="s">
        <v>1732</v>
      </c>
      <c r="M5356" s="6" t="str">
        <f>_xlfn.CONCAT(Table1[[#This Row],[Billing Street]], ", ", Table1[[#This Row],[Billing City]], ", ", Table1[[#This Row],[Billing State/Province]], ", ", Table1[[#This Row],[Billing Zip/Postal Code]])</f>
        <v>221 West Carroll St, Dothan, AL, 36301</v>
      </c>
    </row>
    <row r="5357" spans="1:13" ht="15.6" hidden="1" x14ac:dyDescent="0.3">
      <c r="A5357" s="1" t="s">
        <v>15353</v>
      </c>
      <c r="B5357" s="1"/>
      <c r="C5357" s="1"/>
      <c r="D5357" s="1"/>
      <c r="E5357" s="1"/>
      <c r="F5357" s="1"/>
      <c r="G5357" s="1" t="s">
        <v>98</v>
      </c>
      <c r="H5357" s="2">
        <v>402</v>
      </c>
      <c r="I5357" s="1" t="s">
        <v>15354</v>
      </c>
      <c r="J5357" s="1" t="s">
        <v>15355</v>
      </c>
      <c r="K5357" s="1" t="s">
        <v>1178</v>
      </c>
      <c r="L5357" s="1" t="s">
        <v>15356</v>
      </c>
      <c r="M5357" s="6" t="str">
        <f>_xlfn.CONCAT(Table1[[#This Row],[Billing Street]], ", ", Table1[[#This Row],[Billing City]], ", ", Table1[[#This Row],[Billing State/Province]], ", ", Table1[[#This Row],[Billing Zip/Postal Code]])</f>
        <v>4144 N West Ave, Ayden, NC, 28513</v>
      </c>
    </row>
    <row r="5358" spans="1:13" ht="15.6" hidden="1" x14ac:dyDescent="0.3">
      <c r="A5358" s="1" t="s">
        <v>15357</v>
      </c>
      <c r="B5358" s="1"/>
      <c r="C5358" s="1"/>
      <c r="D5358" s="1"/>
      <c r="E5358" s="1"/>
      <c r="F5358" s="1"/>
      <c r="G5358" s="1" t="s">
        <v>8</v>
      </c>
      <c r="H5358" s="2">
        <v>318</v>
      </c>
      <c r="I5358" s="1" t="s">
        <v>15358</v>
      </c>
      <c r="J5358" s="1" t="s">
        <v>8999</v>
      </c>
      <c r="K5358" s="1" t="s">
        <v>51</v>
      </c>
      <c r="L5358" s="1" t="s">
        <v>15359</v>
      </c>
      <c r="M5358" s="6" t="str">
        <f>_xlfn.CONCAT(Table1[[#This Row],[Billing Street]], ", ", Table1[[#This Row],[Billing City]], ", ", Table1[[#This Row],[Billing State/Province]], ", ", Table1[[#This Row],[Billing Zip/Postal Code]])</f>
        <v>11910 County Road 492, Tyler, TX, 75706</v>
      </c>
    </row>
    <row r="5359" spans="1:13" ht="15.6" hidden="1" x14ac:dyDescent="0.3">
      <c r="A5359" s="1" t="s">
        <v>15360</v>
      </c>
      <c r="B5359" s="1"/>
      <c r="C5359" s="1"/>
      <c r="D5359" s="1"/>
      <c r="E5359" s="1"/>
      <c r="F5359" s="1"/>
      <c r="G5359" s="1" t="s">
        <v>8</v>
      </c>
      <c r="H5359" s="2">
        <v>505</v>
      </c>
      <c r="I5359" s="1" t="s">
        <v>15361</v>
      </c>
      <c r="J5359" s="1" t="s">
        <v>557</v>
      </c>
      <c r="K5359" s="1" t="s">
        <v>51</v>
      </c>
      <c r="L5359" s="1" t="s">
        <v>4933</v>
      </c>
      <c r="M5359" s="6" t="str">
        <f>_xlfn.CONCAT(Table1[[#This Row],[Billing Street]], ", ", Table1[[#This Row],[Billing City]], ", ", Table1[[#This Row],[Billing State/Province]], ", ", Table1[[#This Row],[Billing Zip/Postal Code]])</f>
        <v>3555 Timmons Lane, Suite 1200, Houston, TX, 77027</v>
      </c>
    </row>
    <row r="5360" spans="1:13" ht="15.6" x14ac:dyDescent="0.3">
      <c r="A5360" s="1" t="s">
        <v>15362</v>
      </c>
      <c r="B5360" s="1"/>
      <c r="C5360" s="1"/>
      <c r="D5360" s="1"/>
      <c r="E5360" s="1"/>
      <c r="F5360" s="1"/>
      <c r="G5360" s="1" t="s">
        <v>24</v>
      </c>
      <c r="H5360" s="2">
        <v>5988</v>
      </c>
      <c r="I5360" s="1" t="s">
        <v>15363</v>
      </c>
      <c r="J5360" s="1" t="s">
        <v>9397</v>
      </c>
      <c r="K5360" s="1" t="s">
        <v>26</v>
      </c>
      <c r="L5360" s="1" t="s">
        <v>9398</v>
      </c>
      <c r="M5360" s="6" t="str">
        <f>_xlfn.CONCAT(Table1[[#This Row],[Billing Street]], ", ", Table1[[#This Row],[Billing City]], ", ", Table1[[#This Row],[Billing State/Province]], ", ", Table1[[#This Row],[Billing Zip/Postal Code]])</f>
        <v>28270 Old U.S. 80, Demopolis, AL, 36732</v>
      </c>
    </row>
    <row r="5361" spans="1:13" ht="15.6" hidden="1" x14ac:dyDescent="0.3">
      <c r="A5361" s="1" t="s">
        <v>15364</v>
      </c>
      <c r="B5361" s="1"/>
      <c r="C5361" s="1"/>
      <c r="D5361" s="1"/>
      <c r="E5361" s="1"/>
      <c r="F5361" s="1"/>
      <c r="G5361" s="1" t="s">
        <v>8</v>
      </c>
      <c r="H5361" s="2">
        <v>271</v>
      </c>
      <c r="I5361" s="1" t="s">
        <v>15365</v>
      </c>
      <c r="J5361" s="1" t="s">
        <v>1858</v>
      </c>
      <c r="K5361" s="1" t="s">
        <v>51</v>
      </c>
      <c r="L5361" s="1" t="s">
        <v>15366</v>
      </c>
      <c r="M5361" s="6" t="str">
        <f>_xlfn.CONCAT(Table1[[#This Row],[Billing Street]], ", ", Table1[[#This Row],[Billing City]], ", ", Table1[[#This Row],[Billing State/Province]], ", ", Table1[[#This Row],[Billing Zip/Postal Code]])</f>
        <v>2000 E I-30, Greenville, TX, 75403</v>
      </c>
    </row>
    <row r="5362" spans="1:13" ht="15.6" hidden="1" x14ac:dyDescent="0.3">
      <c r="A5362" s="1" t="s">
        <v>15367</v>
      </c>
      <c r="B5362" s="1"/>
      <c r="C5362" s="1"/>
      <c r="D5362" s="1"/>
      <c r="E5362" s="1"/>
      <c r="F5362" s="1"/>
      <c r="G5362" s="1" t="s">
        <v>8</v>
      </c>
      <c r="H5362" s="2">
        <v>437</v>
      </c>
      <c r="I5362" s="1" t="s">
        <v>15368</v>
      </c>
      <c r="J5362" s="1" t="s">
        <v>3495</v>
      </c>
      <c r="K5362" s="1" t="s">
        <v>51</v>
      </c>
      <c r="L5362" s="1" t="s">
        <v>15369</v>
      </c>
      <c r="M5362" s="6" t="str">
        <f>_xlfn.CONCAT(Table1[[#This Row],[Billing Street]], ", ", Table1[[#This Row],[Billing City]], ", ", Table1[[#This Row],[Billing State/Province]], ", ", Table1[[#This Row],[Billing Zip/Postal Code]])</f>
        <v>7554 Highway 21 East  PO Box 4591, Bryan, TX, 77805</v>
      </c>
    </row>
    <row r="5363" spans="1:13" ht="15.6" hidden="1" x14ac:dyDescent="0.3">
      <c r="A5363" s="1" t="s">
        <v>15370</v>
      </c>
      <c r="B5363" s="1"/>
      <c r="C5363" s="1"/>
      <c r="D5363" s="1"/>
      <c r="E5363" s="1"/>
      <c r="F5363" s="1"/>
      <c r="G5363" s="1" t="s">
        <v>8</v>
      </c>
      <c r="H5363" s="2">
        <v>527</v>
      </c>
      <c r="I5363" s="1" t="s">
        <v>15371</v>
      </c>
      <c r="J5363" s="1" t="s">
        <v>356</v>
      </c>
      <c r="K5363" s="1" t="s">
        <v>51</v>
      </c>
      <c r="L5363" s="1" t="s">
        <v>357</v>
      </c>
      <c r="M5363" s="6" t="str">
        <f>_xlfn.CONCAT(Table1[[#This Row],[Billing Street]], ", ", Table1[[#This Row],[Billing City]], ", ", Table1[[#This Row],[Billing State/Province]], ", ", Table1[[#This Row],[Billing Zip/Postal Code]])</f>
        <v>900 Landa St. Suite 104, New Braunfels, TX, 78130</v>
      </c>
    </row>
    <row r="5364" spans="1:13" ht="15.6" hidden="1" x14ac:dyDescent="0.3">
      <c r="A5364" s="1" t="s">
        <v>15372</v>
      </c>
      <c r="B5364" s="1"/>
      <c r="C5364" s="1"/>
      <c r="D5364" s="1"/>
      <c r="E5364" s="1"/>
      <c r="F5364" s="1"/>
      <c r="G5364" s="1" t="s">
        <v>8</v>
      </c>
      <c r="H5364" s="2">
        <v>6528</v>
      </c>
      <c r="I5364" s="1" t="s">
        <v>13</v>
      </c>
      <c r="J5364" s="1" t="s">
        <v>13</v>
      </c>
      <c r="K5364" s="1" t="s">
        <v>51</v>
      </c>
      <c r="L5364" s="1" t="s">
        <v>13</v>
      </c>
      <c r="M5364" s="6" t="str">
        <f>_xlfn.CONCAT(Table1[[#This Row],[Billing Street]], ", ", Table1[[#This Row],[Billing City]], ", ", Table1[[#This Row],[Billing State/Province]], ", ", Table1[[#This Row],[Billing Zip/Postal Code]])</f>
        <v xml:space="preserve">, , TX, </v>
      </c>
    </row>
    <row r="5365" spans="1:13" ht="15.6" hidden="1" x14ac:dyDescent="0.3">
      <c r="A5365" s="1" t="s">
        <v>15373</v>
      </c>
      <c r="B5365" s="1"/>
      <c r="C5365" s="1"/>
      <c r="D5365" s="1"/>
      <c r="E5365" s="1"/>
      <c r="F5365" s="1"/>
      <c r="G5365" s="1" t="s">
        <v>98</v>
      </c>
      <c r="H5365" s="2">
        <v>208</v>
      </c>
      <c r="I5365" s="1" t="s">
        <v>15374</v>
      </c>
      <c r="J5365" s="1" t="s">
        <v>15375</v>
      </c>
      <c r="K5365" s="1" t="s">
        <v>1135</v>
      </c>
      <c r="L5365" s="1" t="s">
        <v>15376</v>
      </c>
      <c r="M5365" s="6" t="str">
        <f>_xlfn.CONCAT(Table1[[#This Row],[Billing Street]], ", ", Table1[[#This Row],[Billing City]], ", ", Table1[[#This Row],[Billing State/Province]], ", ", Table1[[#This Row],[Billing Zip/Postal Code]])</f>
        <v>2711 Hwy 75, Blountville, TN, 37617</v>
      </c>
    </row>
    <row r="5366" spans="1:13" ht="15.6" hidden="1" x14ac:dyDescent="0.3">
      <c r="A5366" s="1" t="s">
        <v>15377</v>
      </c>
      <c r="B5366" s="1"/>
      <c r="C5366" s="1"/>
      <c r="D5366" s="1"/>
      <c r="E5366" s="1"/>
      <c r="F5366" s="1"/>
      <c r="G5366" s="1" t="s">
        <v>43</v>
      </c>
      <c r="H5366" s="2">
        <v>5776</v>
      </c>
      <c r="I5366" s="1" t="s">
        <v>15378</v>
      </c>
      <c r="J5366" s="1" t="s">
        <v>15379</v>
      </c>
      <c r="K5366" s="1" t="s">
        <v>241</v>
      </c>
      <c r="L5366" s="1" t="s">
        <v>15380</v>
      </c>
      <c r="M5366" s="6" t="str">
        <f>_xlfn.CONCAT(Table1[[#This Row],[Billing Street]], ", ", Table1[[#This Row],[Billing City]], ", ", Table1[[#This Row],[Billing State/Province]], ", ", Table1[[#This Row],[Billing Zip/Postal Code]])</f>
        <v>1008 Corporate Lane, Export, PA, 15632</v>
      </c>
    </row>
    <row r="5367" spans="1:13" ht="15.6" hidden="1" x14ac:dyDescent="0.3">
      <c r="A5367" s="1" t="s">
        <v>15381</v>
      </c>
      <c r="B5367" s="1"/>
      <c r="C5367" s="1"/>
      <c r="D5367" s="1"/>
      <c r="E5367" s="1"/>
      <c r="F5367" s="1"/>
      <c r="G5367" s="1" t="s">
        <v>98</v>
      </c>
      <c r="H5367" s="2">
        <v>357</v>
      </c>
      <c r="I5367" s="1" t="s">
        <v>15382</v>
      </c>
      <c r="J5367" s="1" t="s">
        <v>15383</v>
      </c>
      <c r="K5367" s="1" t="s">
        <v>1178</v>
      </c>
      <c r="L5367" s="1" t="s">
        <v>15384</v>
      </c>
      <c r="M5367" s="6" t="str">
        <f>_xlfn.CONCAT(Table1[[#This Row],[Billing Street]], ", ", Table1[[#This Row],[Billing City]], ", ", Table1[[#This Row],[Billing State/Province]], ", ", Table1[[#This Row],[Billing Zip/Postal Code]])</f>
        <v>7000 Siemens Road, Wendell, NC, 27591</v>
      </c>
    </row>
    <row r="5368" spans="1:13" ht="15.6" hidden="1" x14ac:dyDescent="0.3">
      <c r="A5368" s="1" t="s">
        <v>15385</v>
      </c>
      <c r="B5368" s="1"/>
      <c r="C5368" s="1"/>
      <c r="D5368" s="1"/>
      <c r="E5368" s="1"/>
      <c r="F5368" s="1"/>
      <c r="G5368" s="1" t="s">
        <v>205</v>
      </c>
      <c r="H5368" s="2">
        <v>26</v>
      </c>
      <c r="I5368" s="1" t="s">
        <v>15386</v>
      </c>
      <c r="J5368" s="1" t="s">
        <v>478</v>
      </c>
      <c r="K5368" s="1" t="s">
        <v>479</v>
      </c>
      <c r="L5368" s="1" t="s">
        <v>6440</v>
      </c>
      <c r="M5368" s="6" t="str">
        <f>_xlfn.CONCAT(Table1[[#This Row],[Billing Street]], ", ", Table1[[#This Row],[Billing City]], ", ", Table1[[#This Row],[Billing State/Province]], ", ", Table1[[#This Row],[Billing Zip/Postal Code]])</f>
        <v>7754 E Velocity Way Ste 109, Mesa, AZ, 85212</v>
      </c>
    </row>
    <row r="5369" spans="1:13" ht="15.6" hidden="1" x14ac:dyDescent="0.3">
      <c r="A5369" s="1" t="s">
        <v>15387</v>
      </c>
      <c r="B5369" s="1"/>
      <c r="C5369" s="1"/>
      <c r="D5369" s="1"/>
      <c r="E5369" s="1"/>
      <c r="F5369" s="1"/>
      <c r="G5369" s="1" t="s">
        <v>54</v>
      </c>
      <c r="H5369" s="2">
        <v>294</v>
      </c>
      <c r="I5369" s="1" t="s">
        <v>15388</v>
      </c>
      <c r="J5369" s="1" t="s">
        <v>6392</v>
      </c>
      <c r="K5369" s="1" t="s">
        <v>57</v>
      </c>
      <c r="L5369" s="1" t="s">
        <v>6393</v>
      </c>
      <c r="M5369" s="6" t="str">
        <f>_xlfn.CONCAT(Table1[[#This Row],[Billing Street]], ", ", Table1[[#This Row],[Billing City]], ", ", Table1[[#This Row],[Billing State/Province]], ", ", Table1[[#This Row],[Billing Zip/Postal Code]])</f>
        <v>5300 Claus Road Box #25 / Bldg 172, Modesto, CA, 95357</v>
      </c>
    </row>
    <row r="5370" spans="1:13" ht="15.6" hidden="1" x14ac:dyDescent="0.3">
      <c r="A5370" s="1" t="s">
        <v>15389</v>
      </c>
      <c r="B5370" s="1"/>
      <c r="C5370" s="1"/>
      <c r="D5370" s="1"/>
      <c r="E5370" s="1"/>
      <c r="F5370" s="1"/>
      <c r="G5370" s="1" t="s">
        <v>205</v>
      </c>
      <c r="H5370" s="2">
        <v>502</v>
      </c>
      <c r="I5370" s="1" t="s">
        <v>15390</v>
      </c>
      <c r="J5370" s="1" t="s">
        <v>2399</v>
      </c>
      <c r="K5370" s="1" t="s">
        <v>472</v>
      </c>
      <c r="L5370" s="1" t="s">
        <v>15391</v>
      </c>
      <c r="M5370" s="6" t="str">
        <f>_xlfn.CONCAT(Table1[[#This Row],[Billing Street]], ", ", Table1[[#This Row],[Billing City]], ", ", Table1[[#This Row],[Billing State/Province]], ", ", Table1[[#This Row],[Billing Zip/Postal Code]])</f>
        <v>2830 South 1030 West, Salt Lake City, UT, 84119</v>
      </c>
    </row>
    <row r="5371" spans="1:13" ht="15.6" hidden="1" x14ac:dyDescent="0.3">
      <c r="A5371" s="1" t="s">
        <v>15392</v>
      </c>
      <c r="B5371" s="1"/>
      <c r="C5371" s="1"/>
      <c r="D5371" s="1"/>
      <c r="E5371" s="1"/>
      <c r="F5371" s="1"/>
      <c r="G5371" s="1" t="s">
        <v>43</v>
      </c>
      <c r="H5371" s="2">
        <v>271</v>
      </c>
      <c r="I5371" s="1" t="s">
        <v>15393</v>
      </c>
      <c r="J5371" s="1" t="s">
        <v>15394</v>
      </c>
      <c r="K5371" s="1" t="s">
        <v>1115</v>
      </c>
      <c r="L5371" s="1" t="s">
        <v>15395</v>
      </c>
      <c r="M5371" s="6" t="str">
        <f>_xlfn.CONCAT(Table1[[#This Row],[Billing Street]], ", ", Table1[[#This Row],[Billing City]], ", ", Table1[[#This Row],[Billing State/Province]], ", ", Table1[[#This Row],[Billing Zip/Postal Code]])</f>
        <v>12011 Sunset Hills Road, Reston, VA, 20190</v>
      </c>
    </row>
    <row r="5372" spans="1:13" ht="15.6" hidden="1" x14ac:dyDescent="0.3">
      <c r="A5372" s="1" t="s">
        <v>15396</v>
      </c>
      <c r="B5372" s="1"/>
      <c r="C5372" s="1"/>
      <c r="D5372" s="1"/>
      <c r="E5372" s="1"/>
      <c r="F5372" s="1"/>
      <c r="G5372" s="1" t="s">
        <v>54</v>
      </c>
      <c r="H5372" s="2">
        <v>21</v>
      </c>
      <c r="I5372" s="1" t="s">
        <v>15397</v>
      </c>
      <c r="J5372" s="1" t="s">
        <v>985</v>
      </c>
      <c r="K5372" s="1" t="s">
        <v>57</v>
      </c>
      <c r="L5372" s="1" t="s">
        <v>15398</v>
      </c>
      <c r="M5372" s="6" t="str">
        <f>_xlfn.CONCAT(Table1[[#This Row],[Billing Street]], ", ", Table1[[#This Row],[Billing City]], ", ", Table1[[#This Row],[Billing State/Province]], ", ", Table1[[#This Row],[Billing Zip/Postal Code]])</f>
        <v>1012 N Magnolia Ave, Anaheim, CA, 92801</v>
      </c>
    </row>
    <row r="5373" spans="1:13" ht="15.6" x14ac:dyDescent="0.3">
      <c r="A5373" s="1" t="s">
        <v>15399</v>
      </c>
      <c r="B5373" s="1"/>
      <c r="C5373" s="1"/>
      <c r="D5373" s="1"/>
      <c r="E5373" s="1"/>
      <c r="F5373" s="1"/>
      <c r="G5373" s="1" t="s">
        <v>24</v>
      </c>
      <c r="H5373" s="2">
        <v>489</v>
      </c>
      <c r="I5373" s="1" t="s">
        <v>15400</v>
      </c>
      <c r="J5373" s="1" t="s">
        <v>15401</v>
      </c>
      <c r="K5373" s="1" t="s">
        <v>36</v>
      </c>
      <c r="L5373" s="1" t="s">
        <v>15402</v>
      </c>
      <c r="M5373" s="6" t="str">
        <f>_xlfn.CONCAT(Table1[[#This Row],[Billing Street]], ", ", Table1[[#This Row],[Billing City]], ", ", Table1[[#This Row],[Billing State/Province]], ", ", Table1[[#This Row],[Billing Zip/Postal Code]])</f>
        <v>3625 NW 82nd Avenue ste 202, Doral, FL, 33166</v>
      </c>
    </row>
    <row r="5374" spans="1:13" ht="15.6" hidden="1" x14ac:dyDescent="0.3">
      <c r="A5374" s="1" t="s">
        <v>15403</v>
      </c>
      <c r="B5374" s="1"/>
      <c r="C5374" s="1"/>
      <c r="D5374" s="1"/>
      <c r="E5374" s="1"/>
      <c r="F5374" s="1"/>
      <c r="G5374" s="1" t="s">
        <v>8</v>
      </c>
      <c r="H5374" s="2">
        <v>151</v>
      </c>
      <c r="I5374" s="1" t="s">
        <v>15404</v>
      </c>
      <c r="J5374" s="1" t="s">
        <v>15405</v>
      </c>
      <c r="K5374" s="1" t="s">
        <v>147</v>
      </c>
      <c r="L5374" s="1" t="s">
        <v>15406</v>
      </c>
      <c r="M5374" s="6" t="str">
        <f>_xlfn.CONCAT(Table1[[#This Row],[Billing Street]], ", ", Table1[[#This Row],[Billing City]], ", ", Table1[[#This Row],[Billing State/Province]], ", ", Table1[[#This Row],[Billing Zip/Postal Code]])</f>
        <v>333 West Sheridan Avenue, Oklahoma City,, OK, 73102</v>
      </c>
    </row>
    <row r="5375" spans="1:13" ht="15.6" hidden="1" x14ac:dyDescent="0.3">
      <c r="A5375" s="1" t="s">
        <v>15407</v>
      </c>
      <c r="B5375" s="1"/>
      <c r="C5375" s="1"/>
      <c r="D5375" s="1"/>
      <c r="E5375" s="1"/>
      <c r="F5375" s="1"/>
      <c r="G5375" s="1" t="s">
        <v>8</v>
      </c>
      <c r="H5375" s="2">
        <v>573</v>
      </c>
      <c r="I5375" s="1" t="s">
        <v>15408</v>
      </c>
      <c r="J5375" s="1" t="s">
        <v>4831</v>
      </c>
      <c r="K5375" s="1" t="s">
        <v>51</v>
      </c>
      <c r="L5375" s="1" t="s">
        <v>15409</v>
      </c>
      <c r="M5375" s="6" t="str">
        <f>_xlfn.CONCAT(Table1[[#This Row],[Billing Street]], ", ", Table1[[#This Row],[Billing City]], ", ", Table1[[#This Row],[Billing State/Province]], ", ", Table1[[#This Row],[Billing Zip/Postal Code]])</f>
        <v>458 West Crestwood Drive, Victoria, TX, 77901</v>
      </c>
    </row>
    <row r="5376" spans="1:13" ht="15.6" hidden="1" x14ac:dyDescent="0.3">
      <c r="A5376" s="1" t="s">
        <v>15410</v>
      </c>
      <c r="B5376" s="1"/>
      <c r="C5376" s="1"/>
      <c r="D5376" s="1"/>
      <c r="E5376" s="1"/>
      <c r="F5376" s="1"/>
      <c r="G5376" s="1" t="s">
        <v>205</v>
      </c>
      <c r="H5376" s="2">
        <v>4</v>
      </c>
      <c r="I5376" s="1" t="s">
        <v>15411</v>
      </c>
      <c r="J5376" s="1" t="s">
        <v>518</v>
      </c>
      <c r="K5376" s="1" t="s">
        <v>479</v>
      </c>
      <c r="L5376" s="1" t="s">
        <v>4924</v>
      </c>
      <c r="M5376" s="6" t="str">
        <f>_xlfn.CONCAT(Table1[[#This Row],[Billing Street]], ", ", Table1[[#This Row],[Billing City]], ", ", Table1[[#This Row],[Billing State/Province]], ", ", Table1[[#This Row],[Billing Zip/Postal Code]])</f>
        <v>3747 W Roanoke Ave,, Phoenix, AZ, 85009</v>
      </c>
    </row>
    <row r="5377" spans="1:13" ht="15.6" hidden="1" x14ac:dyDescent="0.3">
      <c r="A5377" s="1" t="s">
        <v>15412</v>
      </c>
      <c r="B5377" s="1"/>
      <c r="C5377" s="1"/>
      <c r="D5377" s="1"/>
      <c r="E5377" s="1"/>
      <c r="F5377" s="1"/>
      <c r="G5377" s="1" t="s">
        <v>43</v>
      </c>
      <c r="H5377" s="2">
        <v>288</v>
      </c>
      <c r="I5377" s="1" t="s">
        <v>15413</v>
      </c>
      <c r="J5377" s="1" t="s">
        <v>4590</v>
      </c>
      <c r="K5377" s="1" t="s">
        <v>15414</v>
      </c>
      <c r="L5377" s="1" t="s">
        <v>15415</v>
      </c>
      <c r="M5377" s="6" t="str">
        <f>_xlfn.CONCAT(Table1[[#This Row],[Billing Street]], ", ", Table1[[#This Row],[Billing City]], ", ", Table1[[#This Row],[Billing State/Province]], ", ", Table1[[#This Row],[Billing Zip/Postal Code]])</f>
        <v>900 Seventh Street NW, Washington, DC, 20001</v>
      </c>
    </row>
    <row r="5378" spans="1:13" ht="15.6" hidden="1" x14ac:dyDescent="0.3">
      <c r="A5378" s="1" t="s">
        <v>15416</v>
      </c>
      <c r="B5378" s="1"/>
      <c r="C5378" s="1"/>
      <c r="D5378" s="1"/>
      <c r="E5378" s="1"/>
      <c r="F5378" s="1"/>
      <c r="G5378" s="1" t="s">
        <v>205</v>
      </c>
      <c r="H5378" s="2">
        <v>3</v>
      </c>
      <c r="I5378" s="1" t="s">
        <v>15417</v>
      </c>
      <c r="J5378" s="1" t="s">
        <v>518</v>
      </c>
      <c r="K5378" s="1" t="s">
        <v>479</v>
      </c>
      <c r="L5378" s="1" t="s">
        <v>1886</v>
      </c>
      <c r="M5378" s="6" t="str">
        <f>_xlfn.CONCAT(Table1[[#This Row],[Billing Street]], ", ", Table1[[#This Row],[Billing City]], ", ", Table1[[#This Row],[Billing State/Province]], ", ", Table1[[#This Row],[Billing Zip/Postal Code]])</f>
        <v>2801 E Washington Street, Phoenix, AZ, 85034</v>
      </c>
    </row>
    <row r="5379" spans="1:13" ht="15.6" hidden="1" x14ac:dyDescent="0.3">
      <c r="A5379" s="1" t="s">
        <v>15418</v>
      </c>
      <c r="B5379" s="1"/>
      <c r="C5379" s="1"/>
      <c r="D5379" s="1"/>
      <c r="E5379" s="1"/>
      <c r="F5379" s="1"/>
      <c r="G5379" s="1" t="s">
        <v>43</v>
      </c>
      <c r="H5379" s="2">
        <v>342</v>
      </c>
      <c r="I5379" s="1" t="s">
        <v>15419</v>
      </c>
      <c r="J5379" s="1" t="s">
        <v>7808</v>
      </c>
      <c r="K5379" s="1" t="s">
        <v>152</v>
      </c>
      <c r="L5379" s="1" t="s">
        <v>7809</v>
      </c>
      <c r="M5379" s="6" t="str">
        <f>_xlfn.CONCAT(Table1[[#This Row],[Billing Street]], ", ", Table1[[#This Row],[Billing City]], ", ", Table1[[#This Row],[Billing State/Province]], ", ", Table1[[#This Row],[Billing Zip/Postal Code]])</f>
        <v>1701 Golf Road Suite 3-1012, Rolling Meadows, IL, 60008</v>
      </c>
    </row>
    <row r="5380" spans="1:13" ht="15.6" hidden="1" x14ac:dyDescent="0.3">
      <c r="A5380" s="1" t="s">
        <v>15420</v>
      </c>
      <c r="B5380" s="1"/>
      <c r="C5380" s="1"/>
      <c r="D5380" s="1"/>
      <c r="E5380" s="1"/>
      <c r="F5380" s="1"/>
      <c r="G5380" s="1" t="s">
        <v>8</v>
      </c>
      <c r="H5380" s="2">
        <v>6528</v>
      </c>
      <c r="I5380" s="1" t="s">
        <v>13</v>
      </c>
      <c r="J5380" s="1" t="s">
        <v>13</v>
      </c>
      <c r="K5380" s="1" t="s">
        <v>51</v>
      </c>
      <c r="L5380" s="1" t="s">
        <v>13</v>
      </c>
      <c r="M5380" s="6" t="str">
        <f>_xlfn.CONCAT(Table1[[#This Row],[Billing Street]], ", ", Table1[[#This Row],[Billing City]], ", ", Table1[[#This Row],[Billing State/Province]], ", ", Table1[[#This Row],[Billing Zip/Postal Code]])</f>
        <v xml:space="preserve">, , TX, </v>
      </c>
    </row>
    <row r="5381" spans="1:13" ht="15.6" hidden="1" x14ac:dyDescent="0.3">
      <c r="A5381" s="1" t="s">
        <v>15421</v>
      </c>
      <c r="B5381" s="1"/>
      <c r="C5381" s="1"/>
      <c r="D5381" s="1"/>
      <c r="E5381" s="1"/>
      <c r="F5381" s="1"/>
      <c r="G5381" s="1" t="s">
        <v>8</v>
      </c>
      <c r="H5381" s="2">
        <v>482</v>
      </c>
      <c r="I5381" s="1" t="s">
        <v>15422</v>
      </c>
      <c r="J5381" s="1" t="s">
        <v>977</v>
      </c>
      <c r="K5381" s="1" t="s">
        <v>51</v>
      </c>
      <c r="L5381" s="1" t="s">
        <v>15423</v>
      </c>
      <c r="M5381" s="6" t="str">
        <f>_xlfn.CONCAT(Table1[[#This Row],[Billing Street]], ", ", Table1[[#This Row],[Billing City]], ", ", Table1[[#This Row],[Billing State/Province]], ", ", Table1[[#This Row],[Billing Zip/Postal Code]])</f>
        <v>510 Hearn St, Austin, TX 78703, Austin, TX, 78703</v>
      </c>
    </row>
    <row r="5382" spans="1:13" ht="15.6" hidden="1" x14ac:dyDescent="0.3">
      <c r="A5382" s="1" t="s">
        <v>15424</v>
      </c>
      <c r="B5382" s="1"/>
      <c r="C5382" s="1"/>
      <c r="D5382" s="1"/>
      <c r="E5382" s="1"/>
      <c r="F5382" s="1"/>
      <c r="G5382" s="1" t="s">
        <v>205</v>
      </c>
      <c r="H5382" s="2">
        <v>5</v>
      </c>
      <c r="I5382" s="1" t="s">
        <v>15425</v>
      </c>
      <c r="J5382" s="1" t="s">
        <v>518</v>
      </c>
      <c r="K5382" s="1" t="s">
        <v>479</v>
      </c>
      <c r="L5382" s="1" t="s">
        <v>1063</v>
      </c>
      <c r="M5382" s="6" t="str">
        <f>_xlfn.CONCAT(Table1[[#This Row],[Billing Street]], ", ", Table1[[#This Row],[Billing City]], ", ", Table1[[#This Row],[Billing State/Province]], ", ", Table1[[#This Row],[Billing Zip/Postal Code]])</f>
        <v>5680 South 32nd Street, Phoenix, AZ, 85040</v>
      </c>
    </row>
    <row r="5383" spans="1:13" ht="15.6" hidden="1" x14ac:dyDescent="0.3">
      <c r="A5383" s="1" t="s">
        <v>15426</v>
      </c>
      <c r="B5383" s="1"/>
      <c r="C5383" s="1"/>
      <c r="D5383" s="1"/>
      <c r="E5383" s="1"/>
      <c r="F5383" s="1"/>
      <c r="G5383" s="1" t="s">
        <v>54</v>
      </c>
      <c r="H5383" s="2">
        <v>8</v>
      </c>
      <c r="I5383" s="1" t="s">
        <v>15427</v>
      </c>
      <c r="J5383" s="1" t="s">
        <v>5074</v>
      </c>
      <c r="K5383" s="1" t="s">
        <v>57</v>
      </c>
      <c r="L5383" s="1" t="s">
        <v>15428</v>
      </c>
      <c r="M5383" s="6" t="str">
        <f>_xlfn.CONCAT(Table1[[#This Row],[Billing Street]], ", ", Table1[[#This Row],[Billing City]], ", ", Table1[[#This Row],[Billing State/Province]], ", ", Table1[[#This Row],[Billing Zip/Postal Code]])</f>
        <v>530 S. Marengo Avenue, Pasadena, CA, 91101</v>
      </c>
    </row>
    <row r="5384" spans="1:13" ht="15.6" hidden="1" x14ac:dyDescent="0.3">
      <c r="A5384" s="1" t="s">
        <v>15429</v>
      </c>
      <c r="B5384" s="1"/>
      <c r="C5384" s="1"/>
      <c r="D5384" s="1"/>
      <c r="E5384" s="1"/>
      <c r="F5384" s="1"/>
      <c r="G5384" s="1" t="s">
        <v>8</v>
      </c>
      <c r="H5384" s="2">
        <v>496</v>
      </c>
      <c r="I5384" s="1" t="s">
        <v>15430</v>
      </c>
      <c r="J5384" s="1" t="s">
        <v>557</v>
      </c>
      <c r="K5384" s="1" t="s">
        <v>51</v>
      </c>
      <c r="L5384" s="1" t="s">
        <v>15147</v>
      </c>
      <c r="M5384" s="6" t="str">
        <f>_xlfn.CONCAT(Table1[[#This Row],[Billing Street]], ", ", Table1[[#This Row],[Billing City]], ", ", Table1[[#This Row],[Billing State/Province]], ", ", Table1[[#This Row],[Billing Zip/Postal Code]])</f>
        <v>5802 Eldridge Glen Dr., Houston, TX, 77041</v>
      </c>
    </row>
    <row r="5385" spans="1:13" ht="15.6" hidden="1" x14ac:dyDescent="0.3">
      <c r="A5385" s="1" t="s">
        <v>15431</v>
      </c>
      <c r="B5385" s="1"/>
      <c r="C5385" s="1"/>
      <c r="D5385" s="1"/>
      <c r="E5385" s="1"/>
      <c r="F5385" s="1"/>
      <c r="G5385" s="1" t="s">
        <v>8</v>
      </c>
      <c r="H5385" s="2">
        <v>494</v>
      </c>
      <c r="I5385" s="1" t="s">
        <v>15432</v>
      </c>
      <c r="J5385" s="1" t="s">
        <v>15433</v>
      </c>
      <c r="K5385" s="1" t="s">
        <v>51</v>
      </c>
      <c r="L5385" s="1" t="s">
        <v>15434</v>
      </c>
      <c r="M5385" s="6" t="str">
        <f>_xlfn.CONCAT(Table1[[#This Row],[Billing Street]], ", ", Table1[[#This Row],[Billing City]], ", ", Table1[[#This Row],[Billing State/Province]], ", ", Table1[[#This Row],[Billing Zip/Postal Code]])</f>
        <v>4647 FM 1006, ORANGE, TX, 77630</v>
      </c>
    </row>
    <row r="5386" spans="1:13" ht="15.6" hidden="1" x14ac:dyDescent="0.3">
      <c r="A5386" s="1" t="s">
        <v>15435</v>
      </c>
      <c r="B5386" s="1"/>
      <c r="C5386" s="1"/>
      <c r="D5386" s="1"/>
      <c r="E5386" s="1"/>
      <c r="F5386" s="1"/>
      <c r="G5386" s="1" t="s">
        <v>8</v>
      </c>
      <c r="H5386" s="2">
        <v>6528</v>
      </c>
      <c r="I5386" s="1" t="s">
        <v>13</v>
      </c>
      <c r="J5386" s="1" t="s">
        <v>683</v>
      </c>
      <c r="K5386" s="1" t="s">
        <v>51</v>
      </c>
      <c r="L5386" s="1" t="s">
        <v>13</v>
      </c>
      <c r="M5386" s="6" t="str">
        <f>_xlfn.CONCAT(Table1[[#This Row],[Billing Street]], ", ", Table1[[#This Row],[Billing City]], ", ", Table1[[#This Row],[Billing State/Province]], ", ", Table1[[#This Row],[Billing Zip/Postal Code]])</f>
        <v xml:space="preserve">, Amarillo, TX, </v>
      </c>
    </row>
    <row r="5387" spans="1:13" ht="15.6" hidden="1" x14ac:dyDescent="0.3">
      <c r="A5387" s="1" t="s">
        <v>15436</v>
      </c>
      <c r="B5387" s="1"/>
      <c r="C5387" s="1"/>
      <c r="D5387" s="1"/>
      <c r="E5387" s="1"/>
      <c r="F5387" s="1"/>
      <c r="G5387" s="1" t="s">
        <v>8</v>
      </c>
      <c r="H5387" s="2">
        <v>174</v>
      </c>
      <c r="I5387" s="1" t="s">
        <v>15437</v>
      </c>
      <c r="J5387" s="1" t="s">
        <v>13258</v>
      </c>
      <c r="K5387" s="1" t="s">
        <v>11</v>
      </c>
      <c r="L5387" s="1" t="s">
        <v>15438</v>
      </c>
      <c r="M5387" s="6" t="str">
        <f>_xlfn.CONCAT(Table1[[#This Row],[Billing Street]], ", ", Table1[[#This Row],[Billing City]], ", ", Table1[[#This Row],[Billing State/Province]], ", ", Table1[[#This Row],[Billing Zip/Postal Code]])</f>
        <v>2001 ProEnergy Blvd, Sedalia, MO, 65301</v>
      </c>
    </row>
    <row r="5388" spans="1:13" ht="15.6" hidden="1" x14ac:dyDescent="0.3">
      <c r="A5388" s="1" t="s">
        <v>15439</v>
      </c>
      <c r="B5388" s="1"/>
      <c r="C5388" s="1"/>
      <c r="D5388" s="1"/>
      <c r="E5388" s="1"/>
      <c r="F5388" s="1"/>
      <c r="G5388" s="1" t="s">
        <v>205</v>
      </c>
      <c r="H5388" s="2">
        <v>1</v>
      </c>
      <c r="I5388" s="1" t="s">
        <v>12262</v>
      </c>
      <c r="J5388" s="1" t="s">
        <v>518</v>
      </c>
      <c r="K5388" s="1" t="s">
        <v>479</v>
      </c>
      <c r="L5388" s="1" t="s">
        <v>1284</v>
      </c>
      <c r="M5388" s="6" t="str">
        <f>_xlfn.CONCAT(Table1[[#This Row],[Billing Street]], ", ", Table1[[#This Row],[Billing City]], ", ", Table1[[#This Row],[Billing State/Province]], ", ", Table1[[#This Row],[Billing Zip/Postal Code]])</f>
        <v>320 E McDowell Road #320, Phoenix, AZ, 85004</v>
      </c>
    </row>
    <row r="5389" spans="1:13" ht="15.6" hidden="1" x14ac:dyDescent="0.3">
      <c r="A5389" s="1" t="s">
        <v>15440</v>
      </c>
      <c r="B5389" s="1"/>
      <c r="C5389" s="1"/>
      <c r="D5389" s="1"/>
      <c r="E5389" s="1"/>
      <c r="F5389" s="1"/>
      <c r="G5389" s="1" t="s">
        <v>98</v>
      </c>
      <c r="H5389" s="2">
        <v>203</v>
      </c>
      <c r="I5389" s="1" t="s">
        <v>15441</v>
      </c>
      <c r="J5389" s="1" t="s">
        <v>15442</v>
      </c>
      <c r="K5389" s="1" t="s">
        <v>234</v>
      </c>
      <c r="L5389" s="1" t="s">
        <v>15443</v>
      </c>
      <c r="M5389" s="6" t="str">
        <f>_xlfn.CONCAT(Table1[[#This Row],[Billing Street]], ", ", Table1[[#This Row],[Billing City]], ", ", Table1[[#This Row],[Billing State/Province]], ", ", Table1[[#This Row],[Billing Zip/Postal Code]])</f>
        <v>2341 Deerfield Drive, Fort Mill, SC, 29715</v>
      </c>
    </row>
    <row r="5390" spans="1:13" ht="15.6" hidden="1" x14ac:dyDescent="0.3">
      <c r="A5390" s="1" t="s">
        <v>15444</v>
      </c>
      <c r="B5390" s="1"/>
      <c r="C5390" s="1"/>
      <c r="D5390" s="1"/>
      <c r="E5390" s="1"/>
      <c r="F5390" s="1"/>
      <c r="G5390" s="1" t="s">
        <v>205</v>
      </c>
      <c r="H5390" s="2">
        <v>0</v>
      </c>
      <c r="I5390" s="1" t="s">
        <v>15445</v>
      </c>
      <c r="J5390" s="1" t="s">
        <v>518</v>
      </c>
      <c r="K5390" s="1" t="s">
        <v>479</v>
      </c>
      <c r="L5390" s="1" t="s">
        <v>573</v>
      </c>
      <c r="M5390" s="6" t="str">
        <f>_xlfn.CONCAT(Table1[[#This Row],[Billing Street]], ", ", Table1[[#This Row],[Billing City]], ", ", Table1[[#This Row],[Billing State/Province]], ", ", Table1[[#This Row],[Billing Zip/Postal Code]])</f>
        <v>230 N. First Ave., Suite 502, Phoenix, AZ, 85003</v>
      </c>
    </row>
    <row r="5391" spans="1:13" ht="15.6" hidden="1" x14ac:dyDescent="0.3">
      <c r="A5391" s="1" t="s">
        <v>15446</v>
      </c>
      <c r="B5391" s="1"/>
      <c r="C5391" s="1"/>
      <c r="D5391" s="1"/>
      <c r="E5391" s="1"/>
      <c r="F5391" s="1"/>
      <c r="G5391" s="1" t="s">
        <v>43</v>
      </c>
      <c r="H5391" s="2">
        <v>353</v>
      </c>
      <c r="I5391" s="1" t="s">
        <v>15447</v>
      </c>
      <c r="J5391" s="1" t="s">
        <v>12559</v>
      </c>
      <c r="K5391" s="1" t="s">
        <v>152</v>
      </c>
      <c r="L5391" s="1" t="s">
        <v>15448</v>
      </c>
      <c r="M5391" s="6" t="str">
        <f>_xlfn.CONCAT(Table1[[#This Row],[Billing Street]], ", ", Table1[[#This Row],[Billing City]], ", ", Table1[[#This Row],[Billing State/Province]], ", ", Table1[[#This Row],[Billing Zip/Postal Code]])</f>
        <v>31W222 West Bartlett road, Bartlett, IL, 60103</v>
      </c>
    </row>
    <row r="5392" spans="1:13" ht="15.6" hidden="1" x14ac:dyDescent="0.3">
      <c r="A5392" s="1" t="s">
        <v>15449</v>
      </c>
      <c r="B5392" s="1"/>
      <c r="C5392" s="1"/>
      <c r="D5392" s="1"/>
      <c r="E5392" s="1"/>
      <c r="F5392" s="1"/>
      <c r="G5392" s="1" t="s">
        <v>205</v>
      </c>
      <c r="H5392" s="2">
        <v>18</v>
      </c>
      <c r="I5392" s="1" t="s">
        <v>15450</v>
      </c>
      <c r="J5392" s="1" t="s">
        <v>518</v>
      </c>
      <c r="K5392" s="1" t="s">
        <v>479</v>
      </c>
      <c r="L5392" s="1" t="s">
        <v>15451</v>
      </c>
      <c r="M5392" s="6" t="str">
        <f>_xlfn.CONCAT(Table1[[#This Row],[Billing Street]], ", ", Table1[[#This Row],[Billing City]], ", ", Table1[[#This Row],[Billing State/Province]], ", ", Table1[[#This Row],[Billing Zip/Postal Code]])</f>
        <v>23636 N 7th Street, Phoenix, AZ, 85024</v>
      </c>
    </row>
    <row r="5393" spans="1:13" ht="15.6" hidden="1" x14ac:dyDescent="0.3">
      <c r="A5393" s="1" t="s">
        <v>15452</v>
      </c>
      <c r="B5393" s="1"/>
      <c r="C5393" s="1"/>
      <c r="D5393" s="1"/>
      <c r="E5393" s="1"/>
      <c r="F5393" s="1"/>
      <c r="G5393" s="1" t="s">
        <v>205</v>
      </c>
      <c r="H5393" s="2">
        <v>19</v>
      </c>
      <c r="I5393" s="1" t="s">
        <v>15453</v>
      </c>
      <c r="J5393" s="1" t="s">
        <v>4271</v>
      </c>
      <c r="K5393" s="1" t="s">
        <v>479</v>
      </c>
      <c r="L5393" s="1" t="s">
        <v>15454</v>
      </c>
      <c r="M5393" s="6" t="str">
        <f>_xlfn.CONCAT(Table1[[#This Row],[Billing Street]], ", ", Table1[[#This Row],[Billing City]], ", ", Table1[[#This Row],[Billing State/Province]], ", ", Table1[[#This Row],[Billing Zip/Postal Code]])</f>
        <v>905 E Queen Creek Rd, Chandler, AZ, 85286</v>
      </c>
    </row>
    <row r="5394" spans="1:13" ht="15.6" hidden="1" x14ac:dyDescent="0.3">
      <c r="A5394" s="1" t="s">
        <v>15455</v>
      </c>
      <c r="B5394" s="1"/>
      <c r="C5394" s="1"/>
      <c r="D5394" s="1"/>
      <c r="E5394" s="1"/>
      <c r="F5394" s="1"/>
      <c r="G5394" s="1" t="s">
        <v>8</v>
      </c>
      <c r="H5394" s="2">
        <v>339</v>
      </c>
      <c r="I5394" s="1" t="s">
        <v>15456</v>
      </c>
      <c r="J5394" s="1" t="s">
        <v>6076</v>
      </c>
      <c r="K5394" s="1" t="s">
        <v>51</v>
      </c>
      <c r="L5394" s="1" t="s">
        <v>8372</v>
      </c>
      <c r="M5394" s="6" t="str">
        <f>_xlfn.CONCAT(Table1[[#This Row],[Billing Street]], ", ", Table1[[#This Row],[Billing City]], ", ", Table1[[#This Row],[Billing State/Province]], ", ", Table1[[#This Row],[Billing Zip/Postal Code]])</f>
        <v>1623 Weatherford Highway, Granbury, TX, 76048</v>
      </c>
    </row>
    <row r="5395" spans="1:13" ht="15.6" hidden="1" x14ac:dyDescent="0.3">
      <c r="A5395" s="1" t="s">
        <v>15457</v>
      </c>
      <c r="B5395" s="1"/>
      <c r="C5395" s="1"/>
      <c r="D5395" s="1"/>
      <c r="E5395" s="1"/>
      <c r="F5395" s="1"/>
      <c r="G5395" s="1" t="s">
        <v>8</v>
      </c>
      <c r="H5395" s="2">
        <v>66</v>
      </c>
      <c r="I5395" s="1" t="s">
        <v>15458</v>
      </c>
      <c r="J5395" s="1" t="s">
        <v>6237</v>
      </c>
      <c r="K5395" s="1" t="s">
        <v>147</v>
      </c>
      <c r="L5395" s="1" t="s">
        <v>15459</v>
      </c>
      <c r="M5395" s="6" t="str">
        <f>_xlfn.CONCAT(Table1[[#This Row],[Billing Street]], ", ", Table1[[#This Row],[Billing City]], ", ", Table1[[#This Row],[Billing State/Province]], ", ", Table1[[#This Row],[Billing Zip/Postal Code]])</f>
        <v>1700 S. Union Ave, Tulsa, OK, 74107</v>
      </c>
    </row>
    <row r="5396" spans="1:13" ht="15.6" hidden="1" x14ac:dyDescent="0.3">
      <c r="A5396" s="1" t="s">
        <v>15460</v>
      </c>
      <c r="B5396" s="1"/>
      <c r="C5396" s="1"/>
      <c r="D5396" s="1"/>
      <c r="E5396" s="1"/>
      <c r="F5396" s="1"/>
      <c r="G5396" s="1" t="s">
        <v>8</v>
      </c>
      <c r="H5396" s="2">
        <v>539</v>
      </c>
      <c r="I5396" s="1" t="s">
        <v>15461</v>
      </c>
      <c r="J5396" s="1" t="s">
        <v>12718</v>
      </c>
      <c r="K5396" s="1" t="s">
        <v>208</v>
      </c>
      <c r="L5396" s="1" t="s">
        <v>15462</v>
      </c>
      <c r="M5396" s="6" t="str">
        <f>_xlfn.CONCAT(Table1[[#This Row],[Billing Street]], ", ", Table1[[#This Row],[Billing City]], ", ", Table1[[#This Row],[Billing State/Province]], ", ", Table1[[#This Row],[Billing Zip/Postal Code]])</f>
        <v>PO Box  631783, Littleton, CO, 80163</v>
      </c>
    </row>
    <row r="5397" spans="1:13" ht="15.6" hidden="1" x14ac:dyDescent="0.3">
      <c r="A5397" s="1" t="s">
        <v>15463</v>
      </c>
      <c r="B5397" s="1"/>
      <c r="C5397" s="1"/>
      <c r="D5397" s="1"/>
      <c r="E5397" s="1"/>
      <c r="F5397" s="1"/>
      <c r="G5397" s="1" t="s">
        <v>8</v>
      </c>
      <c r="H5397" s="2">
        <v>629</v>
      </c>
      <c r="I5397" s="1" t="s">
        <v>15464</v>
      </c>
      <c r="J5397" s="1" t="s">
        <v>228</v>
      </c>
      <c r="K5397" s="1" t="s">
        <v>229</v>
      </c>
      <c r="L5397" s="1" t="s">
        <v>230</v>
      </c>
      <c r="M5397" s="6" t="str">
        <f>_xlfn.CONCAT(Table1[[#This Row],[Billing Street]], ", ", Table1[[#This Row],[Billing City]], ", ", Table1[[#This Row],[Billing State/Province]], ", ", Table1[[#This Row],[Billing Zip/Postal Code]])</f>
        <v>2326 Dyess Ave, Rapid City, SD, 57701</v>
      </c>
    </row>
    <row r="5398" spans="1:13" ht="15.6" hidden="1" x14ac:dyDescent="0.3">
      <c r="A5398" s="1" t="s">
        <v>15465</v>
      </c>
      <c r="B5398" s="1"/>
      <c r="C5398" s="1"/>
      <c r="D5398" s="1"/>
      <c r="E5398" s="1"/>
      <c r="F5398" s="1"/>
      <c r="G5398" s="1" t="s">
        <v>8</v>
      </c>
      <c r="H5398" s="2">
        <v>440</v>
      </c>
      <c r="I5398" s="1" t="s">
        <v>15466</v>
      </c>
      <c r="J5398" s="1" t="s">
        <v>2644</v>
      </c>
      <c r="K5398" s="1" t="s">
        <v>51</v>
      </c>
      <c r="L5398" s="1" t="s">
        <v>12358</v>
      </c>
      <c r="M5398" s="6" t="str">
        <f>_xlfn.CONCAT(Table1[[#This Row],[Billing Street]], ", ", Table1[[#This Row],[Billing City]], ", ", Table1[[#This Row],[Billing State/Province]], ", ", Table1[[#This Row],[Billing Zip/Postal Code]])</f>
        <v>101 North Street, Newton, TX, 75966</v>
      </c>
    </row>
    <row r="5399" spans="1:13" ht="15.6" hidden="1" x14ac:dyDescent="0.3">
      <c r="A5399" s="1" t="s">
        <v>15467</v>
      </c>
      <c r="B5399" s="1"/>
      <c r="C5399" s="1"/>
      <c r="D5399" s="1"/>
      <c r="E5399" s="1"/>
      <c r="F5399" s="1"/>
      <c r="G5399" s="1" t="s">
        <v>205</v>
      </c>
      <c r="H5399" s="2">
        <v>143</v>
      </c>
      <c r="I5399" s="1" t="s">
        <v>15468</v>
      </c>
      <c r="J5399" s="1" t="s">
        <v>8507</v>
      </c>
      <c r="K5399" s="1" t="s">
        <v>479</v>
      </c>
      <c r="L5399" s="1" t="s">
        <v>8508</v>
      </c>
      <c r="M5399" s="6" t="str">
        <f>_xlfn.CONCAT(Table1[[#This Row],[Billing Street]], ", ", Table1[[#This Row],[Billing City]], ", ", Table1[[#This Row],[Billing State/Province]], ", ", Table1[[#This Row],[Billing Zip/Postal Code]])</f>
        <v>301 C Street Bld 2100 RM.8, Yuma, AZ, 85365</v>
      </c>
    </row>
    <row r="5400" spans="1:13" ht="15.6" hidden="1" x14ac:dyDescent="0.3">
      <c r="A5400" s="1" t="s">
        <v>15469</v>
      </c>
      <c r="B5400" s="1"/>
      <c r="C5400" s="1"/>
      <c r="D5400" s="1"/>
      <c r="E5400" s="1"/>
      <c r="F5400" s="1"/>
      <c r="G5400" s="1" t="s">
        <v>205</v>
      </c>
      <c r="H5400" s="2">
        <v>18</v>
      </c>
      <c r="I5400" s="1" t="s">
        <v>15470</v>
      </c>
      <c r="J5400" s="1" t="s">
        <v>15471</v>
      </c>
      <c r="K5400" s="1" t="s">
        <v>479</v>
      </c>
      <c r="L5400" s="1" t="s">
        <v>15472</v>
      </c>
      <c r="M5400" s="6" t="str">
        <f>_xlfn.CONCAT(Table1[[#This Row],[Billing Street]], ", ", Table1[[#This Row],[Billing City]], ", ", Table1[[#This Row],[Billing State/Province]], ", ", Table1[[#This Row],[Billing Zip/Postal Code]])</f>
        <v>106251 W Glendale Ave, Litchfield Park, AZ, 85340</v>
      </c>
    </row>
    <row r="5401" spans="1:13" ht="15.6" hidden="1" x14ac:dyDescent="0.3">
      <c r="A5401" s="1" t="s">
        <v>15473</v>
      </c>
      <c r="B5401" s="1"/>
      <c r="C5401" s="1"/>
      <c r="D5401" s="1"/>
      <c r="E5401" s="1"/>
      <c r="F5401" s="1"/>
      <c r="G5401" s="1" t="s">
        <v>54</v>
      </c>
      <c r="H5401" s="2">
        <v>17</v>
      </c>
      <c r="I5401" s="1" t="s">
        <v>15474</v>
      </c>
      <c r="J5401" s="1" t="s">
        <v>4551</v>
      </c>
      <c r="K5401" s="1" t="s">
        <v>57</v>
      </c>
      <c r="L5401" s="1" t="s">
        <v>4552</v>
      </c>
      <c r="M5401" s="6" t="str">
        <f>_xlfn.CONCAT(Table1[[#This Row],[Billing Street]], ", ", Table1[[#This Row],[Billing City]], ", ", Table1[[#This Row],[Billing State/Province]], ", ", Table1[[#This Row],[Billing Zip/Postal Code]])</f>
        <v>18125 Bloomfield Avenue, Cerritos, CA, 90703</v>
      </c>
    </row>
    <row r="5402" spans="1:13" ht="15.6" hidden="1" x14ac:dyDescent="0.3">
      <c r="A5402" s="1" t="s">
        <v>15475</v>
      </c>
      <c r="B5402" s="1"/>
      <c r="C5402" s="1"/>
      <c r="D5402" s="1"/>
      <c r="E5402" s="1"/>
      <c r="F5402" s="1"/>
      <c r="G5402" s="1" t="s">
        <v>205</v>
      </c>
      <c r="H5402" s="2">
        <v>0</v>
      </c>
      <c r="I5402" s="1" t="s">
        <v>15476</v>
      </c>
      <c r="J5402" s="1" t="s">
        <v>518</v>
      </c>
      <c r="K5402" s="1" t="s">
        <v>479</v>
      </c>
      <c r="L5402" s="1" t="s">
        <v>15477</v>
      </c>
      <c r="M5402" s="6" t="str">
        <f>_xlfn.CONCAT(Table1[[#This Row],[Billing Street]], ", ", Table1[[#This Row],[Billing City]], ", ", Table1[[#This Row],[Billing State/Province]], ", ", Table1[[#This Row],[Billing Zip/Postal Code]])</f>
        <v>200 W Washington, Phoenix, AZ, 85001</v>
      </c>
    </row>
    <row r="5403" spans="1:13" ht="15.6" hidden="1" x14ac:dyDescent="0.3">
      <c r="A5403" s="1" t="s">
        <v>15478</v>
      </c>
      <c r="B5403" s="1"/>
      <c r="C5403" s="1"/>
      <c r="D5403" s="1"/>
      <c r="E5403" s="1"/>
      <c r="F5403" s="1"/>
      <c r="G5403" s="1" t="s">
        <v>8</v>
      </c>
      <c r="H5403" s="2">
        <v>422</v>
      </c>
      <c r="I5403" s="1" t="s">
        <v>15479</v>
      </c>
      <c r="J5403" s="1" t="s">
        <v>15480</v>
      </c>
      <c r="K5403" s="1" t="s">
        <v>51</v>
      </c>
      <c r="L5403" s="1" t="s">
        <v>15481</v>
      </c>
      <c r="M5403" s="6" t="str">
        <f>_xlfn.CONCAT(Table1[[#This Row],[Billing Street]], ", ", Table1[[#This Row],[Billing City]], ", ", Table1[[#This Row],[Billing State/Province]], ", ", Table1[[#This Row],[Billing Zip/Postal Code]])</f>
        <v>450 Spur 135, Burkville, TX, 75932</v>
      </c>
    </row>
    <row r="5404" spans="1:13" ht="15.6" hidden="1" x14ac:dyDescent="0.3">
      <c r="A5404" s="1" t="s">
        <v>15482</v>
      </c>
      <c r="B5404" s="1"/>
      <c r="C5404" s="1"/>
      <c r="D5404" s="1"/>
      <c r="E5404" s="1"/>
      <c r="F5404" s="1"/>
      <c r="G5404" s="1" t="s">
        <v>13</v>
      </c>
      <c r="H5404" s="2">
        <v>0</v>
      </c>
      <c r="I5404" s="1" t="s">
        <v>15483</v>
      </c>
      <c r="J5404" s="1" t="s">
        <v>10073</v>
      </c>
      <c r="K5404" s="1" t="s">
        <v>15484</v>
      </c>
      <c r="L5404" s="1" t="s">
        <v>15485</v>
      </c>
      <c r="M5404" s="6" t="str">
        <f>_xlfn.CONCAT(Table1[[#This Row],[Billing Street]], ", ", Table1[[#This Row],[Billing City]], ", ", Table1[[#This Row],[Billing State/Province]], ", ", Table1[[#This Row],[Billing Zip/Postal Code]])</f>
        <v>C.P. 83000, Hermosillo, MX, Sonora</v>
      </c>
    </row>
    <row r="5405" spans="1:13" ht="15.6" hidden="1" x14ac:dyDescent="0.3">
      <c r="A5405" s="1" t="s">
        <v>15486</v>
      </c>
      <c r="B5405" s="1"/>
      <c r="C5405" s="1"/>
      <c r="D5405" s="1"/>
      <c r="E5405" s="1"/>
      <c r="F5405" s="1"/>
      <c r="G5405" s="1" t="s">
        <v>8</v>
      </c>
      <c r="H5405" s="2">
        <v>301</v>
      </c>
      <c r="I5405" s="1" t="s">
        <v>15487</v>
      </c>
      <c r="J5405" s="1" t="s">
        <v>625</v>
      </c>
      <c r="K5405" s="1" t="s">
        <v>51</v>
      </c>
      <c r="L5405" s="1" t="s">
        <v>626</v>
      </c>
      <c r="M5405" s="6" t="str">
        <f>_xlfn.CONCAT(Table1[[#This Row],[Billing Street]], ", ", Table1[[#This Row],[Billing City]], ", ", Table1[[#This Row],[Billing State/Province]], ", ", Table1[[#This Row],[Billing Zip/Postal Code]])</f>
        <v>1900 North Akard Street, Dallas, TX, 75201</v>
      </c>
    </row>
    <row r="5406" spans="1:13" ht="15.6" hidden="1" x14ac:dyDescent="0.3">
      <c r="A5406" s="1" t="s">
        <v>15488</v>
      </c>
      <c r="B5406" s="1"/>
      <c r="C5406" s="1"/>
      <c r="D5406" s="1"/>
      <c r="E5406" s="1"/>
      <c r="F5406" s="1"/>
      <c r="G5406" s="1" t="s">
        <v>43</v>
      </c>
      <c r="H5406" s="2">
        <v>125</v>
      </c>
      <c r="I5406" s="1" t="s">
        <v>15489</v>
      </c>
      <c r="J5406" s="1" t="s">
        <v>6806</v>
      </c>
      <c r="K5406" s="1" t="s">
        <v>82</v>
      </c>
      <c r="L5406" s="1" t="s">
        <v>13211</v>
      </c>
      <c r="M5406" s="6" t="str">
        <f>_xlfn.CONCAT(Table1[[#This Row],[Billing Street]], ", ", Table1[[#This Row],[Billing City]], ", ", Table1[[#This Row],[Billing State/Province]], ", ", Table1[[#This Row],[Billing Zip/Postal Code]])</f>
        <v>38777 Schoolcraft rd, Livonia, MI, 48150</v>
      </c>
    </row>
    <row r="5407" spans="1:13" ht="15.6" hidden="1" x14ac:dyDescent="0.3">
      <c r="A5407" s="1" t="s">
        <v>15490</v>
      </c>
      <c r="B5407" s="1"/>
      <c r="C5407" s="1"/>
      <c r="D5407" s="1"/>
      <c r="E5407" s="1"/>
      <c r="F5407" s="1"/>
      <c r="G5407" s="1" t="s">
        <v>8</v>
      </c>
      <c r="H5407" s="2">
        <v>548</v>
      </c>
      <c r="I5407" s="1" t="s">
        <v>15491</v>
      </c>
      <c r="J5407" s="1" t="s">
        <v>15492</v>
      </c>
      <c r="K5407" s="1" t="s">
        <v>208</v>
      </c>
      <c r="L5407" s="1" t="s">
        <v>15493</v>
      </c>
      <c r="M5407" s="6" t="str">
        <f>_xlfn.CONCAT(Table1[[#This Row],[Billing Street]], ", ", Table1[[#This Row],[Billing City]], ", ", Table1[[#This Row],[Billing State/Province]], ", ", Table1[[#This Row],[Billing Zip/Postal Code]])</f>
        <v>11049 W 44th Ave Ste 100, Wheat Ridge, CO, 80033</v>
      </c>
    </row>
    <row r="5408" spans="1:13" ht="15.6" hidden="1" x14ac:dyDescent="0.3">
      <c r="A5408" s="1" t="s">
        <v>15494</v>
      </c>
      <c r="B5408" s="1"/>
      <c r="C5408" s="1"/>
      <c r="D5408" s="1"/>
      <c r="E5408" s="1"/>
      <c r="F5408" s="1"/>
      <c r="G5408" s="1" t="s">
        <v>54</v>
      </c>
      <c r="H5408" s="2">
        <v>946</v>
      </c>
      <c r="I5408" s="1" t="s">
        <v>15495</v>
      </c>
      <c r="J5408" s="1" t="s">
        <v>5322</v>
      </c>
      <c r="K5408" s="1" t="s">
        <v>405</v>
      </c>
      <c r="L5408" s="1" t="s">
        <v>15496</v>
      </c>
      <c r="M5408" s="6" t="str">
        <f>_xlfn.CONCAT(Table1[[#This Row],[Billing Street]], ", ", Table1[[#This Row],[Billing City]], ", ", Table1[[#This Row],[Billing State/Province]], ", ", Table1[[#This Row],[Billing Zip/Postal Code]])</f>
        <v>22820 Russel rd, Kent, WA, 98032</v>
      </c>
    </row>
    <row r="5409" spans="1:13" ht="15.6" hidden="1" x14ac:dyDescent="0.3">
      <c r="A5409" s="1" t="s">
        <v>15497</v>
      </c>
      <c r="B5409" s="1"/>
      <c r="C5409" s="1"/>
      <c r="D5409" s="1"/>
      <c r="E5409" s="1"/>
      <c r="F5409" s="1"/>
      <c r="G5409" s="1" t="s">
        <v>8</v>
      </c>
      <c r="H5409" s="2">
        <v>151</v>
      </c>
      <c r="I5409" s="1" t="s">
        <v>15498</v>
      </c>
      <c r="J5409" s="1" t="s">
        <v>434</v>
      </c>
      <c r="K5409" s="1" t="s">
        <v>147</v>
      </c>
      <c r="L5409" s="1" t="s">
        <v>15406</v>
      </c>
      <c r="M5409" s="6" t="str">
        <f>_xlfn.CONCAT(Table1[[#This Row],[Billing Street]], ", ", Table1[[#This Row],[Billing City]], ", ", Table1[[#This Row],[Billing State/Province]], ", ", Table1[[#This Row],[Billing Zip/Postal Code]])</f>
        <v>123 Robert S Kerr, Oklahoma City, OK, 73102</v>
      </c>
    </row>
    <row r="5410" spans="1:13" ht="15.6" hidden="1" x14ac:dyDescent="0.3">
      <c r="A5410" s="1" t="s">
        <v>15499</v>
      </c>
      <c r="B5410" s="1"/>
      <c r="C5410" s="1"/>
      <c r="D5410" s="1"/>
      <c r="E5410" s="1"/>
      <c r="F5410" s="1"/>
      <c r="G5410" s="1" t="s">
        <v>205</v>
      </c>
      <c r="H5410" s="2">
        <v>7481</v>
      </c>
      <c r="I5410" s="1" t="s">
        <v>13</v>
      </c>
      <c r="J5410" s="1" t="s">
        <v>8507</v>
      </c>
      <c r="K5410" s="1" t="s">
        <v>479</v>
      </c>
      <c r="L5410" s="1" t="s">
        <v>13</v>
      </c>
      <c r="M5410" s="6" t="str">
        <f>_xlfn.CONCAT(Table1[[#This Row],[Billing Street]], ", ", Table1[[#This Row],[Billing City]], ", ", Table1[[#This Row],[Billing State/Province]], ", ", Table1[[#This Row],[Billing Zip/Postal Code]])</f>
        <v xml:space="preserve">, Yuma, AZ, </v>
      </c>
    </row>
    <row r="5411" spans="1:13" ht="15.6" hidden="1" x14ac:dyDescent="0.3">
      <c r="A5411" s="1" t="s">
        <v>15500</v>
      </c>
      <c r="B5411" s="1"/>
      <c r="C5411" s="1"/>
      <c r="D5411" s="1"/>
      <c r="E5411" s="1"/>
      <c r="F5411" s="1"/>
      <c r="G5411" s="1" t="s">
        <v>54</v>
      </c>
      <c r="H5411" s="2">
        <v>945</v>
      </c>
      <c r="I5411" s="1" t="s">
        <v>15501</v>
      </c>
      <c r="J5411" s="1" t="s">
        <v>15502</v>
      </c>
      <c r="K5411" s="1" t="s">
        <v>405</v>
      </c>
      <c r="L5411" s="1" t="s">
        <v>15503</v>
      </c>
      <c r="M5411" s="6" t="str">
        <f>_xlfn.CONCAT(Table1[[#This Row],[Billing Street]], ", ", Table1[[#This Row],[Billing City]], ", ", Table1[[#This Row],[Billing State/Province]], ", ", Table1[[#This Row],[Billing Zip/Postal Code]])</f>
        <v>21318 E. Gilbert Ave, Otis Orchards, WA, 99027</v>
      </c>
    </row>
    <row r="5412" spans="1:13" ht="15.6" hidden="1" x14ac:dyDescent="0.3">
      <c r="A5412" s="1" t="s">
        <v>15504</v>
      </c>
      <c r="B5412" s="1"/>
      <c r="C5412" s="1"/>
      <c r="D5412" s="1"/>
      <c r="E5412" s="1"/>
      <c r="F5412" s="1"/>
      <c r="G5412" s="1" t="s">
        <v>8</v>
      </c>
      <c r="H5412" s="2">
        <v>506</v>
      </c>
      <c r="I5412" s="1" t="s">
        <v>15505</v>
      </c>
      <c r="J5412" s="1" t="s">
        <v>6256</v>
      </c>
      <c r="K5412" s="1" t="s">
        <v>51</v>
      </c>
      <c r="L5412" s="1" t="s">
        <v>15506</v>
      </c>
      <c r="M5412" s="6" t="str">
        <f>_xlfn.CONCAT(Table1[[#This Row],[Billing Street]], ", ", Table1[[#This Row],[Billing City]], ", ", Table1[[#This Row],[Billing State/Province]], ", ", Table1[[#This Row],[Billing Zip/Postal Code]])</f>
        <v>500 w Wall St, Midland, TX, 79701</v>
      </c>
    </row>
    <row r="5413" spans="1:13" ht="15.6" hidden="1" x14ac:dyDescent="0.3">
      <c r="A5413" s="1" t="s">
        <v>15507</v>
      </c>
      <c r="B5413" s="1"/>
      <c r="C5413" s="1"/>
      <c r="D5413" s="1"/>
      <c r="E5413" s="1"/>
      <c r="F5413" s="1"/>
      <c r="G5413" s="1" t="s">
        <v>54</v>
      </c>
      <c r="H5413" s="2">
        <v>318</v>
      </c>
      <c r="I5413" s="1" t="s">
        <v>15508</v>
      </c>
      <c r="J5413" s="1" t="s">
        <v>11430</v>
      </c>
      <c r="K5413" s="1" t="s">
        <v>57</v>
      </c>
      <c r="L5413" s="1" t="s">
        <v>15509</v>
      </c>
      <c r="M5413" s="6" t="str">
        <f>_xlfn.CONCAT(Table1[[#This Row],[Billing Street]], ", ", Table1[[#This Row],[Billing City]], ", ", Table1[[#This Row],[Billing State/Province]], ", ", Table1[[#This Row],[Billing Zip/Postal Code]])</f>
        <v>704 E. Hazleton Ave, Stockton, CA, 95203</v>
      </c>
    </row>
    <row r="5414" spans="1:13" ht="15.6" hidden="1" x14ac:dyDescent="0.3">
      <c r="A5414" s="1" t="s">
        <v>15510</v>
      </c>
      <c r="B5414" s="1"/>
      <c r="C5414" s="1"/>
      <c r="D5414" s="1"/>
      <c r="E5414" s="1"/>
      <c r="F5414" s="1"/>
      <c r="G5414" s="1" t="s">
        <v>8</v>
      </c>
      <c r="H5414" s="2">
        <v>410</v>
      </c>
      <c r="I5414" s="1" t="s">
        <v>15511</v>
      </c>
      <c r="J5414" s="1" t="s">
        <v>15512</v>
      </c>
      <c r="K5414" s="1" t="s">
        <v>51</v>
      </c>
      <c r="L5414" s="1" t="s">
        <v>15513</v>
      </c>
      <c r="M5414" s="6" t="str">
        <f>_xlfn.CONCAT(Table1[[#This Row],[Billing Street]], ", ", Table1[[#This Row],[Billing City]], ", ", Table1[[#This Row],[Billing State/Province]], ", ", Table1[[#This Row],[Billing Zip/Postal Code]])</f>
        <v>1801 COUNTY ROAD 338, EARLY, TX, 76802</v>
      </c>
    </row>
    <row r="5415" spans="1:13" ht="15.6" hidden="1" x14ac:dyDescent="0.3">
      <c r="A5415" s="1" t="s">
        <v>15514</v>
      </c>
      <c r="B5415" s="1"/>
      <c r="C5415" s="1"/>
      <c r="D5415" s="1"/>
      <c r="E5415" s="1"/>
      <c r="F5415" s="1"/>
      <c r="G5415" s="1" t="s">
        <v>43</v>
      </c>
      <c r="H5415" s="2">
        <v>26</v>
      </c>
      <c r="I5415" s="1" t="s">
        <v>15515</v>
      </c>
      <c r="J5415" s="1" t="s">
        <v>502</v>
      </c>
      <c r="K5415" s="1" t="s">
        <v>45</v>
      </c>
      <c r="L5415" s="1" t="s">
        <v>15516</v>
      </c>
      <c r="M5415" s="6" t="str">
        <f>_xlfn.CONCAT(Table1[[#This Row],[Billing Street]], ", ", Table1[[#This Row],[Billing City]], ", ", Table1[[#This Row],[Billing State/Province]], ", ", Table1[[#This Row],[Billing Zip/Postal Code]])</f>
        <v>15711 Station Rd, Columbia, OH, 44028</v>
      </c>
    </row>
    <row r="5416" spans="1:13" ht="15.6" hidden="1" x14ac:dyDescent="0.3">
      <c r="A5416" s="1" t="s">
        <v>15517</v>
      </c>
      <c r="B5416" s="1"/>
      <c r="C5416" s="1"/>
      <c r="D5416" s="1"/>
      <c r="E5416" s="1"/>
      <c r="F5416" s="1"/>
      <c r="G5416" s="1" t="s">
        <v>205</v>
      </c>
      <c r="H5416" s="2">
        <v>10</v>
      </c>
      <c r="I5416" s="1" t="s">
        <v>15518</v>
      </c>
      <c r="J5416" s="1" t="s">
        <v>518</v>
      </c>
      <c r="K5416" s="1" t="s">
        <v>479</v>
      </c>
      <c r="L5416" s="1" t="s">
        <v>15519</v>
      </c>
      <c r="M5416" s="6" t="str">
        <f>_xlfn.CONCAT(Table1[[#This Row],[Billing Street]], ", ", Table1[[#This Row],[Billing City]], ", ", Table1[[#This Row],[Billing State/Province]], ", ", Table1[[#This Row],[Billing Zip/Postal Code]])</f>
        <v>11024 N 28th Drive ste 105, Phoenix, AZ, 85029</v>
      </c>
    </row>
    <row r="5417" spans="1:13" ht="15.6" hidden="1" x14ac:dyDescent="0.3">
      <c r="A5417" s="1" t="s">
        <v>15520</v>
      </c>
      <c r="B5417" s="1"/>
      <c r="C5417" s="1"/>
      <c r="D5417" s="1"/>
      <c r="E5417" s="1"/>
      <c r="F5417" s="1"/>
      <c r="G5417" s="1" t="s">
        <v>205</v>
      </c>
      <c r="H5417" s="2">
        <v>5</v>
      </c>
      <c r="I5417" s="1" t="s">
        <v>15521</v>
      </c>
      <c r="J5417" s="1" t="s">
        <v>518</v>
      </c>
      <c r="K5417" s="1" t="s">
        <v>479</v>
      </c>
      <c r="L5417" s="1" t="s">
        <v>1063</v>
      </c>
      <c r="M5417" s="6" t="str">
        <f>_xlfn.CONCAT(Table1[[#This Row],[Billing Street]], ", ", Table1[[#This Row],[Billing City]], ", ", Table1[[#This Row],[Billing State/Province]], ", ", Table1[[#This Row],[Billing Zip/Postal Code]])</f>
        <v>4110 E Elwood Street, Phoenix, AZ, 85040</v>
      </c>
    </row>
    <row r="5418" spans="1:13" ht="15.6" hidden="1" x14ac:dyDescent="0.3">
      <c r="A5418" s="1" t="s">
        <v>15522</v>
      </c>
      <c r="B5418" s="1"/>
      <c r="C5418" s="1"/>
      <c r="D5418" s="1"/>
      <c r="E5418" s="1"/>
      <c r="F5418" s="1"/>
      <c r="G5418" s="1" t="s">
        <v>8</v>
      </c>
      <c r="H5418" s="2">
        <v>562</v>
      </c>
      <c r="I5418" s="1" t="s">
        <v>15523</v>
      </c>
      <c r="J5418" s="1" t="s">
        <v>2638</v>
      </c>
      <c r="K5418" s="1" t="s">
        <v>208</v>
      </c>
      <c r="L5418" s="1" t="s">
        <v>15524</v>
      </c>
      <c r="M5418" s="6" t="str">
        <f>_xlfn.CONCAT(Table1[[#This Row],[Billing Street]], ", ", Table1[[#This Row],[Billing City]], ", ", Table1[[#This Row],[Billing State/Province]], ", ", Table1[[#This Row],[Billing Zip/Postal Code]])</f>
        <v>2000 E Horsetooth Rd, Fort Collins, CO, 80525</v>
      </c>
    </row>
    <row r="5419" spans="1:13" ht="15.6" hidden="1" x14ac:dyDescent="0.3">
      <c r="A5419" s="1" t="s">
        <v>15525</v>
      </c>
      <c r="B5419" s="1"/>
      <c r="C5419" s="1"/>
      <c r="D5419" s="1"/>
      <c r="E5419" s="1"/>
      <c r="F5419" s="1"/>
      <c r="G5419" s="1" t="s">
        <v>205</v>
      </c>
      <c r="H5419" s="2">
        <v>9</v>
      </c>
      <c r="I5419" s="1" t="s">
        <v>15526</v>
      </c>
      <c r="J5419" s="1" t="s">
        <v>5889</v>
      </c>
      <c r="K5419" s="1" t="s">
        <v>479</v>
      </c>
      <c r="L5419" s="1" t="s">
        <v>6443</v>
      </c>
      <c r="M5419" s="6" t="str">
        <f>_xlfn.CONCAT(Table1[[#This Row],[Billing Street]], ", ", Table1[[#This Row],[Billing City]], ", ", Table1[[#This Row],[Billing State/Province]], ", ", Table1[[#This Row],[Billing Zip/Postal Code]])</f>
        <v>4685 S Ash Ave #4, Tempe, AZ, 85282</v>
      </c>
    </row>
    <row r="5420" spans="1:13" ht="15.6" hidden="1" x14ac:dyDescent="0.3">
      <c r="A5420" s="1" t="s">
        <v>6804</v>
      </c>
      <c r="B5420" s="1"/>
      <c r="C5420" s="1"/>
      <c r="D5420" s="1"/>
      <c r="E5420" s="1"/>
      <c r="F5420" s="1"/>
      <c r="G5420" s="1" t="s">
        <v>205</v>
      </c>
      <c r="H5420" s="2">
        <v>7481</v>
      </c>
      <c r="I5420" s="1" t="s">
        <v>13</v>
      </c>
      <c r="J5420" s="1" t="s">
        <v>13</v>
      </c>
      <c r="K5420" s="1" t="s">
        <v>479</v>
      </c>
      <c r="L5420" s="1" t="s">
        <v>13</v>
      </c>
      <c r="M5420" s="6" t="str">
        <f>_xlfn.CONCAT(Table1[[#This Row],[Billing Street]], ", ", Table1[[#This Row],[Billing City]], ", ", Table1[[#This Row],[Billing State/Province]], ", ", Table1[[#This Row],[Billing Zip/Postal Code]])</f>
        <v xml:space="preserve">, , AZ, </v>
      </c>
    </row>
    <row r="5421" spans="1:13" ht="15.6" hidden="1" x14ac:dyDescent="0.3">
      <c r="A5421" s="1" t="s">
        <v>15527</v>
      </c>
      <c r="B5421" s="1"/>
      <c r="C5421" s="1"/>
      <c r="D5421" s="1"/>
      <c r="E5421" s="1"/>
      <c r="F5421" s="1"/>
      <c r="G5421" s="1" t="s">
        <v>205</v>
      </c>
      <c r="H5421" s="2">
        <v>14</v>
      </c>
      <c r="I5421" s="1" t="s">
        <v>15528</v>
      </c>
      <c r="J5421" s="1" t="s">
        <v>478</v>
      </c>
      <c r="K5421" s="1" t="s">
        <v>479</v>
      </c>
      <c r="L5421" s="1" t="s">
        <v>10560</v>
      </c>
      <c r="M5421" s="6" t="str">
        <f>_xlfn.CONCAT(Table1[[#This Row],[Billing Street]], ", ", Table1[[#This Row],[Billing City]], ", ", Table1[[#This Row],[Billing State/Province]], ", ", Table1[[#This Row],[Billing Zip/Postal Code]])</f>
        <v>160 N Pasadena, Mesa, AZ, 85211</v>
      </c>
    </row>
    <row r="5422" spans="1:13" ht="15.6" hidden="1" x14ac:dyDescent="0.3">
      <c r="A5422" s="1" t="s">
        <v>15529</v>
      </c>
      <c r="B5422" s="1"/>
      <c r="C5422" s="1"/>
      <c r="D5422" s="1"/>
      <c r="E5422" s="1"/>
      <c r="F5422" s="1"/>
      <c r="G5422" s="1" t="s">
        <v>205</v>
      </c>
      <c r="H5422" s="2">
        <v>45</v>
      </c>
      <c r="I5422" s="1" t="s">
        <v>15530</v>
      </c>
      <c r="J5422" s="1" t="s">
        <v>1689</v>
      </c>
      <c r="K5422" s="1" t="s">
        <v>479</v>
      </c>
      <c r="L5422" s="1" t="s">
        <v>15531</v>
      </c>
      <c r="M5422" s="6" t="str">
        <f>_xlfn.CONCAT(Table1[[#This Row],[Billing Street]], ", ", Table1[[#This Row],[Billing City]], ", ", Table1[[#This Row],[Billing State/Province]], ", ", Table1[[#This Row],[Billing Zip/Postal Code]])</f>
        <v>11600 S 363 Rd Ave, Arlington, AZ, 85322</v>
      </c>
    </row>
    <row r="5423" spans="1:13" ht="15.6" hidden="1" x14ac:dyDescent="0.3">
      <c r="A5423" s="1" t="s">
        <v>15532</v>
      </c>
      <c r="B5423" s="1"/>
      <c r="C5423" s="1"/>
      <c r="D5423" s="1"/>
      <c r="E5423" s="1"/>
      <c r="F5423" s="1"/>
      <c r="G5423" s="1" t="s">
        <v>54</v>
      </c>
      <c r="H5423" s="2">
        <v>163</v>
      </c>
      <c r="I5423" s="1" t="s">
        <v>15533</v>
      </c>
      <c r="J5423" s="1" t="s">
        <v>15534</v>
      </c>
      <c r="K5423" s="1" t="s">
        <v>57</v>
      </c>
      <c r="L5423" s="1" t="s">
        <v>15535</v>
      </c>
      <c r="M5423" s="6" t="str">
        <f>_xlfn.CONCAT(Table1[[#This Row],[Billing Street]], ", ", Table1[[#This Row],[Billing City]], ", ", Table1[[#This Row],[Billing State/Province]], ", ", Table1[[#This Row],[Billing Zip/Postal Code]])</f>
        <v>7030 Gentry Road, Calipatria, CA, 92233</v>
      </c>
    </row>
    <row r="5424" spans="1:13" ht="15.6" hidden="1" x14ac:dyDescent="0.3">
      <c r="A5424" s="1" t="s">
        <v>15536</v>
      </c>
      <c r="B5424" s="1"/>
      <c r="C5424" s="1"/>
      <c r="D5424" s="1"/>
      <c r="E5424" s="1"/>
      <c r="F5424" s="1"/>
      <c r="G5424" s="1" t="s">
        <v>54</v>
      </c>
      <c r="H5424" s="2">
        <v>356</v>
      </c>
      <c r="I5424" s="1" t="s">
        <v>15537</v>
      </c>
      <c r="J5424" s="1" t="s">
        <v>6096</v>
      </c>
      <c r="K5424" s="1" t="s">
        <v>57</v>
      </c>
      <c r="L5424" s="1" t="s">
        <v>15538</v>
      </c>
      <c r="M5424" s="6" t="str">
        <f>_xlfn.CONCAT(Table1[[#This Row],[Billing Street]], ", ", Table1[[#This Row],[Billing City]], ", ", Table1[[#This Row],[Billing State/Province]], ", ", Table1[[#This Row],[Billing Zip/Postal Code]])</f>
        <v>250 Outcropping Way, Folsom, CA, 95630</v>
      </c>
    </row>
    <row r="5425" spans="1:13" ht="15.6" hidden="1" x14ac:dyDescent="0.3">
      <c r="A5425" s="1" t="s">
        <v>15539</v>
      </c>
      <c r="B5425" s="1"/>
      <c r="C5425" s="1"/>
      <c r="D5425" s="1"/>
      <c r="E5425" s="1"/>
      <c r="F5425" s="1"/>
      <c r="G5425" s="1" t="s">
        <v>205</v>
      </c>
      <c r="H5425" s="2">
        <v>171</v>
      </c>
      <c r="I5425" s="1" t="s">
        <v>15540</v>
      </c>
      <c r="J5425" s="1" t="s">
        <v>7544</v>
      </c>
      <c r="K5425" s="1" t="s">
        <v>479</v>
      </c>
      <c r="L5425" s="1" t="s">
        <v>13</v>
      </c>
      <c r="M5425" s="6" t="str">
        <f>_xlfn.CONCAT(Table1[[#This Row],[Billing Street]], ", ", Table1[[#This Row],[Billing City]], ", ", Table1[[#This Row],[Billing State/Province]], ", ", Table1[[#This Row],[Billing Zip/Postal Code]])</f>
        <v xml:space="preserve">3775 E Courtwright Rd, Mohave Valley, AZ, </v>
      </c>
    </row>
    <row r="5426" spans="1:13" ht="15.6" hidden="1" x14ac:dyDescent="0.3">
      <c r="A5426" s="1" t="s">
        <v>15541</v>
      </c>
      <c r="B5426" s="1"/>
      <c r="C5426" s="1"/>
      <c r="D5426" s="1"/>
      <c r="E5426" s="1"/>
      <c r="F5426" s="1"/>
      <c r="G5426" s="1" t="s">
        <v>8</v>
      </c>
      <c r="H5426" s="2">
        <v>6528</v>
      </c>
      <c r="I5426" s="1" t="s">
        <v>13</v>
      </c>
      <c r="J5426" s="1" t="s">
        <v>13</v>
      </c>
      <c r="K5426" s="1" t="s">
        <v>51</v>
      </c>
      <c r="L5426" s="1" t="s">
        <v>13</v>
      </c>
      <c r="M5426" s="6" t="str">
        <f>_xlfn.CONCAT(Table1[[#This Row],[Billing Street]], ", ", Table1[[#This Row],[Billing City]], ", ", Table1[[#This Row],[Billing State/Province]], ", ", Table1[[#This Row],[Billing Zip/Postal Code]])</f>
        <v xml:space="preserve">, , TX, </v>
      </c>
    </row>
    <row r="5427" spans="1:13" ht="15.6" hidden="1" x14ac:dyDescent="0.3">
      <c r="A5427" s="1" t="s">
        <v>15542</v>
      </c>
      <c r="B5427" s="1"/>
      <c r="C5427" s="1"/>
      <c r="D5427" s="1"/>
      <c r="E5427" s="1"/>
      <c r="F5427" s="1"/>
      <c r="G5427" s="1" t="s">
        <v>8</v>
      </c>
      <c r="H5427" s="2">
        <v>507</v>
      </c>
      <c r="I5427" s="1" t="s">
        <v>15543</v>
      </c>
      <c r="J5427" s="1" t="s">
        <v>6256</v>
      </c>
      <c r="K5427" s="1" t="s">
        <v>51</v>
      </c>
      <c r="L5427" s="1" t="s">
        <v>15544</v>
      </c>
      <c r="M5427" s="6" t="str">
        <f>_xlfn.CONCAT(Table1[[#This Row],[Billing Street]], ", ", Table1[[#This Row],[Billing City]], ", ", Table1[[#This Row],[Billing State/Province]], ", ", Table1[[#This Row],[Billing Zip/Postal Code]])</f>
        <v>1031 Andrews Hwy, Suite 450, Midland, TX, 79702</v>
      </c>
    </row>
    <row r="5428" spans="1:13" ht="15.6" hidden="1" x14ac:dyDescent="0.3">
      <c r="A5428" s="1" t="s">
        <v>15545</v>
      </c>
      <c r="B5428" s="1"/>
      <c r="C5428" s="1"/>
      <c r="D5428" s="1"/>
      <c r="E5428" s="1"/>
      <c r="F5428" s="1"/>
      <c r="G5428" s="1" t="s">
        <v>8</v>
      </c>
      <c r="H5428" s="2">
        <v>282</v>
      </c>
      <c r="I5428" s="1" t="s">
        <v>15546</v>
      </c>
      <c r="J5428" s="1" t="s">
        <v>15547</v>
      </c>
      <c r="K5428" s="1" t="s">
        <v>51</v>
      </c>
      <c r="L5428" s="1" t="s">
        <v>15548</v>
      </c>
      <c r="M5428" s="6" t="str">
        <f>_xlfn.CONCAT(Table1[[#This Row],[Billing Street]], ", ", Table1[[#This Row],[Billing City]], ", ", Table1[[#This Row],[Billing State/Province]], ", ", Table1[[#This Row],[Billing Zip/Postal Code]])</f>
        <v>5851 Legacy Circle, Suite 500, Plano, TX, 75024</v>
      </c>
    </row>
    <row r="5429" spans="1:13" ht="15.6" hidden="1" x14ac:dyDescent="0.3">
      <c r="A5429" s="1" t="s">
        <v>15549</v>
      </c>
      <c r="B5429" s="1"/>
      <c r="C5429" s="1"/>
      <c r="D5429" s="1"/>
      <c r="E5429" s="1"/>
      <c r="F5429" s="1"/>
      <c r="G5429" s="1" t="s">
        <v>8</v>
      </c>
      <c r="H5429" s="2">
        <v>6528</v>
      </c>
      <c r="I5429" s="1" t="s">
        <v>13</v>
      </c>
      <c r="J5429" s="1" t="s">
        <v>3265</v>
      </c>
      <c r="K5429" s="1" t="s">
        <v>51</v>
      </c>
      <c r="L5429" s="1" t="s">
        <v>13</v>
      </c>
      <c r="M5429" s="6" t="str">
        <f>_xlfn.CONCAT(Table1[[#This Row],[Billing Street]], ", ", Table1[[#This Row],[Billing City]], ", ", Table1[[#This Row],[Billing State/Province]], ", ", Table1[[#This Row],[Billing Zip/Postal Code]])</f>
        <v xml:space="preserve">, Athens, TX, </v>
      </c>
    </row>
    <row r="5430" spans="1:13" ht="15.6" hidden="1" x14ac:dyDescent="0.3">
      <c r="A5430" s="1" t="s">
        <v>15550</v>
      </c>
      <c r="B5430" s="1"/>
      <c r="C5430" s="1"/>
      <c r="D5430" s="1"/>
      <c r="E5430" s="1"/>
      <c r="F5430" s="1"/>
      <c r="G5430" s="1" t="s">
        <v>54</v>
      </c>
      <c r="H5430" s="2">
        <v>40</v>
      </c>
      <c r="I5430" s="1" t="s">
        <v>15551</v>
      </c>
      <c r="J5430" s="1" t="s">
        <v>2228</v>
      </c>
      <c r="K5430" s="1" t="s">
        <v>57</v>
      </c>
      <c r="L5430" s="1" t="s">
        <v>15552</v>
      </c>
      <c r="M5430" s="6" t="str">
        <f>_xlfn.CONCAT(Table1[[#This Row],[Billing Street]], ", ", Table1[[#This Row],[Billing City]], ", ", Table1[[#This Row],[Billing State/Province]], ", ", Table1[[#This Row],[Billing Zip/Postal Code]])</f>
        <v>755 Public Safety Way, Corona, CA, 92882</v>
      </c>
    </row>
    <row r="5431" spans="1:13" ht="15.6" hidden="1" x14ac:dyDescent="0.3">
      <c r="A5431" s="1" t="s">
        <v>15553</v>
      </c>
      <c r="B5431" s="1"/>
      <c r="C5431" s="1"/>
      <c r="D5431" s="1"/>
      <c r="E5431" s="1"/>
      <c r="F5431" s="1"/>
      <c r="G5431" s="1" t="s">
        <v>8</v>
      </c>
      <c r="H5431" s="2">
        <v>6528</v>
      </c>
      <c r="I5431" s="1" t="s">
        <v>13</v>
      </c>
      <c r="J5431" s="1" t="s">
        <v>13</v>
      </c>
      <c r="K5431" s="1" t="s">
        <v>51</v>
      </c>
      <c r="L5431" s="1" t="s">
        <v>13</v>
      </c>
      <c r="M5431" s="6" t="str">
        <f>_xlfn.CONCAT(Table1[[#This Row],[Billing Street]], ", ", Table1[[#This Row],[Billing City]], ", ", Table1[[#This Row],[Billing State/Province]], ", ", Table1[[#This Row],[Billing Zip/Postal Code]])</f>
        <v xml:space="preserve">, , TX, </v>
      </c>
    </row>
    <row r="5432" spans="1:13" ht="15.6" hidden="1" x14ac:dyDescent="0.3">
      <c r="A5432" s="1" t="s">
        <v>15554</v>
      </c>
      <c r="B5432" s="1"/>
      <c r="C5432" s="1"/>
      <c r="D5432" s="1"/>
      <c r="E5432" s="1"/>
      <c r="F5432" s="1"/>
      <c r="G5432" s="1" t="s">
        <v>54</v>
      </c>
      <c r="H5432" s="2">
        <v>104</v>
      </c>
      <c r="I5432" s="1" t="s">
        <v>15555</v>
      </c>
      <c r="J5432" s="1" t="s">
        <v>202</v>
      </c>
      <c r="K5432" s="1" t="s">
        <v>57</v>
      </c>
      <c r="L5432" s="1" t="s">
        <v>2736</v>
      </c>
      <c r="M5432" s="6" t="str">
        <f>_xlfn.CONCAT(Table1[[#This Row],[Billing Street]], ", ", Table1[[#This Row],[Billing City]], ", ", Table1[[#This Row],[Billing State/Province]], ", ", Table1[[#This Row],[Billing Zip/Postal Code]])</f>
        <v>6301 Seven Seas Ave, Bakersfield, CA, 93308</v>
      </c>
    </row>
    <row r="5433" spans="1:13" ht="15.6" hidden="1" x14ac:dyDescent="0.3">
      <c r="A5433" s="1" t="s">
        <v>15556</v>
      </c>
      <c r="B5433" s="1"/>
      <c r="C5433" s="1"/>
      <c r="D5433" s="1"/>
      <c r="E5433" s="1"/>
      <c r="F5433" s="1"/>
      <c r="G5433" s="1" t="s">
        <v>205</v>
      </c>
      <c r="H5433" s="2">
        <v>19</v>
      </c>
      <c r="I5433" s="1" t="s">
        <v>15557</v>
      </c>
      <c r="J5433" s="1" t="s">
        <v>15558</v>
      </c>
      <c r="K5433" s="1" t="s">
        <v>479</v>
      </c>
      <c r="L5433" s="1" t="s">
        <v>15559</v>
      </c>
      <c r="M5433" s="6" t="str">
        <f>_xlfn.CONCAT(Table1[[#This Row],[Billing Street]], ", ", Table1[[#This Row],[Billing City]], ", ", Table1[[#This Row],[Billing State/Province]], ", ", Table1[[#This Row],[Billing Zip/Postal Code]])</f>
        <v>14629 W Peoria Ave, Waddell, AZ, 85355</v>
      </c>
    </row>
    <row r="5434" spans="1:13" ht="15.6" hidden="1" x14ac:dyDescent="0.3">
      <c r="A5434" s="1" t="s">
        <v>15560</v>
      </c>
      <c r="B5434" s="1"/>
      <c r="C5434" s="1"/>
      <c r="D5434" s="1"/>
      <c r="E5434" s="1"/>
      <c r="F5434" s="1"/>
      <c r="G5434" s="1" t="s">
        <v>205</v>
      </c>
      <c r="H5434" s="2">
        <v>7481</v>
      </c>
      <c r="I5434" s="1" t="s">
        <v>13</v>
      </c>
      <c r="J5434" s="1" t="s">
        <v>15561</v>
      </c>
      <c r="K5434" s="1" t="s">
        <v>1695</v>
      </c>
      <c r="L5434" s="1" t="s">
        <v>13</v>
      </c>
      <c r="M5434" s="6" t="str">
        <f>_xlfn.CONCAT(Table1[[#This Row],[Billing Street]], ", ", Table1[[#This Row],[Billing City]], ", ", Table1[[#This Row],[Billing State/Province]], ", ", Table1[[#This Row],[Billing Zip/Postal Code]])</f>
        <v xml:space="preserve">, Mecury, NV, </v>
      </c>
    </row>
    <row r="5435" spans="1:13" ht="15.6" hidden="1" x14ac:dyDescent="0.3">
      <c r="A5435" s="1" t="s">
        <v>15562</v>
      </c>
      <c r="B5435" s="1"/>
      <c r="C5435" s="1"/>
      <c r="D5435" s="1"/>
      <c r="E5435" s="1"/>
      <c r="F5435" s="1"/>
      <c r="G5435" s="1" t="s">
        <v>8</v>
      </c>
      <c r="H5435" s="2">
        <v>6528</v>
      </c>
      <c r="I5435" s="1" t="s">
        <v>13</v>
      </c>
      <c r="J5435" s="1" t="s">
        <v>13</v>
      </c>
      <c r="K5435" s="1" t="s">
        <v>51</v>
      </c>
      <c r="L5435" s="1" t="s">
        <v>13</v>
      </c>
      <c r="M5435" s="6" t="str">
        <f>_xlfn.CONCAT(Table1[[#This Row],[Billing Street]], ", ", Table1[[#This Row],[Billing City]], ", ", Table1[[#This Row],[Billing State/Province]], ", ", Table1[[#This Row],[Billing Zip/Postal Code]])</f>
        <v xml:space="preserve">, , TX, </v>
      </c>
    </row>
    <row r="5436" spans="1:13" ht="15.6" hidden="1" x14ac:dyDescent="0.3">
      <c r="A5436" s="1" t="s">
        <v>15563</v>
      </c>
      <c r="B5436" s="1"/>
      <c r="C5436" s="1"/>
      <c r="D5436" s="1"/>
      <c r="E5436" s="1"/>
      <c r="F5436" s="1"/>
      <c r="G5436" s="1" t="s">
        <v>205</v>
      </c>
      <c r="H5436" s="2">
        <v>7481</v>
      </c>
      <c r="I5436" s="1" t="s">
        <v>13</v>
      </c>
      <c r="J5436" s="1" t="s">
        <v>13</v>
      </c>
      <c r="K5436" s="1" t="s">
        <v>479</v>
      </c>
      <c r="L5436" s="1" t="s">
        <v>13</v>
      </c>
      <c r="M5436" s="6" t="str">
        <f>_xlfn.CONCAT(Table1[[#This Row],[Billing Street]], ", ", Table1[[#This Row],[Billing City]], ", ", Table1[[#This Row],[Billing State/Province]], ", ", Table1[[#This Row],[Billing Zip/Postal Code]])</f>
        <v xml:space="preserve">, , AZ, </v>
      </c>
    </row>
    <row r="5437" spans="1:13" ht="15.6" hidden="1" x14ac:dyDescent="0.3">
      <c r="A5437" s="1" t="s">
        <v>15564</v>
      </c>
      <c r="B5437" s="1"/>
      <c r="C5437" s="1"/>
      <c r="D5437" s="1"/>
      <c r="E5437" s="1"/>
      <c r="F5437" s="1"/>
      <c r="G5437" s="1" t="s">
        <v>48</v>
      </c>
      <c r="H5437" s="2">
        <v>0</v>
      </c>
      <c r="I5437" s="1" t="s">
        <v>15565</v>
      </c>
      <c r="J5437" s="1" t="s">
        <v>997</v>
      </c>
      <c r="K5437" s="1" t="s">
        <v>15566</v>
      </c>
      <c r="L5437" s="1" t="s">
        <v>3876</v>
      </c>
      <c r="M5437" s="6" t="str">
        <f>_xlfn.CONCAT(Table1[[#This Row],[Billing Street]], ", ", Table1[[#This Row],[Billing City]], ", ", Table1[[#This Row],[Billing State/Province]], ", ", Table1[[#This Row],[Billing Zip/Postal Code]])</f>
        <v>P.O. Box 60700, Lafayette, Louisiana, 70506</v>
      </c>
    </row>
    <row r="5438" spans="1:13" ht="15.6" hidden="1" x14ac:dyDescent="0.3">
      <c r="A5438" s="1" t="s">
        <v>15567</v>
      </c>
      <c r="B5438" s="1"/>
      <c r="C5438" s="1"/>
      <c r="D5438" s="1"/>
      <c r="E5438" s="1"/>
      <c r="F5438" s="1"/>
      <c r="G5438" s="1" t="s">
        <v>48</v>
      </c>
      <c r="H5438" s="2">
        <v>0</v>
      </c>
      <c r="I5438" s="1" t="s">
        <v>15568</v>
      </c>
      <c r="J5438" s="1" t="s">
        <v>8219</v>
      </c>
      <c r="K5438" s="1" t="s">
        <v>152</v>
      </c>
      <c r="L5438" s="1" t="s">
        <v>15569</v>
      </c>
      <c r="M5438" s="6" t="str">
        <f>_xlfn.CONCAT(Table1[[#This Row],[Billing Street]], ", ", Table1[[#This Row],[Billing City]], ", ", Table1[[#This Row],[Billing State/Province]], ", ", Table1[[#This Row],[Billing Zip/Postal Code]])</f>
        <v>1674 Red Brick Road, Dixon, IL, 61021</v>
      </c>
    </row>
    <row r="5439" spans="1:13" ht="15.6" hidden="1" x14ac:dyDescent="0.3">
      <c r="A5439" s="1" t="s">
        <v>15570</v>
      </c>
      <c r="B5439" s="1"/>
      <c r="C5439" s="1"/>
      <c r="D5439" s="1"/>
      <c r="E5439" s="1"/>
      <c r="F5439" s="1"/>
      <c r="G5439" s="1" t="s">
        <v>48</v>
      </c>
      <c r="H5439" s="2">
        <v>0</v>
      </c>
      <c r="I5439" s="1" t="s">
        <v>15571</v>
      </c>
      <c r="J5439" s="1" t="s">
        <v>4692</v>
      </c>
      <c r="K5439" s="1" t="s">
        <v>1135</v>
      </c>
      <c r="L5439" s="1" t="s">
        <v>14113</v>
      </c>
      <c r="M5439" s="6" t="str">
        <f>_xlfn.CONCAT(Table1[[#This Row],[Billing Street]], ", ", Table1[[#This Row],[Billing City]], ", ", Table1[[#This Row],[Billing State/Province]], ", ", Table1[[#This Row],[Billing Zip/Postal Code]])</f>
        <v>1214 Church Street, Nashville, TN, 37246</v>
      </c>
    </row>
    <row r="5440" spans="1:13" ht="15.6" hidden="1" x14ac:dyDescent="0.3">
      <c r="A5440" s="1" t="s">
        <v>15572</v>
      </c>
      <c r="B5440" s="1"/>
      <c r="C5440" s="1"/>
      <c r="D5440" s="1"/>
      <c r="E5440" s="1"/>
      <c r="F5440" s="1"/>
      <c r="G5440" s="1" t="s">
        <v>8</v>
      </c>
      <c r="H5440" s="2">
        <v>6528</v>
      </c>
      <c r="I5440" s="1" t="s">
        <v>13</v>
      </c>
      <c r="J5440" s="1" t="s">
        <v>13</v>
      </c>
      <c r="K5440" s="1" t="s">
        <v>13</v>
      </c>
      <c r="L5440" s="1" t="s">
        <v>13</v>
      </c>
      <c r="M5440" s="6" t="str">
        <f>_xlfn.CONCAT(Table1[[#This Row],[Billing Street]], ", ", Table1[[#This Row],[Billing City]], ", ", Table1[[#This Row],[Billing State/Province]], ", ", Table1[[#This Row],[Billing Zip/Postal Code]])</f>
        <v xml:space="preserve">, , , </v>
      </c>
    </row>
    <row r="5441" spans="1:13" ht="15.6" hidden="1" x14ac:dyDescent="0.3">
      <c r="A5441" s="1" t="s">
        <v>15573</v>
      </c>
      <c r="B5441" s="1"/>
      <c r="C5441" s="1"/>
      <c r="D5441" s="1"/>
      <c r="E5441" s="1"/>
      <c r="F5441" s="1"/>
      <c r="G5441" s="1" t="s">
        <v>48</v>
      </c>
      <c r="H5441" s="2">
        <v>0</v>
      </c>
      <c r="I5441" s="1" t="s">
        <v>15574</v>
      </c>
      <c r="J5441" s="1" t="s">
        <v>637</v>
      </c>
      <c r="K5441" s="1" t="s">
        <v>14283</v>
      </c>
      <c r="L5441" s="1" t="s">
        <v>7717</v>
      </c>
      <c r="M5441" s="6" t="str">
        <f>_xlfn.CONCAT(Table1[[#This Row],[Billing Street]], ", ", Table1[[#This Row],[Billing City]], ", ", Table1[[#This Row],[Billing State/Province]], ", ", Table1[[#This Row],[Billing Zip/Postal Code]])</f>
        <v>1404 Allen St, Jackson, Mississippi, 39201</v>
      </c>
    </row>
    <row r="5442" spans="1:13" ht="15.6" hidden="1" x14ac:dyDescent="0.3">
      <c r="A5442" s="1" t="s">
        <v>15575</v>
      </c>
      <c r="B5442" s="1"/>
      <c r="C5442" s="1"/>
      <c r="D5442" s="1"/>
      <c r="E5442" s="1"/>
      <c r="F5442" s="1"/>
      <c r="G5442" s="1" t="s">
        <v>48</v>
      </c>
      <c r="H5442" s="2">
        <v>0</v>
      </c>
      <c r="I5442" s="1" t="s">
        <v>15576</v>
      </c>
      <c r="J5442" s="1" t="s">
        <v>15577</v>
      </c>
      <c r="K5442" s="1" t="s">
        <v>241</v>
      </c>
      <c r="L5442" s="1" t="s">
        <v>15578</v>
      </c>
      <c r="M5442" s="6" t="str">
        <f>_xlfn.CONCAT(Table1[[#This Row],[Billing Street]], ", ", Table1[[#This Row],[Billing City]], ", ", Table1[[#This Row],[Billing State/Province]], ", ", Table1[[#This Row],[Billing Zip/Postal Code]])</f>
        <v>426 Elm Avenue, North Wales, PA, 19454</v>
      </c>
    </row>
    <row r="5443" spans="1:13" ht="15.6" hidden="1" x14ac:dyDescent="0.3">
      <c r="A5443" s="1" t="s">
        <v>15579</v>
      </c>
      <c r="B5443" s="1"/>
      <c r="C5443" s="1"/>
      <c r="D5443" s="1"/>
      <c r="E5443" s="1"/>
      <c r="F5443" s="1"/>
      <c r="G5443" s="1" t="s">
        <v>48</v>
      </c>
      <c r="H5443" s="2">
        <v>0</v>
      </c>
      <c r="I5443" s="1" t="s">
        <v>15580</v>
      </c>
      <c r="J5443" s="1" t="s">
        <v>15581</v>
      </c>
      <c r="K5443" s="1" t="s">
        <v>26</v>
      </c>
      <c r="L5443" s="1" t="s">
        <v>15582</v>
      </c>
      <c r="M5443" s="6" t="str">
        <f>_xlfn.CONCAT(Table1[[#This Row],[Billing Street]], ", ", Table1[[#This Row],[Billing City]], ", ", Table1[[#This Row],[Billing State/Province]], ", ", Table1[[#This Row],[Billing Zip/Postal Code]])</f>
        <v>517 South Commerce Street, Geneva, AL, 36340</v>
      </c>
    </row>
    <row r="5444" spans="1:13" ht="15.6" hidden="1" x14ac:dyDescent="0.3">
      <c r="A5444" s="1" t="s">
        <v>15583</v>
      </c>
      <c r="B5444" s="1"/>
      <c r="C5444" s="1"/>
      <c r="D5444" s="1"/>
      <c r="E5444" s="1"/>
      <c r="F5444" s="1"/>
      <c r="G5444" s="1" t="s">
        <v>48</v>
      </c>
      <c r="H5444" s="2">
        <v>0</v>
      </c>
      <c r="I5444" s="1" t="s">
        <v>15584</v>
      </c>
      <c r="J5444" s="1" t="s">
        <v>15585</v>
      </c>
      <c r="K5444" s="1" t="s">
        <v>1178</v>
      </c>
      <c r="L5444" s="1" t="s">
        <v>15586</v>
      </c>
      <c r="M5444" s="6" t="str">
        <f>_xlfn.CONCAT(Table1[[#This Row],[Billing Street]], ", ", Table1[[#This Row],[Billing City]], ", ", Table1[[#This Row],[Billing State/Province]], ", ", Table1[[#This Row],[Billing Zip/Postal Code]])</f>
        <v>2100 Oaks Parkway, Belmont, NC, 28012</v>
      </c>
    </row>
    <row r="5445" spans="1:13" ht="15.6" hidden="1" x14ac:dyDescent="0.3">
      <c r="A5445" s="1" t="s">
        <v>15587</v>
      </c>
      <c r="B5445" s="1"/>
      <c r="C5445" s="1"/>
      <c r="D5445" s="1"/>
      <c r="E5445" s="1"/>
      <c r="F5445" s="1"/>
      <c r="G5445" s="1" t="s">
        <v>13</v>
      </c>
      <c r="H5445" s="2">
        <v>0</v>
      </c>
      <c r="I5445" s="1" t="s">
        <v>15588</v>
      </c>
      <c r="J5445" s="1" t="s">
        <v>15589</v>
      </c>
      <c r="K5445" s="1" t="s">
        <v>15590</v>
      </c>
      <c r="L5445" s="1" t="s">
        <v>15591</v>
      </c>
      <c r="M5445" s="6" t="str">
        <f>_xlfn.CONCAT(Table1[[#This Row],[Billing Street]], ", ", Table1[[#This Row],[Billing City]], ", ", Table1[[#This Row],[Billing State/Province]], ", ", Table1[[#This Row],[Billing Zip/Postal Code]])</f>
        <v>1155 Park St, Regina, Saskatchewan, S4N 4Y8</v>
      </c>
    </row>
    <row r="5446" spans="1:13" ht="15.6" hidden="1" x14ac:dyDescent="0.3">
      <c r="A5446" s="1" t="s">
        <v>15592</v>
      </c>
      <c r="B5446" s="1"/>
      <c r="C5446" s="1"/>
      <c r="D5446" s="1"/>
      <c r="E5446" s="1"/>
      <c r="F5446" s="1"/>
      <c r="G5446" s="1" t="s">
        <v>54</v>
      </c>
      <c r="H5446" s="2">
        <v>7</v>
      </c>
      <c r="I5446" s="1" t="s">
        <v>15593</v>
      </c>
      <c r="J5446" s="1" t="s">
        <v>2048</v>
      </c>
      <c r="K5446" s="1" t="s">
        <v>57</v>
      </c>
      <c r="L5446" s="1" t="s">
        <v>15594</v>
      </c>
      <c r="M5446" s="6" t="str">
        <f>_xlfn.CONCAT(Table1[[#This Row],[Billing Street]], ", ", Table1[[#This Row],[Billing City]], ", ", Table1[[#This Row],[Billing State/Province]], ", ", Table1[[#This Row],[Billing Zip/Postal Code]])</f>
        <v>5773 Venice Boulevard, Los Angeles, CA, 90019</v>
      </c>
    </row>
    <row r="5447" spans="1:13" ht="15.6" hidden="1" x14ac:dyDescent="0.3">
      <c r="A5447" s="1" t="s">
        <v>15595</v>
      </c>
      <c r="B5447" s="1"/>
      <c r="C5447" s="1"/>
      <c r="D5447" s="1"/>
      <c r="E5447" s="1"/>
      <c r="F5447" s="1"/>
      <c r="G5447" s="1" t="s">
        <v>54</v>
      </c>
      <c r="H5447" s="2">
        <v>363</v>
      </c>
      <c r="I5447" s="1" t="s">
        <v>15596</v>
      </c>
      <c r="J5447" s="1" t="s">
        <v>4106</v>
      </c>
      <c r="K5447" s="1" t="s">
        <v>57</v>
      </c>
      <c r="L5447" s="1" t="s">
        <v>15597</v>
      </c>
      <c r="M5447" s="6" t="str">
        <f>_xlfn.CONCAT(Table1[[#This Row],[Billing Street]], ", ", Table1[[#This Row],[Billing City]], ", ", Table1[[#This Row],[Billing State/Province]], ", ", Table1[[#This Row],[Billing Zip/Postal Code]])</f>
        <v>1850 Diesel Drive, Sacramento, CA, 95838</v>
      </c>
    </row>
    <row r="5448" spans="1:13" ht="15.6" hidden="1" x14ac:dyDescent="0.3">
      <c r="A5448" s="1" t="s">
        <v>15598</v>
      </c>
      <c r="B5448" s="1"/>
      <c r="C5448" s="1"/>
      <c r="D5448" s="1"/>
      <c r="E5448" s="1"/>
      <c r="F5448" s="1"/>
      <c r="G5448" s="1" t="s">
        <v>8</v>
      </c>
      <c r="H5448" s="2">
        <v>420</v>
      </c>
      <c r="I5448" s="1" t="s">
        <v>15599</v>
      </c>
      <c r="J5448" s="1" t="s">
        <v>5057</v>
      </c>
      <c r="K5448" s="1" t="s">
        <v>51</v>
      </c>
      <c r="L5448" s="1" t="s">
        <v>5058</v>
      </c>
      <c r="M5448" s="6" t="str">
        <f>_xlfn.CONCAT(Table1[[#This Row],[Billing Street]], ", ", Table1[[#This Row],[Billing City]], ", ", Table1[[#This Row],[Billing State/Province]], ", ", Table1[[#This Row],[Billing Zip/Postal Code]])</f>
        <v>1923 U.S. Highway 287 West, Corrigan, TX, 75939</v>
      </c>
    </row>
    <row r="5449" spans="1:13" ht="15.6" hidden="1" x14ac:dyDescent="0.3">
      <c r="A5449" s="1" t="s">
        <v>15600</v>
      </c>
      <c r="B5449" s="1"/>
      <c r="C5449" s="1"/>
      <c r="D5449" s="1"/>
      <c r="E5449" s="1"/>
      <c r="F5449" s="1"/>
      <c r="G5449" s="1" t="s">
        <v>205</v>
      </c>
      <c r="H5449" s="2">
        <v>15</v>
      </c>
      <c r="I5449" s="1" t="s">
        <v>15601</v>
      </c>
      <c r="J5449" s="1" t="s">
        <v>478</v>
      </c>
      <c r="K5449" s="1" t="s">
        <v>479</v>
      </c>
      <c r="L5449" s="1" t="s">
        <v>8284</v>
      </c>
      <c r="M5449" s="6" t="str">
        <f>_xlfn.CONCAT(Table1[[#This Row],[Billing Street]], ", ", Table1[[#This Row],[Billing City]], ", ", Table1[[#This Row],[Billing State/Province]], ", ", Table1[[#This Row],[Billing Zip/Postal Code]])</f>
        <v>309 E. 10th Drive, Mesa, AZ, 85210</v>
      </c>
    </row>
    <row r="5450" spans="1:13" ht="15.6" hidden="1" x14ac:dyDescent="0.3">
      <c r="A5450" s="1" t="s">
        <v>15602</v>
      </c>
      <c r="B5450" s="1"/>
      <c r="C5450" s="1"/>
      <c r="D5450" s="1"/>
      <c r="E5450" s="1"/>
      <c r="F5450" s="1"/>
      <c r="G5450" s="1" t="s">
        <v>13</v>
      </c>
      <c r="H5450" s="2">
        <v>0</v>
      </c>
      <c r="I5450" s="1" t="s">
        <v>13</v>
      </c>
      <c r="J5450" s="1" t="s">
        <v>13</v>
      </c>
      <c r="K5450" s="1" t="s">
        <v>13</v>
      </c>
      <c r="L5450" s="1" t="s">
        <v>13</v>
      </c>
      <c r="M5450" s="6" t="str">
        <f>_xlfn.CONCAT(Table1[[#This Row],[Billing Street]], ", ", Table1[[#This Row],[Billing City]], ", ", Table1[[#This Row],[Billing State/Province]], ", ", Table1[[#This Row],[Billing Zip/Postal Code]])</f>
        <v xml:space="preserve">, , , </v>
      </c>
    </row>
    <row r="5451" spans="1:13" ht="15.6" hidden="1" x14ac:dyDescent="0.3">
      <c r="A5451" s="1" t="s">
        <v>15603</v>
      </c>
      <c r="B5451" s="1"/>
      <c r="C5451" s="1"/>
      <c r="D5451" s="1"/>
      <c r="E5451" s="1"/>
      <c r="F5451" s="1"/>
      <c r="G5451" s="1" t="s">
        <v>8</v>
      </c>
      <c r="H5451" s="2">
        <v>251</v>
      </c>
      <c r="I5451" s="1" t="s">
        <v>15604</v>
      </c>
      <c r="J5451" s="1" t="s">
        <v>1305</v>
      </c>
      <c r="K5451" s="1" t="s">
        <v>165</v>
      </c>
      <c r="L5451" s="1" t="s">
        <v>6245</v>
      </c>
      <c r="M5451" s="6" t="str">
        <f>_xlfn.CONCAT(Table1[[#This Row],[Billing Street]], ", ", Table1[[#This Row],[Billing City]], ", ", Table1[[#This Row],[Billing State/Province]], ", ", Table1[[#This Row],[Billing Zip/Postal Code]])</f>
        <v>5001 Thibault Rd. Bldg A, Little Rock, AR, 72206</v>
      </c>
    </row>
    <row r="5452" spans="1:13" ht="15.6" x14ac:dyDescent="0.3">
      <c r="A5452" s="1" t="s">
        <v>15605</v>
      </c>
      <c r="B5452" s="1"/>
      <c r="C5452" s="1"/>
      <c r="D5452" s="1"/>
      <c r="E5452" s="1"/>
      <c r="F5452" s="1"/>
      <c r="G5452" s="1" t="s">
        <v>24</v>
      </c>
      <c r="H5452" s="2">
        <v>293</v>
      </c>
      <c r="I5452" s="1" t="s">
        <v>15606</v>
      </c>
      <c r="J5452" s="1" t="s">
        <v>15607</v>
      </c>
      <c r="K5452" s="1" t="s">
        <v>577</v>
      </c>
      <c r="L5452" s="1" t="s">
        <v>15608</v>
      </c>
      <c r="M5452" s="6" t="str">
        <f>_xlfn.CONCAT(Table1[[#This Row],[Billing Street]], ", ", Table1[[#This Row],[Billing City]], ", ", Table1[[#This Row],[Billing State/Province]], ", ", Table1[[#This Row],[Billing Zip/Postal Code]])</f>
        <v>P. O BOX 270, Donaldsonville, LA, 70346</v>
      </c>
    </row>
    <row r="5453" spans="1:13" ht="15.6" hidden="1" x14ac:dyDescent="0.3">
      <c r="A5453" s="1" t="s">
        <v>15609</v>
      </c>
      <c r="B5453" s="1"/>
      <c r="C5453" s="1"/>
      <c r="D5453" s="1"/>
      <c r="E5453" s="1"/>
      <c r="F5453" s="1"/>
      <c r="G5453" s="1" t="s">
        <v>43</v>
      </c>
      <c r="H5453" s="2">
        <v>116</v>
      </c>
      <c r="I5453" s="1" t="s">
        <v>15610</v>
      </c>
      <c r="J5453" s="1" t="s">
        <v>1770</v>
      </c>
      <c r="K5453" s="1" t="s">
        <v>45</v>
      </c>
      <c r="L5453" s="1" t="s">
        <v>1771</v>
      </c>
      <c r="M5453" s="6" t="str">
        <f>_xlfn.CONCAT(Table1[[#This Row],[Billing Street]], ", ", Table1[[#This Row],[Billing City]], ", ", Table1[[#This Row],[Billing State/Province]], ", ", Table1[[#This Row],[Billing Zip/Postal Code]])</f>
        <v>539 South Main Street, Findlay, OH, 45840</v>
      </c>
    </row>
    <row r="5454" spans="1:13" ht="15.6" hidden="1" x14ac:dyDescent="0.3">
      <c r="A5454" s="1" t="s">
        <v>15611</v>
      </c>
      <c r="B5454" s="1"/>
      <c r="C5454" s="1"/>
      <c r="D5454" s="1"/>
      <c r="E5454" s="1"/>
      <c r="F5454" s="1"/>
      <c r="G5454" s="1" t="s">
        <v>8</v>
      </c>
      <c r="H5454" s="2">
        <v>393</v>
      </c>
      <c r="I5454" s="1" t="s">
        <v>6144</v>
      </c>
      <c r="J5454" s="1" t="s">
        <v>4486</v>
      </c>
      <c r="K5454" s="1" t="s">
        <v>4343</v>
      </c>
      <c r="L5454" s="1" t="s">
        <v>4487</v>
      </c>
      <c r="M5454" s="6" t="str">
        <f>_xlfn.CONCAT(Table1[[#This Row],[Billing Street]], ", ", Table1[[#This Row],[Billing City]], ", ", Table1[[#This Row],[Billing State/Province]], ", ", Table1[[#This Row],[Billing Zip/Postal Code]])</f>
        <v>7711 Imperial Dr, Waco, Texas, 76712</v>
      </c>
    </row>
    <row r="5455" spans="1:13" ht="15.6" hidden="1" x14ac:dyDescent="0.3">
      <c r="A5455" s="1" t="s">
        <v>15612</v>
      </c>
      <c r="B5455" s="1"/>
      <c r="C5455" s="1"/>
      <c r="D5455" s="1"/>
      <c r="E5455" s="1"/>
      <c r="F5455" s="1"/>
      <c r="G5455" s="1" t="s">
        <v>54</v>
      </c>
      <c r="H5455" s="2">
        <v>16</v>
      </c>
      <c r="I5455" s="1" t="s">
        <v>15613</v>
      </c>
      <c r="J5455" s="1" t="s">
        <v>13026</v>
      </c>
      <c r="K5455" s="1" t="s">
        <v>57</v>
      </c>
      <c r="L5455" s="1" t="s">
        <v>15614</v>
      </c>
      <c r="M5455" s="6" t="str">
        <f>_xlfn.CONCAT(Table1[[#This Row],[Billing Street]], ", ", Table1[[#This Row],[Billing City]], ", ", Table1[[#This Row],[Billing State/Province]], ", ", Table1[[#This Row],[Billing Zip/Postal Code]])</f>
        <v>22115 South Vermont Avenue, Torrance, CA, 90502</v>
      </c>
    </row>
    <row r="5456" spans="1:13" ht="15.6" hidden="1" x14ac:dyDescent="0.3">
      <c r="A5456" s="1" t="s">
        <v>15615</v>
      </c>
      <c r="B5456" s="1"/>
      <c r="C5456" s="1"/>
      <c r="D5456" s="1"/>
      <c r="E5456" s="1"/>
      <c r="F5456" s="1"/>
      <c r="G5456" s="1" t="s">
        <v>43</v>
      </c>
      <c r="H5456" s="2">
        <v>35</v>
      </c>
      <c r="I5456" s="1" t="s">
        <v>15616</v>
      </c>
      <c r="J5456" s="1" t="s">
        <v>1089</v>
      </c>
      <c r="K5456" s="1" t="s">
        <v>45</v>
      </c>
      <c r="L5456" s="1" t="s">
        <v>15617</v>
      </c>
      <c r="M5456" s="6" t="str">
        <f>_xlfn.CONCAT(Table1[[#This Row],[Billing Street]], ", ", Table1[[#This Row],[Billing City]], ", ", Table1[[#This Row],[Billing State/Province]], ", ", Table1[[#This Row],[Billing Zip/Postal Code]])</f>
        <v>312 Bank Street, Lodi, OH, 44254</v>
      </c>
    </row>
    <row r="5457" spans="1:13" ht="15.6" hidden="1" x14ac:dyDescent="0.3">
      <c r="A5457" s="1" t="s">
        <v>15618</v>
      </c>
      <c r="B5457" s="1"/>
      <c r="C5457" s="1"/>
      <c r="D5457" s="1"/>
      <c r="E5457" s="1"/>
      <c r="F5457" s="1"/>
      <c r="G5457" s="1" t="s">
        <v>13</v>
      </c>
      <c r="H5457" s="2">
        <v>0</v>
      </c>
      <c r="I5457" s="1" t="s">
        <v>13</v>
      </c>
      <c r="J5457" s="1" t="s">
        <v>13</v>
      </c>
      <c r="K5457" s="1" t="s">
        <v>13</v>
      </c>
      <c r="L5457" s="1" t="s">
        <v>13</v>
      </c>
      <c r="M5457" s="6" t="str">
        <f>_xlfn.CONCAT(Table1[[#This Row],[Billing Street]], ", ", Table1[[#This Row],[Billing City]], ", ", Table1[[#This Row],[Billing State/Province]], ", ", Table1[[#This Row],[Billing Zip/Postal Code]])</f>
        <v xml:space="preserve">, , , </v>
      </c>
    </row>
    <row r="5458" spans="1:13" ht="15.6" hidden="1" x14ac:dyDescent="0.3">
      <c r="A5458" s="1" t="s">
        <v>15619</v>
      </c>
      <c r="B5458" s="1"/>
      <c r="C5458" s="1"/>
      <c r="D5458" s="1"/>
      <c r="E5458" s="1"/>
      <c r="F5458" s="1"/>
      <c r="G5458" s="1" t="s">
        <v>43</v>
      </c>
      <c r="H5458" s="2">
        <v>319</v>
      </c>
      <c r="I5458" s="1" t="s">
        <v>15620</v>
      </c>
      <c r="J5458" s="1" t="s">
        <v>15621</v>
      </c>
      <c r="K5458" s="1" t="s">
        <v>241</v>
      </c>
      <c r="L5458" s="1" t="s">
        <v>15622</v>
      </c>
      <c r="M5458" s="6" t="str">
        <f>_xlfn.CONCAT(Table1[[#This Row],[Billing Street]], ", ", Table1[[#This Row],[Billing City]], ", ", Table1[[#This Row],[Billing State/Province]], ", ", Table1[[#This Row],[Billing Zip/Postal Code]])</f>
        <v>303 Big Road, Zieglerville, PA, 19492</v>
      </c>
    </row>
    <row r="5459" spans="1:13" ht="15.6" hidden="1" x14ac:dyDescent="0.3">
      <c r="A5459" s="1" t="s">
        <v>15623</v>
      </c>
      <c r="B5459" s="1"/>
      <c r="C5459" s="1"/>
      <c r="D5459" s="1"/>
      <c r="E5459" s="1"/>
      <c r="F5459" s="1"/>
      <c r="G5459" s="1" t="s">
        <v>205</v>
      </c>
      <c r="H5459" s="2">
        <v>503</v>
      </c>
      <c r="I5459" s="1" t="s">
        <v>15624</v>
      </c>
      <c r="J5459" s="1" t="s">
        <v>2399</v>
      </c>
      <c r="K5459" s="1" t="s">
        <v>472</v>
      </c>
      <c r="L5459" s="1" t="s">
        <v>15625</v>
      </c>
      <c r="M5459" s="6" t="str">
        <f>_xlfn.CONCAT(Table1[[#This Row],[Billing Street]], ", ", Table1[[#This Row],[Billing City]], ", ", Table1[[#This Row],[Billing State/Province]], ", ", Table1[[#This Row],[Billing Zip/Postal Code]])</f>
        <v>3692 2100 South, Salt Lake City, UT, 84120</v>
      </c>
    </row>
    <row r="5460" spans="1:13" ht="15.6" hidden="1" x14ac:dyDescent="0.3">
      <c r="A5460" s="1" t="s">
        <v>15626</v>
      </c>
      <c r="B5460" s="1"/>
      <c r="C5460" s="1"/>
      <c r="D5460" s="1"/>
      <c r="E5460" s="1"/>
      <c r="F5460" s="1"/>
      <c r="G5460" s="1" t="s">
        <v>13</v>
      </c>
      <c r="H5460" s="2">
        <v>0</v>
      </c>
      <c r="I5460" s="1" t="s">
        <v>13</v>
      </c>
      <c r="J5460" s="1" t="s">
        <v>13</v>
      </c>
      <c r="K5460" s="1" t="s">
        <v>13</v>
      </c>
      <c r="L5460" s="1" t="s">
        <v>13</v>
      </c>
      <c r="M5460" s="6" t="str">
        <f>_xlfn.CONCAT(Table1[[#This Row],[Billing Street]], ", ", Table1[[#This Row],[Billing City]], ", ", Table1[[#This Row],[Billing State/Province]], ", ", Table1[[#This Row],[Billing Zip/Postal Code]])</f>
        <v xml:space="preserve">, , , </v>
      </c>
    </row>
    <row r="5461" spans="1:13" ht="15.6" hidden="1" x14ac:dyDescent="0.3">
      <c r="A5461" s="1" t="s">
        <v>15627</v>
      </c>
      <c r="B5461" s="1"/>
      <c r="C5461" s="1"/>
      <c r="D5461" s="1"/>
      <c r="E5461" s="1"/>
      <c r="F5461" s="1"/>
      <c r="G5461" s="1" t="s">
        <v>8</v>
      </c>
      <c r="H5461" s="2">
        <v>130</v>
      </c>
      <c r="I5461" s="1" t="s">
        <v>15628</v>
      </c>
      <c r="J5461" s="1" t="s">
        <v>9007</v>
      </c>
      <c r="K5461" s="1" t="s">
        <v>147</v>
      </c>
      <c r="L5461" s="1" t="s">
        <v>9008</v>
      </c>
      <c r="M5461" s="6" t="str">
        <f>_xlfn.CONCAT(Table1[[#This Row],[Billing Street]], ", ", Table1[[#This Row],[Billing City]], ", ", Table1[[#This Row],[Billing State/Province]], ", ", Table1[[#This Row],[Billing Zip/Postal Code]])</f>
        <v>30423 S. County Road 4415, Stigler, OK, 74462</v>
      </c>
    </row>
    <row r="5462" spans="1:13" ht="15.6" hidden="1" x14ac:dyDescent="0.3">
      <c r="A5462" s="1" t="s">
        <v>15629</v>
      </c>
      <c r="B5462" s="1"/>
      <c r="C5462" s="1"/>
      <c r="D5462" s="1"/>
      <c r="E5462" s="1"/>
      <c r="F5462" s="1"/>
      <c r="G5462" s="1" t="s">
        <v>43</v>
      </c>
      <c r="H5462" s="2">
        <v>36</v>
      </c>
      <c r="I5462" s="1" t="s">
        <v>15630</v>
      </c>
      <c r="J5462" s="1" t="s">
        <v>1940</v>
      </c>
      <c r="K5462" s="1" t="s">
        <v>45</v>
      </c>
      <c r="L5462" s="1" t="s">
        <v>15631</v>
      </c>
      <c r="M5462" s="6" t="str">
        <f>_xlfn.CONCAT(Table1[[#This Row],[Billing Street]], ", ", Table1[[#This Row],[Billing City]], ", ", Table1[[#This Row],[Billing State/Province]], ", ", Table1[[#This Row],[Billing Zip/Postal Code]])</f>
        <v>831 Market Ave N., Canton, OH, 44702</v>
      </c>
    </row>
    <row r="5463" spans="1:13" ht="15.6" x14ac:dyDescent="0.3">
      <c r="A5463" s="1" t="s">
        <v>15632</v>
      </c>
      <c r="B5463" s="1"/>
      <c r="C5463" s="1"/>
      <c r="D5463" s="1"/>
      <c r="E5463" s="1"/>
      <c r="F5463" s="1"/>
      <c r="G5463" s="1" t="s">
        <v>24</v>
      </c>
      <c r="H5463" s="2">
        <v>5988</v>
      </c>
      <c r="I5463" s="1" t="s">
        <v>13</v>
      </c>
      <c r="J5463" s="1" t="s">
        <v>13</v>
      </c>
      <c r="K5463" s="1" t="s">
        <v>13</v>
      </c>
      <c r="L5463" s="1" t="s">
        <v>13</v>
      </c>
      <c r="M5463" s="6" t="str">
        <f>_xlfn.CONCAT(Table1[[#This Row],[Billing Street]], ", ", Table1[[#This Row],[Billing City]], ", ", Table1[[#This Row],[Billing State/Province]], ", ", Table1[[#This Row],[Billing Zip/Postal Code]])</f>
        <v xml:space="preserve">, , , </v>
      </c>
    </row>
    <row r="5464" spans="1:13" ht="15.6" hidden="1" x14ac:dyDescent="0.3">
      <c r="A5464" s="1" t="s">
        <v>15633</v>
      </c>
      <c r="B5464" s="1"/>
      <c r="C5464" s="1"/>
      <c r="D5464" s="1"/>
      <c r="E5464" s="1"/>
      <c r="F5464" s="1"/>
      <c r="G5464" s="1" t="s">
        <v>13</v>
      </c>
      <c r="H5464" s="2">
        <v>0</v>
      </c>
      <c r="I5464" s="1" t="s">
        <v>13</v>
      </c>
      <c r="J5464" s="1" t="s">
        <v>13</v>
      </c>
      <c r="K5464" s="1" t="s">
        <v>13</v>
      </c>
      <c r="L5464" s="1" t="s">
        <v>13</v>
      </c>
      <c r="M5464" s="6" t="str">
        <f>_xlfn.CONCAT(Table1[[#This Row],[Billing Street]], ", ", Table1[[#This Row],[Billing City]], ", ", Table1[[#This Row],[Billing State/Province]], ", ", Table1[[#This Row],[Billing Zip/Postal Code]])</f>
        <v xml:space="preserve">, , , </v>
      </c>
    </row>
    <row r="5465" spans="1:13" ht="15.6" hidden="1" x14ac:dyDescent="0.3">
      <c r="A5465" s="1" t="s">
        <v>15634</v>
      </c>
      <c r="B5465" s="1"/>
      <c r="C5465" s="1"/>
      <c r="D5465" s="1"/>
      <c r="E5465" s="1"/>
      <c r="F5465" s="1"/>
      <c r="G5465" s="1" t="s">
        <v>43</v>
      </c>
      <c r="H5465" s="2">
        <v>5776</v>
      </c>
      <c r="I5465" s="1" t="s">
        <v>15635</v>
      </c>
      <c r="J5465" s="1" t="s">
        <v>15636</v>
      </c>
      <c r="K5465" s="1" t="s">
        <v>10050</v>
      </c>
      <c r="L5465" s="1" t="s">
        <v>15637</v>
      </c>
      <c r="M5465" s="6" t="str">
        <f>_xlfn.CONCAT(Table1[[#This Row],[Billing Street]], ", ", Table1[[#This Row],[Billing City]], ", ", Table1[[#This Row],[Billing State/Province]], ", ", Table1[[#This Row],[Billing Zip/Postal Code]])</f>
        <v>7877579000, Carolina, PR, 00984</v>
      </c>
    </row>
    <row r="5466" spans="1:13" ht="15.6" hidden="1" x14ac:dyDescent="0.3">
      <c r="A5466" s="1" t="s">
        <v>15638</v>
      </c>
      <c r="B5466" s="1"/>
      <c r="C5466" s="1"/>
      <c r="D5466" s="1"/>
      <c r="E5466" s="1"/>
      <c r="F5466" s="1"/>
      <c r="G5466" s="1" t="s">
        <v>205</v>
      </c>
      <c r="H5466" s="2">
        <v>589</v>
      </c>
      <c r="I5466" s="1" t="s">
        <v>9074</v>
      </c>
      <c r="J5466" s="1" t="s">
        <v>6047</v>
      </c>
      <c r="K5466" s="1" t="s">
        <v>4343</v>
      </c>
      <c r="L5466" s="1" t="s">
        <v>9075</v>
      </c>
      <c r="M5466" s="6" t="str">
        <f>_xlfn.CONCAT(Table1[[#This Row],[Billing Street]], ", ", Table1[[#This Row],[Billing City]], ", ", Table1[[#This Row],[Billing State/Province]], ", ", Table1[[#This Row],[Billing Zip/Postal Code]])</f>
        <v>3623 Interstate 27, Lubbock, Texas, 79404</v>
      </c>
    </row>
    <row r="5467" spans="1:13" ht="15.6" x14ac:dyDescent="0.3">
      <c r="A5467" s="1" t="s">
        <v>15639</v>
      </c>
      <c r="B5467" s="1"/>
      <c r="C5467" s="1"/>
      <c r="D5467" s="1"/>
      <c r="E5467" s="1"/>
      <c r="F5467" s="1"/>
      <c r="G5467" s="1" t="s">
        <v>24</v>
      </c>
      <c r="H5467" s="2">
        <v>154</v>
      </c>
      <c r="I5467" s="1" t="s">
        <v>15640</v>
      </c>
      <c r="J5467" s="1" t="s">
        <v>542</v>
      </c>
      <c r="K5467" s="1" t="s">
        <v>26</v>
      </c>
      <c r="L5467" s="1" t="s">
        <v>2045</v>
      </c>
      <c r="M5467" s="6" t="str">
        <f>_xlfn.CONCAT(Table1[[#This Row],[Billing Street]], ", ", Table1[[#This Row],[Billing City]], ", ", Table1[[#This Row],[Billing State/Province]], ", ", Table1[[#This Row],[Billing Zip/Postal Code]])</f>
        <v>4 Court Square, Alexander City, AL, 35010</v>
      </c>
    </row>
    <row r="5468" spans="1:13" ht="15.6" hidden="1" x14ac:dyDescent="0.3">
      <c r="A5468" s="1" t="s">
        <v>15641</v>
      </c>
      <c r="B5468" s="1"/>
      <c r="C5468" s="1"/>
      <c r="D5468" s="1"/>
      <c r="E5468" s="1"/>
      <c r="F5468" s="1"/>
      <c r="G5468" s="1" t="s">
        <v>13</v>
      </c>
      <c r="H5468" s="2">
        <v>0</v>
      </c>
      <c r="I5468" s="1" t="s">
        <v>13</v>
      </c>
      <c r="J5468" s="1" t="s">
        <v>13</v>
      </c>
      <c r="K5468" s="1" t="s">
        <v>13</v>
      </c>
      <c r="L5468" s="1" t="s">
        <v>13</v>
      </c>
      <c r="M5468" s="6" t="str">
        <f>_xlfn.CONCAT(Table1[[#This Row],[Billing Street]], ", ", Table1[[#This Row],[Billing City]], ", ", Table1[[#This Row],[Billing State/Province]], ", ", Table1[[#This Row],[Billing Zip/Postal Code]])</f>
        <v xml:space="preserve">, , , </v>
      </c>
    </row>
    <row r="5469" spans="1:13" ht="15.6" hidden="1" x14ac:dyDescent="0.3">
      <c r="A5469" s="1" t="s">
        <v>15642</v>
      </c>
      <c r="B5469" s="1"/>
      <c r="C5469" s="1"/>
      <c r="D5469" s="1"/>
      <c r="E5469" s="1"/>
      <c r="F5469" s="1"/>
      <c r="G5469" s="1" t="s">
        <v>13</v>
      </c>
      <c r="H5469" s="2">
        <v>0</v>
      </c>
      <c r="I5469" s="1" t="s">
        <v>13</v>
      </c>
      <c r="J5469" s="1" t="s">
        <v>13</v>
      </c>
      <c r="K5469" s="1" t="s">
        <v>13</v>
      </c>
      <c r="L5469" s="1" t="s">
        <v>13</v>
      </c>
      <c r="M5469" s="6" t="str">
        <f>_xlfn.CONCAT(Table1[[#This Row],[Billing Street]], ", ", Table1[[#This Row],[Billing City]], ", ", Table1[[#This Row],[Billing State/Province]], ", ", Table1[[#This Row],[Billing Zip/Postal Code]])</f>
        <v xml:space="preserve">, , , </v>
      </c>
    </row>
    <row r="5470" spans="1:13" ht="15.6" hidden="1" x14ac:dyDescent="0.3">
      <c r="A5470" s="1" t="s">
        <v>15643</v>
      </c>
      <c r="B5470" s="1"/>
      <c r="C5470" s="1"/>
      <c r="D5470" s="1"/>
      <c r="E5470" s="1"/>
      <c r="F5470" s="1"/>
      <c r="G5470" s="1" t="s">
        <v>205</v>
      </c>
      <c r="H5470" s="2">
        <v>420</v>
      </c>
      <c r="I5470" s="1" t="s">
        <v>15644</v>
      </c>
      <c r="J5470" s="1" t="s">
        <v>888</v>
      </c>
      <c r="K5470" s="1" t="s">
        <v>15645</v>
      </c>
      <c r="L5470" s="1" t="s">
        <v>15646</v>
      </c>
      <c r="M5470" s="6" t="str">
        <f>_xlfn.CONCAT(Table1[[#This Row],[Billing Street]], ", ", Table1[[#This Row],[Billing City]], ", ", Table1[[#This Row],[Billing State/Province]], ", ", Table1[[#This Row],[Billing Zip/Postal Code]])</f>
        <v>850 W Brush Wellman Rd, Delta, Utah, 84624</v>
      </c>
    </row>
    <row r="5471" spans="1:13" ht="15.6" hidden="1" x14ac:dyDescent="0.3">
      <c r="A5471" s="1" t="s">
        <v>15647</v>
      </c>
      <c r="B5471" s="1"/>
      <c r="C5471" s="1"/>
      <c r="D5471" s="1"/>
      <c r="E5471" s="1"/>
      <c r="F5471" s="1"/>
      <c r="G5471" s="1" t="s">
        <v>13</v>
      </c>
      <c r="H5471" s="2">
        <v>0</v>
      </c>
      <c r="I5471" s="1" t="s">
        <v>13</v>
      </c>
      <c r="J5471" s="1" t="s">
        <v>13</v>
      </c>
      <c r="K5471" s="1" t="s">
        <v>13</v>
      </c>
      <c r="L5471" s="1" t="s">
        <v>13</v>
      </c>
      <c r="M5471" s="6" t="str">
        <f>_xlfn.CONCAT(Table1[[#This Row],[Billing Street]], ", ", Table1[[#This Row],[Billing City]], ", ", Table1[[#This Row],[Billing State/Province]], ", ", Table1[[#This Row],[Billing Zip/Postal Code]])</f>
        <v xml:space="preserve">, , , </v>
      </c>
    </row>
    <row r="5472" spans="1:13" ht="15.6" hidden="1" x14ac:dyDescent="0.3">
      <c r="A5472" s="1" t="s">
        <v>15648</v>
      </c>
      <c r="B5472" s="1"/>
      <c r="C5472" s="1"/>
      <c r="D5472" s="1"/>
      <c r="E5472" s="1"/>
      <c r="F5472" s="1"/>
      <c r="G5472" s="1" t="s">
        <v>48</v>
      </c>
      <c r="H5472" s="2">
        <v>0</v>
      </c>
      <c r="I5472" s="1" t="s">
        <v>15649</v>
      </c>
      <c r="J5472" s="1" t="s">
        <v>860</v>
      </c>
      <c r="K5472" s="1" t="s">
        <v>14283</v>
      </c>
      <c r="L5472" s="1" t="s">
        <v>6690</v>
      </c>
      <c r="M5472" s="6" t="str">
        <f>_xlfn.CONCAT(Table1[[#This Row],[Billing Street]], ", ", Table1[[#This Row],[Billing City]], ", ", Table1[[#This Row],[Billing State/Province]], ", ", Table1[[#This Row],[Billing Zip/Postal Code]])</f>
        <v>101 Wright Pl, Greenwood, Mississippi, 38930</v>
      </c>
    </row>
    <row r="5473" spans="1:13" ht="15.6" x14ac:dyDescent="0.3">
      <c r="A5473" s="1" t="s">
        <v>15650</v>
      </c>
      <c r="B5473" s="1"/>
      <c r="C5473" s="1"/>
      <c r="D5473" s="1"/>
      <c r="E5473" s="1"/>
      <c r="F5473" s="1"/>
      <c r="G5473" s="1" t="s">
        <v>24</v>
      </c>
      <c r="H5473" s="2">
        <v>263</v>
      </c>
      <c r="I5473" s="1" t="s">
        <v>15651</v>
      </c>
      <c r="J5473" s="1" t="s">
        <v>637</v>
      </c>
      <c r="K5473" s="1" t="s">
        <v>31</v>
      </c>
      <c r="L5473" s="1" t="s">
        <v>7717</v>
      </c>
      <c r="M5473" s="6" t="str">
        <f>_xlfn.CONCAT(Table1[[#This Row],[Billing Street]], ", ", Table1[[#This Row],[Billing City]], ", ", Table1[[#This Row],[Billing State/Province]], ", ", Table1[[#This Row],[Billing Zip/Postal Code]])</f>
        <v>835 South West Street, Jackson, MS, 39201</v>
      </c>
    </row>
    <row r="5474" spans="1:13" ht="15.6" hidden="1" x14ac:dyDescent="0.3">
      <c r="A5474" s="1" t="s">
        <v>15652</v>
      </c>
      <c r="B5474" s="1"/>
      <c r="C5474" s="1"/>
      <c r="D5474" s="1"/>
      <c r="E5474" s="1"/>
      <c r="F5474" s="1"/>
      <c r="G5474" s="1" t="s">
        <v>48</v>
      </c>
      <c r="H5474" s="2">
        <v>0</v>
      </c>
      <c r="I5474" s="1" t="s">
        <v>15653</v>
      </c>
      <c r="J5474" s="1" t="s">
        <v>625</v>
      </c>
      <c r="K5474" s="1" t="s">
        <v>4343</v>
      </c>
      <c r="L5474" s="1" t="s">
        <v>15654</v>
      </c>
      <c r="M5474" s="6" t="str">
        <f>_xlfn.CONCAT(Table1[[#This Row],[Billing Street]], ", ", Table1[[#This Row],[Billing City]], ", ", Table1[[#This Row],[Billing State/Province]], ", ", Table1[[#This Row],[Billing Zip/Postal Code]])</f>
        <v>P.O. Box 540545, Dallas, Texas, 77354</v>
      </c>
    </row>
    <row r="5475" spans="1:13" ht="15.6" hidden="1" x14ac:dyDescent="0.3">
      <c r="A5475" s="1" t="s">
        <v>15655</v>
      </c>
      <c r="B5475" s="1"/>
      <c r="C5475" s="1"/>
      <c r="D5475" s="1"/>
      <c r="E5475" s="1"/>
      <c r="F5475" s="1"/>
      <c r="G5475" s="1" t="s">
        <v>205</v>
      </c>
      <c r="H5475" s="2">
        <v>621</v>
      </c>
      <c r="I5475" s="1" t="s">
        <v>15656</v>
      </c>
      <c r="J5475" s="1" t="s">
        <v>15657</v>
      </c>
      <c r="K5475" s="1" t="s">
        <v>208</v>
      </c>
      <c r="L5475" s="1" t="s">
        <v>15658</v>
      </c>
      <c r="M5475" s="6" t="str">
        <f>_xlfn.CONCAT(Table1[[#This Row],[Billing Street]], ", ", Table1[[#This Row],[Billing City]], ", ", Table1[[#This Row],[Billing State/Province]], ", ", Table1[[#This Row],[Billing Zip/Postal Code]])</f>
        <v>PO BOX 359, Keenesburg, CO, 80643</v>
      </c>
    </row>
    <row r="5476" spans="1:13" ht="15.6" hidden="1" x14ac:dyDescent="0.3">
      <c r="A5476" s="1" t="s">
        <v>15659</v>
      </c>
      <c r="B5476" s="1"/>
      <c r="C5476" s="1"/>
      <c r="D5476" s="1"/>
      <c r="E5476" s="1"/>
      <c r="F5476" s="1"/>
      <c r="G5476" s="1" t="s">
        <v>43</v>
      </c>
      <c r="H5476" s="2">
        <v>374</v>
      </c>
      <c r="I5476" s="1" t="s">
        <v>15660</v>
      </c>
      <c r="J5476" s="1" t="s">
        <v>418</v>
      </c>
      <c r="K5476" s="1" t="s">
        <v>720</v>
      </c>
      <c r="L5476" s="1" t="s">
        <v>15661</v>
      </c>
      <c r="M5476" s="6" t="str">
        <f>_xlfn.CONCAT(Table1[[#This Row],[Billing Street]], ", ", Table1[[#This Row],[Billing City]], ", ", Table1[[#This Row],[Billing State/Province]], ", ", Table1[[#This Row],[Billing Zip/Postal Code]])</f>
        <v>PO Box 826, Springfield, NJ, 07081</v>
      </c>
    </row>
    <row r="5477" spans="1:13" ht="15.6" hidden="1" x14ac:dyDescent="0.3">
      <c r="A5477" s="1" t="s">
        <v>15662</v>
      </c>
      <c r="B5477" s="1"/>
      <c r="C5477" s="1"/>
      <c r="D5477" s="1"/>
      <c r="E5477" s="1"/>
      <c r="F5477" s="1"/>
      <c r="G5477" s="1" t="s">
        <v>48</v>
      </c>
      <c r="H5477" s="2">
        <v>0</v>
      </c>
      <c r="I5477" s="1" t="s">
        <v>15663</v>
      </c>
      <c r="J5477" s="1" t="s">
        <v>7772</v>
      </c>
      <c r="K5477" s="1" t="s">
        <v>82</v>
      </c>
      <c r="L5477" s="1" t="s">
        <v>15664</v>
      </c>
      <c r="M5477" s="6" t="str">
        <f>_xlfn.CONCAT(Table1[[#This Row],[Billing Street]], ", ", Table1[[#This Row],[Billing City]], ", ", Table1[[#This Row],[Billing State/Province]], ", ", Table1[[#This Row],[Billing Zip/Postal Code]])</f>
        <v>24371 Catherine Industrial Drive, Novi, MI, 48375</v>
      </c>
    </row>
    <row r="5478" spans="1:13" ht="15.6" hidden="1" x14ac:dyDescent="0.3">
      <c r="A5478" s="1" t="s">
        <v>15665</v>
      </c>
      <c r="B5478" s="1"/>
      <c r="C5478" s="1"/>
      <c r="D5478" s="1"/>
      <c r="E5478" s="1"/>
      <c r="F5478" s="1"/>
      <c r="G5478" s="1" t="s">
        <v>13</v>
      </c>
      <c r="H5478" s="2">
        <v>0</v>
      </c>
      <c r="I5478" s="1" t="s">
        <v>13</v>
      </c>
      <c r="J5478" s="1" t="s">
        <v>13</v>
      </c>
      <c r="K5478" s="1" t="s">
        <v>13</v>
      </c>
      <c r="L5478" s="1" t="s">
        <v>13</v>
      </c>
      <c r="M5478" s="6" t="str">
        <f>_xlfn.CONCAT(Table1[[#This Row],[Billing Street]], ", ", Table1[[#This Row],[Billing City]], ", ", Table1[[#This Row],[Billing State/Province]], ", ", Table1[[#This Row],[Billing Zip/Postal Code]])</f>
        <v xml:space="preserve">, , , </v>
      </c>
    </row>
    <row r="5479" spans="1:13" ht="15.6" hidden="1" x14ac:dyDescent="0.3">
      <c r="A5479" s="1" t="s">
        <v>15666</v>
      </c>
      <c r="B5479" s="1"/>
      <c r="C5479" s="1"/>
      <c r="D5479" s="1"/>
      <c r="E5479" s="1"/>
      <c r="F5479" s="1"/>
      <c r="G5479" s="1" t="s">
        <v>13</v>
      </c>
      <c r="H5479" s="2">
        <v>0</v>
      </c>
      <c r="I5479" s="1" t="s">
        <v>13</v>
      </c>
      <c r="J5479" s="1" t="s">
        <v>13</v>
      </c>
      <c r="K5479" s="1" t="s">
        <v>13</v>
      </c>
      <c r="L5479" s="1" t="s">
        <v>13</v>
      </c>
      <c r="M5479" s="6" t="str">
        <f>_xlfn.CONCAT(Table1[[#This Row],[Billing Street]], ", ", Table1[[#This Row],[Billing City]], ", ", Table1[[#This Row],[Billing State/Province]], ", ", Table1[[#This Row],[Billing Zip/Postal Code]])</f>
        <v xml:space="preserve">, , , </v>
      </c>
    </row>
    <row r="5480" spans="1:13" ht="15.6" x14ac:dyDescent="0.3">
      <c r="A5480" s="1" t="s">
        <v>15667</v>
      </c>
      <c r="B5480" s="1"/>
      <c r="C5480" s="1"/>
      <c r="D5480" s="1"/>
      <c r="E5480" s="1"/>
      <c r="F5480" s="1"/>
      <c r="G5480" s="1" t="s">
        <v>24</v>
      </c>
      <c r="H5480" s="2">
        <v>47</v>
      </c>
      <c r="I5480" s="1" t="s">
        <v>15668</v>
      </c>
      <c r="J5480" s="1" t="s">
        <v>1699</v>
      </c>
      <c r="K5480" s="1" t="s">
        <v>36</v>
      </c>
      <c r="L5480" s="1" t="s">
        <v>3365</v>
      </c>
      <c r="M5480" s="6" t="str">
        <f>_xlfn.CONCAT(Table1[[#This Row],[Billing Street]], ", ", Table1[[#This Row],[Billing City]], ", ", Table1[[#This Row],[Billing State/Province]], ", ", Table1[[#This Row],[Billing Zip/Postal Code]])</f>
        <v>2312 Industrial Dr, Panama City, FL, 32405</v>
      </c>
    </row>
    <row r="5481" spans="1:13" ht="15.6" hidden="1" x14ac:dyDescent="0.3">
      <c r="A5481" s="1" t="s">
        <v>15669</v>
      </c>
      <c r="B5481" s="1"/>
      <c r="C5481" s="1"/>
      <c r="D5481" s="1"/>
      <c r="E5481" s="1"/>
      <c r="F5481" s="1"/>
      <c r="G5481" s="1" t="s">
        <v>48</v>
      </c>
      <c r="H5481" s="2">
        <v>0</v>
      </c>
      <c r="I5481" s="1" t="s">
        <v>15670</v>
      </c>
      <c r="J5481" s="1" t="s">
        <v>711</v>
      </c>
      <c r="K5481" s="1" t="s">
        <v>45</v>
      </c>
      <c r="L5481" s="1" t="s">
        <v>15671</v>
      </c>
      <c r="M5481" s="6" t="str">
        <f>_xlfn.CONCAT(Table1[[#This Row],[Billing Street]], ", ", Table1[[#This Row],[Billing City]], ", ", Table1[[#This Row],[Billing State/Province]], ", ", Table1[[#This Row],[Billing Zip/Postal Code]])</f>
        <v>820 North Hague Avenue, Columbus, OH, 43204</v>
      </c>
    </row>
    <row r="5482" spans="1:13" ht="15.6" hidden="1" x14ac:dyDescent="0.3">
      <c r="A5482" s="1" t="s">
        <v>15672</v>
      </c>
      <c r="B5482" s="1"/>
      <c r="C5482" s="1"/>
      <c r="D5482" s="1"/>
      <c r="E5482" s="1"/>
      <c r="F5482" s="1"/>
      <c r="G5482" s="1" t="s">
        <v>43</v>
      </c>
      <c r="H5482" s="2">
        <v>333</v>
      </c>
      <c r="I5482" s="1" t="s">
        <v>15673</v>
      </c>
      <c r="J5482" s="1" t="s">
        <v>15674</v>
      </c>
      <c r="K5482" s="1" t="s">
        <v>241</v>
      </c>
      <c r="L5482" s="1" t="s">
        <v>15675</v>
      </c>
      <c r="M5482" s="6" t="str">
        <f>_xlfn.CONCAT(Table1[[#This Row],[Billing Street]], ", ", Table1[[#This Row],[Billing City]], ", ", Table1[[#This Row],[Billing State/Province]], ", ", Table1[[#This Row],[Billing Zip/Postal Code]])</f>
        <v>1974 Sproul Road, Ste.300, Broomall, PA, 19008</v>
      </c>
    </row>
    <row r="5483" spans="1:13" ht="15.6" hidden="1" x14ac:dyDescent="0.3">
      <c r="A5483" s="1" t="s">
        <v>15676</v>
      </c>
      <c r="B5483" s="1"/>
      <c r="C5483" s="1"/>
      <c r="D5483" s="1"/>
      <c r="E5483" s="1"/>
      <c r="F5483" s="1"/>
      <c r="G5483" s="1" t="s">
        <v>8</v>
      </c>
      <c r="H5483" s="2">
        <v>423</v>
      </c>
      <c r="I5483" s="1" t="s">
        <v>15677</v>
      </c>
      <c r="J5483" s="1" t="s">
        <v>4643</v>
      </c>
      <c r="K5483" s="1" t="s">
        <v>51</v>
      </c>
      <c r="L5483" s="1" t="s">
        <v>15678</v>
      </c>
      <c r="M5483" s="6" t="str">
        <f>_xlfn.CONCAT(Table1[[#This Row],[Billing Street]], ", ", Table1[[#This Row],[Billing City]], ", ", Table1[[#This Row],[Billing State/Province]], ", ", Table1[[#This Row],[Billing Zip/Postal Code]])</f>
        <v>1922 MLK Jr. Drive, Temple, TX, 76504</v>
      </c>
    </row>
    <row r="5484" spans="1:13" ht="15.6" hidden="1" x14ac:dyDescent="0.3">
      <c r="A5484" s="1" t="s">
        <v>15679</v>
      </c>
      <c r="B5484" s="1"/>
      <c r="C5484" s="1"/>
      <c r="D5484" s="1"/>
      <c r="E5484" s="1"/>
      <c r="F5484" s="1"/>
      <c r="G5484" s="1" t="s">
        <v>13</v>
      </c>
      <c r="H5484" s="2">
        <v>0</v>
      </c>
      <c r="I5484" s="1" t="s">
        <v>13</v>
      </c>
      <c r="J5484" s="1" t="s">
        <v>13</v>
      </c>
      <c r="K5484" s="1" t="s">
        <v>13</v>
      </c>
      <c r="L5484" s="1" t="s">
        <v>13</v>
      </c>
      <c r="M5484" s="6" t="str">
        <f>_xlfn.CONCAT(Table1[[#This Row],[Billing Street]], ", ", Table1[[#This Row],[Billing City]], ", ", Table1[[#This Row],[Billing State/Province]], ", ", Table1[[#This Row],[Billing Zip/Postal Code]])</f>
        <v xml:space="preserve">, , , </v>
      </c>
    </row>
    <row r="5485" spans="1:13" ht="15.6" hidden="1" x14ac:dyDescent="0.3">
      <c r="A5485" s="1" t="s">
        <v>15680</v>
      </c>
      <c r="B5485" s="1"/>
      <c r="C5485" s="1"/>
      <c r="D5485" s="1"/>
      <c r="E5485" s="1"/>
      <c r="F5485" s="1"/>
      <c r="G5485" s="1" t="s">
        <v>8</v>
      </c>
      <c r="H5485" s="2">
        <v>459</v>
      </c>
      <c r="I5485" s="1" t="s">
        <v>15681</v>
      </c>
      <c r="J5485" s="1" t="s">
        <v>25</v>
      </c>
      <c r="K5485" s="1" t="s">
        <v>51</v>
      </c>
      <c r="L5485" s="1" t="s">
        <v>15682</v>
      </c>
      <c r="M5485" s="6" t="str">
        <f>_xlfn.CONCAT(Table1[[#This Row],[Billing Street]], ", ", Table1[[#This Row],[Billing City]], ", ", Table1[[#This Row],[Billing State/Province]], ", ", Table1[[#This Row],[Billing Zip/Postal Code]])</f>
        <v>18948 Freeport Dr, Montgomery, TX, 77356</v>
      </c>
    </row>
    <row r="5486" spans="1:13" ht="15.6" hidden="1" x14ac:dyDescent="0.3">
      <c r="A5486" s="1" t="s">
        <v>15683</v>
      </c>
      <c r="B5486" s="1"/>
      <c r="C5486" s="1"/>
      <c r="D5486" s="1"/>
      <c r="E5486" s="1"/>
      <c r="F5486" s="1"/>
      <c r="G5486" s="1" t="s">
        <v>43</v>
      </c>
      <c r="H5486" s="2">
        <v>350</v>
      </c>
      <c r="I5486" s="1" t="s">
        <v>15684</v>
      </c>
      <c r="J5486" s="1" t="s">
        <v>216</v>
      </c>
      <c r="K5486" s="1" t="s">
        <v>133</v>
      </c>
      <c r="L5486" s="1" t="s">
        <v>1661</v>
      </c>
      <c r="M5486" s="6" t="str">
        <f>_xlfn.CONCAT(Table1[[#This Row],[Billing Street]], ", ", Table1[[#This Row],[Billing City]], ", ", Table1[[#This Row],[Billing State/Province]], ", ", Table1[[#This Row],[Billing Zip/Postal Code]])</f>
        <v>235 W. Oklahoma Ave, Milwaukee, WI, 53207</v>
      </c>
    </row>
    <row r="5487" spans="1:13" ht="15.6" hidden="1" x14ac:dyDescent="0.3">
      <c r="A5487" s="1" t="s">
        <v>15685</v>
      </c>
      <c r="B5487" s="1"/>
      <c r="C5487" s="1"/>
      <c r="D5487" s="1"/>
      <c r="E5487" s="1"/>
      <c r="F5487" s="1"/>
      <c r="G5487" s="1" t="s">
        <v>54</v>
      </c>
      <c r="H5487" s="2">
        <v>321</v>
      </c>
      <c r="I5487" s="1" t="s">
        <v>15686</v>
      </c>
      <c r="J5487" s="1" t="s">
        <v>11430</v>
      </c>
      <c r="K5487" s="1" t="s">
        <v>57</v>
      </c>
      <c r="L5487" s="1" t="s">
        <v>15687</v>
      </c>
      <c r="M5487" s="6" t="str">
        <f>_xlfn.CONCAT(Table1[[#This Row],[Billing Street]], ", ", Table1[[#This Row],[Billing City]], ", ", Table1[[#This Row],[Billing State/Province]], ", ", Table1[[#This Row],[Billing Zip/Postal Code]])</f>
        <v>PO BOX 1018_x000D_
1528 El Pinal Drive, Stockton, CA, 95201</v>
      </c>
    </row>
    <row r="5488" spans="1:13" ht="15.6" hidden="1" x14ac:dyDescent="0.3">
      <c r="A5488" s="1" t="s">
        <v>15688</v>
      </c>
      <c r="B5488" s="1"/>
      <c r="C5488" s="1"/>
      <c r="D5488" s="1"/>
      <c r="E5488" s="1"/>
      <c r="F5488" s="1"/>
      <c r="G5488" s="1" t="s">
        <v>8</v>
      </c>
      <c r="H5488" s="2">
        <v>131</v>
      </c>
      <c r="I5488" s="1" t="s">
        <v>15689</v>
      </c>
      <c r="J5488" s="1" t="s">
        <v>15690</v>
      </c>
      <c r="K5488" s="1" t="s">
        <v>15691</v>
      </c>
      <c r="L5488" s="1" t="s">
        <v>15692</v>
      </c>
      <c r="M5488" s="6" t="str">
        <f>_xlfn.CONCAT(Table1[[#This Row],[Billing Street]], ", ", Table1[[#This Row],[Billing City]], ", ", Table1[[#This Row],[Billing State/Province]], ", ", Table1[[#This Row],[Billing Zip/Postal Code]])</f>
        <v>225 S Christian Ave, Moundridge, Kansas, 67107</v>
      </c>
    </row>
    <row r="5489" spans="1:13" ht="15.6" hidden="1" x14ac:dyDescent="0.3">
      <c r="A5489" s="1" t="s">
        <v>15693</v>
      </c>
      <c r="B5489" s="1"/>
      <c r="C5489" s="1"/>
      <c r="D5489" s="1"/>
      <c r="E5489" s="1"/>
      <c r="F5489" s="1"/>
      <c r="G5489" s="1" t="s">
        <v>43</v>
      </c>
      <c r="H5489" s="2">
        <v>36</v>
      </c>
      <c r="I5489" s="1" t="s">
        <v>15053</v>
      </c>
      <c r="J5489" s="1" t="s">
        <v>1940</v>
      </c>
      <c r="K5489" s="1" t="s">
        <v>45</v>
      </c>
      <c r="L5489" s="1" t="s">
        <v>15054</v>
      </c>
      <c r="M5489" s="6" t="str">
        <f>_xlfn.CONCAT(Table1[[#This Row],[Billing Street]], ", ", Table1[[#This Row],[Billing City]], ", ", Table1[[#This Row],[Billing State/Province]], ", ", Table1[[#This Row],[Billing Zip/Postal Code]])</f>
        <v>P.O. Box 24400, Canton, OH, 44701</v>
      </c>
    </row>
    <row r="5490" spans="1:13" ht="15.6" hidden="1" x14ac:dyDescent="0.3">
      <c r="A5490" s="1" t="s">
        <v>15694</v>
      </c>
      <c r="B5490" s="1"/>
      <c r="C5490" s="1"/>
      <c r="D5490" s="1"/>
      <c r="E5490" s="1"/>
      <c r="F5490" s="1"/>
      <c r="G5490" s="1" t="s">
        <v>205</v>
      </c>
      <c r="H5490" s="2">
        <v>1018</v>
      </c>
      <c r="I5490" s="1" t="s">
        <v>13</v>
      </c>
      <c r="J5490" s="1" t="s">
        <v>15695</v>
      </c>
      <c r="K5490" s="1" t="s">
        <v>405</v>
      </c>
      <c r="L5490" s="1" t="s">
        <v>15696</v>
      </c>
      <c r="M5490" s="6" t="str">
        <f>_xlfn.CONCAT(Table1[[#This Row],[Billing Street]], ", ", Table1[[#This Row],[Billing City]], ", ", Table1[[#This Row],[Billing State/Province]], ", ", Table1[[#This Row],[Billing Zip/Postal Code]])</f>
        <v>, Moses Lake, WA, 98837</v>
      </c>
    </row>
    <row r="5491" spans="1:13" ht="15.6" hidden="1" x14ac:dyDescent="0.3">
      <c r="A5491" s="1" t="s">
        <v>15697</v>
      </c>
      <c r="B5491" s="1"/>
      <c r="C5491" s="1"/>
      <c r="D5491" s="1"/>
      <c r="E5491" s="1"/>
      <c r="F5491" s="1"/>
      <c r="G5491" s="1" t="s">
        <v>98</v>
      </c>
      <c r="H5491" s="2">
        <v>214</v>
      </c>
      <c r="I5491" s="1" t="s">
        <v>15698</v>
      </c>
      <c r="J5491" s="1" t="s">
        <v>4727</v>
      </c>
      <c r="K5491" s="1" t="s">
        <v>1178</v>
      </c>
      <c r="L5491" s="1" t="s">
        <v>15699</v>
      </c>
      <c r="M5491" s="6" t="str">
        <f>_xlfn.CONCAT(Table1[[#This Row],[Billing Street]], ", ", Table1[[#This Row],[Billing City]], ", ", Table1[[#This Row],[Billing State/Province]], ", ", Table1[[#This Row],[Billing Zip/Postal Code]])</f>
        <v>P.O. Box 32127, Charlotte, NC, 28232</v>
      </c>
    </row>
    <row r="5492" spans="1:13" ht="15.6" hidden="1" x14ac:dyDescent="0.3">
      <c r="A5492" s="1" t="s">
        <v>15700</v>
      </c>
      <c r="B5492" s="1"/>
      <c r="C5492" s="1"/>
      <c r="D5492" s="1"/>
      <c r="E5492" s="1"/>
      <c r="F5492" s="1"/>
      <c r="G5492" s="1" t="s">
        <v>205</v>
      </c>
      <c r="H5492" s="2">
        <v>578</v>
      </c>
      <c r="I5492" s="1" t="s">
        <v>15701</v>
      </c>
      <c r="J5492" s="1" t="s">
        <v>6047</v>
      </c>
      <c r="K5492" s="1" t="s">
        <v>51</v>
      </c>
      <c r="L5492" s="1" t="s">
        <v>15702</v>
      </c>
      <c r="M5492" s="6" t="str">
        <f>_xlfn.CONCAT(Table1[[#This Row],[Billing Street]], ", ", Table1[[#This Row],[Billing City]], ", ", Table1[[#This Row],[Billing State/Province]], ", ", Table1[[#This Row],[Billing Zip/Postal Code]])</f>
        <v>616 Davis Drive, Lubbock, TX, 79416</v>
      </c>
    </row>
    <row r="5493" spans="1:13" ht="15.6" hidden="1" x14ac:dyDescent="0.3">
      <c r="A5493" s="1" t="s">
        <v>15703</v>
      </c>
      <c r="B5493" s="1"/>
      <c r="C5493" s="1"/>
      <c r="D5493" s="1"/>
      <c r="E5493" s="1"/>
      <c r="F5493" s="1"/>
      <c r="G5493" s="1" t="s">
        <v>13</v>
      </c>
      <c r="H5493" s="2">
        <v>0</v>
      </c>
      <c r="I5493" s="1" t="s">
        <v>13</v>
      </c>
      <c r="J5493" s="1" t="s">
        <v>13</v>
      </c>
      <c r="K5493" s="1" t="s">
        <v>13</v>
      </c>
      <c r="L5493" s="1" t="s">
        <v>13</v>
      </c>
      <c r="M5493" s="6" t="str">
        <f>_xlfn.CONCAT(Table1[[#This Row],[Billing Street]], ", ", Table1[[#This Row],[Billing City]], ", ", Table1[[#This Row],[Billing State/Province]], ", ", Table1[[#This Row],[Billing Zip/Postal Code]])</f>
        <v xml:space="preserve">, , , </v>
      </c>
    </row>
    <row r="5494" spans="1:13" ht="15.6" hidden="1" x14ac:dyDescent="0.3">
      <c r="A5494" s="1" t="s">
        <v>15704</v>
      </c>
      <c r="B5494" s="1"/>
      <c r="C5494" s="1"/>
      <c r="D5494" s="1"/>
      <c r="E5494" s="1"/>
      <c r="F5494" s="1"/>
      <c r="G5494" s="1" t="s">
        <v>8</v>
      </c>
      <c r="H5494" s="2">
        <v>544</v>
      </c>
      <c r="I5494" s="1" t="s">
        <v>15705</v>
      </c>
      <c r="J5494" s="1" t="s">
        <v>15706</v>
      </c>
      <c r="K5494" s="1" t="s">
        <v>229</v>
      </c>
      <c r="L5494" s="1" t="s">
        <v>15707</v>
      </c>
      <c r="M5494" s="6" t="str">
        <f>_xlfn.CONCAT(Table1[[#This Row],[Billing Street]], ", ", Table1[[#This Row],[Billing City]], ", ", Table1[[#This Row],[Billing State/Province]], ", ", Table1[[#This Row],[Billing Zip/Postal Code]])</f>
        <v>400 WEST 2ND, Murdo, SD, 57559</v>
      </c>
    </row>
    <row r="5495" spans="1:13" ht="15.6" hidden="1" x14ac:dyDescent="0.3">
      <c r="A5495" s="1" t="s">
        <v>15708</v>
      </c>
      <c r="B5495" s="1"/>
      <c r="C5495" s="1"/>
      <c r="D5495" s="1"/>
      <c r="E5495" s="1"/>
      <c r="F5495" s="1"/>
      <c r="G5495" s="1" t="s">
        <v>205</v>
      </c>
      <c r="H5495" s="2">
        <v>487</v>
      </c>
      <c r="I5495" s="1" t="s">
        <v>15709</v>
      </c>
      <c r="J5495" s="1" t="s">
        <v>1467</v>
      </c>
      <c r="K5495" s="1" t="s">
        <v>472</v>
      </c>
      <c r="L5495" s="1" t="s">
        <v>1468</v>
      </c>
      <c r="M5495" s="6" t="str">
        <f>_xlfn.CONCAT(Table1[[#This Row],[Billing Street]], ", ", Table1[[#This Row],[Billing City]], ", ", Table1[[#This Row],[Billing State/Province]], ", ", Table1[[#This Row],[Billing Zip/Postal Code]])</f>
        <v>P.O. Box 1412, Roosevelt, UT, 84066</v>
      </c>
    </row>
    <row r="5496" spans="1:13" ht="15.6" hidden="1" x14ac:dyDescent="0.3">
      <c r="A5496" s="1" t="s">
        <v>15710</v>
      </c>
      <c r="B5496" s="1"/>
      <c r="C5496" s="1"/>
      <c r="D5496" s="1"/>
      <c r="E5496" s="1"/>
      <c r="F5496" s="1"/>
      <c r="G5496" s="1" t="s">
        <v>8</v>
      </c>
      <c r="H5496" s="2">
        <v>192</v>
      </c>
      <c r="I5496" s="1" t="s">
        <v>12331</v>
      </c>
      <c r="J5496" s="1" t="s">
        <v>2642</v>
      </c>
      <c r="K5496" s="1" t="s">
        <v>15691</v>
      </c>
      <c r="L5496" s="1" t="s">
        <v>4000</v>
      </c>
      <c r="M5496" s="6" t="str">
        <f>_xlfn.CONCAT(Table1[[#This Row],[Billing Street]], ", ", Table1[[#This Row],[Billing City]], ", ", Table1[[#This Row],[Billing State/Province]], ", ", Table1[[#This Row],[Billing Zip/Postal Code]])</f>
        <v>137 W Walnut St, Troy, Kansas, 66087</v>
      </c>
    </row>
    <row r="5497" spans="1:13" ht="15.6" hidden="1" x14ac:dyDescent="0.3">
      <c r="A5497" s="1" t="s">
        <v>15711</v>
      </c>
      <c r="B5497" s="1"/>
      <c r="C5497" s="1"/>
      <c r="D5497" s="1"/>
      <c r="E5497" s="1"/>
      <c r="F5497" s="1"/>
      <c r="G5497" s="1" t="s">
        <v>43</v>
      </c>
      <c r="H5497" s="2">
        <v>238</v>
      </c>
      <c r="I5497" s="1" t="s">
        <v>15712</v>
      </c>
      <c r="J5497" s="1" t="s">
        <v>15713</v>
      </c>
      <c r="K5497" s="1" t="s">
        <v>671</v>
      </c>
      <c r="L5497" s="1" t="s">
        <v>11195</v>
      </c>
      <c r="M5497" s="6" t="str">
        <f>_xlfn.CONCAT(Table1[[#This Row],[Billing Street]], ", ", Table1[[#This Row],[Billing City]], ", ", Table1[[#This Row],[Billing State/Province]], ", ", Table1[[#This Row],[Billing Zip/Postal Code]])</f>
        <v>1385 Fairport Road, Fairport, NY, 14450</v>
      </c>
    </row>
    <row r="5498" spans="1:13" ht="15.6" x14ac:dyDescent="0.3">
      <c r="A5498" s="1" t="s">
        <v>15714</v>
      </c>
      <c r="B5498" s="1"/>
      <c r="C5498" s="1"/>
      <c r="D5498" s="1"/>
      <c r="E5498" s="1"/>
      <c r="F5498" s="1"/>
      <c r="G5498" s="1" t="s">
        <v>24</v>
      </c>
      <c r="H5498" s="2">
        <v>69</v>
      </c>
      <c r="I5498" s="1" t="s">
        <v>15715</v>
      </c>
      <c r="J5498" s="1" t="s">
        <v>715</v>
      </c>
      <c r="K5498" s="1" t="s">
        <v>36</v>
      </c>
      <c r="L5498" s="1" t="s">
        <v>15716</v>
      </c>
      <c r="M5498" s="6" t="str">
        <f>_xlfn.CONCAT(Table1[[#This Row],[Billing Street]], ", ", Table1[[#This Row],[Billing City]], ", ", Table1[[#This Row],[Billing State/Province]], ", ", Table1[[#This Row],[Billing Zip/Postal Code]])</f>
        <v>5208 Sycamore Drive, Pensacola, FL, 32503-2266</v>
      </c>
    </row>
    <row r="5499" spans="1:13" ht="15.6" hidden="1" x14ac:dyDescent="0.3">
      <c r="A5499" s="1" t="s">
        <v>15717</v>
      </c>
      <c r="B5499" s="1"/>
      <c r="C5499" s="1"/>
      <c r="D5499" s="1"/>
      <c r="E5499" s="1"/>
      <c r="F5499" s="1"/>
      <c r="G5499" s="1" t="s">
        <v>48</v>
      </c>
      <c r="H5499" s="2">
        <v>0</v>
      </c>
      <c r="I5499" s="1" t="s">
        <v>15718</v>
      </c>
      <c r="J5499" s="1" t="s">
        <v>866</v>
      </c>
      <c r="K5499" s="1" t="s">
        <v>472</v>
      </c>
      <c r="L5499" s="1" t="s">
        <v>867</v>
      </c>
      <c r="M5499" s="6" t="str">
        <f>_xlfn.CONCAT(Table1[[#This Row],[Billing Street]], ", ", Table1[[#This Row],[Billing City]], ", ", Table1[[#This Row],[Billing State/Province]], ", ", Table1[[#This Row],[Billing Zip/Postal Code]])</f>
        <v>P.O. Box 1335, Salem, UT, 84653</v>
      </c>
    </row>
    <row r="5500" spans="1:13" ht="15.6" hidden="1" x14ac:dyDescent="0.3">
      <c r="A5500" s="1" t="s">
        <v>15719</v>
      </c>
      <c r="B5500" s="1"/>
      <c r="C5500" s="1"/>
      <c r="D5500" s="1"/>
      <c r="E5500" s="1"/>
      <c r="F5500" s="1"/>
      <c r="G5500" s="1" t="s">
        <v>48</v>
      </c>
      <c r="H5500" s="2">
        <v>0</v>
      </c>
      <c r="I5500" s="1" t="s">
        <v>15720</v>
      </c>
      <c r="J5500" s="1" t="s">
        <v>15721</v>
      </c>
      <c r="K5500" s="1" t="s">
        <v>229</v>
      </c>
      <c r="L5500" s="1" t="s">
        <v>15722</v>
      </c>
      <c r="M5500" s="6" t="str">
        <f>_xlfn.CONCAT(Table1[[#This Row],[Billing Street]], ", ", Table1[[#This Row],[Billing City]], ", ", Table1[[#This Row],[Billing State/Province]], ", ", Table1[[#This Row],[Billing Zip/Postal Code]])</f>
        <v>5401 Circle Street, Black Hawk, SD, 57718</v>
      </c>
    </row>
    <row r="5501" spans="1:13" ht="15.6" hidden="1" x14ac:dyDescent="0.3">
      <c r="A5501" s="1" t="s">
        <v>15723</v>
      </c>
      <c r="B5501" s="1"/>
      <c r="C5501" s="1"/>
      <c r="D5501" s="1"/>
      <c r="E5501" s="1"/>
      <c r="F5501" s="1"/>
      <c r="G5501" s="1" t="s">
        <v>8</v>
      </c>
      <c r="H5501" s="2">
        <v>6528</v>
      </c>
      <c r="I5501" s="1" t="s">
        <v>13</v>
      </c>
      <c r="J5501" s="1" t="s">
        <v>13</v>
      </c>
      <c r="K5501" s="1" t="s">
        <v>13</v>
      </c>
      <c r="L5501" s="1" t="s">
        <v>13</v>
      </c>
      <c r="M5501" s="6" t="str">
        <f>_xlfn.CONCAT(Table1[[#This Row],[Billing Street]], ", ", Table1[[#This Row],[Billing City]], ", ", Table1[[#This Row],[Billing State/Province]], ", ", Table1[[#This Row],[Billing Zip/Postal Code]])</f>
        <v xml:space="preserve">, , , </v>
      </c>
    </row>
    <row r="5502" spans="1:13" ht="15.6" hidden="1" x14ac:dyDescent="0.3">
      <c r="A5502" s="1" t="s">
        <v>15724</v>
      </c>
      <c r="B5502" s="1"/>
      <c r="C5502" s="1"/>
      <c r="D5502" s="1"/>
      <c r="E5502" s="1"/>
      <c r="F5502" s="1"/>
      <c r="G5502" s="1" t="s">
        <v>8</v>
      </c>
      <c r="H5502" s="2">
        <v>24</v>
      </c>
      <c r="I5502" s="1" t="s">
        <v>15725</v>
      </c>
      <c r="J5502" s="1" t="s">
        <v>15726</v>
      </c>
      <c r="K5502" s="1" t="s">
        <v>15727</v>
      </c>
      <c r="L5502" s="1" t="s">
        <v>15728</v>
      </c>
      <c r="M5502" s="6" t="str">
        <f>_xlfn.CONCAT(Table1[[#This Row],[Billing Street]], ", ", Table1[[#This Row],[Billing City]], ", ", Table1[[#This Row],[Billing State/Province]], ", ", Table1[[#This Row],[Billing Zip/Postal Code]])</f>
        <v>411 E Don Tyler Ave, Dewey, Oklahoma, 74029</v>
      </c>
    </row>
    <row r="5503" spans="1:13" ht="15.6" hidden="1" x14ac:dyDescent="0.3">
      <c r="A5503" s="1" t="s">
        <v>15729</v>
      </c>
      <c r="B5503" s="1"/>
      <c r="C5503" s="1"/>
      <c r="D5503" s="1"/>
      <c r="E5503" s="1"/>
      <c r="F5503" s="1"/>
      <c r="G5503" s="1" t="s">
        <v>48</v>
      </c>
      <c r="H5503" s="2">
        <v>0</v>
      </c>
      <c r="I5503" s="1" t="s">
        <v>15730</v>
      </c>
      <c r="J5503" s="1" t="s">
        <v>3253</v>
      </c>
      <c r="K5503" s="1" t="s">
        <v>45</v>
      </c>
      <c r="L5503" s="1" t="s">
        <v>15731</v>
      </c>
      <c r="M5503" s="6" t="str">
        <f>_xlfn.CONCAT(Table1[[#This Row],[Billing Street]], ", ", Table1[[#This Row],[Billing City]], ", ", Table1[[#This Row],[Billing State/Province]], ", ", Table1[[#This Row],[Billing Zip/Postal Code]])</f>
        <v>P.O. Box 1391, Warren, OH, 44482</v>
      </c>
    </row>
    <row r="5504" spans="1:13" ht="15.6" hidden="1" x14ac:dyDescent="0.3">
      <c r="A5504" s="1" t="s">
        <v>15732</v>
      </c>
      <c r="B5504" s="1"/>
      <c r="C5504" s="1"/>
      <c r="D5504" s="1"/>
      <c r="E5504" s="1"/>
      <c r="F5504" s="1"/>
      <c r="G5504" s="1" t="s">
        <v>43</v>
      </c>
      <c r="H5504" s="2">
        <v>434</v>
      </c>
      <c r="I5504" s="1" t="s">
        <v>15733</v>
      </c>
      <c r="J5504" s="1" t="s">
        <v>4727</v>
      </c>
      <c r="K5504" s="1" t="s">
        <v>1178</v>
      </c>
      <c r="L5504" s="1" t="s">
        <v>15734</v>
      </c>
      <c r="M5504" s="6" t="str">
        <f>_xlfn.CONCAT(Table1[[#This Row],[Billing Street]], ", ", Table1[[#This Row],[Billing City]], ", ", Table1[[#This Row],[Billing State/Province]], ", ", Table1[[#This Row],[Billing Zip/Postal Code]])</f>
        <v>11430 N. Community House Road, Suite 350, Charlotte, NC, 28277-1591</v>
      </c>
    </row>
    <row r="5505" spans="1:13" ht="15.6" hidden="1" x14ac:dyDescent="0.3">
      <c r="A5505" s="1" t="s">
        <v>15735</v>
      </c>
      <c r="B5505" s="1"/>
      <c r="C5505" s="1"/>
      <c r="D5505" s="1"/>
      <c r="E5505" s="1"/>
      <c r="F5505" s="1"/>
      <c r="G5505" s="1" t="s">
        <v>205</v>
      </c>
      <c r="H5505" s="2">
        <v>7481</v>
      </c>
      <c r="I5505" s="1" t="s">
        <v>13</v>
      </c>
      <c r="J5505" s="1" t="s">
        <v>13</v>
      </c>
      <c r="K5505" s="1" t="s">
        <v>13</v>
      </c>
      <c r="L5505" s="1" t="s">
        <v>13</v>
      </c>
      <c r="M5505" s="6" t="str">
        <f>_xlfn.CONCAT(Table1[[#This Row],[Billing Street]], ", ", Table1[[#This Row],[Billing City]], ", ", Table1[[#This Row],[Billing State/Province]], ", ", Table1[[#This Row],[Billing Zip/Postal Code]])</f>
        <v xml:space="preserve">, , , </v>
      </c>
    </row>
    <row r="5506" spans="1:13" ht="15.6" x14ac:dyDescent="0.3">
      <c r="A5506" s="1" t="s">
        <v>15736</v>
      </c>
      <c r="B5506" s="1"/>
      <c r="C5506" s="1"/>
      <c r="D5506" s="1"/>
      <c r="E5506" s="1"/>
      <c r="F5506" s="1"/>
      <c r="G5506" s="1" t="s">
        <v>24</v>
      </c>
      <c r="H5506" s="2">
        <v>310</v>
      </c>
      <c r="I5506" s="1" t="s">
        <v>15737</v>
      </c>
      <c r="J5506" s="1" t="s">
        <v>15738</v>
      </c>
      <c r="K5506" s="1" t="s">
        <v>101</v>
      </c>
      <c r="L5506" s="1" t="s">
        <v>15739</v>
      </c>
      <c r="M5506" s="6" t="str">
        <f>_xlfn.CONCAT(Table1[[#This Row],[Billing Street]], ", ", Table1[[#This Row],[Billing City]], ", ", Table1[[#This Row],[Billing State/Province]], ", ", Table1[[#This Row],[Billing Zip/Postal Code]])</f>
        <v>2310 Blue Ridge Dr, Blue Ridge, GA, 30513</v>
      </c>
    </row>
    <row r="5507" spans="1:13" ht="15.6" hidden="1" x14ac:dyDescent="0.3">
      <c r="A5507" s="1" t="s">
        <v>15740</v>
      </c>
      <c r="B5507" s="1"/>
      <c r="C5507" s="1"/>
      <c r="D5507" s="1"/>
      <c r="E5507" s="1"/>
      <c r="F5507" s="1"/>
      <c r="G5507" s="1" t="s">
        <v>8</v>
      </c>
      <c r="H5507" s="2">
        <v>6528</v>
      </c>
      <c r="I5507" s="1" t="s">
        <v>13</v>
      </c>
      <c r="J5507" s="1" t="s">
        <v>2108</v>
      </c>
      <c r="K5507" s="1" t="s">
        <v>51</v>
      </c>
      <c r="L5507" s="1" t="s">
        <v>13</v>
      </c>
      <c r="M5507" s="6" t="str">
        <f>_xlfn.CONCAT(Table1[[#This Row],[Billing Street]], ", ", Table1[[#This Row],[Billing City]], ", ", Table1[[#This Row],[Billing State/Province]], ", ", Table1[[#This Row],[Billing Zip/Postal Code]])</f>
        <v xml:space="preserve">, Sinton, TX, </v>
      </c>
    </row>
    <row r="5508" spans="1:13" ht="15.6" hidden="1" x14ac:dyDescent="0.3">
      <c r="A5508" s="1" t="s">
        <v>15741</v>
      </c>
      <c r="B5508" s="1"/>
      <c r="C5508" s="1"/>
      <c r="D5508" s="1"/>
      <c r="E5508" s="1"/>
      <c r="F5508" s="1"/>
      <c r="G5508" s="1" t="s">
        <v>205</v>
      </c>
      <c r="H5508" s="2">
        <v>7481</v>
      </c>
      <c r="I5508" s="1" t="s">
        <v>13</v>
      </c>
      <c r="J5508" s="1" t="s">
        <v>2920</v>
      </c>
      <c r="K5508" s="1" t="s">
        <v>479</v>
      </c>
      <c r="L5508" s="1" t="s">
        <v>13</v>
      </c>
      <c r="M5508" s="6" t="str">
        <f>_xlfn.CONCAT(Table1[[#This Row],[Billing Street]], ", ", Table1[[#This Row],[Billing City]], ", ", Table1[[#This Row],[Billing State/Province]], ", ", Table1[[#This Row],[Billing Zip/Postal Code]])</f>
        <v xml:space="preserve">, Gilbert, AZ, </v>
      </c>
    </row>
    <row r="5509" spans="1:13" ht="15.6" hidden="1" x14ac:dyDescent="0.3">
      <c r="A5509" s="1" t="s">
        <v>15742</v>
      </c>
      <c r="B5509" s="1"/>
      <c r="C5509" s="1"/>
      <c r="D5509" s="1"/>
      <c r="E5509" s="1"/>
      <c r="F5509" s="1"/>
      <c r="G5509" s="1" t="s">
        <v>205</v>
      </c>
      <c r="H5509" s="2">
        <v>7481</v>
      </c>
      <c r="I5509" s="1" t="s">
        <v>13</v>
      </c>
      <c r="J5509" s="1" t="s">
        <v>518</v>
      </c>
      <c r="K5509" s="1" t="s">
        <v>479</v>
      </c>
      <c r="L5509" s="1" t="s">
        <v>13</v>
      </c>
      <c r="M5509" s="6" t="str">
        <f>_xlfn.CONCAT(Table1[[#This Row],[Billing Street]], ", ", Table1[[#This Row],[Billing City]], ", ", Table1[[#This Row],[Billing State/Province]], ", ", Table1[[#This Row],[Billing Zip/Postal Code]])</f>
        <v xml:space="preserve">, Phoenix, AZ, </v>
      </c>
    </row>
    <row r="5510" spans="1:13" ht="15.6" hidden="1" x14ac:dyDescent="0.3">
      <c r="A5510" s="1" t="s">
        <v>15743</v>
      </c>
      <c r="B5510" s="1"/>
      <c r="C5510" s="1"/>
      <c r="D5510" s="1"/>
      <c r="E5510" s="1"/>
      <c r="F5510" s="1"/>
      <c r="G5510" s="1" t="s">
        <v>8</v>
      </c>
      <c r="H5510" s="2">
        <v>6528</v>
      </c>
      <c r="I5510" s="1" t="s">
        <v>13</v>
      </c>
      <c r="J5510" s="1" t="s">
        <v>13</v>
      </c>
      <c r="K5510" s="1" t="s">
        <v>13</v>
      </c>
      <c r="L5510" s="1" t="s">
        <v>13</v>
      </c>
      <c r="M5510" s="6" t="str">
        <f>_xlfn.CONCAT(Table1[[#This Row],[Billing Street]], ", ", Table1[[#This Row],[Billing City]], ", ", Table1[[#This Row],[Billing State/Province]], ", ", Table1[[#This Row],[Billing Zip/Postal Code]])</f>
        <v xml:space="preserve">, , , </v>
      </c>
    </row>
    <row r="5511" spans="1:13" ht="15.6" hidden="1" x14ac:dyDescent="0.3">
      <c r="A5511" s="1" t="s">
        <v>15744</v>
      </c>
      <c r="B5511" s="1"/>
      <c r="C5511" s="1"/>
      <c r="D5511" s="1"/>
      <c r="E5511" s="1"/>
      <c r="F5511" s="1"/>
      <c r="G5511" s="1" t="s">
        <v>48</v>
      </c>
      <c r="H5511" s="2">
        <v>0</v>
      </c>
      <c r="I5511" s="1" t="s">
        <v>15745</v>
      </c>
      <c r="J5511" s="1" t="s">
        <v>2221</v>
      </c>
      <c r="K5511" s="1" t="s">
        <v>10429</v>
      </c>
      <c r="L5511" s="1" t="s">
        <v>15746</v>
      </c>
      <c r="M5511" s="6" t="str">
        <f>_xlfn.CONCAT(Table1[[#This Row],[Billing Street]], ", ", Table1[[#This Row],[Billing City]], ", ", Table1[[#This Row],[Billing State/Province]], ", ", Table1[[#This Row],[Billing Zip/Postal Code]])</f>
        <v>2899 Grand Ave, Pittsburgh, Pennsylvania, 15225</v>
      </c>
    </row>
    <row r="5512" spans="1:13" ht="15.6" hidden="1" x14ac:dyDescent="0.3">
      <c r="A5512" s="1" t="s">
        <v>15747</v>
      </c>
      <c r="B5512" s="1"/>
      <c r="C5512" s="1"/>
      <c r="D5512" s="1"/>
      <c r="E5512" s="1"/>
      <c r="F5512" s="1"/>
      <c r="G5512" s="1" t="s">
        <v>48</v>
      </c>
      <c r="H5512" s="2">
        <v>0</v>
      </c>
      <c r="I5512" s="1" t="s">
        <v>15748</v>
      </c>
      <c r="J5512" s="1" t="s">
        <v>15749</v>
      </c>
      <c r="K5512" s="1" t="s">
        <v>1115</v>
      </c>
      <c r="L5512" s="1" t="s">
        <v>15750</v>
      </c>
      <c r="M5512" s="6" t="str">
        <f>_xlfn.CONCAT(Table1[[#This Row],[Billing Street]], ", ", Table1[[#This Row],[Billing City]], ", ", Table1[[#This Row],[Billing State/Province]], ", ", Table1[[#This Row],[Billing Zip/Postal Code]])</f>
        <v>3703 Cook Boulevard, Chesapeake, VA, 23323</v>
      </c>
    </row>
    <row r="5513" spans="1:13" ht="15.6" hidden="1" x14ac:dyDescent="0.3">
      <c r="A5513" s="1" t="s">
        <v>15751</v>
      </c>
      <c r="B5513" s="1"/>
      <c r="C5513" s="1"/>
      <c r="D5513" s="1"/>
      <c r="E5513" s="1"/>
      <c r="F5513" s="1"/>
      <c r="G5513" s="1" t="s">
        <v>48</v>
      </c>
      <c r="H5513" s="2">
        <v>0</v>
      </c>
      <c r="I5513" s="1" t="s">
        <v>13</v>
      </c>
      <c r="J5513" s="1" t="s">
        <v>13</v>
      </c>
      <c r="K5513" s="1" t="s">
        <v>13</v>
      </c>
      <c r="L5513" s="1" t="s">
        <v>13</v>
      </c>
      <c r="M5513" s="6" t="str">
        <f>_xlfn.CONCAT(Table1[[#This Row],[Billing Street]], ", ", Table1[[#This Row],[Billing City]], ", ", Table1[[#This Row],[Billing State/Province]], ", ", Table1[[#This Row],[Billing Zip/Postal Code]])</f>
        <v xml:space="preserve">, , , </v>
      </c>
    </row>
    <row r="5514" spans="1:13" ht="15.6" hidden="1" x14ac:dyDescent="0.3">
      <c r="A5514" s="1" t="s">
        <v>15752</v>
      </c>
      <c r="B5514" s="1"/>
      <c r="C5514" s="1"/>
      <c r="D5514" s="1"/>
      <c r="E5514" s="1"/>
      <c r="F5514" s="1"/>
      <c r="G5514" s="1" t="s">
        <v>98</v>
      </c>
      <c r="H5514" s="2">
        <v>5887</v>
      </c>
      <c r="I5514" s="1" t="s">
        <v>13</v>
      </c>
      <c r="J5514" s="1" t="s">
        <v>13</v>
      </c>
      <c r="K5514" s="1" t="s">
        <v>13</v>
      </c>
      <c r="L5514" s="1" t="s">
        <v>13</v>
      </c>
      <c r="M5514" s="6" t="str">
        <f>_xlfn.CONCAT(Table1[[#This Row],[Billing Street]], ", ", Table1[[#This Row],[Billing City]], ", ", Table1[[#This Row],[Billing State/Province]], ", ", Table1[[#This Row],[Billing Zip/Postal Code]])</f>
        <v xml:space="preserve">, , , </v>
      </c>
    </row>
    <row r="5515" spans="1:13" ht="15.6" hidden="1" x14ac:dyDescent="0.3">
      <c r="A5515" s="1" t="s">
        <v>15753</v>
      </c>
      <c r="B5515" s="1"/>
      <c r="C5515" s="1"/>
      <c r="D5515" s="1"/>
      <c r="E5515" s="1"/>
      <c r="F5515" s="1"/>
      <c r="G5515" s="1" t="s">
        <v>8</v>
      </c>
      <c r="H5515" s="2">
        <v>6528</v>
      </c>
      <c r="I5515" s="1" t="s">
        <v>13</v>
      </c>
      <c r="J5515" s="1" t="s">
        <v>13</v>
      </c>
      <c r="K5515" s="1" t="s">
        <v>13</v>
      </c>
      <c r="L5515" s="1" t="s">
        <v>13</v>
      </c>
      <c r="M5515" s="6" t="str">
        <f>_xlfn.CONCAT(Table1[[#This Row],[Billing Street]], ", ", Table1[[#This Row],[Billing City]], ", ", Table1[[#This Row],[Billing State/Province]], ", ", Table1[[#This Row],[Billing Zip/Postal Code]])</f>
        <v xml:space="preserve">, , , </v>
      </c>
    </row>
    <row r="5516" spans="1:13" ht="15.6" hidden="1" x14ac:dyDescent="0.3">
      <c r="A5516" s="1" t="s">
        <v>15754</v>
      </c>
      <c r="B5516" s="1"/>
      <c r="C5516" s="1"/>
      <c r="D5516" s="1"/>
      <c r="E5516" s="1"/>
      <c r="F5516" s="1"/>
      <c r="G5516" s="1" t="s">
        <v>205</v>
      </c>
      <c r="H5516" s="2">
        <v>374</v>
      </c>
      <c r="I5516" s="1" t="s">
        <v>15755</v>
      </c>
      <c r="J5516" s="1" t="s">
        <v>15756</v>
      </c>
      <c r="K5516" s="1" t="s">
        <v>266</v>
      </c>
      <c r="L5516" s="1" t="s">
        <v>15757</v>
      </c>
      <c r="M5516" s="6" t="str">
        <f>_xlfn.CONCAT(Table1[[#This Row],[Billing Street]], ", ", Table1[[#This Row],[Billing City]], ", ", Table1[[#This Row],[Billing State/Province]], ", ", Table1[[#This Row],[Billing Zip/Postal Code]])</f>
        <v>50 North Mundo Drive, Dulce, NM, 87528</v>
      </c>
    </row>
    <row r="5517" spans="1:13" ht="15.6" hidden="1" x14ac:dyDescent="0.3">
      <c r="A5517" s="1" t="s">
        <v>15758</v>
      </c>
      <c r="B5517" s="1"/>
      <c r="C5517" s="1"/>
      <c r="D5517" s="1"/>
      <c r="E5517" s="1"/>
      <c r="F5517" s="1"/>
      <c r="G5517" s="1" t="s">
        <v>48</v>
      </c>
      <c r="H5517" s="2">
        <v>0</v>
      </c>
      <c r="I5517" s="1" t="s">
        <v>15759</v>
      </c>
      <c r="J5517" s="1" t="s">
        <v>15760</v>
      </c>
      <c r="K5517" s="1" t="s">
        <v>234</v>
      </c>
      <c r="L5517" s="1" t="s">
        <v>15761</v>
      </c>
      <c r="M5517" s="6" t="str">
        <f>_xlfn.CONCAT(Table1[[#This Row],[Billing Street]], ", ", Table1[[#This Row],[Billing City]], ", ", Table1[[#This Row],[Billing State/Province]], ", ", Table1[[#This Row],[Billing Zip/Postal Code]])</f>
        <v>303 Greer Road, Simpsonville, SC, 29681</v>
      </c>
    </row>
    <row r="5518" spans="1:13" ht="15.6" hidden="1" x14ac:dyDescent="0.3">
      <c r="A5518" s="1" t="s">
        <v>15762</v>
      </c>
      <c r="B5518" s="1"/>
      <c r="C5518" s="1"/>
      <c r="D5518" s="1"/>
      <c r="E5518" s="1"/>
      <c r="F5518" s="1"/>
      <c r="G5518" s="1" t="s">
        <v>8</v>
      </c>
      <c r="H5518" s="2">
        <v>6528</v>
      </c>
      <c r="I5518" s="1" t="s">
        <v>13</v>
      </c>
      <c r="J5518" s="1" t="s">
        <v>6100</v>
      </c>
      <c r="K5518" s="1" t="s">
        <v>51</v>
      </c>
      <c r="L5518" s="1" t="s">
        <v>13</v>
      </c>
      <c r="M5518" s="6" t="str">
        <f>_xlfn.CONCAT(Table1[[#This Row],[Billing Street]], ", ", Table1[[#This Row],[Billing City]], ", ", Table1[[#This Row],[Billing State/Province]], ", ", Table1[[#This Row],[Billing Zip/Postal Code]])</f>
        <v xml:space="preserve">, San Antonio, TX, </v>
      </c>
    </row>
    <row r="5519" spans="1:13" ht="15.6" hidden="1" x14ac:dyDescent="0.3">
      <c r="A5519" s="1" t="s">
        <v>15763</v>
      </c>
      <c r="B5519" s="1"/>
      <c r="C5519" s="1"/>
      <c r="D5519" s="1"/>
      <c r="E5519" s="1"/>
      <c r="F5519" s="1"/>
      <c r="G5519" s="1" t="s">
        <v>54</v>
      </c>
      <c r="H5519" s="2">
        <v>361</v>
      </c>
      <c r="I5519" s="1" t="s">
        <v>15764</v>
      </c>
      <c r="J5519" s="1" t="s">
        <v>4106</v>
      </c>
      <c r="K5519" s="1" t="s">
        <v>4411</v>
      </c>
      <c r="L5519" s="1" t="s">
        <v>4887</v>
      </c>
      <c r="M5519" s="6" t="str">
        <f>_xlfn.CONCAT(Table1[[#This Row],[Billing Street]], ", ", Table1[[#This Row],[Billing City]], ", ", Table1[[#This Row],[Billing State/Province]], ", ", Table1[[#This Row],[Billing Zip/Postal Code]])</f>
        <v>1416 9th St, Sacramento, California, 95814</v>
      </c>
    </row>
    <row r="5520" spans="1:13" ht="15.6" hidden="1" x14ac:dyDescent="0.3">
      <c r="A5520" s="1" t="s">
        <v>15765</v>
      </c>
      <c r="B5520" s="1"/>
      <c r="C5520" s="1"/>
      <c r="D5520" s="1"/>
      <c r="E5520" s="1"/>
      <c r="F5520" s="1"/>
      <c r="G5520" s="1" t="s">
        <v>205</v>
      </c>
      <c r="H5520" s="2">
        <v>351</v>
      </c>
      <c r="I5520" s="1" t="s">
        <v>15766</v>
      </c>
      <c r="J5520" s="1" t="s">
        <v>687</v>
      </c>
      <c r="K5520" s="1" t="s">
        <v>51</v>
      </c>
      <c r="L5520" s="1" t="s">
        <v>15767</v>
      </c>
      <c r="M5520" s="6" t="str">
        <f>_xlfn.CONCAT(Table1[[#This Row],[Billing Street]], ", ", Table1[[#This Row],[Billing City]], ", ", Table1[[#This Row],[Billing State/Province]], ", ", Table1[[#This Row],[Billing Zip/Postal Code]])</f>
        <v>6834 Commerce Avenue, El Paso, TX, 79915</v>
      </c>
    </row>
    <row r="5521" spans="1:13" ht="15.6" hidden="1" x14ac:dyDescent="0.3">
      <c r="A5521" s="1" t="s">
        <v>15768</v>
      </c>
      <c r="B5521" s="1"/>
      <c r="C5521" s="1"/>
      <c r="D5521" s="1"/>
      <c r="E5521" s="1"/>
      <c r="F5521" s="1"/>
      <c r="G5521" s="1" t="s">
        <v>8</v>
      </c>
      <c r="H5521" s="2">
        <v>6528</v>
      </c>
      <c r="I5521" s="1" t="s">
        <v>13</v>
      </c>
      <c r="J5521" s="1" t="s">
        <v>13</v>
      </c>
      <c r="K5521" s="1" t="s">
        <v>13</v>
      </c>
      <c r="L5521" s="1" t="s">
        <v>13</v>
      </c>
      <c r="M5521" s="6" t="str">
        <f>_xlfn.CONCAT(Table1[[#This Row],[Billing Street]], ", ", Table1[[#This Row],[Billing City]], ", ", Table1[[#This Row],[Billing State/Province]], ", ", Table1[[#This Row],[Billing Zip/Postal Code]])</f>
        <v xml:space="preserve">, , , </v>
      </c>
    </row>
    <row r="5522" spans="1:13" ht="15.6" hidden="1" x14ac:dyDescent="0.3">
      <c r="A5522" s="1" t="s">
        <v>15769</v>
      </c>
      <c r="B5522" s="1"/>
      <c r="C5522" s="1"/>
      <c r="D5522" s="1"/>
      <c r="E5522" s="1"/>
      <c r="F5522" s="1"/>
      <c r="G5522" s="1" t="s">
        <v>48</v>
      </c>
      <c r="H5522" s="2">
        <v>0</v>
      </c>
      <c r="I5522" s="1" t="s">
        <v>15770</v>
      </c>
      <c r="J5522" s="1" t="s">
        <v>1858</v>
      </c>
      <c r="K5522" s="1" t="s">
        <v>15771</v>
      </c>
      <c r="L5522" s="1" t="s">
        <v>15772</v>
      </c>
      <c r="M5522" s="6" t="str">
        <f>_xlfn.CONCAT(Table1[[#This Row],[Billing Street]], ", ", Table1[[#This Row],[Billing City]], ", ", Table1[[#This Row],[Billing State/Province]], ", ", Table1[[#This Row],[Billing Zip/Postal Code]])</f>
        <v>775 Dudleyville Rd., Greenville, ILL, 62246-</v>
      </c>
    </row>
    <row r="5523" spans="1:13" ht="15.6" hidden="1" x14ac:dyDescent="0.3">
      <c r="A5523" s="1" t="s">
        <v>15773</v>
      </c>
      <c r="B5523" s="1"/>
      <c r="C5523" s="1"/>
      <c r="D5523" s="1"/>
      <c r="E5523" s="1"/>
      <c r="F5523" s="1"/>
      <c r="G5523" s="1" t="s">
        <v>48</v>
      </c>
      <c r="H5523" s="2">
        <v>0</v>
      </c>
      <c r="I5523" s="1" t="s">
        <v>15136</v>
      </c>
      <c r="J5523" s="1" t="s">
        <v>7648</v>
      </c>
      <c r="K5523" s="1" t="s">
        <v>133</v>
      </c>
      <c r="L5523" s="1" t="s">
        <v>15137</v>
      </c>
      <c r="M5523" s="6" t="str">
        <f>_xlfn.CONCAT(Table1[[#This Row],[Billing Street]], ", ", Table1[[#This Row],[Billing City]], ", ", Table1[[#This Row],[Billing State/Province]], ", ", Table1[[#This Row],[Billing Zip/Postal Code]])</f>
        <v>2300 Badger Drive, Waukesha, WI, 53188</v>
      </c>
    </row>
    <row r="5524" spans="1:13" ht="15.6" hidden="1" x14ac:dyDescent="0.3">
      <c r="A5524" s="1" t="s">
        <v>15774</v>
      </c>
      <c r="B5524" s="1"/>
      <c r="C5524" s="1"/>
      <c r="D5524" s="1"/>
      <c r="E5524" s="1"/>
      <c r="F5524" s="1"/>
      <c r="G5524" s="1" t="s">
        <v>8</v>
      </c>
      <c r="H5524" s="2">
        <v>6528</v>
      </c>
      <c r="I5524" s="1" t="s">
        <v>13</v>
      </c>
      <c r="J5524" s="1" t="s">
        <v>13</v>
      </c>
      <c r="K5524" s="1" t="s">
        <v>13</v>
      </c>
      <c r="L5524" s="1" t="s">
        <v>13</v>
      </c>
      <c r="M5524" s="6" t="str">
        <f>_xlfn.CONCAT(Table1[[#This Row],[Billing Street]], ", ", Table1[[#This Row],[Billing City]], ", ", Table1[[#This Row],[Billing State/Province]], ", ", Table1[[#This Row],[Billing Zip/Postal Code]])</f>
        <v xml:space="preserve">, , , </v>
      </c>
    </row>
    <row r="5525" spans="1:13" ht="15.6" hidden="1" x14ac:dyDescent="0.3">
      <c r="A5525" s="1" t="s">
        <v>15775</v>
      </c>
      <c r="B5525" s="1"/>
      <c r="C5525" s="1"/>
      <c r="D5525" s="1"/>
      <c r="E5525" s="1"/>
      <c r="F5525" s="1"/>
      <c r="G5525" s="1" t="s">
        <v>54</v>
      </c>
      <c r="H5525" s="2">
        <v>7813</v>
      </c>
      <c r="I5525" s="1" t="s">
        <v>13</v>
      </c>
      <c r="J5525" s="1" t="s">
        <v>13</v>
      </c>
      <c r="K5525" s="1" t="s">
        <v>13</v>
      </c>
      <c r="L5525" s="1" t="s">
        <v>13</v>
      </c>
      <c r="M5525" s="6" t="str">
        <f>_xlfn.CONCAT(Table1[[#This Row],[Billing Street]], ", ", Table1[[#This Row],[Billing City]], ", ", Table1[[#This Row],[Billing State/Province]], ", ", Table1[[#This Row],[Billing Zip/Postal Code]])</f>
        <v xml:space="preserve">, , , </v>
      </c>
    </row>
    <row r="5526" spans="1:13" ht="15.6" hidden="1" x14ac:dyDescent="0.3">
      <c r="A5526" s="1" t="s">
        <v>15776</v>
      </c>
      <c r="B5526" s="1"/>
      <c r="C5526" s="1"/>
      <c r="D5526" s="1"/>
      <c r="E5526" s="1"/>
      <c r="F5526" s="1"/>
      <c r="G5526" s="1" t="s">
        <v>54</v>
      </c>
      <c r="H5526" s="2">
        <v>305</v>
      </c>
      <c r="I5526" s="1" t="s">
        <v>15777</v>
      </c>
      <c r="J5526" s="1" t="s">
        <v>1390</v>
      </c>
      <c r="K5526" s="1" t="s">
        <v>4411</v>
      </c>
      <c r="L5526" s="1" t="s">
        <v>15778</v>
      </c>
      <c r="M5526" s="6" t="str">
        <f>_xlfn.CONCAT(Table1[[#This Row],[Billing Street]], ", ", Table1[[#This Row],[Billing City]], ", ", Table1[[#This Row],[Billing State/Province]], ", ", Table1[[#This Row],[Billing Zip/Postal Code]])</f>
        <v>200 E Santa Clara St, San Jose, California, 95113</v>
      </c>
    </row>
    <row r="5527" spans="1:13" ht="15.6" hidden="1" x14ac:dyDescent="0.3">
      <c r="A5527" s="1" t="s">
        <v>15779</v>
      </c>
      <c r="B5527" s="1"/>
      <c r="C5527" s="1"/>
      <c r="D5527" s="1"/>
      <c r="E5527" s="1"/>
      <c r="F5527" s="1"/>
      <c r="G5527" s="1" t="s">
        <v>8</v>
      </c>
      <c r="H5527" s="2">
        <v>50</v>
      </c>
      <c r="I5527" s="1" t="s">
        <v>15780</v>
      </c>
      <c r="J5527" s="1" t="s">
        <v>8968</v>
      </c>
      <c r="K5527" s="1" t="s">
        <v>147</v>
      </c>
      <c r="L5527" s="1" t="s">
        <v>8969</v>
      </c>
      <c r="M5527" s="6" t="str">
        <f>_xlfn.CONCAT(Table1[[#This Row],[Billing Street]], ", ", Table1[[#This Row],[Billing City]], ", ", Table1[[#This Row],[Billing State/Province]], ", ", Table1[[#This Row],[Billing Zip/Postal Code]])</f>
        <v>500 S Lynn Riggs Blvd_x000D_
#296, Claremore, OK, 74017</v>
      </c>
    </row>
    <row r="5528" spans="1:13" ht="15.6" hidden="1" x14ac:dyDescent="0.3">
      <c r="A5528" s="1" t="s">
        <v>15781</v>
      </c>
      <c r="B5528" s="1"/>
      <c r="C5528" s="1"/>
      <c r="D5528" s="1"/>
      <c r="E5528" s="1"/>
      <c r="F5528" s="1"/>
      <c r="G5528" s="1" t="s">
        <v>98</v>
      </c>
      <c r="H5528" s="2">
        <v>197</v>
      </c>
      <c r="I5528" s="1" t="s">
        <v>15782</v>
      </c>
      <c r="J5528" s="1" t="s">
        <v>418</v>
      </c>
      <c r="K5528" s="1" t="s">
        <v>101</v>
      </c>
      <c r="L5528" s="1" t="s">
        <v>15783</v>
      </c>
      <c r="M5528" s="6" t="str">
        <f>_xlfn.CONCAT(Table1[[#This Row],[Billing Street]], ", ", Table1[[#This Row],[Billing City]], ", ", Table1[[#This Row],[Billing State/Province]], ", ", Table1[[#This Row],[Billing Zip/Postal Code]])</f>
        <v>311 Highway 119, Springfield, GA, 31329</v>
      </c>
    </row>
    <row r="5529" spans="1:13" ht="15.6" hidden="1" x14ac:dyDescent="0.3">
      <c r="A5529" s="1" t="s">
        <v>15784</v>
      </c>
      <c r="B5529" s="1"/>
      <c r="C5529" s="1"/>
      <c r="D5529" s="1"/>
      <c r="E5529" s="1"/>
      <c r="F5529" s="1"/>
      <c r="G5529" s="1" t="s">
        <v>54</v>
      </c>
      <c r="H5529" s="2">
        <v>343</v>
      </c>
      <c r="I5529" s="1" t="s">
        <v>15785</v>
      </c>
      <c r="J5529" s="1" t="s">
        <v>5277</v>
      </c>
      <c r="K5529" s="1" t="s">
        <v>4411</v>
      </c>
      <c r="L5529" s="1" t="s">
        <v>15786</v>
      </c>
      <c r="M5529" s="6" t="str">
        <f>_xlfn.CONCAT(Table1[[#This Row],[Billing Street]], ", ", Table1[[#This Row],[Billing City]], ", ", Table1[[#This Row],[Billing State/Province]], ", ", Table1[[#This Row],[Billing Zip/Postal Code]])</f>
        <v>375 11th St, Oakland, California, 94607</v>
      </c>
    </row>
    <row r="5530" spans="1:13" ht="15.6" hidden="1" x14ac:dyDescent="0.3">
      <c r="A5530" s="1" t="s">
        <v>15787</v>
      </c>
      <c r="B5530" s="1"/>
      <c r="C5530" s="1"/>
      <c r="D5530" s="1"/>
      <c r="E5530" s="1"/>
      <c r="F5530" s="1"/>
      <c r="G5530" s="1" t="s">
        <v>8</v>
      </c>
      <c r="H5530" s="2">
        <v>6528</v>
      </c>
      <c r="I5530" s="1" t="s">
        <v>13</v>
      </c>
      <c r="J5530" s="1" t="s">
        <v>13</v>
      </c>
      <c r="K5530" s="1" t="s">
        <v>13</v>
      </c>
      <c r="L5530" s="1" t="s">
        <v>13</v>
      </c>
      <c r="M5530" s="6" t="str">
        <f>_xlfn.CONCAT(Table1[[#This Row],[Billing Street]], ", ", Table1[[#This Row],[Billing City]], ", ", Table1[[#This Row],[Billing State/Province]], ", ", Table1[[#This Row],[Billing Zip/Postal Code]])</f>
        <v xml:space="preserve">, , , </v>
      </c>
    </row>
    <row r="5531" spans="1:13" ht="15.6" hidden="1" x14ac:dyDescent="0.3">
      <c r="A5531" s="1" t="s">
        <v>15788</v>
      </c>
      <c r="B5531" s="1"/>
      <c r="C5531" s="1"/>
      <c r="D5531" s="1"/>
      <c r="E5531" s="1"/>
      <c r="F5531" s="1"/>
      <c r="G5531" s="1" t="s">
        <v>54</v>
      </c>
      <c r="H5531" s="2">
        <v>7813</v>
      </c>
      <c r="I5531" s="1" t="s">
        <v>13</v>
      </c>
      <c r="J5531" s="1" t="s">
        <v>13</v>
      </c>
      <c r="K5531" s="1" t="s">
        <v>13</v>
      </c>
      <c r="L5531" s="1" t="s">
        <v>13</v>
      </c>
      <c r="M5531" s="6" t="str">
        <f>_xlfn.CONCAT(Table1[[#This Row],[Billing Street]], ", ", Table1[[#This Row],[Billing City]], ", ", Table1[[#This Row],[Billing State/Province]], ", ", Table1[[#This Row],[Billing Zip/Postal Code]])</f>
        <v xml:space="preserve">, , , </v>
      </c>
    </row>
    <row r="5532" spans="1:13" ht="15.6" hidden="1" x14ac:dyDescent="0.3">
      <c r="A5532" s="1" t="s">
        <v>15789</v>
      </c>
      <c r="B5532" s="1"/>
      <c r="C5532" s="1"/>
      <c r="D5532" s="1"/>
      <c r="E5532" s="1"/>
      <c r="F5532" s="1"/>
      <c r="G5532" s="1" t="s">
        <v>8</v>
      </c>
      <c r="H5532" s="2">
        <v>6528</v>
      </c>
      <c r="I5532" s="1" t="s">
        <v>13</v>
      </c>
      <c r="J5532" s="1" t="s">
        <v>13</v>
      </c>
      <c r="K5532" s="1" t="s">
        <v>13</v>
      </c>
      <c r="L5532" s="1" t="s">
        <v>13</v>
      </c>
      <c r="M5532" s="6" t="str">
        <f>_xlfn.CONCAT(Table1[[#This Row],[Billing Street]], ", ", Table1[[#This Row],[Billing City]], ", ", Table1[[#This Row],[Billing State/Province]], ", ", Table1[[#This Row],[Billing Zip/Postal Code]])</f>
        <v xml:space="preserve">, , , </v>
      </c>
    </row>
    <row r="5533" spans="1:13" ht="15.6" hidden="1" x14ac:dyDescent="0.3">
      <c r="A5533" s="1" t="s">
        <v>15790</v>
      </c>
      <c r="B5533" s="1"/>
      <c r="C5533" s="1"/>
      <c r="D5533" s="1"/>
      <c r="E5533" s="1"/>
      <c r="F5533" s="1"/>
      <c r="G5533" s="1" t="s">
        <v>54</v>
      </c>
      <c r="H5533" s="2">
        <v>7813</v>
      </c>
      <c r="I5533" s="1" t="s">
        <v>13</v>
      </c>
      <c r="J5533" s="1" t="s">
        <v>13</v>
      </c>
      <c r="K5533" s="1" t="s">
        <v>13</v>
      </c>
      <c r="L5533" s="1" t="s">
        <v>13</v>
      </c>
      <c r="M5533" s="6" t="str">
        <f>_xlfn.CONCAT(Table1[[#This Row],[Billing Street]], ", ", Table1[[#This Row],[Billing City]], ", ", Table1[[#This Row],[Billing State/Province]], ", ", Table1[[#This Row],[Billing Zip/Postal Code]])</f>
        <v xml:space="preserve">, , , </v>
      </c>
    </row>
    <row r="5534" spans="1:13" ht="15.6" hidden="1" x14ac:dyDescent="0.3">
      <c r="A5534" s="1" t="s">
        <v>15791</v>
      </c>
      <c r="B5534" s="1"/>
      <c r="C5534" s="1"/>
      <c r="D5534" s="1"/>
      <c r="E5534" s="1"/>
      <c r="F5534" s="1"/>
      <c r="G5534" s="1" t="s">
        <v>54</v>
      </c>
      <c r="H5534" s="2">
        <v>2123</v>
      </c>
      <c r="I5534" s="1" t="s">
        <v>15792</v>
      </c>
      <c r="J5534" s="1" t="s">
        <v>15793</v>
      </c>
      <c r="K5534" s="1" t="s">
        <v>10429</v>
      </c>
      <c r="L5534" s="1" t="s">
        <v>15794</v>
      </c>
      <c r="M5534" s="6" t="str">
        <f>_xlfn.CONCAT(Table1[[#This Row],[Billing Street]], ", ", Table1[[#This Row],[Billing City]], ", ", Table1[[#This Row],[Billing State/Province]], ", ", Table1[[#This Row],[Billing Zip/Postal Code]])</f>
        <v>1000 American Bridge Way, Coraopolis, Pennsylvania, 15108</v>
      </c>
    </row>
    <row r="5535" spans="1:13" ht="15.6" hidden="1" x14ac:dyDescent="0.3">
      <c r="A5535" s="1" t="s">
        <v>15795</v>
      </c>
      <c r="B5535" s="1"/>
      <c r="C5535" s="1"/>
      <c r="D5535" s="1"/>
      <c r="E5535" s="1"/>
      <c r="F5535" s="1"/>
      <c r="G5535" s="1" t="s">
        <v>54</v>
      </c>
      <c r="H5535" s="2">
        <v>7813</v>
      </c>
      <c r="I5535" s="1" t="s">
        <v>13</v>
      </c>
      <c r="J5535" s="1" t="s">
        <v>13</v>
      </c>
      <c r="K5535" s="1" t="s">
        <v>13</v>
      </c>
      <c r="L5535" s="1" t="s">
        <v>13</v>
      </c>
      <c r="M5535" s="6" t="str">
        <f>_xlfn.CONCAT(Table1[[#This Row],[Billing Street]], ", ", Table1[[#This Row],[Billing City]], ", ", Table1[[#This Row],[Billing State/Province]], ", ", Table1[[#This Row],[Billing Zip/Postal Code]])</f>
        <v xml:space="preserve">, , , </v>
      </c>
    </row>
    <row r="5536" spans="1:13" ht="15.6" hidden="1" x14ac:dyDescent="0.3">
      <c r="A5536" s="1" t="s">
        <v>15796</v>
      </c>
      <c r="B5536" s="1"/>
      <c r="C5536" s="1"/>
      <c r="D5536" s="1"/>
      <c r="E5536" s="1"/>
      <c r="F5536" s="1"/>
      <c r="G5536" s="1" t="s">
        <v>48</v>
      </c>
      <c r="H5536" s="2">
        <v>0</v>
      </c>
      <c r="I5536" s="1" t="s">
        <v>15797</v>
      </c>
      <c r="J5536" s="1" t="s">
        <v>9417</v>
      </c>
      <c r="K5536" s="1" t="s">
        <v>26</v>
      </c>
      <c r="L5536" s="1" t="s">
        <v>15798</v>
      </c>
      <c r="M5536" s="6" t="str">
        <f>_xlfn.CONCAT(Table1[[#This Row],[Billing Street]], ", ", Table1[[#This Row],[Billing City]], ", ", Table1[[#This Row],[Billing State/Province]], ", ", Table1[[#This Row],[Billing Zip/Postal Code]])</f>
        <v>417 Commerce Drive, Huntsville, AL, 35801</v>
      </c>
    </row>
    <row r="5537" spans="1:13" ht="15.6" hidden="1" x14ac:dyDescent="0.3">
      <c r="A5537" s="1" t="s">
        <v>15799</v>
      </c>
      <c r="B5537" s="1"/>
      <c r="C5537" s="1"/>
      <c r="D5537" s="1"/>
      <c r="E5537" s="1"/>
      <c r="F5537" s="1"/>
      <c r="G5537" s="1" t="s">
        <v>48</v>
      </c>
      <c r="H5537" s="2">
        <v>0</v>
      </c>
      <c r="I5537" s="1" t="s">
        <v>15800</v>
      </c>
      <c r="J5537" s="1" t="s">
        <v>15801</v>
      </c>
      <c r="K5537" s="1" t="s">
        <v>1191</v>
      </c>
      <c r="L5537" s="1" t="s">
        <v>15802</v>
      </c>
      <c r="M5537" s="6" t="str">
        <f>_xlfn.CONCAT(Table1[[#This Row],[Billing Street]], ", ", Table1[[#This Row],[Billing City]], ", ", Table1[[#This Row],[Billing State/Province]], ", ", Table1[[#This Row],[Billing Zip/Postal Code]])</f>
        <v>4552 Happy Valley Road, Cave City, KY, 42127</v>
      </c>
    </row>
    <row r="5538" spans="1:13" ht="15.6" hidden="1" x14ac:dyDescent="0.3">
      <c r="A5538" s="1" t="s">
        <v>15803</v>
      </c>
      <c r="B5538" s="1"/>
      <c r="C5538" s="1"/>
      <c r="D5538" s="1"/>
      <c r="E5538" s="1"/>
      <c r="F5538" s="1"/>
      <c r="G5538" s="1" t="s">
        <v>8</v>
      </c>
      <c r="H5538" s="2">
        <v>151</v>
      </c>
      <c r="I5538" s="1" t="s">
        <v>15804</v>
      </c>
      <c r="J5538" s="1" t="s">
        <v>434</v>
      </c>
      <c r="K5538" s="1" t="s">
        <v>147</v>
      </c>
      <c r="L5538" s="1" t="s">
        <v>15805</v>
      </c>
      <c r="M5538" s="6" t="str">
        <f>_xlfn.CONCAT(Table1[[#This Row],[Billing Street]], ", ", Table1[[#This Row],[Billing City]], ", ", Table1[[#This Row],[Billing State/Province]], ", ", Table1[[#This Row],[Billing Zip/Postal Code]])</f>
        <v>1129 NW 10th Street, Oklahoma City, OK, 73099</v>
      </c>
    </row>
    <row r="5539" spans="1:13" ht="15.6" hidden="1" x14ac:dyDescent="0.3">
      <c r="A5539" s="1" t="s">
        <v>15806</v>
      </c>
      <c r="B5539" s="1"/>
      <c r="C5539" s="1"/>
      <c r="D5539" s="1"/>
      <c r="E5539" s="1"/>
      <c r="F5539" s="1"/>
      <c r="G5539" s="1" t="s">
        <v>54</v>
      </c>
      <c r="H5539" s="2">
        <v>22</v>
      </c>
      <c r="I5539" s="1" t="s">
        <v>15807</v>
      </c>
      <c r="J5539" s="1" t="s">
        <v>2048</v>
      </c>
      <c r="K5539" s="1" t="s">
        <v>4411</v>
      </c>
      <c r="L5539" s="1" t="s">
        <v>6365</v>
      </c>
      <c r="M5539" s="6" t="str">
        <f>_xlfn.CONCAT(Table1[[#This Row],[Billing Street]], ", ", Table1[[#This Row],[Billing City]], ", ", Table1[[#This Row],[Billing State/Province]], ", ", Table1[[#This Row],[Billing Zip/Postal Code]])</f>
        <v>9200 Oakdale Ave, Los Angeles, California, 91311</v>
      </c>
    </row>
    <row r="5540" spans="1:13" ht="15.6" hidden="1" x14ac:dyDescent="0.3">
      <c r="A5540" s="1" t="s">
        <v>15808</v>
      </c>
      <c r="B5540" s="1"/>
      <c r="C5540" s="1"/>
      <c r="D5540" s="1"/>
      <c r="E5540" s="1"/>
      <c r="F5540" s="1"/>
      <c r="G5540" s="1" t="s">
        <v>8</v>
      </c>
      <c r="H5540" s="2">
        <v>6528</v>
      </c>
      <c r="I5540" s="1" t="s">
        <v>15809</v>
      </c>
      <c r="J5540" s="1" t="s">
        <v>526</v>
      </c>
      <c r="K5540" s="1" t="s">
        <v>152</v>
      </c>
      <c r="L5540" s="1" t="s">
        <v>13</v>
      </c>
      <c r="M5540" s="6" t="str">
        <f>_xlfn.CONCAT(Table1[[#This Row],[Billing Street]], ", ", Table1[[#This Row],[Billing City]], ", ", Table1[[#This Row],[Billing State/Province]], ", ", Table1[[#This Row],[Billing Zip/Postal Code]])</f>
        <v xml:space="preserve">1655 Hubbard Avenue, Decatur, IL, </v>
      </c>
    </row>
    <row r="5541" spans="1:13" ht="15.6" hidden="1" x14ac:dyDescent="0.3">
      <c r="A5541" s="1" t="s">
        <v>15810</v>
      </c>
      <c r="B5541" s="1"/>
      <c r="C5541" s="1"/>
      <c r="D5541" s="1"/>
      <c r="E5541" s="1"/>
      <c r="F5541" s="1"/>
      <c r="G5541" s="1" t="s">
        <v>48</v>
      </c>
      <c r="H5541" s="2">
        <v>0</v>
      </c>
      <c r="I5541" s="1" t="s">
        <v>15811</v>
      </c>
      <c r="J5541" s="1" t="s">
        <v>15812</v>
      </c>
      <c r="K5541" s="1" t="s">
        <v>720</v>
      </c>
      <c r="L5541" s="1" t="s">
        <v>15813</v>
      </c>
      <c r="M5541" s="6" t="str">
        <f>_xlfn.CONCAT(Table1[[#This Row],[Billing Street]], ", ", Table1[[#This Row],[Billing City]], ", ", Table1[[#This Row],[Billing State/Province]], ", ", Table1[[#This Row],[Billing Zip/Postal Code]])</f>
        <v>312 Rising Sun Road, Bordentown, NJ, 08505</v>
      </c>
    </row>
    <row r="5542" spans="1:13" ht="15.6" hidden="1" x14ac:dyDescent="0.3">
      <c r="A5542" s="1" t="s">
        <v>15814</v>
      </c>
      <c r="B5542" s="1"/>
      <c r="C5542" s="1"/>
      <c r="D5542" s="1"/>
      <c r="E5542" s="1"/>
      <c r="F5542" s="1"/>
      <c r="G5542" s="1" t="s">
        <v>48</v>
      </c>
      <c r="H5542" s="2">
        <v>0</v>
      </c>
      <c r="I5542" s="1" t="s">
        <v>15815</v>
      </c>
      <c r="J5542" s="1" t="s">
        <v>711</v>
      </c>
      <c r="K5542" s="1" t="s">
        <v>45</v>
      </c>
      <c r="L5542" s="1" t="s">
        <v>15816</v>
      </c>
      <c r="M5542" s="6" t="str">
        <f>_xlfn.CONCAT(Table1[[#This Row],[Billing Street]], ", ", Table1[[#This Row],[Billing City]], ", ", Table1[[#This Row],[Billing State/Province]], ", ", Table1[[#This Row],[Billing Zip/Postal Code]])</f>
        <v>505 King Avenue, Columbus, OH, 43201</v>
      </c>
    </row>
    <row r="5543" spans="1:13" ht="15.6" hidden="1" x14ac:dyDescent="0.3">
      <c r="A5543" s="1" t="s">
        <v>15817</v>
      </c>
      <c r="B5543" s="1"/>
      <c r="C5543" s="1"/>
      <c r="D5543" s="1"/>
      <c r="E5543" s="1"/>
      <c r="F5543" s="1"/>
      <c r="G5543" s="1" t="s">
        <v>48</v>
      </c>
      <c r="H5543" s="2">
        <v>0</v>
      </c>
      <c r="I5543" s="1" t="s">
        <v>15818</v>
      </c>
      <c r="J5543" s="1" t="s">
        <v>11114</v>
      </c>
      <c r="K5543" s="1" t="s">
        <v>15819</v>
      </c>
      <c r="L5543" s="1" t="s">
        <v>15820</v>
      </c>
      <c r="M5543" s="6" t="str">
        <f>_xlfn.CONCAT(Table1[[#This Row],[Billing Street]], ", ", Table1[[#This Row],[Billing City]], ", ", Table1[[#This Row],[Billing State/Province]], ", ", Table1[[#This Row],[Billing Zip/Postal Code]])</f>
        <v>7600 S Meridian Rd, Meridian, Idaho, 83642</v>
      </c>
    </row>
    <row r="5544" spans="1:13" ht="15.6" hidden="1" x14ac:dyDescent="0.3">
      <c r="A5544" s="1" t="s">
        <v>15821</v>
      </c>
      <c r="B5544" s="1"/>
      <c r="C5544" s="1"/>
      <c r="D5544" s="1"/>
      <c r="E5544" s="1"/>
      <c r="F5544" s="1"/>
      <c r="G5544" s="1" t="s">
        <v>8</v>
      </c>
      <c r="H5544" s="2">
        <v>6528</v>
      </c>
      <c r="I5544" s="1" t="s">
        <v>13</v>
      </c>
      <c r="J5544" s="1" t="s">
        <v>13</v>
      </c>
      <c r="K5544" s="1" t="s">
        <v>13</v>
      </c>
      <c r="L5544" s="1" t="s">
        <v>13</v>
      </c>
      <c r="M5544" s="6" t="str">
        <f>_xlfn.CONCAT(Table1[[#This Row],[Billing Street]], ", ", Table1[[#This Row],[Billing City]], ", ", Table1[[#This Row],[Billing State/Province]], ", ", Table1[[#This Row],[Billing Zip/Postal Code]])</f>
        <v xml:space="preserve">, , , </v>
      </c>
    </row>
    <row r="5545" spans="1:13" ht="15.6" hidden="1" x14ac:dyDescent="0.3">
      <c r="A5545" s="1" t="s">
        <v>15822</v>
      </c>
      <c r="B5545" s="1"/>
      <c r="C5545" s="1"/>
      <c r="D5545" s="1"/>
      <c r="E5545" s="1"/>
      <c r="F5545" s="1"/>
      <c r="G5545" s="1" t="s">
        <v>48</v>
      </c>
      <c r="H5545" s="2">
        <v>0</v>
      </c>
      <c r="I5545" s="1" t="s">
        <v>13</v>
      </c>
      <c r="J5545" s="1" t="s">
        <v>13</v>
      </c>
      <c r="K5545" s="1" t="s">
        <v>13</v>
      </c>
      <c r="L5545" s="1" t="s">
        <v>13</v>
      </c>
      <c r="M5545" s="6" t="str">
        <f>_xlfn.CONCAT(Table1[[#This Row],[Billing Street]], ", ", Table1[[#This Row],[Billing City]], ", ", Table1[[#This Row],[Billing State/Province]], ", ", Table1[[#This Row],[Billing Zip/Postal Code]])</f>
        <v xml:space="preserve">, , , </v>
      </c>
    </row>
    <row r="5546" spans="1:13" ht="15.6" hidden="1" x14ac:dyDescent="0.3">
      <c r="A5546" s="1" t="s">
        <v>15823</v>
      </c>
      <c r="B5546" s="1"/>
      <c r="C5546" s="1"/>
      <c r="D5546" s="1"/>
      <c r="E5546" s="1"/>
      <c r="F5546" s="1"/>
      <c r="G5546" s="1" t="s">
        <v>54</v>
      </c>
      <c r="H5546" s="2">
        <v>348</v>
      </c>
      <c r="I5546" s="1" t="s">
        <v>15824</v>
      </c>
      <c r="J5546" s="1" t="s">
        <v>182</v>
      </c>
      <c r="K5546" s="1" t="s">
        <v>4411</v>
      </c>
      <c r="L5546" s="1" t="s">
        <v>15825</v>
      </c>
      <c r="M5546" s="6" t="str">
        <f>_xlfn.CONCAT(Table1[[#This Row],[Billing Street]], ", ", Table1[[#This Row],[Billing City]], ", ", Table1[[#This Row],[Billing State/Province]], ", ", Table1[[#This Row],[Billing Zip/Postal Code]])</f>
        <v>1 Dr Carlton B Goodlett Pl, San Francisco, California, 94102</v>
      </c>
    </row>
    <row r="5547" spans="1:13" ht="15.6" hidden="1" x14ac:dyDescent="0.3">
      <c r="A5547" s="1" t="s">
        <v>15826</v>
      </c>
      <c r="B5547" s="1"/>
      <c r="C5547" s="1"/>
      <c r="D5547" s="1"/>
      <c r="E5547" s="1"/>
      <c r="F5547" s="1"/>
      <c r="G5547" s="1" t="s">
        <v>43</v>
      </c>
      <c r="H5547" s="2">
        <v>270</v>
      </c>
      <c r="I5547" s="1" t="s">
        <v>15827</v>
      </c>
      <c r="J5547" s="1" t="s">
        <v>261</v>
      </c>
      <c r="K5547" s="1" t="s">
        <v>237</v>
      </c>
      <c r="L5547" s="1" t="s">
        <v>1337</v>
      </c>
      <c r="M5547" s="6" t="str">
        <f>_xlfn.CONCAT(Table1[[#This Row],[Billing Street]], ", ", Table1[[#This Row],[Billing City]], ", ", Table1[[#This Row],[Billing State/Province]], ", ", Table1[[#This Row],[Billing Zip/Postal Code]])</f>
        <v>4007 Guion Lane, Indianapolis, IN, 46268</v>
      </c>
    </row>
    <row r="5548" spans="1:13" ht="15.6" hidden="1" x14ac:dyDescent="0.3">
      <c r="A5548" s="1" t="s">
        <v>15828</v>
      </c>
      <c r="B5548" s="1"/>
      <c r="C5548" s="1"/>
      <c r="D5548" s="1"/>
      <c r="E5548" s="1"/>
      <c r="F5548" s="1"/>
      <c r="G5548" s="1" t="s">
        <v>48</v>
      </c>
      <c r="H5548" s="2">
        <v>0</v>
      </c>
      <c r="I5548" s="1" t="s">
        <v>15829</v>
      </c>
      <c r="J5548" s="1" t="s">
        <v>860</v>
      </c>
      <c r="K5548" s="1" t="s">
        <v>31</v>
      </c>
      <c r="L5548" s="1" t="s">
        <v>6690</v>
      </c>
      <c r="M5548" s="6" t="str">
        <f>_xlfn.CONCAT(Table1[[#This Row],[Billing Street]], ", ", Table1[[#This Row],[Billing City]], ", ", Table1[[#This Row],[Billing State/Province]], ", ", Table1[[#This Row],[Billing Zip/Postal Code]])</f>
        <v>201 Kettering St., Greenwood, MS, 38930</v>
      </c>
    </row>
    <row r="5549" spans="1:13" ht="15.6" hidden="1" x14ac:dyDescent="0.3">
      <c r="A5549" s="1" t="s">
        <v>15830</v>
      </c>
      <c r="B5549" s="1"/>
      <c r="C5549" s="1"/>
      <c r="D5549" s="1"/>
      <c r="E5549" s="1"/>
      <c r="F5549" s="1"/>
      <c r="G5549" s="1" t="s">
        <v>48</v>
      </c>
      <c r="H5549" s="2">
        <v>0</v>
      </c>
      <c r="I5549" s="1" t="s">
        <v>15831</v>
      </c>
      <c r="J5549" s="1" t="s">
        <v>4384</v>
      </c>
      <c r="K5549" s="1" t="s">
        <v>4987</v>
      </c>
      <c r="L5549" s="1" t="s">
        <v>15832</v>
      </c>
      <c r="M5549" s="6" t="str">
        <f>_xlfn.CONCAT(Table1[[#This Row],[Billing Street]], ", ", Table1[[#This Row],[Billing City]], ", ", Table1[[#This Row],[Billing State/Province]], ", ", Table1[[#This Row],[Billing Zip/Postal Code]])</f>
        <v>15 Trowbridge Drive, Bethel, CT, 06801</v>
      </c>
    </row>
    <row r="5550" spans="1:13" ht="15.6" hidden="1" x14ac:dyDescent="0.3">
      <c r="A5550" s="1" t="s">
        <v>15833</v>
      </c>
      <c r="B5550" s="1"/>
      <c r="C5550" s="1"/>
      <c r="D5550" s="1"/>
      <c r="E5550" s="1"/>
      <c r="F5550" s="1"/>
      <c r="G5550" s="1" t="s">
        <v>48</v>
      </c>
      <c r="H5550" s="2">
        <v>0</v>
      </c>
      <c r="I5550" s="1" t="s">
        <v>15834</v>
      </c>
      <c r="J5550" s="1" t="s">
        <v>10305</v>
      </c>
      <c r="K5550" s="1" t="s">
        <v>671</v>
      </c>
      <c r="L5550" s="1" t="s">
        <v>15835</v>
      </c>
      <c r="M5550" s="6" t="str">
        <f>_xlfn.CONCAT(Table1[[#This Row],[Billing Street]], ", ", Table1[[#This Row],[Billing City]], ", ", Table1[[#This Row],[Billing State/Province]], ", ", Table1[[#This Row],[Billing Zip/Postal Code]])</f>
        <v>3881 Danbury Rd, Brewster, NY, 10509</v>
      </c>
    </row>
    <row r="5551" spans="1:13" ht="15.6" hidden="1" x14ac:dyDescent="0.3">
      <c r="A5551" s="1" t="s">
        <v>15836</v>
      </c>
      <c r="B5551" s="1"/>
      <c r="C5551" s="1"/>
      <c r="D5551" s="1"/>
      <c r="E5551" s="1"/>
      <c r="F5551" s="1"/>
      <c r="G5551" s="1" t="s">
        <v>48</v>
      </c>
      <c r="H5551" s="2">
        <v>0</v>
      </c>
      <c r="I5551" s="1" t="s">
        <v>15837</v>
      </c>
      <c r="J5551" s="1" t="s">
        <v>637</v>
      </c>
      <c r="K5551" s="1" t="s">
        <v>31</v>
      </c>
      <c r="L5551" s="1" t="s">
        <v>15838</v>
      </c>
      <c r="M5551" s="6" t="str">
        <f>_xlfn.CONCAT(Table1[[#This Row],[Billing Street]], ", ", Table1[[#This Row],[Billing City]], ", ", Table1[[#This Row],[Billing State/Province]], ", ", Table1[[#This Row],[Billing Zip/Postal Code]])</f>
        <v>1505 Eastover Drive, Jackson, MS, 39216</v>
      </c>
    </row>
    <row r="5552" spans="1:13" ht="15.6" hidden="1" x14ac:dyDescent="0.3">
      <c r="A5552" s="1" t="s">
        <v>15839</v>
      </c>
      <c r="B5552" s="1"/>
      <c r="C5552" s="1"/>
      <c r="D5552" s="1"/>
      <c r="E5552" s="1"/>
      <c r="F5552" s="1"/>
      <c r="G5552" s="1" t="s">
        <v>8</v>
      </c>
      <c r="H5552" s="2">
        <v>6528</v>
      </c>
      <c r="I5552" s="1" t="s">
        <v>13</v>
      </c>
      <c r="J5552" s="1" t="s">
        <v>13</v>
      </c>
      <c r="K5552" s="1" t="s">
        <v>13</v>
      </c>
      <c r="L5552" s="1" t="s">
        <v>13</v>
      </c>
      <c r="M5552" s="6" t="str">
        <f>_xlfn.CONCAT(Table1[[#This Row],[Billing Street]], ", ", Table1[[#This Row],[Billing City]], ", ", Table1[[#This Row],[Billing State/Province]], ", ", Table1[[#This Row],[Billing Zip/Postal Code]])</f>
        <v xml:space="preserve">, , , </v>
      </c>
    </row>
    <row r="5553" spans="1:13" ht="15.6" hidden="1" x14ac:dyDescent="0.3">
      <c r="A5553" s="1" t="s">
        <v>15840</v>
      </c>
      <c r="B5553" s="1"/>
      <c r="C5553" s="1"/>
      <c r="D5553" s="1"/>
      <c r="E5553" s="1"/>
      <c r="F5553" s="1"/>
      <c r="G5553" s="1" t="s">
        <v>8</v>
      </c>
      <c r="H5553" s="2">
        <v>6528</v>
      </c>
      <c r="I5553" s="1" t="s">
        <v>13</v>
      </c>
      <c r="J5553" s="1" t="s">
        <v>4590</v>
      </c>
      <c r="K5553" s="1" t="s">
        <v>11</v>
      </c>
      <c r="L5553" s="1" t="s">
        <v>13</v>
      </c>
      <c r="M5553" s="6" t="str">
        <f>_xlfn.CONCAT(Table1[[#This Row],[Billing Street]], ", ", Table1[[#This Row],[Billing City]], ", ", Table1[[#This Row],[Billing State/Province]], ", ", Table1[[#This Row],[Billing Zip/Postal Code]])</f>
        <v xml:space="preserve">, Washington, MO, </v>
      </c>
    </row>
    <row r="5554" spans="1:13" ht="15.6" hidden="1" x14ac:dyDescent="0.3">
      <c r="A5554" s="1" t="s">
        <v>15841</v>
      </c>
      <c r="B5554" s="1"/>
      <c r="C5554" s="1"/>
      <c r="D5554" s="1"/>
      <c r="E5554" s="1"/>
      <c r="F5554" s="1"/>
      <c r="G5554" s="1" t="s">
        <v>8</v>
      </c>
      <c r="H5554" s="2">
        <v>496</v>
      </c>
      <c r="I5554" s="1" t="s">
        <v>15842</v>
      </c>
      <c r="J5554" s="1" t="s">
        <v>557</v>
      </c>
      <c r="K5554" s="1" t="s">
        <v>51</v>
      </c>
      <c r="L5554" s="1" t="s">
        <v>15843</v>
      </c>
      <c r="M5554" s="6" t="str">
        <f>_xlfn.CONCAT(Table1[[#This Row],[Billing Street]], ", ", Table1[[#This Row],[Billing City]], ", ", Table1[[#This Row],[Billing State/Province]], ", ", Table1[[#This Row],[Billing Zip/Postal Code]])</f>
        <v>8901 Jameel Road #180, Houston, TX, 77040</v>
      </c>
    </row>
    <row r="5555" spans="1:13" ht="15.6" hidden="1" x14ac:dyDescent="0.3">
      <c r="A5555" s="1" t="s">
        <v>15844</v>
      </c>
      <c r="B5555" s="1"/>
      <c r="C5555" s="1"/>
      <c r="D5555" s="1"/>
      <c r="E5555" s="1"/>
      <c r="F5555" s="1"/>
      <c r="G5555" s="1" t="s">
        <v>48</v>
      </c>
      <c r="H5555" s="2">
        <v>0</v>
      </c>
      <c r="I5555" s="1" t="s">
        <v>7702</v>
      </c>
      <c r="J5555" s="1" t="s">
        <v>6100</v>
      </c>
      <c r="K5555" s="1" t="s">
        <v>51</v>
      </c>
      <c r="L5555" s="1" t="s">
        <v>7703</v>
      </c>
      <c r="M5555" s="6" t="str">
        <f>_xlfn.CONCAT(Table1[[#This Row],[Billing Street]], ", ", Table1[[#This Row],[Billing City]], ", ", Table1[[#This Row],[Billing State/Province]], ", ", Table1[[#This Row],[Billing Zip/Postal Code]])</f>
        <v>4931 Space Center Drive, San Antonio, TX, 78218</v>
      </c>
    </row>
    <row r="5556" spans="1:13" ht="15.6" hidden="1" x14ac:dyDescent="0.3">
      <c r="A5556" s="1" t="s">
        <v>15845</v>
      </c>
      <c r="B5556" s="1"/>
      <c r="C5556" s="1"/>
      <c r="D5556" s="1"/>
      <c r="E5556" s="1"/>
      <c r="F5556" s="1"/>
      <c r="G5556" s="1" t="s">
        <v>8</v>
      </c>
      <c r="H5556" s="2">
        <v>6528</v>
      </c>
      <c r="I5556" s="1" t="s">
        <v>13</v>
      </c>
      <c r="J5556" s="1" t="s">
        <v>13</v>
      </c>
      <c r="K5556" s="1" t="s">
        <v>13</v>
      </c>
      <c r="L5556" s="1" t="s">
        <v>13</v>
      </c>
      <c r="M5556" s="6" t="str">
        <f>_xlfn.CONCAT(Table1[[#This Row],[Billing Street]], ", ", Table1[[#This Row],[Billing City]], ", ", Table1[[#This Row],[Billing State/Province]], ", ", Table1[[#This Row],[Billing Zip/Postal Code]])</f>
        <v xml:space="preserve">, , , </v>
      </c>
    </row>
    <row r="5557" spans="1:13" ht="15.6" hidden="1" x14ac:dyDescent="0.3">
      <c r="A5557" s="1" t="s">
        <v>11798</v>
      </c>
      <c r="B5557" s="1"/>
      <c r="C5557" s="1"/>
      <c r="D5557" s="1"/>
      <c r="E5557" s="1"/>
      <c r="F5557" s="1"/>
      <c r="G5557" s="1" t="s">
        <v>48</v>
      </c>
      <c r="H5557" s="2">
        <v>0</v>
      </c>
      <c r="I5557" s="1" t="s">
        <v>15846</v>
      </c>
      <c r="J5557" s="1" t="s">
        <v>3135</v>
      </c>
      <c r="K5557" s="1" t="s">
        <v>1178</v>
      </c>
      <c r="L5557" s="1" t="s">
        <v>15847</v>
      </c>
      <c r="M5557" s="6" t="str">
        <f>_xlfn.CONCAT(Table1[[#This Row],[Billing Street]], ", ", Table1[[#This Row],[Billing City]], ", ", Table1[[#This Row],[Billing State/Province]], ", ", Table1[[#This Row],[Billing Zip/Postal Code]])</f>
        <v>116 West Main Street, Youngsville, NC, 27596</v>
      </c>
    </row>
    <row r="5558" spans="1:13" ht="15.6" hidden="1" x14ac:dyDescent="0.3">
      <c r="A5558" s="1" t="s">
        <v>15848</v>
      </c>
      <c r="B5558" s="1"/>
      <c r="C5558" s="1"/>
      <c r="D5558" s="1"/>
      <c r="E5558" s="1"/>
      <c r="F5558" s="1"/>
      <c r="G5558" s="1" t="s">
        <v>48</v>
      </c>
      <c r="H5558" s="2">
        <v>0</v>
      </c>
      <c r="I5558" s="1" t="s">
        <v>15849</v>
      </c>
      <c r="J5558" s="1" t="s">
        <v>3139</v>
      </c>
      <c r="K5558" s="1" t="s">
        <v>241</v>
      </c>
      <c r="L5558" s="1" t="s">
        <v>3140</v>
      </c>
      <c r="M5558" s="6" t="str">
        <f>_xlfn.CONCAT(Table1[[#This Row],[Billing Street]], ", ", Table1[[#This Row],[Billing City]], ", ", Table1[[#This Row],[Billing State/Province]], ", ", Table1[[#This Row],[Billing Zip/Postal Code]])</f>
        <v>130 Commonwealth Drive, Warrendale, PA, 15086</v>
      </c>
    </row>
    <row r="5559" spans="1:13" ht="15.6" hidden="1" x14ac:dyDescent="0.3">
      <c r="A5559" s="1" t="s">
        <v>15850</v>
      </c>
      <c r="B5559" s="1"/>
      <c r="C5559" s="1"/>
      <c r="D5559" s="1"/>
      <c r="E5559" s="1"/>
      <c r="F5559" s="1"/>
      <c r="G5559" s="1" t="s">
        <v>43</v>
      </c>
      <c r="H5559" s="2">
        <v>365</v>
      </c>
      <c r="I5559" s="1" t="s">
        <v>15851</v>
      </c>
      <c r="J5559" s="1" t="s">
        <v>15852</v>
      </c>
      <c r="K5559" s="1" t="s">
        <v>720</v>
      </c>
      <c r="L5559" s="1" t="s">
        <v>15853</v>
      </c>
      <c r="M5559" s="6" t="str">
        <f>_xlfn.CONCAT(Table1[[#This Row],[Billing Street]], ", ", Table1[[#This Row],[Billing City]], ", ", Table1[[#This Row],[Billing State/Province]], ", ", Table1[[#This Row],[Billing Zip/Postal Code]])</f>
        <v>11a South Gold Drive, Robbinsville Township, NJ, 08691</v>
      </c>
    </row>
    <row r="5560" spans="1:13" ht="15.6" hidden="1" x14ac:dyDescent="0.3">
      <c r="A5560" s="1" t="s">
        <v>15854</v>
      </c>
      <c r="B5560" s="1"/>
      <c r="C5560" s="1"/>
      <c r="D5560" s="1"/>
      <c r="E5560" s="1"/>
      <c r="F5560" s="1"/>
      <c r="G5560" s="1" t="s">
        <v>48</v>
      </c>
      <c r="H5560" s="2">
        <v>0</v>
      </c>
      <c r="I5560" s="1" t="s">
        <v>15855</v>
      </c>
      <c r="J5560" s="1" t="s">
        <v>216</v>
      </c>
      <c r="K5560" s="1" t="s">
        <v>133</v>
      </c>
      <c r="L5560" s="1" t="s">
        <v>1661</v>
      </c>
      <c r="M5560" s="6" t="str">
        <f>_xlfn.CONCAT(Table1[[#This Row],[Billing Street]], ", ", Table1[[#This Row],[Billing City]], ", ", Table1[[#This Row],[Billing State/Province]], ", ", Table1[[#This Row],[Billing Zip/Postal Code]])</f>
        <v>235 West Oklahoma Avenue, Milwaukee, WI, 53207</v>
      </c>
    </row>
    <row r="5561" spans="1:13" ht="15.6" hidden="1" x14ac:dyDescent="0.3">
      <c r="A5561" s="1" t="s">
        <v>15856</v>
      </c>
      <c r="B5561" s="1"/>
      <c r="C5561" s="1"/>
      <c r="D5561" s="1"/>
      <c r="E5561" s="1"/>
      <c r="F5561" s="1"/>
      <c r="G5561" s="1" t="s">
        <v>48</v>
      </c>
      <c r="H5561" s="2">
        <v>0</v>
      </c>
      <c r="I5561" s="1" t="s">
        <v>15857</v>
      </c>
      <c r="J5561" s="1" t="s">
        <v>557</v>
      </c>
      <c r="K5561" s="1" t="s">
        <v>4343</v>
      </c>
      <c r="L5561" s="1" t="s">
        <v>13516</v>
      </c>
      <c r="M5561" s="6" t="str">
        <f>_xlfn.CONCAT(Table1[[#This Row],[Billing Street]], ", ", Table1[[#This Row],[Billing City]], ", ", Table1[[#This Row],[Billing State/Province]], ", ", Table1[[#This Row],[Billing Zip/Postal Code]])</f>
        <v>17200 Park Row, Houston, Texas, 77084</v>
      </c>
    </row>
    <row r="5562" spans="1:13" ht="15.6" hidden="1" x14ac:dyDescent="0.3">
      <c r="A5562" s="1" t="s">
        <v>15858</v>
      </c>
      <c r="B5562" s="1"/>
      <c r="C5562" s="1"/>
      <c r="D5562" s="1"/>
      <c r="E5562" s="1"/>
      <c r="F5562" s="1"/>
      <c r="G5562" s="1" t="s">
        <v>48</v>
      </c>
      <c r="H5562" s="2">
        <v>0</v>
      </c>
      <c r="I5562" s="1" t="s">
        <v>15859</v>
      </c>
      <c r="J5562" s="1" t="s">
        <v>3557</v>
      </c>
      <c r="K5562" s="1" t="s">
        <v>128</v>
      </c>
      <c r="L5562" s="1" t="s">
        <v>6580</v>
      </c>
      <c r="M5562" s="6" t="str">
        <f>_xlfn.CONCAT(Table1[[#This Row],[Billing Street]], ", ", Table1[[#This Row],[Billing City]], ", ", Table1[[#This Row],[Billing State/Province]], ", ", Table1[[#This Row],[Billing Zip/Postal Code]])</f>
        <v>3890 Pheasant Ridge Drive Northeast, Blaine, MN, 55449</v>
      </c>
    </row>
    <row r="5563" spans="1:13" ht="15.6" hidden="1" x14ac:dyDescent="0.3">
      <c r="A5563" s="1" t="s">
        <v>15860</v>
      </c>
      <c r="B5563" s="1"/>
      <c r="C5563" s="1"/>
      <c r="D5563" s="1"/>
      <c r="E5563" s="1"/>
      <c r="F5563" s="1"/>
      <c r="G5563" s="1" t="s">
        <v>48</v>
      </c>
      <c r="H5563" s="2">
        <v>0</v>
      </c>
      <c r="I5563" s="1" t="s">
        <v>15861</v>
      </c>
      <c r="J5563" s="1" t="s">
        <v>8259</v>
      </c>
      <c r="K5563" s="1" t="s">
        <v>133</v>
      </c>
      <c r="L5563" s="1" t="s">
        <v>8260</v>
      </c>
      <c r="M5563" s="6" t="str">
        <f>_xlfn.CONCAT(Table1[[#This Row],[Billing Street]], ", ", Table1[[#This Row],[Billing City]], ", ", Table1[[#This Row],[Billing State/Province]], ", ", Table1[[#This Row],[Billing Zip/Postal Code]])</f>
        <v>6279 Woodenshoe Road, Neenah, WI, 54956</v>
      </c>
    </row>
    <row r="5564" spans="1:13" ht="15.6" hidden="1" x14ac:dyDescent="0.3">
      <c r="A5564" s="1" t="s">
        <v>15862</v>
      </c>
      <c r="B5564" s="1"/>
      <c r="C5564" s="1"/>
      <c r="D5564" s="1"/>
      <c r="E5564" s="1"/>
      <c r="F5564" s="1"/>
      <c r="G5564" s="1" t="s">
        <v>48</v>
      </c>
      <c r="H5564" s="2">
        <v>0</v>
      </c>
      <c r="I5564" s="1" t="s">
        <v>15863</v>
      </c>
      <c r="J5564" s="1" t="s">
        <v>5057</v>
      </c>
      <c r="K5564" s="1" t="s">
        <v>51</v>
      </c>
      <c r="L5564" s="1" t="s">
        <v>5058</v>
      </c>
      <c r="M5564" s="6" t="str">
        <f>_xlfn.CONCAT(Table1[[#This Row],[Billing Street]], ", ", Table1[[#This Row],[Billing City]], ", ", Table1[[#This Row],[Billing State/Province]], ", ", Table1[[#This Row],[Billing Zip/Postal Code]])</f>
        <v>1923 U.S. 287, Corrigan, TX, 75939</v>
      </c>
    </row>
    <row r="5565" spans="1:13" ht="15.6" hidden="1" x14ac:dyDescent="0.3">
      <c r="A5565" s="1" t="s">
        <v>15864</v>
      </c>
      <c r="B5565" s="1"/>
      <c r="C5565" s="1"/>
      <c r="D5565" s="1"/>
      <c r="E5565" s="1"/>
      <c r="F5565" s="1"/>
      <c r="G5565" s="1" t="s">
        <v>48</v>
      </c>
      <c r="H5565" s="2">
        <v>0</v>
      </c>
      <c r="I5565" s="1" t="s">
        <v>15865</v>
      </c>
      <c r="J5565" s="1" t="s">
        <v>557</v>
      </c>
      <c r="K5565" s="1" t="s">
        <v>51</v>
      </c>
      <c r="L5565" s="1" t="s">
        <v>15866</v>
      </c>
      <c r="M5565" s="6" t="str">
        <f>_xlfn.CONCAT(Table1[[#This Row],[Billing Street]], ", ", Table1[[#This Row],[Billing City]], ", ", Table1[[#This Row],[Billing State/Province]], ", ", Table1[[#This Row],[Billing Zip/Postal Code]])</f>
        <v>1225 North Loop West #705, Houston, TX, 77008</v>
      </c>
    </row>
    <row r="5566" spans="1:13" ht="15.6" hidden="1" x14ac:dyDescent="0.3">
      <c r="A5566" s="1" t="s">
        <v>15867</v>
      </c>
      <c r="B5566" s="1"/>
      <c r="C5566" s="1"/>
      <c r="D5566" s="1"/>
      <c r="E5566" s="1"/>
      <c r="F5566" s="1"/>
      <c r="G5566" s="1" t="s">
        <v>48</v>
      </c>
      <c r="H5566" s="2">
        <v>0</v>
      </c>
      <c r="I5566" s="1" t="s">
        <v>15868</v>
      </c>
      <c r="J5566" s="1" t="s">
        <v>1944</v>
      </c>
      <c r="K5566" s="1" t="s">
        <v>36</v>
      </c>
      <c r="L5566" s="1" t="s">
        <v>15869</v>
      </c>
      <c r="M5566" s="6" t="str">
        <f>_xlfn.CONCAT(Table1[[#This Row],[Billing Street]], ", ", Table1[[#This Row],[Billing City]], ", ", Table1[[#This Row],[Billing State/Province]], ", ", Table1[[#This Row],[Billing Zip/Postal Code]])</f>
        <v>5070 Swindell Road, Lakeland, FL, 33810</v>
      </c>
    </row>
    <row r="5567" spans="1:13" ht="15.6" hidden="1" x14ac:dyDescent="0.3">
      <c r="A5567" s="1" t="s">
        <v>15870</v>
      </c>
      <c r="B5567" s="1"/>
      <c r="C5567" s="1"/>
      <c r="D5567" s="1"/>
      <c r="E5567" s="1"/>
      <c r="F5567" s="1"/>
      <c r="G5567" s="1" t="s">
        <v>48</v>
      </c>
      <c r="H5567" s="2">
        <v>0</v>
      </c>
      <c r="I5567" s="1" t="s">
        <v>15871</v>
      </c>
      <c r="J5567" s="1" t="s">
        <v>6256</v>
      </c>
      <c r="K5567" s="1" t="s">
        <v>82</v>
      </c>
      <c r="L5567" s="1" t="s">
        <v>15872</v>
      </c>
      <c r="M5567" s="6" t="str">
        <f>_xlfn.CONCAT(Table1[[#This Row],[Billing Street]], ", ", Table1[[#This Row],[Billing City]], ", ", Table1[[#This Row],[Billing State/Province]], ", ", Table1[[#This Row],[Billing Zip/Postal Code]])</f>
        <v>P.O. Box 0998, Midland, MI, 48686</v>
      </c>
    </row>
    <row r="5568" spans="1:13" ht="15.6" hidden="1" x14ac:dyDescent="0.3">
      <c r="A5568" s="1" t="s">
        <v>15873</v>
      </c>
      <c r="B5568" s="1"/>
      <c r="C5568" s="1"/>
      <c r="D5568" s="1"/>
      <c r="E5568" s="1"/>
      <c r="F5568" s="1"/>
      <c r="G5568" s="1" t="s">
        <v>54</v>
      </c>
      <c r="H5568" s="2">
        <v>7813</v>
      </c>
      <c r="I5568" s="1" t="s">
        <v>13</v>
      </c>
      <c r="J5568" s="1" t="s">
        <v>13</v>
      </c>
      <c r="K5568" s="1" t="s">
        <v>13</v>
      </c>
      <c r="L5568" s="1" t="s">
        <v>13</v>
      </c>
      <c r="M5568" s="6" t="str">
        <f>_xlfn.CONCAT(Table1[[#This Row],[Billing Street]], ", ", Table1[[#This Row],[Billing City]], ", ", Table1[[#This Row],[Billing State/Province]], ", ", Table1[[#This Row],[Billing Zip/Postal Code]])</f>
        <v xml:space="preserve">, , , </v>
      </c>
    </row>
    <row r="5569" spans="1:13" ht="15.6" hidden="1" x14ac:dyDescent="0.3">
      <c r="A5569" s="1" t="s">
        <v>15874</v>
      </c>
      <c r="B5569" s="1"/>
      <c r="C5569" s="1"/>
      <c r="D5569" s="1"/>
      <c r="E5569" s="1"/>
      <c r="F5569" s="1"/>
      <c r="G5569" s="1" t="s">
        <v>48</v>
      </c>
      <c r="H5569" s="2">
        <v>0</v>
      </c>
      <c r="I5569" s="1" t="s">
        <v>15875</v>
      </c>
      <c r="J5569" s="1" t="s">
        <v>15876</v>
      </c>
      <c r="K5569" s="1" t="s">
        <v>2028</v>
      </c>
      <c r="L5569" s="1" t="s">
        <v>15877</v>
      </c>
      <c r="M5569" s="6" t="str">
        <f>_xlfn.CONCAT(Table1[[#This Row],[Billing Street]], ", ", Table1[[#This Row],[Billing City]], ", ", Table1[[#This Row],[Billing State/Province]], ", ", Table1[[#This Row],[Billing Zip/Postal Code]])</f>
        <v>600 N Dayton Lakeview Rd, New Carlisle, Ohio, 45344</v>
      </c>
    </row>
    <row r="5570" spans="1:13" ht="15.6" hidden="1" x14ac:dyDescent="0.3">
      <c r="A5570" s="1" t="s">
        <v>15878</v>
      </c>
      <c r="B5570" s="1"/>
      <c r="C5570" s="1"/>
      <c r="D5570" s="1"/>
      <c r="E5570" s="1"/>
      <c r="F5570" s="1"/>
      <c r="G5570" s="1" t="s">
        <v>8</v>
      </c>
      <c r="H5570" s="2">
        <v>6528</v>
      </c>
      <c r="I5570" s="1" t="s">
        <v>13</v>
      </c>
      <c r="J5570" s="1" t="s">
        <v>13</v>
      </c>
      <c r="K5570" s="1" t="s">
        <v>13</v>
      </c>
      <c r="L5570" s="1" t="s">
        <v>13</v>
      </c>
      <c r="M5570" s="6" t="str">
        <f>_xlfn.CONCAT(Table1[[#This Row],[Billing Street]], ", ", Table1[[#This Row],[Billing City]], ", ", Table1[[#This Row],[Billing State/Province]], ", ", Table1[[#This Row],[Billing Zip/Postal Code]])</f>
        <v xml:space="preserve">, , , </v>
      </c>
    </row>
    <row r="5571" spans="1:13" ht="15.6" hidden="1" x14ac:dyDescent="0.3">
      <c r="A5571" s="1" t="s">
        <v>15879</v>
      </c>
      <c r="B5571" s="1"/>
      <c r="C5571" s="1"/>
      <c r="D5571" s="1"/>
      <c r="E5571" s="1"/>
      <c r="F5571" s="1"/>
      <c r="G5571" s="1" t="s">
        <v>205</v>
      </c>
      <c r="H5571" s="2">
        <v>7481</v>
      </c>
      <c r="I5571" s="1" t="s">
        <v>13</v>
      </c>
      <c r="J5571" s="1" t="s">
        <v>13</v>
      </c>
      <c r="K5571" s="1" t="s">
        <v>13</v>
      </c>
      <c r="L5571" s="1" t="s">
        <v>13</v>
      </c>
      <c r="M5571" s="6" t="str">
        <f>_xlfn.CONCAT(Table1[[#This Row],[Billing Street]], ", ", Table1[[#This Row],[Billing City]], ", ", Table1[[#This Row],[Billing State/Province]], ", ", Table1[[#This Row],[Billing Zip/Postal Code]])</f>
        <v xml:space="preserve">, , , </v>
      </c>
    </row>
    <row r="5572" spans="1:13" ht="15.6" x14ac:dyDescent="0.3">
      <c r="A5572" s="1" t="s">
        <v>15880</v>
      </c>
      <c r="B5572" s="1"/>
      <c r="C5572" s="1"/>
      <c r="D5572" s="1"/>
      <c r="E5572" s="1"/>
      <c r="F5572" s="1"/>
      <c r="G5572" s="1" t="s">
        <v>24</v>
      </c>
      <c r="H5572" s="2">
        <v>5988</v>
      </c>
      <c r="I5572" s="1" t="s">
        <v>13</v>
      </c>
      <c r="J5572" s="1" t="s">
        <v>13</v>
      </c>
      <c r="K5572" s="1" t="s">
        <v>13</v>
      </c>
      <c r="L5572" s="1" t="s">
        <v>13</v>
      </c>
      <c r="M5572" s="6" t="str">
        <f>_xlfn.CONCAT(Table1[[#This Row],[Billing Street]], ", ", Table1[[#This Row],[Billing City]], ", ", Table1[[#This Row],[Billing State/Province]], ", ", Table1[[#This Row],[Billing Zip/Postal Code]])</f>
        <v xml:space="preserve">, , , </v>
      </c>
    </row>
    <row r="5573" spans="1:13" ht="15.6" hidden="1" x14ac:dyDescent="0.3">
      <c r="A5573" s="1" t="s">
        <v>15881</v>
      </c>
      <c r="B5573" s="1"/>
      <c r="C5573" s="1"/>
      <c r="D5573" s="1"/>
      <c r="E5573" s="1"/>
      <c r="F5573" s="1"/>
      <c r="G5573" s="1" t="s">
        <v>8</v>
      </c>
      <c r="H5573" s="2">
        <v>6528</v>
      </c>
      <c r="I5573" s="1" t="s">
        <v>13</v>
      </c>
      <c r="J5573" s="1" t="s">
        <v>15882</v>
      </c>
      <c r="K5573" s="1" t="s">
        <v>4343</v>
      </c>
      <c r="L5573" s="1" t="s">
        <v>13</v>
      </c>
      <c r="M5573" s="6" t="str">
        <f>_xlfn.CONCAT(Table1[[#This Row],[Billing Street]], ", ", Table1[[#This Row],[Billing City]], ", ", Table1[[#This Row],[Billing State/Province]], ", ", Table1[[#This Row],[Billing Zip/Postal Code]])</f>
        <v xml:space="preserve">, Llano, Texas, </v>
      </c>
    </row>
    <row r="5574" spans="1:13" ht="15.6" hidden="1" x14ac:dyDescent="0.3">
      <c r="A5574" s="1" t="s">
        <v>15883</v>
      </c>
      <c r="B5574" s="1"/>
      <c r="C5574" s="1"/>
      <c r="D5574" s="1"/>
      <c r="E5574" s="1"/>
      <c r="F5574" s="1"/>
      <c r="G5574" s="1" t="s">
        <v>8</v>
      </c>
      <c r="H5574" s="2">
        <v>6528</v>
      </c>
      <c r="I5574" s="1" t="s">
        <v>13</v>
      </c>
      <c r="J5574" s="1" t="s">
        <v>13</v>
      </c>
      <c r="K5574" s="1" t="s">
        <v>13</v>
      </c>
      <c r="L5574" s="1" t="s">
        <v>13</v>
      </c>
      <c r="M5574" s="6" t="str">
        <f>_xlfn.CONCAT(Table1[[#This Row],[Billing Street]], ", ", Table1[[#This Row],[Billing City]], ", ", Table1[[#This Row],[Billing State/Province]], ", ", Table1[[#This Row],[Billing Zip/Postal Code]])</f>
        <v xml:space="preserve">, , , </v>
      </c>
    </row>
    <row r="5575" spans="1:13" ht="15.6" hidden="1" x14ac:dyDescent="0.3">
      <c r="A5575" s="1" t="s">
        <v>15884</v>
      </c>
      <c r="B5575" s="1"/>
      <c r="C5575" s="1"/>
      <c r="D5575" s="1"/>
      <c r="E5575" s="1"/>
      <c r="F5575" s="1"/>
      <c r="G5575" s="1" t="s">
        <v>48</v>
      </c>
      <c r="H5575" s="2">
        <v>0</v>
      </c>
      <c r="I5575" s="1" t="s">
        <v>15885</v>
      </c>
      <c r="J5575" s="1" t="s">
        <v>2587</v>
      </c>
      <c r="K5575" s="1" t="s">
        <v>36</v>
      </c>
      <c r="L5575" s="1" t="s">
        <v>15402</v>
      </c>
      <c r="M5575" s="6" t="str">
        <f>_xlfn.CONCAT(Table1[[#This Row],[Billing Street]], ", ", Table1[[#This Row],[Billing City]], ", ", Table1[[#This Row],[Billing State/Province]], ", ", Table1[[#This Row],[Billing Zip/Postal Code]])</f>
        <v>8035 Northwest 60th Street, Miami, FL, 33166</v>
      </c>
    </row>
    <row r="5576" spans="1:13" ht="15.6" x14ac:dyDescent="0.3">
      <c r="A5576" s="1" t="s">
        <v>15886</v>
      </c>
      <c r="B5576" s="1"/>
      <c r="C5576" s="1"/>
      <c r="D5576" s="1"/>
      <c r="E5576" s="1"/>
      <c r="F5576" s="1"/>
      <c r="G5576" s="1" t="s">
        <v>24</v>
      </c>
      <c r="H5576" s="2">
        <v>5988</v>
      </c>
      <c r="I5576" s="1" t="s">
        <v>13</v>
      </c>
      <c r="J5576" s="1" t="s">
        <v>13</v>
      </c>
      <c r="K5576" s="1" t="s">
        <v>13</v>
      </c>
      <c r="L5576" s="1" t="s">
        <v>13</v>
      </c>
      <c r="M5576" s="6" t="str">
        <f>_xlfn.CONCAT(Table1[[#This Row],[Billing Street]], ", ", Table1[[#This Row],[Billing City]], ", ", Table1[[#This Row],[Billing State/Province]], ", ", Table1[[#This Row],[Billing Zip/Postal Code]])</f>
        <v xml:space="preserve">, , , </v>
      </c>
    </row>
    <row r="5577" spans="1:13" ht="15.6" hidden="1" x14ac:dyDescent="0.3">
      <c r="A5577" s="1" t="s">
        <v>15887</v>
      </c>
      <c r="B5577" s="1"/>
      <c r="C5577" s="1"/>
      <c r="D5577" s="1"/>
      <c r="E5577" s="1"/>
      <c r="F5577" s="1"/>
      <c r="G5577" s="1" t="s">
        <v>54</v>
      </c>
      <c r="H5577" s="2">
        <v>7813</v>
      </c>
      <c r="I5577" s="1" t="s">
        <v>13</v>
      </c>
      <c r="J5577" s="1" t="s">
        <v>13</v>
      </c>
      <c r="K5577" s="1" t="s">
        <v>13</v>
      </c>
      <c r="L5577" s="1" t="s">
        <v>13</v>
      </c>
      <c r="M5577" s="6" t="str">
        <f>_xlfn.CONCAT(Table1[[#This Row],[Billing Street]], ", ", Table1[[#This Row],[Billing City]], ", ", Table1[[#This Row],[Billing State/Province]], ", ", Table1[[#This Row],[Billing Zip/Postal Code]])</f>
        <v xml:space="preserve">, , , </v>
      </c>
    </row>
    <row r="5578" spans="1:13" ht="15.6" x14ac:dyDescent="0.3">
      <c r="A5578" s="1" t="s">
        <v>15888</v>
      </c>
      <c r="B5578" s="1"/>
      <c r="C5578" s="1"/>
      <c r="D5578" s="1"/>
      <c r="E5578" s="1"/>
      <c r="F5578" s="1"/>
      <c r="G5578" s="1" t="s">
        <v>24</v>
      </c>
      <c r="H5578" s="2">
        <v>5988</v>
      </c>
      <c r="I5578" s="1" t="s">
        <v>13</v>
      </c>
      <c r="J5578" s="1" t="s">
        <v>13</v>
      </c>
      <c r="K5578" s="1" t="s">
        <v>13</v>
      </c>
      <c r="L5578" s="1" t="s">
        <v>13</v>
      </c>
      <c r="M5578" s="6" t="str">
        <f>_xlfn.CONCAT(Table1[[#This Row],[Billing Street]], ", ", Table1[[#This Row],[Billing City]], ", ", Table1[[#This Row],[Billing State/Province]], ", ", Table1[[#This Row],[Billing Zip/Postal Code]])</f>
        <v xml:space="preserve">, , , </v>
      </c>
    </row>
    <row r="5579" spans="1:13" ht="15.6" hidden="1" x14ac:dyDescent="0.3">
      <c r="A5579" s="1" t="s">
        <v>15889</v>
      </c>
      <c r="B5579" s="1"/>
      <c r="C5579" s="1"/>
      <c r="D5579" s="1"/>
      <c r="E5579" s="1"/>
      <c r="F5579" s="1"/>
      <c r="G5579" s="1" t="s">
        <v>48</v>
      </c>
      <c r="H5579" s="2">
        <v>0</v>
      </c>
      <c r="I5579" s="1" t="s">
        <v>15890</v>
      </c>
      <c r="J5579" s="1" t="s">
        <v>1105</v>
      </c>
      <c r="K5579" s="1" t="s">
        <v>2610</v>
      </c>
      <c r="L5579" s="1" t="s">
        <v>15891</v>
      </c>
      <c r="M5579" s="6" t="str">
        <f>_xlfn.CONCAT(Table1[[#This Row],[Billing Street]], ", ", Table1[[#This Row],[Billing City]], ", ", Table1[[#This Row],[Billing State/Province]], ", ", Table1[[#This Row],[Billing Zip/Postal Code]])</f>
        <v>6301 Quad Avenue, Baltimore, MD, 21205</v>
      </c>
    </row>
    <row r="5580" spans="1:13" ht="15.6" hidden="1" x14ac:dyDescent="0.3">
      <c r="A5580" s="1" t="s">
        <v>15892</v>
      </c>
      <c r="B5580" s="1"/>
      <c r="C5580" s="1"/>
      <c r="D5580" s="1"/>
      <c r="E5580" s="1"/>
      <c r="F5580" s="1"/>
      <c r="G5580" s="1" t="s">
        <v>48</v>
      </c>
      <c r="H5580" s="2">
        <v>0</v>
      </c>
      <c r="I5580" s="1" t="s">
        <v>15893</v>
      </c>
      <c r="J5580" s="1" t="s">
        <v>212</v>
      </c>
      <c r="K5580" s="1" t="s">
        <v>15894</v>
      </c>
      <c r="L5580" s="1" t="s">
        <v>15895</v>
      </c>
      <c r="M5580" s="6" t="str">
        <f>_xlfn.CONCAT(Table1[[#This Row],[Billing Street]], ", ", Table1[[#This Row],[Billing City]], ", ", Table1[[#This Row],[Billing State/Province]], ", ", Table1[[#This Row],[Billing Zip/Postal Code]])</f>
        <v>2208 S 24th St, Omaha, Nebraska, 68108</v>
      </c>
    </row>
    <row r="5581" spans="1:13" ht="15.6" hidden="1" x14ac:dyDescent="0.3">
      <c r="A5581" s="1" t="s">
        <v>15896</v>
      </c>
      <c r="B5581" s="1"/>
      <c r="C5581" s="1"/>
      <c r="D5581" s="1"/>
      <c r="E5581" s="1"/>
      <c r="F5581" s="1"/>
      <c r="G5581" s="1" t="s">
        <v>48</v>
      </c>
      <c r="H5581" s="2">
        <v>0</v>
      </c>
      <c r="I5581" s="1" t="s">
        <v>15897</v>
      </c>
      <c r="J5581" s="1" t="s">
        <v>1858</v>
      </c>
      <c r="K5581" s="1" t="s">
        <v>234</v>
      </c>
      <c r="L5581" s="1" t="s">
        <v>15898</v>
      </c>
      <c r="M5581" s="6" t="str">
        <f>_xlfn.CONCAT(Table1[[#This Row],[Billing Street]], ", ", Table1[[#This Row],[Billing City]], ", ", Table1[[#This Row],[Billing State/Province]], ", ", Table1[[#This Row],[Billing Zip/Postal Code]])</f>
        <v>425 Forest Way, Greenville, SC, 29607</v>
      </c>
    </row>
    <row r="5582" spans="1:13" ht="15.6" hidden="1" x14ac:dyDescent="0.3">
      <c r="A5582" s="1" t="s">
        <v>15899</v>
      </c>
      <c r="B5582" s="1"/>
      <c r="C5582" s="1"/>
      <c r="D5582" s="1"/>
      <c r="E5582" s="1"/>
      <c r="F5582" s="1"/>
      <c r="G5582" s="1" t="s">
        <v>43</v>
      </c>
      <c r="H5582" s="2">
        <v>116</v>
      </c>
      <c r="I5582" s="1" t="s">
        <v>15900</v>
      </c>
      <c r="J5582" s="1" t="s">
        <v>12117</v>
      </c>
      <c r="K5582" s="1" t="s">
        <v>241</v>
      </c>
      <c r="L5582" s="1" t="s">
        <v>12118</v>
      </c>
      <c r="M5582" s="6" t="str">
        <f>_xlfn.CONCAT(Table1[[#This Row],[Billing Street]], ", ", Table1[[#This Row],[Billing City]], ", ", Table1[[#This Row],[Billing State/Province]], ", ", Table1[[#This Row],[Billing Zip/Postal Code]])</f>
        <v>1 Power Lane, Charleroi, PA, 15022</v>
      </c>
    </row>
    <row r="5583" spans="1:13" ht="15.6" hidden="1" x14ac:dyDescent="0.3">
      <c r="A5583" s="1" t="s">
        <v>15901</v>
      </c>
      <c r="B5583" s="1"/>
      <c r="C5583" s="1"/>
      <c r="D5583" s="1"/>
      <c r="E5583" s="1"/>
      <c r="F5583" s="1"/>
      <c r="G5583" s="1" t="s">
        <v>48</v>
      </c>
      <c r="H5583" s="2">
        <v>0</v>
      </c>
      <c r="I5583" s="1" t="s">
        <v>15902</v>
      </c>
      <c r="J5583" s="1" t="s">
        <v>15903</v>
      </c>
      <c r="K5583" s="1" t="s">
        <v>1115</v>
      </c>
      <c r="L5583" s="1" t="s">
        <v>15904</v>
      </c>
      <c r="M5583" s="6" t="str">
        <f>_xlfn.CONCAT(Table1[[#This Row],[Billing Street]], ", ", Table1[[#This Row],[Billing City]], ", ", Table1[[#This Row],[Billing State/Province]], ", ", Table1[[#This Row],[Billing Zip/Postal Code]])</f>
        <v>12141 Wilfong Court, Midlothian, VA, 23112</v>
      </c>
    </row>
    <row r="5584" spans="1:13" ht="15.6" hidden="1" x14ac:dyDescent="0.3">
      <c r="A5584" s="1" t="s">
        <v>15905</v>
      </c>
      <c r="B5584" s="1"/>
      <c r="C5584" s="1"/>
      <c r="D5584" s="1"/>
      <c r="E5584" s="1"/>
      <c r="F5584" s="1"/>
      <c r="G5584" s="1" t="s">
        <v>48</v>
      </c>
      <c r="H5584" s="2">
        <v>0</v>
      </c>
      <c r="I5584" s="1" t="s">
        <v>15906</v>
      </c>
      <c r="J5584" s="1" t="s">
        <v>4870</v>
      </c>
      <c r="K5584" s="1" t="s">
        <v>577</v>
      </c>
      <c r="L5584" s="1" t="s">
        <v>9740</v>
      </c>
      <c r="M5584" s="6" t="str">
        <f>_xlfn.CONCAT(Table1[[#This Row],[Billing Street]], ", ", Table1[[#This Row],[Billing City]], ", ", Table1[[#This Row],[Billing State/Province]], ", ", Table1[[#This Row],[Billing Zip/Postal Code]])</f>
        <v>39423 Babin Road, Gonzales, LA, 70737</v>
      </c>
    </row>
    <row r="5585" spans="1:13" ht="15.6" hidden="1" x14ac:dyDescent="0.3">
      <c r="A5585" s="1" t="s">
        <v>15907</v>
      </c>
      <c r="B5585" s="1"/>
      <c r="C5585" s="1"/>
      <c r="D5585" s="1"/>
      <c r="E5585" s="1"/>
      <c r="F5585" s="1"/>
      <c r="G5585" s="1" t="s">
        <v>54</v>
      </c>
      <c r="H5585" s="2">
        <v>1521</v>
      </c>
      <c r="I5585" s="1" t="s">
        <v>15908</v>
      </c>
      <c r="J5585" s="1" t="s">
        <v>1367</v>
      </c>
      <c r="K5585" s="1" t="s">
        <v>128</v>
      </c>
      <c r="L5585" s="1" t="s">
        <v>15909</v>
      </c>
      <c r="M5585" s="6" t="str">
        <f>_xlfn.CONCAT(Table1[[#This Row],[Billing Street]], ", ", Table1[[#This Row],[Billing City]], ", ", Table1[[#This Row],[Billing State/Province]], ", ", Table1[[#This Row],[Billing Zip/Postal Code]])</f>
        <v>212 3rd Ave N Suite 560, Minneapolis, MN, 55401</v>
      </c>
    </row>
    <row r="5586" spans="1:13" ht="15.6" hidden="1" x14ac:dyDescent="0.3">
      <c r="A5586" s="1" t="s">
        <v>15910</v>
      </c>
      <c r="B5586" s="1"/>
      <c r="C5586" s="1"/>
      <c r="D5586" s="1"/>
      <c r="E5586" s="1"/>
      <c r="F5586" s="1"/>
      <c r="G5586" s="1" t="s">
        <v>48</v>
      </c>
      <c r="H5586" s="2">
        <v>0</v>
      </c>
      <c r="I5586" s="1" t="s">
        <v>15911</v>
      </c>
      <c r="J5586" s="1" t="s">
        <v>15912</v>
      </c>
      <c r="K5586" s="1" t="s">
        <v>26</v>
      </c>
      <c r="L5586" s="1" t="s">
        <v>15913</v>
      </c>
      <c r="M5586" s="6" t="str">
        <f>_xlfn.CONCAT(Table1[[#This Row],[Billing Street]], ", ", Table1[[#This Row],[Billing City]], ", ", Table1[[#This Row],[Billing State/Province]], ", ", Table1[[#This Row],[Billing Zip/Postal Code]])</f>
        <v>5051 Cardinal Street, Trussville, AL, 35173</v>
      </c>
    </row>
    <row r="5587" spans="1:13" ht="15.6" hidden="1" x14ac:dyDescent="0.3">
      <c r="A5587" s="1" t="s">
        <v>15914</v>
      </c>
      <c r="B5587" s="1"/>
      <c r="C5587" s="1"/>
      <c r="D5587" s="1"/>
      <c r="E5587" s="1"/>
      <c r="F5587" s="1"/>
      <c r="G5587" s="1" t="s">
        <v>48</v>
      </c>
      <c r="H5587" s="2">
        <v>0</v>
      </c>
      <c r="I5587" s="1" t="s">
        <v>15915</v>
      </c>
      <c r="J5587" s="1" t="s">
        <v>15916</v>
      </c>
      <c r="K5587" s="1" t="s">
        <v>95</v>
      </c>
      <c r="L5587" s="1" t="s">
        <v>15917</v>
      </c>
      <c r="M5587" s="6" t="str">
        <f>_xlfn.CONCAT(Table1[[#This Row],[Billing Street]], ", ", Table1[[#This Row],[Billing City]], ", ", Table1[[#This Row],[Billing State/Province]], ", ", Table1[[#This Row],[Billing Zip/Postal Code]])</f>
        <v>110 Bond Road, Charlton, MA, 01087</v>
      </c>
    </row>
    <row r="5588" spans="1:13" ht="15.6" hidden="1" x14ac:dyDescent="0.3">
      <c r="A5588" s="1" t="s">
        <v>15918</v>
      </c>
      <c r="B5588" s="1"/>
      <c r="C5588" s="1"/>
      <c r="D5588" s="1"/>
      <c r="E5588" s="1"/>
      <c r="F5588" s="1"/>
      <c r="G5588" s="1" t="s">
        <v>48</v>
      </c>
      <c r="H5588" s="2">
        <v>0</v>
      </c>
      <c r="I5588" s="1" t="s">
        <v>15919</v>
      </c>
      <c r="J5588" s="1" t="s">
        <v>15920</v>
      </c>
      <c r="K5588" s="1" t="s">
        <v>241</v>
      </c>
      <c r="L5588" s="1" t="s">
        <v>15921</v>
      </c>
      <c r="M5588" s="6" t="str">
        <f>_xlfn.CONCAT(Table1[[#This Row],[Billing Street]], ", ", Table1[[#This Row],[Billing City]], ", ", Table1[[#This Row],[Billing State/Province]], ", ", Table1[[#This Row],[Billing Zip/Postal Code]])</f>
        <v>401 Coyle Curtain Road, Monongahela, PA, 15063</v>
      </c>
    </row>
    <row r="5589" spans="1:13" ht="15.6" hidden="1" x14ac:dyDescent="0.3">
      <c r="A5589" s="1" t="s">
        <v>15922</v>
      </c>
      <c r="B5589" s="1"/>
      <c r="C5589" s="1"/>
      <c r="D5589" s="1"/>
      <c r="E5589" s="1"/>
      <c r="F5589" s="1"/>
      <c r="G5589" s="1" t="s">
        <v>48</v>
      </c>
      <c r="H5589" s="2">
        <v>0</v>
      </c>
      <c r="I5589" s="1" t="s">
        <v>15923</v>
      </c>
      <c r="J5589" s="1" t="s">
        <v>50</v>
      </c>
      <c r="K5589" s="1" t="s">
        <v>51</v>
      </c>
      <c r="L5589" s="1" t="s">
        <v>15924</v>
      </c>
      <c r="M5589" s="6" t="str">
        <f>_xlfn.CONCAT(Table1[[#This Row],[Billing Street]], ", ", Table1[[#This Row],[Billing City]], ", ", Table1[[#This Row],[Billing State/Province]], ", ", Table1[[#This Row],[Billing Zip/Postal Code]])</f>
        <v>1121 Winston Street, Irving, TX, 75060</v>
      </c>
    </row>
    <row r="5590" spans="1:13" ht="15.6" hidden="1" x14ac:dyDescent="0.3">
      <c r="A5590" s="1" t="s">
        <v>15925</v>
      </c>
      <c r="B5590" s="1"/>
      <c r="C5590" s="1"/>
      <c r="D5590" s="1"/>
      <c r="E5590" s="1"/>
      <c r="F5590" s="1"/>
      <c r="G5590" s="1" t="s">
        <v>48</v>
      </c>
      <c r="H5590" s="2">
        <v>0</v>
      </c>
      <c r="I5590" s="1" t="s">
        <v>15926</v>
      </c>
      <c r="J5590" s="1" t="s">
        <v>15927</v>
      </c>
      <c r="K5590" s="1" t="s">
        <v>241</v>
      </c>
      <c r="L5590" s="1" t="s">
        <v>15928</v>
      </c>
      <c r="M5590" s="6" t="str">
        <f>_xlfn.CONCAT(Table1[[#This Row],[Billing Street]], ", ", Table1[[#This Row],[Billing City]], ", ", Table1[[#This Row],[Billing State/Province]], ", ", Table1[[#This Row],[Billing Zip/Postal Code]])</f>
        <v>311 South 7th Street, Connellsville, PA, 15425</v>
      </c>
    </row>
    <row r="5591" spans="1:13" ht="15.6" hidden="1" x14ac:dyDescent="0.3">
      <c r="A5591" s="1" t="s">
        <v>15929</v>
      </c>
      <c r="B5591" s="1"/>
      <c r="C5591" s="1"/>
      <c r="D5591" s="1"/>
      <c r="E5591" s="1"/>
      <c r="F5591" s="1"/>
      <c r="G5591" s="1" t="s">
        <v>48</v>
      </c>
      <c r="H5591" s="2">
        <v>0</v>
      </c>
      <c r="I5591" s="1" t="s">
        <v>8384</v>
      </c>
      <c r="J5591" s="1" t="s">
        <v>6047</v>
      </c>
      <c r="K5591" s="1" t="s">
        <v>4343</v>
      </c>
      <c r="L5591" s="1" t="s">
        <v>8385</v>
      </c>
      <c r="M5591" s="6" t="str">
        <f>_xlfn.CONCAT(Table1[[#This Row],[Billing Street]], ", ", Table1[[#This Row],[Billing City]], ", ", Table1[[#This Row],[Billing State/Province]], ", ", Table1[[#This Row],[Billing Zip/Postal Code]])</f>
        <v>1301 Broadway, Lubbock, Texas, 79401</v>
      </c>
    </row>
    <row r="5592" spans="1:13" ht="15.6" hidden="1" x14ac:dyDescent="0.3">
      <c r="A5592" s="1" t="s">
        <v>15930</v>
      </c>
      <c r="B5592" s="1"/>
      <c r="C5592" s="1"/>
      <c r="D5592" s="1"/>
      <c r="E5592" s="1"/>
      <c r="F5592" s="1"/>
      <c r="G5592" s="1" t="s">
        <v>48</v>
      </c>
      <c r="H5592" s="2">
        <v>0</v>
      </c>
      <c r="I5592" s="1" t="s">
        <v>13506</v>
      </c>
      <c r="J5592" s="1" t="s">
        <v>4402</v>
      </c>
      <c r="K5592" s="1" t="s">
        <v>577</v>
      </c>
      <c r="L5592" s="1" t="s">
        <v>4835</v>
      </c>
      <c r="M5592" s="6" t="str">
        <f>_xlfn.CONCAT(Table1[[#This Row],[Billing Street]], ", ", Table1[[#This Row],[Billing City]], ", ", Table1[[#This Row],[Billing State/Province]], ", ", Table1[[#This Row],[Billing Zip/Postal Code]])</f>
        <v>17100 Manchac Park Lane, Baton Rouge, LA, 70817</v>
      </c>
    </row>
    <row r="5593" spans="1:13" ht="15.6" hidden="1" x14ac:dyDescent="0.3">
      <c r="A5593" s="1" t="s">
        <v>15931</v>
      </c>
      <c r="B5593" s="1"/>
      <c r="C5593" s="1"/>
      <c r="D5593" s="1"/>
      <c r="E5593" s="1"/>
      <c r="F5593" s="1"/>
      <c r="G5593" s="1" t="s">
        <v>48</v>
      </c>
      <c r="H5593" s="2">
        <v>0</v>
      </c>
      <c r="I5593" s="1" t="s">
        <v>15932</v>
      </c>
      <c r="J5593" s="1" t="s">
        <v>5143</v>
      </c>
      <c r="K5593" s="1" t="s">
        <v>15933</v>
      </c>
      <c r="L5593" s="1" t="s">
        <v>5144</v>
      </c>
      <c r="M5593" s="6" t="str">
        <f>_xlfn.CONCAT(Table1[[#This Row],[Billing Street]], ", ", Table1[[#This Row],[Billing City]], ", ", Table1[[#This Row],[Billing State/Province]], ", ", Table1[[#This Row],[Billing Zip/Postal Code]])</f>
        <v>702 Greasy Ridge Rd, Clanton, Alabama, 35045</v>
      </c>
    </row>
    <row r="5594" spans="1:13" ht="15.6" hidden="1" x14ac:dyDescent="0.3">
      <c r="A5594" s="1" t="s">
        <v>15934</v>
      </c>
      <c r="B5594" s="1"/>
      <c r="C5594" s="1"/>
      <c r="D5594" s="1"/>
      <c r="E5594" s="1"/>
      <c r="F5594" s="1"/>
      <c r="G5594" s="1" t="s">
        <v>8</v>
      </c>
      <c r="H5594" s="2">
        <v>361</v>
      </c>
      <c r="I5594" s="1" t="s">
        <v>15935</v>
      </c>
      <c r="J5594" s="1" t="s">
        <v>15936</v>
      </c>
      <c r="K5594" s="1" t="s">
        <v>152</v>
      </c>
      <c r="L5594" s="1" t="s">
        <v>15937</v>
      </c>
      <c r="M5594" s="6" t="str">
        <f>_xlfn.CONCAT(Table1[[#This Row],[Billing Street]], ", ", Table1[[#This Row],[Billing City]], ", ", Table1[[#This Row],[Billing State/Province]], ", ", Table1[[#This Row],[Billing Zip/Postal Code]])</f>
        <v>875 Texas Eastern Road, Buncombe, IL, 62912</v>
      </c>
    </row>
    <row r="5595" spans="1:13" ht="15.6" hidden="1" x14ac:dyDescent="0.3">
      <c r="A5595" s="1" t="s">
        <v>15938</v>
      </c>
      <c r="B5595" s="1"/>
      <c r="C5595" s="1"/>
      <c r="D5595" s="1"/>
      <c r="E5595" s="1"/>
      <c r="F5595" s="1"/>
      <c r="G5595" s="1" t="s">
        <v>48</v>
      </c>
      <c r="H5595" s="2">
        <v>0</v>
      </c>
      <c r="I5595" s="1" t="s">
        <v>15681</v>
      </c>
      <c r="J5595" s="1" t="s">
        <v>25</v>
      </c>
      <c r="K5595" s="1" t="s">
        <v>4343</v>
      </c>
      <c r="L5595" s="1" t="s">
        <v>15682</v>
      </c>
      <c r="M5595" s="6" t="str">
        <f>_xlfn.CONCAT(Table1[[#This Row],[Billing Street]], ", ", Table1[[#This Row],[Billing City]], ", ", Table1[[#This Row],[Billing State/Province]], ", ", Table1[[#This Row],[Billing Zip/Postal Code]])</f>
        <v>18948 Freeport Dr, Montgomery, Texas, 77356</v>
      </c>
    </row>
    <row r="5596" spans="1:13" ht="15.6" hidden="1" x14ac:dyDescent="0.3">
      <c r="A5596" s="1" t="s">
        <v>15939</v>
      </c>
      <c r="B5596" s="1"/>
      <c r="C5596" s="1"/>
      <c r="D5596" s="1"/>
      <c r="E5596" s="1"/>
      <c r="F5596" s="1"/>
      <c r="G5596" s="1" t="s">
        <v>48</v>
      </c>
      <c r="H5596" s="2">
        <v>0</v>
      </c>
      <c r="I5596" s="1" t="s">
        <v>15940</v>
      </c>
      <c r="J5596" s="1" t="s">
        <v>15941</v>
      </c>
      <c r="K5596" s="1" t="s">
        <v>241</v>
      </c>
      <c r="L5596" s="1" t="s">
        <v>15942</v>
      </c>
      <c r="M5596" s="6" t="str">
        <f>_xlfn.CONCAT(Table1[[#This Row],[Billing Street]], ", ", Table1[[#This Row],[Billing City]], ", ", Table1[[#This Row],[Billing State/Province]], ", ", Table1[[#This Row],[Billing Zip/Postal Code]])</f>
        <v>118 Hawbaker Industrial Drive, State College, PA, 16803</v>
      </c>
    </row>
    <row r="5597" spans="1:13" ht="15.6" hidden="1" x14ac:dyDescent="0.3">
      <c r="A5597" s="1" t="s">
        <v>15943</v>
      </c>
      <c r="B5597" s="1"/>
      <c r="C5597" s="1"/>
      <c r="D5597" s="1"/>
      <c r="E5597" s="1"/>
      <c r="F5597" s="1"/>
      <c r="G5597" s="1" t="s">
        <v>48</v>
      </c>
      <c r="H5597" s="2">
        <v>0</v>
      </c>
      <c r="I5597" s="1" t="s">
        <v>15944</v>
      </c>
      <c r="J5597" s="1" t="s">
        <v>6080</v>
      </c>
      <c r="K5597" s="1" t="s">
        <v>198</v>
      </c>
      <c r="L5597" s="1" t="s">
        <v>6081</v>
      </c>
      <c r="M5597" s="6" t="str">
        <f>_xlfn.CONCAT(Table1[[#This Row],[Billing Street]], ", ", Table1[[#This Row],[Billing City]], ", ", Table1[[#This Row],[Billing State/Province]], ", ", Table1[[#This Row],[Billing Zip/Postal Code]])</f>
        <v>1116 West North Front Street, Grand Island, NE, 68801</v>
      </c>
    </row>
    <row r="5598" spans="1:13" ht="15.6" hidden="1" x14ac:dyDescent="0.3">
      <c r="A5598" s="1" t="s">
        <v>15945</v>
      </c>
      <c r="B5598" s="1"/>
      <c r="C5598" s="1"/>
      <c r="D5598" s="1"/>
      <c r="E5598" s="1"/>
      <c r="F5598" s="1"/>
      <c r="G5598" s="1" t="s">
        <v>48</v>
      </c>
      <c r="H5598" s="2">
        <v>0</v>
      </c>
      <c r="I5598" s="1" t="s">
        <v>15946</v>
      </c>
      <c r="J5598" s="1" t="s">
        <v>15947</v>
      </c>
      <c r="K5598" s="1" t="s">
        <v>2610</v>
      </c>
      <c r="L5598" s="1" t="s">
        <v>15948</v>
      </c>
      <c r="M5598" s="6" t="str">
        <f>_xlfn.CONCAT(Table1[[#This Row],[Billing Street]], ", ", Table1[[#This Row],[Billing City]], ", ", Table1[[#This Row],[Billing State/Province]], ", ", Table1[[#This Row],[Billing Zip/Postal Code]])</f>
        <v>337 Marba Road, Severna Park, MD, 21146</v>
      </c>
    </row>
    <row r="5599" spans="1:13" ht="15.6" hidden="1" x14ac:dyDescent="0.3">
      <c r="A5599" s="1" t="s">
        <v>15949</v>
      </c>
      <c r="B5599" s="1"/>
      <c r="C5599" s="1"/>
      <c r="D5599" s="1"/>
      <c r="E5599" s="1"/>
      <c r="F5599" s="1"/>
      <c r="G5599" s="1" t="s">
        <v>48</v>
      </c>
      <c r="H5599" s="2">
        <v>0</v>
      </c>
      <c r="I5599" s="1" t="s">
        <v>15950</v>
      </c>
      <c r="J5599" s="1" t="s">
        <v>12660</v>
      </c>
      <c r="K5599" s="1" t="s">
        <v>12661</v>
      </c>
      <c r="L5599" s="1" t="s">
        <v>12662</v>
      </c>
      <c r="M5599" s="6" t="str">
        <f>_xlfn.CONCAT(Table1[[#This Row],[Billing Street]], ", ", Table1[[#This Row],[Billing City]], ", ", Table1[[#This Row],[Billing State/Province]], ", ", Table1[[#This Row],[Billing Zip/Postal Code]])</f>
        <v>5410 Fairbanks Street, Anchorage, AK, 99518</v>
      </c>
    </row>
    <row r="5600" spans="1:13" ht="15.6" hidden="1" x14ac:dyDescent="0.3">
      <c r="A5600" s="1" t="s">
        <v>15951</v>
      </c>
      <c r="B5600" s="1"/>
      <c r="C5600" s="1"/>
      <c r="D5600" s="1"/>
      <c r="E5600" s="1"/>
      <c r="F5600" s="1"/>
      <c r="G5600" s="1" t="s">
        <v>8</v>
      </c>
      <c r="H5600" s="2">
        <v>6528</v>
      </c>
      <c r="I5600" s="1" t="s">
        <v>13</v>
      </c>
      <c r="J5600" s="1" t="s">
        <v>13</v>
      </c>
      <c r="K5600" s="1" t="s">
        <v>13</v>
      </c>
      <c r="L5600" s="1" t="s">
        <v>13</v>
      </c>
      <c r="M5600" s="6" t="str">
        <f>_xlfn.CONCAT(Table1[[#This Row],[Billing Street]], ", ", Table1[[#This Row],[Billing City]], ", ", Table1[[#This Row],[Billing State/Province]], ", ", Table1[[#This Row],[Billing Zip/Postal Code]])</f>
        <v xml:space="preserve">, , , </v>
      </c>
    </row>
    <row r="5601" spans="1:13" ht="15.6" hidden="1" x14ac:dyDescent="0.3">
      <c r="A5601" s="1" t="s">
        <v>15952</v>
      </c>
      <c r="B5601" s="1"/>
      <c r="C5601" s="1"/>
      <c r="D5601" s="1"/>
      <c r="E5601" s="1"/>
      <c r="F5601" s="1"/>
      <c r="G5601" s="1" t="s">
        <v>8</v>
      </c>
      <c r="H5601" s="2">
        <v>6528</v>
      </c>
      <c r="I5601" s="1" t="s">
        <v>13</v>
      </c>
      <c r="J5601" s="1" t="s">
        <v>1017</v>
      </c>
      <c r="K5601" s="1" t="s">
        <v>11</v>
      </c>
      <c r="L5601" s="1" t="s">
        <v>13</v>
      </c>
      <c r="M5601" s="6" t="str">
        <f>_xlfn.CONCAT(Table1[[#This Row],[Billing Street]], ", ", Table1[[#This Row],[Billing City]], ", ", Table1[[#This Row],[Billing State/Province]], ", ", Table1[[#This Row],[Billing Zip/Postal Code]])</f>
        <v xml:space="preserve">, Branson, MO, </v>
      </c>
    </row>
    <row r="5602" spans="1:13" ht="15.6" hidden="1" x14ac:dyDescent="0.3">
      <c r="A5602" s="1" t="s">
        <v>15953</v>
      </c>
      <c r="B5602" s="1"/>
      <c r="C5602" s="1"/>
      <c r="D5602" s="1"/>
      <c r="E5602" s="1"/>
      <c r="F5602" s="1"/>
      <c r="G5602" s="1" t="s">
        <v>48</v>
      </c>
      <c r="H5602" s="2">
        <v>0</v>
      </c>
      <c r="I5602" s="1" t="s">
        <v>15954</v>
      </c>
      <c r="J5602" s="1" t="s">
        <v>6432</v>
      </c>
      <c r="K5602" s="1" t="s">
        <v>57</v>
      </c>
      <c r="L5602" s="1" t="s">
        <v>6433</v>
      </c>
      <c r="M5602" s="6" t="str">
        <f>_xlfn.CONCAT(Table1[[#This Row],[Billing Street]], ", ", Table1[[#This Row],[Billing City]], ", ", Table1[[#This Row],[Billing State/Province]], ", ", Table1[[#This Row],[Billing Zip/Postal Code]])</f>
        <v>4900 Hopyard Road, Pleasanton, CA, 94588</v>
      </c>
    </row>
    <row r="5603" spans="1:13" ht="15.6" hidden="1" x14ac:dyDescent="0.3">
      <c r="A5603" s="1" t="s">
        <v>15955</v>
      </c>
      <c r="B5603" s="1"/>
      <c r="C5603" s="1"/>
      <c r="D5603" s="1"/>
      <c r="E5603" s="1"/>
      <c r="F5603" s="1"/>
      <c r="G5603" s="1" t="s">
        <v>48</v>
      </c>
      <c r="H5603" s="2">
        <v>0</v>
      </c>
      <c r="I5603" s="1" t="s">
        <v>15956</v>
      </c>
      <c r="J5603" s="1" t="s">
        <v>1785</v>
      </c>
      <c r="K5603" s="1" t="s">
        <v>15957</v>
      </c>
      <c r="L5603" s="1" t="s">
        <v>15958</v>
      </c>
      <c r="M5603" s="6" t="str">
        <f>_xlfn.CONCAT(Table1[[#This Row],[Billing Street]], ", ", Table1[[#This Row],[Billing City]], ", ", Table1[[#This Row],[Billing State/Province]], ", ", Table1[[#This Row],[Billing Zip/Postal Code]])</f>
        <v>2201 George Flagg Pkwy, Des Moines, Iowa, 50321</v>
      </c>
    </row>
    <row r="5604" spans="1:13" ht="15.6" hidden="1" x14ac:dyDescent="0.3">
      <c r="A5604" s="1" t="s">
        <v>15959</v>
      </c>
      <c r="B5604" s="1"/>
      <c r="C5604" s="1"/>
      <c r="D5604" s="1"/>
      <c r="E5604" s="1"/>
      <c r="F5604" s="1"/>
      <c r="G5604" s="1" t="s">
        <v>48</v>
      </c>
      <c r="H5604" s="2">
        <v>0</v>
      </c>
      <c r="I5604" s="1" t="s">
        <v>15960</v>
      </c>
      <c r="J5604" s="1" t="s">
        <v>5240</v>
      </c>
      <c r="K5604" s="1" t="s">
        <v>13419</v>
      </c>
      <c r="L5604" s="1" t="s">
        <v>15961</v>
      </c>
      <c r="M5604" s="6" t="str">
        <f>_xlfn.CONCAT(Table1[[#This Row],[Billing Street]], ", ", Table1[[#This Row],[Billing City]], ", ", Table1[[#This Row],[Billing State/Province]], ", ", Table1[[#This Row],[Billing Zip/Postal Code]])</f>
        <v>1135 Rumble Rd, Forsyth, Georgia, 31029</v>
      </c>
    </row>
    <row r="5605" spans="1:13" ht="15.6" hidden="1" x14ac:dyDescent="0.3">
      <c r="A5605" s="1" t="s">
        <v>15962</v>
      </c>
      <c r="B5605" s="1"/>
      <c r="C5605" s="1"/>
      <c r="D5605" s="1"/>
      <c r="E5605" s="1"/>
      <c r="F5605" s="1"/>
      <c r="G5605" s="1" t="s">
        <v>43</v>
      </c>
      <c r="H5605" s="2">
        <v>423</v>
      </c>
      <c r="I5605" s="1" t="s">
        <v>15963</v>
      </c>
      <c r="J5605" s="1" t="s">
        <v>15964</v>
      </c>
      <c r="K5605" s="1" t="s">
        <v>671</v>
      </c>
      <c r="L5605" s="1" t="s">
        <v>15965</v>
      </c>
      <c r="M5605" s="6" t="str">
        <f>_xlfn.CONCAT(Table1[[#This Row],[Billing Street]], ", ", Table1[[#This Row],[Billing City]], ", ", Table1[[#This Row],[Billing State/Province]], ", ", Table1[[#This Row],[Billing Zip/Postal Code]])</f>
        <v>96 Airport Road, Saranac Lake, NY, 12983</v>
      </c>
    </row>
    <row r="5606" spans="1:13" ht="15.6" x14ac:dyDescent="0.3">
      <c r="A5606" s="1" t="s">
        <v>15966</v>
      </c>
      <c r="B5606" s="1"/>
      <c r="C5606" s="1"/>
      <c r="D5606" s="1"/>
      <c r="E5606" s="1"/>
      <c r="F5606" s="1"/>
      <c r="G5606" s="1" t="s">
        <v>24</v>
      </c>
      <c r="H5606" s="2">
        <v>846</v>
      </c>
      <c r="I5606" s="1" t="s">
        <v>15967</v>
      </c>
      <c r="J5606" s="1" t="s">
        <v>15968</v>
      </c>
      <c r="K5606" s="1" t="s">
        <v>241</v>
      </c>
      <c r="L5606" s="1" t="s">
        <v>15969</v>
      </c>
      <c r="M5606" s="6" t="str">
        <f>_xlfn.CONCAT(Table1[[#This Row],[Billing Street]], ", ", Table1[[#This Row],[Billing City]], ", ", Table1[[#This Row],[Billing State/Province]], ", ", Table1[[#This Row],[Billing Zip/Postal Code]])</f>
        <v>409 Main Street, Spartansburg, PA, 16434</v>
      </c>
    </row>
    <row r="5607" spans="1:13" ht="15.6" hidden="1" x14ac:dyDescent="0.3">
      <c r="A5607" s="1" t="s">
        <v>15970</v>
      </c>
      <c r="B5607" s="1"/>
      <c r="C5607" s="1"/>
      <c r="D5607" s="1"/>
      <c r="E5607" s="1"/>
      <c r="F5607" s="1"/>
      <c r="G5607" s="1" t="s">
        <v>48</v>
      </c>
      <c r="H5607" s="2">
        <v>0</v>
      </c>
      <c r="I5607" s="1" t="s">
        <v>15971</v>
      </c>
      <c r="J5607" s="1" t="s">
        <v>1543</v>
      </c>
      <c r="K5607" s="1" t="s">
        <v>15972</v>
      </c>
      <c r="L5607" s="1" t="s">
        <v>1544</v>
      </c>
      <c r="M5607" s="6" t="str">
        <f>_xlfn.CONCAT(Table1[[#This Row],[Billing Street]], ", ", Table1[[#This Row],[Billing City]], ", ", Table1[[#This Row],[Billing State/Province]], ", ", Table1[[#This Row],[Billing Zip/Postal Code]])</f>
        <v>120 Tredegar St, Richmond, Virginia, 23219</v>
      </c>
    </row>
    <row r="5608" spans="1:13" ht="15.6" hidden="1" x14ac:dyDescent="0.3">
      <c r="A5608" s="1" t="s">
        <v>15973</v>
      </c>
      <c r="B5608" s="1"/>
      <c r="C5608" s="1"/>
      <c r="D5608" s="1"/>
      <c r="E5608" s="1"/>
      <c r="F5608" s="1"/>
      <c r="G5608" s="1" t="s">
        <v>48</v>
      </c>
      <c r="H5608" s="2">
        <v>0</v>
      </c>
      <c r="I5608" s="1" t="s">
        <v>15974</v>
      </c>
      <c r="J5608" s="1" t="s">
        <v>502</v>
      </c>
      <c r="K5608" s="1" t="s">
        <v>1135</v>
      </c>
      <c r="L5608" s="1" t="s">
        <v>14262</v>
      </c>
      <c r="M5608" s="6" t="str">
        <f>_xlfn.CONCAT(Table1[[#This Row],[Billing Street]], ", ", Table1[[#This Row],[Billing City]], ", ", Table1[[#This Row],[Billing State/Province]], ", ", Table1[[#This Row],[Billing Zip/Postal Code]])</f>
        <v>115 Dyer Street, Columbia, TN, 38401</v>
      </c>
    </row>
    <row r="5609" spans="1:13" ht="15.6" hidden="1" x14ac:dyDescent="0.3">
      <c r="A5609" s="1" t="s">
        <v>15975</v>
      </c>
      <c r="B5609" s="1"/>
      <c r="C5609" s="1"/>
      <c r="D5609" s="1"/>
      <c r="E5609" s="1"/>
      <c r="F5609" s="1"/>
      <c r="G5609" s="1" t="s">
        <v>205</v>
      </c>
      <c r="H5609" s="2">
        <v>8</v>
      </c>
      <c r="I5609" s="1" t="s">
        <v>15976</v>
      </c>
      <c r="J5609" s="1" t="s">
        <v>5889</v>
      </c>
      <c r="K5609" s="1" t="s">
        <v>15977</v>
      </c>
      <c r="L5609" s="1" t="s">
        <v>7532</v>
      </c>
      <c r="M5609" s="6" t="str">
        <f>_xlfn.CONCAT(Table1[[#This Row],[Billing Street]], ", ", Table1[[#This Row],[Billing City]], ", ", Table1[[#This Row],[Billing State/Province]], ", ", Table1[[#This Row],[Billing Zip/Postal Code]])</f>
        <v>1500 N Mill Ave, Tempe, Arizona, 85281</v>
      </c>
    </row>
    <row r="5610" spans="1:13" ht="15.6" hidden="1" x14ac:dyDescent="0.3">
      <c r="A5610" s="1" t="s">
        <v>15978</v>
      </c>
      <c r="B5610" s="1"/>
      <c r="C5610" s="1"/>
      <c r="D5610" s="1"/>
      <c r="E5610" s="1"/>
      <c r="F5610" s="1"/>
      <c r="G5610" s="1" t="s">
        <v>48</v>
      </c>
      <c r="H5610" s="2">
        <v>0</v>
      </c>
      <c r="I5610" s="1" t="s">
        <v>15979</v>
      </c>
      <c r="J5610" s="1" t="s">
        <v>10819</v>
      </c>
      <c r="K5610" s="1" t="s">
        <v>13419</v>
      </c>
      <c r="L5610" s="1" t="s">
        <v>15980</v>
      </c>
      <c r="M5610" s="6" t="str">
        <f>_xlfn.CONCAT(Table1[[#This Row],[Billing Street]], ", ", Table1[[#This Row],[Billing City]], ", ", Table1[[#This Row],[Billing State/Province]], ", ", Table1[[#This Row],[Billing Zip/Postal Code]])</f>
        <v>2510 Allen Rd, Macon, Georgia, 31216</v>
      </c>
    </row>
    <row r="5611" spans="1:13" ht="15.6" hidden="1" x14ac:dyDescent="0.3">
      <c r="A5611" s="1" t="s">
        <v>15981</v>
      </c>
      <c r="B5611" s="1"/>
      <c r="C5611" s="1"/>
      <c r="D5611" s="1"/>
      <c r="E5611" s="1"/>
      <c r="F5611" s="1"/>
      <c r="G5611" s="1" t="s">
        <v>48</v>
      </c>
      <c r="H5611" s="2">
        <v>0</v>
      </c>
      <c r="I5611" s="1" t="s">
        <v>15982</v>
      </c>
      <c r="J5611" s="1" t="s">
        <v>15983</v>
      </c>
      <c r="K5611" s="1" t="s">
        <v>208</v>
      </c>
      <c r="L5611" s="1" t="s">
        <v>15984</v>
      </c>
      <c r="M5611" s="6" t="str">
        <f>_xlfn.CONCAT(Table1[[#This Row],[Billing Street]], ", ", Table1[[#This Row],[Billing City]], ", ", Table1[[#This Row],[Billing State/Province]], ", ", Table1[[#This Row],[Billing Zip/Postal Code]])</f>
        <v>13027 County Road 18, Fort Lupton, CO, 80621</v>
      </c>
    </row>
    <row r="5612" spans="1:13" ht="15.6" hidden="1" x14ac:dyDescent="0.3">
      <c r="A5612" s="1" t="s">
        <v>15985</v>
      </c>
      <c r="B5612" s="1"/>
      <c r="C5612" s="1"/>
      <c r="D5612" s="1"/>
      <c r="E5612" s="1"/>
      <c r="F5612" s="1"/>
      <c r="G5612" s="1" t="s">
        <v>8</v>
      </c>
      <c r="H5612" s="2">
        <v>6528</v>
      </c>
      <c r="I5612" s="1" t="s">
        <v>13</v>
      </c>
      <c r="J5612" s="1" t="s">
        <v>13</v>
      </c>
      <c r="K5612" s="1" t="s">
        <v>13</v>
      </c>
      <c r="L5612" s="1" t="s">
        <v>13</v>
      </c>
      <c r="M5612" s="6" t="str">
        <f>_xlfn.CONCAT(Table1[[#This Row],[Billing Street]], ", ", Table1[[#This Row],[Billing City]], ", ", Table1[[#This Row],[Billing State/Province]], ", ", Table1[[#This Row],[Billing Zip/Postal Code]])</f>
        <v xml:space="preserve">, , , </v>
      </c>
    </row>
    <row r="5613" spans="1:13" ht="15.6" hidden="1" x14ac:dyDescent="0.3">
      <c r="A5613" s="1" t="s">
        <v>15986</v>
      </c>
      <c r="B5613" s="1"/>
      <c r="C5613" s="1"/>
      <c r="D5613" s="1"/>
      <c r="E5613" s="1"/>
      <c r="F5613" s="1"/>
      <c r="G5613" s="1" t="s">
        <v>43</v>
      </c>
      <c r="H5613" s="2">
        <v>193</v>
      </c>
      <c r="I5613" s="1" t="s">
        <v>15987</v>
      </c>
      <c r="J5613" s="1" t="s">
        <v>15988</v>
      </c>
      <c r="K5613" s="1" t="s">
        <v>4631</v>
      </c>
      <c r="L5613" s="1" t="s">
        <v>15989</v>
      </c>
      <c r="M5613" s="6" t="str">
        <f>_xlfn.CONCAT(Table1[[#This Row],[Billing Street]], ", ", Table1[[#This Row],[Billing City]], ", ", Table1[[#This Row],[Billing State/Province]], ", ", Table1[[#This Row],[Billing Zip/Postal Code]])</f>
        <v>700 University Ave, Toronto, Ontario, M5G 1X6</v>
      </c>
    </row>
    <row r="5614" spans="1:13" ht="15.6" hidden="1" x14ac:dyDescent="0.3">
      <c r="A5614" s="1" t="s">
        <v>15990</v>
      </c>
      <c r="B5614" s="1"/>
      <c r="C5614" s="1"/>
      <c r="D5614" s="1"/>
      <c r="E5614" s="1"/>
      <c r="F5614" s="1"/>
      <c r="G5614" s="1" t="s">
        <v>48</v>
      </c>
      <c r="H5614" s="2">
        <v>0</v>
      </c>
      <c r="I5614" s="1" t="s">
        <v>15991</v>
      </c>
      <c r="J5614" s="1" t="s">
        <v>15992</v>
      </c>
      <c r="K5614" s="1" t="s">
        <v>577</v>
      </c>
      <c r="L5614" s="1" t="s">
        <v>15993</v>
      </c>
      <c r="M5614" s="6" t="str">
        <f>_xlfn.CONCAT(Table1[[#This Row],[Billing Street]], ", ", Table1[[#This Row],[Billing City]], ", ", Table1[[#This Row],[Billing State/Province]], ", ", Table1[[#This Row],[Billing Zip/Postal Code]])</f>
        <v>200 North Morgan Avenue, Broussard, LA, 70518</v>
      </c>
    </row>
    <row r="5615" spans="1:13" ht="15.6" hidden="1" x14ac:dyDescent="0.3">
      <c r="A5615" s="1" t="s">
        <v>15994</v>
      </c>
      <c r="B5615" s="1"/>
      <c r="C5615" s="1"/>
      <c r="D5615" s="1"/>
      <c r="E5615" s="1"/>
      <c r="F5615" s="1"/>
      <c r="G5615" s="1" t="s">
        <v>8</v>
      </c>
      <c r="H5615" s="2">
        <v>6528</v>
      </c>
      <c r="I5615" s="1" t="s">
        <v>15995</v>
      </c>
      <c r="J5615" s="1" t="s">
        <v>7969</v>
      </c>
      <c r="K5615" s="1" t="s">
        <v>147</v>
      </c>
      <c r="L5615" s="1" t="s">
        <v>13</v>
      </c>
      <c r="M5615" s="6" t="str">
        <f>_xlfn.CONCAT(Table1[[#This Row],[Billing Street]], ", ", Table1[[#This Row],[Billing City]], ", ", Table1[[#This Row],[Billing State/Province]], ", ", Table1[[#This Row],[Billing Zip/Postal Code]])</f>
        <v xml:space="preserve">1500 N. Main Street, Tonkawa, OK, </v>
      </c>
    </row>
    <row r="5616" spans="1:13" ht="15.6" hidden="1" x14ac:dyDescent="0.3">
      <c r="A5616" s="1" t="s">
        <v>15996</v>
      </c>
      <c r="B5616" s="1"/>
      <c r="C5616" s="1"/>
      <c r="D5616" s="1"/>
      <c r="E5616" s="1"/>
      <c r="F5616" s="1"/>
      <c r="G5616" s="1" t="s">
        <v>48</v>
      </c>
      <c r="H5616" s="2">
        <v>0</v>
      </c>
      <c r="I5616" s="1" t="s">
        <v>15997</v>
      </c>
      <c r="J5616" s="1" t="s">
        <v>1598</v>
      </c>
      <c r="K5616" s="1" t="s">
        <v>554</v>
      </c>
      <c r="L5616" s="1" t="s">
        <v>2056</v>
      </c>
      <c r="M5616" s="6" t="str">
        <f>_xlfn.CONCAT(Table1[[#This Row],[Billing Street]], ", ", Table1[[#This Row],[Billing City]], ", ", Table1[[#This Row],[Billing State/Province]], ", ", Table1[[#This Row],[Billing Zip/Postal Code]])</f>
        <v>P.O. Box 8324, Topeka, KS, 66608</v>
      </c>
    </row>
    <row r="5617" spans="1:13" ht="15.6" hidden="1" x14ac:dyDescent="0.3">
      <c r="A5617" s="1" t="s">
        <v>15998</v>
      </c>
      <c r="B5617" s="1"/>
      <c r="C5617" s="1"/>
      <c r="D5617" s="1"/>
      <c r="E5617" s="1"/>
      <c r="F5617" s="1"/>
      <c r="G5617" s="1" t="s">
        <v>48</v>
      </c>
      <c r="H5617" s="2">
        <v>0</v>
      </c>
      <c r="I5617" s="1" t="s">
        <v>15999</v>
      </c>
      <c r="J5617" s="1" t="s">
        <v>621</v>
      </c>
      <c r="K5617" s="1" t="s">
        <v>405</v>
      </c>
      <c r="L5617" s="1" t="s">
        <v>16000</v>
      </c>
      <c r="M5617" s="6" t="str">
        <f>_xlfn.CONCAT(Table1[[#This Row],[Billing Street]], ", ", Table1[[#This Row],[Billing City]], ", ", Table1[[#This Row],[Billing State/Province]], ", ", Table1[[#This Row],[Billing Zip/Postal Code]])</f>
        <v>1720 Central Avenue South, Quincy, WA, 98848</v>
      </c>
    </row>
    <row r="5618" spans="1:13" ht="15.6" hidden="1" x14ac:dyDescent="0.3">
      <c r="A5618" s="1" t="s">
        <v>16001</v>
      </c>
      <c r="B5618" s="1"/>
      <c r="C5618" s="1"/>
      <c r="D5618" s="1"/>
      <c r="E5618" s="1"/>
      <c r="F5618" s="1"/>
      <c r="G5618" s="1" t="s">
        <v>48</v>
      </c>
      <c r="H5618" s="2">
        <v>0</v>
      </c>
      <c r="I5618" s="1" t="s">
        <v>16002</v>
      </c>
      <c r="J5618" s="1" t="s">
        <v>2052</v>
      </c>
      <c r="K5618" s="1" t="s">
        <v>15566</v>
      </c>
      <c r="L5618" s="1" t="s">
        <v>3876</v>
      </c>
      <c r="M5618" s="6" t="str">
        <f>_xlfn.CONCAT(Table1[[#This Row],[Billing Street]], ", ", Table1[[#This Row],[Billing City]], ", ", Table1[[#This Row],[Billing State/Province]], ", ", Table1[[#This Row],[Billing Zip/Postal Code]])</f>
        <v>P.O. Box 3203, Lake Charles, Louisiana, 70506</v>
      </c>
    </row>
    <row r="5619" spans="1:13" ht="15.6" hidden="1" x14ac:dyDescent="0.3">
      <c r="A5619" s="1" t="s">
        <v>16003</v>
      </c>
      <c r="B5619" s="1"/>
      <c r="C5619" s="1"/>
      <c r="D5619" s="1"/>
      <c r="E5619" s="1"/>
      <c r="F5619" s="1"/>
      <c r="G5619" s="1" t="s">
        <v>48</v>
      </c>
      <c r="H5619" s="2">
        <v>0</v>
      </c>
      <c r="I5619" s="1" t="s">
        <v>16004</v>
      </c>
      <c r="J5619" s="1" t="s">
        <v>534</v>
      </c>
      <c r="K5619" s="1" t="s">
        <v>26</v>
      </c>
      <c r="L5619" s="1" t="s">
        <v>10075</v>
      </c>
      <c r="M5619" s="6" t="str">
        <f>_xlfn.CONCAT(Table1[[#This Row],[Billing Street]], ", ", Table1[[#This Row],[Billing City]], ", ", Table1[[#This Row],[Billing State/Province]], ", ", Table1[[#This Row],[Billing Zip/Postal Code]])</f>
        <v>1699 25th Avenue, Bessemer, AL, 35023</v>
      </c>
    </row>
    <row r="5620" spans="1:13" ht="15.6" hidden="1" x14ac:dyDescent="0.3">
      <c r="A5620" s="1" t="s">
        <v>16005</v>
      </c>
      <c r="B5620" s="1"/>
      <c r="C5620" s="1"/>
      <c r="D5620" s="1"/>
      <c r="E5620" s="1"/>
      <c r="F5620" s="1"/>
      <c r="G5620" s="1" t="s">
        <v>43</v>
      </c>
      <c r="H5620" s="2">
        <v>456</v>
      </c>
      <c r="I5620" s="1" t="s">
        <v>16006</v>
      </c>
      <c r="J5620" s="1" t="s">
        <v>2322</v>
      </c>
      <c r="K5620" s="1" t="s">
        <v>4987</v>
      </c>
      <c r="L5620" s="1" t="s">
        <v>16007</v>
      </c>
      <c r="M5620" s="6" t="str">
        <f>_xlfn.CONCAT(Table1[[#This Row],[Billing Street]], ", ", Table1[[#This Row],[Billing City]], ", ", Table1[[#This Row],[Billing State/Province]], ", ", Table1[[#This Row],[Billing Zip/Postal Code]])</f>
        <v>209 Pickering Street, Portland, CT, 06480</v>
      </c>
    </row>
    <row r="5621" spans="1:13" ht="15.6" hidden="1" x14ac:dyDescent="0.3">
      <c r="A5621" s="1" t="s">
        <v>16008</v>
      </c>
      <c r="B5621" s="1"/>
      <c r="C5621" s="1"/>
      <c r="D5621" s="1"/>
      <c r="E5621" s="1"/>
      <c r="F5621" s="1"/>
      <c r="G5621" s="1" t="s">
        <v>48</v>
      </c>
      <c r="H5621" s="2">
        <v>0</v>
      </c>
      <c r="I5621" s="1" t="s">
        <v>16009</v>
      </c>
      <c r="J5621" s="1" t="s">
        <v>254</v>
      </c>
      <c r="K5621" s="1" t="s">
        <v>237</v>
      </c>
      <c r="L5621" s="1" t="s">
        <v>16010</v>
      </c>
      <c r="M5621" s="6" t="str">
        <f>_xlfn.CONCAT(Table1[[#This Row],[Billing Street]], ", ", Table1[[#This Row],[Billing City]], ", ", Table1[[#This Row],[Billing State/Province]], ", ", Table1[[#This Row],[Billing Zip/Postal Code]])</f>
        <v>213 West Wayne Street, Fort Wayne, IN, 46802</v>
      </c>
    </row>
    <row r="5622" spans="1:13" ht="15.6" hidden="1" x14ac:dyDescent="0.3">
      <c r="A5622" s="1" t="s">
        <v>16011</v>
      </c>
      <c r="B5622" s="1"/>
      <c r="C5622" s="1"/>
      <c r="D5622" s="1"/>
      <c r="E5622" s="1"/>
      <c r="F5622" s="1"/>
      <c r="G5622" s="1" t="s">
        <v>48</v>
      </c>
      <c r="H5622" s="2">
        <v>0</v>
      </c>
      <c r="I5622" s="1" t="s">
        <v>16012</v>
      </c>
      <c r="J5622" s="1" t="s">
        <v>197</v>
      </c>
      <c r="K5622" s="1" t="s">
        <v>4385</v>
      </c>
      <c r="L5622" s="1" t="s">
        <v>16013</v>
      </c>
      <c r="M5622" s="6" t="str">
        <f>_xlfn.CONCAT(Table1[[#This Row],[Billing Street]], ", ", Table1[[#This Row],[Billing City]], ", ", Table1[[#This Row],[Billing State/Province]], ", ", Table1[[#This Row],[Billing Zip/Postal Code]])</f>
        <v>120 Merrow Rd, Auburn, Maine, 04210</v>
      </c>
    </row>
    <row r="5623" spans="1:13" ht="15.6" hidden="1" x14ac:dyDescent="0.3">
      <c r="A5623" s="1" t="s">
        <v>16014</v>
      </c>
      <c r="B5623" s="1"/>
      <c r="C5623" s="1"/>
      <c r="D5623" s="1"/>
      <c r="E5623" s="1"/>
      <c r="F5623" s="1"/>
      <c r="G5623" s="1" t="s">
        <v>48</v>
      </c>
      <c r="H5623" s="2">
        <v>0</v>
      </c>
      <c r="I5623" s="1" t="s">
        <v>16015</v>
      </c>
      <c r="J5623" s="1" t="s">
        <v>1309</v>
      </c>
      <c r="K5623" s="1" t="s">
        <v>11</v>
      </c>
      <c r="L5623" s="1" t="s">
        <v>7508</v>
      </c>
      <c r="M5623" s="6" t="str">
        <f>_xlfn.CONCAT(Table1[[#This Row],[Billing Street]], ", ", Table1[[#This Row],[Billing City]], ", ", Table1[[#This Row],[Billing State/Province]], ", ", Table1[[#This Row],[Billing Zip/Postal Code]])</f>
        <v>8170 Lackland Road, St. Louis, MO, 63114</v>
      </c>
    </row>
    <row r="5624" spans="1:13" ht="15.6" hidden="1" x14ac:dyDescent="0.3">
      <c r="A5624" s="1" t="s">
        <v>16016</v>
      </c>
      <c r="B5624" s="1"/>
      <c r="C5624" s="1"/>
      <c r="D5624" s="1"/>
      <c r="E5624" s="1"/>
      <c r="F5624" s="1"/>
      <c r="G5624" s="1" t="s">
        <v>54</v>
      </c>
      <c r="H5624" s="2">
        <v>83</v>
      </c>
      <c r="I5624" s="1" t="s">
        <v>16017</v>
      </c>
      <c r="J5624" s="1" t="s">
        <v>16018</v>
      </c>
      <c r="K5624" s="1" t="s">
        <v>4411</v>
      </c>
      <c r="L5624" s="1" t="s">
        <v>16019</v>
      </c>
      <c r="M5624" s="6" t="str">
        <f>_xlfn.CONCAT(Table1[[#This Row],[Billing Street]], ", ", Table1[[#This Row],[Billing City]], ", ", Table1[[#This Row],[Billing State/Province]], ", ", Table1[[#This Row],[Billing Zip/Postal Code]])</f>
        <v>5780 Fleet St, Carlsbad, California, 92008</v>
      </c>
    </row>
    <row r="5625" spans="1:13" ht="15.6" hidden="1" x14ac:dyDescent="0.3">
      <c r="A5625" s="1" t="s">
        <v>16020</v>
      </c>
      <c r="B5625" s="1"/>
      <c r="C5625" s="1"/>
      <c r="D5625" s="1"/>
      <c r="E5625" s="1"/>
      <c r="F5625" s="1"/>
      <c r="G5625" s="1" t="s">
        <v>48</v>
      </c>
      <c r="H5625" s="2">
        <v>0</v>
      </c>
      <c r="I5625" s="1" t="s">
        <v>16021</v>
      </c>
      <c r="J5625" s="1" t="s">
        <v>1413</v>
      </c>
      <c r="K5625" s="1" t="s">
        <v>208</v>
      </c>
      <c r="L5625" s="1" t="s">
        <v>1414</v>
      </c>
      <c r="M5625" s="6" t="str">
        <f>_xlfn.CONCAT(Table1[[#This Row],[Billing Street]], ", ", Table1[[#This Row],[Billing City]], ", ", Table1[[#This Row],[Billing State/Province]], ", ", Table1[[#This Row],[Billing Zip/Postal Code]])</f>
        <v>8075 Pontiac Street, Commerce City, CO, 80022</v>
      </c>
    </row>
    <row r="5626" spans="1:13" ht="15.6" hidden="1" x14ac:dyDescent="0.3">
      <c r="A5626" s="1" t="s">
        <v>16022</v>
      </c>
      <c r="B5626" s="1"/>
      <c r="C5626" s="1"/>
      <c r="D5626" s="1"/>
      <c r="E5626" s="1"/>
      <c r="F5626" s="1"/>
      <c r="G5626" s="1" t="s">
        <v>48</v>
      </c>
      <c r="H5626" s="2">
        <v>0</v>
      </c>
      <c r="I5626" s="1" t="s">
        <v>16023</v>
      </c>
      <c r="J5626" s="1" t="s">
        <v>16024</v>
      </c>
      <c r="K5626" s="1" t="s">
        <v>11</v>
      </c>
      <c r="L5626" s="1" t="s">
        <v>2692</v>
      </c>
      <c r="M5626" s="6" t="str">
        <f>_xlfn.CONCAT(Table1[[#This Row],[Billing Street]], ", ", Table1[[#This Row],[Billing City]], ", ", Table1[[#This Row],[Billing State/Province]], ", ", Table1[[#This Row],[Billing Zip/Postal Code]])</f>
        <v>9333 Dielman Industrial Drive, Olivette, MO, 63132</v>
      </c>
    </row>
    <row r="5627" spans="1:13" ht="15.6" x14ac:dyDescent="0.3">
      <c r="A5627" s="1" t="s">
        <v>16025</v>
      </c>
      <c r="B5627" s="1"/>
      <c r="C5627" s="1"/>
      <c r="D5627" s="1"/>
      <c r="E5627" s="1"/>
      <c r="F5627" s="1"/>
      <c r="G5627" s="1" t="s">
        <v>24</v>
      </c>
      <c r="H5627" s="2">
        <v>5988</v>
      </c>
      <c r="I5627" s="1" t="s">
        <v>13</v>
      </c>
      <c r="J5627" s="1" t="s">
        <v>13</v>
      </c>
      <c r="K5627" s="1" t="s">
        <v>13</v>
      </c>
      <c r="L5627" s="1" t="s">
        <v>13</v>
      </c>
      <c r="M5627" s="6" t="str">
        <f>_xlfn.CONCAT(Table1[[#This Row],[Billing Street]], ", ", Table1[[#This Row],[Billing City]], ", ", Table1[[#This Row],[Billing State/Province]], ", ", Table1[[#This Row],[Billing Zip/Postal Code]])</f>
        <v xml:space="preserve">, , , </v>
      </c>
    </row>
    <row r="5628" spans="1:13" ht="15.6" hidden="1" x14ac:dyDescent="0.3">
      <c r="A5628" s="1" t="s">
        <v>16026</v>
      </c>
      <c r="B5628" s="1"/>
      <c r="C5628" s="1"/>
      <c r="D5628" s="1"/>
      <c r="E5628" s="1"/>
      <c r="F5628" s="1"/>
      <c r="G5628" s="1" t="s">
        <v>48</v>
      </c>
      <c r="H5628" s="2">
        <v>0</v>
      </c>
      <c r="I5628" s="1" t="s">
        <v>16027</v>
      </c>
      <c r="J5628" s="1" t="s">
        <v>9221</v>
      </c>
      <c r="K5628" s="1" t="s">
        <v>26</v>
      </c>
      <c r="L5628" s="1" t="s">
        <v>16028</v>
      </c>
      <c r="M5628" s="6" t="str">
        <f>_xlfn.CONCAT(Table1[[#This Row],[Billing Street]], ", ", Table1[[#This Row],[Billing City]], ", ", Table1[[#This Row],[Billing State/Province]], ", ", Table1[[#This Row],[Billing Zip/Postal Code]])</f>
        <v>19030 Rio Vista Drive, Fairhope, AL, 36532</v>
      </c>
    </row>
    <row r="5629" spans="1:13" ht="15.6" hidden="1" x14ac:dyDescent="0.3">
      <c r="A5629" s="1" t="s">
        <v>16029</v>
      </c>
      <c r="B5629" s="1"/>
      <c r="C5629" s="1"/>
      <c r="D5629" s="1"/>
      <c r="E5629" s="1"/>
      <c r="F5629" s="1"/>
      <c r="G5629" s="1" t="s">
        <v>48</v>
      </c>
      <c r="H5629" s="2">
        <v>0</v>
      </c>
      <c r="I5629" s="1" t="s">
        <v>16030</v>
      </c>
      <c r="J5629" s="1" t="s">
        <v>16031</v>
      </c>
      <c r="K5629" s="1" t="s">
        <v>82</v>
      </c>
      <c r="L5629" s="1" t="s">
        <v>16032</v>
      </c>
      <c r="M5629" s="6" t="str">
        <f>_xlfn.CONCAT(Table1[[#This Row],[Billing Street]], ", ", Table1[[#This Row],[Billing City]], ", ", Table1[[#This Row],[Billing State/Province]], ", ", Table1[[#This Row],[Billing Zip/Postal Code]])</f>
        <v>2704 Normandy Road, Royal Oak, MI, 48073</v>
      </c>
    </row>
    <row r="5630" spans="1:13" ht="15.6" hidden="1" x14ac:dyDescent="0.3">
      <c r="A5630" s="1" t="s">
        <v>16033</v>
      </c>
      <c r="B5630" s="1"/>
      <c r="C5630" s="1"/>
      <c r="D5630" s="1"/>
      <c r="E5630" s="1"/>
      <c r="F5630" s="1"/>
      <c r="G5630" s="1" t="s">
        <v>48</v>
      </c>
      <c r="H5630" s="2">
        <v>0</v>
      </c>
      <c r="I5630" s="1" t="s">
        <v>16034</v>
      </c>
      <c r="J5630" s="1" t="s">
        <v>1940</v>
      </c>
      <c r="K5630" s="1" t="s">
        <v>45</v>
      </c>
      <c r="L5630" s="1" t="s">
        <v>12024</v>
      </c>
      <c r="M5630" s="6" t="str">
        <f>_xlfn.CONCAT(Table1[[#This Row],[Billing Street]], ", ", Table1[[#This Row],[Billing City]], ", ", Table1[[#This Row],[Billing State/Province]], ", ", Table1[[#This Row],[Billing Zip/Postal Code]])</f>
        <v>4213 Kropf Avenue Southwest, Canton, OH, 44706</v>
      </c>
    </row>
    <row r="5631" spans="1:13" ht="15.6" x14ac:dyDescent="0.3">
      <c r="A5631" s="1" t="s">
        <v>16035</v>
      </c>
      <c r="B5631" s="1"/>
      <c r="C5631" s="1"/>
      <c r="D5631" s="1"/>
      <c r="E5631" s="1"/>
      <c r="F5631" s="1"/>
      <c r="G5631" s="1" t="s">
        <v>24</v>
      </c>
      <c r="H5631" s="2">
        <v>382</v>
      </c>
      <c r="I5631" s="1" t="s">
        <v>16036</v>
      </c>
      <c r="J5631" s="1" t="s">
        <v>4692</v>
      </c>
      <c r="K5631" s="1" t="s">
        <v>1135</v>
      </c>
      <c r="L5631" s="1" t="s">
        <v>16037</v>
      </c>
      <c r="M5631" s="6" t="str">
        <f>_xlfn.CONCAT(Table1[[#This Row],[Billing Street]], ", ", Table1[[#This Row],[Billing City]], ", ", Table1[[#This Row],[Billing State/Province]], ", ", Table1[[#This Row],[Billing Zip/Postal Code]])</f>
        <v>3003 Dickerson Pike, Nashville, TN, 37207</v>
      </c>
    </row>
    <row r="5632" spans="1:13" ht="15.6" hidden="1" x14ac:dyDescent="0.3">
      <c r="A5632" s="1" t="s">
        <v>16038</v>
      </c>
      <c r="B5632" s="1"/>
      <c r="C5632" s="1"/>
      <c r="D5632" s="1"/>
      <c r="E5632" s="1"/>
      <c r="F5632" s="1"/>
      <c r="G5632" s="1" t="s">
        <v>48</v>
      </c>
      <c r="H5632" s="2">
        <v>0</v>
      </c>
      <c r="I5632" s="1" t="s">
        <v>16039</v>
      </c>
      <c r="J5632" s="1" t="s">
        <v>16040</v>
      </c>
      <c r="K5632" s="1" t="s">
        <v>16041</v>
      </c>
      <c r="L5632" s="1" t="s">
        <v>16042</v>
      </c>
      <c r="M5632" s="6" t="str">
        <f>_xlfn.CONCAT(Table1[[#This Row],[Billing Street]], ", ", Table1[[#This Row],[Billing City]], ", ", Table1[[#This Row],[Billing State/Province]], ", ", Table1[[#This Row],[Billing Zip/Postal Code]])</f>
        <v>126 Rue Savard, Matane, QC, G4W</v>
      </c>
    </row>
    <row r="5633" spans="1:13" ht="15.6" hidden="1" x14ac:dyDescent="0.3">
      <c r="A5633" s="1" t="s">
        <v>16043</v>
      </c>
      <c r="B5633" s="1"/>
      <c r="C5633" s="1"/>
      <c r="D5633" s="1"/>
      <c r="E5633" s="1"/>
      <c r="F5633" s="1"/>
      <c r="G5633" s="1" t="s">
        <v>48</v>
      </c>
      <c r="H5633" s="2">
        <v>0</v>
      </c>
      <c r="I5633" s="1" t="s">
        <v>13</v>
      </c>
      <c r="J5633" s="1" t="s">
        <v>1646</v>
      </c>
      <c r="K5633" s="1" t="s">
        <v>208</v>
      </c>
      <c r="L5633" s="1" t="s">
        <v>16044</v>
      </c>
      <c r="M5633" s="6" t="str">
        <f>_xlfn.CONCAT(Table1[[#This Row],[Billing Street]], ", ", Table1[[#This Row],[Billing City]], ", ", Table1[[#This Row],[Billing State/Province]], ", ", Table1[[#This Row],[Billing Zip/Postal Code]])</f>
        <v>, Boulder, CO, 80309</v>
      </c>
    </row>
    <row r="5634" spans="1:13" ht="15.6" hidden="1" x14ac:dyDescent="0.3">
      <c r="A5634" s="1" t="s">
        <v>16045</v>
      </c>
      <c r="B5634" s="1"/>
      <c r="C5634" s="1"/>
      <c r="D5634" s="1"/>
      <c r="E5634" s="1"/>
      <c r="F5634" s="1"/>
      <c r="G5634" s="1" t="s">
        <v>48</v>
      </c>
      <c r="H5634" s="2">
        <v>0</v>
      </c>
      <c r="I5634" s="1" t="s">
        <v>16046</v>
      </c>
      <c r="J5634" s="1" t="s">
        <v>1550</v>
      </c>
      <c r="K5634" s="1" t="s">
        <v>1115</v>
      </c>
      <c r="L5634" s="1" t="s">
        <v>16047</v>
      </c>
      <c r="M5634" s="6" t="str">
        <f>_xlfn.CONCAT(Table1[[#This Row],[Billing Street]], ", ", Table1[[#This Row],[Billing City]], ", ", Table1[[#This Row],[Billing State/Province]], ", ", Table1[[#This Row],[Billing Zip/Postal Code]])</f>
        <v>2428 Roanoke Avenue Southwest, Roanoke, VA, 24015</v>
      </c>
    </row>
    <row r="5635" spans="1:13" ht="15.6" hidden="1" x14ac:dyDescent="0.3">
      <c r="A5635" s="1" t="s">
        <v>16048</v>
      </c>
      <c r="B5635" s="1"/>
      <c r="C5635" s="1"/>
      <c r="D5635" s="1"/>
      <c r="E5635" s="1"/>
      <c r="F5635" s="1"/>
      <c r="G5635" s="1" t="s">
        <v>43</v>
      </c>
      <c r="H5635" s="2">
        <v>252</v>
      </c>
      <c r="I5635" s="1" t="s">
        <v>16049</v>
      </c>
      <c r="J5635" s="1" t="s">
        <v>15067</v>
      </c>
      <c r="K5635" s="1" t="s">
        <v>4414</v>
      </c>
      <c r="L5635" s="1" t="s">
        <v>15068</v>
      </c>
      <c r="M5635" s="6" t="str">
        <f>_xlfn.CONCAT(Table1[[#This Row],[Billing Street]], ", ", Table1[[#This Row],[Billing City]], ", ", Table1[[#This Row],[Billing State/Province]], ", ", Table1[[#This Row],[Billing Zip/Postal Code]])</f>
        <v>401 N Bendix Dr, South Bend, Indiana, 46628</v>
      </c>
    </row>
    <row r="5636" spans="1:13" ht="15.6" hidden="1" x14ac:dyDescent="0.3">
      <c r="A5636" s="1" t="s">
        <v>16050</v>
      </c>
      <c r="B5636" s="1"/>
      <c r="C5636" s="1"/>
      <c r="D5636" s="1"/>
      <c r="E5636" s="1"/>
      <c r="F5636" s="1"/>
      <c r="G5636" s="1" t="s">
        <v>205</v>
      </c>
      <c r="H5636" s="2">
        <v>1436</v>
      </c>
      <c r="I5636" s="1" t="s">
        <v>16051</v>
      </c>
      <c r="J5636" s="1" t="s">
        <v>16052</v>
      </c>
      <c r="K5636" s="1" t="s">
        <v>16053</v>
      </c>
      <c r="L5636" s="1" t="s">
        <v>16054</v>
      </c>
      <c r="M5636" s="6" t="str">
        <f>_xlfn.CONCAT(Table1[[#This Row],[Billing Street]], ", ", Table1[[#This Row],[Billing City]], ", ", Table1[[#This Row],[Billing State/Province]], ", ", Table1[[#This Row],[Billing Zip/Postal Code]])</f>
        <v>709 Rose Rd, Lake Zurich, Illinois, 60047</v>
      </c>
    </row>
    <row r="5637" spans="1:13" ht="15.6" hidden="1" x14ac:dyDescent="0.3">
      <c r="A5637" s="1" t="s">
        <v>16055</v>
      </c>
      <c r="B5637" s="1"/>
      <c r="C5637" s="1"/>
      <c r="D5637" s="1"/>
      <c r="E5637" s="1"/>
      <c r="F5637" s="1"/>
      <c r="G5637" s="1" t="s">
        <v>48</v>
      </c>
      <c r="H5637" s="2">
        <v>0</v>
      </c>
      <c r="I5637" s="1" t="s">
        <v>16056</v>
      </c>
      <c r="J5637" s="1" t="s">
        <v>2036</v>
      </c>
      <c r="K5637" s="1" t="s">
        <v>472</v>
      </c>
      <c r="L5637" s="1" t="s">
        <v>2037</v>
      </c>
      <c r="M5637" s="6" t="str">
        <f>_xlfn.CONCAT(Table1[[#This Row],[Billing Street]], ", ", Table1[[#This Row],[Billing City]], ", ", Table1[[#This Row],[Billing State/Province]], ", ", Table1[[#This Row],[Billing Zip/Postal Code]])</f>
        <v>2869 South West Temple, South Salt Lake, UT, 84115</v>
      </c>
    </row>
    <row r="5638" spans="1:13" ht="15.6" x14ac:dyDescent="0.3">
      <c r="A5638" s="1" t="s">
        <v>16057</v>
      </c>
      <c r="B5638" s="1"/>
      <c r="C5638" s="1"/>
      <c r="D5638" s="1"/>
      <c r="E5638" s="1"/>
      <c r="F5638" s="1"/>
      <c r="G5638" s="1" t="s">
        <v>24</v>
      </c>
      <c r="H5638" s="2">
        <v>5988</v>
      </c>
      <c r="I5638" s="1" t="s">
        <v>13</v>
      </c>
      <c r="J5638" s="1" t="s">
        <v>13</v>
      </c>
      <c r="K5638" s="1" t="s">
        <v>13</v>
      </c>
      <c r="L5638" s="1" t="s">
        <v>13</v>
      </c>
      <c r="M5638" s="6" t="str">
        <f>_xlfn.CONCAT(Table1[[#This Row],[Billing Street]], ", ", Table1[[#This Row],[Billing City]], ", ", Table1[[#This Row],[Billing State/Province]], ", ", Table1[[#This Row],[Billing Zip/Postal Code]])</f>
        <v xml:space="preserve">, , , </v>
      </c>
    </row>
    <row r="5639" spans="1:13" ht="15.6" hidden="1" x14ac:dyDescent="0.3">
      <c r="A5639" s="1" t="s">
        <v>16058</v>
      </c>
      <c r="B5639" s="1"/>
      <c r="C5639" s="1"/>
      <c r="D5639" s="1"/>
      <c r="E5639" s="1"/>
      <c r="F5639" s="1"/>
      <c r="G5639" s="1" t="s">
        <v>48</v>
      </c>
      <c r="H5639" s="2">
        <v>0</v>
      </c>
      <c r="I5639" s="1" t="s">
        <v>16059</v>
      </c>
      <c r="J5639" s="1" t="s">
        <v>1642</v>
      </c>
      <c r="K5639" s="1" t="s">
        <v>1178</v>
      </c>
      <c r="L5639" s="1" t="s">
        <v>14163</v>
      </c>
      <c r="M5639" s="6" t="str">
        <f>_xlfn.CONCAT(Table1[[#This Row],[Billing Street]], ", ", Table1[[#This Row],[Billing City]], ", ", Table1[[#This Row],[Billing State/Province]], ", ", Table1[[#This Row],[Billing Zip/Postal Code]])</f>
        <v>1825 North Rocky River Road, Monroe, NC, 28110</v>
      </c>
    </row>
    <row r="5640" spans="1:13" ht="15.6" hidden="1" x14ac:dyDescent="0.3">
      <c r="A5640" s="1" t="s">
        <v>16060</v>
      </c>
      <c r="B5640" s="1"/>
      <c r="C5640" s="1"/>
      <c r="D5640" s="1"/>
      <c r="E5640" s="1"/>
      <c r="F5640" s="1"/>
      <c r="G5640" s="1" t="s">
        <v>48</v>
      </c>
      <c r="H5640" s="2">
        <v>0</v>
      </c>
      <c r="I5640" s="1" t="s">
        <v>16061</v>
      </c>
      <c r="J5640" s="1" t="s">
        <v>2605</v>
      </c>
      <c r="K5640" s="1" t="s">
        <v>208</v>
      </c>
      <c r="L5640" s="1" t="s">
        <v>2606</v>
      </c>
      <c r="M5640" s="6" t="str">
        <f>_xlfn.CONCAT(Table1[[#This Row],[Billing Street]], ", ", Table1[[#This Row],[Billing City]], ", ", Table1[[#This Row],[Billing State/Province]], ", ", Table1[[#This Row],[Billing Zip/Postal Code]])</f>
        <v>5930 Southmoor Drive, Fountain, CO, 80817</v>
      </c>
    </row>
    <row r="5641" spans="1:13" ht="15.6" hidden="1" x14ac:dyDescent="0.3">
      <c r="A5641" s="1" t="s">
        <v>16062</v>
      </c>
      <c r="B5641" s="1"/>
      <c r="C5641" s="1"/>
      <c r="D5641" s="1"/>
      <c r="E5641" s="1"/>
      <c r="F5641" s="1"/>
      <c r="G5641" s="1" t="s">
        <v>48</v>
      </c>
      <c r="H5641" s="2">
        <v>0</v>
      </c>
      <c r="I5641" s="1" t="s">
        <v>16063</v>
      </c>
      <c r="J5641" s="1" t="s">
        <v>16064</v>
      </c>
      <c r="K5641" s="1" t="s">
        <v>101</v>
      </c>
      <c r="L5641" s="1" t="s">
        <v>16065</v>
      </c>
      <c r="M5641" s="6" t="str">
        <f>_xlfn.CONCAT(Table1[[#This Row],[Billing Street]], ", ", Table1[[#This Row],[Billing City]], ", ", Table1[[#This Row],[Billing State/Province]], ", ", Table1[[#This Row],[Billing Zip/Postal Code]])</f>
        <v>1025 Rose Creek Drive, Woodstock, GA, 30189</v>
      </c>
    </row>
    <row r="5642" spans="1:13" ht="15.6" hidden="1" x14ac:dyDescent="0.3">
      <c r="A5642" s="1" t="s">
        <v>16066</v>
      </c>
      <c r="B5642" s="1"/>
      <c r="C5642" s="1"/>
      <c r="D5642" s="1"/>
      <c r="E5642" s="1"/>
      <c r="F5642" s="1"/>
      <c r="G5642" s="1" t="s">
        <v>48</v>
      </c>
      <c r="H5642" s="2">
        <v>0</v>
      </c>
      <c r="I5642" s="1" t="s">
        <v>16067</v>
      </c>
      <c r="J5642" s="1" t="s">
        <v>2975</v>
      </c>
      <c r="K5642" s="1" t="s">
        <v>2610</v>
      </c>
      <c r="L5642" s="1" t="s">
        <v>2976</v>
      </c>
      <c r="M5642" s="6" t="str">
        <f>_xlfn.CONCAT(Table1[[#This Row],[Billing Street]], ", ", Table1[[#This Row],[Billing City]], ", ", Table1[[#This Row],[Billing State/Province]], ", ", Table1[[#This Row],[Billing Zip/Postal Code]])</f>
        <v>295 Blue Ball Road, Elkton, MD, 21921</v>
      </c>
    </row>
    <row r="5643" spans="1:13" ht="15.6" hidden="1" x14ac:dyDescent="0.3">
      <c r="A5643" s="1" t="s">
        <v>16068</v>
      </c>
      <c r="B5643" s="1"/>
      <c r="C5643" s="1"/>
      <c r="D5643" s="1"/>
      <c r="E5643" s="1"/>
      <c r="F5643" s="1"/>
      <c r="G5643" s="1" t="s">
        <v>48</v>
      </c>
      <c r="H5643" s="2">
        <v>0</v>
      </c>
      <c r="I5643" s="1" t="s">
        <v>16069</v>
      </c>
      <c r="J5643" s="1" t="s">
        <v>1566</v>
      </c>
      <c r="K5643" s="1" t="s">
        <v>15972</v>
      </c>
      <c r="L5643" s="1" t="s">
        <v>1567</v>
      </c>
      <c r="M5643" s="6" t="str">
        <f>_xlfn.CONCAT(Table1[[#This Row],[Billing Street]], ", ", Table1[[#This Row],[Billing City]], ", ", Table1[[#This Row],[Billing State/Province]], ", ", Table1[[#This Row],[Billing Zip/Postal Code]])</f>
        <v>518 Newton St, Danville, Virginia, 24541</v>
      </c>
    </row>
    <row r="5644" spans="1:13" ht="15.6" hidden="1" x14ac:dyDescent="0.3">
      <c r="A5644" s="1" t="s">
        <v>16070</v>
      </c>
      <c r="B5644" s="1"/>
      <c r="C5644" s="1"/>
      <c r="D5644" s="1"/>
      <c r="E5644" s="1"/>
      <c r="F5644" s="1"/>
      <c r="G5644" s="1" t="s">
        <v>48</v>
      </c>
      <c r="H5644" s="2">
        <v>0</v>
      </c>
      <c r="I5644" s="1" t="s">
        <v>16071</v>
      </c>
      <c r="J5644" s="1" t="s">
        <v>13769</v>
      </c>
      <c r="K5644" s="1" t="s">
        <v>1178</v>
      </c>
      <c r="L5644" s="1" t="s">
        <v>13770</v>
      </c>
      <c r="M5644" s="6" t="str">
        <f>_xlfn.CONCAT(Table1[[#This Row],[Billing Street]], ", ", Table1[[#This Row],[Billing City]], ", ", Table1[[#This Row],[Billing State/Province]], ", ", Table1[[#This Row],[Billing Zip/Postal Code]])</f>
        <v>567 Mocksville Highway, Statesville, NC, 28625</v>
      </c>
    </row>
    <row r="5645" spans="1:13" ht="15.6" hidden="1" x14ac:dyDescent="0.3">
      <c r="A5645" s="1" t="s">
        <v>16072</v>
      </c>
      <c r="B5645" s="1"/>
      <c r="C5645" s="1"/>
      <c r="D5645" s="1"/>
      <c r="E5645" s="1"/>
      <c r="F5645" s="1"/>
      <c r="G5645" s="1" t="s">
        <v>48</v>
      </c>
      <c r="H5645" s="2">
        <v>0</v>
      </c>
      <c r="I5645" s="1" t="s">
        <v>16073</v>
      </c>
      <c r="J5645" s="1" t="s">
        <v>16074</v>
      </c>
      <c r="K5645" s="1" t="s">
        <v>4987</v>
      </c>
      <c r="L5645" s="1" t="s">
        <v>16075</v>
      </c>
      <c r="M5645" s="6" t="str">
        <f>_xlfn.CONCAT(Table1[[#This Row],[Billing Street]], ", ", Table1[[#This Row],[Billing City]], ", ", Table1[[#This Row],[Billing State/Province]], ", ", Table1[[#This Row],[Billing Zip/Postal Code]])</f>
        <v>1 Hamden Park Drive, Hamden, CT, 06517</v>
      </c>
    </row>
    <row r="5646" spans="1:13" ht="15.6" hidden="1" x14ac:dyDescent="0.3">
      <c r="A5646" s="1" t="s">
        <v>16076</v>
      </c>
      <c r="B5646" s="1"/>
      <c r="C5646" s="1"/>
      <c r="D5646" s="1"/>
      <c r="E5646" s="1"/>
      <c r="F5646" s="1"/>
      <c r="G5646" s="1" t="s">
        <v>48</v>
      </c>
      <c r="H5646" s="2">
        <v>0</v>
      </c>
      <c r="I5646" s="1" t="s">
        <v>16077</v>
      </c>
      <c r="J5646" s="1" t="s">
        <v>16078</v>
      </c>
      <c r="K5646" s="1" t="s">
        <v>1505</v>
      </c>
      <c r="L5646" s="1" t="s">
        <v>16079</v>
      </c>
      <c r="M5646" s="6" t="str">
        <f>_xlfn.CONCAT(Table1[[#This Row],[Billing Street]], ", ", Table1[[#This Row],[Billing City]], ", ", Table1[[#This Row],[Billing State/Province]], ", ", Table1[[#This Row],[Billing Zip/Postal Code]])</f>
        <v>137 Gordon Mills Way, Saint Johnsbury, VT, 05819</v>
      </c>
    </row>
    <row r="5647" spans="1:13" ht="15.6" hidden="1" x14ac:dyDescent="0.3">
      <c r="A5647" s="1" t="s">
        <v>16080</v>
      </c>
      <c r="B5647" s="1"/>
      <c r="C5647" s="1"/>
      <c r="D5647" s="1"/>
      <c r="E5647" s="1"/>
      <c r="F5647" s="1"/>
      <c r="G5647" s="1" t="s">
        <v>48</v>
      </c>
      <c r="H5647" s="2">
        <v>0</v>
      </c>
      <c r="I5647" s="1" t="s">
        <v>16081</v>
      </c>
      <c r="J5647" s="1" t="s">
        <v>16082</v>
      </c>
      <c r="K5647" s="1" t="s">
        <v>36</v>
      </c>
      <c r="L5647" s="1" t="s">
        <v>16083</v>
      </c>
      <c r="M5647" s="6" t="str">
        <f>_xlfn.CONCAT(Table1[[#This Row],[Billing Street]], ", ", Table1[[#This Row],[Billing City]], ", ", Table1[[#This Row],[Billing State/Province]], ", ", Table1[[#This Row],[Billing Zip/Postal Code]])</f>
        <v>1735 Alton Road, Miami Beach, FL, 33139</v>
      </c>
    </row>
    <row r="5648" spans="1:13" ht="15.6" hidden="1" x14ac:dyDescent="0.3">
      <c r="A5648" s="1" t="s">
        <v>16084</v>
      </c>
      <c r="B5648" s="1"/>
      <c r="C5648" s="1"/>
      <c r="D5648" s="1"/>
      <c r="E5648" s="1"/>
      <c r="F5648" s="1"/>
      <c r="G5648" s="1" t="s">
        <v>48</v>
      </c>
      <c r="H5648" s="2">
        <v>0</v>
      </c>
      <c r="I5648" s="1" t="s">
        <v>16085</v>
      </c>
      <c r="J5648" s="1" t="s">
        <v>16086</v>
      </c>
      <c r="K5648" s="1" t="s">
        <v>4471</v>
      </c>
      <c r="L5648" s="1" t="s">
        <v>16087</v>
      </c>
      <c r="M5648" s="6" t="str">
        <f>_xlfn.CONCAT(Table1[[#This Row],[Billing Street]], ", ", Table1[[#This Row],[Billing City]], ", ", Table1[[#This Row],[Billing State/Province]], ", ", Table1[[#This Row],[Billing Zip/Postal Code]])</f>
        <v>526 Industrial Way W_x000D_
P.O. Box 1278, Eatontown, New Jersey, 07724</v>
      </c>
    </row>
    <row r="5649" spans="1:13" ht="15.6" hidden="1" x14ac:dyDescent="0.3">
      <c r="A5649" s="1" t="s">
        <v>16088</v>
      </c>
      <c r="B5649" s="1"/>
      <c r="C5649" s="1"/>
      <c r="D5649" s="1"/>
      <c r="E5649" s="1"/>
      <c r="F5649" s="1"/>
      <c r="G5649" s="1" t="s">
        <v>48</v>
      </c>
      <c r="H5649" s="2">
        <v>0</v>
      </c>
      <c r="I5649" s="1" t="s">
        <v>16089</v>
      </c>
      <c r="J5649" s="1" t="s">
        <v>16090</v>
      </c>
      <c r="K5649" s="1" t="s">
        <v>16091</v>
      </c>
      <c r="L5649" s="1" t="s">
        <v>16092</v>
      </c>
      <c r="M5649" s="6" t="str">
        <f>_xlfn.CONCAT(Table1[[#This Row],[Billing Street]], ", ", Table1[[#This Row],[Billing City]], ", ", Table1[[#This Row],[Billing State/Province]], ", ", Table1[[#This Row],[Billing Zip/Postal Code]])</f>
        <v>800 Taylor St, Durham, North Carolina, 27701</v>
      </c>
    </row>
    <row r="5650" spans="1:13" ht="15.6" hidden="1" x14ac:dyDescent="0.3">
      <c r="A5650" s="1" t="s">
        <v>16093</v>
      </c>
      <c r="B5650" s="1"/>
      <c r="C5650" s="1"/>
      <c r="D5650" s="1"/>
      <c r="E5650" s="1"/>
      <c r="F5650" s="1"/>
      <c r="G5650" s="1" t="s">
        <v>48</v>
      </c>
      <c r="H5650" s="2">
        <v>0</v>
      </c>
      <c r="I5650" s="1" t="s">
        <v>16094</v>
      </c>
      <c r="J5650" s="1" t="s">
        <v>637</v>
      </c>
      <c r="K5650" s="1" t="s">
        <v>1135</v>
      </c>
      <c r="L5650" s="1" t="s">
        <v>16095</v>
      </c>
      <c r="M5650" s="6" t="str">
        <f>_xlfn.CONCAT(Table1[[#This Row],[Billing Street]], ", ", Table1[[#This Row],[Billing City]], ", ", Table1[[#This Row],[Billing State/Province]], ", ", Table1[[#This Row],[Billing Zip/Postal Code]])</f>
        <v>319 Vann Drive_x000D_
E196, Jackson, TN, 38305</v>
      </c>
    </row>
    <row r="5651" spans="1:13" ht="15.6" hidden="1" x14ac:dyDescent="0.3">
      <c r="A5651" s="1" t="s">
        <v>16096</v>
      </c>
      <c r="B5651" s="1"/>
      <c r="C5651" s="1"/>
      <c r="D5651" s="1"/>
      <c r="E5651" s="1"/>
      <c r="F5651" s="1"/>
      <c r="G5651" s="1" t="s">
        <v>48</v>
      </c>
      <c r="H5651" s="2">
        <v>0</v>
      </c>
      <c r="I5651" s="1" t="s">
        <v>16097</v>
      </c>
      <c r="J5651" s="1" t="s">
        <v>7102</v>
      </c>
      <c r="K5651" s="1" t="s">
        <v>1191</v>
      </c>
      <c r="L5651" s="1" t="s">
        <v>16098</v>
      </c>
      <c r="M5651" s="6" t="str">
        <f>_xlfn.CONCAT(Table1[[#This Row],[Billing Street]], ", ", Table1[[#This Row],[Billing City]], ", ", Table1[[#This Row],[Billing State/Province]], ", ", Table1[[#This Row],[Billing Zip/Postal Code]])</f>
        <v>2225 Pembroke Road, Hopkinsville, KY, 42240</v>
      </c>
    </row>
    <row r="5652" spans="1:13" ht="15.6" hidden="1" x14ac:dyDescent="0.3">
      <c r="A5652" s="1" t="s">
        <v>16099</v>
      </c>
      <c r="B5652" s="1"/>
      <c r="C5652" s="1"/>
      <c r="D5652" s="1"/>
      <c r="E5652" s="1"/>
      <c r="F5652" s="1"/>
      <c r="G5652" s="1" t="s">
        <v>48</v>
      </c>
      <c r="H5652" s="2">
        <v>0</v>
      </c>
      <c r="I5652" s="1" t="s">
        <v>16100</v>
      </c>
      <c r="J5652" s="1" t="s">
        <v>16101</v>
      </c>
      <c r="K5652" s="1" t="s">
        <v>51</v>
      </c>
      <c r="L5652" s="1" t="s">
        <v>16102</v>
      </c>
      <c r="M5652" s="6" t="str">
        <f>_xlfn.CONCAT(Table1[[#This Row],[Billing Street]], ", ", Table1[[#This Row],[Billing City]], ", ", Table1[[#This Row],[Billing State/Province]], ", ", Table1[[#This Row],[Billing Zip/Postal Code]])</f>
        <v>800 West Campbell Road, Richardson, TX, 75080</v>
      </c>
    </row>
    <row r="5653" spans="1:13" ht="15.6" hidden="1" x14ac:dyDescent="0.3">
      <c r="A5653" s="1" t="s">
        <v>16103</v>
      </c>
      <c r="B5653" s="1"/>
      <c r="C5653" s="1"/>
      <c r="D5653" s="1"/>
      <c r="E5653" s="1"/>
      <c r="F5653" s="1"/>
      <c r="G5653" s="1" t="s">
        <v>48</v>
      </c>
      <c r="H5653" s="2">
        <v>0</v>
      </c>
      <c r="I5653" s="1" t="s">
        <v>16104</v>
      </c>
      <c r="J5653" s="1" t="s">
        <v>9443</v>
      </c>
      <c r="K5653" s="1" t="s">
        <v>15933</v>
      </c>
      <c r="L5653" s="1" t="s">
        <v>16105</v>
      </c>
      <c r="M5653" s="6" t="str">
        <f>_xlfn.CONCAT(Table1[[#This Row],[Billing Street]], ", ", Table1[[#This Row],[Billing City]], ", ", Table1[[#This Row],[Billing State/Province]], ", ", Table1[[#This Row],[Billing Zip/Postal Code]])</f>
        <v>625 S Cherry St, Florence, Alabama, 35630</v>
      </c>
    </row>
    <row r="5654" spans="1:13" ht="15.6" hidden="1" x14ac:dyDescent="0.3">
      <c r="A5654" s="1" t="s">
        <v>16106</v>
      </c>
      <c r="B5654" s="1"/>
      <c r="C5654" s="1"/>
      <c r="D5654" s="1"/>
      <c r="E5654" s="1"/>
      <c r="F5654" s="1"/>
      <c r="G5654" s="1" t="s">
        <v>48</v>
      </c>
      <c r="H5654" s="2">
        <v>0</v>
      </c>
      <c r="I5654" s="1" t="s">
        <v>16107</v>
      </c>
      <c r="J5654" s="1" t="s">
        <v>16108</v>
      </c>
      <c r="K5654" s="1" t="s">
        <v>405</v>
      </c>
      <c r="L5654" s="1" t="s">
        <v>16109</v>
      </c>
      <c r="M5654" s="6" t="str">
        <f>_xlfn.CONCAT(Table1[[#This Row],[Billing Street]], ", ", Table1[[#This Row],[Billing City]], ", ", Table1[[#This Row],[Billing State/Province]], ", ", Table1[[#This Row],[Billing Zip/Postal Code]])</f>
        <v>3507 Shelby Road, Lynnwood, WA, 98087</v>
      </c>
    </row>
    <row r="5655" spans="1:13" ht="15.6" hidden="1" x14ac:dyDescent="0.3">
      <c r="A5655" s="1" t="s">
        <v>16110</v>
      </c>
      <c r="B5655" s="1"/>
      <c r="C5655" s="1"/>
      <c r="D5655" s="1"/>
      <c r="E5655" s="1"/>
      <c r="F5655" s="1"/>
      <c r="G5655" s="1" t="s">
        <v>48</v>
      </c>
      <c r="H5655" s="2">
        <v>0</v>
      </c>
      <c r="I5655" s="1" t="s">
        <v>16111</v>
      </c>
      <c r="J5655" s="1" t="s">
        <v>16112</v>
      </c>
      <c r="K5655" s="1" t="s">
        <v>2610</v>
      </c>
      <c r="L5655" s="1" t="s">
        <v>16113</v>
      </c>
      <c r="M5655" s="6" t="str">
        <f>_xlfn.CONCAT(Table1[[#This Row],[Billing Street]], ", ", Table1[[#This Row],[Billing City]], ", ", Table1[[#This Row],[Billing State/Province]], ", ", Table1[[#This Row],[Billing Zip/Postal Code]])</f>
        <v>1040 Spring Street, Silver Spring, MD, 20910</v>
      </c>
    </row>
    <row r="5656" spans="1:13" ht="15.6" hidden="1" x14ac:dyDescent="0.3">
      <c r="A5656" s="1" t="s">
        <v>16114</v>
      </c>
      <c r="B5656" s="1"/>
      <c r="C5656" s="1"/>
      <c r="D5656" s="1"/>
      <c r="E5656" s="1"/>
      <c r="F5656" s="1"/>
      <c r="G5656" s="1" t="s">
        <v>8</v>
      </c>
      <c r="H5656" s="2">
        <v>525</v>
      </c>
      <c r="I5656" s="1" t="s">
        <v>16115</v>
      </c>
      <c r="J5656" s="1" t="s">
        <v>3508</v>
      </c>
      <c r="K5656" s="1" t="s">
        <v>133</v>
      </c>
      <c r="L5656" s="1" t="s">
        <v>16116</v>
      </c>
      <c r="M5656" s="6" t="str">
        <f>_xlfn.CONCAT(Table1[[#This Row],[Billing Street]], ", ", Table1[[#This Row],[Billing City]], ", ", Table1[[#This Row],[Billing State/Province]], ", ", Table1[[#This Row],[Billing Zip/Postal Code]])</f>
        <v>8416 South Summerville Road, Clinton, WI, 53525</v>
      </c>
    </row>
    <row r="5657" spans="1:13" ht="15.6" hidden="1" x14ac:dyDescent="0.3">
      <c r="A5657" s="1" t="s">
        <v>16117</v>
      </c>
      <c r="B5657" s="1"/>
      <c r="C5657" s="1"/>
      <c r="D5657" s="1"/>
      <c r="E5657" s="1"/>
      <c r="F5657" s="1"/>
      <c r="G5657" s="1" t="s">
        <v>48</v>
      </c>
      <c r="H5657" s="2">
        <v>0</v>
      </c>
      <c r="I5657" s="1" t="s">
        <v>16118</v>
      </c>
      <c r="J5657" s="1" t="s">
        <v>1114</v>
      </c>
      <c r="K5657" s="1" t="s">
        <v>241</v>
      </c>
      <c r="L5657" s="1" t="s">
        <v>16119</v>
      </c>
      <c r="M5657" s="6" t="str">
        <f>_xlfn.CONCAT(Table1[[#This Row],[Billing Street]], ", ", Table1[[#This Row],[Billing City]], ", ", Table1[[#This Row],[Billing State/Province]], ", ", Table1[[#This Row],[Billing Zip/Postal Code]])</f>
        <v>204 Mill St, Bristol, PA, 19007</v>
      </c>
    </row>
    <row r="5658" spans="1:13" ht="15.6" x14ac:dyDescent="0.3">
      <c r="A5658" s="1" t="s">
        <v>16120</v>
      </c>
      <c r="B5658" s="1"/>
      <c r="C5658" s="1"/>
      <c r="D5658" s="1"/>
      <c r="E5658" s="1"/>
      <c r="F5658" s="1"/>
      <c r="G5658" s="1" t="s">
        <v>24</v>
      </c>
      <c r="H5658" s="2">
        <v>777</v>
      </c>
      <c r="I5658" s="1" t="s">
        <v>16121</v>
      </c>
      <c r="J5658" s="1" t="s">
        <v>5724</v>
      </c>
      <c r="K5658" s="1" t="s">
        <v>82</v>
      </c>
      <c r="L5658" s="1" t="s">
        <v>5725</v>
      </c>
      <c r="M5658" s="6" t="str">
        <f>_xlfn.CONCAT(Table1[[#This Row],[Billing Street]], ", ", Table1[[#This Row],[Billing City]], ", ", Table1[[#This Row],[Billing State/Province]], ", ", Table1[[#This Row],[Billing Zip/Postal Code]])</f>
        <v>368 West Garfield Avenue, Coldwater, MI, 49036</v>
      </c>
    </row>
    <row r="5659" spans="1:13" ht="15.6" hidden="1" x14ac:dyDescent="0.3">
      <c r="A5659" s="1" t="s">
        <v>16122</v>
      </c>
      <c r="B5659" s="1"/>
      <c r="C5659" s="1"/>
      <c r="D5659" s="1"/>
      <c r="E5659" s="1"/>
      <c r="F5659" s="1"/>
      <c r="G5659" s="1" t="s">
        <v>48</v>
      </c>
      <c r="H5659" s="2">
        <v>0</v>
      </c>
      <c r="I5659" s="1" t="s">
        <v>16123</v>
      </c>
      <c r="J5659" s="1" t="s">
        <v>1618</v>
      </c>
      <c r="K5659" s="1" t="s">
        <v>208</v>
      </c>
      <c r="L5659" s="1" t="s">
        <v>16124</v>
      </c>
      <c r="M5659" s="6" t="str">
        <f>_xlfn.CONCAT(Table1[[#This Row],[Billing Street]], ", ", Table1[[#This Row],[Billing City]], ", ", Table1[[#This Row],[Billing State/Province]], ", ", Table1[[#This Row],[Billing Zip/Postal Code]])</f>
        <v>621 East 17th Avenue_x000D_
Unit 2555, Denver, CO, 80293</v>
      </c>
    </row>
    <row r="5660" spans="1:13" ht="15.6" hidden="1" x14ac:dyDescent="0.3">
      <c r="A5660" s="1" t="s">
        <v>16125</v>
      </c>
      <c r="B5660" s="1"/>
      <c r="C5660" s="1"/>
      <c r="D5660" s="1"/>
      <c r="E5660" s="1"/>
      <c r="F5660" s="1"/>
      <c r="G5660" s="1" t="s">
        <v>8</v>
      </c>
      <c r="H5660" s="2">
        <v>6528</v>
      </c>
      <c r="I5660" s="1" t="s">
        <v>16126</v>
      </c>
      <c r="J5660" s="1" t="s">
        <v>896</v>
      </c>
      <c r="K5660" s="1" t="s">
        <v>554</v>
      </c>
      <c r="L5660" s="1" t="s">
        <v>13</v>
      </c>
      <c r="M5660" s="6" t="str">
        <f>_xlfn.CONCAT(Table1[[#This Row],[Billing Street]], ", ", Table1[[#This Row],[Billing City]], ", ", Table1[[#This Row],[Billing State/Province]], ", ", Table1[[#This Row],[Billing Zip/Postal Code]])</f>
        <v xml:space="preserve">861 S. 66th Terrace, Kansas City, KS, </v>
      </c>
    </row>
    <row r="5661" spans="1:13" ht="15.6" hidden="1" x14ac:dyDescent="0.3">
      <c r="A5661" s="1" t="s">
        <v>16127</v>
      </c>
      <c r="B5661" s="1"/>
      <c r="C5661" s="1"/>
      <c r="D5661" s="1"/>
      <c r="E5661" s="1"/>
      <c r="F5661" s="1"/>
      <c r="G5661" s="1" t="s">
        <v>48</v>
      </c>
      <c r="H5661" s="2">
        <v>0</v>
      </c>
      <c r="I5661" s="1" t="s">
        <v>16128</v>
      </c>
      <c r="J5661" s="1" t="s">
        <v>9082</v>
      </c>
      <c r="K5661" s="1" t="s">
        <v>147</v>
      </c>
      <c r="L5661" s="1" t="s">
        <v>9083</v>
      </c>
      <c r="M5661" s="6" t="str">
        <f>_xlfn.CONCAT(Table1[[#This Row],[Billing Street]], ", ", Table1[[#This Row],[Billing City]], ", ", Table1[[#This Row],[Billing State/Province]], ", ", Table1[[#This Row],[Billing Zip/Postal Code]])</f>
        <v>13506 West 155th Place North, Skiatook, OK, 74070</v>
      </c>
    </row>
    <row r="5662" spans="1:13" ht="15.6" hidden="1" x14ac:dyDescent="0.3">
      <c r="A5662" s="1" t="s">
        <v>16129</v>
      </c>
      <c r="B5662" s="1"/>
      <c r="C5662" s="1"/>
      <c r="D5662" s="1"/>
      <c r="E5662" s="1"/>
      <c r="F5662" s="1"/>
      <c r="G5662" s="1" t="s">
        <v>48</v>
      </c>
      <c r="H5662" s="2">
        <v>0</v>
      </c>
      <c r="I5662" s="1" t="s">
        <v>16130</v>
      </c>
      <c r="J5662" s="1" t="s">
        <v>10550</v>
      </c>
      <c r="K5662" s="1" t="s">
        <v>51</v>
      </c>
      <c r="L5662" s="1" t="s">
        <v>10551</v>
      </c>
      <c r="M5662" s="6" t="str">
        <f>_xlfn.CONCAT(Table1[[#This Row],[Billing Street]], ", ", Table1[[#This Row],[Billing City]], ", ", Table1[[#This Row],[Billing State/Province]], ", ", Table1[[#This Row],[Billing Zip/Postal Code]])</f>
        <v>1300 Underwood Road, Deer Park, TX, 77536</v>
      </c>
    </row>
    <row r="5663" spans="1:13" ht="15.6" hidden="1" x14ac:dyDescent="0.3">
      <c r="A5663" s="1" t="s">
        <v>16131</v>
      </c>
      <c r="B5663" s="1"/>
      <c r="C5663" s="1"/>
      <c r="D5663" s="1"/>
      <c r="E5663" s="1"/>
      <c r="F5663" s="1"/>
      <c r="G5663" s="1" t="s">
        <v>48</v>
      </c>
      <c r="H5663" s="2">
        <v>0</v>
      </c>
      <c r="I5663" s="1" t="s">
        <v>16132</v>
      </c>
      <c r="J5663" s="1" t="s">
        <v>5638</v>
      </c>
      <c r="K5663" s="1" t="s">
        <v>1170</v>
      </c>
      <c r="L5663" s="1" t="s">
        <v>16133</v>
      </c>
      <c r="M5663" s="6" t="str">
        <f>_xlfn.CONCAT(Table1[[#This Row],[Billing Street]], ", ", Table1[[#This Row],[Billing City]], ", ", Table1[[#This Row],[Billing State/Province]], ", ", Table1[[#This Row],[Billing Zip/Postal Code]])</f>
        <v>416 Industrial Drive, Beaver, WV, 25813</v>
      </c>
    </row>
    <row r="5664" spans="1:13" ht="15.6" hidden="1" x14ac:dyDescent="0.3">
      <c r="A5664" s="4" t="s">
        <v>16134</v>
      </c>
      <c r="B5664" s="4"/>
      <c r="C5664" s="4"/>
      <c r="D5664" s="4"/>
      <c r="E5664" s="4"/>
      <c r="F5664" s="4"/>
      <c r="G5664" s="4" t="s">
        <v>8</v>
      </c>
      <c r="H5664" s="5">
        <v>542</v>
      </c>
      <c r="I5664" s="4" t="s">
        <v>16135</v>
      </c>
      <c r="J5664" s="4" t="s">
        <v>1618</v>
      </c>
      <c r="K5664" s="4" t="s">
        <v>16136</v>
      </c>
      <c r="L5664" s="4" t="s">
        <v>16137</v>
      </c>
      <c r="M5664" s="8" t="str">
        <f>_xlfn.CONCAT(Table1[[#This Row],[Billing Street]], ", ", Table1[[#This Row],[Billing City]], ", ", Table1[[#This Row],[Billing State/Province]], ", ", Table1[[#This Row],[Billing Zip/Postal Code]])</f>
        <v>6666 W Quincy Ave, Denver, Colorado, 80235</v>
      </c>
    </row>
  </sheetData>
  <phoneticPr fontId="4"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EB968-F3E9-4DE8-8422-D6537AB45571}">
  <sheetPr codeName="Sheet2"/>
  <dimension ref="A1:AG78"/>
  <sheetViews>
    <sheetView workbookViewId="0">
      <selection activeCell="C1" sqref="C1:C1048576"/>
    </sheetView>
  </sheetViews>
  <sheetFormatPr defaultRowHeight="14.4" x14ac:dyDescent="0.3"/>
  <cols>
    <col min="1" max="1" width="11" bestFit="1" customWidth="1"/>
    <col min="2" max="2" width="21.88671875" bestFit="1" customWidth="1"/>
    <col min="4" max="4" width="10.88671875" bestFit="1" customWidth="1"/>
    <col min="25" max="25" width="21.88671875" bestFit="1" customWidth="1"/>
    <col min="30" max="30" width="22" bestFit="1" customWidth="1"/>
    <col min="31" max="31" width="13.44140625" bestFit="1" customWidth="1"/>
    <col min="32" max="32" width="42.6640625" bestFit="1" customWidth="1"/>
  </cols>
  <sheetData>
    <row r="1" spans="1:33" x14ac:dyDescent="0.3">
      <c r="A1" s="10" t="s">
        <v>16148</v>
      </c>
      <c r="B1" s="10"/>
      <c r="C1" s="11">
        <v>32.389564499999999</v>
      </c>
      <c r="D1" s="11">
        <v>33.467741500000002</v>
      </c>
      <c r="E1" s="11">
        <v>28.104897000000001</v>
      </c>
      <c r="F1" s="11">
        <v>33.122567799999999</v>
      </c>
      <c r="G1" s="11">
        <v>33.058843500000002</v>
      </c>
      <c r="H1" s="11">
        <v>30.6307191</v>
      </c>
      <c r="I1" s="11">
        <v>30.9518734</v>
      </c>
      <c r="J1" s="11">
        <v>33.744002299999998</v>
      </c>
      <c r="K1" s="11">
        <v>30.285323099999999</v>
      </c>
      <c r="L1" s="11">
        <v>31.7140272</v>
      </c>
      <c r="M1" s="11">
        <v>34.2001086</v>
      </c>
      <c r="N1" s="11">
        <v>34.479812299999999</v>
      </c>
      <c r="O1" s="11">
        <v>33.582915399999997</v>
      </c>
      <c r="P1" s="11">
        <v>32.905346600000001</v>
      </c>
      <c r="Q1" s="11">
        <v>30.721412999999998</v>
      </c>
      <c r="R1" s="11">
        <v>32.361873799999998</v>
      </c>
      <c r="S1" s="11">
        <v>26.849594799999998</v>
      </c>
      <c r="T1" s="11">
        <v>33.179634399999998</v>
      </c>
      <c r="U1" s="11">
        <v>32.482779600000001</v>
      </c>
      <c r="V1" s="11">
        <v>31.269835799999999</v>
      </c>
      <c r="W1" s="11">
        <v>34.4348071</v>
      </c>
      <c r="X1" s="11">
        <v>30.785589000000002</v>
      </c>
    </row>
    <row r="2" spans="1:33" x14ac:dyDescent="0.3">
      <c r="A2" s="10"/>
      <c r="B2" s="10"/>
      <c r="C2" s="11" t="s">
        <v>16198</v>
      </c>
      <c r="D2" s="11" t="s">
        <v>16147</v>
      </c>
      <c r="E2" s="11" t="s">
        <v>16149</v>
      </c>
      <c r="F2" s="11" t="s">
        <v>16150</v>
      </c>
      <c r="G2" s="11" t="s">
        <v>16151</v>
      </c>
      <c r="H2" s="11" t="s">
        <v>16152</v>
      </c>
      <c r="I2" s="11" t="s">
        <v>16153</v>
      </c>
      <c r="J2" s="11" t="s">
        <v>16154</v>
      </c>
      <c r="K2" s="11" t="s">
        <v>16155</v>
      </c>
      <c r="L2" s="11" t="s">
        <v>16156</v>
      </c>
      <c r="M2" s="11" t="s">
        <v>16157</v>
      </c>
      <c r="N2" s="11" t="s">
        <v>16158</v>
      </c>
      <c r="O2" s="11" t="s">
        <v>16159</v>
      </c>
      <c r="P2" s="11" t="s">
        <v>16160</v>
      </c>
      <c r="Q2" s="11" t="s">
        <v>16161</v>
      </c>
      <c r="R2" s="11" t="s">
        <v>16162</v>
      </c>
      <c r="S2" s="11" t="s">
        <v>16163</v>
      </c>
      <c r="T2" s="11" t="s">
        <v>16164</v>
      </c>
      <c r="U2" s="11" t="s">
        <v>16165</v>
      </c>
      <c r="V2" s="11" t="s">
        <v>16166</v>
      </c>
      <c r="W2" s="11" t="s">
        <v>16167</v>
      </c>
      <c r="X2" s="11" t="s">
        <v>16202</v>
      </c>
      <c r="Z2" s="11"/>
      <c r="AA2" s="11" t="s">
        <v>16168</v>
      </c>
      <c r="AB2" s="11" t="s">
        <v>16169</v>
      </c>
      <c r="AC2" s="11" t="s">
        <v>2</v>
      </c>
      <c r="AD2" s="11" t="s">
        <v>16194</v>
      </c>
      <c r="AE2" s="11" t="s">
        <v>16195</v>
      </c>
      <c r="AF2" s="11" t="s">
        <v>16170</v>
      </c>
      <c r="AG2" s="11"/>
    </row>
    <row r="3" spans="1:33" x14ac:dyDescent="0.3">
      <c r="A3" s="10">
        <v>32.389564499999999</v>
      </c>
      <c r="B3" s="10" t="s">
        <v>16198</v>
      </c>
      <c r="C3" cm="1">
        <f t="array" ref="C3">TRAVELDISTANCE($B3, C$2, $A$1)</f>
        <v>0</v>
      </c>
      <c r="D3" cm="1">
        <f t="array" ref="D3">TRAVELDISTANCE($B3, D$2, $A$1)</f>
        <v>290</v>
      </c>
      <c r="E3" cm="1">
        <f t="array" ref="E3">TRAVELDISTANCE($B3, E$2, $A$1)</f>
        <v>404</v>
      </c>
      <c r="F3" cm="1">
        <f t="array" ref="F3">TRAVELDISTANCE($B3, F$2, $A$1)</f>
        <v>284</v>
      </c>
      <c r="G3" cm="1">
        <f t="array" ref="G3">TRAVELDISTANCE($B3, G$2, $A$1)</f>
        <v>309</v>
      </c>
      <c r="H3" cm="1">
        <f t="array" ref="H3">TRAVELDISTANCE($B3, H$2, $A$1)</f>
        <v>116</v>
      </c>
      <c r="I3" cm="1">
        <f t="array" ref="I3">TRAVELDISTANCE($B3, I$2, $A$1)</f>
        <v>46</v>
      </c>
      <c r="J3" cm="1">
        <f t="array" ref="J3">TRAVELDISTANCE($B3, J$2, $A$1)</f>
        <v>440</v>
      </c>
      <c r="K3" cm="1">
        <f t="array" ref="K3">TRAVELDISTANCE($B3, K$2, $A$1)</f>
        <v>306</v>
      </c>
      <c r="L3" cm="1">
        <f t="array" ref="L3">TRAVELDISTANCE($B3, L$2, $A$1)</f>
        <v>71</v>
      </c>
      <c r="M3" cm="1">
        <f t="array" ref="M3">TRAVELDISTANCE($B3, M$2, $A$1)</f>
        <v>457</v>
      </c>
      <c r="N3" cm="1">
        <f t="array" ref="N3">TRAVELDISTANCE($B3, N$2, $A$1)</f>
        <v>319</v>
      </c>
      <c r="O3" cm="1">
        <f t="array" ref="O3">TRAVELDISTANCE($B3, O$2, $A$1)</f>
        <v>218</v>
      </c>
      <c r="P3" cm="1">
        <f t="array" ref="P3">TRAVELDISTANCE($B3, P$2, $A$1)</f>
        <v>169</v>
      </c>
      <c r="Q3" cm="1">
        <f t="array" ref="Q3">TRAVELDISTANCE($B3, Q$2, $A$1)</f>
        <v>36</v>
      </c>
      <c r="R3" cm="1">
        <f t="array" ref="R3">TRAVELDISTANCE($B3, R$2, $A$1)</f>
        <v>121</v>
      </c>
      <c r="S3" cm="1">
        <f t="array" ref="S3">TRAVELDISTANCE($B3, S$2, $A$1)</f>
        <v>530</v>
      </c>
      <c r="T3" cm="1">
        <f t="array" ref="T3">TRAVELDISTANCE($B3, T$2, $A$1)</f>
        <v>220</v>
      </c>
      <c r="U3" cm="1">
        <f t="array" ref="U3">TRAVELDISTANCE($B3, U$2, $A$1)</f>
        <v>143</v>
      </c>
      <c r="V3" cm="1">
        <f t="array" ref="V3">TRAVELDISTANCE($B3, V$2, $A$1)</f>
        <v>38</v>
      </c>
      <c r="W3" cm="1">
        <f t="array" ref="W3">TRAVELDISTANCE($B3, W$2, $A$1)</f>
        <v>279</v>
      </c>
      <c r="X3" cm="1">
        <f t="array" ref="X3">TRAVELDISTANCE($B3, X$2, $A$1)</f>
        <v>124</v>
      </c>
      <c r="Y3">
        <f>unit_entry!C2+1</f>
        <v>1</v>
      </c>
      <c r="AA3">
        <f>'[1]m-routes'!B2</f>
        <v>1</v>
      </c>
      <c r="AB3">
        <f>'[1]m-routes'!C2</f>
        <v>7</v>
      </c>
      <c r="AC3">
        <f>'[1]m-distances'!B2</f>
        <v>46</v>
      </c>
      <c r="AD3">
        <f>'[1]t-units'!B2</f>
        <v>12</v>
      </c>
      <c r="AE3">
        <f>AD3/AC3</f>
        <v>0.2608695652173913</v>
      </c>
      <c r="AF3" t="str" cm="1">
        <f t="array" ref="AF3">INDEX(Sheet2!J$1:J$22, AA3)</f>
        <v>931 North McDonough Street, Montgomery, AL, 36104</v>
      </c>
    </row>
    <row r="4" spans="1:33" x14ac:dyDescent="0.3">
      <c r="A4" s="10">
        <v>33.467741500000002</v>
      </c>
      <c r="B4" s="10" t="s">
        <v>16147</v>
      </c>
      <c r="C4" cm="1">
        <f t="array" ref="C4">TRAVELDISTANCE($B4, C$2, $A$1)</f>
        <v>290</v>
      </c>
      <c r="D4" cm="1">
        <f t="array" ref="D4">TRAVELDISTANCE($B4, D$2, $A$1)</f>
        <v>0</v>
      </c>
      <c r="E4" cm="1">
        <f t="array" ref="E4">TRAVELDISTANCE($B4, E$2, $A$1)</f>
        <v>672</v>
      </c>
      <c r="F4" cm="1">
        <f t="array" ref="F4">TRAVELDISTANCE($B4, F$2, $A$1)</f>
        <v>33</v>
      </c>
      <c r="G4" cm="1">
        <f t="array" ref="G4">TRAVELDISTANCE($B4, G$2, $A$1)</f>
        <v>59</v>
      </c>
      <c r="H4" cm="1">
        <f t="array" ref="H4">TRAVELDISTANCE($B4, H$2, $A$1)</f>
        <v>370</v>
      </c>
      <c r="I4" cm="1">
        <f t="array" ref="I4">TRAVELDISTANCE($B4, I$2, $A$1)</f>
        <v>308</v>
      </c>
      <c r="J4" cm="1">
        <f t="array" ref="J4">TRAVELDISTANCE($B4, J$2, $A$1)</f>
        <v>134</v>
      </c>
      <c r="K4" cm="1">
        <f t="array" ref="K4">TRAVELDISTANCE($B4, K$2, $A$1)</f>
        <v>574</v>
      </c>
      <c r="L4" cm="1">
        <f t="array" ref="L4">TRAVELDISTANCE($B4, L$2, $A$1)</f>
        <v>232</v>
      </c>
      <c r="M4" cm="1">
        <f t="array" ref="M4">TRAVELDISTANCE($B4, M$2, $A$1)</f>
        <v>146</v>
      </c>
      <c r="N4" cm="1">
        <f t="array" ref="N4">TRAVELDISTANCE($B4, N$2, $A$1)</f>
        <v>109</v>
      </c>
      <c r="O4" cm="1">
        <f t="array" ref="O4">TRAVELDISTANCE($B4, O$2, $A$1)</f>
        <v>151</v>
      </c>
      <c r="P4" cm="1">
        <f t="array" ref="P4">TRAVELDISTANCE($B4, P$2, $A$1)</f>
        <v>144</v>
      </c>
      <c r="Q4" cm="1">
        <f t="array" ref="Q4">TRAVELDISTANCE($B4, Q$2, $A$1)</f>
        <v>325</v>
      </c>
      <c r="R4" cm="1">
        <f t="array" ref="R4">TRAVELDISTANCE($B4, R$2, $A$1)</f>
        <v>184</v>
      </c>
      <c r="S4" cm="1">
        <f t="array" ref="S4">TRAVELDISTANCE($B4, S$2, $A$1)</f>
        <v>798</v>
      </c>
      <c r="T4" cm="1">
        <f t="array" ref="T4">TRAVELDISTANCE($B4, T$2, $A$1)</f>
        <v>82</v>
      </c>
      <c r="U4" cm="1">
        <f t="array" ref="U4">TRAVELDISTANCE($B4, U$2, $A$1)</f>
        <v>230</v>
      </c>
      <c r="V4" cm="1">
        <f t="array" ref="V4">TRAVELDISTANCE($B4, V$2, $A$1)</f>
        <v>258</v>
      </c>
      <c r="W4" cm="1">
        <f t="array" ref="W4">TRAVELDISTANCE($B4, W$2, $A$1)</f>
        <v>157</v>
      </c>
      <c r="X4" cm="1">
        <f t="array" ref="X4">TRAVELDISTANCE($B4, X$2, $A$1)</f>
        <v>184</v>
      </c>
      <c r="Y4">
        <f>unit_entry!C3+1</f>
        <v>22</v>
      </c>
      <c r="AA4">
        <f>'[1]m-routes'!B3</f>
        <v>7</v>
      </c>
      <c r="AB4">
        <f>'[1]m-routes'!C3</f>
        <v>15</v>
      </c>
      <c r="AC4">
        <f>'[1]m-distances'!B3</f>
        <v>76</v>
      </c>
      <c r="AD4">
        <f>'[1]t-units'!B3</f>
        <v>22</v>
      </c>
      <c r="AE4">
        <f t="shared" ref="AE4:AE23" si="0">AD4/AC4</f>
        <v>0.28947368421052633</v>
      </c>
      <c r="AF4" t="str" cm="1">
        <f t="array" ref="AF4">INDEX(Sheet2!J$1:J$22, AA4)</f>
        <v>5282 Peanut Rd., Graceville, FL, 32440</v>
      </c>
    </row>
    <row r="5" spans="1:33" x14ac:dyDescent="0.3">
      <c r="A5" s="10">
        <v>28.104897000000001</v>
      </c>
      <c r="B5" s="10" t="s">
        <v>16149</v>
      </c>
      <c r="C5" cm="1">
        <f t="array" ref="C5">TRAVELDISTANCE($B5, C$2, $A$1)</f>
        <v>403</v>
      </c>
      <c r="D5" cm="1">
        <f t="array" ref="D5">TRAVELDISTANCE($B5, D$2, $A$1)</f>
        <v>661</v>
      </c>
      <c r="E5" cm="1">
        <f t="array" ref="E5">TRAVELDISTANCE($B5, E$2, $A$1)</f>
        <v>0</v>
      </c>
      <c r="F5" cm="1">
        <f t="array" ref="F5">TRAVELDISTANCE($B5, F$2, $A$1)</f>
        <v>677</v>
      </c>
      <c r="G5" cm="1">
        <f t="array" ref="G5">TRAVELDISTANCE($B5, G$2, $A$1)</f>
        <v>733</v>
      </c>
      <c r="H5" cm="1">
        <f t="array" ref="H5">TRAVELDISTANCE($B5, H$2, $A$1)</f>
        <v>295</v>
      </c>
      <c r="I5" cm="1">
        <f t="array" ref="I5">TRAVELDISTANCE($B5, I$2, $A$1)</f>
        <v>367</v>
      </c>
      <c r="J5" cm="1">
        <f t="array" ref="J5">TRAVELDISTANCE($B5, J$2, $A$1)</f>
        <v>829</v>
      </c>
      <c r="K5" cm="1">
        <f t="array" ref="K5">TRAVELDISTANCE($B5, K$2, $A$1)</f>
        <v>178</v>
      </c>
      <c r="L5" cm="1">
        <f t="array" ref="L5">TRAVELDISTANCE($B5, L$2, $A$1)</f>
        <v>456</v>
      </c>
      <c r="M5" cm="1">
        <f t="array" ref="M5">TRAVELDISTANCE($B5, M$2, $A$1)</f>
        <v>854</v>
      </c>
      <c r="N5" cm="1">
        <f t="array" ref="N5">TRAVELDISTANCE($B5, N$2, $A$1)</f>
        <v>717</v>
      </c>
      <c r="O5" cm="1">
        <f t="array" ref="O5">TRAVELDISTANCE($B5, O$2, $A$1)</f>
        <v>600</v>
      </c>
      <c r="P5" cm="1">
        <f t="array" ref="P5">TRAVELDISTANCE($B5, P$2, $A$1)</f>
        <v>524</v>
      </c>
      <c r="Q5" cm="1">
        <f t="array" ref="Q5">TRAVELDISTANCE($B5, Q$2, $A$1)</f>
        <v>425</v>
      </c>
      <c r="R5" cm="1">
        <f t="array" ref="R5">TRAVELDISTANCE($B5, R$2, $A$1)</f>
        <v>483</v>
      </c>
      <c r="S5" cm="1">
        <f t="array" ref="S5">TRAVELDISTANCE($B5, S$2, $A$1)</f>
        <v>151</v>
      </c>
      <c r="T5" cm="1">
        <f t="array" ref="T5">TRAVELDISTANCE($B5, T$2, $A$1)</f>
        <v>576</v>
      </c>
      <c r="U5" cm="1">
        <f t="array" ref="U5">TRAVELDISTANCE($B5, U$2, $A$1)</f>
        <v>444</v>
      </c>
      <c r="V5" cm="1">
        <f t="array" ref="V5">TRAVELDISTANCE($B5, V$2, $A$1)</f>
        <v>427</v>
      </c>
      <c r="W5" cm="1">
        <f t="array" ref="W5">TRAVELDISTANCE($B5, W$2, $A$1)</f>
        <v>676</v>
      </c>
      <c r="X5" cm="1">
        <f t="array" ref="X5">TRAVELDISTANCE($B5, X$2, $A$1)</f>
        <v>477</v>
      </c>
      <c r="Y5">
        <f>unit_entry!C4+1</f>
        <v>19</v>
      </c>
      <c r="AA5">
        <f>'[1]m-routes'!B4</f>
        <v>15</v>
      </c>
      <c r="AB5">
        <f>'[1]m-routes'!C4</f>
        <v>1</v>
      </c>
      <c r="AC5">
        <f>'[1]m-distances'!B4</f>
        <v>32</v>
      </c>
      <c r="AD5">
        <f>'[1]t-units'!B4</f>
        <v>10</v>
      </c>
      <c r="AE5">
        <f t="shared" si="0"/>
        <v>0.3125</v>
      </c>
      <c r="AF5" t="str" cm="1">
        <f t="array" ref="AF5">INDEX(Sheet2!J$1:J$22, AA5)</f>
        <v>120 John King Rd, Crestview, FL, 32539</v>
      </c>
    </row>
    <row r="6" spans="1:33" x14ac:dyDescent="0.3">
      <c r="A6" s="10">
        <v>33.122567799999999</v>
      </c>
      <c r="B6" s="10" t="s">
        <v>16150</v>
      </c>
      <c r="C6" cm="1">
        <f t="array" ref="C6">TRAVELDISTANCE($B6, C$2, $A$1)</f>
        <v>284</v>
      </c>
      <c r="D6" cm="1">
        <f t="array" ref="D6">TRAVELDISTANCE($B6, D$2, $A$1)</f>
        <v>32</v>
      </c>
      <c r="E6" cm="1">
        <f t="array" ref="E6">TRAVELDISTANCE($B6, E$2, $A$1)</f>
        <v>678</v>
      </c>
      <c r="F6" cm="1">
        <f t="array" ref="F6">TRAVELDISTANCE($B6, F$2, $A$1)</f>
        <v>0</v>
      </c>
      <c r="G6" cm="1">
        <f t="array" ref="G6">TRAVELDISTANCE($B6, G$2, $A$1)</f>
        <v>36</v>
      </c>
      <c r="H6" cm="1">
        <f t="array" ref="H6">TRAVELDISTANCE($B6, H$2, $A$1)</f>
        <v>378</v>
      </c>
      <c r="I6" cm="1">
        <f t="array" ref="I6">TRAVELDISTANCE($B6, I$2, $A$1)</f>
        <v>307</v>
      </c>
      <c r="J6" cm="1">
        <f t="array" ref="J6">TRAVELDISTANCE($B6, J$2, $A$1)</f>
        <v>129</v>
      </c>
      <c r="K6" cm="1">
        <f t="array" ref="K6">TRAVELDISTANCE($B6, K$2, $A$1)</f>
        <v>580</v>
      </c>
      <c r="L6" cm="1">
        <f t="array" ref="L6">TRAVELDISTANCE($B6, L$2, $A$1)</f>
        <v>225</v>
      </c>
      <c r="M6" cm="1">
        <f t="array" ref="M6">TRAVELDISTANCE($B6, M$2, $A$1)</f>
        <v>142</v>
      </c>
      <c r="N6" cm="1">
        <f t="array" ref="N6">TRAVELDISTANCE($B6, N$2, $A$1)</f>
        <v>144</v>
      </c>
      <c r="O6" cm="1">
        <f t="array" ref="O6">TRAVELDISTANCE($B6, O$2, $A$1)</f>
        <v>169</v>
      </c>
      <c r="P6" cm="1">
        <f t="array" ref="P6">TRAVELDISTANCE($B6, P$2, $A$1)</f>
        <v>162</v>
      </c>
      <c r="Q6" cm="1">
        <f t="array" ref="Q6">TRAVELDISTANCE($B6, Q$2, $A$1)</f>
        <v>302</v>
      </c>
      <c r="R6" cm="1">
        <f t="array" ref="R6">TRAVELDISTANCE($B6, R$2, $A$1)</f>
        <v>202</v>
      </c>
      <c r="S6" cm="1">
        <f t="array" ref="S6">TRAVELDISTANCE($B6, S$2, $A$1)</f>
        <v>804</v>
      </c>
      <c r="T6" cm="1">
        <f t="array" ref="T6">TRAVELDISTANCE($B6, T$2, $A$1)</f>
        <v>103</v>
      </c>
      <c r="U6" cm="1">
        <f t="array" ref="U6">TRAVELDISTANCE($B6, U$2, $A$1)</f>
        <v>248</v>
      </c>
      <c r="V6" cm="1">
        <f t="array" ref="V6">TRAVELDISTANCE($B6, V$2, $A$1)</f>
        <v>252</v>
      </c>
      <c r="W6" cm="1">
        <f t="array" ref="W6">TRAVELDISTANCE($B6, W$2, $A$1)</f>
        <v>192</v>
      </c>
      <c r="X6" cm="1">
        <f t="array" ref="X6">TRAVELDISTANCE($B6, X$2, $A$1)</f>
        <v>202</v>
      </c>
      <c r="Y6">
        <f>unit_entry!C5+1</f>
        <v>11</v>
      </c>
      <c r="AA6">
        <f>'[1]m-routes'!B5</f>
        <v>1</v>
      </c>
      <c r="AB6">
        <f>'[1]m-routes'!C5</f>
        <v>20</v>
      </c>
      <c r="AC6">
        <f>'[1]m-distances'!B5</f>
        <v>38</v>
      </c>
      <c r="AD6">
        <f>'[1]t-units'!B5</f>
        <v>17</v>
      </c>
      <c r="AE6">
        <f t="shared" si="0"/>
        <v>0.44736842105263158</v>
      </c>
      <c r="AF6" t="str" cm="1">
        <f t="array" ref="AF6">INDEX(Sheet2!J$1:J$22, AA6)</f>
        <v>931 North McDonough Street, Montgomery, AL, 36104</v>
      </c>
    </row>
    <row r="7" spans="1:33" x14ac:dyDescent="0.3">
      <c r="A7" s="10">
        <v>33.058843500000002</v>
      </c>
      <c r="B7" s="10" t="s">
        <v>16151</v>
      </c>
      <c r="C7" cm="1">
        <f t="array" ref="C7">TRAVELDISTANCE($B7, C$2, $A$1)</f>
        <v>310</v>
      </c>
      <c r="D7" cm="1">
        <f t="array" ref="D7">TRAVELDISTANCE($B7, D$2, $A$1)</f>
        <v>58</v>
      </c>
      <c r="E7" cm="1">
        <f t="array" ref="E7">TRAVELDISTANCE($B7, E$2, $A$1)</f>
        <v>734</v>
      </c>
      <c r="F7" cm="1">
        <f t="array" ref="F7">TRAVELDISTANCE($B7, F$2, $A$1)</f>
        <v>36</v>
      </c>
      <c r="G7" cm="1">
        <f t="array" ref="G7">TRAVELDISTANCE($B7, G$2, $A$1)</f>
        <v>0</v>
      </c>
      <c r="H7" cm="1">
        <f t="array" ref="H7">TRAVELDISTANCE($B7, H$2, $A$1)</f>
        <v>447</v>
      </c>
      <c r="I7" cm="1">
        <f t="array" ref="I7">TRAVELDISTANCE($B7, I$2, $A$1)</f>
        <v>334</v>
      </c>
      <c r="J7" cm="1">
        <f t="array" ref="J7">TRAVELDISTANCE($B7, J$2, $A$1)</f>
        <v>99</v>
      </c>
      <c r="K7" cm="1">
        <f t="array" ref="K7">TRAVELDISTANCE($B7, K$2, $A$1)</f>
        <v>636</v>
      </c>
      <c r="L7" cm="1">
        <f t="array" ref="L7">TRAVELDISTANCE($B7, L$2, $A$1)</f>
        <v>252</v>
      </c>
      <c r="M7" cm="1">
        <f t="array" ref="M7">TRAVELDISTANCE($B7, M$2, $A$1)</f>
        <v>112</v>
      </c>
      <c r="N7" cm="1">
        <f t="array" ref="N7">TRAVELDISTANCE($B7, N$2, $A$1)</f>
        <v>178</v>
      </c>
      <c r="O7" cm="1">
        <f t="array" ref="O7">TRAVELDISTANCE($B7, O$2, $A$1)</f>
        <v>212</v>
      </c>
      <c r="P7" cm="1">
        <f t="array" ref="P7">TRAVELDISTANCE($B7, P$2, $A$1)</f>
        <v>205</v>
      </c>
      <c r="Q7" cm="1">
        <f t="array" ref="Q7">TRAVELDISTANCE($B7, Q$2, $A$1)</f>
        <v>310</v>
      </c>
      <c r="R7" cm="1">
        <f t="array" ref="R7">TRAVELDISTANCE($B7, R$2, $A$1)</f>
        <v>235</v>
      </c>
      <c r="S7" cm="1">
        <f t="array" ref="S7">TRAVELDISTANCE($B7, S$2, $A$1)</f>
        <v>860</v>
      </c>
      <c r="T7" cm="1">
        <f t="array" ref="T7">TRAVELDISTANCE($B7, T$2, $A$1)</f>
        <v>143</v>
      </c>
      <c r="U7" cm="1">
        <f t="array" ref="U7">TRAVELDISTANCE($B7, U$2, $A$1)</f>
        <v>281</v>
      </c>
      <c r="V7" cm="1">
        <f t="array" ref="V7">TRAVELDISTANCE($B7, V$2, $A$1)</f>
        <v>278</v>
      </c>
      <c r="W7" cm="1">
        <f t="array" ref="W7">TRAVELDISTANCE($B7, W$2, $A$1)</f>
        <v>226</v>
      </c>
      <c r="X7" cm="1">
        <f t="array" ref="X7">TRAVELDISTANCE($B7, X$2, $A$1)</f>
        <v>236</v>
      </c>
      <c r="Y7">
        <f>unit_entry!C6+1</f>
        <v>14</v>
      </c>
      <c r="AA7">
        <f>'[1]m-routes'!B6</f>
        <v>20</v>
      </c>
      <c r="AB7">
        <f>'[1]m-routes'!C6</f>
        <v>10</v>
      </c>
      <c r="AC7">
        <f>'[1]m-distances'!B6</f>
        <v>35</v>
      </c>
      <c r="AD7">
        <f>'[1]t-units'!B6</f>
        <v>20</v>
      </c>
      <c r="AE7">
        <f t="shared" si="0"/>
        <v>0.5714285714285714</v>
      </c>
      <c r="AF7" t="str" cm="1">
        <f t="array" ref="AF7">INDEX(Sheet2!J$1:J$22, AA7)</f>
        <v>104 Adams Road, Opp, AL, 36467</v>
      </c>
    </row>
    <row r="8" spans="1:33" x14ac:dyDescent="0.3">
      <c r="A8" s="10">
        <v>30.6307191</v>
      </c>
      <c r="B8" s="10" t="s">
        <v>16152</v>
      </c>
      <c r="C8" cm="1">
        <f t="array" ref="C8">TRAVELDISTANCE($B8, C$2, $A$1)</f>
        <v>116</v>
      </c>
      <c r="D8" cm="1">
        <f t="array" ref="D8">TRAVELDISTANCE($B8, D$2, $A$1)</f>
        <v>371</v>
      </c>
      <c r="E8" cm="1">
        <f t="array" ref="E8">TRAVELDISTANCE($B8, E$2, $A$1)</f>
        <v>296</v>
      </c>
      <c r="F8" cm="1">
        <f t="array" ref="F8">TRAVELDISTANCE($B8, F$2, $A$1)</f>
        <v>380</v>
      </c>
      <c r="G8" cm="1">
        <f t="array" ref="G8">TRAVELDISTANCE($B8, G$2, $A$1)</f>
        <v>445</v>
      </c>
      <c r="H8" cm="1">
        <f t="array" ref="H8">TRAVELDISTANCE($B8, H$2, $A$1)</f>
        <v>0</v>
      </c>
      <c r="I8" cm="1">
        <f t="array" ref="I8">TRAVELDISTANCE($B8, I$2, $A$1)</f>
        <v>80</v>
      </c>
      <c r="J8" cm="1">
        <f t="array" ref="J8">TRAVELDISTANCE($B8, J$2, $A$1)</f>
        <v>501</v>
      </c>
      <c r="K8" cm="1">
        <f t="array" ref="K8">TRAVELDISTANCE($B8, K$2, $A$1)</f>
        <v>198</v>
      </c>
      <c r="L8" cm="1">
        <f t="array" ref="L8">TRAVELDISTANCE($B8, L$2, $A$1)</f>
        <v>152</v>
      </c>
      <c r="M8" cm="1">
        <f t="array" ref="M8">TRAVELDISTANCE($B8, M$2, $A$1)</f>
        <v>522</v>
      </c>
      <c r="N8" cm="1">
        <f t="array" ref="N8">TRAVELDISTANCE($B8, N$2, $A$1)</f>
        <v>385</v>
      </c>
      <c r="O8" cm="1">
        <f t="array" ref="O8">TRAVELDISTANCE($B8, O$2, $A$1)</f>
        <v>283</v>
      </c>
      <c r="P8" cm="1">
        <f t="array" ref="P8">TRAVELDISTANCE($B8, P$2, $A$1)</f>
        <v>234</v>
      </c>
      <c r="Q8" cm="1">
        <f t="array" ref="Q8">TRAVELDISTANCE($B8, Q$2, $A$1)</f>
        <v>138</v>
      </c>
      <c r="R8" cm="1">
        <f t="array" ref="R8">TRAVELDISTANCE($B8, R$2, $A$1)</f>
        <v>182</v>
      </c>
      <c r="S8" cm="1">
        <f t="array" ref="S8">TRAVELDISTANCE($B8, S$2, $A$1)</f>
        <v>422</v>
      </c>
      <c r="T8" cm="1">
        <f t="array" ref="T8">TRAVELDISTANCE($B8, T$2, $A$1)</f>
        <v>286</v>
      </c>
      <c r="U8" cm="1">
        <f t="array" ref="U8">TRAVELDISTANCE($B8, U$2, $A$1)</f>
        <v>177</v>
      </c>
      <c r="V8" cm="1">
        <f t="array" ref="V8">TRAVELDISTANCE($B8, V$2, $A$1)</f>
        <v>140</v>
      </c>
      <c r="W8" cm="1">
        <f t="array" ref="W8">TRAVELDISTANCE($B8, W$2, $A$1)</f>
        <v>344</v>
      </c>
      <c r="X8" cm="1">
        <f t="array" ref="X8">TRAVELDISTANCE($B8, X$2, $A$1)</f>
        <v>188</v>
      </c>
      <c r="Y8">
        <f>unit_entry!C7+1</f>
        <v>13</v>
      </c>
      <c r="AA8">
        <f>'[1]m-routes'!B7</f>
        <v>10</v>
      </c>
      <c r="AB8">
        <f>'[1]m-routes'!C7</f>
        <v>16</v>
      </c>
      <c r="AC8">
        <f>'[1]m-distances'!B7</f>
        <v>50</v>
      </c>
      <c r="AD8">
        <f>'[1]t-units'!B7</f>
        <v>13</v>
      </c>
      <c r="AE8">
        <f t="shared" si="0"/>
        <v>0.26</v>
      </c>
      <c r="AF8" t="str" cm="1">
        <f t="array" ref="AF8">INDEX(Sheet2!J$1:J$22, AA8)</f>
        <v>65 6th Street, Luverne, AL, 36049</v>
      </c>
    </row>
    <row r="9" spans="1:33" x14ac:dyDescent="0.3">
      <c r="A9" s="10">
        <v>30.9518734</v>
      </c>
      <c r="B9" s="10" t="s">
        <v>16153</v>
      </c>
      <c r="C9" cm="1">
        <f t="array" ref="C9">TRAVELDISTANCE($B9, C$2, $A$1)</f>
        <v>46</v>
      </c>
      <c r="D9" cm="1">
        <f t="array" ref="D9">TRAVELDISTANCE($B9, D$2, $A$1)</f>
        <v>308</v>
      </c>
      <c r="E9" cm="1">
        <f t="array" ref="E9">TRAVELDISTANCE($B9, E$2, $A$1)</f>
        <v>368</v>
      </c>
      <c r="F9" cm="1">
        <f t="array" ref="F9">TRAVELDISTANCE($B9, F$2, $A$1)</f>
        <v>312</v>
      </c>
      <c r="G9" cm="1">
        <f t="array" ref="G9">TRAVELDISTANCE($B9, G$2, $A$1)</f>
        <v>338</v>
      </c>
      <c r="H9" cm="1">
        <f t="array" ref="H9">TRAVELDISTANCE($B9, H$2, $A$1)</f>
        <v>81</v>
      </c>
      <c r="I9" cm="1">
        <f t="array" ref="I9">TRAVELDISTANCE($B9, I$2, $A$1)</f>
        <v>0</v>
      </c>
      <c r="J9" cm="1">
        <f t="array" ref="J9">TRAVELDISTANCE($B9, J$2, $A$1)</f>
        <v>438</v>
      </c>
      <c r="K9" cm="1">
        <f t="array" ref="K9">TRAVELDISTANCE($B9, K$2, $A$1)</f>
        <v>270</v>
      </c>
      <c r="L9" cm="1">
        <f t="array" ref="L9">TRAVELDISTANCE($B9, L$2, $A$1)</f>
        <v>80</v>
      </c>
      <c r="M9" cm="1">
        <f t="array" ref="M9">TRAVELDISTANCE($B9, M$2, $A$1)</f>
        <v>459</v>
      </c>
      <c r="N9" cm="1">
        <f t="array" ref="N9">TRAVELDISTANCE($B9, N$2, $A$1)</f>
        <v>322</v>
      </c>
      <c r="O9" cm="1">
        <f t="array" ref="O9">TRAVELDISTANCE($B9, O$2, $A$1)</f>
        <v>220</v>
      </c>
      <c r="P9" cm="1">
        <f t="array" ref="P9">TRAVELDISTANCE($B9, P$2, $A$1)</f>
        <v>171</v>
      </c>
      <c r="Q9" cm="1">
        <f t="array" ref="Q9">TRAVELDISTANCE($B9, Q$2, $A$1)</f>
        <v>76</v>
      </c>
      <c r="R9" cm="1">
        <f t="array" ref="R9">TRAVELDISTANCE($B9, R$2, $A$1)</f>
        <v>120</v>
      </c>
      <c r="S9" cm="1">
        <f t="array" ref="S9">TRAVELDISTANCE($B9, S$2, $A$1)</f>
        <v>494</v>
      </c>
      <c r="T9" cm="1">
        <f t="array" ref="T9">TRAVELDISTANCE($B9, T$2, $A$1)</f>
        <v>224</v>
      </c>
      <c r="U9" cm="1">
        <f t="array" ref="U9">TRAVELDISTANCE($B9, U$2, $A$1)</f>
        <v>142</v>
      </c>
      <c r="V9" cm="1">
        <f t="array" ref="V9">TRAVELDISTANCE($B9, V$2, $A$1)</f>
        <v>62</v>
      </c>
      <c r="W9" cm="1">
        <f t="array" ref="W9">TRAVELDISTANCE($B9, W$2, $A$1)</f>
        <v>281</v>
      </c>
      <c r="X9" cm="1">
        <f t="array" ref="X9">TRAVELDISTANCE($B9, X$2, $A$1)</f>
        <v>125</v>
      </c>
      <c r="Y9">
        <f>unit_entry!C8+1</f>
        <v>30</v>
      </c>
      <c r="AA9">
        <f>'[1]m-routes'!B8</f>
        <v>16</v>
      </c>
      <c r="AB9">
        <f>'[1]m-routes'!C8</f>
        <v>1</v>
      </c>
      <c r="AC9">
        <f>'[1]m-distances'!B8</f>
        <v>120</v>
      </c>
      <c r="AD9">
        <f>'[1]t-units'!B8</f>
        <v>26</v>
      </c>
      <c r="AE9">
        <f t="shared" si="0"/>
        <v>0.21666666666666667</v>
      </c>
      <c r="AF9" t="str" cm="1">
        <f t="array" ref="AF9">INDEX(Sheet2!J$1:J$22, AA9)</f>
        <v>1251 South Decatur St, Montgomery, AL, 36101</v>
      </c>
    </row>
    <row r="10" spans="1:33" x14ac:dyDescent="0.3">
      <c r="A10" s="10">
        <v>33.744002299999998</v>
      </c>
      <c r="B10" s="10" t="s">
        <v>16154</v>
      </c>
      <c r="C10" cm="1">
        <f t="array" ref="C10">TRAVELDISTANCE($B10, C$2, $A$1)</f>
        <v>440</v>
      </c>
      <c r="D10" cm="1">
        <f t="array" ref="D10">TRAVELDISTANCE($B10, D$2, $A$1)</f>
        <v>132</v>
      </c>
      <c r="E10" cm="1">
        <f t="array" ref="E10">TRAVELDISTANCE($B10, E$2, $A$1)</f>
        <v>833</v>
      </c>
      <c r="F10" cm="1">
        <f t="array" ref="F10">TRAVELDISTANCE($B10, F$2, $A$1)</f>
        <v>129</v>
      </c>
      <c r="G10" cm="1">
        <f t="array" ref="G10">TRAVELDISTANCE($B10, G$2, $A$1)</f>
        <v>99</v>
      </c>
      <c r="H10" cm="1">
        <f t="array" ref="H10">TRAVELDISTANCE($B10, H$2, $A$1)</f>
        <v>500</v>
      </c>
      <c r="I10" cm="1">
        <f t="array" ref="I10">TRAVELDISTANCE($B10, I$2, $A$1)</f>
        <v>438</v>
      </c>
      <c r="J10" cm="1">
        <f t="array" ref="J10">TRAVELDISTANCE($B10, J$2, $A$1)</f>
        <v>0</v>
      </c>
      <c r="K10" cm="1">
        <f t="array" ref="K10">TRAVELDISTANCE($B10, K$2, $A$1)</f>
        <v>735</v>
      </c>
      <c r="L10" cm="1">
        <f t="array" ref="L10">TRAVELDISTANCE($B10, L$2, $A$1)</f>
        <v>362</v>
      </c>
      <c r="M10" cm="1">
        <f t="array" ref="M10">TRAVELDISTANCE($B10, M$2, $A$1)</f>
        <v>37</v>
      </c>
      <c r="N10" cm="1">
        <f t="array" ref="N10">TRAVELDISTANCE($B10, N$2, $A$1)</f>
        <v>225</v>
      </c>
      <c r="O10" cm="1">
        <f t="array" ref="O10">TRAVELDISTANCE($B10, O$2, $A$1)</f>
        <v>282</v>
      </c>
      <c r="P10" cm="1">
        <f t="array" ref="P10">TRAVELDISTANCE($B10, P$2, $A$1)</f>
        <v>274</v>
      </c>
      <c r="Q10" cm="1">
        <f t="array" ref="Q10">TRAVELDISTANCE($B10, Q$2, $A$1)</f>
        <v>408</v>
      </c>
      <c r="R10" cm="1">
        <f t="array" ref="R10">TRAVELDISTANCE($B10, R$2, $A$1)</f>
        <v>314</v>
      </c>
      <c r="S10" cm="1">
        <f t="array" ref="S10">TRAVELDISTANCE($B10, S$2, $A$1)</f>
        <v>959</v>
      </c>
      <c r="T10" cm="1">
        <f t="array" ref="T10">TRAVELDISTANCE($B10, T$2, $A$1)</f>
        <v>212</v>
      </c>
      <c r="U10" cm="1">
        <f t="array" ref="U10">TRAVELDISTANCE($B10, U$2, $A$1)</f>
        <v>360</v>
      </c>
      <c r="V10" cm="1">
        <f t="array" ref="V10">TRAVELDISTANCE($B10, V$2, $A$1)</f>
        <v>388</v>
      </c>
      <c r="W10" cm="1">
        <f t="array" ref="W10">TRAVELDISTANCE($B10, W$2, $A$1)</f>
        <v>272</v>
      </c>
      <c r="X10" cm="1">
        <f t="array" ref="X10">TRAVELDISTANCE($B10, X$2, $A$1)</f>
        <v>314</v>
      </c>
      <c r="Y10">
        <f>unit_entry!C9+1</f>
        <v>13</v>
      </c>
      <c r="AA10">
        <f>'[1]m-routes'!B9</f>
        <v>1</v>
      </c>
      <c r="AB10">
        <f>'[1]m-routes'!C9</f>
        <v>19</v>
      </c>
      <c r="AC10">
        <f>'[1]m-distances'!B9</f>
        <v>143</v>
      </c>
      <c r="AD10">
        <f>'[1]t-units'!B9</f>
        <v>21</v>
      </c>
      <c r="AE10">
        <f t="shared" si="0"/>
        <v>0.14685314685314685</v>
      </c>
      <c r="AF10" t="str" cm="1">
        <f t="array" ref="AF10">INDEX(Sheet2!J$1:J$22, AA10)</f>
        <v>931 North McDonough Street, Montgomery, AL, 36104</v>
      </c>
    </row>
    <row r="11" spans="1:33" x14ac:dyDescent="0.3">
      <c r="A11" s="10">
        <v>30.285323099999999</v>
      </c>
      <c r="B11" s="10" t="s">
        <v>16155</v>
      </c>
      <c r="C11" cm="1">
        <f t="array" ref="C11">TRAVELDISTANCE($B11, C$2, $A$1)</f>
        <v>306</v>
      </c>
      <c r="D11" cm="1">
        <f t="array" ref="D11">TRAVELDISTANCE($B11, D$2, $A$1)</f>
        <v>575</v>
      </c>
      <c r="E11" cm="1">
        <f t="array" ref="E11">TRAVELDISTANCE($B11, E$2, $A$1)</f>
        <v>180</v>
      </c>
      <c r="F11" cm="1">
        <f t="array" ref="F11">TRAVELDISTANCE($B11, F$2, $A$1)</f>
        <v>580</v>
      </c>
      <c r="G11" cm="1">
        <f t="array" ref="G11">TRAVELDISTANCE($B11, G$2, $A$1)</f>
        <v>636</v>
      </c>
      <c r="H11" cm="1">
        <f t="array" ref="H11">TRAVELDISTANCE($B11, H$2, $A$1)</f>
        <v>198</v>
      </c>
      <c r="I11" cm="1">
        <f t="array" ref="I11">TRAVELDISTANCE($B11, I$2, $A$1)</f>
        <v>271</v>
      </c>
      <c r="J11" cm="1">
        <f t="array" ref="J11">TRAVELDISTANCE($B11, J$2, $A$1)</f>
        <v>732</v>
      </c>
      <c r="K11" cm="1">
        <f t="array" ref="K11">TRAVELDISTANCE($B11, K$2, $A$1)</f>
        <v>0</v>
      </c>
      <c r="L11" cm="1">
        <f t="array" ref="L11">TRAVELDISTANCE($B11, L$2, $A$1)</f>
        <v>359</v>
      </c>
      <c r="M11" cm="1">
        <f t="array" ref="M11">TRAVELDISTANCE($B11, M$2, $A$1)</f>
        <v>758</v>
      </c>
      <c r="N11" cm="1">
        <f t="array" ref="N11">TRAVELDISTANCE($B11, N$2, $A$1)</f>
        <v>620</v>
      </c>
      <c r="O11" cm="1">
        <f t="array" ref="O11">TRAVELDISTANCE($B11, O$2, $A$1)</f>
        <v>503</v>
      </c>
      <c r="P11" cm="1">
        <f t="array" ref="P11">TRAVELDISTANCE($B11, P$2, $A$1)</f>
        <v>438</v>
      </c>
      <c r="Q11" cm="1">
        <f t="array" ref="Q11">TRAVELDISTANCE($B11, Q$2, $A$1)</f>
        <v>328</v>
      </c>
      <c r="R11" cm="1">
        <f t="array" ref="R11">TRAVELDISTANCE($B11, R$2, $A$1)</f>
        <v>386</v>
      </c>
      <c r="S11" cm="1">
        <f t="array" ref="S11">TRAVELDISTANCE($B11, S$2, $A$1)</f>
        <v>277</v>
      </c>
      <c r="T11" cm="1">
        <f t="array" ref="T11">TRAVELDISTANCE($B11, T$2, $A$1)</f>
        <v>490</v>
      </c>
      <c r="U11" cm="1">
        <f t="array" ref="U11">TRAVELDISTANCE($B11, U$2, $A$1)</f>
        <v>347</v>
      </c>
      <c r="V11" cm="1">
        <f t="array" ref="V11">TRAVELDISTANCE($B11, V$2, $A$1)</f>
        <v>330</v>
      </c>
      <c r="W11" cm="1">
        <f t="array" ref="W11">TRAVELDISTANCE($B11, W$2, $A$1)</f>
        <v>580</v>
      </c>
      <c r="X11" cm="1">
        <f t="array" ref="X11">TRAVELDISTANCE($B11, X$2, $A$1)</f>
        <v>392</v>
      </c>
      <c r="Y11">
        <f>unit_entry!C10+1</f>
        <v>16</v>
      </c>
      <c r="AC11" t="e" cm="1" vm="1">
        <f t="array" aca="1" ref="AC11" ca="1">INDEX($C$3:$X$24, AA11, AB11)</f>
        <v>#VALUE!</v>
      </c>
      <c r="AE11" t="e" vm="2">
        <f t="shared" ca="1" si="0"/>
        <v>#VALUE!</v>
      </c>
      <c r="AF11" t="e" cm="1" vm="3">
        <f t="array" aca="1" ref="AF11" ca="1">INDEX(Sheet2!J$1:J$22, AA11)</f>
        <v>#VALUE!</v>
      </c>
    </row>
    <row r="12" spans="1:33" x14ac:dyDescent="0.3">
      <c r="A12" s="10">
        <v>31.7140272</v>
      </c>
      <c r="B12" s="10" t="s">
        <v>16156</v>
      </c>
      <c r="C12" cm="1">
        <f t="array" ref="C12">TRAVELDISTANCE($B12, C$2, $A$1)</f>
        <v>70</v>
      </c>
      <c r="D12" cm="1">
        <f t="array" ref="D12">TRAVELDISTANCE($B12, D$2, $A$1)</f>
        <v>233</v>
      </c>
      <c r="E12" cm="1">
        <f t="array" ref="E12">TRAVELDISTANCE($B12, E$2, $A$1)</f>
        <v>457</v>
      </c>
      <c r="F12" cm="1">
        <f t="array" ref="F12">TRAVELDISTANCE($B12, F$2, $A$1)</f>
        <v>225</v>
      </c>
      <c r="G12" cm="1">
        <f t="array" ref="G12">TRAVELDISTANCE($B12, G$2, $A$1)</f>
        <v>251</v>
      </c>
      <c r="H12" cm="1">
        <f t="array" ref="H12">TRAVELDISTANCE($B12, H$2, $A$1)</f>
        <v>152</v>
      </c>
      <c r="I12" cm="1">
        <f t="array" ref="I12">TRAVELDISTANCE($B12, I$2, $A$1)</f>
        <v>80</v>
      </c>
      <c r="J12" cm="1">
        <f t="array" ref="J12">TRAVELDISTANCE($B12, J$2, $A$1)</f>
        <v>363</v>
      </c>
      <c r="K12" cm="1">
        <f t="array" ref="K12">TRAVELDISTANCE($B12, K$2, $A$1)</f>
        <v>359</v>
      </c>
      <c r="L12" cm="1">
        <f t="array" ref="L12">TRAVELDISTANCE($B12, L$2, $A$1)</f>
        <v>0</v>
      </c>
      <c r="M12" cm="1">
        <f t="array" ref="M12">TRAVELDISTANCE($B12, M$2, $A$1)</f>
        <v>386</v>
      </c>
      <c r="N12" cm="1">
        <f t="array" ref="N12">TRAVELDISTANCE($B12, N$2, $A$1)</f>
        <v>248</v>
      </c>
      <c r="O12" cm="1">
        <f t="array" ref="O12">TRAVELDISTANCE($B12, O$2, $A$1)</f>
        <v>147</v>
      </c>
      <c r="P12" cm="1">
        <f t="array" ref="P12">TRAVELDISTANCE($B12, P$2, $A$1)</f>
        <v>98</v>
      </c>
      <c r="Q12" cm="1">
        <f t="array" ref="Q12">TRAVELDISTANCE($B12, Q$2, $A$1)</f>
        <v>84</v>
      </c>
      <c r="R12" cm="1">
        <f t="array" ref="R12">TRAVELDISTANCE($B12, R$2, $A$1)</f>
        <v>50</v>
      </c>
      <c r="S12" cm="1">
        <f t="array" ref="S12">TRAVELDISTANCE($B12, S$2, $A$1)</f>
        <v>583</v>
      </c>
      <c r="T12" cm="1">
        <f t="array" ref="T12">TRAVELDISTANCE($B12, T$2, $A$1)</f>
        <v>149</v>
      </c>
      <c r="U12" cm="1">
        <f t="array" ref="U12">TRAVELDISTANCE($B12, U$2, $A$1)</f>
        <v>98</v>
      </c>
      <c r="V12" cm="1">
        <f t="array" ref="V12">TRAVELDISTANCE($B12, V$2, $A$1)</f>
        <v>33</v>
      </c>
      <c r="W12" cm="1">
        <f t="array" ref="W12">TRAVELDISTANCE($B12, W$2, $A$1)</f>
        <v>208</v>
      </c>
      <c r="X12" cm="1">
        <f t="array" ref="X12">TRAVELDISTANCE($B12, X$2, $A$1)</f>
        <v>53</v>
      </c>
      <c r="Y12">
        <f>unit_entry!C11+1</f>
        <v>13</v>
      </c>
      <c r="AC12" t="e" cm="1" vm="1">
        <f t="array" aca="1" ref="AC12" ca="1">INDEX($C$3:$X$24, AA12, AB12)</f>
        <v>#VALUE!</v>
      </c>
      <c r="AE12" t="e" vm="2">
        <f t="shared" ca="1" si="0"/>
        <v>#VALUE!</v>
      </c>
      <c r="AF12" t="e" cm="1" vm="3">
        <f t="array" aca="1" ref="AF12" ca="1">INDEX(Sheet2!J$1:J$22, AA12)</f>
        <v>#VALUE!</v>
      </c>
    </row>
    <row r="13" spans="1:33" x14ac:dyDescent="0.3">
      <c r="A13" s="10">
        <v>34.2001086</v>
      </c>
      <c r="B13" s="10" t="s">
        <v>16157</v>
      </c>
      <c r="C13" cm="1">
        <f t="array" ref="C13">TRAVELDISTANCE($B13, C$2, $A$1)</f>
        <v>456</v>
      </c>
      <c r="D13" cm="1">
        <f t="array" ref="D13">TRAVELDISTANCE($B13, D$2, $A$1)</f>
        <v>145</v>
      </c>
      <c r="E13" cm="1">
        <f t="array" ref="E13">TRAVELDISTANCE($B13, E$2, $A$1)</f>
        <v>854</v>
      </c>
      <c r="F13" cm="1">
        <f t="array" ref="F13">TRAVELDISTANCE($B13, F$2, $A$1)</f>
        <v>142</v>
      </c>
      <c r="G13" cm="1">
        <f t="array" ref="G13">TRAVELDISTANCE($B13, G$2, $A$1)</f>
        <v>112</v>
      </c>
      <c r="H13" cm="1">
        <f t="array" ref="H13">TRAVELDISTANCE($B13, H$2, $A$1)</f>
        <v>523</v>
      </c>
      <c r="I13" cm="1">
        <f t="array" ref="I13">TRAVELDISTANCE($B13, I$2, $A$1)</f>
        <v>460</v>
      </c>
      <c r="J13" cm="1">
        <f t="array" ref="J13">TRAVELDISTANCE($B13, J$2, $A$1)</f>
        <v>37</v>
      </c>
      <c r="K13" cm="1">
        <f t="array" ref="K13">TRAVELDISTANCE($B13, K$2, $A$1)</f>
        <v>756</v>
      </c>
      <c r="L13" cm="1">
        <f t="array" ref="L13">TRAVELDISTANCE($B13, L$2, $A$1)</f>
        <v>386</v>
      </c>
      <c r="M13" cm="1">
        <f t="array" ref="M13">TRAVELDISTANCE($B13, M$2, $A$1)</f>
        <v>0</v>
      </c>
      <c r="N13" cm="1">
        <f t="array" ref="N13">TRAVELDISTANCE($B13, N$2, $A$1)</f>
        <v>187</v>
      </c>
      <c r="O13" cm="1">
        <f t="array" ref="O13">TRAVELDISTANCE($B13, O$2, $A$1)</f>
        <v>261</v>
      </c>
      <c r="P13" cm="1">
        <f t="array" ref="P13">TRAVELDISTANCE($B13, P$2, $A$1)</f>
        <v>293</v>
      </c>
      <c r="Q13" cm="1">
        <f t="array" ref="Q13">TRAVELDISTANCE($B13, Q$2, $A$1)</f>
        <v>422</v>
      </c>
      <c r="R13" cm="1">
        <f t="array" ref="R13">TRAVELDISTANCE($B13, R$2, $A$1)</f>
        <v>336</v>
      </c>
      <c r="S13" cm="1">
        <f t="array" ref="S13">TRAVELDISTANCE($B13, S$2, $A$1)</f>
        <v>980</v>
      </c>
      <c r="T13" cm="1">
        <f t="array" ref="T13">TRAVELDISTANCE($B13, T$2, $A$1)</f>
        <v>225</v>
      </c>
      <c r="U13" cm="1">
        <f t="array" ref="U13">TRAVELDISTANCE($B13, U$2, $A$1)</f>
        <v>382</v>
      </c>
      <c r="V13" cm="1">
        <f t="array" ref="V13">TRAVELDISTANCE($B13, V$2, $A$1)</f>
        <v>419</v>
      </c>
      <c r="W13" cm="1">
        <f t="array" ref="W13">TRAVELDISTANCE($B13, W$2, $A$1)</f>
        <v>234</v>
      </c>
      <c r="X13" cm="1">
        <f t="array" ref="X13">TRAVELDISTANCE($B13, X$2, $A$1)</f>
        <v>336</v>
      </c>
      <c r="Y13">
        <f>unit_entry!C12+1</f>
        <v>18</v>
      </c>
      <c r="AC13" t="e" cm="1" vm="1">
        <f t="array" aca="1" ref="AC13" ca="1">INDEX($C$3:$X$24, AA13, AB13)</f>
        <v>#VALUE!</v>
      </c>
      <c r="AE13" t="e" vm="2">
        <f t="shared" ca="1" si="0"/>
        <v>#VALUE!</v>
      </c>
      <c r="AF13" t="e" cm="1" vm="3">
        <f t="array" aca="1" ref="AF13" ca="1">INDEX(Sheet2!J$1:J$22, AA13)</f>
        <v>#VALUE!</v>
      </c>
    </row>
    <row r="14" spans="1:33" x14ac:dyDescent="0.3">
      <c r="A14" s="10">
        <v>34.479812299999999</v>
      </c>
      <c r="B14" s="10" t="s">
        <v>16158</v>
      </c>
      <c r="C14" cm="1">
        <f t="array" ref="C14">TRAVELDISTANCE($B14, C$2, $A$1)</f>
        <v>318</v>
      </c>
      <c r="D14" cm="1">
        <f t="array" ref="D14">TRAVELDISTANCE($B14, D$2, $A$1)</f>
        <v>109</v>
      </c>
      <c r="E14" cm="1">
        <f t="array" ref="E14">TRAVELDISTANCE($B14, E$2, $A$1)</f>
        <v>717</v>
      </c>
      <c r="F14" cm="1">
        <f t="array" ref="F14">TRAVELDISTANCE($B14, F$2, $A$1)</f>
        <v>144</v>
      </c>
      <c r="G14" cm="1">
        <f t="array" ref="G14">TRAVELDISTANCE($B14, G$2, $A$1)</f>
        <v>178</v>
      </c>
      <c r="H14" cm="1">
        <f t="array" ref="H14">TRAVELDISTANCE($B14, H$2, $A$1)</f>
        <v>385</v>
      </c>
      <c r="I14" cm="1">
        <f t="array" ref="I14">TRAVELDISTANCE($B14, I$2, $A$1)</f>
        <v>322</v>
      </c>
      <c r="J14" cm="1">
        <f t="array" ref="J14">TRAVELDISTANCE($B14, J$2, $A$1)</f>
        <v>224</v>
      </c>
      <c r="K14" cm="1">
        <f t="array" ref="K14">TRAVELDISTANCE($B14, K$2, $A$1)</f>
        <v>619</v>
      </c>
      <c r="L14" cm="1">
        <f t="array" ref="L14">TRAVELDISTANCE($B14, L$2, $A$1)</f>
        <v>248</v>
      </c>
      <c r="M14" cm="1">
        <f t="array" ref="M14">TRAVELDISTANCE($B14, M$2, $A$1)</f>
        <v>186</v>
      </c>
      <c r="N14" cm="1">
        <f t="array" ref="N14">TRAVELDISTANCE($B14, N$2, $A$1)</f>
        <v>0</v>
      </c>
      <c r="O14" cm="1">
        <f t="array" ref="O14">TRAVELDISTANCE($B14, O$2, $A$1)</f>
        <v>123</v>
      </c>
      <c r="P14" cm="1">
        <f t="array" ref="P14">TRAVELDISTANCE($B14, P$2, $A$1)</f>
        <v>156</v>
      </c>
      <c r="Q14" cm="1">
        <f t="array" ref="Q14">TRAVELDISTANCE($B14, Q$2, $A$1)</f>
        <v>337</v>
      </c>
      <c r="R14" cm="1">
        <f t="array" ref="R14">TRAVELDISTANCE($B14, R$2, $A$1)</f>
        <v>199</v>
      </c>
      <c r="S14" cm="1">
        <f t="array" ref="S14">TRAVELDISTANCE($B14, S$2, $A$1)</f>
        <v>843</v>
      </c>
      <c r="T14" cm="1">
        <f t="array" ref="T14">TRAVELDISTANCE($B14, T$2, $A$1)</f>
        <v>101</v>
      </c>
      <c r="U14" cm="1">
        <f t="array" ref="U14">TRAVELDISTANCE($B14, U$2, $A$1)</f>
        <v>245</v>
      </c>
      <c r="V14" cm="1">
        <f t="array" ref="V14">TRAVELDISTANCE($B14, V$2, $A$1)</f>
        <v>282</v>
      </c>
      <c r="W14" cm="1">
        <f t="array" ref="W14">TRAVELDISTANCE($B14, W$2, $A$1)</f>
        <v>50</v>
      </c>
      <c r="X14" cm="1">
        <f t="array" ref="X14">TRAVELDISTANCE($B14, X$2, $A$1)</f>
        <v>198</v>
      </c>
      <c r="Y14">
        <f>unit_entry!C13+1</f>
        <v>27</v>
      </c>
      <c r="AC14" t="e" cm="1" vm="1">
        <f t="array" aca="1" ref="AC14" ca="1">INDEX($C$3:$X$24, AA14, AB14)</f>
        <v>#VALUE!</v>
      </c>
      <c r="AE14" t="e" vm="2">
        <f t="shared" ca="1" si="0"/>
        <v>#VALUE!</v>
      </c>
      <c r="AF14" t="e" cm="1" vm="3">
        <f t="array" aca="1" ref="AF14" ca="1">INDEX(Sheet2!J$1:J$22, AA14)</f>
        <v>#VALUE!</v>
      </c>
    </row>
    <row r="15" spans="1:33" x14ac:dyDescent="0.3">
      <c r="A15" s="10">
        <v>33.582915399999997</v>
      </c>
      <c r="B15" s="10" t="s">
        <v>16159</v>
      </c>
      <c r="C15" cm="1">
        <f t="array" ref="C15">TRAVELDISTANCE($B15, C$2, $A$1)</f>
        <v>217</v>
      </c>
      <c r="D15" cm="1">
        <f t="array" ref="D15">TRAVELDISTANCE($B15, D$2, $A$1)</f>
        <v>152</v>
      </c>
      <c r="E15" cm="1">
        <f t="array" ref="E15">TRAVELDISTANCE($B15, E$2, $A$1)</f>
        <v>600</v>
      </c>
      <c r="F15" cm="1">
        <f t="array" ref="F15">TRAVELDISTANCE($B15, F$2, $A$1)</f>
        <v>169</v>
      </c>
      <c r="G15" cm="1">
        <f t="array" ref="G15">TRAVELDISTANCE($B15, G$2, $A$1)</f>
        <v>212</v>
      </c>
      <c r="H15" cm="1">
        <f t="array" ref="H15">TRAVELDISTANCE($B15, H$2, $A$1)</f>
        <v>284</v>
      </c>
      <c r="I15" cm="1">
        <f t="array" ref="I15">TRAVELDISTANCE($B15, I$2, $A$1)</f>
        <v>221</v>
      </c>
      <c r="J15" cm="1">
        <f t="array" ref="J15">TRAVELDISTANCE($B15, J$2, $A$1)</f>
        <v>281</v>
      </c>
      <c r="K15" cm="1">
        <f t="array" ref="K15">TRAVELDISTANCE($B15, K$2, $A$1)</f>
        <v>502</v>
      </c>
      <c r="L15" cm="1">
        <f t="array" ref="L15">TRAVELDISTANCE($B15, L$2, $A$1)</f>
        <v>147</v>
      </c>
      <c r="M15" cm="1">
        <f t="array" ref="M15">TRAVELDISTANCE($B15, M$2, $A$1)</f>
        <v>261</v>
      </c>
      <c r="N15" cm="1">
        <f t="array" ref="N15">TRAVELDISTANCE($B15, N$2, $A$1)</f>
        <v>123</v>
      </c>
      <c r="O15" cm="1">
        <f t="array" ref="O15">TRAVELDISTANCE($B15, O$2, $A$1)</f>
        <v>0</v>
      </c>
      <c r="P15" cm="1">
        <f t="array" ref="P15">TRAVELDISTANCE($B15, P$2, $A$1)</f>
        <v>55</v>
      </c>
      <c r="Q15" cm="1">
        <f t="array" ref="Q15">TRAVELDISTANCE($B15, Q$2, $A$1)</f>
        <v>236</v>
      </c>
      <c r="R15" cm="1">
        <f t="array" ref="R15">TRAVELDISTANCE($B15, R$2, $A$1)</f>
        <v>98</v>
      </c>
      <c r="S15" cm="1">
        <f t="array" ref="S15">TRAVELDISTANCE($B15, S$2, $A$1)</f>
        <v>726</v>
      </c>
      <c r="T15" cm="1">
        <f t="array" ref="T15">TRAVELDISTANCE($B15, T$2, $A$1)</f>
        <v>68</v>
      </c>
      <c r="U15" cm="1">
        <f t="array" ref="U15">TRAVELDISTANCE($B15, U$2, $A$1)</f>
        <v>144</v>
      </c>
      <c r="V15" cm="1">
        <f t="array" ref="V15">TRAVELDISTANCE($B15, V$2, $A$1)</f>
        <v>181</v>
      </c>
      <c r="W15" cm="1">
        <f t="array" ref="W15">TRAVELDISTANCE($B15, W$2, $A$1)</f>
        <v>83</v>
      </c>
      <c r="X15" cm="1">
        <f t="array" ref="X15">TRAVELDISTANCE($B15, X$2, $A$1)</f>
        <v>97</v>
      </c>
      <c r="Y15">
        <f>unit_entry!C14+1</f>
        <v>23</v>
      </c>
      <c r="AC15" t="e" cm="1" vm="1">
        <f t="array" aca="1" ref="AC15" ca="1">INDEX($C$3:$X$24, AA15, AB15)</f>
        <v>#VALUE!</v>
      </c>
      <c r="AE15" t="e" vm="2">
        <f t="shared" ca="1" si="0"/>
        <v>#VALUE!</v>
      </c>
      <c r="AF15" t="e" cm="1" vm="3">
        <f t="array" aca="1" ref="AF15" ca="1">INDEX(Sheet2!J$1:J$22, AA15)</f>
        <v>#VALUE!</v>
      </c>
    </row>
    <row r="16" spans="1:33" x14ac:dyDescent="0.3">
      <c r="A16" s="10">
        <v>32.905346600000001</v>
      </c>
      <c r="B16" s="10" t="s">
        <v>16160</v>
      </c>
      <c r="C16" cm="1">
        <f t="array" ref="C16">TRAVELDISTANCE($B16, C$2, $A$1)</f>
        <v>168</v>
      </c>
      <c r="D16" cm="1">
        <f t="array" ref="D16">TRAVELDISTANCE($B16, D$2, $A$1)</f>
        <v>145</v>
      </c>
      <c r="E16" cm="1">
        <f t="array" ref="E16">TRAVELDISTANCE($B16, E$2, $A$1)</f>
        <v>536</v>
      </c>
      <c r="F16" cm="1">
        <f t="array" ref="F16">TRAVELDISTANCE($B16, F$2, $A$1)</f>
        <v>163</v>
      </c>
      <c r="G16" cm="1">
        <f t="array" ref="G16">TRAVELDISTANCE($B16, G$2, $A$1)</f>
        <v>206</v>
      </c>
      <c r="H16" cm="1">
        <f t="array" ref="H16">TRAVELDISTANCE($B16, H$2, $A$1)</f>
        <v>234</v>
      </c>
      <c r="I16" cm="1">
        <f t="array" ref="I16">TRAVELDISTANCE($B16, I$2, $A$1)</f>
        <v>172</v>
      </c>
      <c r="J16" cm="1">
        <f t="array" ref="J16">TRAVELDISTANCE($B16, J$2, $A$1)</f>
        <v>275</v>
      </c>
      <c r="K16" cm="1">
        <f t="array" ref="K16">TRAVELDISTANCE($B16, K$2, $A$1)</f>
        <v>438</v>
      </c>
      <c r="L16" cm="1">
        <f t="array" ref="L16">TRAVELDISTANCE($B16, L$2, $A$1)</f>
        <v>98</v>
      </c>
      <c r="M16" cm="1">
        <f t="array" ref="M16">TRAVELDISTANCE($B16, M$2, $A$1)</f>
        <v>294</v>
      </c>
      <c r="N16" cm="1">
        <f t="array" ref="N16">TRAVELDISTANCE($B16, N$2, $A$1)</f>
        <v>156</v>
      </c>
      <c r="O16" cm="1">
        <f t="array" ref="O16">TRAVELDISTANCE($B16, O$2, $A$1)</f>
        <v>55</v>
      </c>
      <c r="P16" cm="1">
        <f t="array" ref="P16">TRAVELDISTANCE($B16, P$2, $A$1)</f>
        <v>0</v>
      </c>
      <c r="Q16" cm="1">
        <f t="array" ref="Q16">TRAVELDISTANCE($B16, Q$2, $A$1)</f>
        <v>187</v>
      </c>
      <c r="R16" cm="1">
        <f t="array" ref="R16">TRAVELDISTANCE($B16, R$2, $A$1)</f>
        <v>48</v>
      </c>
      <c r="S16" cm="1">
        <f t="array" ref="S16">TRAVELDISTANCE($B16, S$2, $A$1)</f>
        <v>662</v>
      </c>
      <c r="T16" cm="1">
        <f t="array" ref="T16">TRAVELDISTANCE($B16, T$2, $A$1)</f>
        <v>61</v>
      </c>
      <c r="U16" cm="1">
        <f t="array" ref="U16">TRAVELDISTANCE($B16, U$2, $A$1)</f>
        <v>94</v>
      </c>
      <c r="V16" cm="1">
        <f t="array" ref="V16">TRAVELDISTANCE($B16, V$2, $A$1)</f>
        <v>131</v>
      </c>
      <c r="W16" cm="1">
        <f t="array" ref="W16">TRAVELDISTANCE($B16, W$2, $A$1)</f>
        <v>116</v>
      </c>
      <c r="X16" cm="1">
        <f t="array" ref="X16">TRAVELDISTANCE($B16, X$2, $A$1)</f>
        <v>47</v>
      </c>
      <c r="Y16">
        <f>unit_entry!C15+1</f>
        <v>18</v>
      </c>
      <c r="AC16" t="e" cm="1" vm="1">
        <f t="array" aca="1" ref="AC16" ca="1">INDEX($C$3:$X$24, AA16, AB16)</f>
        <v>#VALUE!</v>
      </c>
      <c r="AE16" t="e" vm="2">
        <f t="shared" ca="1" si="0"/>
        <v>#VALUE!</v>
      </c>
      <c r="AF16" t="e" cm="1" vm="3">
        <f t="array" aca="1" ref="AF16" ca="1">INDEX(Sheet2!J$1:J$22, AA16)</f>
        <v>#VALUE!</v>
      </c>
    </row>
    <row r="17" spans="1:32" x14ac:dyDescent="0.3">
      <c r="A17" s="10">
        <v>30.721412999999998</v>
      </c>
      <c r="B17" s="10" t="s">
        <v>16161</v>
      </c>
      <c r="C17" cm="1">
        <f t="array" ref="C17">TRAVELDISTANCE($B17, C$2, $A$1)</f>
        <v>32</v>
      </c>
      <c r="D17" cm="1">
        <f t="array" ref="D17">TRAVELDISTANCE($B17, D$2, $A$1)</f>
        <v>324</v>
      </c>
      <c r="E17" cm="1">
        <f t="array" ref="E17">TRAVELDISTANCE($B17, E$2, $A$1)</f>
        <v>425</v>
      </c>
      <c r="F17" cm="1">
        <f t="array" ref="F17">TRAVELDISTANCE($B17, F$2, $A$1)</f>
        <v>297</v>
      </c>
      <c r="G17" cm="1">
        <f t="array" ref="G17">TRAVELDISTANCE($B17, G$2, $A$1)</f>
        <v>309</v>
      </c>
      <c r="H17" cm="1">
        <f t="array" ref="H17">TRAVELDISTANCE($B17, H$2, $A$1)</f>
        <v>138</v>
      </c>
      <c r="I17" cm="1">
        <f t="array" ref="I17">TRAVELDISTANCE($B17, I$2, $A$1)</f>
        <v>76</v>
      </c>
      <c r="J17" cm="1">
        <f t="array" ref="J17">TRAVELDISTANCE($B17, J$2, $A$1)</f>
        <v>405</v>
      </c>
      <c r="K17" cm="1">
        <f t="array" ref="K17">TRAVELDISTANCE($B17, K$2, $A$1)</f>
        <v>327</v>
      </c>
      <c r="L17" cm="1">
        <f t="array" ref="L17">TRAVELDISTANCE($B17, L$2, $A$1)</f>
        <v>84</v>
      </c>
      <c r="M17" cm="1">
        <f t="array" ref="M17">TRAVELDISTANCE($B17, M$2, $A$1)</f>
        <v>421</v>
      </c>
      <c r="N17" cm="1">
        <f t="array" ref="N17">TRAVELDISTANCE($B17, N$2, $A$1)</f>
        <v>337</v>
      </c>
      <c r="O17" cm="1">
        <f t="array" ref="O17">TRAVELDISTANCE($B17, O$2, $A$1)</f>
        <v>236</v>
      </c>
      <c r="P17" cm="1">
        <f t="array" ref="P17">TRAVELDISTANCE($B17, P$2, $A$1)</f>
        <v>187</v>
      </c>
      <c r="Q17" cm="1">
        <f t="array" ref="Q17">TRAVELDISTANCE($B17, Q$2, $A$1)</f>
        <v>0</v>
      </c>
      <c r="R17" cm="1">
        <f t="array" ref="R17">TRAVELDISTANCE($B17, R$2, $A$1)</f>
        <v>141</v>
      </c>
      <c r="S17" cm="1">
        <f t="array" ref="S17">TRAVELDISTANCE($B17, S$2, $A$1)</f>
        <v>551</v>
      </c>
      <c r="T17" cm="1">
        <f t="array" ref="T17">TRAVELDISTANCE($B17, T$2, $A$1)</f>
        <v>237</v>
      </c>
      <c r="U17" cm="1">
        <f t="array" ref="U17">TRAVELDISTANCE($B17, U$2, $A$1)</f>
        <v>187</v>
      </c>
      <c r="V17" cm="1">
        <f t="array" ref="V17">TRAVELDISTANCE($B17, V$2, $A$1)</f>
        <v>50</v>
      </c>
      <c r="W17" cm="1">
        <f t="array" ref="W17">TRAVELDISTANCE($B17, W$2, $A$1)</f>
        <v>297</v>
      </c>
      <c r="X17" cm="1">
        <f t="array" ref="X17">TRAVELDISTANCE($B17, X$2, $A$1)</f>
        <v>142</v>
      </c>
      <c r="Y17">
        <f>unit_entry!C16+1</f>
        <v>21</v>
      </c>
      <c r="AC17" t="e" cm="1" vm="1">
        <f t="array" aca="1" ref="AC17" ca="1">INDEX($C$3:$X$24, AA17, AB17)</f>
        <v>#VALUE!</v>
      </c>
      <c r="AE17" t="e" vm="2">
        <f t="shared" ca="1" si="0"/>
        <v>#VALUE!</v>
      </c>
      <c r="AF17" t="e" cm="1" vm="3">
        <f t="array" aca="1" ref="AF17" ca="1">INDEX(Sheet2!J$1:J$22, AA17)</f>
        <v>#VALUE!</v>
      </c>
    </row>
    <row r="18" spans="1:32" x14ac:dyDescent="0.3">
      <c r="A18" s="10">
        <v>32.361873799999998</v>
      </c>
      <c r="B18" s="10" t="s">
        <v>16162</v>
      </c>
      <c r="C18" cm="1">
        <f t="array" ref="C18">TRAVELDISTANCE($B18, C$2, $A$1)</f>
        <v>120</v>
      </c>
      <c r="D18" cm="1">
        <f t="array" ref="D18">TRAVELDISTANCE($B18, D$2, $A$1)</f>
        <v>185</v>
      </c>
      <c r="E18" cm="1">
        <f t="array" ref="E18">TRAVELDISTANCE($B18, E$2, $A$1)</f>
        <v>488</v>
      </c>
      <c r="F18" cm="1">
        <f t="array" ref="F18">TRAVELDISTANCE($B18, F$2, $A$1)</f>
        <v>203</v>
      </c>
      <c r="G18" cm="1">
        <f t="array" ref="G18">TRAVELDISTANCE($B18, G$2, $A$1)</f>
        <v>234</v>
      </c>
      <c r="H18" cm="1">
        <f t="array" ref="H18">TRAVELDISTANCE($B18, H$2, $A$1)</f>
        <v>187</v>
      </c>
      <c r="I18" cm="1">
        <f t="array" ref="I18">TRAVELDISTANCE($B18, I$2, $A$1)</f>
        <v>124</v>
      </c>
      <c r="J18" cm="1">
        <f t="array" ref="J18">TRAVELDISTANCE($B18, J$2, $A$1)</f>
        <v>315</v>
      </c>
      <c r="K18" cm="1">
        <f t="array" ref="K18">TRAVELDISTANCE($B18, K$2, $A$1)</f>
        <v>390</v>
      </c>
      <c r="L18" cm="1">
        <f t="array" ref="L18">TRAVELDISTANCE($B18, L$2, $A$1)</f>
        <v>50</v>
      </c>
      <c r="M18" cm="1">
        <f t="array" ref="M18">TRAVELDISTANCE($B18, M$2, $A$1)</f>
        <v>337</v>
      </c>
      <c r="N18" cm="1">
        <f t="array" ref="N18">TRAVELDISTANCE($B18, N$2, $A$1)</f>
        <v>199</v>
      </c>
      <c r="O18" cm="1">
        <f t="array" ref="O18">TRAVELDISTANCE($B18, O$2, $A$1)</f>
        <v>98</v>
      </c>
      <c r="P18" cm="1">
        <f t="array" ref="P18">TRAVELDISTANCE($B18, P$2, $A$1)</f>
        <v>48</v>
      </c>
      <c r="Q18" cm="1">
        <f t="array" ref="Q18">TRAVELDISTANCE($B18, Q$2, $A$1)</f>
        <v>141</v>
      </c>
      <c r="R18" cm="1">
        <f t="array" ref="R18">TRAVELDISTANCE($B18, R$2, $A$1)</f>
        <v>0</v>
      </c>
      <c r="S18" cm="1">
        <f t="array" ref="S18">TRAVELDISTANCE($B18, S$2, $A$1)</f>
        <v>614</v>
      </c>
      <c r="T18" cm="1">
        <f t="array" ref="T18">TRAVELDISTANCE($B18, T$2, $A$1)</f>
        <v>101</v>
      </c>
      <c r="U18" cm="1">
        <f t="array" ref="U18">TRAVELDISTANCE($B18, U$2, $A$1)</f>
        <v>47</v>
      </c>
      <c r="V18" cm="1">
        <f t="array" ref="V18">TRAVELDISTANCE($B18, V$2, $A$1)</f>
        <v>83</v>
      </c>
      <c r="W18" cm="1">
        <f t="array" ref="W18">TRAVELDISTANCE($B18, W$2, $A$1)</f>
        <v>159</v>
      </c>
      <c r="X18" cm="1">
        <f t="array" ref="X18">TRAVELDISTANCE($B18, X$2, $A$1)</f>
        <v>2</v>
      </c>
      <c r="Y18">
        <f>unit_entry!C17+1</f>
        <v>16</v>
      </c>
      <c r="AC18" t="e" cm="1" vm="1">
        <f t="array" aca="1" ref="AC18" ca="1">INDEX($C$3:$X$24, AA18, AB18)</f>
        <v>#VALUE!</v>
      </c>
      <c r="AE18" t="e" vm="2">
        <f t="shared" ca="1" si="0"/>
        <v>#VALUE!</v>
      </c>
      <c r="AF18" t="e" cm="1" vm="3">
        <f t="array" aca="1" ref="AF18" ca="1">INDEX(Sheet2!J$1:J$22, AA18)</f>
        <v>#VALUE!</v>
      </c>
    </row>
    <row r="19" spans="1:32" x14ac:dyDescent="0.3">
      <c r="A19" s="10">
        <v>26.849594799999998</v>
      </c>
      <c r="B19" s="10" t="s">
        <v>16163</v>
      </c>
      <c r="C19" cm="1">
        <f t="array" ref="C19">TRAVELDISTANCE($B19, C$2, $A$1)</f>
        <v>530</v>
      </c>
      <c r="D19" cm="1">
        <f t="array" ref="D19">TRAVELDISTANCE($B19, D$2, $A$1)</f>
        <v>788</v>
      </c>
      <c r="E19" cm="1">
        <f t="array" ref="E19">TRAVELDISTANCE($B19, E$2, $A$1)</f>
        <v>152</v>
      </c>
      <c r="F19" cm="1">
        <f t="array" ref="F19">TRAVELDISTANCE($B19, F$2, $A$1)</f>
        <v>804</v>
      </c>
      <c r="G19" cm="1">
        <f t="array" ref="G19">TRAVELDISTANCE($B19, G$2, $A$1)</f>
        <v>860</v>
      </c>
      <c r="H19" cm="1">
        <f t="array" ref="H19">TRAVELDISTANCE($B19, H$2, $A$1)</f>
        <v>422</v>
      </c>
      <c r="I19" cm="1">
        <f t="array" ref="I19">TRAVELDISTANCE($B19, I$2, $A$1)</f>
        <v>494</v>
      </c>
      <c r="J19" cm="1">
        <f t="array" ref="J19">TRAVELDISTANCE($B19, J$2, $A$1)</f>
        <v>956</v>
      </c>
      <c r="K19" cm="1">
        <f t="array" ref="K19">TRAVELDISTANCE($B19, K$2, $A$1)</f>
        <v>275</v>
      </c>
      <c r="L19" cm="1">
        <f t="array" ref="L19">TRAVELDISTANCE($B19, L$2, $A$1)</f>
        <v>583</v>
      </c>
      <c r="M19" cm="1">
        <f t="array" ref="M19">TRAVELDISTANCE($B19, M$2, $A$1)</f>
        <v>981</v>
      </c>
      <c r="N19" cm="1">
        <f t="array" ref="N19">TRAVELDISTANCE($B19, N$2, $A$1)</f>
        <v>844</v>
      </c>
      <c r="O19" cm="1">
        <f t="array" ref="O19">TRAVELDISTANCE($B19, O$2, $A$1)</f>
        <v>727</v>
      </c>
      <c r="P19" cm="1">
        <f t="array" ref="P19">TRAVELDISTANCE($B19, P$2, $A$1)</f>
        <v>651</v>
      </c>
      <c r="Q19" cm="1">
        <f t="array" ref="Q19">TRAVELDISTANCE($B19, Q$2, $A$1)</f>
        <v>552</v>
      </c>
      <c r="R19" cm="1">
        <f t="array" ref="R19">TRAVELDISTANCE($B19, R$2, $A$1)</f>
        <v>610</v>
      </c>
      <c r="S19" cm="1">
        <f t="array" ref="S19">TRAVELDISTANCE($B19, S$2, $A$1)</f>
        <v>0</v>
      </c>
      <c r="T19" cm="1">
        <f t="array" ref="T19">TRAVELDISTANCE($B19, T$2, $A$1)</f>
        <v>703</v>
      </c>
      <c r="U19" cm="1">
        <f t="array" ref="U19">TRAVELDISTANCE($B19, U$2, $A$1)</f>
        <v>571</v>
      </c>
      <c r="V19" cm="1">
        <f t="array" ref="V19">TRAVELDISTANCE($B19, V$2, $A$1)</f>
        <v>554</v>
      </c>
      <c r="W19" cm="1">
        <f t="array" ref="W19">TRAVELDISTANCE($B19, W$2, $A$1)</f>
        <v>803</v>
      </c>
      <c r="X19" cm="1">
        <f t="array" ref="X19">TRAVELDISTANCE($B19, X$2, $A$1)</f>
        <v>605</v>
      </c>
      <c r="Y19">
        <f>unit_entry!C18+1</f>
        <v>18</v>
      </c>
      <c r="AC19" t="e" cm="1" vm="1">
        <f t="array" aca="1" ref="AC19" ca="1">INDEX($C$3:$X$24, AA19, AB19)</f>
        <v>#VALUE!</v>
      </c>
      <c r="AE19" t="e" vm="2">
        <f t="shared" ca="1" si="0"/>
        <v>#VALUE!</v>
      </c>
      <c r="AF19" t="e" cm="1" vm="3">
        <f t="array" aca="1" ref="AF19" ca="1">INDEX(Sheet2!J$1:J$22, AA19)</f>
        <v>#VALUE!</v>
      </c>
    </row>
    <row r="20" spans="1:32" x14ac:dyDescent="0.3">
      <c r="A20" s="10">
        <v>33.179634399999998</v>
      </c>
      <c r="B20" s="10" t="s">
        <v>16164</v>
      </c>
      <c r="C20" cm="1">
        <f t="array" ref="C20">TRAVELDISTANCE($B20, C$2, $A$1)</f>
        <v>219</v>
      </c>
      <c r="D20" cm="1">
        <f t="array" ref="D20">TRAVELDISTANCE($B20, D$2, $A$1)</f>
        <v>83</v>
      </c>
      <c r="E20" cm="1">
        <f t="array" ref="E20">TRAVELDISTANCE($B20, E$2, $A$1)</f>
        <v>588</v>
      </c>
      <c r="F20" cm="1">
        <f t="array" ref="F20">TRAVELDISTANCE($B20, F$2, $A$1)</f>
        <v>103</v>
      </c>
      <c r="G20" cm="1">
        <f t="array" ref="G20">TRAVELDISTANCE($B20, G$2, $A$1)</f>
        <v>143</v>
      </c>
      <c r="H20" cm="1">
        <f t="array" ref="H20">TRAVELDISTANCE($B20, H$2, $A$1)</f>
        <v>287</v>
      </c>
      <c r="I20" cm="1">
        <f t="array" ref="I20">TRAVELDISTANCE($B20, I$2, $A$1)</f>
        <v>224</v>
      </c>
      <c r="J20" cm="1">
        <f t="array" ref="J20">TRAVELDISTANCE($B20, J$2, $A$1)</f>
        <v>213</v>
      </c>
      <c r="K20" cm="1">
        <f t="array" ref="K20">TRAVELDISTANCE($B20, K$2, $A$1)</f>
        <v>490</v>
      </c>
      <c r="L20" cm="1">
        <f t="array" ref="L20">TRAVELDISTANCE($B20, L$2, $A$1)</f>
        <v>149</v>
      </c>
      <c r="M20" cm="1">
        <f t="array" ref="M20">TRAVELDISTANCE($B20, M$2, $A$1)</f>
        <v>225</v>
      </c>
      <c r="N20" cm="1">
        <f t="array" ref="N20">TRAVELDISTANCE($B20, N$2, $A$1)</f>
        <v>101</v>
      </c>
      <c r="O20" cm="1">
        <f t="array" ref="O20">TRAVELDISTANCE($B20, O$2, $A$1)</f>
        <v>69</v>
      </c>
      <c r="P20" cm="1">
        <f t="array" ref="P20">TRAVELDISTANCE($B20, P$2, $A$1)</f>
        <v>61</v>
      </c>
      <c r="Q20" cm="1">
        <f t="array" ref="Q20">TRAVELDISTANCE($B20, Q$2, $A$1)</f>
        <v>237</v>
      </c>
      <c r="R20" cm="1">
        <f t="array" ref="R20">TRAVELDISTANCE($B20, R$2, $A$1)</f>
        <v>101</v>
      </c>
      <c r="S20" cm="1">
        <f t="array" ref="S20">TRAVELDISTANCE($B20, S$2, $A$1)</f>
        <v>714</v>
      </c>
      <c r="T20" cm="1">
        <f t="array" ref="T20">TRAVELDISTANCE($B20, T$2, $A$1)</f>
        <v>0</v>
      </c>
      <c r="U20" cm="1">
        <f t="array" ref="U20">TRAVELDISTANCE($B20, U$2, $A$1)</f>
        <v>147</v>
      </c>
      <c r="V20" cm="1">
        <f t="array" ref="V20">TRAVELDISTANCE($B20, V$2, $A$1)</f>
        <v>182</v>
      </c>
      <c r="W20" cm="1">
        <f t="array" ref="W20">TRAVELDISTANCE($B20, W$2, $A$1)</f>
        <v>122</v>
      </c>
      <c r="X20" cm="1">
        <f t="array" ref="X20">TRAVELDISTANCE($B20, X$2, $A$1)</f>
        <v>101</v>
      </c>
      <c r="Y20">
        <f>unit_entry!C19+1</f>
        <v>11</v>
      </c>
      <c r="AC20" t="e" cm="1" vm="1">
        <f t="array" aca="1" ref="AC20" ca="1">INDEX($C$3:$X$24, AA20, AB20)</f>
        <v>#VALUE!</v>
      </c>
      <c r="AE20" t="e" vm="2">
        <f t="shared" ca="1" si="0"/>
        <v>#VALUE!</v>
      </c>
      <c r="AF20" t="e" cm="1" vm="3">
        <f t="array" aca="1" ref="AF20" ca="1">INDEX(Sheet2!J$1:J$22, AA20)</f>
        <v>#VALUE!</v>
      </c>
    </row>
    <row r="21" spans="1:32" x14ac:dyDescent="0.3">
      <c r="A21" s="10">
        <v>32.482779600000001</v>
      </c>
      <c r="B21" s="10" t="s">
        <v>16165</v>
      </c>
      <c r="C21" cm="1">
        <f t="array" ref="C21">TRAVELDISTANCE($B21, C$2, $A$1)</f>
        <v>144</v>
      </c>
      <c r="D21" cm="1">
        <f t="array" ref="D21">TRAVELDISTANCE($B21, D$2, $A$1)</f>
        <v>231</v>
      </c>
      <c r="E21" cm="1">
        <f t="array" ref="E21">TRAVELDISTANCE($B21, E$2, $A$1)</f>
        <v>444</v>
      </c>
      <c r="F21" cm="1">
        <f t="array" ref="F21">TRAVELDISTANCE($B21, F$2, $A$1)</f>
        <v>249</v>
      </c>
      <c r="G21" cm="1">
        <f t="array" ref="G21">TRAVELDISTANCE($B21, G$2, $A$1)</f>
        <v>281</v>
      </c>
      <c r="H21" cm="1">
        <f t="array" ref="H21">TRAVELDISTANCE($B21, H$2, $A$1)</f>
        <v>177</v>
      </c>
      <c r="I21" cm="1">
        <f t="array" ref="I21">TRAVELDISTANCE($B21, I$2, $A$1)</f>
        <v>140</v>
      </c>
      <c r="J21" cm="1">
        <f t="array" ref="J21">TRAVELDISTANCE($B21, J$2, $A$1)</f>
        <v>361</v>
      </c>
      <c r="K21" cm="1">
        <f t="array" ref="K21">TRAVELDISTANCE($B21, K$2, $A$1)</f>
        <v>347</v>
      </c>
      <c r="L21" cm="1">
        <f t="array" ref="L21">TRAVELDISTANCE($B21, L$2, $A$1)</f>
        <v>99</v>
      </c>
      <c r="M21" cm="1">
        <f t="array" ref="M21">TRAVELDISTANCE($B21, M$2, $A$1)</f>
        <v>382</v>
      </c>
      <c r="N21" cm="1">
        <f t="array" ref="N21">TRAVELDISTANCE($B21, N$2, $A$1)</f>
        <v>245</v>
      </c>
      <c r="O21" cm="1">
        <f t="array" ref="O21">TRAVELDISTANCE($B21, O$2, $A$1)</f>
        <v>144</v>
      </c>
      <c r="P21" cm="1">
        <f t="array" ref="P21">TRAVELDISTANCE($B21, P$2, $A$1)</f>
        <v>94</v>
      </c>
      <c r="Q21" cm="1">
        <f t="array" ref="Q21">TRAVELDISTANCE($B21, Q$2, $A$1)</f>
        <v>187</v>
      </c>
      <c r="R21" cm="1">
        <f t="array" ref="R21">TRAVELDISTANCE($B21, R$2, $A$1)</f>
        <v>47</v>
      </c>
      <c r="S21" cm="1">
        <f t="array" ref="S21">TRAVELDISTANCE($B21, S$2, $A$1)</f>
        <v>570</v>
      </c>
      <c r="T21" cm="1">
        <f t="array" ref="T21">TRAVELDISTANCE($B21, T$2, $A$1)</f>
        <v>147</v>
      </c>
      <c r="U21" cm="1">
        <f t="array" ref="U21">TRAVELDISTANCE($B21, U$2, $A$1)</f>
        <v>0</v>
      </c>
      <c r="V21" cm="1">
        <f t="array" ref="V21">TRAVELDISTANCE($B21, V$2, $A$1)</f>
        <v>111</v>
      </c>
      <c r="W21" cm="1">
        <f t="array" ref="W21">TRAVELDISTANCE($B21, W$2, $A$1)</f>
        <v>204</v>
      </c>
      <c r="X21" cm="1">
        <f t="array" ref="X21">TRAVELDISTANCE($B21, X$2, $A$1)</f>
        <v>48</v>
      </c>
      <c r="Y21">
        <f>unit_entry!C20+1</f>
        <v>26</v>
      </c>
      <c r="AC21" t="e" cm="1" vm="1">
        <f t="array" aca="1" ref="AC21" ca="1">INDEX($C$3:$X$24, AA21, AB21)</f>
        <v>#VALUE!</v>
      </c>
      <c r="AE21" t="e" vm="2">
        <f t="shared" ca="1" si="0"/>
        <v>#VALUE!</v>
      </c>
      <c r="AF21" t="e" cm="1" vm="3">
        <f t="array" aca="1" ref="AF21" ca="1">INDEX(Sheet2!J$1:J$22, AA21)</f>
        <v>#VALUE!</v>
      </c>
    </row>
    <row r="22" spans="1:32" x14ac:dyDescent="0.3">
      <c r="A22" s="10">
        <v>31.269835799999999</v>
      </c>
      <c r="B22" s="10" t="s">
        <v>16166</v>
      </c>
      <c r="C22" cm="1">
        <f t="array" ref="C22">TRAVELDISTANCE($B22, C$2, $A$1)</f>
        <v>38</v>
      </c>
      <c r="D22" cm="1">
        <f t="array" ref="D22">TRAVELDISTANCE($B22, D$2, $A$1)</f>
        <v>258</v>
      </c>
      <c r="E22" cm="1">
        <f t="array" ref="E22">TRAVELDISTANCE($B22, E$2, $A$1)</f>
        <v>427</v>
      </c>
      <c r="F22" cm="1">
        <f t="array" ref="F22">TRAVELDISTANCE($B22, F$2, $A$1)</f>
        <v>252</v>
      </c>
      <c r="G22" cm="1">
        <f t="array" ref="G22">TRAVELDISTANCE($B22, G$2, $A$1)</f>
        <v>277</v>
      </c>
      <c r="H22" cm="1">
        <f t="array" ref="H22">TRAVELDISTANCE($B22, H$2, $A$1)</f>
        <v>140</v>
      </c>
      <c r="I22" cm="1">
        <f t="array" ref="I22">TRAVELDISTANCE($B22, I$2, $A$1)</f>
        <v>57</v>
      </c>
      <c r="J22" cm="1">
        <f t="array" ref="J22">TRAVELDISTANCE($B22, J$2, $A$1)</f>
        <v>389</v>
      </c>
      <c r="K22" cm="1">
        <f t="array" ref="K22">TRAVELDISTANCE($B22, K$2, $A$1)</f>
        <v>329</v>
      </c>
      <c r="L22" cm="1">
        <f t="array" ref="L22">TRAVELDISTANCE($B22, L$2, $A$1)</f>
        <v>35</v>
      </c>
      <c r="M22" cm="1">
        <f t="array" ref="M22">TRAVELDISTANCE($B22, M$2, $A$1)</f>
        <v>421</v>
      </c>
      <c r="N22" cm="1">
        <f t="array" ref="N22">TRAVELDISTANCE($B22, N$2, $A$1)</f>
        <v>284</v>
      </c>
      <c r="O22" cm="1">
        <f t="array" ref="O22">TRAVELDISTANCE($B22, O$2, $A$1)</f>
        <v>182</v>
      </c>
      <c r="P22" cm="1">
        <f t="array" ref="P22">TRAVELDISTANCE($B22, P$2, $A$1)</f>
        <v>133</v>
      </c>
      <c r="Q22" cm="1">
        <f t="array" ref="Q22">TRAVELDISTANCE($B22, Q$2, $A$1)</f>
        <v>50</v>
      </c>
      <c r="R22" cm="1">
        <f t="array" ref="R22">TRAVELDISTANCE($B22, R$2, $A$1)</f>
        <v>85</v>
      </c>
      <c r="S22" cm="1">
        <f t="array" ref="S22">TRAVELDISTANCE($B22, S$2, $A$1)</f>
        <v>553</v>
      </c>
      <c r="T22" cm="1">
        <f t="array" ref="T22">TRAVELDISTANCE($B22, T$2, $A$1)</f>
        <v>184</v>
      </c>
      <c r="U22" cm="1">
        <f t="array" ref="U22">TRAVELDISTANCE($B22, U$2, $A$1)</f>
        <v>113</v>
      </c>
      <c r="V22" cm="1">
        <f t="array" ref="V22">TRAVELDISTANCE($B22, V$2, $A$1)</f>
        <v>0</v>
      </c>
      <c r="W22" cm="1">
        <f t="array" ref="W22">TRAVELDISTANCE($B22, W$2, $A$1)</f>
        <v>243</v>
      </c>
      <c r="X22" cm="1">
        <f t="array" ref="X22">TRAVELDISTANCE($B22, X$2, $A$1)</f>
        <v>88</v>
      </c>
      <c r="Y22">
        <f>unit_entry!C21+1</f>
        <v>24</v>
      </c>
      <c r="AC22" t="e" cm="1" vm="1">
        <f t="array" aca="1" ref="AC22" ca="1">INDEX($C$3:$X$24, AA22, AB22)</f>
        <v>#VALUE!</v>
      </c>
      <c r="AE22" t="e" vm="2">
        <f t="shared" ca="1" si="0"/>
        <v>#VALUE!</v>
      </c>
      <c r="AF22" t="e" cm="1" vm="3">
        <f t="array" aca="1" ref="AF22" ca="1">INDEX(Sheet2!J$1:J$22, AA22)</f>
        <v>#VALUE!</v>
      </c>
    </row>
    <row r="23" spans="1:32" x14ac:dyDescent="0.3">
      <c r="A23" s="10">
        <v>34.4348071</v>
      </c>
      <c r="B23" s="10" t="s">
        <v>16167</v>
      </c>
      <c r="C23" cm="1">
        <f t="array" ref="C23">TRAVELDISTANCE($B23, C$2, $A$1)</f>
        <v>278</v>
      </c>
      <c r="D23" cm="1">
        <f t="array" ref="D23">TRAVELDISTANCE($B23, D$2, $A$1)</f>
        <v>158</v>
      </c>
      <c r="E23" cm="1">
        <f t="array" ref="E23">TRAVELDISTANCE($B23, E$2, $A$1)</f>
        <v>677</v>
      </c>
      <c r="F23" cm="1">
        <f t="array" ref="F23">TRAVELDISTANCE($B23, F$2, $A$1)</f>
        <v>193</v>
      </c>
      <c r="G23" cm="1">
        <f t="array" ref="G23">TRAVELDISTANCE($B23, G$2, $A$1)</f>
        <v>226</v>
      </c>
      <c r="H23" cm="1">
        <f t="array" ref="H23">TRAVELDISTANCE($B23, H$2, $A$1)</f>
        <v>345</v>
      </c>
      <c r="I23" cm="1">
        <f t="array" ref="I23">TRAVELDISTANCE($B23, I$2, $A$1)</f>
        <v>282</v>
      </c>
      <c r="J23" cm="1">
        <f t="array" ref="J23">TRAVELDISTANCE($B23, J$2, $A$1)</f>
        <v>272</v>
      </c>
      <c r="K23" cm="1">
        <f t="array" ref="K23">TRAVELDISTANCE($B23, K$2, $A$1)</f>
        <v>579</v>
      </c>
      <c r="L23" cm="1">
        <f t="array" ref="L23">TRAVELDISTANCE($B23, L$2, $A$1)</f>
        <v>208</v>
      </c>
      <c r="M23" cm="1">
        <f t="array" ref="M23">TRAVELDISTANCE($B23, M$2, $A$1)</f>
        <v>234</v>
      </c>
      <c r="N23" cm="1">
        <f t="array" ref="N23">TRAVELDISTANCE($B23, N$2, $A$1)</f>
        <v>50</v>
      </c>
      <c r="O23" cm="1">
        <f t="array" ref="O23">TRAVELDISTANCE($B23, O$2, $A$1)</f>
        <v>83</v>
      </c>
      <c r="P23" cm="1">
        <f t="array" ref="P23">TRAVELDISTANCE($B23, P$2, $A$1)</f>
        <v>115</v>
      </c>
      <c r="Q23" cm="1">
        <f t="array" ref="Q23">TRAVELDISTANCE($B23, Q$2, $A$1)</f>
        <v>297</v>
      </c>
      <c r="R23" cm="1">
        <f t="array" ref="R23">TRAVELDISTANCE($B23, R$2, $A$1)</f>
        <v>159</v>
      </c>
      <c r="S23" cm="1">
        <f t="array" ref="S23">TRAVELDISTANCE($B23, S$2, $A$1)</f>
        <v>802</v>
      </c>
      <c r="T23" cm="1">
        <f t="array" ref="T23">TRAVELDISTANCE($B23, T$2, $A$1)</f>
        <v>122</v>
      </c>
      <c r="U23" cm="1">
        <f t="array" ref="U23">TRAVELDISTANCE($B23, U$2, $A$1)</f>
        <v>204</v>
      </c>
      <c r="V23" cm="1">
        <f t="array" ref="V23">TRAVELDISTANCE($B23, V$2, $A$1)</f>
        <v>241</v>
      </c>
      <c r="W23" cm="1">
        <f t="array" ref="W23">TRAVELDISTANCE($B23, W$2, $A$1)</f>
        <v>0</v>
      </c>
      <c r="X23" cm="1">
        <f t="array" ref="X23">TRAVELDISTANCE($B23, X$2, $A$1)</f>
        <v>158</v>
      </c>
      <c r="Y23">
        <f>unit_entry!C22+1</f>
        <v>21</v>
      </c>
      <c r="AC23" t="e" cm="1" vm="1">
        <f t="array" aca="1" ref="AC23" ca="1">INDEX($C$3:$X$24, AA23, AB23)</f>
        <v>#VALUE!</v>
      </c>
      <c r="AE23" t="e" vm="2">
        <f t="shared" ca="1" si="0"/>
        <v>#VALUE!</v>
      </c>
      <c r="AF23" t="str" cm="1">
        <f t="array" ref="AF23:AF44">INDEX(Sheet2!J$1:J$22, AA23)</f>
        <v>931 North McDonough Street, Montgomery, AL, 36104</v>
      </c>
    </row>
    <row r="24" spans="1:32" x14ac:dyDescent="0.3">
      <c r="A24" s="10">
        <v>30.785589000000002</v>
      </c>
      <c r="B24" s="10" t="s">
        <v>16202</v>
      </c>
      <c r="C24" cm="1">
        <f t="array" ref="C24">TRAVELDISTANCE($B24, C$2, $A$1)</f>
        <v>122</v>
      </c>
      <c r="D24" cm="1">
        <f t="array" ref="D24">TRAVELDISTANCE($B24, D$2, $A$1)</f>
        <v>185</v>
      </c>
      <c r="E24" cm="1">
        <f t="array" ref="E24">TRAVELDISTANCE($B24, E$2, $A$1)</f>
        <v>490</v>
      </c>
      <c r="F24" cm="1">
        <f t="array" ref="F24">TRAVELDISTANCE($B24, F$2, $A$1)</f>
        <v>203</v>
      </c>
      <c r="G24" cm="1">
        <f t="array" ref="G24">TRAVELDISTANCE($B24, G$2, $A$1)</f>
        <v>236</v>
      </c>
      <c r="H24" cm="1">
        <f t="array" ref="H24">TRAVELDISTANCE($B24, H$2, $A$1)</f>
        <v>188</v>
      </c>
      <c r="I24" cm="1">
        <f t="array" ref="I24">TRAVELDISTANCE($B24, I$2, $A$1)</f>
        <v>126</v>
      </c>
      <c r="J24" cm="1">
        <f t="array" ref="J24">TRAVELDISTANCE($B24, J$2, $A$1)</f>
        <v>315</v>
      </c>
      <c r="K24" cm="1">
        <f t="array" ref="K24">TRAVELDISTANCE($B24, K$2, $A$1)</f>
        <v>392</v>
      </c>
      <c r="L24" cm="1">
        <f t="array" ref="L24">TRAVELDISTANCE($B24, L$2, $A$1)</f>
        <v>52</v>
      </c>
      <c r="M24" cm="1">
        <f t="array" ref="M24">TRAVELDISTANCE($B24, M$2, $A$1)</f>
        <v>336</v>
      </c>
      <c r="N24" cm="1">
        <f t="array" ref="N24">TRAVELDISTANCE($B24, N$2, $A$1)</f>
        <v>199</v>
      </c>
      <c r="O24" cm="1">
        <f t="array" ref="O24">TRAVELDISTANCE($B24, O$2, $A$1)</f>
        <v>97</v>
      </c>
      <c r="P24" cm="1">
        <f t="array" ref="P24">TRAVELDISTANCE($B24, P$2, $A$1)</f>
        <v>48</v>
      </c>
      <c r="Q24" cm="1">
        <f t="array" ref="Q24">TRAVELDISTANCE($B24, Q$2, $A$1)</f>
        <v>142</v>
      </c>
      <c r="R24" cm="1">
        <f t="array" ref="R24">TRAVELDISTANCE($B24, R$2, $A$1)</f>
        <v>2</v>
      </c>
      <c r="S24" cm="1">
        <f t="array" ref="S24">TRAVELDISTANCE($B24, S$2, $A$1)</f>
        <v>616</v>
      </c>
      <c r="T24" cm="1">
        <f t="array" ref="T24">TRAVELDISTANCE($B24, T$2, $A$1)</f>
        <v>101</v>
      </c>
      <c r="U24" cm="1">
        <f t="array" ref="U24">TRAVELDISTANCE($B24, U$2, $A$1)</f>
        <v>48</v>
      </c>
      <c r="V24" cm="1">
        <f t="array" ref="V24">TRAVELDISTANCE($B24, V$2, $A$1)</f>
        <v>85</v>
      </c>
      <c r="W24" cm="1">
        <f t="array" ref="W24">TRAVELDISTANCE($B24, W$2, $A$1)</f>
        <v>158</v>
      </c>
      <c r="X24" cm="1">
        <f t="array" ref="X24">TRAVELDISTANCE($B24, X$2, $A$1)</f>
        <v>0</v>
      </c>
      <c r="Y24">
        <f>unit_entry!C23+1</f>
        <v>19</v>
      </c>
      <c r="AB24" t="s">
        <v>16192</v>
      </c>
      <c r="AC24" t="e" vm="2">
        <f ca="1">SUM(AC3:AC23)</f>
        <v>#VALUE!</v>
      </c>
      <c r="AD24">
        <f>SUM(AD3:AD23)</f>
        <v>141</v>
      </c>
      <c r="AF24" t="str">
        <v>605 Mississippi 182, Starkville, MS, 39759</v>
      </c>
    </row>
    <row r="25" spans="1:32" x14ac:dyDescent="0.3">
      <c r="A25" s="10"/>
      <c r="B25" s="10"/>
      <c r="C25" cm="1">
        <f t="array" ref="C25:X25">TRANSPOSE(Y3:Y24)</f>
        <v>1</v>
      </c>
      <c r="D25">
        <v>22</v>
      </c>
      <c r="E25">
        <v>19</v>
      </c>
      <c r="F25">
        <v>11</v>
      </c>
      <c r="G25">
        <v>14</v>
      </c>
      <c r="H25">
        <v>13</v>
      </c>
      <c r="I25">
        <v>30</v>
      </c>
      <c r="J25">
        <v>13</v>
      </c>
      <c r="K25">
        <v>16</v>
      </c>
      <c r="L25">
        <v>13</v>
      </c>
      <c r="M25">
        <v>18</v>
      </c>
      <c r="N25">
        <v>27</v>
      </c>
      <c r="O25">
        <v>23</v>
      </c>
      <c r="P25">
        <v>18</v>
      </c>
      <c r="Q25">
        <v>21</v>
      </c>
      <c r="R25">
        <v>16</v>
      </c>
      <c r="S25">
        <v>18</v>
      </c>
      <c r="T25">
        <v>11</v>
      </c>
      <c r="U25">
        <v>26</v>
      </c>
      <c r="V25">
        <v>24</v>
      </c>
      <c r="W25">
        <v>21</v>
      </c>
      <c r="X25">
        <v>19</v>
      </c>
      <c r="AF25" t="str">
        <v>116 Terrace Dr, Haines City, FL, 33844</v>
      </c>
    </row>
    <row r="26" spans="1:32" x14ac:dyDescent="0.3">
      <c r="C26">
        <f>C3/C$25</f>
        <v>0</v>
      </c>
      <c r="D26">
        <f>D3/D$25</f>
        <v>13.181818181818182</v>
      </c>
      <c r="E26">
        <f t="shared" ref="E26:X26" si="1">E3/E$25</f>
        <v>21.263157894736842</v>
      </c>
      <c r="F26">
        <f t="shared" si="1"/>
        <v>25.818181818181817</v>
      </c>
      <c r="G26">
        <f t="shared" si="1"/>
        <v>22.071428571428573</v>
      </c>
      <c r="H26">
        <f t="shared" si="1"/>
        <v>8.9230769230769234</v>
      </c>
      <c r="I26">
        <f t="shared" si="1"/>
        <v>1.5333333333333334</v>
      </c>
      <c r="J26">
        <f t="shared" si="1"/>
        <v>33.846153846153847</v>
      </c>
      <c r="K26">
        <f t="shared" si="1"/>
        <v>19.125</v>
      </c>
      <c r="L26">
        <f t="shared" si="1"/>
        <v>5.4615384615384617</v>
      </c>
      <c r="M26">
        <f t="shared" si="1"/>
        <v>25.388888888888889</v>
      </c>
      <c r="N26">
        <f t="shared" si="1"/>
        <v>11.814814814814815</v>
      </c>
      <c r="O26">
        <f t="shared" si="1"/>
        <v>9.4782608695652169</v>
      </c>
      <c r="P26">
        <f t="shared" si="1"/>
        <v>9.3888888888888893</v>
      </c>
      <c r="Q26">
        <f t="shared" si="1"/>
        <v>1.7142857142857142</v>
      </c>
      <c r="R26">
        <f t="shared" si="1"/>
        <v>7.5625</v>
      </c>
      <c r="S26">
        <f t="shared" si="1"/>
        <v>29.444444444444443</v>
      </c>
      <c r="T26">
        <f t="shared" si="1"/>
        <v>20</v>
      </c>
      <c r="U26">
        <f t="shared" si="1"/>
        <v>5.5</v>
      </c>
      <c r="V26">
        <f t="shared" si="1"/>
        <v>1.5833333333333333</v>
      </c>
      <c r="W26">
        <f t="shared" si="1"/>
        <v>13.285714285714286</v>
      </c>
      <c r="X26">
        <f t="shared" si="1"/>
        <v>6.5263157894736841</v>
      </c>
      <c r="AD26" t="s">
        <v>16196</v>
      </c>
      <c r="AE26" t="e" vm="2">
        <f ca="1">AD24/AC24</f>
        <v>#VALUE!</v>
      </c>
      <c r="AF26" t="str">
        <v>118 South Columbus Avenue, Louisville, MS, 39339</v>
      </c>
    </row>
    <row r="27" spans="1:32" x14ac:dyDescent="0.3">
      <c r="C27">
        <f t="shared" ref="C27:D47" si="2">C4/C$25</f>
        <v>290</v>
      </c>
      <c r="D27">
        <f t="shared" si="2"/>
        <v>0</v>
      </c>
      <c r="E27">
        <f t="shared" ref="E27:X27" si="3">E4/E$25</f>
        <v>35.368421052631582</v>
      </c>
      <c r="F27">
        <f t="shared" si="3"/>
        <v>3</v>
      </c>
      <c r="G27">
        <f t="shared" si="3"/>
        <v>4.2142857142857144</v>
      </c>
      <c r="H27">
        <f t="shared" si="3"/>
        <v>28.46153846153846</v>
      </c>
      <c r="I27">
        <f t="shared" si="3"/>
        <v>10.266666666666667</v>
      </c>
      <c r="J27">
        <f t="shared" si="3"/>
        <v>10.307692307692308</v>
      </c>
      <c r="K27">
        <f t="shared" si="3"/>
        <v>35.875</v>
      </c>
      <c r="L27">
        <f t="shared" si="3"/>
        <v>17.846153846153847</v>
      </c>
      <c r="M27">
        <f t="shared" si="3"/>
        <v>8.1111111111111107</v>
      </c>
      <c r="N27">
        <f t="shared" si="3"/>
        <v>4.0370370370370372</v>
      </c>
      <c r="O27">
        <f t="shared" si="3"/>
        <v>6.5652173913043477</v>
      </c>
      <c r="P27">
        <f t="shared" si="3"/>
        <v>8</v>
      </c>
      <c r="Q27">
        <f t="shared" si="3"/>
        <v>15.476190476190476</v>
      </c>
      <c r="R27">
        <f t="shared" si="3"/>
        <v>11.5</v>
      </c>
      <c r="S27">
        <f t="shared" si="3"/>
        <v>44.333333333333336</v>
      </c>
      <c r="T27">
        <f t="shared" si="3"/>
        <v>7.4545454545454541</v>
      </c>
      <c r="U27">
        <f t="shared" si="3"/>
        <v>8.8461538461538467</v>
      </c>
      <c r="V27">
        <f t="shared" si="3"/>
        <v>10.75</v>
      </c>
      <c r="W27">
        <f t="shared" si="3"/>
        <v>7.4761904761904763</v>
      </c>
      <c r="X27">
        <f t="shared" si="3"/>
        <v>9.6842105263157894</v>
      </c>
      <c r="AF27" t="str">
        <v>124 W Washington, Kosciusko, MS, 39090</v>
      </c>
    </row>
    <row r="28" spans="1:32" x14ac:dyDescent="0.3">
      <c r="C28">
        <f t="shared" si="2"/>
        <v>403</v>
      </c>
      <c r="D28">
        <f t="shared" si="2"/>
        <v>30.045454545454547</v>
      </c>
      <c r="E28">
        <f t="shared" ref="E28:X28" si="4">E5/E$25</f>
        <v>0</v>
      </c>
      <c r="F28">
        <f t="shared" si="4"/>
        <v>61.545454545454547</v>
      </c>
      <c r="G28">
        <f t="shared" si="4"/>
        <v>52.357142857142854</v>
      </c>
      <c r="H28">
        <f t="shared" si="4"/>
        <v>22.692307692307693</v>
      </c>
      <c r="I28">
        <f t="shared" si="4"/>
        <v>12.233333333333333</v>
      </c>
      <c r="J28">
        <f t="shared" si="4"/>
        <v>63.769230769230766</v>
      </c>
      <c r="K28">
        <f t="shared" si="4"/>
        <v>11.125</v>
      </c>
      <c r="L28">
        <f t="shared" si="4"/>
        <v>35.07692307692308</v>
      </c>
      <c r="M28">
        <f t="shared" si="4"/>
        <v>47.444444444444443</v>
      </c>
      <c r="N28">
        <f t="shared" si="4"/>
        <v>26.555555555555557</v>
      </c>
      <c r="O28">
        <f t="shared" si="4"/>
        <v>26.086956521739129</v>
      </c>
      <c r="P28">
        <f t="shared" si="4"/>
        <v>29.111111111111111</v>
      </c>
      <c r="Q28">
        <f t="shared" si="4"/>
        <v>20.238095238095237</v>
      </c>
      <c r="R28">
        <f t="shared" si="4"/>
        <v>30.1875</v>
      </c>
      <c r="S28">
        <f t="shared" si="4"/>
        <v>8.3888888888888893</v>
      </c>
      <c r="T28">
        <f t="shared" si="4"/>
        <v>52.363636363636367</v>
      </c>
      <c r="U28">
        <f t="shared" si="4"/>
        <v>17.076923076923077</v>
      </c>
      <c r="V28">
        <f t="shared" si="4"/>
        <v>17.791666666666668</v>
      </c>
      <c r="W28">
        <f t="shared" si="4"/>
        <v>32.19047619047619</v>
      </c>
      <c r="X28">
        <f t="shared" si="4"/>
        <v>25.105263157894736</v>
      </c>
      <c r="AF28" t="str">
        <v>711 N Main St., Havana, FL, 32333</v>
      </c>
    </row>
    <row r="29" spans="1:32" x14ac:dyDescent="0.3">
      <c r="C29">
        <f t="shared" si="2"/>
        <v>284</v>
      </c>
      <c r="D29">
        <f t="shared" si="2"/>
        <v>1.4545454545454546</v>
      </c>
      <c r="E29">
        <f t="shared" ref="E29:X29" si="5">E6/E$25</f>
        <v>35.684210526315788</v>
      </c>
      <c r="F29">
        <f t="shared" si="5"/>
        <v>0</v>
      </c>
      <c r="G29">
        <f t="shared" si="5"/>
        <v>2.5714285714285716</v>
      </c>
      <c r="H29">
        <f t="shared" si="5"/>
        <v>29.076923076923077</v>
      </c>
      <c r="I29">
        <f t="shared" si="5"/>
        <v>10.233333333333333</v>
      </c>
      <c r="J29">
        <f t="shared" si="5"/>
        <v>9.9230769230769234</v>
      </c>
      <c r="K29">
        <f t="shared" si="5"/>
        <v>36.25</v>
      </c>
      <c r="L29">
        <f t="shared" si="5"/>
        <v>17.307692307692307</v>
      </c>
      <c r="M29">
        <f t="shared" si="5"/>
        <v>7.8888888888888893</v>
      </c>
      <c r="N29">
        <f t="shared" si="5"/>
        <v>5.333333333333333</v>
      </c>
      <c r="O29">
        <f t="shared" si="5"/>
        <v>7.3478260869565215</v>
      </c>
      <c r="P29">
        <f t="shared" si="5"/>
        <v>9</v>
      </c>
      <c r="Q29">
        <f t="shared" si="5"/>
        <v>14.380952380952381</v>
      </c>
      <c r="R29">
        <f t="shared" si="5"/>
        <v>12.625</v>
      </c>
      <c r="S29">
        <f t="shared" si="5"/>
        <v>44.666666666666664</v>
      </c>
      <c r="T29">
        <f t="shared" si="5"/>
        <v>9.3636363636363633</v>
      </c>
      <c r="U29">
        <f t="shared" si="5"/>
        <v>9.5384615384615383</v>
      </c>
      <c r="V29">
        <f t="shared" si="5"/>
        <v>10.5</v>
      </c>
      <c r="W29">
        <f t="shared" si="5"/>
        <v>9.1428571428571423</v>
      </c>
      <c r="X29">
        <f t="shared" si="5"/>
        <v>10.631578947368421</v>
      </c>
      <c r="AF29" t="str">
        <v>5282 Peanut Rd., Graceville, FL, 32440</v>
      </c>
    </row>
    <row r="30" spans="1:32" x14ac:dyDescent="0.3">
      <c r="C30">
        <f t="shared" si="2"/>
        <v>310</v>
      </c>
      <c r="D30">
        <f t="shared" si="2"/>
        <v>2.6363636363636362</v>
      </c>
      <c r="E30">
        <f t="shared" ref="E30:X30" si="6">E7/E$25</f>
        <v>38.631578947368418</v>
      </c>
      <c r="F30">
        <f t="shared" si="6"/>
        <v>3.2727272727272729</v>
      </c>
      <c r="G30">
        <f t="shared" si="6"/>
        <v>0</v>
      </c>
      <c r="H30">
        <f t="shared" si="6"/>
        <v>34.384615384615387</v>
      </c>
      <c r="I30">
        <f t="shared" si="6"/>
        <v>11.133333333333333</v>
      </c>
      <c r="J30">
        <f t="shared" si="6"/>
        <v>7.615384615384615</v>
      </c>
      <c r="K30">
        <f t="shared" si="6"/>
        <v>39.75</v>
      </c>
      <c r="L30">
        <f t="shared" si="6"/>
        <v>19.384615384615383</v>
      </c>
      <c r="M30">
        <f t="shared" si="6"/>
        <v>6.2222222222222223</v>
      </c>
      <c r="N30">
        <f t="shared" si="6"/>
        <v>6.5925925925925926</v>
      </c>
      <c r="O30">
        <f t="shared" si="6"/>
        <v>9.2173913043478262</v>
      </c>
      <c r="P30">
        <f t="shared" si="6"/>
        <v>11.388888888888889</v>
      </c>
      <c r="Q30">
        <f t="shared" si="6"/>
        <v>14.761904761904763</v>
      </c>
      <c r="R30">
        <f t="shared" si="6"/>
        <v>14.6875</v>
      </c>
      <c r="S30">
        <f t="shared" si="6"/>
        <v>47.777777777777779</v>
      </c>
      <c r="T30">
        <f t="shared" si="6"/>
        <v>13</v>
      </c>
      <c r="U30">
        <f t="shared" si="6"/>
        <v>10.807692307692308</v>
      </c>
      <c r="V30">
        <f t="shared" si="6"/>
        <v>11.583333333333334</v>
      </c>
      <c r="W30">
        <f t="shared" si="6"/>
        <v>10.761904761904763</v>
      </c>
      <c r="X30">
        <f t="shared" si="6"/>
        <v>12.421052631578947</v>
      </c>
      <c r="AF30" t="str">
        <v xml:space="preserve">, Cleveland, MS, </v>
      </c>
    </row>
    <row r="31" spans="1:32" x14ac:dyDescent="0.3">
      <c r="C31">
        <f t="shared" si="2"/>
        <v>116</v>
      </c>
      <c r="D31">
        <f t="shared" si="2"/>
        <v>16.863636363636363</v>
      </c>
      <c r="E31">
        <f t="shared" ref="E31:X31" si="7">E8/E$25</f>
        <v>15.578947368421053</v>
      </c>
      <c r="F31">
        <f t="shared" si="7"/>
        <v>34.545454545454547</v>
      </c>
      <c r="G31">
        <f t="shared" si="7"/>
        <v>31.785714285714285</v>
      </c>
      <c r="H31">
        <f t="shared" si="7"/>
        <v>0</v>
      </c>
      <c r="I31">
        <f t="shared" si="7"/>
        <v>2.6666666666666665</v>
      </c>
      <c r="J31">
        <f t="shared" si="7"/>
        <v>38.53846153846154</v>
      </c>
      <c r="K31">
        <f t="shared" si="7"/>
        <v>12.375</v>
      </c>
      <c r="L31">
        <f t="shared" si="7"/>
        <v>11.692307692307692</v>
      </c>
      <c r="M31">
        <f t="shared" si="7"/>
        <v>29</v>
      </c>
      <c r="N31">
        <f t="shared" si="7"/>
        <v>14.25925925925926</v>
      </c>
      <c r="O31">
        <f t="shared" si="7"/>
        <v>12.304347826086957</v>
      </c>
      <c r="P31">
        <f t="shared" si="7"/>
        <v>13</v>
      </c>
      <c r="Q31">
        <f t="shared" si="7"/>
        <v>6.5714285714285712</v>
      </c>
      <c r="R31">
        <f t="shared" si="7"/>
        <v>11.375</v>
      </c>
      <c r="S31">
        <f t="shared" si="7"/>
        <v>23.444444444444443</v>
      </c>
      <c r="T31">
        <f t="shared" si="7"/>
        <v>26</v>
      </c>
      <c r="U31">
        <f t="shared" si="7"/>
        <v>6.8076923076923075</v>
      </c>
      <c r="V31">
        <f t="shared" si="7"/>
        <v>5.833333333333333</v>
      </c>
      <c r="W31">
        <f t="shared" si="7"/>
        <v>16.38095238095238</v>
      </c>
      <c r="X31">
        <f t="shared" si="7"/>
        <v>9.8947368421052637</v>
      </c>
      <c r="AF31" t="str">
        <v>1460 Shetter Avenue, Jacksonville Beach, FL, 32250</v>
      </c>
    </row>
    <row r="32" spans="1:32" x14ac:dyDescent="0.3">
      <c r="C32">
        <f t="shared" si="2"/>
        <v>46</v>
      </c>
      <c r="D32">
        <f t="shared" si="2"/>
        <v>14</v>
      </c>
      <c r="E32">
        <f t="shared" ref="E32:X32" si="8">E9/E$25</f>
        <v>19.368421052631579</v>
      </c>
      <c r="F32">
        <f t="shared" si="8"/>
        <v>28.363636363636363</v>
      </c>
      <c r="G32">
        <f t="shared" si="8"/>
        <v>24.142857142857142</v>
      </c>
      <c r="H32">
        <f t="shared" si="8"/>
        <v>6.2307692307692308</v>
      </c>
      <c r="I32">
        <f t="shared" si="8"/>
        <v>0</v>
      </c>
      <c r="J32">
        <f t="shared" si="8"/>
        <v>33.692307692307693</v>
      </c>
      <c r="K32">
        <f t="shared" si="8"/>
        <v>16.875</v>
      </c>
      <c r="L32">
        <f t="shared" si="8"/>
        <v>6.1538461538461542</v>
      </c>
      <c r="M32">
        <f t="shared" si="8"/>
        <v>25.5</v>
      </c>
      <c r="N32">
        <f t="shared" si="8"/>
        <v>11.925925925925926</v>
      </c>
      <c r="O32">
        <f t="shared" si="8"/>
        <v>9.5652173913043477</v>
      </c>
      <c r="P32">
        <f t="shared" si="8"/>
        <v>9.5</v>
      </c>
      <c r="Q32">
        <f t="shared" si="8"/>
        <v>3.6190476190476191</v>
      </c>
      <c r="R32">
        <f t="shared" si="8"/>
        <v>7.5</v>
      </c>
      <c r="S32">
        <f t="shared" si="8"/>
        <v>27.444444444444443</v>
      </c>
      <c r="T32">
        <f t="shared" si="8"/>
        <v>20.363636363636363</v>
      </c>
      <c r="U32">
        <f t="shared" si="8"/>
        <v>5.4615384615384617</v>
      </c>
      <c r="V32">
        <f t="shared" si="8"/>
        <v>2.5833333333333335</v>
      </c>
      <c r="W32">
        <f t="shared" si="8"/>
        <v>13.380952380952381</v>
      </c>
      <c r="X32">
        <f t="shared" si="8"/>
        <v>6.5789473684210522</v>
      </c>
      <c r="AF32" t="str">
        <v>65 6th Street, Luverne, AL, 36049</v>
      </c>
    </row>
    <row r="33" spans="3:32" x14ac:dyDescent="0.3">
      <c r="C33">
        <f t="shared" si="2"/>
        <v>440</v>
      </c>
      <c r="D33">
        <f t="shared" si="2"/>
        <v>6</v>
      </c>
      <c r="E33">
        <f t="shared" ref="E33:X33" si="9">E10/E$25</f>
        <v>43.842105263157897</v>
      </c>
      <c r="F33">
        <f t="shared" si="9"/>
        <v>11.727272727272727</v>
      </c>
      <c r="G33">
        <f t="shared" si="9"/>
        <v>7.0714285714285712</v>
      </c>
      <c r="H33">
        <f t="shared" si="9"/>
        <v>38.46153846153846</v>
      </c>
      <c r="I33">
        <f t="shared" si="9"/>
        <v>14.6</v>
      </c>
      <c r="J33">
        <f t="shared" si="9"/>
        <v>0</v>
      </c>
      <c r="K33">
        <f t="shared" si="9"/>
        <v>45.9375</v>
      </c>
      <c r="L33">
        <f t="shared" si="9"/>
        <v>27.846153846153847</v>
      </c>
      <c r="M33">
        <f t="shared" si="9"/>
        <v>2.0555555555555554</v>
      </c>
      <c r="N33">
        <f t="shared" si="9"/>
        <v>8.3333333333333339</v>
      </c>
      <c r="O33">
        <f t="shared" si="9"/>
        <v>12.260869565217391</v>
      </c>
      <c r="P33">
        <f t="shared" si="9"/>
        <v>15.222222222222221</v>
      </c>
      <c r="Q33">
        <f t="shared" si="9"/>
        <v>19.428571428571427</v>
      </c>
      <c r="R33">
        <f t="shared" si="9"/>
        <v>19.625</v>
      </c>
      <c r="S33">
        <f t="shared" si="9"/>
        <v>53.277777777777779</v>
      </c>
      <c r="T33">
        <f t="shared" si="9"/>
        <v>19.272727272727273</v>
      </c>
      <c r="U33">
        <f t="shared" si="9"/>
        <v>13.846153846153847</v>
      </c>
      <c r="V33">
        <f t="shared" si="9"/>
        <v>16.166666666666668</v>
      </c>
      <c r="W33">
        <f t="shared" si="9"/>
        <v>12.952380952380953</v>
      </c>
      <c r="X33">
        <f t="shared" si="9"/>
        <v>16.526315789473685</v>
      </c>
      <c r="AF33" t="str">
        <v>240 Hicks Street, Clarksdale, MS, 38614</v>
      </c>
    </row>
    <row r="34" spans="3:32" x14ac:dyDescent="0.3">
      <c r="C34">
        <f t="shared" si="2"/>
        <v>306</v>
      </c>
      <c r="D34">
        <f t="shared" si="2"/>
        <v>26.136363636363637</v>
      </c>
      <c r="E34">
        <f t="shared" ref="E34:X34" si="10">E11/E$25</f>
        <v>9.473684210526315</v>
      </c>
      <c r="F34">
        <f t="shared" si="10"/>
        <v>52.727272727272727</v>
      </c>
      <c r="G34">
        <f t="shared" si="10"/>
        <v>45.428571428571431</v>
      </c>
      <c r="H34">
        <f t="shared" si="10"/>
        <v>15.23076923076923</v>
      </c>
      <c r="I34">
        <f t="shared" si="10"/>
        <v>9.0333333333333332</v>
      </c>
      <c r="J34">
        <f t="shared" si="10"/>
        <v>56.307692307692307</v>
      </c>
      <c r="K34">
        <f t="shared" si="10"/>
        <v>0</v>
      </c>
      <c r="L34">
        <f t="shared" si="10"/>
        <v>27.615384615384617</v>
      </c>
      <c r="M34">
        <f t="shared" si="10"/>
        <v>42.111111111111114</v>
      </c>
      <c r="N34">
        <f t="shared" si="10"/>
        <v>22.962962962962962</v>
      </c>
      <c r="O34">
        <f t="shared" si="10"/>
        <v>21.869565217391305</v>
      </c>
      <c r="P34">
        <f t="shared" si="10"/>
        <v>24.333333333333332</v>
      </c>
      <c r="Q34">
        <f t="shared" si="10"/>
        <v>15.619047619047619</v>
      </c>
      <c r="R34">
        <f t="shared" si="10"/>
        <v>24.125</v>
      </c>
      <c r="S34">
        <f t="shared" si="10"/>
        <v>15.388888888888889</v>
      </c>
      <c r="T34">
        <f t="shared" si="10"/>
        <v>44.545454545454547</v>
      </c>
      <c r="U34">
        <f t="shared" si="10"/>
        <v>13.346153846153847</v>
      </c>
      <c r="V34">
        <f t="shared" si="10"/>
        <v>13.75</v>
      </c>
      <c r="W34">
        <f t="shared" si="10"/>
        <v>27.61904761904762</v>
      </c>
      <c r="X34">
        <f t="shared" si="10"/>
        <v>20.631578947368421</v>
      </c>
      <c r="AF34" t="str">
        <v>475 Walnut Gate Rd, Russellville, AL, 35654</v>
      </c>
    </row>
    <row r="35" spans="3:32" x14ac:dyDescent="0.3">
      <c r="C35">
        <f t="shared" si="2"/>
        <v>70</v>
      </c>
      <c r="D35">
        <f t="shared" si="2"/>
        <v>10.590909090909092</v>
      </c>
      <c r="E35">
        <f t="shared" ref="E35:X35" si="11">E12/E$25</f>
        <v>24.05263157894737</v>
      </c>
      <c r="F35">
        <f t="shared" si="11"/>
        <v>20.454545454545453</v>
      </c>
      <c r="G35">
        <f t="shared" si="11"/>
        <v>17.928571428571427</v>
      </c>
      <c r="H35">
        <f t="shared" si="11"/>
        <v>11.692307692307692</v>
      </c>
      <c r="I35">
        <f t="shared" si="11"/>
        <v>2.6666666666666665</v>
      </c>
      <c r="J35">
        <f t="shared" si="11"/>
        <v>27.923076923076923</v>
      </c>
      <c r="K35">
        <f t="shared" si="11"/>
        <v>22.4375</v>
      </c>
      <c r="L35">
        <f t="shared" si="11"/>
        <v>0</v>
      </c>
      <c r="M35">
        <f t="shared" si="11"/>
        <v>21.444444444444443</v>
      </c>
      <c r="N35">
        <f t="shared" si="11"/>
        <v>9.1851851851851851</v>
      </c>
      <c r="O35">
        <f t="shared" si="11"/>
        <v>6.3913043478260869</v>
      </c>
      <c r="P35">
        <f t="shared" si="11"/>
        <v>5.4444444444444446</v>
      </c>
      <c r="Q35">
        <f t="shared" si="11"/>
        <v>4</v>
      </c>
      <c r="R35">
        <f t="shared" si="11"/>
        <v>3.125</v>
      </c>
      <c r="S35">
        <f t="shared" si="11"/>
        <v>32.388888888888886</v>
      </c>
      <c r="T35">
        <f t="shared" si="11"/>
        <v>13.545454545454545</v>
      </c>
      <c r="U35">
        <f t="shared" si="11"/>
        <v>3.7692307692307692</v>
      </c>
      <c r="V35">
        <f t="shared" si="11"/>
        <v>1.375</v>
      </c>
      <c r="W35">
        <f t="shared" si="11"/>
        <v>9.9047619047619051</v>
      </c>
      <c r="X35">
        <f t="shared" si="11"/>
        <v>2.7894736842105261</v>
      </c>
      <c r="AF35" t="str">
        <v>2656 Queenstown Road, Birmingham, AL, 35210</v>
      </c>
    </row>
    <row r="36" spans="3:32" x14ac:dyDescent="0.3">
      <c r="C36">
        <f t="shared" si="2"/>
        <v>456</v>
      </c>
      <c r="D36">
        <f t="shared" si="2"/>
        <v>6.5909090909090908</v>
      </c>
      <c r="E36">
        <f t="shared" ref="E36:X36" si="12">E13/E$25</f>
        <v>44.94736842105263</v>
      </c>
      <c r="F36">
        <f t="shared" si="12"/>
        <v>12.909090909090908</v>
      </c>
      <c r="G36">
        <f t="shared" si="12"/>
        <v>8</v>
      </c>
      <c r="H36">
        <f t="shared" si="12"/>
        <v>40.230769230769234</v>
      </c>
      <c r="I36">
        <f t="shared" si="12"/>
        <v>15.333333333333334</v>
      </c>
      <c r="J36">
        <f t="shared" si="12"/>
        <v>2.8461538461538463</v>
      </c>
      <c r="K36">
        <f t="shared" si="12"/>
        <v>47.25</v>
      </c>
      <c r="L36">
        <f t="shared" si="12"/>
        <v>29.692307692307693</v>
      </c>
      <c r="M36">
        <f t="shared" si="12"/>
        <v>0</v>
      </c>
      <c r="N36">
        <f t="shared" si="12"/>
        <v>6.9259259259259256</v>
      </c>
      <c r="O36">
        <f t="shared" si="12"/>
        <v>11.347826086956522</v>
      </c>
      <c r="P36">
        <f t="shared" si="12"/>
        <v>16.277777777777779</v>
      </c>
      <c r="Q36">
        <f t="shared" si="12"/>
        <v>20.095238095238095</v>
      </c>
      <c r="R36">
        <f t="shared" si="12"/>
        <v>21</v>
      </c>
      <c r="S36">
        <f t="shared" si="12"/>
        <v>54.444444444444443</v>
      </c>
      <c r="T36">
        <f t="shared" si="12"/>
        <v>20.454545454545453</v>
      </c>
      <c r="U36">
        <f t="shared" si="12"/>
        <v>14.692307692307692</v>
      </c>
      <c r="V36">
        <f t="shared" si="12"/>
        <v>17.458333333333332</v>
      </c>
      <c r="W36">
        <f t="shared" si="12"/>
        <v>11.142857142857142</v>
      </c>
      <c r="X36">
        <f t="shared" si="12"/>
        <v>17.684210526315791</v>
      </c>
      <c r="AF36" t="str">
        <v>19953 US-31 AL, Thorsby, AL, 35171</v>
      </c>
    </row>
    <row r="37" spans="3:32" x14ac:dyDescent="0.3">
      <c r="C37">
        <f t="shared" si="2"/>
        <v>318</v>
      </c>
      <c r="D37">
        <f t="shared" si="2"/>
        <v>4.9545454545454541</v>
      </c>
      <c r="E37">
        <f t="shared" ref="E37:X37" si="13">E14/E$25</f>
        <v>37.736842105263158</v>
      </c>
      <c r="F37">
        <f t="shared" si="13"/>
        <v>13.090909090909092</v>
      </c>
      <c r="G37">
        <f t="shared" si="13"/>
        <v>12.714285714285714</v>
      </c>
      <c r="H37">
        <f t="shared" si="13"/>
        <v>29.615384615384617</v>
      </c>
      <c r="I37">
        <f t="shared" si="13"/>
        <v>10.733333333333333</v>
      </c>
      <c r="J37">
        <f t="shared" si="13"/>
        <v>17.23076923076923</v>
      </c>
      <c r="K37">
        <f t="shared" si="13"/>
        <v>38.6875</v>
      </c>
      <c r="L37">
        <f t="shared" si="13"/>
        <v>19.076923076923077</v>
      </c>
      <c r="M37">
        <f t="shared" si="13"/>
        <v>10.333333333333334</v>
      </c>
      <c r="N37">
        <f t="shared" si="13"/>
        <v>0</v>
      </c>
      <c r="O37">
        <f t="shared" si="13"/>
        <v>5.3478260869565215</v>
      </c>
      <c r="P37">
        <f t="shared" si="13"/>
        <v>8.6666666666666661</v>
      </c>
      <c r="Q37">
        <f t="shared" si="13"/>
        <v>16.047619047619047</v>
      </c>
      <c r="R37">
        <f t="shared" si="13"/>
        <v>12.4375</v>
      </c>
      <c r="S37">
        <f t="shared" si="13"/>
        <v>46.833333333333336</v>
      </c>
      <c r="T37">
        <f t="shared" si="13"/>
        <v>9.1818181818181817</v>
      </c>
      <c r="U37">
        <f t="shared" si="13"/>
        <v>9.4230769230769234</v>
      </c>
      <c r="V37">
        <f t="shared" si="13"/>
        <v>11.75</v>
      </c>
      <c r="W37">
        <f t="shared" si="13"/>
        <v>2.3809523809523809</v>
      </c>
      <c r="X37">
        <f t="shared" si="13"/>
        <v>10.421052631578947</v>
      </c>
      <c r="AF37" t="str">
        <v>120 John King Rd, Crestview, FL, 32539</v>
      </c>
    </row>
    <row r="38" spans="3:32" x14ac:dyDescent="0.3">
      <c r="C38">
        <f t="shared" si="2"/>
        <v>217</v>
      </c>
      <c r="D38">
        <f t="shared" si="2"/>
        <v>6.9090909090909092</v>
      </c>
      <c r="E38">
        <f t="shared" ref="E38:X38" si="14">E15/E$25</f>
        <v>31.578947368421051</v>
      </c>
      <c r="F38">
        <f t="shared" si="14"/>
        <v>15.363636363636363</v>
      </c>
      <c r="G38">
        <f t="shared" si="14"/>
        <v>15.142857142857142</v>
      </c>
      <c r="H38">
        <f t="shared" si="14"/>
        <v>21.846153846153847</v>
      </c>
      <c r="I38">
        <f t="shared" si="14"/>
        <v>7.3666666666666663</v>
      </c>
      <c r="J38">
        <f t="shared" si="14"/>
        <v>21.615384615384617</v>
      </c>
      <c r="K38">
        <f t="shared" si="14"/>
        <v>31.375</v>
      </c>
      <c r="L38">
        <f t="shared" si="14"/>
        <v>11.307692307692308</v>
      </c>
      <c r="M38">
        <f t="shared" si="14"/>
        <v>14.5</v>
      </c>
      <c r="N38">
        <f t="shared" si="14"/>
        <v>4.5555555555555554</v>
      </c>
      <c r="O38">
        <f t="shared" si="14"/>
        <v>0</v>
      </c>
      <c r="P38">
        <f t="shared" si="14"/>
        <v>3.0555555555555554</v>
      </c>
      <c r="Q38">
        <f t="shared" si="14"/>
        <v>11.238095238095237</v>
      </c>
      <c r="R38">
        <f t="shared" si="14"/>
        <v>6.125</v>
      </c>
      <c r="S38">
        <f t="shared" si="14"/>
        <v>40.333333333333336</v>
      </c>
      <c r="T38">
        <f t="shared" si="14"/>
        <v>6.1818181818181817</v>
      </c>
      <c r="U38">
        <f t="shared" si="14"/>
        <v>5.5384615384615383</v>
      </c>
      <c r="V38">
        <f t="shared" si="14"/>
        <v>7.541666666666667</v>
      </c>
      <c r="W38">
        <f t="shared" si="14"/>
        <v>3.9523809523809526</v>
      </c>
      <c r="X38">
        <f t="shared" si="14"/>
        <v>5.1052631578947372</v>
      </c>
      <c r="AF38" t="str">
        <v>1251 South Decatur St, Montgomery, AL, 36101</v>
      </c>
    </row>
    <row r="39" spans="3:32" x14ac:dyDescent="0.3">
      <c r="C39">
        <f t="shared" si="2"/>
        <v>168</v>
      </c>
      <c r="D39">
        <f t="shared" si="2"/>
        <v>6.5909090909090908</v>
      </c>
      <c r="E39">
        <f t="shared" ref="E39:X39" si="15">E16/E$25</f>
        <v>28.210526315789473</v>
      </c>
      <c r="F39">
        <f t="shared" si="15"/>
        <v>14.818181818181818</v>
      </c>
      <c r="G39">
        <f t="shared" si="15"/>
        <v>14.714285714285714</v>
      </c>
      <c r="H39">
        <f t="shared" si="15"/>
        <v>18</v>
      </c>
      <c r="I39">
        <f t="shared" si="15"/>
        <v>5.7333333333333334</v>
      </c>
      <c r="J39">
        <f t="shared" si="15"/>
        <v>21.153846153846153</v>
      </c>
      <c r="K39">
        <f t="shared" si="15"/>
        <v>27.375</v>
      </c>
      <c r="L39">
        <f t="shared" si="15"/>
        <v>7.5384615384615383</v>
      </c>
      <c r="M39">
        <f t="shared" si="15"/>
        <v>16.333333333333332</v>
      </c>
      <c r="N39">
        <f t="shared" si="15"/>
        <v>5.7777777777777777</v>
      </c>
      <c r="O39">
        <f t="shared" si="15"/>
        <v>2.3913043478260869</v>
      </c>
      <c r="P39">
        <f t="shared" si="15"/>
        <v>0</v>
      </c>
      <c r="Q39">
        <f t="shared" si="15"/>
        <v>8.9047619047619051</v>
      </c>
      <c r="R39">
        <f t="shared" si="15"/>
        <v>3</v>
      </c>
      <c r="S39">
        <f t="shared" si="15"/>
        <v>36.777777777777779</v>
      </c>
      <c r="T39">
        <f t="shared" si="15"/>
        <v>5.5454545454545459</v>
      </c>
      <c r="U39">
        <f t="shared" si="15"/>
        <v>3.6153846153846154</v>
      </c>
      <c r="V39">
        <f t="shared" si="15"/>
        <v>5.458333333333333</v>
      </c>
      <c r="W39">
        <f t="shared" si="15"/>
        <v>5.5238095238095237</v>
      </c>
      <c r="X39">
        <f t="shared" si="15"/>
        <v>2.4736842105263159</v>
      </c>
      <c r="AF39" t="str">
        <v>11780 US Hwy 1 Suite 208N, Palm Beach Gardens, FL, 33408</v>
      </c>
    </row>
    <row r="40" spans="3:32" x14ac:dyDescent="0.3">
      <c r="C40">
        <f t="shared" si="2"/>
        <v>32</v>
      </c>
      <c r="D40">
        <f t="shared" si="2"/>
        <v>14.727272727272727</v>
      </c>
      <c r="E40">
        <f t="shared" ref="E40:X40" si="16">E17/E$25</f>
        <v>22.368421052631579</v>
      </c>
      <c r="F40">
        <f t="shared" si="16"/>
        <v>27</v>
      </c>
      <c r="G40">
        <f t="shared" si="16"/>
        <v>22.071428571428573</v>
      </c>
      <c r="H40">
        <f t="shared" si="16"/>
        <v>10.615384615384615</v>
      </c>
      <c r="I40">
        <f t="shared" si="16"/>
        <v>2.5333333333333332</v>
      </c>
      <c r="J40">
        <f t="shared" si="16"/>
        <v>31.153846153846153</v>
      </c>
      <c r="K40">
        <f t="shared" si="16"/>
        <v>20.4375</v>
      </c>
      <c r="L40">
        <f t="shared" si="16"/>
        <v>6.4615384615384617</v>
      </c>
      <c r="M40">
        <f t="shared" si="16"/>
        <v>23.388888888888889</v>
      </c>
      <c r="N40">
        <f t="shared" si="16"/>
        <v>12.481481481481481</v>
      </c>
      <c r="O40">
        <f t="shared" si="16"/>
        <v>10.260869565217391</v>
      </c>
      <c r="P40">
        <f t="shared" si="16"/>
        <v>10.388888888888889</v>
      </c>
      <c r="Q40">
        <f t="shared" si="16"/>
        <v>0</v>
      </c>
      <c r="R40">
        <f t="shared" si="16"/>
        <v>8.8125</v>
      </c>
      <c r="S40">
        <f t="shared" si="16"/>
        <v>30.611111111111111</v>
      </c>
      <c r="T40">
        <f t="shared" si="16"/>
        <v>21.545454545454547</v>
      </c>
      <c r="U40">
        <f t="shared" si="16"/>
        <v>7.1923076923076925</v>
      </c>
      <c r="V40">
        <f t="shared" si="16"/>
        <v>2.0833333333333335</v>
      </c>
      <c r="W40">
        <f t="shared" si="16"/>
        <v>14.142857142857142</v>
      </c>
      <c r="X40">
        <f t="shared" si="16"/>
        <v>7.4736842105263159</v>
      </c>
      <c r="AF40" t="str">
        <v>3435 Eric Cir E, Tuscaloosa, AL, 35401</v>
      </c>
    </row>
    <row r="41" spans="3:32" x14ac:dyDescent="0.3">
      <c r="C41">
        <f t="shared" si="2"/>
        <v>120</v>
      </c>
      <c r="D41">
        <f t="shared" si="2"/>
        <v>8.4090909090909083</v>
      </c>
      <c r="E41">
        <f t="shared" ref="E41:X41" si="17">E18/E$25</f>
        <v>25.684210526315791</v>
      </c>
      <c r="F41">
        <f t="shared" si="17"/>
        <v>18.454545454545453</v>
      </c>
      <c r="G41">
        <f t="shared" si="17"/>
        <v>16.714285714285715</v>
      </c>
      <c r="H41">
        <f t="shared" si="17"/>
        <v>14.384615384615385</v>
      </c>
      <c r="I41">
        <f t="shared" si="17"/>
        <v>4.1333333333333337</v>
      </c>
      <c r="J41">
        <f t="shared" si="17"/>
        <v>24.23076923076923</v>
      </c>
      <c r="K41">
        <f t="shared" si="17"/>
        <v>24.375</v>
      </c>
      <c r="L41">
        <f t="shared" si="17"/>
        <v>3.8461538461538463</v>
      </c>
      <c r="M41">
        <f t="shared" si="17"/>
        <v>18.722222222222221</v>
      </c>
      <c r="N41">
        <f t="shared" si="17"/>
        <v>7.3703703703703702</v>
      </c>
      <c r="O41">
        <f t="shared" si="17"/>
        <v>4.2608695652173916</v>
      </c>
      <c r="P41">
        <f t="shared" si="17"/>
        <v>2.6666666666666665</v>
      </c>
      <c r="Q41">
        <f t="shared" si="17"/>
        <v>6.7142857142857144</v>
      </c>
      <c r="R41">
        <f t="shared" si="17"/>
        <v>0</v>
      </c>
      <c r="S41">
        <f t="shared" si="17"/>
        <v>34.111111111111114</v>
      </c>
      <c r="T41">
        <f t="shared" si="17"/>
        <v>9.1818181818181817</v>
      </c>
      <c r="U41">
        <f t="shared" si="17"/>
        <v>1.8076923076923077</v>
      </c>
      <c r="V41">
        <f t="shared" si="17"/>
        <v>3.4583333333333335</v>
      </c>
      <c r="W41">
        <f t="shared" si="17"/>
        <v>7.5714285714285712</v>
      </c>
      <c r="X41">
        <f t="shared" si="17"/>
        <v>0.10526315789473684</v>
      </c>
      <c r="AF41" t="str">
        <v>2134 Highway 29 South, Brewton, AL, 36426</v>
      </c>
    </row>
    <row r="42" spans="3:32" x14ac:dyDescent="0.3">
      <c r="C42">
        <f t="shared" si="2"/>
        <v>530</v>
      </c>
      <c r="D42">
        <f t="shared" si="2"/>
        <v>35.81818181818182</v>
      </c>
      <c r="E42">
        <f t="shared" ref="E42:X42" si="18">E19/E$25</f>
        <v>8</v>
      </c>
      <c r="F42">
        <f t="shared" si="18"/>
        <v>73.090909090909093</v>
      </c>
      <c r="G42">
        <f t="shared" si="18"/>
        <v>61.428571428571431</v>
      </c>
      <c r="H42">
        <f t="shared" si="18"/>
        <v>32.46153846153846</v>
      </c>
      <c r="I42">
        <f t="shared" si="18"/>
        <v>16.466666666666665</v>
      </c>
      <c r="J42">
        <f t="shared" si="18"/>
        <v>73.538461538461533</v>
      </c>
      <c r="K42">
        <f t="shared" si="18"/>
        <v>17.1875</v>
      </c>
      <c r="L42">
        <f t="shared" si="18"/>
        <v>44.846153846153847</v>
      </c>
      <c r="M42">
        <f t="shared" si="18"/>
        <v>54.5</v>
      </c>
      <c r="N42">
        <f t="shared" si="18"/>
        <v>31.25925925925926</v>
      </c>
      <c r="O42">
        <f t="shared" si="18"/>
        <v>31.608695652173914</v>
      </c>
      <c r="P42">
        <f t="shared" si="18"/>
        <v>36.166666666666664</v>
      </c>
      <c r="Q42">
        <f t="shared" si="18"/>
        <v>26.285714285714285</v>
      </c>
      <c r="R42">
        <f t="shared" si="18"/>
        <v>38.125</v>
      </c>
      <c r="S42">
        <f t="shared" si="18"/>
        <v>0</v>
      </c>
      <c r="T42">
        <f t="shared" si="18"/>
        <v>63.909090909090907</v>
      </c>
      <c r="U42">
        <f t="shared" si="18"/>
        <v>21.96153846153846</v>
      </c>
      <c r="V42">
        <f t="shared" si="18"/>
        <v>23.083333333333332</v>
      </c>
      <c r="W42">
        <f t="shared" si="18"/>
        <v>38.238095238095241</v>
      </c>
      <c r="X42">
        <f t="shared" si="18"/>
        <v>31.842105263157894</v>
      </c>
      <c r="AF42" t="str">
        <v>104 Adams Road, Opp, AL, 36467</v>
      </c>
    </row>
    <row r="43" spans="3:32" x14ac:dyDescent="0.3">
      <c r="C43">
        <f t="shared" si="2"/>
        <v>219</v>
      </c>
      <c r="D43">
        <f t="shared" si="2"/>
        <v>3.7727272727272729</v>
      </c>
      <c r="E43">
        <f t="shared" ref="E43:X43" si="19">E20/E$25</f>
        <v>30.94736842105263</v>
      </c>
      <c r="F43">
        <f t="shared" si="19"/>
        <v>9.3636363636363633</v>
      </c>
      <c r="G43">
        <f t="shared" si="19"/>
        <v>10.214285714285714</v>
      </c>
      <c r="H43">
        <f t="shared" si="19"/>
        <v>22.076923076923077</v>
      </c>
      <c r="I43">
        <f t="shared" si="19"/>
        <v>7.4666666666666668</v>
      </c>
      <c r="J43">
        <f t="shared" si="19"/>
        <v>16.384615384615383</v>
      </c>
      <c r="K43">
        <f t="shared" si="19"/>
        <v>30.625</v>
      </c>
      <c r="L43">
        <f t="shared" si="19"/>
        <v>11.461538461538462</v>
      </c>
      <c r="M43">
        <f t="shared" si="19"/>
        <v>12.5</v>
      </c>
      <c r="N43">
        <f t="shared" si="19"/>
        <v>3.7407407407407409</v>
      </c>
      <c r="O43">
        <f t="shared" si="19"/>
        <v>3</v>
      </c>
      <c r="P43">
        <f t="shared" si="19"/>
        <v>3.3888888888888888</v>
      </c>
      <c r="Q43">
        <f t="shared" si="19"/>
        <v>11.285714285714286</v>
      </c>
      <c r="R43">
        <f t="shared" si="19"/>
        <v>6.3125</v>
      </c>
      <c r="S43">
        <f t="shared" si="19"/>
        <v>39.666666666666664</v>
      </c>
      <c r="T43">
        <f t="shared" si="19"/>
        <v>0</v>
      </c>
      <c r="U43">
        <f t="shared" si="19"/>
        <v>5.6538461538461542</v>
      </c>
      <c r="V43">
        <f t="shared" si="19"/>
        <v>7.583333333333333</v>
      </c>
      <c r="W43">
        <f t="shared" si="19"/>
        <v>5.8095238095238093</v>
      </c>
      <c r="X43">
        <f t="shared" si="19"/>
        <v>5.3157894736842106</v>
      </c>
      <c r="AF43" t="str">
        <v>1010 Sparkman Street, Hartselle, AL, 35640</v>
      </c>
    </row>
    <row r="44" spans="3:32" x14ac:dyDescent="0.3">
      <c r="C44">
        <f t="shared" si="2"/>
        <v>144</v>
      </c>
      <c r="D44">
        <f t="shared" si="2"/>
        <v>10.5</v>
      </c>
      <c r="E44">
        <f t="shared" ref="E44:X44" si="20">E21/E$25</f>
        <v>23.368421052631579</v>
      </c>
      <c r="F44">
        <f t="shared" si="20"/>
        <v>22.636363636363637</v>
      </c>
      <c r="G44">
        <f t="shared" si="20"/>
        <v>20.071428571428573</v>
      </c>
      <c r="H44">
        <f t="shared" si="20"/>
        <v>13.615384615384615</v>
      </c>
      <c r="I44">
        <f t="shared" si="20"/>
        <v>4.666666666666667</v>
      </c>
      <c r="J44">
        <f t="shared" si="20"/>
        <v>27.76923076923077</v>
      </c>
      <c r="K44">
        <f t="shared" si="20"/>
        <v>21.6875</v>
      </c>
      <c r="L44">
        <f t="shared" si="20"/>
        <v>7.615384615384615</v>
      </c>
      <c r="M44">
        <f t="shared" si="20"/>
        <v>21.222222222222221</v>
      </c>
      <c r="N44">
        <f t="shared" si="20"/>
        <v>9.0740740740740744</v>
      </c>
      <c r="O44">
        <f t="shared" si="20"/>
        <v>6.2608695652173916</v>
      </c>
      <c r="P44">
        <f t="shared" si="20"/>
        <v>5.2222222222222223</v>
      </c>
      <c r="Q44">
        <f t="shared" si="20"/>
        <v>8.9047619047619051</v>
      </c>
      <c r="R44">
        <f t="shared" si="20"/>
        <v>2.9375</v>
      </c>
      <c r="S44">
        <f t="shared" si="20"/>
        <v>31.666666666666668</v>
      </c>
      <c r="T44">
        <f t="shared" si="20"/>
        <v>13.363636363636363</v>
      </c>
      <c r="U44">
        <f t="shared" si="20"/>
        <v>0</v>
      </c>
      <c r="V44">
        <f t="shared" si="20"/>
        <v>4.625</v>
      </c>
      <c r="W44">
        <f t="shared" si="20"/>
        <v>9.7142857142857135</v>
      </c>
      <c r="X44">
        <f t="shared" si="20"/>
        <v>2.5263157894736841</v>
      </c>
      <c r="AF44" t="str">
        <v>100 Waits Dr, Andalusia, AL, 36421</v>
      </c>
    </row>
    <row r="45" spans="3:32" x14ac:dyDescent="0.3">
      <c r="C45">
        <f t="shared" si="2"/>
        <v>38</v>
      </c>
      <c r="D45">
        <f t="shared" si="2"/>
        <v>11.727272727272727</v>
      </c>
      <c r="E45">
        <f t="shared" ref="E45:X45" si="21">E22/E$25</f>
        <v>22.473684210526315</v>
      </c>
      <c r="F45">
        <f t="shared" si="21"/>
        <v>22.90909090909091</v>
      </c>
      <c r="G45">
        <f t="shared" si="21"/>
        <v>19.785714285714285</v>
      </c>
      <c r="H45">
        <f t="shared" si="21"/>
        <v>10.76923076923077</v>
      </c>
      <c r="I45">
        <f t="shared" si="21"/>
        <v>1.9</v>
      </c>
      <c r="J45">
        <f t="shared" si="21"/>
        <v>29.923076923076923</v>
      </c>
      <c r="K45">
        <f t="shared" si="21"/>
        <v>20.5625</v>
      </c>
      <c r="L45">
        <f t="shared" si="21"/>
        <v>2.6923076923076925</v>
      </c>
      <c r="M45">
        <f t="shared" si="21"/>
        <v>23.388888888888889</v>
      </c>
      <c r="N45">
        <f t="shared" si="21"/>
        <v>10.518518518518519</v>
      </c>
      <c r="O45">
        <f t="shared" si="21"/>
        <v>7.9130434782608692</v>
      </c>
      <c r="P45">
        <f t="shared" si="21"/>
        <v>7.3888888888888893</v>
      </c>
      <c r="Q45">
        <f t="shared" si="21"/>
        <v>2.3809523809523809</v>
      </c>
      <c r="R45">
        <f t="shared" si="21"/>
        <v>5.3125</v>
      </c>
      <c r="S45">
        <f t="shared" si="21"/>
        <v>30.722222222222221</v>
      </c>
      <c r="T45">
        <f t="shared" si="21"/>
        <v>16.727272727272727</v>
      </c>
      <c r="U45">
        <f t="shared" si="21"/>
        <v>4.3461538461538458</v>
      </c>
      <c r="V45">
        <f t="shared" si="21"/>
        <v>0</v>
      </c>
      <c r="W45">
        <f t="shared" si="21"/>
        <v>11.571428571428571</v>
      </c>
      <c r="X45">
        <f t="shared" si="21"/>
        <v>4.6315789473684212</v>
      </c>
    </row>
    <row r="46" spans="3:32" x14ac:dyDescent="0.3">
      <c r="C46">
        <f t="shared" si="2"/>
        <v>278</v>
      </c>
      <c r="D46">
        <f t="shared" si="2"/>
        <v>7.1818181818181817</v>
      </c>
      <c r="E46">
        <f t="shared" ref="E46:X46" si="22">E23/E$25</f>
        <v>35.631578947368418</v>
      </c>
      <c r="F46">
        <f t="shared" si="22"/>
        <v>17.545454545454547</v>
      </c>
      <c r="G46">
        <f t="shared" si="22"/>
        <v>16.142857142857142</v>
      </c>
      <c r="H46">
        <f t="shared" si="22"/>
        <v>26.53846153846154</v>
      </c>
      <c r="I46">
        <f t="shared" si="22"/>
        <v>9.4</v>
      </c>
      <c r="J46">
        <f t="shared" si="22"/>
        <v>20.923076923076923</v>
      </c>
      <c r="K46">
        <f t="shared" si="22"/>
        <v>36.1875</v>
      </c>
      <c r="L46">
        <f t="shared" si="22"/>
        <v>16</v>
      </c>
      <c r="M46">
        <f t="shared" si="22"/>
        <v>13</v>
      </c>
      <c r="N46">
        <f t="shared" si="22"/>
        <v>1.8518518518518519</v>
      </c>
      <c r="O46">
        <f t="shared" si="22"/>
        <v>3.6086956521739131</v>
      </c>
      <c r="P46">
        <f t="shared" si="22"/>
        <v>6.3888888888888893</v>
      </c>
      <c r="Q46">
        <f t="shared" si="22"/>
        <v>14.142857142857142</v>
      </c>
      <c r="R46">
        <f t="shared" si="22"/>
        <v>9.9375</v>
      </c>
      <c r="S46">
        <f t="shared" si="22"/>
        <v>44.555555555555557</v>
      </c>
      <c r="T46">
        <f t="shared" si="22"/>
        <v>11.090909090909092</v>
      </c>
      <c r="U46">
        <f t="shared" si="22"/>
        <v>7.8461538461538458</v>
      </c>
      <c r="V46">
        <f t="shared" si="22"/>
        <v>10.041666666666666</v>
      </c>
      <c r="W46">
        <f t="shared" si="22"/>
        <v>0</v>
      </c>
      <c r="X46">
        <f t="shared" si="22"/>
        <v>8.3157894736842106</v>
      </c>
    </row>
    <row r="47" spans="3:32" x14ac:dyDescent="0.3">
      <c r="C47">
        <f t="shared" si="2"/>
        <v>122</v>
      </c>
      <c r="D47">
        <f t="shared" si="2"/>
        <v>8.4090909090909083</v>
      </c>
      <c r="E47">
        <f t="shared" ref="E47:X47" si="23">E24/E$25</f>
        <v>25.789473684210527</v>
      </c>
      <c r="F47">
        <f t="shared" si="23"/>
        <v>18.454545454545453</v>
      </c>
      <c r="G47">
        <f t="shared" si="23"/>
        <v>16.857142857142858</v>
      </c>
      <c r="H47">
        <f t="shared" si="23"/>
        <v>14.461538461538462</v>
      </c>
      <c r="I47">
        <f t="shared" si="23"/>
        <v>4.2</v>
      </c>
      <c r="J47">
        <f t="shared" si="23"/>
        <v>24.23076923076923</v>
      </c>
      <c r="K47">
        <f t="shared" si="23"/>
        <v>24.5</v>
      </c>
      <c r="L47">
        <f t="shared" si="23"/>
        <v>4</v>
      </c>
      <c r="M47">
        <f t="shared" si="23"/>
        <v>18.666666666666668</v>
      </c>
      <c r="N47">
        <f t="shared" si="23"/>
        <v>7.3703703703703702</v>
      </c>
      <c r="O47">
        <f t="shared" si="23"/>
        <v>4.2173913043478262</v>
      </c>
      <c r="P47">
        <f t="shared" si="23"/>
        <v>2.6666666666666665</v>
      </c>
      <c r="Q47">
        <f t="shared" si="23"/>
        <v>6.7619047619047619</v>
      </c>
      <c r="R47">
        <f t="shared" si="23"/>
        <v>0.125</v>
      </c>
      <c r="S47">
        <f t="shared" si="23"/>
        <v>34.222222222222221</v>
      </c>
      <c r="T47">
        <f t="shared" si="23"/>
        <v>9.1818181818181817</v>
      </c>
      <c r="U47">
        <f t="shared" si="23"/>
        <v>1.8461538461538463</v>
      </c>
      <c r="V47">
        <f t="shared" si="23"/>
        <v>3.5416666666666665</v>
      </c>
      <c r="W47">
        <f t="shared" si="23"/>
        <v>7.5238095238095237</v>
      </c>
      <c r="X47">
        <f t="shared" si="23"/>
        <v>0</v>
      </c>
    </row>
    <row r="49" spans="1:24" x14ac:dyDescent="0.3">
      <c r="C49" t="str">
        <f>_xlfn.TEXTJOIN(" ", TRUE, C27:C47,D28:D47,E29:E47,F30:F47,G31:G47,H32:H47,I33:I47,J34:J47,K35:K47,L36:L47,M37:M47,N38:N47,O39:O47,P40:P47,Q41:Q47,R42:R47,S43:S47,T44:T47,U45:U47,V46:V47,W47)</f>
        <v>290 403 284 310 116 46 440 306 70 456 318 217 168 32 120 530 219 144 38 278 122 30.0454545454545 1.45454545454545 2.63636363636364 16.8636363636364 14 6 26.1363636363636 10.5909090909091 6.59090909090909 4.95454545454545 6.90909090909091 6.59090909090909 14.7272727272727 8.40909090909091 35.8181818181818 3.77272727272727 10.5 11.7272727272727 7.18181818181818 8.40909090909091 35.6842105263158 38.6315789473684 15.5789473684211 19.3684210526316 43.8421052631579 9.47368421052632 24.0526315789474 44.9473684210526 37.7368421052632 31.5789473684211 28.2105263157895 22.3684210526316 25.6842105263158 8 30.9473684210526 23.3684210526316 22.4736842105263 35.6315789473684 25.7894736842105 3.27272727272727 34.5454545454545 28.3636363636364 11.7272727272727 52.7272727272727 20.4545454545455 12.9090909090909 13.0909090909091 15.3636363636364 14.8181818181818 27 18.4545454545455 73.0909090909091 9.36363636363636 22.6363636363636 22.9090909090909 17.5454545454545 18.4545454545455 31.7857142857143 24.1428571428571 7.07142857142857 45.4285714285714 17.9285714285714 8 12.7142857142857 15.1428571428571 14.7142857142857 22.0714285714286 16.7142857142857 61.4285714285714 10.2142857142857 20.0714285714286 19.7857142857143 16.1428571428571 16.8571428571429 6.23076923076923 38.4615384615385 15.2307692307692 11.6923076923077 40.2307692307692 29.6153846153846 21.8461538461538 18 10.6153846153846 14.3846153846154 32.4615384615385 22.0769230769231 13.6153846153846 10.7692307692308 26.5384615384615 14.4615384615385 14.6 9.03333333333333 2.66666666666667 15.3333333333333 10.7333333333333 7.36666666666667 5.73333333333333 2.53333333333333 4.13333333333333 16.4666666666667 7.46666666666667 4.66666666666667 1.9 9.4 4.2 56.3076923076923 27.9230769230769 2.84615384615385 17.2307692307692 21.6153846153846 21.1538461538462 31.1538461538462 24.2307692307692 73.5384615384615 16.3846153846154 27.7692307692308 29.9230769230769 20.9230769230769 24.2307692307692 22.4375 47.25 38.6875 31.375 27.375 20.4375 24.375 17.1875 30.625 21.6875 20.5625 36.1875 24.5 29.6923076923077 19.0769230769231 11.3076923076923 7.53846153846154 6.46153846153846 3.84615384615385 44.8461538461538 11.4615384615385 7.61538461538461 2.69230769230769 16 4 10.3333333333333 14.5 16.3333333333333 23.3888888888889 18.7222222222222 54.5 12.5 21.2222222222222 23.3888888888889 13 18.6666666666667 4.55555555555556 5.77777777777778 12.4814814814815 7.37037037037037 31.2592592592593 3.74074074074074 9.07407407407407 10.5185185185185 1.85185185185185 7.37037037037037 2.39130434782609 10.2608695652174 4.26086956521739 31.6086956521739 3 6.26086956521739 7.91304347826087 3.60869565217391 4.21739130434783 10.3888888888889 2.66666666666667 36.1666666666667 3.38888888888889 5.22222222222222 7.38888888888889 6.38888888888889 2.66666666666667 6.71428571428571 26.2857142857143 11.2857142857143 8.90476190476191 2.38095238095238 14.1428571428571 6.76190476190476 38.125 6.3125 2.9375 5.3125 9.9375 0.125 39.6666666666667 31.6666666666667 30.7222222222222 44.5555555555556 34.2222222222222 13.3636363636364 16.7272727272727 11.0909090909091 9.18181818181818 4.34615384615385 7.84615384615385 1.84615384615385 10.0416666666667 3.54166666666667 7.52380952380952</v>
      </c>
    </row>
    <row r="50" spans="1:24" x14ac:dyDescent="0.3">
      <c r="B50" t="str">
        <f>_xlfn.TEXTJOIN(" ", TRUE, B53:B74)</f>
        <v>-86.121099 -88.7891262 -81.631729 -89.0535044 -89.5903167 -84.4146814 -85.5125157 -90.7248187 -81.405824 -86.2643253 -90.5709323 -87.7340372 -86.632742 -86.7085767 -86.5662155 -86.299616 -80.0583981 -87.5531051 -85.5596159 -86.2433576 -86.9329862 -86.3050869</v>
      </c>
    </row>
    <row r="51" spans="1:24" x14ac:dyDescent="0.3">
      <c r="B51" t="str">
        <f>_xlfn.TEXTJOIN(" ", TRUE, C53:C74)</f>
        <v>0 5.18305555555556 5.84916666666667 5.16055555555556 5.66138888888889 1.91722222222222 0.881944444444444 7.24833333333333 4.52472222222222 1.29388888888889 7.29833333333333 5.15055555555556 3.58805555555556 2.92194444444444 0.616388888888889 2.22361111111111 7.58 3.95222222222222 2.73944444444444 0.710555555555556 4.47416666666667</v>
      </c>
    </row>
    <row r="53" spans="1:24" x14ac:dyDescent="0.3">
      <c r="A53" s="10">
        <v>30.785589000000002</v>
      </c>
      <c r="B53">
        <v>-86.121099000000001</v>
      </c>
      <c r="E53" t="str">
        <f>_xlfn.TEXTJOIN(" ", TRUE, C4:C24,D5:D24,E6:E24,F7:F24,G8:G24,H9:H24,I10:I24,J11:J24,K12:K24,L13:L24,M14:M24,N15:N24,O16:O24,P17:P24,Q18:Q24,R19:R24,S20:S24,T21:T24,U22:U24,V23:V24,W24)</f>
        <v>290 403 284 310 116 46 440 306 70 456 318 217 168 32 120 530 219 144 38 278 122 661 32 58 371 308 132 575 233 145 109 152 145 324 185 788 83 231 258 158 185 678 734 296 368 833 180 457 854 717 600 536 425 488 152 588 444 427 677 490 36 380 312 129 580 225 142 144 169 163 297 203 804 103 249 252 193 203 445 338 99 636 251 112 178 212 206 309 234 860 143 281 277 226 236 81 500 198 152 523 385 284 234 138 187 422 287 177 140 345 188 438 271 80 460 322 221 172 76 124 494 224 140 57 282 126 732 363 37 224 281 275 405 315 956 213 361 389 272 315 359 756 619 502 438 327 390 275 490 347 329 579 392 386 248 147 98 84 50 583 149 99 35 208 52 186 261 294 421 337 981 225 382 421 234 336 123 156 337 199 844 101 245 284 50 199 55 236 98 727 69 144 182 83 97 187 48 651 61 94 133 115 48 141 552 237 187 50 297 142 610 101 47 85 159 2 714 570 553 802 616 147 184 122 101 113 204 48 241 85 158</v>
      </c>
    </row>
    <row r="54" spans="1:24" x14ac:dyDescent="0.3">
      <c r="A54" s="10">
        <v>33.467741500000002</v>
      </c>
      <c r="B54">
        <v>-88.789126199999998</v>
      </c>
      <c r="C54" cm="1">
        <f t="array" ref="C54">traveltime($B3, C$2, $A$1)/3600</f>
        <v>0</v>
      </c>
      <c r="D54" cm="1">
        <f t="array" ref="D54">traveltime($B3, D$2, $A$1)/3600</f>
        <v>5.1930555555555555</v>
      </c>
      <c r="E54" cm="1">
        <f t="array" ref="E54">traveltime($B3, E$2, $A$1)/3600</f>
        <v>5.8733333333333331</v>
      </c>
      <c r="F54" cm="1">
        <f t="array" ref="F54">traveltime($B3, F$2, $A$1)/3600</f>
        <v>5.1302777777777777</v>
      </c>
      <c r="G54" cm="1">
        <f t="array" ref="G54">traveltime($B3, G$2, $A$1)/3600</f>
        <v>5.6297222222222221</v>
      </c>
      <c r="H54" cm="1">
        <f t="array" ref="H54">traveltime($B3, H$2, $A$1)/3600</f>
        <v>1.8911111111111112</v>
      </c>
      <c r="I54" cm="1">
        <f t="array" ref="I54">traveltime($B3, I$2, $A$1)/3600</f>
        <v>0.8880555555555556</v>
      </c>
      <c r="J54" cm="1">
        <f t="array" ref="J54">traveltime($B3, J$2, $A$1)/3600</f>
        <v>7.23</v>
      </c>
      <c r="K54" cm="1">
        <f t="array" ref="K54">traveltime($B3, K$2, $A$1)/3600</f>
        <v>4.5055555555555555</v>
      </c>
      <c r="L54" cm="1">
        <f t="array" ref="L54">traveltime($B3, L$2, $A$1)/3600</f>
        <v>1.2969444444444445</v>
      </c>
      <c r="M54" cm="1">
        <f t="array" ref="M54">traveltime($B3, M$2, $A$1)/3600</f>
        <v>7.2969444444444447</v>
      </c>
      <c r="N54" cm="1">
        <f t="array" ref="N54">traveltime($B3, N$2, $A$1)/3600</f>
        <v>5.1652777777777779</v>
      </c>
      <c r="O54" cm="1">
        <f t="array" ref="O54">traveltime($B3, O$2, $A$1)/3600</f>
        <v>3.5788888888888888</v>
      </c>
      <c r="P54" cm="1">
        <f t="array" ref="P54">traveltime($B3, P$2, $A$1)/3600</f>
        <v>2.9233333333333333</v>
      </c>
      <c r="Q54" cm="1">
        <f t="array" ref="Q54">traveltime($B3, Q$2, $A$1)/3600</f>
        <v>0.63361111111111112</v>
      </c>
      <c r="R54" cm="1">
        <f t="array" ref="R54">traveltime($B3, R$2, $A$1)/3600</f>
        <v>2.2241666666666666</v>
      </c>
      <c r="S54" cm="1">
        <f t="array" ref="S54">traveltime($B3, S$2, $A$1)/3600</f>
        <v>7.5736111111111111</v>
      </c>
      <c r="T54" cm="1">
        <f t="array" ref="T54">traveltime($B3, T$2, $A$1)/3600</f>
        <v>3.9630555555555556</v>
      </c>
      <c r="U54" cm="1">
        <f t="array" ref="U54">traveltime($B3, U$2, $A$1)/3600</f>
        <v>2.7197222222222224</v>
      </c>
      <c r="V54" cm="1">
        <f t="array" ref="V54">traveltime($B3, V$2, $A$1)/3600</f>
        <v>0.71166666666666667</v>
      </c>
      <c r="W54" cm="1">
        <f t="array" ref="W54">traveltime($B3, W$2, $A$1)/3600</f>
        <v>4.4666666666666668</v>
      </c>
      <c r="X54" cm="1">
        <f t="array" ref="X54">traveltime($B3, X$2, $A$1)/3600</f>
        <v>2.306111111111111</v>
      </c>
    </row>
    <row r="55" spans="1:24" x14ac:dyDescent="0.3">
      <c r="A55" s="10">
        <v>28.104897000000001</v>
      </c>
      <c r="B55">
        <v>-81.631729000000007</v>
      </c>
      <c r="C55" cm="1">
        <f t="array" ref="C55">traveltime($B4, C$2, $A$1)/3600</f>
        <v>5.1830555555555557</v>
      </c>
      <c r="D55" cm="1">
        <f t="array" ref="D55">traveltime($B4, D$2, $A$1)/3600</f>
        <v>0</v>
      </c>
      <c r="E55" cm="1">
        <f t="array" ref="E55">traveltime($B4, E$2, $A$1)/3600</f>
        <v>10.701666666666666</v>
      </c>
      <c r="F55" cm="1">
        <f t="array" ref="F55">traveltime($B4, F$2, $A$1)/3600</f>
        <v>0.6580555555555555</v>
      </c>
      <c r="G55" cm="1">
        <f t="array" ref="G55">traveltime($B4, G$2, $A$1)/3600</f>
        <v>1.2</v>
      </c>
      <c r="H55" cm="1">
        <f t="array" ref="H55">traveltime($B4, H$2, $A$1)/3600</f>
        <v>6.4541666666666666</v>
      </c>
      <c r="I55" cm="1">
        <f t="array" ref="I55">traveltime($B4, I$2, $A$1)/3600</f>
        <v>5.4175000000000004</v>
      </c>
      <c r="J55" cm="1">
        <f t="array" ref="J55">traveltime($B4, J$2, $A$1)/3600</f>
        <v>2.2822222222222224</v>
      </c>
      <c r="K55" cm="1">
        <f t="array" ref="K55">traveltime($B4, K$2, $A$1)/3600</f>
        <v>9.3338888888888896</v>
      </c>
      <c r="L55" cm="1">
        <f t="array" ref="L55">traveltime($B4, L$2, $A$1)/3600</f>
        <v>4.0016666666666669</v>
      </c>
      <c r="M55" cm="1">
        <f t="array" ref="M55">traveltime($B4, M$2, $A$1)/3600</f>
        <v>2.492777777777778</v>
      </c>
      <c r="N55" cm="1">
        <f t="array" ref="N55">traveltime($B4, N$2, $A$1)/3600</f>
        <v>2.0938888888888889</v>
      </c>
      <c r="O55" cm="1">
        <f t="array" ref="O55">traveltime($B4, O$2, $A$1)/3600</f>
        <v>2.3672222222222223</v>
      </c>
      <c r="P55" cm="1">
        <f t="array" ref="P55">traveltime($B4, P$2, $A$1)/3600</f>
        <v>2.4966666666666666</v>
      </c>
      <c r="Q55" cm="1">
        <f t="array" ref="Q55">traveltime($B4, Q$2, $A$1)/3600</f>
        <v>5.0213888888888887</v>
      </c>
      <c r="R55" cm="1">
        <f t="array" ref="R55">traveltime($B4, R$2, $A$1)/3600</f>
        <v>3.1486111111111112</v>
      </c>
      <c r="S55" cm="1">
        <f t="array" ref="S55">traveltime($B4, S$2, $A$1)/3600</f>
        <v>12.401944444444444</v>
      </c>
      <c r="T55" cm="1">
        <f t="array" ref="T55">traveltime($B4, T$2, $A$1)/3600</f>
        <v>1.3991666666666667</v>
      </c>
      <c r="U55" cm="1">
        <f t="array" ref="U55">traveltime($B4, U$2, $A$1)/3600</f>
        <v>3.7930555555555556</v>
      </c>
      <c r="V55" cm="1">
        <f t="array" ref="V55">traveltime($B4, V$2, $A$1)/3600</f>
        <v>4.5616666666666665</v>
      </c>
      <c r="W55" cm="1">
        <f t="array" ref="W55">traveltime($B4, W$2, $A$1)/3600</f>
        <v>2.9602777777777778</v>
      </c>
      <c r="X55" cm="1">
        <f t="array" ref="X55">traveltime($B4, X$2, $A$1)/3600</f>
        <v>3.1780555555555554</v>
      </c>
    </row>
    <row r="56" spans="1:24" x14ac:dyDescent="0.3">
      <c r="A56" s="10">
        <v>33.122567799999999</v>
      </c>
      <c r="B56">
        <v>-89.053504399999994</v>
      </c>
      <c r="C56" cm="1">
        <f t="array" ref="C56">traveltime($B5, C$2, $A$1)/3600</f>
        <v>5.8491666666666671</v>
      </c>
      <c r="D56" cm="1">
        <f t="array" ref="D56">traveltime($B5, D$2, $A$1)/3600</f>
        <v>10.708055555555555</v>
      </c>
      <c r="E56" cm="1">
        <f t="array" ref="E56">traveltime($B5, E$2, $A$1)/3600</f>
        <v>0</v>
      </c>
      <c r="F56" cm="1">
        <f t="array" ref="F56">traveltime($B5, F$2, $A$1)/3600</f>
        <v>10.799166666666666</v>
      </c>
      <c r="G56" cm="1">
        <f t="array" ref="G56">traveltime($B5, G$2, $A$1)/3600</f>
        <v>11.14861111111111</v>
      </c>
      <c r="H56" cm="1">
        <f t="array" ref="H56">traveltime($B5, H$2, $A$1)/3600</f>
        <v>4.3691666666666666</v>
      </c>
      <c r="I56" cm="1">
        <f t="array" ref="I56">traveltime($B5, I$2, $A$1)/3600</f>
        <v>5.3488888888888892</v>
      </c>
      <c r="J56" cm="1">
        <f t="array" ref="J56">traveltime($B5, J$2, $A$1)/3600</f>
        <v>12.684444444444445</v>
      </c>
      <c r="K56" cm="1">
        <f t="array" ref="K56">traveltime($B5, K$2, $A$1)/3600</f>
        <v>2.8283333333333331</v>
      </c>
      <c r="L56" cm="1">
        <f t="array" ref="L56">traveltime($B5, L$2, $A$1)/3600</f>
        <v>6.9094444444444445</v>
      </c>
      <c r="M56" cm="1">
        <f t="array" ref="M56">traveltime($B5, M$2, $A$1)/3600</f>
        <v>12.565</v>
      </c>
      <c r="N56" cm="1">
        <f t="array" ref="N56">traveltime($B5, N$2, $A$1)/3600</f>
        <v>10.433333333333334</v>
      </c>
      <c r="O56" cm="1">
        <f t="array" ref="O56">traveltime($B5, O$2, $A$1)/3600</f>
        <v>8.6194444444444436</v>
      </c>
      <c r="P56" cm="1">
        <f t="array" ref="P56">traveltime($B5, P$2, $A$1)/3600</f>
        <v>8.2994444444444451</v>
      </c>
      <c r="Q56" cm="1">
        <f t="array" ref="Q56">traveltime($B5, Q$2, $A$1)/3600</f>
        <v>6.0883333333333329</v>
      </c>
      <c r="R56" cm="1">
        <f t="array" ref="R56">traveltime($B5, R$2, $A$1)/3600</f>
        <v>7.6247222222222222</v>
      </c>
      <c r="S56" cm="1">
        <f t="array" ref="S56">traveltime($B5, S$2, $A$1)/3600</f>
        <v>2.5152777777777779</v>
      </c>
      <c r="T56" cm="1">
        <f t="array" ref="T56">traveltime($B5, T$2, $A$1)/3600</f>
        <v>9.3369444444444447</v>
      </c>
      <c r="U56" cm="1">
        <f t="array" ref="U56">traveltime($B5, U$2, $A$1)/3600</f>
        <v>7.0052777777777777</v>
      </c>
      <c r="V56" cm="1">
        <f t="array" ref="V56">traveltime($B5, V$2, $A$1)/3600</f>
        <v>6.3527777777777779</v>
      </c>
      <c r="W56" cm="1">
        <f t="array" ref="W56">traveltime($B5, W$2, $A$1)/3600</f>
        <v>9.7347222222222225</v>
      </c>
      <c r="X56" cm="1">
        <f t="array" ref="X56">traveltime($B5, X$2, $A$1)/3600</f>
        <v>7.6508333333333329</v>
      </c>
    </row>
    <row r="57" spans="1:24" x14ac:dyDescent="0.3">
      <c r="A57" s="10">
        <v>33.058843500000002</v>
      </c>
      <c r="B57">
        <v>-89.590316700000002</v>
      </c>
      <c r="C57" cm="1">
        <f t="array" ref="C57">traveltime($B6, C$2, $A$1)/3600</f>
        <v>5.1605555555555558</v>
      </c>
      <c r="D57" cm="1">
        <f t="array" ref="D57">traveltime($B6, D$2, $A$1)/3600</f>
        <v>0.61750000000000005</v>
      </c>
      <c r="E57" cm="1">
        <f t="array" ref="E57">traveltime($B6, E$2, $A$1)/3600</f>
        <v>10.863055555555556</v>
      </c>
      <c r="F57" cm="1">
        <f t="array" ref="F57">traveltime($B6, F$2, $A$1)/3600</f>
        <v>0</v>
      </c>
      <c r="G57" cm="1">
        <f t="array" ref="G57">traveltime($B6, G$2, $A$1)/3600</f>
        <v>0.72888888888888892</v>
      </c>
      <c r="H57" cm="1">
        <f t="array" ref="H57">traveltime($B6, H$2, $A$1)/3600</f>
        <v>6.8866666666666667</v>
      </c>
      <c r="I57" cm="1">
        <f t="array" ref="I57">traveltime($B6, I$2, $A$1)/3600</f>
        <v>5.6877777777777778</v>
      </c>
      <c r="J57" cm="1">
        <f t="array" ref="J57">traveltime($B6, J$2, $A$1)/3600</f>
        <v>2.4122222222222223</v>
      </c>
      <c r="K57" cm="1">
        <f t="array" ref="K57">traveltime($B6, K$2, $A$1)/3600</f>
        <v>9.4952777777777779</v>
      </c>
      <c r="L57" cm="1">
        <f t="array" ref="L57">traveltime($B6, L$2, $A$1)/3600</f>
        <v>4.1183333333333332</v>
      </c>
      <c r="M57" cm="1">
        <f t="array" ref="M57">traveltime($B6, M$2, $A$1)/3600</f>
        <v>2.6227777777777779</v>
      </c>
      <c r="N57" cm="1">
        <f t="array" ref="N57">traveltime($B6, N$2, $A$1)/3600</f>
        <v>2.6486111111111112</v>
      </c>
      <c r="O57" cm="1">
        <f t="array" ref="O57">traveltime($B6, O$2, $A$1)/3600</f>
        <v>2.8472222222222223</v>
      </c>
      <c r="P57" cm="1">
        <f t="array" ref="P57">traveltime($B6, P$2, $A$1)/3600</f>
        <v>2.9766666666666666</v>
      </c>
      <c r="Q57" cm="1">
        <f t="array" ref="Q57">traveltime($B6, Q$2, $A$1)/3600</f>
        <v>4.9344444444444449</v>
      </c>
      <c r="R57" cm="1">
        <f t="array" ref="R57">traveltime($B6, R$2, $A$1)/3600</f>
        <v>3.6286111111111112</v>
      </c>
      <c r="S57" cm="1">
        <f t="array" ref="S57">traveltime($B6, S$2, $A$1)/3600</f>
        <v>12.563333333333333</v>
      </c>
      <c r="T57" cm="1">
        <f t="array" ref="T57">traveltime($B6, T$2, $A$1)/3600</f>
        <v>1.8941666666666668</v>
      </c>
      <c r="U57" cm="1">
        <f t="array" ref="U57">traveltime($B6, U$2, $A$1)/3600</f>
        <v>4.2730555555555556</v>
      </c>
      <c r="V57" cm="1">
        <f t="array" ref="V57">traveltime($B6, V$2, $A$1)/3600</f>
        <v>4.5391666666666666</v>
      </c>
      <c r="W57" cm="1">
        <f t="array" ref="W57">traveltime($B6, W$2, $A$1)/3600</f>
        <v>3.5150000000000001</v>
      </c>
      <c r="X57" cm="1">
        <f t="array" ref="X57">traveltime($B6, X$2, $A$1)/3600</f>
        <v>3.6580555555555554</v>
      </c>
    </row>
    <row r="58" spans="1:24" x14ac:dyDescent="0.3">
      <c r="A58" s="10">
        <v>30.6307191</v>
      </c>
      <c r="B58">
        <v>-84.414681400000006</v>
      </c>
      <c r="C58" cm="1">
        <f t="array" ref="C58">traveltime($B7, C$2, $A$1)/3600</f>
        <v>5.6613888888888892</v>
      </c>
      <c r="D58" cm="1">
        <f t="array" ref="D58">traveltime($B7, D$2, $A$1)/3600</f>
        <v>1.1719444444444445</v>
      </c>
      <c r="E58" cm="1">
        <f t="array" ref="E58">traveltime($B7, E$2, $A$1)/3600</f>
        <v>11.192500000000001</v>
      </c>
      <c r="F58" cm="1">
        <f t="array" ref="F58">traveltime($B7, F$2, $A$1)/3600</f>
        <v>0.73638888888888887</v>
      </c>
      <c r="G58" cm="1">
        <f t="array" ref="G58">traveltime($B7, G$2, $A$1)/3600</f>
        <v>0</v>
      </c>
      <c r="H58" cm="1">
        <f t="array" ref="H58">traveltime($B7, H$2, $A$1)/3600</f>
        <v>7.2102777777777778</v>
      </c>
      <c r="I58" cm="1">
        <f t="array" ref="I58">traveltime($B7, I$2, $A$1)/3600</f>
        <v>6.1886111111111113</v>
      </c>
      <c r="J58" cm="1">
        <f t="array" ref="J58">traveltime($B7, J$2, $A$1)/3600</f>
        <v>1.8833333333333333</v>
      </c>
      <c r="K58" cm="1">
        <f t="array" ref="K58">traveltime($B7, K$2, $A$1)/3600</f>
        <v>9.8247222222222224</v>
      </c>
      <c r="L58" cm="1">
        <f t="array" ref="L58">traveltime($B7, L$2, $A$1)/3600</f>
        <v>4.6191666666666666</v>
      </c>
      <c r="M58" cm="1">
        <f t="array" ref="M58">traveltime($B7, M$2, $A$1)/3600</f>
        <v>2.0938888888888889</v>
      </c>
      <c r="N58" cm="1">
        <f t="array" ref="N58">traveltime($B7, N$2, $A$1)/3600</f>
        <v>3.1361111111111111</v>
      </c>
      <c r="O58" cm="1">
        <f t="array" ref="O58">traveltime($B7, O$2, $A$1)/3600</f>
        <v>3.4761111111111109</v>
      </c>
      <c r="P58" cm="1">
        <f t="array" ref="P58">traveltime($B7, P$2, $A$1)/3600</f>
        <v>3.6055555555555556</v>
      </c>
      <c r="Q58" cm="1">
        <f t="array" ref="Q58">traveltime($B7, Q$2, $A$1)/3600</f>
        <v>5.1697222222222221</v>
      </c>
      <c r="R58" cm="1">
        <f t="array" ref="R58">traveltime($B7, R$2, $A$1)/3600</f>
        <v>4.1816666666666666</v>
      </c>
      <c r="S58" cm="1">
        <f t="array" ref="S58">traveltime($B7, S$2, $A$1)/3600</f>
        <v>12.892777777777777</v>
      </c>
      <c r="T58" cm="1">
        <f t="array" ref="T58">traveltime($B7, T$2, $A$1)/3600</f>
        <v>2.5080555555555555</v>
      </c>
      <c r="U58" cm="1">
        <f t="array" ref="U58">traveltime($B7, U$2, $A$1)/3600</f>
        <v>4.8261111111111115</v>
      </c>
      <c r="V58" cm="1">
        <f t="array" ref="V58">traveltime($B7, V$2, $A$1)/3600</f>
        <v>5.04</v>
      </c>
      <c r="W58" cm="1">
        <f t="array" ref="W58">traveltime($B7, W$2, $A$1)/3600</f>
        <v>3.9616666666666664</v>
      </c>
      <c r="X58" cm="1">
        <f t="array" ref="X58">traveltime($B7, X$2, $A$1)/3600</f>
        <v>4.2225000000000001</v>
      </c>
    </row>
    <row r="59" spans="1:24" x14ac:dyDescent="0.3">
      <c r="A59" s="10">
        <v>30.9518734</v>
      </c>
      <c r="B59">
        <v>-85.512515699999994</v>
      </c>
      <c r="C59" cm="1">
        <f t="array" ref="C59">traveltime($B8, C$2, $A$1)/3600</f>
        <v>1.9172222222222222</v>
      </c>
      <c r="D59" cm="1">
        <f t="array" ref="D59">traveltime($B8, D$2, $A$1)/3600</f>
        <v>6.4877777777777776</v>
      </c>
      <c r="E59" cm="1">
        <f t="array" ref="E59">traveltime($B8, E$2, $A$1)/3600</f>
        <v>4.4241666666666664</v>
      </c>
      <c r="F59" cm="1">
        <f t="array" ref="F59">traveltime($B8, F$2, $A$1)/3600</f>
        <v>6.8780555555555551</v>
      </c>
      <c r="G59" cm="1">
        <f t="array" ref="G59">traveltime($B8, G$2, $A$1)/3600</f>
        <v>7.2166666666666668</v>
      </c>
      <c r="H59" cm="1">
        <f t="array" ref="H59">traveltime($B8, H$2, $A$1)/3600</f>
        <v>0</v>
      </c>
      <c r="I59" cm="1">
        <f t="array" ref="I59">traveltime($B8, I$2, $A$1)/3600</f>
        <v>1.4169444444444443</v>
      </c>
      <c r="J59" cm="1">
        <f t="array" ref="J59">traveltime($B8, J$2, $A$1)/3600</f>
        <v>8.6524999999999999</v>
      </c>
      <c r="K59" cm="1">
        <f t="array" ref="K59">traveltime($B8, K$2, $A$1)/3600</f>
        <v>3.0566666666666666</v>
      </c>
      <c r="L59" cm="1">
        <f t="array" ref="L59">traveltime($B8, L$2, $A$1)/3600</f>
        <v>2.8586111111111112</v>
      </c>
      <c r="M59" cm="1">
        <f t="array" ref="M59">traveltime($B8, M$2, $A$1)/3600</f>
        <v>8.4527777777777775</v>
      </c>
      <c r="N59" cm="1">
        <f t="array" ref="N59">traveltime($B8, N$2, $A$1)/3600</f>
        <v>6.3211111111111107</v>
      </c>
      <c r="O59" cm="1">
        <f t="array" ref="O59">traveltime($B8, O$2, $A$1)/3600</f>
        <v>4.7347222222222225</v>
      </c>
      <c r="P59" cm="1">
        <f t="array" ref="P59">traveltime($B8, P$2, $A$1)/3600</f>
        <v>4.0791666666666666</v>
      </c>
      <c r="Q59" cm="1">
        <f t="array" ref="Q59">traveltime($B8, Q$2, $A$1)/3600</f>
        <v>2.1563888888888889</v>
      </c>
      <c r="R59" cm="1">
        <f t="array" ref="R59">traveltime($B8, R$2, $A$1)/3600</f>
        <v>3.3488888888888888</v>
      </c>
      <c r="S59" cm="1">
        <f t="array" ref="S59">traveltime($B8, S$2, $A$1)/3600</f>
        <v>6.1244444444444444</v>
      </c>
      <c r="T59" cm="1">
        <f t="array" ref="T59">traveltime($B8, T$2, $A$1)/3600</f>
        <v>5.1166666666666663</v>
      </c>
      <c r="U59" cm="1">
        <f t="array" ref="U59">traveltime($B8, U$2, $A$1)/3600</f>
        <v>3.0963888888888889</v>
      </c>
      <c r="V59" cm="1">
        <f t="array" ref="V59">traveltime($B8, V$2, $A$1)/3600</f>
        <v>2.4208333333333334</v>
      </c>
      <c r="W59" cm="1">
        <f t="array" ref="W59">traveltime($B8, W$2, $A$1)/3600</f>
        <v>5.6224999999999996</v>
      </c>
      <c r="X59" cm="1">
        <f t="array" ref="X59">traveltime($B8, X$2, $A$1)/3600</f>
        <v>3.4305555555555554</v>
      </c>
    </row>
    <row r="60" spans="1:24" x14ac:dyDescent="0.3">
      <c r="A60" s="10">
        <v>33.744002299999998</v>
      </c>
      <c r="B60">
        <v>-90.7248187</v>
      </c>
      <c r="C60" cm="1">
        <f t="array" ref="C60">traveltime($B9, C$2, $A$1)/3600</f>
        <v>0.88194444444444442</v>
      </c>
      <c r="D60" cm="1">
        <f t="array" ref="D60">traveltime($B9, D$2, $A$1)/3600</f>
        <v>5.4716666666666667</v>
      </c>
      <c r="E60" cm="1">
        <f t="array" ref="E60">traveltime($B9, E$2, $A$1)/3600</f>
        <v>5.3952777777777774</v>
      </c>
      <c r="F60" cm="1">
        <f t="array" ref="F60">traveltime($B9, F$2, $A$1)/3600</f>
        <v>5.6511111111111108</v>
      </c>
      <c r="G60" cm="1">
        <f t="array" ref="G60">traveltime($B9, G$2, $A$1)/3600</f>
        <v>6.150555555555556</v>
      </c>
      <c r="H60" cm="1">
        <f t="array" ref="H60">traveltime($B9, H$2, $A$1)/3600</f>
        <v>1.4130555555555555</v>
      </c>
      <c r="I60" cm="1">
        <f t="array" ref="I60">traveltime($B9, I$2, $A$1)/3600</f>
        <v>0</v>
      </c>
      <c r="J60" cm="1">
        <f t="array" ref="J60">traveltime($B9, J$2, $A$1)/3600</f>
        <v>7.6363888888888889</v>
      </c>
      <c r="K60" cm="1">
        <f t="array" ref="K60">traveltime($B9, K$2, $A$1)/3600</f>
        <v>4.0274999999999999</v>
      </c>
      <c r="L60" cm="1">
        <f t="array" ref="L60">traveltime($B9, L$2, $A$1)/3600</f>
        <v>1.6263888888888889</v>
      </c>
      <c r="M60" cm="1">
        <f t="array" ref="M60">traveltime($B9, M$2, $A$1)/3600</f>
        <v>7.4366666666666665</v>
      </c>
      <c r="N60" cm="1">
        <f t="array" ref="N60">traveltime($B9, N$2, $A$1)/3600</f>
        <v>5.3049999999999997</v>
      </c>
      <c r="O60" cm="1">
        <f t="array" ref="O60">traveltime($B9, O$2, $A$1)/3600</f>
        <v>3.7186111111111111</v>
      </c>
      <c r="P60" cm="1">
        <f t="array" ref="P60">traveltime($B9, P$2, $A$1)/3600</f>
        <v>3.0630555555555556</v>
      </c>
      <c r="Q60" cm="1">
        <f t="array" ref="Q60">traveltime($B9, Q$2, $A$1)/3600</f>
        <v>1.2741666666666667</v>
      </c>
      <c r="R60" cm="1">
        <f t="array" ref="R60">traveltime($B9, R$2, $A$1)/3600</f>
        <v>2.3327777777777778</v>
      </c>
      <c r="S60" cm="1">
        <f t="array" ref="S60">traveltime($B9, S$2, $A$1)/3600</f>
        <v>7.0955555555555554</v>
      </c>
      <c r="T60" cm="1">
        <f t="array" ref="T60">traveltime($B9, T$2, $A$1)/3600</f>
        <v>4.1005555555555553</v>
      </c>
      <c r="U60" cm="1">
        <f t="array" ref="U60">traveltime($B9, U$2, $A$1)/3600</f>
        <v>2.5569444444444445</v>
      </c>
      <c r="V60" cm="1">
        <f t="array" ref="V60">traveltime($B9, V$2, $A$1)/3600</f>
        <v>1.2047222222222222</v>
      </c>
      <c r="W60" cm="1">
        <f t="array" ref="W60">traveltime($B9, W$2, $A$1)/3600</f>
        <v>4.6063888888888886</v>
      </c>
      <c r="X60" cm="1">
        <f t="array" ref="X60">traveltime($B9, X$2, $A$1)/3600</f>
        <v>2.4144444444444444</v>
      </c>
    </row>
    <row r="61" spans="1:24" x14ac:dyDescent="0.3">
      <c r="A61" s="10">
        <v>30.285323099999999</v>
      </c>
      <c r="B61">
        <v>-81.405823999999996</v>
      </c>
      <c r="C61" cm="1">
        <f t="array" ref="C61">traveltime($B10, C$2, $A$1)/3600</f>
        <v>7.2483333333333331</v>
      </c>
      <c r="D61" cm="1">
        <f t="array" ref="D61">traveltime($B10, D$2, $A$1)/3600</f>
        <v>2.256388888888889</v>
      </c>
      <c r="E61" cm="1">
        <f t="array" ref="E61">traveltime($B10, E$2, $A$1)/3600</f>
        <v>12.72638888888889</v>
      </c>
      <c r="F61" cm="1">
        <f t="array" ref="F61">traveltime($B10, F$2, $A$1)/3600</f>
        <v>2.4091666666666667</v>
      </c>
      <c r="G61" cm="1">
        <f t="array" ref="G61">traveltime($B10, G$2, $A$1)/3600</f>
        <v>1.8605555555555555</v>
      </c>
      <c r="H61" cm="1">
        <f t="array" ref="H61">traveltime($B10, H$2, $A$1)/3600</f>
        <v>8.6394444444444449</v>
      </c>
      <c r="I61" cm="1">
        <f t="array" ref="I61">traveltime($B10, I$2, $A$1)/3600</f>
        <v>7.6027777777777779</v>
      </c>
      <c r="J61" cm="1">
        <f t="array" ref="J61">traveltime($B10, J$2, $A$1)/3600</f>
        <v>0</v>
      </c>
      <c r="K61" cm="1">
        <f t="array" ref="K61">traveltime($B10, K$2, $A$1)/3600</f>
        <v>11.358611111111111</v>
      </c>
      <c r="L61" cm="1">
        <f t="array" ref="L61">traveltime($B10, L$2, $A$1)/3600</f>
        <v>6.1869444444444444</v>
      </c>
      <c r="M61" cm="1">
        <f t="array" ref="M61">traveltime($B10, M$2, $A$1)/3600</f>
        <v>0.69166666666666665</v>
      </c>
      <c r="N61" cm="1">
        <f t="array" ref="N61">traveltime($B10, N$2, $A$1)/3600</f>
        <v>3.7152777777777777</v>
      </c>
      <c r="O61" cm="1">
        <f t="array" ref="O61">traveltime($B10, O$2, $A$1)/3600</f>
        <v>4.5525000000000002</v>
      </c>
      <c r="P61" cm="1">
        <f t="array" ref="P61">traveltime($B10, P$2, $A$1)/3600</f>
        <v>4.6819444444444445</v>
      </c>
      <c r="Q61" cm="1">
        <f t="array" ref="Q61">traveltime($B10, Q$2, $A$1)/3600</f>
        <v>6.703611111111111</v>
      </c>
      <c r="R61" cm="1">
        <f t="array" ref="R61">traveltime($B10, R$2, $A$1)/3600</f>
        <v>5.3338888888888887</v>
      </c>
      <c r="S61" cm="1">
        <f t="array" ref="S61">traveltime($B10, S$2, $A$1)/3600</f>
        <v>14.426666666666666</v>
      </c>
      <c r="T61" cm="1">
        <f t="array" ref="T61">traveltime($B10, T$2, $A$1)/3600</f>
        <v>3.5847222222222221</v>
      </c>
      <c r="U61" cm="1">
        <f t="array" ref="U61">traveltime($B10, U$2, $A$1)/3600</f>
        <v>5.9783333333333335</v>
      </c>
      <c r="V61" cm="1">
        <f t="array" ref="V61">traveltime($B10, V$2, $A$1)/3600</f>
        <v>6.7472222222222218</v>
      </c>
      <c r="W61" cm="1">
        <f t="array" ref="W61">traveltime($B10, W$2, $A$1)/3600</f>
        <v>4.5408333333333335</v>
      </c>
      <c r="X61" cm="1">
        <f t="array" ref="X61">traveltime($B10, X$2, $A$1)/3600</f>
        <v>5.3633333333333333</v>
      </c>
    </row>
    <row r="62" spans="1:24" x14ac:dyDescent="0.3">
      <c r="A62" s="10">
        <v>31.7140272</v>
      </c>
      <c r="B62">
        <v>-86.264325299999996</v>
      </c>
      <c r="C62" cm="1">
        <f t="array" ref="C62">traveltime($B11, C$2, $A$1)/3600</f>
        <v>4.5247222222222225</v>
      </c>
      <c r="D62" cm="1">
        <f t="array" ref="D62">traveltime($B11, D$2, $A$1)/3600</f>
        <v>9.3888888888888893</v>
      </c>
      <c r="E62" cm="1">
        <f t="array" ref="E62">traveltime($B11, E$2, $A$1)/3600</f>
        <v>2.8891666666666667</v>
      </c>
      <c r="F62" cm="1">
        <f t="array" ref="F62">traveltime($B11, F$2, $A$1)/3600</f>
        <v>9.4747222222222227</v>
      </c>
      <c r="G62" cm="1">
        <f t="array" ref="G62">traveltime($B11, G$2, $A$1)/3600</f>
        <v>9.8244444444444436</v>
      </c>
      <c r="H62" cm="1">
        <f t="array" ref="H62">traveltime($B11, H$2, $A$1)/3600</f>
        <v>3.0447222222222221</v>
      </c>
      <c r="I62" cm="1">
        <f t="array" ref="I62">traveltime($B11, I$2, $A$1)/3600</f>
        <v>4.0244444444444447</v>
      </c>
      <c r="J62" cm="1">
        <f t="array" ref="J62">traveltime($B11, J$2, $A$1)/3600</f>
        <v>11.360277777777778</v>
      </c>
      <c r="K62" cm="1">
        <f t="array" ref="K62">traveltime($B11, K$2, $A$1)/3600</f>
        <v>0</v>
      </c>
      <c r="L62" cm="1">
        <f t="array" ref="L62">traveltime($B11, L$2, $A$1)/3600</f>
        <v>5.585</v>
      </c>
      <c r="M62" cm="1">
        <f t="array" ref="M62">traveltime($B11, M$2, $A$1)/3600</f>
        <v>11.245833333333334</v>
      </c>
      <c r="N62" cm="1">
        <f t="array" ref="N62">traveltime($B11, N$2, $A$1)/3600</f>
        <v>9.1141666666666659</v>
      </c>
      <c r="O62" cm="1">
        <f t="array" ref="O62">traveltime($B11, O$2, $A$1)/3600</f>
        <v>7.3002777777777776</v>
      </c>
      <c r="P62" cm="1">
        <f t="array" ref="P62">traveltime($B11, P$2, $A$1)/3600</f>
        <v>6.9802777777777774</v>
      </c>
      <c r="Q62" cm="1">
        <f t="array" ref="Q62">traveltime($B11, Q$2, $A$1)/3600</f>
        <v>4.7638888888888893</v>
      </c>
      <c r="R62" cm="1">
        <f t="array" ref="R62">traveltime($B11, R$2, $A$1)/3600</f>
        <v>6.3002777777777776</v>
      </c>
      <c r="S62" cm="1">
        <f t="array" ref="S62">traveltime($B11, S$2, $A$1)/3600</f>
        <v>4.0666666666666664</v>
      </c>
      <c r="T62" cm="1">
        <f t="array" ref="T62">traveltime($B11, T$2, $A$1)/3600</f>
        <v>8.017777777777777</v>
      </c>
      <c r="U62" cm="1">
        <f t="array" ref="U62">traveltime($B11, U$2, $A$1)/3600</f>
        <v>5.6861111111111109</v>
      </c>
      <c r="V62" cm="1">
        <f t="array" ref="V62">traveltime($B11, V$2, $A$1)/3600</f>
        <v>5.0283333333333333</v>
      </c>
      <c r="W62" cm="1">
        <f t="array" ref="W62">traveltime($B11, W$2, $A$1)/3600</f>
        <v>8.4155555555555548</v>
      </c>
      <c r="X62" cm="1">
        <f t="array" ref="X62">traveltime($B11, X$2, $A$1)/3600</f>
        <v>6.331666666666667</v>
      </c>
    </row>
    <row r="63" spans="1:24" x14ac:dyDescent="0.3">
      <c r="A63" s="10">
        <v>34.2001086</v>
      </c>
      <c r="B63">
        <v>-90.570932299999996</v>
      </c>
      <c r="C63" cm="1">
        <f t="array" ref="C63">traveltime($B12, C$2, $A$1)/3600</f>
        <v>1.2938888888888889</v>
      </c>
      <c r="D63" cm="1">
        <f t="array" ref="D63">traveltime($B12, D$2, $A$1)/3600</f>
        <v>4.048055555555556</v>
      </c>
      <c r="E63" cm="1">
        <f t="array" ref="E63">traveltime($B12, E$2, $A$1)/3600</f>
        <v>6.9280555555555559</v>
      </c>
      <c r="F63" cm="1">
        <f t="array" ref="F63">traveltime($B12, F$2, $A$1)/3600</f>
        <v>4.1097222222222225</v>
      </c>
      <c r="G63" cm="1">
        <f t="array" ref="G63">traveltime($B12, G$2, $A$1)/3600</f>
        <v>4.6091666666666669</v>
      </c>
      <c r="H63" cm="1">
        <f t="array" ref="H63">traveltime($B12, H$2, $A$1)/3600</f>
        <v>2.8866666666666667</v>
      </c>
      <c r="I63" cm="1">
        <f t="array" ref="I63">traveltime($B12, I$2, $A$1)/3600</f>
        <v>1.5988888888888888</v>
      </c>
      <c r="J63" cm="1">
        <f t="array" ref="J63">traveltime($B12, J$2, $A$1)/3600</f>
        <v>6.2127777777777782</v>
      </c>
      <c r="K63" cm="1">
        <f t="array" ref="K63">traveltime($B12, K$2, $A$1)/3600</f>
        <v>5.5602777777777774</v>
      </c>
      <c r="L63" cm="1">
        <f t="array" ref="L63">traveltime($B12, L$2, $A$1)/3600</f>
        <v>0</v>
      </c>
      <c r="M63" cm="1">
        <f t="array" ref="M63">traveltime($B12, M$2, $A$1)/3600</f>
        <v>6.0108333333333333</v>
      </c>
      <c r="N63" cm="1">
        <f t="array" ref="N63">traveltime($B12, N$2, $A$1)/3600</f>
        <v>3.8791666666666669</v>
      </c>
      <c r="O63" cm="1">
        <f t="array" ref="O63">traveltime($B12, O$2, $A$1)/3600</f>
        <v>2.2927777777777778</v>
      </c>
      <c r="P63" cm="1">
        <f t="array" ref="P63">traveltime($B12, P$2, $A$1)/3600</f>
        <v>1.6372222222222221</v>
      </c>
      <c r="Q63" cm="1">
        <f t="array" ref="Q63">traveltime($B12, Q$2, $A$1)/3600</f>
        <v>1.6672222222222222</v>
      </c>
      <c r="R63" cm="1">
        <f t="array" ref="R63">traveltime($B12, R$2, $A$1)/3600</f>
        <v>0.93805555555555553</v>
      </c>
      <c r="S63" cm="1">
        <f t="array" ref="S63">traveltime($B12, S$2, $A$1)/3600</f>
        <v>8.6283333333333339</v>
      </c>
      <c r="T63" cm="1">
        <f t="array" ref="T63">traveltime($B12, T$2, $A$1)/3600</f>
        <v>2.6769444444444446</v>
      </c>
      <c r="U63" cm="1">
        <f t="array" ref="U63">traveltime($B12, U$2, $A$1)/3600</f>
        <v>1.6236111111111111</v>
      </c>
      <c r="V63" cm="1">
        <f t="array" ref="V63">traveltime($B12, V$2, $A$1)/3600</f>
        <v>0.65500000000000003</v>
      </c>
      <c r="W63" cm="1">
        <f t="array" ref="W63">traveltime($B12, W$2, $A$1)/3600</f>
        <v>3.1805555555555554</v>
      </c>
      <c r="X63" cm="1">
        <f t="array" ref="X63">traveltime($B12, X$2, $A$1)/3600</f>
        <v>1.02</v>
      </c>
    </row>
    <row r="64" spans="1:24" x14ac:dyDescent="0.3">
      <c r="A64" s="10">
        <v>34.479812299999999</v>
      </c>
      <c r="B64">
        <v>-87.734037200000003</v>
      </c>
      <c r="C64" cm="1">
        <f t="array" ref="C64">traveltime($B13, C$2, $A$1)/3600</f>
        <v>7.2983333333333329</v>
      </c>
      <c r="D64" cm="1">
        <f t="array" ref="D64">traveltime($B13, D$2, $A$1)/3600</f>
        <v>2.4661111111111111</v>
      </c>
      <c r="E64" cm="1">
        <f t="array" ref="E64">traveltime($B13, E$2, $A$1)/3600</f>
        <v>12.572777777777778</v>
      </c>
      <c r="F64" cm="1">
        <f t="array" ref="F64">traveltime($B13, F$2, $A$1)/3600</f>
        <v>2.6188888888888888</v>
      </c>
      <c r="G64" cm="1">
        <f t="array" ref="G64">traveltime($B13, G$2, $A$1)/3600</f>
        <v>2.0702777777777777</v>
      </c>
      <c r="H64" cm="1">
        <f t="array" ref="H64">traveltime($B13, H$2, $A$1)/3600</f>
        <v>8.4494444444444436</v>
      </c>
      <c r="I64" cm="1">
        <f t="array" ref="I64">traveltime($B13, I$2, $A$1)/3600</f>
        <v>7.4127777777777775</v>
      </c>
      <c r="J64" cm="1">
        <f t="array" ref="J64">traveltime($B13, J$2, $A$1)/3600</f>
        <v>0.68055555555555558</v>
      </c>
      <c r="K64" cm="1">
        <f t="array" ref="K64">traveltime($B13, K$2, $A$1)/3600</f>
        <v>11.213055555555556</v>
      </c>
      <c r="L64" cm="1">
        <f t="array" ref="L64">traveltime($B13, L$2, $A$1)/3600</f>
        <v>6.0136111111111115</v>
      </c>
      <c r="M64" cm="1">
        <f t="array" ref="M64">traveltime($B13, M$2, $A$1)/3600</f>
        <v>0</v>
      </c>
      <c r="N64" cm="1">
        <f t="array" ref="N64">traveltime($B13, N$2, $A$1)/3600</f>
        <v>3.1294444444444443</v>
      </c>
      <c r="O64" cm="1">
        <f t="array" ref="O64">traveltime($B13, O$2, $A$1)/3600</f>
        <v>4.0836111111111109</v>
      </c>
      <c r="P64" cm="1">
        <f t="array" ref="P64">traveltime($B13, P$2, $A$1)/3600</f>
        <v>4.6083333333333334</v>
      </c>
      <c r="Q64" cm="1">
        <f t="array" ref="Q64">traveltime($B13, Q$2, $A$1)/3600</f>
        <v>7.2219444444444445</v>
      </c>
      <c r="R64" cm="1">
        <f t="array" ref="R64">traveltime($B13, R$2, $A$1)/3600</f>
        <v>5.1438888888888892</v>
      </c>
      <c r="S64" cm="1">
        <f t="array" ref="S64">traveltime($B13, S$2, $A$1)/3600</f>
        <v>14.273055555555555</v>
      </c>
      <c r="T64" cm="1">
        <f t="array" ref="T64">traveltime($B13, T$2, $A$1)/3600</f>
        <v>3.7944444444444443</v>
      </c>
      <c r="U64" cm="1">
        <f t="array" ref="U64">traveltime($B13, U$2, $A$1)/3600</f>
        <v>5.7883333333333331</v>
      </c>
      <c r="V64" cm="1">
        <f t="array" ref="V64">traveltime($B13, V$2, $A$1)/3600</f>
        <v>6.6594444444444445</v>
      </c>
      <c r="W64" cm="1">
        <f t="array" ref="W64">traveltime($B13, W$2, $A$1)/3600</f>
        <v>3.9550000000000001</v>
      </c>
      <c r="X64" cm="1">
        <f t="array" ref="X64">traveltime($B13, X$2, $A$1)/3600</f>
        <v>5.1486111111111112</v>
      </c>
    </row>
    <row r="65" spans="1:24" x14ac:dyDescent="0.3">
      <c r="A65" s="10">
        <v>33.582915399999997</v>
      </c>
      <c r="B65">
        <v>-86.632741999999993</v>
      </c>
      <c r="C65" cm="1">
        <f t="array" ref="C65">traveltime($B14, C$2, $A$1)/3600</f>
        <v>5.150555555555556</v>
      </c>
      <c r="D65" cm="1">
        <f t="array" ref="D65">traveltime($B14, D$2, $A$1)/3600</f>
        <v>2.0811111111111109</v>
      </c>
      <c r="E65" cm="1">
        <f t="array" ref="E65">traveltime($B14, E$2, $A$1)/3600</f>
        <v>10.425000000000001</v>
      </c>
      <c r="F65" cm="1">
        <f t="array" ref="F65">traveltime($B14, F$2, $A$1)/3600</f>
        <v>2.6219444444444444</v>
      </c>
      <c r="G65" cm="1">
        <f t="array" ref="G65">traveltime($B14, G$2, $A$1)/3600</f>
        <v>3.1361111111111111</v>
      </c>
      <c r="H65" cm="1">
        <f t="array" ref="H65">traveltime($B14, H$2, $A$1)/3600</f>
        <v>6.3016666666666667</v>
      </c>
      <c r="I65" cm="1">
        <f t="array" ref="I65">traveltime($B14, I$2, $A$1)/3600</f>
        <v>5.2649999999999997</v>
      </c>
      <c r="J65" cm="1">
        <f t="array" ref="J65">traveltime($B14, J$2, $A$1)/3600</f>
        <v>3.7136111111111112</v>
      </c>
      <c r="K65" cm="1">
        <f t="array" ref="K65">traveltime($B14, K$2, $A$1)/3600</f>
        <v>9.0652777777777782</v>
      </c>
      <c r="L65" cm="1">
        <f t="array" ref="L65">traveltime($B14, L$2, $A$1)/3600</f>
        <v>3.8658333333333332</v>
      </c>
      <c r="M65" cm="1">
        <f t="array" ref="M65">traveltime($B14, M$2, $A$1)/3600</f>
        <v>3.1277777777777778</v>
      </c>
      <c r="N65" cm="1">
        <f t="array" ref="N65">traveltime($B14, N$2, $A$1)/3600</f>
        <v>0</v>
      </c>
      <c r="O65" cm="1">
        <f t="array" ref="O65">traveltime($B14, O$2, $A$1)/3600</f>
        <v>1.9358333333333333</v>
      </c>
      <c r="P65" cm="1">
        <f t="array" ref="P65">traveltime($B14, P$2, $A$1)/3600</f>
        <v>2.4605555555555556</v>
      </c>
      <c r="Q65" cm="1">
        <f t="array" ref="Q65">traveltime($B14, Q$2, $A$1)/3600</f>
        <v>5.2480555555555553</v>
      </c>
      <c r="R65" cm="1">
        <f t="array" ref="R65">traveltime($B14, R$2, $A$1)/3600</f>
        <v>2.9961111111111109</v>
      </c>
      <c r="S65" cm="1">
        <f t="array" ref="S65">traveltime($B14, S$2, $A$1)/3600</f>
        <v>12.125277777777777</v>
      </c>
      <c r="T65" cm="1">
        <f t="array" ref="T65">traveltime($B14, T$2, $A$1)/3600</f>
        <v>1.9977777777777779</v>
      </c>
      <c r="U65" cm="1">
        <f t="array" ref="U65">traveltime($B14, U$2, $A$1)/3600</f>
        <v>3.6405555555555558</v>
      </c>
      <c r="V65" cm="1">
        <f t="array" ref="V65">traveltime($B14, V$2, $A$1)/3600</f>
        <v>4.5116666666666667</v>
      </c>
      <c r="W65" cm="1">
        <f t="array" ref="W65">traveltime($B14, W$2, $A$1)/3600</f>
        <v>0.92638888888888893</v>
      </c>
      <c r="X65" cm="1">
        <f t="array" ref="X65">traveltime($B14, X$2, $A$1)/3600</f>
        <v>3.0008333333333335</v>
      </c>
    </row>
    <row r="66" spans="1:24" x14ac:dyDescent="0.3">
      <c r="A66" s="10">
        <v>32.905346600000001</v>
      </c>
      <c r="B66">
        <v>-86.708576699999995</v>
      </c>
      <c r="C66" cm="1">
        <f t="array" ref="C66">traveltime($B15, C$2, $A$1)/3600</f>
        <v>3.5880555555555556</v>
      </c>
      <c r="D66" cm="1">
        <f t="array" ref="D66">traveltime($B15, D$2, $A$1)/3600</f>
        <v>2.3930555555555557</v>
      </c>
      <c r="E66" cm="1">
        <f t="array" ref="E66">traveltime($B15, E$2, $A$1)/3600</f>
        <v>8.6433333333333326</v>
      </c>
      <c r="F66" cm="1">
        <f t="array" ref="F66">traveltime($B15, F$2, $A$1)/3600</f>
        <v>2.8516666666666666</v>
      </c>
      <c r="G66" cm="1">
        <f t="array" ref="G66">traveltime($B15, G$2, $A$1)/3600</f>
        <v>3.4755555555555557</v>
      </c>
      <c r="H66" cm="1">
        <f t="array" ref="H66">traveltime($B15, H$2, $A$1)/3600</f>
        <v>4.7391666666666667</v>
      </c>
      <c r="I66" cm="1">
        <f t="array" ref="I66">traveltime($B15, I$2, $A$1)/3600</f>
        <v>3.7025000000000001</v>
      </c>
      <c r="J66" cm="1">
        <f t="array" ref="J66">traveltime($B15, J$2, $A$1)/3600</f>
        <v>4.5577777777777779</v>
      </c>
      <c r="K66" cm="1">
        <f t="array" ref="K66">traveltime($B15, K$2, $A$1)/3600</f>
        <v>7.283611111111111</v>
      </c>
      <c r="L66" cm="1">
        <f t="array" ref="L66">traveltime($B15, L$2, $A$1)/3600</f>
        <v>2.3033333333333332</v>
      </c>
      <c r="M66" cm="1">
        <f t="array" ref="M66">traveltime($B15, M$2, $A$1)/3600</f>
        <v>4.0966666666666667</v>
      </c>
      <c r="N66" cm="1">
        <f t="array" ref="N66">traveltime($B15, N$2, $A$1)/3600</f>
        <v>1.9650000000000001</v>
      </c>
      <c r="O66" cm="1">
        <f t="array" ref="O66">traveltime($B15, O$2, $A$1)/3600</f>
        <v>0</v>
      </c>
      <c r="P66" cm="1">
        <f t="array" ref="P66">traveltime($B15, P$2, $A$1)/3600</f>
        <v>0.89805555555555561</v>
      </c>
      <c r="Q66" cm="1">
        <f t="array" ref="Q66">traveltime($B15, Q$2, $A$1)/3600</f>
        <v>3.6855555555555557</v>
      </c>
      <c r="R66" cm="1">
        <f t="array" ref="R66">traveltime($B15, R$2, $A$1)/3600</f>
        <v>1.4336111111111112</v>
      </c>
      <c r="S66" cm="1">
        <f t="array" ref="S66">traveltime($B15, S$2, $A$1)/3600</f>
        <v>10.343611111111111</v>
      </c>
      <c r="T66" cm="1">
        <f t="array" ref="T66">traveltime($B15, T$2, $A$1)/3600</f>
        <v>1.033611111111111</v>
      </c>
      <c r="U66" cm="1">
        <f t="array" ref="U66">traveltime($B15, U$2, $A$1)/3600</f>
        <v>2.0780555555555558</v>
      </c>
      <c r="V66" cm="1">
        <f t="array" ref="V66">traveltime($B15, V$2, $A$1)/3600</f>
        <v>2.9491666666666667</v>
      </c>
      <c r="W66" cm="1">
        <f t="array" ref="W66">traveltime($B15, W$2, $A$1)/3600</f>
        <v>1.2663888888888888</v>
      </c>
      <c r="X66" cm="1">
        <f t="array" ref="X66">traveltime($B15, X$2, $A$1)/3600</f>
        <v>1.4386111111111111</v>
      </c>
    </row>
    <row r="67" spans="1:24" x14ac:dyDescent="0.3">
      <c r="A67" s="10">
        <v>30.721412999999998</v>
      </c>
      <c r="B67">
        <v>-86.566215499999998</v>
      </c>
      <c r="C67" cm="1">
        <f t="array" ref="C67">traveltime($B16, C$2, $A$1)/3600</f>
        <v>2.9219444444444442</v>
      </c>
      <c r="D67" cm="1">
        <f t="array" ref="D67">traveltime($B16, D$2, $A$1)/3600</f>
        <v>2.5283333333333333</v>
      </c>
      <c r="E67" cm="1">
        <f t="array" ref="E67">traveltime($B16, E$2, $A$1)/3600</f>
        <v>8.3205555555555559</v>
      </c>
      <c r="F67" cm="1">
        <f t="array" ref="F67">traveltime($B16, F$2, $A$1)/3600</f>
        <v>2.9869444444444446</v>
      </c>
      <c r="G67" cm="1">
        <f t="array" ref="G67">traveltime($B16, G$2, $A$1)/3600</f>
        <v>3.6108333333333333</v>
      </c>
      <c r="H67" cm="1">
        <f t="array" ref="H67">traveltime($B16, H$2, $A$1)/3600</f>
        <v>4.0730555555555554</v>
      </c>
      <c r="I67" cm="1">
        <f t="array" ref="I67">traveltime($B16, I$2, $A$1)/3600</f>
        <v>3.0363888888888888</v>
      </c>
      <c r="J67" cm="1">
        <f t="array" ref="J67">traveltime($B16, J$2, $A$1)/3600</f>
        <v>4.6930555555555555</v>
      </c>
      <c r="K67" cm="1">
        <f t="array" ref="K67">traveltime($B16, K$2, $A$1)/3600</f>
        <v>6.9527777777777775</v>
      </c>
      <c r="L67" cm="1">
        <f t="array" ref="L67">traveltime($B16, L$2, $A$1)/3600</f>
        <v>1.6372222222222221</v>
      </c>
      <c r="M67" cm="1">
        <f t="array" ref="M67">traveltime($B16, M$2, $A$1)/3600</f>
        <v>4.6161111111111115</v>
      </c>
      <c r="N67" cm="1">
        <f t="array" ref="N67">traveltime($B16, N$2, $A$1)/3600</f>
        <v>2.4844444444444442</v>
      </c>
      <c r="O67" cm="1">
        <f t="array" ref="O67">traveltime($B16, O$2, $A$1)/3600</f>
        <v>0.89805555555555561</v>
      </c>
      <c r="P67" cm="1">
        <f t="array" ref="P67">traveltime($B16, P$2, $A$1)/3600</f>
        <v>0</v>
      </c>
      <c r="Q67" cm="1">
        <f t="array" ref="Q67">traveltime($B16, Q$2, $A$1)/3600</f>
        <v>3.0194444444444444</v>
      </c>
      <c r="R67" cm="1">
        <f t="array" ref="R67">traveltime($B16, R$2, $A$1)/3600</f>
        <v>0.76749999999999996</v>
      </c>
      <c r="S67" cm="1">
        <f t="array" ref="S67">traveltime($B16, S$2, $A$1)/3600</f>
        <v>10.020833333333334</v>
      </c>
      <c r="T67" cm="1">
        <f t="array" ref="T67">traveltime($B16, T$2, $A$1)/3600</f>
        <v>1.1572222222222222</v>
      </c>
      <c r="U67" cm="1">
        <f t="array" ref="U67">traveltime($B16, U$2, $A$1)/3600</f>
        <v>1.4119444444444444</v>
      </c>
      <c r="V67" cm="1">
        <f t="array" ref="V67">traveltime($B16, V$2, $A$1)/3600</f>
        <v>2.2830555555555554</v>
      </c>
      <c r="W67" cm="1">
        <f t="array" ref="W67">traveltime($B16, W$2, $A$1)/3600</f>
        <v>1.7858333333333334</v>
      </c>
      <c r="X67" cm="1">
        <f t="array" ref="X67">traveltime($B16, X$2, $A$1)/3600</f>
        <v>0.77222222222222225</v>
      </c>
    </row>
    <row r="68" spans="1:24" x14ac:dyDescent="0.3">
      <c r="A68" s="10">
        <v>32.361873799999998</v>
      </c>
      <c r="B68">
        <v>-86.299616</v>
      </c>
      <c r="C68" cm="1">
        <f t="array" ref="C68">traveltime($B17, C$2, $A$1)/3600</f>
        <v>0.61638888888888888</v>
      </c>
      <c r="D68" cm="1">
        <f t="array" ref="D68">traveltime($B17, D$2, $A$1)/3600</f>
        <v>5.0269444444444442</v>
      </c>
      <c r="E68" cm="1">
        <f t="array" ref="E68">traveltime($B17, E$2, $A$1)/3600</f>
        <v>6.0941666666666663</v>
      </c>
      <c r="F68" cm="1">
        <f t="array" ref="F68">traveltime($B17, F$2, $A$1)/3600</f>
        <v>4.884722222222222</v>
      </c>
      <c r="G68" cm="1">
        <f t="array" ref="G68">traveltime($B17, G$2, $A$1)/3600</f>
        <v>5.1547222222222224</v>
      </c>
      <c r="H68" cm="1">
        <f t="array" ref="H68">traveltime($B17, H$2, $A$1)/3600</f>
        <v>2.1119444444444446</v>
      </c>
      <c r="I68" cm="1">
        <f t="array" ref="I68">traveltime($B17, I$2, $A$1)/3600</f>
        <v>1.2452777777777777</v>
      </c>
      <c r="J68" cm="1">
        <f t="array" ref="J68">traveltime($B17, J$2, $A$1)/3600</f>
        <v>6.6905555555555551</v>
      </c>
      <c r="K68" cm="1">
        <f t="array" ref="K68">traveltime($B17, K$2, $A$1)/3600</f>
        <v>4.7263888888888888</v>
      </c>
      <c r="L68" cm="1">
        <f t="array" ref="L68">traveltime($B17, L$2, $A$1)/3600</f>
        <v>1.6352777777777778</v>
      </c>
      <c r="M68" cm="1">
        <f t="array" ref="M68">traveltime($B17, M$2, $A$1)/3600</f>
        <v>7.2191666666666663</v>
      </c>
      <c r="N68" cm="1">
        <f t="array" ref="N68">traveltime($B17, N$2, $A$1)/3600</f>
        <v>5.2497222222222222</v>
      </c>
      <c r="O68" cm="1">
        <f t="array" ref="O68">traveltime($B17, O$2, $A$1)/3600</f>
        <v>3.6636111111111109</v>
      </c>
      <c r="P68" cm="1">
        <f t="array" ref="P68">traveltime($B17, P$2, $A$1)/3600</f>
        <v>3.0077777777777777</v>
      </c>
      <c r="Q68" cm="1">
        <f t="array" ref="Q68">traveltime($B17, Q$2, $A$1)/3600</f>
        <v>0</v>
      </c>
      <c r="R68" cm="1">
        <f t="array" ref="R68">traveltime($B17, R$2, $A$1)/3600</f>
        <v>2.35</v>
      </c>
      <c r="S68" cm="1">
        <f t="array" ref="S68">traveltime($B17, S$2, $A$1)/3600</f>
        <v>7.7944444444444443</v>
      </c>
      <c r="T68" cm="1">
        <f t="array" ref="T68">traveltime($B17, T$2, $A$1)/3600</f>
        <v>4.0516666666666667</v>
      </c>
      <c r="U68" cm="1">
        <f t="array" ref="U68">traveltime($B17, U$2, $A$1)/3600</f>
        <v>2.9944444444444445</v>
      </c>
      <c r="V68" cm="1">
        <f t="array" ref="V68">traveltime($B17, V$2, $A$1)/3600</f>
        <v>1.0297222222222222</v>
      </c>
      <c r="W68" cm="1">
        <f t="array" ref="W68">traveltime($B17, W$2, $A$1)/3600</f>
        <v>4.5511111111111111</v>
      </c>
      <c r="X68" cm="1">
        <f t="array" ref="X68">traveltime($B17, X$2, $A$1)/3600</f>
        <v>2.3908333333333331</v>
      </c>
    </row>
    <row r="69" spans="1:24" x14ac:dyDescent="0.3">
      <c r="A69" s="10">
        <v>26.849594799999998</v>
      </c>
      <c r="B69">
        <v>-80.058398100000005</v>
      </c>
      <c r="C69" cm="1">
        <f t="array" ref="C69">traveltime($B18, C$2, $A$1)/3600</f>
        <v>2.223611111111111</v>
      </c>
      <c r="D69" cm="1">
        <f t="array" ref="D69">traveltime($B18, D$2, $A$1)/3600</f>
        <v>3.1888888888888891</v>
      </c>
      <c r="E69" cm="1">
        <f t="array" ref="E69">traveltime($B18, E$2, $A$1)/3600</f>
        <v>7.6116666666666664</v>
      </c>
      <c r="F69" cm="1">
        <f t="array" ref="F69">traveltime($B18, F$2, $A$1)/3600</f>
        <v>3.6475</v>
      </c>
      <c r="G69" cm="1">
        <f t="array" ref="G69">traveltime($B18, G$2, $A$1)/3600</f>
        <v>4.1836111111111114</v>
      </c>
      <c r="H69" cm="1">
        <f t="array" ref="H69">traveltime($B18, H$2, $A$1)/3600</f>
        <v>3.3641666666666667</v>
      </c>
      <c r="I69" cm="1">
        <f t="array" ref="I69">traveltime($B18, I$2, $A$1)/3600</f>
        <v>2.3275000000000001</v>
      </c>
      <c r="J69" cm="1">
        <f t="array" ref="J69">traveltime($B18, J$2, $A$1)/3600</f>
        <v>5.3536111111111113</v>
      </c>
      <c r="K69" cm="1">
        <f t="array" ref="K69">traveltime($B18, K$2, $A$1)/3600</f>
        <v>6.2438888888888888</v>
      </c>
      <c r="L69" cm="1">
        <f t="array" ref="L69">traveltime($B18, L$2, $A$1)/3600</f>
        <v>0.93888888888888888</v>
      </c>
      <c r="M69" cm="1">
        <f t="array" ref="M69">traveltime($B18, M$2, $A$1)/3600</f>
        <v>5.153888888888889</v>
      </c>
      <c r="N69" cm="1">
        <f t="array" ref="N69">traveltime($B18, N$2, $A$1)/3600</f>
        <v>3.0222222222222221</v>
      </c>
      <c r="O69" cm="1">
        <f t="array" ref="O69">traveltime($B18, O$2, $A$1)/3600</f>
        <v>1.4358333333333333</v>
      </c>
      <c r="P69" cm="1">
        <f t="array" ref="P69">traveltime($B18, P$2, $A$1)/3600</f>
        <v>0.78027777777777774</v>
      </c>
      <c r="Q69" cm="1">
        <f t="array" ref="Q69">traveltime($B18, Q$2, $A$1)/3600</f>
        <v>2.3805555555555555</v>
      </c>
      <c r="R69" cm="1">
        <f t="array" ref="R69">traveltime($B18, R$2, $A$1)/3600</f>
        <v>0</v>
      </c>
      <c r="S69" cm="1">
        <f t="array" ref="S69">traveltime($B18, S$2, $A$1)/3600</f>
        <v>9.3119444444444444</v>
      </c>
      <c r="T69" cm="1">
        <f t="array" ref="T69">traveltime($B18, T$2, $A$1)/3600</f>
        <v>1.8177777777777777</v>
      </c>
      <c r="U69" cm="1">
        <f t="array" ref="U69">traveltime($B18, U$2, $A$1)/3600</f>
        <v>0.70305555555555554</v>
      </c>
      <c r="V69" cm="1">
        <f t="array" ref="V69">traveltime($B18, V$2, $A$1)/3600</f>
        <v>1.5847222222222221</v>
      </c>
      <c r="W69" cm="1">
        <f t="array" ref="W69">traveltime($B18, W$2, $A$1)/3600</f>
        <v>2.3236111111111111</v>
      </c>
      <c r="X69" cm="1">
        <f t="array" ref="X69">traveltime($B18, X$2, $A$1)/3600</f>
        <v>0.1125</v>
      </c>
    </row>
    <row r="70" spans="1:24" x14ac:dyDescent="0.3">
      <c r="A70" s="10">
        <v>33.179634399999998</v>
      </c>
      <c r="B70">
        <v>-87.553105099999996</v>
      </c>
      <c r="C70" cm="1">
        <f t="array" ref="C70">traveltime($B19, C$2, $A$1)/3600</f>
        <v>7.58</v>
      </c>
      <c r="D70" cm="1">
        <f t="array" ref="D70">traveltime($B19, D$2, $A$1)/3600</f>
        <v>12.438888888888888</v>
      </c>
      <c r="E70" cm="1">
        <f t="array" ref="E70">traveltime($B19, E$2, $A$1)/3600</f>
        <v>2.5302777777777776</v>
      </c>
      <c r="F70" cm="1">
        <f t="array" ref="F70">traveltime($B19, F$2, $A$1)/3600</f>
        <v>12.53</v>
      </c>
      <c r="G70" cm="1">
        <f t="array" ref="G70">traveltime($B19, G$2, $A$1)/3600</f>
        <v>12.879444444444445</v>
      </c>
      <c r="H70" cm="1">
        <f t="array" ref="H70">traveltime($B19, H$2, $A$1)/3600</f>
        <v>6.1</v>
      </c>
      <c r="I70" cm="1">
        <f t="array" ref="I70">traveltime($B19, I$2, $A$1)/3600</f>
        <v>7.0797222222222222</v>
      </c>
      <c r="J70" cm="1">
        <f t="array" ref="J70">traveltime($B19, J$2, $A$1)/3600</f>
        <v>14.415277777777778</v>
      </c>
      <c r="K70" cm="1">
        <f t="array" ref="K70">traveltime($B19, K$2, $A$1)/3600</f>
        <v>4.0361111111111114</v>
      </c>
      <c r="L70" cm="1">
        <f t="array" ref="L70">traveltime($B19, L$2, $A$1)/3600</f>
        <v>8.6402777777777775</v>
      </c>
      <c r="M70" cm="1">
        <f t="array" ref="M70">traveltime($B19, M$2, $A$1)/3600</f>
        <v>14.295833333333333</v>
      </c>
      <c r="N70" cm="1">
        <f t="array" ref="N70">traveltime($B19, N$2, $A$1)/3600</f>
        <v>12.164166666666667</v>
      </c>
      <c r="O70" cm="1">
        <f t="array" ref="O70">traveltime($B19, O$2, $A$1)/3600</f>
        <v>10.350277777777778</v>
      </c>
      <c r="P70" cm="1">
        <f t="array" ref="P70">traveltime($B19, P$2, $A$1)/3600</f>
        <v>10.030277777777778</v>
      </c>
      <c r="Q70" cm="1">
        <f t="array" ref="Q70">traveltime($B19, Q$2, $A$1)/3600</f>
        <v>7.8191666666666668</v>
      </c>
      <c r="R70" cm="1">
        <f t="array" ref="R70">traveltime($B19, R$2, $A$1)/3600</f>
        <v>9.3555555555555561</v>
      </c>
      <c r="S70" cm="1">
        <f t="array" ref="S70">traveltime($B19, S$2, $A$1)/3600</f>
        <v>0</v>
      </c>
      <c r="T70" cm="1">
        <f t="array" ref="T70">traveltime($B19, T$2, $A$1)/3600</f>
        <v>11.067777777777778</v>
      </c>
      <c r="U70" cm="1">
        <f t="array" ref="U70">traveltime($B19, U$2, $A$1)/3600</f>
        <v>8.7361111111111107</v>
      </c>
      <c r="V70" cm="1">
        <f t="array" ref="V70">traveltime($B19, V$2, $A$1)/3600</f>
        <v>8.0836111111111109</v>
      </c>
      <c r="W70" cm="1">
        <f t="array" ref="W70">traveltime($B19, W$2, $A$1)/3600</f>
        <v>11.465555555555556</v>
      </c>
      <c r="X70" cm="1">
        <f t="array" ref="X70">traveltime($B19, X$2, $A$1)/3600</f>
        <v>9.3816666666666659</v>
      </c>
    </row>
    <row r="71" spans="1:24" x14ac:dyDescent="0.3">
      <c r="A71" s="10">
        <v>32.482779600000001</v>
      </c>
      <c r="B71">
        <v>-85.559615899999997</v>
      </c>
      <c r="C71" cm="1">
        <f t="array" ref="C71">traveltime($B20, C$2, $A$1)/3600</f>
        <v>3.9522222222222223</v>
      </c>
      <c r="D71" cm="1">
        <f t="array" ref="D71">traveltime($B20, D$2, $A$1)/3600</f>
        <v>1.4444444444444444</v>
      </c>
      <c r="E71" cm="1">
        <f t="array" ref="E71">traveltime($B20, E$2, $A$1)/3600</f>
        <v>9.3674999999999997</v>
      </c>
      <c r="F71" cm="1">
        <f t="array" ref="F71">traveltime($B20, F$2, $A$1)/3600</f>
        <v>1.8997222222222223</v>
      </c>
      <c r="G71" cm="1">
        <f t="array" ref="G71">traveltime($B20, G$2, $A$1)/3600</f>
        <v>2.5266666666666668</v>
      </c>
      <c r="H71" cm="1">
        <f t="array" ref="H71">traveltime($B20, H$2, $A$1)/3600</f>
        <v>5.12</v>
      </c>
      <c r="I71" cm="1">
        <f t="array" ref="I71">traveltime($B20, I$2, $A$1)/3600</f>
        <v>4.083333333333333</v>
      </c>
      <c r="J71" cm="1">
        <f t="array" ref="J71">traveltime($B20, J$2, $A$1)/3600</f>
        <v>3.6091666666666669</v>
      </c>
      <c r="K71" cm="1">
        <f t="array" ref="K71">traveltime($B20, K$2, $A$1)/3600</f>
        <v>7.9997222222222222</v>
      </c>
      <c r="L71" cm="1">
        <f t="array" ref="L71">traveltime($B20, L$2, $A$1)/3600</f>
        <v>2.6675</v>
      </c>
      <c r="M71" cm="1">
        <f t="array" ref="M71">traveltime($B20, M$2, $A$1)/3600</f>
        <v>3.819722222222222</v>
      </c>
      <c r="N71" cm="1">
        <f t="array" ref="N71">traveltime($B20, N$2, $A$1)/3600</f>
        <v>2.0024999999999999</v>
      </c>
      <c r="O71" cm="1">
        <f t="array" ref="O71">traveltime($B20, O$2, $A$1)/3600</f>
        <v>1.0513888888888889</v>
      </c>
      <c r="P71" cm="1">
        <f t="array" ref="P71">traveltime($B20, P$2, $A$1)/3600</f>
        <v>1.1625000000000001</v>
      </c>
      <c r="Q71" cm="1">
        <f t="array" ref="Q71">traveltime($B20, Q$2, $A$1)/3600</f>
        <v>4.0588888888888892</v>
      </c>
      <c r="R71" cm="1">
        <f t="array" ref="R71">traveltime($B20, R$2, $A$1)/3600</f>
        <v>1.8144444444444445</v>
      </c>
      <c r="S71" cm="1">
        <f t="array" ref="S71">traveltime($B20, S$2, $A$1)/3600</f>
        <v>11.067777777777778</v>
      </c>
      <c r="T71" cm="1">
        <f t="array" ref="T71">traveltime($B20, T$2, $A$1)/3600</f>
        <v>0</v>
      </c>
      <c r="U71" cm="1">
        <f t="array" ref="U71">traveltime($B20, U$2, $A$1)/3600</f>
        <v>2.4588888888888887</v>
      </c>
      <c r="V71" cm="1">
        <f t="array" ref="V71">traveltime($B20, V$2, $A$1)/3600</f>
        <v>3.3133333333333335</v>
      </c>
      <c r="W71" cm="1">
        <f t="array" ref="W71">traveltime($B20, W$2, $A$1)/3600</f>
        <v>1.8294444444444444</v>
      </c>
      <c r="X71" cm="1">
        <f t="array" ref="X71">traveltime($B20, X$2, $A$1)/3600</f>
        <v>1.8438888888888889</v>
      </c>
    </row>
    <row r="72" spans="1:24" x14ac:dyDescent="0.3">
      <c r="A72" s="10">
        <v>31.269835799999999</v>
      </c>
      <c r="B72">
        <v>-86.243357599999996</v>
      </c>
      <c r="C72" cm="1">
        <f t="array" ref="C72">traveltime($B21, C$2, $A$1)/3600</f>
        <v>2.7394444444444446</v>
      </c>
      <c r="D72" cm="1">
        <f t="array" ref="D72">traveltime($B21, D$2, $A$1)/3600</f>
        <v>3.8233333333333333</v>
      </c>
      <c r="E72" cm="1">
        <f t="array" ref="E72">traveltime($B21, E$2, $A$1)/3600</f>
        <v>7.0158333333333331</v>
      </c>
      <c r="F72" cm="1">
        <f t="array" ref="F72">traveltime($B21, F$2, $A$1)/3600</f>
        <v>4.2819444444444441</v>
      </c>
      <c r="G72" cm="1">
        <f t="array" ref="G72">traveltime($B21, G$2, $A$1)/3600</f>
        <v>4.8180555555555555</v>
      </c>
      <c r="H72" cm="1">
        <f t="array" ref="H72">traveltime($B21, H$2, $A$1)/3600</f>
        <v>3.0919444444444446</v>
      </c>
      <c r="I72" cm="1">
        <f t="array" ref="I72">traveltime($B21, I$2, $A$1)/3600</f>
        <v>2.5655555555555556</v>
      </c>
      <c r="J72" cm="1">
        <f t="array" ref="J72">traveltime($B21, J$2, $A$1)/3600</f>
        <v>5.9880555555555555</v>
      </c>
      <c r="K72" cm="1">
        <f t="array" ref="K72">traveltime($B21, K$2, $A$1)/3600</f>
        <v>5.6561111111111115</v>
      </c>
      <c r="L72" cm="1">
        <f t="array" ref="L72">traveltime($B21, L$2, $A$1)/3600</f>
        <v>1.6327777777777779</v>
      </c>
      <c r="M72" cm="1">
        <f t="array" ref="M72">traveltime($B21, M$2, $A$1)/3600</f>
        <v>5.7883333333333331</v>
      </c>
      <c r="N72" cm="1">
        <f t="array" ref="N72">traveltime($B21, N$2, $A$1)/3600</f>
        <v>3.6566666666666667</v>
      </c>
      <c r="O72" cm="1">
        <f t="array" ref="O72">traveltime($B21, O$2, $A$1)/3600</f>
        <v>2.0702777777777777</v>
      </c>
      <c r="P72" cm="1">
        <f t="array" ref="P72">traveltime($B21, P$2, $A$1)/3600</f>
        <v>1.4147222222222222</v>
      </c>
      <c r="Q72" cm="1">
        <f t="array" ref="Q72">traveltime($B21, Q$2, $A$1)/3600</f>
        <v>3.0150000000000001</v>
      </c>
      <c r="R72" cm="1">
        <f t="array" ref="R72">traveltime($B21, R$2, $A$1)/3600</f>
        <v>0.70944444444444443</v>
      </c>
      <c r="S72" cm="1">
        <f t="array" ref="S72">traveltime($B21, S$2, $A$1)/3600</f>
        <v>8.7161111111111111</v>
      </c>
      <c r="T72" cm="1">
        <f t="array" ref="T72">traveltime($B21, T$2, $A$1)/3600</f>
        <v>2.4522222222222223</v>
      </c>
      <c r="U72" cm="1">
        <f t="array" ref="U72">traveltime($B21, U$2, $A$1)/3600</f>
        <v>0</v>
      </c>
      <c r="V72" cm="1">
        <f t="array" ref="V72">traveltime($B21, V$2, $A$1)/3600</f>
        <v>2.1555555555555554</v>
      </c>
      <c r="W72" cm="1">
        <f t="array" ref="W72">traveltime($B21, W$2, $A$1)/3600</f>
        <v>2.9580555555555557</v>
      </c>
      <c r="X72" cm="1">
        <f t="array" ref="X72">traveltime($B21, X$2, $A$1)/3600</f>
        <v>0.76583333333333337</v>
      </c>
    </row>
    <row r="73" spans="1:24" x14ac:dyDescent="0.3">
      <c r="A73" s="10">
        <v>34.4348071</v>
      </c>
      <c r="B73">
        <v>-86.932986200000002</v>
      </c>
      <c r="C73" cm="1">
        <f t="array" ref="C73">traveltime($B22, C$2, $A$1)/3600</f>
        <v>0.71055555555555561</v>
      </c>
      <c r="D73" cm="1">
        <f t="array" ref="D73">traveltime($B22, D$2, $A$1)/3600</f>
        <v>4.5586111111111114</v>
      </c>
      <c r="E73" cm="1">
        <f t="array" ref="E73">traveltime($B22, E$2, $A$1)/3600</f>
        <v>6.3811111111111112</v>
      </c>
      <c r="F73" cm="1">
        <f t="array" ref="F73">traveltime($B22, F$2, $A$1)/3600</f>
        <v>4.4958333333333336</v>
      </c>
      <c r="G73" cm="1">
        <f t="array" ref="G73">traveltime($B22, G$2, $A$1)/3600</f>
        <v>4.9952777777777779</v>
      </c>
      <c r="H73" cm="1">
        <f t="array" ref="H73">traveltime($B22, H$2, $A$1)/3600</f>
        <v>2.3988888888888891</v>
      </c>
      <c r="I73" cm="1">
        <f t="array" ref="I73">traveltime($B22, I$2, $A$1)/3600</f>
        <v>1.2058333333333333</v>
      </c>
      <c r="J73" cm="1">
        <f t="array" ref="J73">traveltime($B22, J$2, $A$1)/3600</f>
        <v>6.7158333333333333</v>
      </c>
      <c r="K73" cm="1">
        <f t="array" ref="K73">traveltime($B22, K$2, $A$1)/3600</f>
        <v>5.0133333333333336</v>
      </c>
      <c r="L73" cm="1">
        <f t="array" ref="L73">traveltime($B22, L$2, $A$1)/3600</f>
        <v>0.66638888888888892</v>
      </c>
      <c r="M73" cm="1">
        <f t="array" ref="M73">traveltime($B22, M$2, $A$1)/3600</f>
        <v>6.6663888888888891</v>
      </c>
      <c r="N73" cm="1">
        <f t="array" ref="N73">traveltime($B22, N$2, $A$1)/3600</f>
        <v>4.5347222222222223</v>
      </c>
      <c r="O73" cm="1">
        <f t="array" ref="O73">traveltime($B22, O$2, $A$1)/3600</f>
        <v>2.9483333333333333</v>
      </c>
      <c r="P73" cm="1">
        <f t="array" ref="P73">traveltime($B22, P$2, $A$1)/3600</f>
        <v>2.2927777777777778</v>
      </c>
      <c r="Q73" cm="1">
        <f t="array" ref="Q73">traveltime($B22, Q$2, $A$1)/3600</f>
        <v>1.0569444444444445</v>
      </c>
      <c r="R73" cm="1">
        <f t="array" ref="R73">traveltime($B22, R$2, $A$1)/3600</f>
        <v>1.5936111111111111</v>
      </c>
      <c r="S73" cm="1">
        <f t="array" ref="S73">traveltime($B22, S$2, $A$1)/3600</f>
        <v>8.0813888888888883</v>
      </c>
      <c r="T73" cm="1">
        <f t="array" ref="T73">traveltime($B22, T$2, $A$1)/3600</f>
        <v>3.3325</v>
      </c>
      <c r="U73" cm="1">
        <f t="array" ref="U73">traveltime($B22, U$2, $A$1)/3600</f>
        <v>2.1472222222222221</v>
      </c>
      <c r="V73" cm="1">
        <f t="array" ref="V73">traveltime($B22, V$2, $A$1)/3600</f>
        <v>0</v>
      </c>
      <c r="W73" cm="1">
        <f t="array" ref="W73">traveltime($B22, W$2, $A$1)/3600</f>
        <v>3.8361111111111112</v>
      </c>
      <c r="X73" cm="1">
        <f t="array" ref="X73">traveltime($B22, X$2, $A$1)/3600</f>
        <v>1.6755555555555555</v>
      </c>
    </row>
    <row r="74" spans="1:24" x14ac:dyDescent="0.3">
      <c r="A74" s="10">
        <v>32.389564499999999</v>
      </c>
      <c r="B74">
        <v>-86.305086900000006</v>
      </c>
      <c r="C74" cm="1">
        <f t="array" ref="C74">traveltime($B23, C$2, $A$1)/3600</f>
        <v>4.4741666666666671</v>
      </c>
      <c r="D74" cm="1">
        <f t="array" ref="D74">traveltime($B23, D$2, $A$1)/3600</f>
        <v>2.9705555555555554</v>
      </c>
      <c r="E74" cm="1">
        <f t="array" ref="E74">traveltime($B23, E$2, $A$1)/3600</f>
        <v>9.7486111111111118</v>
      </c>
      <c r="F74" cm="1">
        <f t="array" ref="F74">traveltime($B23, F$2, $A$1)/3600</f>
        <v>3.5111111111111111</v>
      </c>
      <c r="G74" cm="1">
        <f t="array" ref="G74">traveltime($B23, G$2, $A$1)/3600</f>
        <v>3.9788888888888887</v>
      </c>
      <c r="H74" cm="1">
        <f t="array" ref="H74">traveltime($B23, H$2, $A$1)/3600</f>
        <v>5.6252777777777778</v>
      </c>
      <c r="I74" cm="1">
        <f t="array" ref="I74">traveltime($B23, I$2, $A$1)/3600</f>
        <v>4.5886111111111108</v>
      </c>
      <c r="J74" cm="1">
        <f t="array" ref="J74">traveltime($B23, J$2, $A$1)/3600</f>
        <v>4.5563888888888888</v>
      </c>
      <c r="K74" cm="1">
        <f t="array" ref="K74">traveltime($B23, K$2, $A$1)/3600</f>
        <v>8.3888888888888893</v>
      </c>
      <c r="L74" cm="1">
        <f t="array" ref="L74">traveltime($B23, L$2, $A$1)/3600</f>
        <v>3.1894444444444443</v>
      </c>
      <c r="M74" cm="1">
        <f t="array" ref="M74">traveltime($B23, M$2, $A$1)/3600</f>
        <v>3.9705555555555554</v>
      </c>
      <c r="N74" cm="1">
        <f t="array" ref="N74">traveltime($B23, N$2, $A$1)/3600</f>
        <v>0.94638888888888884</v>
      </c>
      <c r="O74" cm="1">
        <f t="array" ref="O74">traveltime($B23, O$2, $A$1)/3600</f>
        <v>1.2594444444444444</v>
      </c>
      <c r="P74" cm="1">
        <f t="array" ref="P74">traveltime($B23, P$2, $A$1)/3600</f>
        <v>1.7841666666666667</v>
      </c>
      <c r="Q74" cm="1">
        <f t="array" ref="Q74">traveltime($B23, Q$2, $A$1)/3600</f>
        <v>4.5716666666666663</v>
      </c>
      <c r="R74" cm="1">
        <f t="array" ref="R74">traveltime($B23, R$2, $A$1)/3600</f>
        <v>2.319722222222222</v>
      </c>
      <c r="S74" cm="1">
        <f t="array" ref="S74">traveltime($B23, S$2, $A$1)/3600</f>
        <v>11.448888888888888</v>
      </c>
      <c r="T74" cm="1">
        <f t="array" ref="T74">traveltime($B23, T$2, $A$1)/3600</f>
        <v>1.8080555555555555</v>
      </c>
      <c r="U74" cm="1">
        <f t="array" ref="U74">traveltime($B23, U$2, $A$1)/3600</f>
        <v>2.9641666666666668</v>
      </c>
      <c r="V74" cm="1">
        <f t="array" ref="V74">traveltime($B23, V$2, $A$1)/3600</f>
        <v>3.8352777777777778</v>
      </c>
      <c r="W74" cm="1">
        <f t="array" ref="W74">traveltime($B23, W$2, $A$1)/3600</f>
        <v>0</v>
      </c>
      <c r="X74" cm="1">
        <f t="array" ref="X74">traveltime($B23, X$2, $A$1)/3600</f>
        <v>2.3244444444444445</v>
      </c>
    </row>
    <row r="75" spans="1:24" x14ac:dyDescent="0.3">
      <c r="C75" cm="1">
        <f t="array" ref="C75">traveltime($B24, C$2, $A$1)/3600</f>
        <v>2.3391666666666668</v>
      </c>
      <c r="D75" cm="1">
        <f t="array" ref="D75">traveltime($B24, D$2, $A$1)/3600</f>
        <v>3.2086111111111113</v>
      </c>
      <c r="E75" cm="1">
        <f t="array" ref="E75">traveltime($B24, E$2, $A$1)/3600</f>
        <v>7.6980555555555554</v>
      </c>
      <c r="F75" cm="1">
        <f t="array" ref="F75">traveltime($B24, F$2, $A$1)/3600</f>
        <v>3.6672222222222222</v>
      </c>
      <c r="G75" cm="1">
        <f t="array" ref="G75">traveltime($B24, G$2, $A$1)/3600</f>
        <v>4.2233333333333336</v>
      </c>
      <c r="H75" cm="1">
        <f t="array" ref="H75">traveltime($B24, H$2, $A$1)/3600</f>
        <v>3.4505555555555554</v>
      </c>
      <c r="I75" cm="1">
        <f t="array" ref="I75">traveltime($B24, I$2, $A$1)/3600</f>
        <v>2.4138888888888888</v>
      </c>
      <c r="J75" cm="1">
        <f t="array" ref="J75">traveltime($B24, J$2, $A$1)/3600</f>
        <v>5.3733333333333331</v>
      </c>
      <c r="K75" cm="1">
        <f t="array" ref="K75">traveltime($B24, K$2, $A$1)/3600</f>
        <v>6.3302777777777779</v>
      </c>
      <c r="L75" cm="1">
        <f t="array" ref="L75">traveltime($B24, L$2, $A$1)/3600</f>
        <v>1.0544444444444445</v>
      </c>
      <c r="M75" cm="1">
        <f t="array" ref="M75">traveltime($B24, M$2, $A$1)/3600</f>
        <v>5.1716666666666669</v>
      </c>
      <c r="N75" cm="1">
        <f t="array" ref="N75">traveltime($B24, N$2, $A$1)/3600</f>
        <v>3.04</v>
      </c>
      <c r="O75" cm="1">
        <f t="array" ref="O75">traveltime($B24, O$2, $A$1)/3600</f>
        <v>1.4538888888888888</v>
      </c>
      <c r="P75" cm="1">
        <f t="array" ref="P75">traveltime($B24, P$2, $A$1)/3600</f>
        <v>0.79805555555555552</v>
      </c>
      <c r="Q75" cm="1">
        <f t="array" ref="Q75">traveltime($B24, Q$2, $A$1)/3600</f>
        <v>2.4205555555555556</v>
      </c>
      <c r="R75" cm="1">
        <f t="array" ref="R75">traveltime($B24, R$2, $A$1)/3600</f>
        <v>0.11555555555555555</v>
      </c>
      <c r="S75" cm="1">
        <f t="array" ref="S75">traveltime($B24, S$2, $A$1)/3600</f>
        <v>9.3983333333333334</v>
      </c>
      <c r="T75" cm="1">
        <f t="array" ref="T75">traveltime($B24, T$2, $A$1)/3600</f>
        <v>1.8374999999999999</v>
      </c>
      <c r="U75" cm="1">
        <f t="array" ref="U75">traveltime($B24, U$2, $A$1)/3600</f>
        <v>0.78944444444444439</v>
      </c>
      <c r="V75" cm="1">
        <f t="array" ref="V75">traveltime($B24, V$2, $A$1)/3600</f>
        <v>1.7002777777777778</v>
      </c>
      <c r="W75" cm="1">
        <f t="array" ref="W75">traveltime($B24, W$2, $A$1)/3600</f>
        <v>2.341388888888889</v>
      </c>
      <c r="X75" cm="1">
        <f t="array" ref="X75">traveltime($B24, X$2, $A$1)/3600</f>
        <v>0</v>
      </c>
    </row>
    <row r="76" spans="1:24" x14ac:dyDescent="0.3">
      <c r="F76" s="10"/>
    </row>
    <row r="77" spans="1:24" x14ac:dyDescent="0.3">
      <c r="F77" s="10"/>
    </row>
    <row r="78" spans="1:24" x14ac:dyDescent="0.3">
      <c r="F78" s="1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97240-9B85-421B-9CB5-D3B4F5E648C2}">
  <dimension ref="A1:V23"/>
  <sheetViews>
    <sheetView workbookViewId="0">
      <selection activeCell="F16" sqref="F16"/>
    </sheetView>
  </sheetViews>
  <sheetFormatPr defaultRowHeight="14.4" x14ac:dyDescent="0.3"/>
  <sheetData>
    <row r="1" spans="1:22" x14ac:dyDescent="0.3">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3">
      <c r="A2">
        <v>0</v>
      </c>
      <c r="B2">
        <v>5.1930555555555555</v>
      </c>
      <c r="C2">
        <v>5.8733333333333331</v>
      </c>
      <c r="D2">
        <v>5.1302777777777777</v>
      </c>
      <c r="E2">
        <v>5.6297222222222221</v>
      </c>
      <c r="F2">
        <v>1.8911111111111112</v>
      </c>
      <c r="G2">
        <v>0.8880555555555556</v>
      </c>
      <c r="H2">
        <v>7.23</v>
      </c>
      <c r="I2">
        <v>4.5055555555555555</v>
      </c>
      <c r="J2">
        <v>1.2969444444444445</v>
      </c>
      <c r="K2">
        <v>7.2969444444444447</v>
      </c>
      <c r="L2">
        <v>5.1652777777777779</v>
      </c>
      <c r="M2">
        <v>3.5788888888888888</v>
      </c>
      <c r="N2">
        <v>2.9233333333333333</v>
      </c>
      <c r="O2">
        <v>0.63361111111111112</v>
      </c>
      <c r="P2">
        <v>2.2241666666666666</v>
      </c>
      <c r="Q2">
        <v>7.5736111111111111</v>
      </c>
      <c r="R2">
        <v>3.9630555555555556</v>
      </c>
      <c r="S2">
        <v>2.7197222222222224</v>
      </c>
      <c r="T2">
        <v>0.71166666666666667</v>
      </c>
      <c r="U2">
        <v>4.4666666666666668</v>
      </c>
      <c r="V2">
        <v>2.306111111111111</v>
      </c>
    </row>
    <row r="3" spans="1:22" x14ac:dyDescent="0.3">
      <c r="A3">
        <v>5.1830555555555557</v>
      </c>
      <c r="B3">
        <v>0</v>
      </c>
      <c r="C3">
        <v>10.701666666666666</v>
      </c>
      <c r="D3">
        <v>0.6580555555555555</v>
      </c>
      <c r="E3">
        <v>1.2</v>
      </c>
      <c r="F3">
        <v>6.4541666666666666</v>
      </c>
      <c r="G3">
        <v>5.4175000000000004</v>
      </c>
      <c r="H3">
        <v>2.2822222222222224</v>
      </c>
      <c r="I3">
        <v>9.3338888888888896</v>
      </c>
      <c r="J3">
        <v>4.0016666666666669</v>
      </c>
      <c r="K3">
        <v>2.492777777777778</v>
      </c>
      <c r="L3">
        <v>2.0938888888888889</v>
      </c>
      <c r="M3">
        <v>2.3672222222222223</v>
      </c>
      <c r="N3">
        <v>2.4966666666666666</v>
      </c>
      <c r="O3">
        <v>5.0213888888888887</v>
      </c>
      <c r="P3">
        <v>3.1486111111111112</v>
      </c>
      <c r="Q3">
        <v>12.401944444444444</v>
      </c>
      <c r="R3">
        <v>1.3991666666666667</v>
      </c>
      <c r="S3">
        <v>3.7930555555555556</v>
      </c>
      <c r="T3">
        <v>4.5616666666666665</v>
      </c>
      <c r="U3">
        <v>2.9602777777777778</v>
      </c>
      <c r="V3">
        <v>3.1780555555555554</v>
      </c>
    </row>
    <row r="4" spans="1:22" x14ac:dyDescent="0.3">
      <c r="A4">
        <v>5.8491666666666671</v>
      </c>
      <c r="B4">
        <v>10.708055555555555</v>
      </c>
      <c r="C4">
        <v>0</v>
      </c>
      <c r="D4">
        <v>10.799166666666666</v>
      </c>
      <c r="E4">
        <v>11.14861111111111</v>
      </c>
      <c r="F4">
        <v>4.3691666666666666</v>
      </c>
      <c r="G4">
        <v>5.3488888888888892</v>
      </c>
      <c r="H4">
        <v>12.684444444444445</v>
      </c>
      <c r="I4">
        <v>2.8283333333333331</v>
      </c>
      <c r="J4">
        <v>6.9094444444444445</v>
      </c>
      <c r="K4">
        <v>12.565</v>
      </c>
      <c r="L4">
        <v>10.433333333333334</v>
      </c>
      <c r="M4">
        <v>8.6194444444444436</v>
      </c>
      <c r="N4">
        <v>8.2994444444444451</v>
      </c>
      <c r="O4">
        <v>6.0883333333333329</v>
      </c>
      <c r="P4">
        <v>7.6247222222222222</v>
      </c>
      <c r="Q4">
        <v>2.5152777777777779</v>
      </c>
      <c r="R4">
        <v>9.3369444444444447</v>
      </c>
      <c r="S4">
        <v>7.0052777777777777</v>
      </c>
      <c r="T4">
        <v>6.3527777777777779</v>
      </c>
      <c r="U4">
        <v>9.7347222222222225</v>
      </c>
      <c r="V4">
        <v>7.6508333333333329</v>
      </c>
    </row>
    <row r="5" spans="1:22" x14ac:dyDescent="0.3">
      <c r="A5">
        <v>5.1605555555555558</v>
      </c>
      <c r="B5">
        <v>0.61750000000000005</v>
      </c>
      <c r="C5">
        <v>10.863055555555556</v>
      </c>
      <c r="D5">
        <v>0</v>
      </c>
      <c r="E5">
        <v>0.72888888888888892</v>
      </c>
      <c r="F5">
        <v>6.8866666666666667</v>
      </c>
      <c r="G5">
        <v>5.6877777777777778</v>
      </c>
      <c r="H5">
        <v>2.4122222222222223</v>
      </c>
      <c r="I5">
        <v>9.4952777777777779</v>
      </c>
      <c r="J5">
        <v>4.1183333333333332</v>
      </c>
      <c r="K5">
        <v>2.6227777777777779</v>
      </c>
      <c r="L5">
        <v>2.6486111111111112</v>
      </c>
      <c r="M5">
        <v>2.8472222222222223</v>
      </c>
      <c r="N5">
        <v>2.9766666666666666</v>
      </c>
      <c r="O5">
        <v>4.9344444444444449</v>
      </c>
      <c r="P5">
        <v>3.6286111111111112</v>
      </c>
      <c r="Q5">
        <v>12.563333333333333</v>
      </c>
      <c r="R5">
        <v>1.8941666666666668</v>
      </c>
      <c r="S5">
        <v>4.2730555555555556</v>
      </c>
      <c r="T5">
        <v>4.5391666666666666</v>
      </c>
      <c r="U5">
        <v>3.5150000000000001</v>
      </c>
      <c r="V5">
        <v>3.6580555555555554</v>
      </c>
    </row>
    <row r="6" spans="1:22" x14ac:dyDescent="0.3">
      <c r="A6">
        <v>5.6613888888888892</v>
      </c>
      <c r="B6">
        <v>1.1719444444444445</v>
      </c>
      <c r="C6">
        <v>11.192500000000001</v>
      </c>
      <c r="D6">
        <v>0.73638888888888887</v>
      </c>
      <c r="E6">
        <v>0</v>
      </c>
      <c r="F6">
        <v>7.2102777777777778</v>
      </c>
      <c r="G6">
        <v>6.1886111111111113</v>
      </c>
      <c r="H6">
        <v>1.8833333333333333</v>
      </c>
      <c r="I6">
        <v>9.8247222222222224</v>
      </c>
      <c r="J6">
        <v>4.6191666666666666</v>
      </c>
      <c r="K6">
        <v>2.0938888888888889</v>
      </c>
      <c r="L6">
        <v>3.1361111111111111</v>
      </c>
      <c r="M6">
        <v>3.4761111111111109</v>
      </c>
      <c r="N6">
        <v>3.6055555555555556</v>
      </c>
      <c r="O6">
        <v>5.1697222222222221</v>
      </c>
      <c r="P6">
        <v>4.1816666666666666</v>
      </c>
      <c r="Q6">
        <v>12.892777777777777</v>
      </c>
      <c r="R6">
        <v>2.5080555555555555</v>
      </c>
      <c r="S6">
        <v>4.8261111111111115</v>
      </c>
      <c r="T6">
        <v>5.04</v>
      </c>
      <c r="U6">
        <v>3.9616666666666664</v>
      </c>
      <c r="V6">
        <v>4.2225000000000001</v>
      </c>
    </row>
    <row r="7" spans="1:22" x14ac:dyDescent="0.3">
      <c r="A7">
        <v>1.9172222222222222</v>
      </c>
      <c r="B7">
        <v>6.4877777777777776</v>
      </c>
      <c r="C7">
        <v>4.4241666666666664</v>
      </c>
      <c r="D7">
        <v>6.8780555555555551</v>
      </c>
      <c r="E7">
        <v>7.2166666666666668</v>
      </c>
      <c r="F7">
        <v>0</v>
      </c>
      <c r="G7">
        <v>1.4169444444444443</v>
      </c>
      <c r="H7">
        <v>8.6524999999999999</v>
      </c>
      <c r="I7">
        <v>3.0566666666666666</v>
      </c>
      <c r="J7">
        <v>2.8586111111111112</v>
      </c>
      <c r="K7">
        <v>8.4527777777777775</v>
      </c>
      <c r="L7">
        <v>6.3211111111111107</v>
      </c>
      <c r="M7">
        <v>4.7347222222222225</v>
      </c>
      <c r="N7">
        <v>4.0791666666666666</v>
      </c>
      <c r="O7">
        <v>2.1563888888888889</v>
      </c>
      <c r="P7">
        <v>3.3488888888888888</v>
      </c>
      <c r="Q7">
        <v>6.1244444444444444</v>
      </c>
      <c r="R7">
        <v>5.1166666666666663</v>
      </c>
      <c r="S7">
        <v>3.0963888888888889</v>
      </c>
      <c r="T7">
        <v>2.4208333333333334</v>
      </c>
      <c r="U7">
        <v>5.6224999999999996</v>
      </c>
      <c r="V7">
        <v>3.4305555555555554</v>
      </c>
    </row>
    <row r="8" spans="1:22" x14ac:dyDescent="0.3">
      <c r="A8">
        <v>0.88194444444444442</v>
      </c>
      <c r="B8">
        <v>5.4716666666666667</v>
      </c>
      <c r="C8">
        <v>5.3952777777777774</v>
      </c>
      <c r="D8">
        <v>5.6511111111111108</v>
      </c>
      <c r="E8">
        <v>6.150555555555556</v>
      </c>
      <c r="F8">
        <v>1.4130555555555555</v>
      </c>
      <c r="G8">
        <v>0</v>
      </c>
      <c r="H8">
        <v>7.6363888888888889</v>
      </c>
      <c r="I8">
        <v>4.0274999999999999</v>
      </c>
      <c r="J8">
        <v>1.6263888888888889</v>
      </c>
      <c r="K8">
        <v>7.4366666666666665</v>
      </c>
      <c r="L8">
        <v>5.3049999999999997</v>
      </c>
      <c r="M8">
        <v>3.7186111111111111</v>
      </c>
      <c r="N8">
        <v>3.0630555555555556</v>
      </c>
      <c r="O8">
        <v>1.2741666666666667</v>
      </c>
      <c r="P8">
        <v>2.3327777777777778</v>
      </c>
      <c r="Q8">
        <v>7.0955555555555554</v>
      </c>
      <c r="R8">
        <v>4.1005555555555553</v>
      </c>
      <c r="S8">
        <v>2.5569444444444445</v>
      </c>
      <c r="T8">
        <v>1.2047222222222222</v>
      </c>
      <c r="U8">
        <v>4.6063888888888886</v>
      </c>
      <c r="V8">
        <v>2.4144444444444444</v>
      </c>
    </row>
    <row r="9" spans="1:22" x14ac:dyDescent="0.3">
      <c r="A9">
        <v>7.2483333333333331</v>
      </c>
      <c r="B9">
        <v>2.256388888888889</v>
      </c>
      <c r="C9">
        <v>12.72638888888889</v>
      </c>
      <c r="D9">
        <v>2.4091666666666667</v>
      </c>
      <c r="E9">
        <v>1.8605555555555555</v>
      </c>
      <c r="F9">
        <v>8.6394444444444449</v>
      </c>
      <c r="G9">
        <v>7.6027777777777779</v>
      </c>
      <c r="H9">
        <v>0</v>
      </c>
      <c r="I9">
        <v>11.358611111111111</v>
      </c>
      <c r="J9">
        <v>6.1869444444444444</v>
      </c>
      <c r="K9">
        <v>0.69166666666666665</v>
      </c>
      <c r="L9">
        <v>3.7152777777777777</v>
      </c>
      <c r="M9">
        <v>4.5525000000000002</v>
      </c>
      <c r="N9">
        <v>4.6819444444444445</v>
      </c>
      <c r="O9">
        <v>6.703611111111111</v>
      </c>
      <c r="P9">
        <v>5.3338888888888887</v>
      </c>
      <c r="Q9">
        <v>14.426666666666666</v>
      </c>
      <c r="R9">
        <v>3.5847222222222221</v>
      </c>
      <c r="S9">
        <v>5.9783333333333335</v>
      </c>
      <c r="T9">
        <v>6.7472222222222218</v>
      </c>
      <c r="U9">
        <v>4.5408333333333335</v>
      </c>
      <c r="V9">
        <v>5.3633333333333333</v>
      </c>
    </row>
    <row r="10" spans="1:22" x14ac:dyDescent="0.3">
      <c r="A10">
        <v>4.5247222222222225</v>
      </c>
      <c r="B10">
        <v>9.3888888888888893</v>
      </c>
      <c r="C10">
        <v>2.8891666666666667</v>
      </c>
      <c r="D10">
        <v>9.4747222222222227</v>
      </c>
      <c r="E10">
        <v>9.8244444444444436</v>
      </c>
      <c r="F10">
        <v>3.0447222222222221</v>
      </c>
      <c r="G10">
        <v>4.0244444444444447</v>
      </c>
      <c r="H10">
        <v>11.360277777777778</v>
      </c>
      <c r="I10">
        <v>0</v>
      </c>
      <c r="J10">
        <v>5.585</v>
      </c>
      <c r="K10">
        <v>11.245833333333334</v>
      </c>
      <c r="L10">
        <v>9.1141666666666659</v>
      </c>
      <c r="M10">
        <v>7.3002777777777776</v>
      </c>
      <c r="N10">
        <v>6.9802777777777774</v>
      </c>
      <c r="O10">
        <v>4.7638888888888893</v>
      </c>
      <c r="P10">
        <v>6.3002777777777776</v>
      </c>
      <c r="Q10">
        <v>4.0666666666666664</v>
      </c>
      <c r="R10">
        <v>8.017777777777777</v>
      </c>
      <c r="S10">
        <v>5.6861111111111109</v>
      </c>
      <c r="T10">
        <v>5.0283333333333333</v>
      </c>
      <c r="U10">
        <v>8.4155555555555548</v>
      </c>
      <c r="V10">
        <v>6.331666666666667</v>
      </c>
    </row>
    <row r="11" spans="1:22" x14ac:dyDescent="0.3">
      <c r="A11">
        <v>1.2938888888888889</v>
      </c>
      <c r="B11">
        <v>4.048055555555556</v>
      </c>
      <c r="C11">
        <v>6.9280555555555559</v>
      </c>
      <c r="D11">
        <v>4.1097222222222225</v>
      </c>
      <c r="E11">
        <v>4.6091666666666669</v>
      </c>
      <c r="F11">
        <v>2.8866666666666667</v>
      </c>
      <c r="G11">
        <v>1.5988888888888888</v>
      </c>
      <c r="H11">
        <v>6.2127777777777782</v>
      </c>
      <c r="I11">
        <v>5.5602777777777774</v>
      </c>
      <c r="J11">
        <v>0</v>
      </c>
      <c r="K11">
        <v>6.0108333333333333</v>
      </c>
      <c r="L11">
        <v>3.8791666666666669</v>
      </c>
      <c r="M11">
        <v>2.2927777777777778</v>
      </c>
      <c r="N11">
        <v>1.6372222222222221</v>
      </c>
      <c r="O11">
        <v>1.6672222222222222</v>
      </c>
      <c r="P11">
        <v>0.93805555555555553</v>
      </c>
      <c r="Q11">
        <v>8.6283333333333339</v>
      </c>
      <c r="R11">
        <v>2.6769444444444446</v>
      </c>
      <c r="S11">
        <v>1.6236111111111111</v>
      </c>
      <c r="T11">
        <v>0.65500000000000003</v>
      </c>
      <c r="U11">
        <v>3.1805555555555554</v>
      </c>
      <c r="V11">
        <v>1.02</v>
      </c>
    </row>
    <row r="12" spans="1:22" x14ac:dyDescent="0.3">
      <c r="A12">
        <v>7.2983333333333329</v>
      </c>
      <c r="B12">
        <v>2.4661111111111111</v>
      </c>
      <c r="C12">
        <v>12.572777777777778</v>
      </c>
      <c r="D12">
        <v>2.6188888888888888</v>
      </c>
      <c r="E12">
        <v>2.0702777777777777</v>
      </c>
      <c r="F12">
        <v>8.4494444444444436</v>
      </c>
      <c r="G12">
        <v>7.4127777777777775</v>
      </c>
      <c r="H12">
        <v>0.68055555555555558</v>
      </c>
      <c r="I12">
        <v>11.213055555555556</v>
      </c>
      <c r="J12">
        <v>6.0136111111111115</v>
      </c>
      <c r="K12">
        <v>0</v>
      </c>
      <c r="L12">
        <v>3.1294444444444443</v>
      </c>
      <c r="M12">
        <v>4.0836111111111109</v>
      </c>
      <c r="N12">
        <v>4.6083333333333334</v>
      </c>
      <c r="O12">
        <v>7.2219444444444445</v>
      </c>
      <c r="P12">
        <v>5.1438888888888892</v>
      </c>
      <c r="Q12">
        <v>14.273055555555555</v>
      </c>
      <c r="R12">
        <v>3.7944444444444443</v>
      </c>
      <c r="S12">
        <v>5.7883333333333331</v>
      </c>
      <c r="T12">
        <v>6.6594444444444445</v>
      </c>
      <c r="U12">
        <v>3.9550000000000001</v>
      </c>
      <c r="V12">
        <v>5.1486111111111112</v>
      </c>
    </row>
    <row r="13" spans="1:22" x14ac:dyDescent="0.3">
      <c r="A13">
        <v>5.150555555555556</v>
      </c>
      <c r="B13">
        <v>2.0811111111111109</v>
      </c>
      <c r="C13">
        <v>10.425000000000001</v>
      </c>
      <c r="D13">
        <v>2.6219444444444444</v>
      </c>
      <c r="E13">
        <v>3.1361111111111111</v>
      </c>
      <c r="F13">
        <v>6.3016666666666667</v>
      </c>
      <c r="G13">
        <v>5.2649999999999997</v>
      </c>
      <c r="H13">
        <v>3.7136111111111112</v>
      </c>
      <c r="I13">
        <v>9.0652777777777782</v>
      </c>
      <c r="J13">
        <v>3.8658333333333332</v>
      </c>
      <c r="K13">
        <v>3.1277777777777778</v>
      </c>
      <c r="L13">
        <v>0</v>
      </c>
      <c r="M13">
        <v>1.9358333333333333</v>
      </c>
      <c r="N13">
        <v>2.4605555555555556</v>
      </c>
      <c r="O13">
        <v>5.2480555555555553</v>
      </c>
      <c r="P13">
        <v>2.9961111111111109</v>
      </c>
      <c r="Q13">
        <v>12.125277777777777</v>
      </c>
      <c r="R13">
        <v>1.9977777777777779</v>
      </c>
      <c r="S13">
        <v>3.6405555555555558</v>
      </c>
      <c r="T13">
        <v>4.5116666666666667</v>
      </c>
      <c r="U13">
        <v>0.92638888888888893</v>
      </c>
      <c r="V13">
        <v>3.0008333333333335</v>
      </c>
    </row>
    <row r="14" spans="1:22" x14ac:dyDescent="0.3">
      <c r="A14">
        <v>3.5880555555555556</v>
      </c>
      <c r="B14">
        <v>2.3930555555555557</v>
      </c>
      <c r="C14">
        <v>8.6433333333333326</v>
      </c>
      <c r="D14">
        <v>2.8516666666666666</v>
      </c>
      <c r="E14">
        <v>3.4755555555555557</v>
      </c>
      <c r="F14">
        <v>4.7391666666666667</v>
      </c>
      <c r="G14">
        <v>3.7025000000000001</v>
      </c>
      <c r="H14">
        <v>4.5577777777777779</v>
      </c>
      <c r="I14">
        <v>7.283611111111111</v>
      </c>
      <c r="J14">
        <v>2.3033333333333332</v>
      </c>
      <c r="K14">
        <v>4.0966666666666667</v>
      </c>
      <c r="L14">
        <v>1.9650000000000001</v>
      </c>
      <c r="M14">
        <v>0</v>
      </c>
      <c r="N14">
        <v>0.89805555555555561</v>
      </c>
      <c r="O14">
        <v>3.6855555555555557</v>
      </c>
      <c r="P14">
        <v>1.4336111111111112</v>
      </c>
      <c r="Q14">
        <v>10.343611111111111</v>
      </c>
      <c r="R14">
        <v>1.033611111111111</v>
      </c>
      <c r="S14">
        <v>2.0780555555555558</v>
      </c>
      <c r="T14">
        <v>2.9491666666666667</v>
      </c>
      <c r="U14">
        <v>1.2663888888888888</v>
      </c>
      <c r="V14">
        <v>1.4386111111111111</v>
      </c>
    </row>
    <row r="15" spans="1:22" x14ac:dyDescent="0.3">
      <c r="A15">
        <v>2.9219444444444442</v>
      </c>
      <c r="B15">
        <v>2.5283333333333333</v>
      </c>
      <c r="C15">
        <v>8.3205555555555559</v>
      </c>
      <c r="D15">
        <v>2.9869444444444446</v>
      </c>
      <c r="E15">
        <v>3.6108333333333333</v>
      </c>
      <c r="F15">
        <v>4.0730555555555554</v>
      </c>
      <c r="G15">
        <v>3.0363888888888888</v>
      </c>
      <c r="H15">
        <v>4.6930555555555555</v>
      </c>
      <c r="I15">
        <v>6.9527777777777775</v>
      </c>
      <c r="J15">
        <v>1.6372222222222221</v>
      </c>
      <c r="K15">
        <v>4.6161111111111115</v>
      </c>
      <c r="L15">
        <v>2.4844444444444442</v>
      </c>
      <c r="M15">
        <v>0.89805555555555561</v>
      </c>
      <c r="N15">
        <v>0</v>
      </c>
      <c r="O15">
        <v>3.0194444444444444</v>
      </c>
      <c r="P15">
        <v>0.76749999999999996</v>
      </c>
      <c r="Q15">
        <v>10.020833333333334</v>
      </c>
      <c r="R15">
        <v>1.1572222222222222</v>
      </c>
      <c r="S15">
        <v>1.4119444444444444</v>
      </c>
      <c r="T15">
        <v>2.2830555555555554</v>
      </c>
      <c r="U15">
        <v>1.7858333333333334</v>
      </c>
      <c r="V15">
        <v>0.77222222222222225</v>
      </c>
    </row>
    <row r="16" spans="1:22" x14ac:dyDescent="0.3">
      <c r="A16">
        <v>0.61638888888888888</v>
      </c>
      <c r="B16">
        <v>5.0269444444444442</v>
      </c>
      <c r="C16">
        <v>6.0941666666666663</v>
      </c>
      <c r="D16">
        <v>4.884722222222222</v>
      </c>
      <c r="E16">
        <v>5.1547222222222224</v>
      </c>
      <c r="F16">
        <v>2.1119444444444446</v>
      </c>
      <c r="G16">
        <v>1.2452777777777777</v>
      </c>
      <c r="H16">
        <v>6.6905555555555551</v>
      </c>
      <c r="I16">
        <v>4.7263888888888888</v>
      </c>
      <c r="J16">
        <v>1.6352777777777778</v>
      </c>
      <c r="K16">
        <v>7.2191666666666663</v>
      </c>
      <c r="L16">
        <v>5.2497222222222222</v>
      </c>
      <c r="M16">
        <v>3.6636111111111109</v>
      </c>
      <c r="N16">
        <v>3.0077777777777777</v>
      </c>
      <c r="O16">
        <v>0</v>
      </c>
      <c r="P16">
        <v>2.35</v>
      </c>
      <c r="Q16">
        <v>7.7944444444444443</v>
      </c>
      <c r="R16">
        <v>4.0516666666666667</v>
      </c>
      <c r="S16">
        <v>2.9944444444444445</v>
      </c>
      <c r="T16">
        <v>1.0297222222222222</v>
      </c>
      <c r="U16">
        <v>4.5511111111111111</v>
      </c>
      <c r="V16">
        <v>2.3908333333333331</v>
      </c>
    </row>
    <row r="17" spans="1:22" x14ac:dyDescent="0.3">
      <c r="A17">
        <v>2.223611111111111</v>
      </c>
      <c r="B17">
        <v>3.1888888888888891</v>
      </c>
      <c r="C17">
        <v>7.6116666666666664</v>
      </c>
      <c r="D17">
        <v>3.6475</v>
      </c>
      <c r="E17">
        <v>4.1836111111111114</v>
      </c>
      <c r="F17">
        <v>3.3641666666666667</v>
      </c>
      <c r="G17">
        <v>2.3275000000000001</v>
      </c>
      <c r="H17">
        <v>5.3536111111111113</v>
      </c>
      <c r="I17">
        <v>6.2438888888888888</v>
      </c>
      <c r="J17">
        <v>0.93888888888888888</v>
      </c>
      <c r="K17">
        <v>5.153888888888889</v>
      </c>
      <c r="L17">
        <v>3.0222222222222221</v>
      </c>
      <c r="M17">
        <v>1.4358333333333333</v>
      </c>
      <c r="N17">
        <v>0.78027777777777774</v>
      </c>
      <c r="O17">
        <v>2.3805555555555555</v>
      </c>
      <c r="P17">
        <v>0</v>
      </c>
      <c r="Q17">
        <v>9.3119444444444444</v>
      </c>
      <c r="R17">
        <v>1.8177777777777777</v>
      </c>
      <c r="S17">
        <v>0.70305555555555554</v>
      </c>
      <c r="T17">
        <v>1.5847222222222221</v>
      </c>
      <c r="U17">
        <v>2.3236111111111111</v>
      </c>
      <c r="V17">
        <v>0.1125</v>
      </c>
    </row>
    <row r="18" spans="1:22" x14ac:dyDescent="0.3">
      <c r="A18">
        <v>7.58</v>
      </c>
      <c r="B18">
        <v>12.438888888888888</v>
      </c>
      <c r="C18">
        <v>2.5302777777777776</v>
      </c>
      <c r="D18">
        <v>12.53</v>
      </c>
      <c r="E18">
        <v>12.879444444444445</v>
      </c>
      <c r="F18">
        <v>6.1</v>
      </c>
      <c r="G18">
        <v>7.0797222222222222</v>
      </c>
      <c r="H18">
        <v>14.415277777777778</v>
      </c>
      <c r="I18">
        <v>4.0361111111111114</v>
      </c>
      <c r="J18">
        <v>8.6402777777777775</v>
      </c>
      <c r="K18">
        <v>14.295833333333333</v>
      </c>
      <c r="L18">
        <v>12.164166666666667</v>
      </c>
      <c r="M18">
        <v>10.350277777777778</v>
      </c>
      <c r="N18">
        <v>10.030277777777778</v>
      </c>
      <c r="O18">
        <v>7.8191666666666668</v>
      </c>
      <c r="P18">
        <v>9.3555555555555561</v>
      </c>
      <c r="Q18">
        <v>0</v>
      </c>
      <c r="R18">
        <v>11.067777777777778</v>
      </c>
      <c r="S18">
        <v>8.7361111111111107</v>
      </c>
      <c r="T18">
        <v>8.0836111111111109</v>
      </c>
      <c r="U18">
        <v>11.465555555555556</v>
      </c>
      <c r="V18">
        <v>9.3816666666666659</v>
      </c>
    </row>
    <row r="19" spans="1:22" x14ac:dyDescent="0.3">
      <c r="A19">
        <v>3.9522222222222223</v>
      </c>
      <c r="B19">
        <v>1.4444444444444444</v>
      </c>
      <c r="C19">
        <v>9.3674999999999997</v>
      </c>
      <c r="D19">
        <v>1.8997222222222223</v>
      </c>
      <c r="E19">
        <v>2.5266666666666668</v>
      </c>
      <c r="F19">
        <v>5.12</v>
      </c>
      <c r="G19">
        <v>4.083333333333333</v>
      </c>
      <c r="H19">
        <v>3.6091666666666669</v>
      </c>
      <c r="I19">
        <v>7.9997222222222222</v>
      </c>
      <c r="J19">
        <v>2.6675</v>
      </c>
      <c r="K19">
        <v>3.819722222222222</v>
      </c>
      <c r="L19">
        <v>2.0024999999999999</v>
      </c>
      <c r="M19">
        <v>1.0513888888888889</v>
      </c>
      <c r="N19">
        <v>1.1625000000000001</v>
      </c>
      <c r="O19">
        <v>4.0588888888888892</v>
      </c>
      <c r="P19">
        <v>1.8144444444444445</v>
      </c>
      <c r="Q19">
        <v>11.067777777777778</v>
      </c>
      <c r="R19">
        <v>0</v>
      </c>
      <c r="S19">
        <v>2.4588888888888887</v>
      </c>
      <c r="T19">
        <v>3.3133333333333335</v>
      </c>
      <c r="U19">
        <v>1.8294444444444444</v>
      </c>
      <c r="V19">
        <v>1.8438888888888889</v>
      </c>
    </row>
    <row r="20" spans="1:22" x14ac:dyDescent="0.3">
      <c r="A20">
        <v>2.7394444444444446</v>
      </c>
      <c r="B20">
        <v>3.8233333333333333</v>
      </c>
      <c r="C20">
        <v>7.0158333333333331</v>
      </c>
      <c r="D20">
        <v>4.2819444444444441</v>
      </c>
      <c r="E20">
        <v>4.8180555555555555</v>
      </c>
      <c r="F20">
        <v>3.0919444444444446</v>
      </c>
      <c r="G20">
        <v>2.5655555555555556</v>
      </c>
      <c r="H20">
        <v>5.9880555555555555</v>
      </c>
      <c r="I20">
        <v>5.6561111111111115</v>
      </c>
      <c r="J20">
        <v>1.6327777777777779</v>
      </c>
      <c r="K20">
        <v>5.7883333333333331</v>
      </c>
      <c r="L20">
        <v>3.6566666666666667</v>
      </c>
      <c r="M20">
        <v>2.0702777777777777</v>
      </c>
      <c r="N20">
        <v>1.4147222222222222</v>
      </c>
      <c r="O20">
        <v>3.0150000000000001</v>
      </c>
      <c r="P20">
        <v>0.70944444444444443</v>
      </c>
      <c r="Q20">
        <v>8.7161111111111111</v>
      </c>
      <c r="R20">
        <v>2.4522222222222223</v>
      </c>
      <c r="S20">
        <v>0</v>
      </c>
      <c r="T20">
        <v>2.1555555555555554</v>
      </c>
      <c r="U20">
        <v>2.9580555555555557</v>
      </c>
      <c r="V20">
        <v>0.76583333333333337</v>
      </c>
    </row>
    <row r="21" spans="1:22" x14ac:dyDescent="0.3">
      <c r="A21">
        <v>0.71055555555555561</v>
      </c>
      <c r="B21">
        <v>4.5586111111111114</v>
      </c>
      <c r="C21">
        <v>6.3811111111111112</v>
      </c>
      <c r="D21">
        <v>4.4958333333333336</v>
      </c>
      <c r="E21">
        <v>4.9952777777777779</v>
      </c>
      <c r="F21">
        <v>2.3988888888888891</v>
      </c>
      <c r="G21">
        <v>1.2058333333333333</v>
      </c>
      <c r="H21">
        <v>6.7158333333333333</v>
      </c>
      <c r="I21">
        <v>5.0133333333333336</v>
      </c>
      <c r="J21">
        <v>0.66638888888888892</v>
      </c>
      <c r="K21">
        <v>6.6663888888888891</v>
      </c>
      <c r="L21">
        <v>4.5347222222222223</v>
      </c>
      <c r="M21">
        <v>2.9483333333333333</v>
      </c>
      <c r="N21">
        <v>2.2927777777777778</v>
      </c>
      <c r="O21">
        <v>1.0569444444444445</v>
      </c>
      <c r="P21">
        <v>1.5936111111111111</v>
      </c>
      <c r="Q21">
        <v>8.0813888888888883</v>
      </c>
      <c r="R21">
        <v>3.3325</v>
      </c>
      <c r="S21">
        <v>2.1472222222222221</v>
      </c>
      <c r="T21">
        <v>0</v>
      </c>
      <c r="U21">
        <v>3.8361111111111112</v>
      </c>
      <c r="V21">
        <v>1.6755555555555555</v>
      </c>
    </row>
    <row r="22" spans="1:22" x14ac:dyDescent="0.3">
      <c r="A22">
        <v>4.4741666666666671</v>
      </c>
      <c r="B22">
        <v>2.9705555555555554</v>
      </c>
      <c r="C22">
        <v>9.7486111111111118</v>
      </c>
      <c r="D22">
        <v>3.5111111111111111</v>
      </c>
      <c r="E22">
        <v>3.9788888888888887</v>
      </c>
      <c r="F22">
        <v>5.6252777777777778</v>
      </c>
      <c r="G22">
        <v>4.5886111111111108</v>
      </c>
      <c r="H22">
        <v>4.5563888888888888</v>
      </c>
      <c r="I22">
        <v>8.3888888888888893</v>
      </c>
      <c r="J22">
        <v>3.1894444444444443</v>
      </c>
      <c r="K22">
        <v>3.9705555555555554</v>
      </c>
      <c r="L22">
        <v>0.94638888888888884</v>
      </c>
      <c r="M22">
        <v>1.2594444444444444</v>
      </c>
      <c r="N22">
        <v>1.7841666666666667</v>
      </c>
      <c r="O22">
        <v>4.5716666666666663</v>
      </c>
      <c r="P22">
        <v>2.319722222222222</v>
      </c>
      <c r="Q22">
        <v>11.448888888888888</v>
      </c>
      <c r="R22">
        <v>1.8080555555555555</v>
      </c>
      <c r="S22">
        <v>2.9641666666666668</v>
      </c>
      <c r="T22">
        <v>3.8352777777777778</v>
      </c>
      <c r="U22">
        <v>0</v>
      </c>
      <c r="V22">
        <v>2.3244444444444445</v>
      </c>
    </row>
    <row r="23" spans="1:22" x14ac:dyDescent="0.3">
      <c r="A23">
        <v>2.3391666666666668</v>
      </c>
      <c r="B23">
        <v>3.2086111111111113</v>
      </c>
      <c r="C23">
        <v>7.6980555555555554</v>
      </c>
      <c r="D23">
        <v>3.6672222222222222</v>
      </c>
      <c r="E23">
        <v>4.2233333333333336</v>
      </c>
      <c r="F23">
        <v>3.4505555555555554</v>
      </c>
      <c r="G23">
        <v>2.4138888888888888</v>
      </c>
      <c r="H23">
        <v>5.3733333333333331</v>
      </c>
      <c r="I23">
        <v>6.3302777777777779</v>
      </c>
      <c r="J23">
        <v>1.0544444444444445</v>
      </c>
      <c r="K23">
        <v>5.1716666666666669</v>
      </c>
      <c r="L23">
        <v>3.04</v>
      </c>
      <c r="M23">
        <v>1.4538888888888888</v>
      </c>
      <c r="N23">
        <v>0.79805555555555552</v>
      </c>
      <c r="O23">
        <v>2.4205555555555556</v>
      </c>
      <c r="P23">
        <v>0.11555555555555555</v>
      </c>
      <c r="Q23">
        <v>9.3983333333333334</v>
      </c>
      <c r="R23">
        <v>1.8374999999999999</v>
      </c>
      <c r="S23">
        <v>0.78944444444444439</v>
      </c>
      <c r="T23">
        <v>1.7002777777777778</v>
      </c>
      <c r="U23">
        <v>2.341388888888889</v>
      </c>
      <c r="V23">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DC100-4EB1-4209-A3CE-325F51F15B2C}">
  <sheetPr codeName="Sheet3"/>
  <dimension ref="A1:J231"/>
  <sheetViews>
    <sheetView workbookViewId="0">
      <selection activeCell="P17" sqref="P17"/>
    </sheetView>
  </sheetViews>
  <sheetFormatPr defaultRowHeight="14.4" x14ac:dyDescent="0.3"/>
  <sheetData>
    <row r="1" spans="1:10" x14ac:dyDescent="0.3">
      <c r="A1">
        <v>2.7079</v>
      </c>
      <c r="G1">
        <v>0</v>
      </c>
      <c r="J1" t="s">
        <v>16171</v>
      </c>
    </row>
    <row r="2" spans="1:10" x14ac:dyDescent="0.3">
      <c r="A2">
        <v>6.3402000000000003</v>
      </c>
      <c r="G2">
        <v>0</v>
      </c>
      <c r="J2" t="s">
        <v>16172</v>
      </c>
    </row>
    <row r="3" spans="1:10" x14ac:dyDescent="0.3">
      <c r="A3">
        <v>2.8445</v>
      </c>
      <c r="G3">
        <v>0</v>
      </c>
      <c r="J3" t="s">
        <v>16173</v>
      </c>
    </row>
    <row r="4" spans="1:10" x14ac:dyDescent="0.3">
      <c r="A4">
        <v>3.3527</v>
      </c>
      <c r="G4">
        <v>0</v>
      </c>
      <c r="J4" t="s">
        <v>16174</v>
      </c>
    </row>
    <row r="5" spans="1:10" x14ac:dyDescent="0.3">
      <c r="A5">
        <v>2.5821000000000001</v>
      </c>
      <c r="G5">
        <v>0</v>
      </c>
      <c r="J5" t="s">
        <v>16175</v>
      </c>
    </row>
    <row r="6" spans="1:10" x14ac:dyDescent="0.3">
      <c r="A6">
        <v>1.6416999999999999</v>
      </c>
      <c r="G6">
        <v>0</v>
      </c>
      <c r="J6" t="s">
        <v>16176</v>
      </c>
    </row>
    <row r="7" spans="1:10" x14ac:dyDescent="0.3">
      <c r="A7">
        <v>4.6226000000000003</v>
      </c>
      <c r="G7">
        <v>0</v>
      </c>
      <c r="J7" t="s">
        <v>16177</v>
      </c>
    </row>
    <row r="8" spans="1:10" x14ac:dyDescent="0.3">
      <c r="A8">
        <v>5.3319999999999999</v>
      </c>
      <c r="G8">
        <v>0</v>
      </c>
      <c r="J8" t="s">
        <v>16178</v>
      </c>
    </row>
    <row r="9" spans="1:10" x14ac:dyDescent="0.3">
      <c r="A9">
        <v>0.67679999999999996</v>
      </c>
      <c r="G9">
        <v>0</v>
      </c>
      <c r="J9" t="s">
        <v>16179</v>
      </c>
    </row>
    <row r="10" spans="1:10" x14ac:dyDescent="0.3">
      <c r="A10">
        <v>4.6341999999999999</v>
      </c>
      <c r="G10">
        <v>0</v>
      </c>
      <c r="J10" t="s">
        <v>16180</v>
      </c>
    </row>
    <row r="11" spans="1:10" x14ac:dyDescent="0.3">
      <c r="A11">
        <v>2.532</v>
      </c>
      <c r="G11">
        <v>0</v>
      </c>
      <c r="J11" t="s">
        <v>16181</v>
      </c>
    </row>
    <row r="12" spans="1:10" x14ac:dyDescent="0.3">
      <c r="A12">
        <v>1.2375</v>
      </c>
      <c r="G12">
        <v>0</v>
      </c>
      <c r="J12" t="s">
        <v>16182</v>
      </c>
    </row>
    <row r="13" spans="1:10" x14ac:dyDescent="0.3">
      <c r="A13">
        <v>0.65490000000000004</v>
      </c>
      <c r="G13">
        <v>1</v>
      </c>
      <c r="J13" t="s">
        <v>16183</v>
      </c>
    </row>
    <row r="14" spans="1:10" x14ac:dyDescent="0.3">
      <c r="A14">
        <v>1.6884999999999999</v>
      </c>
      <c r="G14">
        <v>0</v>
      </c>
      <c r="J14" t="s">
        <v>16184</v>
      </c>
    </row>
    <row r="15" spans="1:10" x14ac:dyDescent="0.3">
      <c r="A15">
        <v>2.8199999999999999E-2</v>
      </c>
      <c r="G15">
        <v>1</v>
      </c>
      <c r="J15" t="s">
        <v>16185</v>
      </c>
    </row>
    <row r="16" spans="1:10" x14ac:dyDescent="0.3">
      <c r="A16">
        <v>8.3493999999999993</v>
      </c>
      <c r="G16">
        <v>0</v>
      </c>
      <c r="J16" t="s">
        <v>16186</v>
      </c>
    </row>
    <row r="17" spans="1:10" x14ac:dyDescent="0.3">
      <c r="A17">
        <v>1.4771000000000001</v>
      </c>
      <c r="G17">
        <v>0</v>
      </c>
      <c r="J17" t="s">
        <v>16187</v>
      </c>
    </row>
    <row r="18" spans="1:10" x14ac:dyDescent="0.3">
      <c r="A18">
        <v>0.75129999999999997</v>
      </c>
      <c r="G18">
        <v>0</v>
      </c>
      <c r="J18" t="s">
        <v>16188</v>
      </c>
    </row>
    <row r="19" spans="1:10" x14ac:dyDescent="0.3">
      <c r="A19">
        <v>1.1214</v>
      </c>
      <c r="G19">
        <v>0</v>
      </c>
      <c r="J19" t="s">
        <v>16189</v>
      </c>
    </row>
    <row r="20" spans="1:10" x14ac:dyDescent="0.3">
      <c r="A20">
        <v>2.1395</v>
      </c>
      <c r="G20">
        <v>0</v>
      </c>
      <c r="J20" t="s">
        <v>16190</v>
      </c>
    </row>
    <row r="21" spans="1:10" x14ac:dyDescent="0.3">
      <c r="A21">
        <v>8.9436</v>
      </c>
      <c r="G21">
        <v>0</v>
      </c>
      <c r="J21" t="s">
        <v>16191</v>
      </c>
    </row>
    <row r="22" spans="1:10" ht="15.6" x14ac:dyDescent="0.3">
      <c r="A22">
        <v>0.43480000000000002</v>
      </c>
      <c r="G22">
        <v>0</v>
      </c>
      <c r="J22" s="12" t="s">
        <v>16193</v>
      </c>
    </row>
    <row r="23" spans="1:10" x14ac:dyDescent="0.3">
      <c r="A23">
        <v>0.89949999999999997</v>
      </c>
      <c r="G23">
        <v>1</v>
      </c>
    </row>
    <row r="24" spans="1:10" x14ac:dyDescent="0.3">
      <c r="A24">
        <v>5.2138999999999998</v>
      </c>
      <c r="G24">
        <v>0</v>
      </c>
    </row>
    <row r="25" spans="1:10" x14ac:dyDescent="0.3">
      <c r="A25">
        <v>4.1311</v>
      </c>
      <c r="G25">
        <v>0</v>
      </c>
    </row>
    <row r="26" spans="1:10" x14ac:dyDescent="0.3">
      <c r="A26">
        <v>1.9553</v>
      </c>
      <c r="G26">
        <v>0</v>
      </c>
    </row>
    <row r="27" spans="1:10" x14ac:dyDescent="0.3">
      <c r="A27">
        <v>8.0399999999999991</v>
      </c>
      <c r="G27">
        <v>0</v>
      </c>
    </row>
    <row r="28" spans="1:10" x14ac:dyDescent="0.3">
      <c r="A28">
        <v>3.0741000000000001</v>
      </c>
      <c r="G28">
        <v>0</v>
      </c>
    </row>
    <row r="29" spans="1:10" x14ac:dyDescent="0.3">
      <c r="A29">
        <v>1.9263999999999999</v>
      </c>
      <c r="G29">
        <v>0</v>
      </c>
    </row>
    <row r="30" spans="1:10" x14ac:dyDescent="0.3">
      <c r="A30">
        <v>1.462</v>
      </c>
      <c r="G30">
        <v>0</v>
      </c>
    </row>
    <row r="31" spans="1:10" x14ac:dyDescent="0.3">
      <c r="A31">
        <v>2.1595</v>
      </c>
      <c r="G31">
        <v>0</v>
      </c>
    </row>
    <row r="32" spans="1:10" x14ac:dyDescent="0.3">
      <c r="A32">
        <v>2.1551999999999998</v>
      </c>
      <c r="G32">
        <v>0</v>
      </c>
    </row>
    <row r="33" spans="1:7" x14ac:dyDescent="0.3">
      <c r="A33">
        <v>3.5331999999999999</v>
      </c>
      <c r="G33">
        <v>0</v>
      </c>
    </row>
    <row r="34" spans="1:7" x14ac:dyDescent="0.3">
      <c r="A34">
        <v>2.7241</v>
      </c>
      <c r="G34">
        <v>0</v>
      </c>
    </row>
    <row r="35" spans="1:7" x14ac:dyDescent="0.3">
      <c r="A35">
        <v>10.9556</v>
      </c>
      <c r="G35">
        <v>0</v>
      </c>
    </row>
    <row r="36" spans="1:7" x14ac:dyDescent="0.3">
      <c r="A36">
        <v>1.2692000000000001</v>
      </c>
      <c r="G36">
        <v>0</v>
      </c>
    </row>
    <row r="37" spans="1:7" x14ac:dyDescent="0.3">
      <c r="A37">
        <v>3.3763999999999998</v>
      </c>
      <c r="G37">
        <v>1</v>
      </c>
    </row>
    <row r="38" spans="1:7" x14ac:dyDescent="0.3">
      <c r="A38">
        <v>3.3633000000000002</v>
      </c>
      <c r="G38">
        <v>0</v>
      </c>
    </row>
    <row r="39" spans="1:7" x14ac:dyDescent="0.3">
      <c r="A39">
        <v>2.093</v>
      </c>
      <c r="G39">
        <v>0</v>
      </c>
    </row>
    <row r="40" spans="1:7" x14ac:dyDescent="0.3">
      <c r="A40">
        <v>8.9588000000000001</v>
      </c>
      <c r="G40">
        <v>0</v>
      </c>
    </row>
    <row r="41" spans="1:7" x14ac:dyDescent="0.3">
      <c r="A41">
        <v>9.3744999999999994</v>
      </c>
      <c r="G41">
        <v>0</v>
      </c>
    </row>
    <row r="42" spans="1:7" x14ac:dyDescent="0.3">
      <c r="A42">
        <v>3.7583000000000002</v>
      </c>
      <c r="G42">
        <v>0</v>
      </c>
    </row>
    <row r="43" spans="1:7" x14ac:dyDescent="0.3">
      <c r="A43">
        <v>4.8131000000000004</v>
      </c>
      <c r="G43">
        <v>0</v>
      </c>
    </row>
    <row r="44" spans="1:7" x14ac:dyDescent="0.3">
      <c r="A44">
        <v>10.6997</v>
      </c>
      <c r="G44">
        <v>0</v>
      </c>
    </row>
    <row r="45" spans="1:7" x14ac:dyDescent="0.3">
      <c r="A45">
        <v>2.1920999999999999</v>
      </c>
      <c r="G45">
        <v>0</v>
      </c>
    </row>
    <row r="46" spans="1:7" x14ac:dyDescent="0.3">
      <c r="A46">
        <v>5.8724999999999996</v>
      </c>
      <c r="G46">
        <v>0</v>
      </c>
    </row>
    <row r="47" spans="1:7" x14ac:dyDescent="0.3">
      <c r="A47">
        <v>10.8195</v>
      </c>
      <c r="G47">
        <v>0</v>
      </c>
    </row>
    <row r="48" spans="1:7" x14ac:dyDescent="0.3">
      <c r="A48">
        <v>8.8247999999999998</v>
      </c>
      <c r="G48">
        <v>0</v>
      </c>
    </row>
    <row r="49" spans="1:7" x14ac:dyDescent="0.3">
      <c r="A49">
        <v>7.4175000000000004</v>
      </c>
      <c r="G49">
        <v>0</v>
      </c>
    </row>
    <row r="50" spans="1:7" x14ac:dyDescent="0.3">
      <c r="A50">
        <v>6.9870000000000001</v>
      </c>
      <c r="G50">
        <v>0</v>
      </c>
    </row>
    <row r="51" spans="1:7" x14ac:dyDescent="0.3">
      <c r="A51">
        <v>5.5853000000000002</v>
      </c>
      <c r="G51">
        <v>0</v>
      </c>
    </row>
    <row r="52" spans="1:7" x14ac:dyDescent="0.3">
      <c r="A52">
        <v>6.3174999999999999</v>
      </c>
      <c r="G52">
        <v>0</v>
      </c>
    </row>
    <row r="53" spans="1:7" x14ac:dyDescent="0.3">
      <c r="A53">
        <v>2.0127000000000002</v>
      </c>
      <c r="G53">
        <v>0</v>
      </c>
    </row>
    <row r="54" spans="1:7" x14ac:dyDescent="0.3">
      <c r="A54">
        <v>7.7984</v>
      </c>
      <c r="G54">
        <v>0</v>
      </c>
    </row>
    <row r="55" spans="1:7" x14ac:dyDescent="0.3">
      <c r="A55">
        <v>5.8817000000000004</v>
      </c>
      <c r="G55">
        <v>1</v>
      </c>
    </row>
    <row r="56" spans="1:7" x14ac:dyDescent="0.3">
      <c r="A56">
        <v>5.5932000000000004</v>
      </c>
      <c r="G56">
        <v>0</v>
      </c>
    </row>
    <row r="57" spans="1:7" x14ac:dyDescent="0.3">
      <c r="A57">
        <v>8.2566000000000006</v>
      </c>
      <c r="G57">
        <v>1</v>
      </c>
    </row>
    <row r="58" spans="1:7" x14ac:dyDescent="0.3">
      <c r="A58">
        <v>0.54059999999999997</v>
      </c>
      <c r="G58">
        <v>0</v>
      </c>
    </row>
    <row r="59" spans="1:7" x14ac:dyDescent="0.3">
      <c r="A59">
        <v>5.2656999999999998</v>
      </c>
      <c r="G59">
        <v>0</v>
      </c>
    </row>
    <row r="60" spans="1:7" x14ac:dyDescent="0.3">
      <c r="A60">
        <v>4.1534000000000004</v>
      </c>
      <c r="G60">
        <v>0</v>
      </c>
    </row>
    <row r="61" spans="1:7" x14ac:dyDescent="0.3">
      <c r="A61">
        <v>1.7830999999999999</v>
      </c>
      <c r="G61">
        <v>1</v>
      </c>
    </row>
    <row r="62" spans="1:7" x14ac:dyDescent="0.3">
      <c r="A62">
        <v>8.157</v>
      </c>
      <c r="G62">
        <v>0</v>
      </c>
    </row>
    <row r="63" spans="1:7" x14ac:dyDescent="0.3">
      <c r="A63">
        <v>3.1246999999999998</v>
      </c>
      <c r="G63">
        <v>0</v>
      </c>
    </row>
    <row r="64" spans="1:7" x14ac:dyDescent="0.3">
      <c r="A64">
        <v>1.8611</v>
      </c>
      <c r="G64">
        <v>0</v>
      </c>
    </row>
    <row r="65" spans="1:7" x14ac:dyDescent="0.3">
      <c r="A65">
        <v>1.8929</v>
      </c>
      <c r="G65">
        <v>0</v>
      </c>
    </row>
    <row r="66" spans="1:7" x14ac:dyDescent="0.3">
      <c r="A66">
        <v>2.4641000000000002</v>
      </c>
      <c r="G66">
        <v>0</v>
      </c>
    </row>
    <row r="67" spans="1:7" x14ac:dyDescent="0.3">
      <c r="A67">
        <v>2.355</v>
      </c>
      <c r="G67">
        <v>0</v>
      </c>
    </row>
    <row r="68" spans="1:7" x14ac:dyDescent="0.3">
      <c r="A68">
        <v>3.4571999999999998</v>
      </c>
      <c r="G68">
        <v>0</v>
      </c>
    </row>
    <row r="69" spans="1:7" x14ac:dyDescent="0.3">
      <c r="A69">
        <v>2.8570000000000002</v>
      </c>
      <c r="G69">
        <v>0</v>
      </c>
    </row>
    <row r="70" spans="1:7" x14ac:dyDescent="0.3">
      <c r="A70">
        <v>10.9664</v>
      </c>
      <c r="G70">
        <v>0</v>
      </c>
    </row>
    <row r="71" spans="1:7" x14ac:dyDescent="0.3">
      <c r="A71">
        <v>1.5015000000000001</v>
      </c>
      <c r="G71">
        <v>0</v>
      </c>
    </row>
    <row r="72" spans="1:7" x14ac:dyDescent="0.3">
      <c r="A72">
        <v>3.552</v>
      </c>
      <c r="G72">
        <v>0</v>
      </c>
    </row>
    <row r="73" spans="1:7" x14ac:dyDescent="0.3">
      <c r="A73">
        <v>3.3658999999999999</v>
      </c>
      <c r="G73">
        <v>0</v>
      </c>
    </row>
    <row r="74" spans="1:7" x14ac:dyDescent="0.3">
      <c r="A74">
        <v>2.4937</v>
      </c>
      <c r="G74">
        <v>0</v>
      </c>
    </row>
    <row r="75" spans="1:7" x14ac:dyDescent="0.3">
      <c r="A75">
        <v>5.7168999999999999</v>
      </c>
      <c r="G75">
        <v>0</v>
      </c>
    </row>
    <row r="76" spans="1:7" x14ac:dyDescent="0.3">
      <c r="A76">
        <v>4.59</v>
      </c>
      <c r="G76">
        <v>0</v>
      </c>
    </row>
    <row r="77" spans="1:7" x14ac:dyDescent="0.3">
      <c r="A77">
        <v>1.3252999999999999</v>
      </c>
      <c r="G77">
        <v>0</v>
      </c>
    </row>
    <row r="78" spans="1:7" x14ac:dyDescent="0.3">
      <c r="A78">
        <v>8.6417000000000002</v>
      </c>
      <c r="G78">
        <v>0</v>
      </c>
    </row>
    <row r="79" spans="1:7" x14ac:dyDescent="0.3">
      <c r="A79">
        <v>3.5876000000000001</v>
      </c>
      <c r="G79">
        <v>0</v>
      </c>
    </row>
    <row r="80" spans="1:7" x14ac:dyDescent="0.3">
      <c r="A80">
        <v>1.5046999999999999</v>
      </c>
      <c r="G80">
        <v>0</v>
      </c>
    </row>
    <row r="81" spans="1:7" x14ac:dyDescent="0.3">
      <c r="A81">
        <v>2.3376999999999999</v>
      </c>
      <c r="G81">
        <v>1</v>
      </c>
    </row>
    <row r="82" spans="1:7" x14ac:dyDescent="0.3">
      <c r="A82">
        <v>3.0036</v>
      </c>
      <c r="G82">
        <v>0</v>
      </c>
    </row>
    <row r="83" spans="1:7" x14ac:dyDescent="0.3">
      <c r="A83">
        <v>2.8858000000000001</v>
      </c>
      <c r="G83">
        <v>0</v>
      </c>
    </row>
    <row r="84" spans="1:7" x14ac:dyDescent="0.3">
      <c r="A84">
        <v>3.8220999999999998</v>
      </c>
      <c r="G84">
        <v>0</v>
      </c>
    </row>
    <row r="85" spans="1:7" x14ac:dyDescent="0.3">
      <c r="A85">
        <v>3.3637000000000001</v>
      </c>
      <c r="G85">
        <v>0</v>
      </c>
    </row>
    <row r="86" spans="1:7" x14ac:dyDescent="0.3">
      <c r="A86">
        <v>11.375999999999999</v>
      </c>
      <c r="G86">
        <v>0</v>
      </c>
    </row>
    <row r="87" spans="1:7" x14ac:dyDescent="0.3">
      <c r="A87">
        <v>2.0407999999999999</v>
      </c>
      <c r="G87">
        <v>0</v>
      </c>
    </row>
    <row r="88" spans="1:7" x14ac:dyDescent="0.3">
      <c r="A88">
        <v>4.0716999999999999</v>
      </c>
      <c r="G88">
        <v>0</v>
      </c>
    </row>
    <row r="89" spans="1:7" x14ac:dyDescent="0.3">
      <c r="A89">
        <v>3.7951000000000001</v>
      </c>
      <c r="G89">
        <v>0</v>
      </c>
    </row>
    <row r="90" spans="1:7" x14ac:dyDescent="0.3">
      <c r="A90">
        <v>2.9923999999999999</v>
      </c>
      <c r="G90">
        <v>0</v>
      </c>
    </row>
    <row r="91" spans="1:7" x14ac:dyDescent="0.3">
      <c r="A91">
        <v>1.1437999999999999</v>
      </c>
      <c r="G91">
        <v>0</v>
      </c>
    </row>
    <row r="92" spans="1:7" x14ac:dyDescent="0.3">
      <c r="A92">
        <v>7.0364000000000004</v>
      </c>
      <c r="G92">
        <v>0</v>
      </c>
    </row>
    <row r="93" spans="1:7" x14ac:dyDescent="0.3">
      <c r="A93">
        <v>3.0286</v>
      </c>
      <c r="G93">
        <v>0</v>
      </c>
    </row>
    <row r="94" spans="1:7" x14ac:dyDescent="0.3">
      <c r="A94">
        <v>2.1435</v>
      </c>
      <c r="G94">
        <v>0</v>
      </c>
    </row>
    <row r="95" spans="1:7" x14ac:dyDescent="0.3">
      <c r="A95">
        <v>7.1162000000000001</v>
      </c>
      <c r="G95">
        <v>0</v>
      </c>
    </row>
    <row r="96" spans="1:7" x14ac:dyDescent="0.3">
      <c r="A96">
        <v>5.0827</v>
      </c>
      <c r="G96">
        <v>1</v>
      </c>
    </row>
    <row r="97" spans="1:7" x14ac:dyDescent="0.3">
      <c r="A97">
        <v>3.6926000000000001</v>
      </c>
      <c r="G97">
        <v>0</v>
      </c>
    </row>
    <row r="98" spans="1:7" x14ac:dyDescent="0.3">
      <c r="A98">
        <v>3.2305000000000001</v>
      </c>
      <c r="G98">
        <v>1</v>
      </c>
    </row>
    <row r="99" spans="1:7" x14ac:dyDescent="0.3">
      <c r="A99">
        <v>2.1534</v>
      </c>
      <c r="G99">
        <v>0</v>
      </c>
    </row>
    <row r="100" spans="1:7" x14ac:dyDescent="0.3">
      <c r="A100">
        <v>2.5592999999999999</v>
      </c>
      <c r="G100">
        <v>0</v>
      </c>
    </row>
    <row r="101" spans="1:7" x14ac:dyDescent="0.3">
      <c r="A101">
        <v>5.7683999999999997</v>
      </c>
      <c r="G101">
        <v>0</v>
      </c>
    </row>
    <row r="102" spans="1:7" x14ac:dyDescent="0.3">
      <c r="A102">
        <v>4.0430999999999999</v>
      </c>
      <c r="G102">
        <v>0</v>
      </c>
    </row>
    <row r="103" spans="1:7" x14ac:dyDescent="0.3">
      <c r="A103">
        <v>2.1774</v>
      </c>
      <c r="G103">
        <v>0</v>
      </c>
    </row>
    <row r="104" spans="1:7" x14ac:dyDescent="0.3">
      <c r="A104">
        <v>1.9371</v>
      </c>
      <c r="G104">
        <v>0</v>
      </c>
    </row>
    <row r="105" spans="1:7" x14ac:dyDescent="0.3">
      <c r="A105">
        <v>4.5621</v>
      </c>
      <c r="G105">
        <v>0</v>
      </c>
    </row>
    <row r="106" spans="1:7" x14ac:dyDescent="0.3">
      <c r="A106">
        <v>5.9130000000000003</v>
      </c>
      <c r="G106">
        <v>0</v>
      </c>
    </row>
    <row r="107" spans="1:7" x14ac:dyDescent="0.3">
      <c r="A107">
        <v>4.1604000000000001</v>
      </c>
      <c r="G107">
        <v>0</v>
      </c>
    </row>
    <row r="108" spans="1:7" x14ac:dyDescent="0.3">
      <c r="A108">
        <v>1.0706</v>
      </c>
      <c r="G108">
        <v>0</v>
      </c>
    </row>
    <row r="109" spans="1:7" x14ac:dyDescent="0.3">
      <c r="A109">
        <v>6.0114999999999998</v>
      </c>
      <c r="G109">
        <v>0</v>
      </c>
    </row>
    <row r="110" spans="1:7" x14ac:dyDescent="0.3">
      <c r="A110">
        <v>4.1691000000000003</v>
      </c>
      <c r="G110">
        <v>0</v>
      </c>
    </row>
    <row r="111" spans="1:7" x14ac:dyDescent="0.3">
      <c r="A111">
        <v>2.8595999999999999</v>
      </c>
      <c r="G111">
        <v>0</v>
      </c>
    </row>
    <row r="112" spans="1:7" x14ac:dyDescent="0.3">
      <c r="A112">
        <v>2.2906</v>
      </c>
      <c r="G112">
        <v>0</v>
      </c>
    </row>
    <row r="113" spans="1:7" x14ac:dyDescent="0.3">
      <c r="A113">
        <v>1.0786</v>
      </c>
      <c r="G113">
        <v>0</v>
      </c>
    </row>
    <row r="114" spans="1:7" x14ac:dyDescent="0.3">
      <c r="A114">
        <v>1.6148</v>
      </c>
      <c r="G114">
        <v>0</v>
      </c>
    </row>
    <row r="115" spans="1:7" x14ac:dyDescent="0.3">
      <c r="A115">
        <v>6.8247</v>
      </c>
      <c r="G115">
        <v>0</v>
      </c>
    </row>
    <row r="116" spans="1:7" x14ac:dyDescent="0.3">
      <c r="A116">
        <v>3.0211000000000001</v>
      </c>
      <c r="G116">
        <v>0</v>
      </c>
    </row>
    <row r="117" spans="1:7" x14ac:dyDescent="0.3">
      <c r="A117">
        <v>1.5316000000000001</v>
      </c>
      <c r="G117">
        <v>0</v>
      </c>
    </row>
    <row r="118" spans="1:7" x14ac:dyDescent="0.3">
      <c r="A118">
        <v>0.79700000000000004</v>
      </c>
      <c r="G118">
        <v>0</v>
      </c>
    </row>
    <row r="119" spans="1:7" x14ac:dyDescent="0.3">
      <c r="A119">
        <v>3.7614999999999998</v>
      </c>
      <c r="G119">
        <v>0</v>
      </c>
    </row>
    <row r="120" spans="1:7" x14ac:dyDescent="0.3">
      <c r="A120">
        <v>9.9400999999999993</v>
      </c>
      <c r="G120">
        <v>0</v>
      </c>
    </row>
    <row r="121" spans="1:7" x14ac:dyDescent="0.3">
      <c r="A121">
        <v>4.9006999999999996</v>
      </c>
      <c r="G121">
        <v>0</v>
      </c>
    </row>
    <row r="122" spans="1:7" x14ac:dyDescent="0.3">
      <c r="A122">
        <v>0.48139999999999999</v>
      </c>
      <c r="G122">
        <v>0</v>
      </c>
    </row>
    <row r="123" spans="1:7" x14ac:dyDescent="0.3">
      <c r="A123">
        <v>3.08</v>
      </c>
      <c r="G123">
        <v>0</v>
      </c>
    </row>
    <row r="124" spans="1:7" x14ac:dyDescent="0.3">
      <c r="A124">
        <v>4.0952000000000002</v>
      </c>
      <c r="G124">
        <v>0</v>
      </c>
    </row>
    <row r="125" spans="1:7" x14ac:dyDescent="0.3">
      <c r="A125">
        <v>4.1029</v>
      </c>
      <c r="G125">
        <v>0</v>
      </c>
    </row>
    <row r="126" spans="1:7" x14ac:dyDescent="0.3">
      <c r="A126">
        <v>5.141</v>
      </c>
      <c r="G126">
        <v>1</v>
      </c>
    </row>
    <row r="127" spans="1:7" x14ac:dyDescent="0.3">
      <c r="A127">
        <v>4.6360000000000001</v>
      </c>
      <c r="G127">
        <v>0</v>
      </c>
    </row>
    <row r="128" spans="1:7" x14ac:dyDescent="0.3">
      <c r="A128">
        <v>12.7006</v>
      </c>
      <c r="G128">
        <v>0</v>
      </c>
    </row>
    <row r="129" spans="1:7" x14ac:dyDescent="0.3">
      <c r="A129">
        <v>3.2214999999999998</v>
      </c>
      <c r="G129">
        <v>1</v>
      </c>
    </row>
    <row r="130" spans="1:7" x14ac:dyDescent="0.3">
      <c r="A130">
        <v>5.3170000000000002</v>
      </c>
      <c r="G130">
        <v>0</v>
      </c>
    </row>
    <row r="131" spans="1:7" x14ac:dyDescent="0.3">
      <c r="A131">
        <v>5.1191000000000004</v>
      </c>
      <c r="G131">
        <v>0</v>
      </c>
    </row>
    <row r="132" spans="1:7" x14ac:dyDescent="0.3">
      <c r="A132">
        <v>3.8542000000000001</v>
      </c>
      <c r="G132">
        <v>0</v>
      </c>
    </row>
    <row r="133" spans="1:7" x14ac:dyDescent="0.3">
      <c r="A133">
        <v>5.0641999999999996</v>
      </c>
      <c r="G133">
        <v>0</v>
      </c>
    </row>
    <row r="134" spans="1:7" x14ac:dyDescent="0.3">
      <c r="A134">
        <v>9.9662000000000006</v>
      </c>
      <c r="G134">
        <v>0</v>
      </c>
    </row>
    <row r="135" spans="1:7" x14ac:dyDescent="0.3">
      <c r="A135">
        <v>7.5921000000000003</v>
      </c>
      <c r="G135">
        <v>0</v>
      </c>
    </row>
    <row r="136" spans="1:7" x14ac:dyDescent="0.3">
      <c r="A136">
        <v>6.1802000000000001</v>
      </c>
      <c r="G136">
        <v>0</v>
      </c>
    </row>
    <row r="137" spans="1:7" x14ac:dyDescent="0.3">
      <c r="A137">
        <v>5.9146999999999998</v>
      </c>
      <c r="G137">
        <v>0</v>
      </c>
    </row>
    <row r="138" spans="1:7" x14ac:dyDescent="0.3">
      <c r="A138">
        <v>5.1787999999999998</v>
      </c>
      <c r="G138">
        <v>0</v>
      </c>
    </row>
    <row r="139" spans="1:7" x14ac:dyDescent="0.3">
      <c r="A139">
        <v>5.3160999999999996</v>
      </c>
      <c r="G139">
        <v>0</v>
      </c>
    </row>
    <row r="140" spans="1:7" x14ac:dyDescent="0.3">
      <c r="A140">
        <v>3.6905000000000001</v>
      </c>
      <c r="G140">
        <v>0</v>
      </c>
    </row>
    <row r="141" spans="1:7" x14ac:dyDescent="0.3">
      <c r="A141">
        <v>6.7946</v>
      </c>
      <c r="G141">
        <v>0</v>
      </c>
    </row>
    <row r="142" spans="1:7" x14ac:dyDescent="0.3">
      <c r="A142">
        <v>4.6992000000000003</v>
      </c>
      <c r="G142">
        <v>0</v>
      </c>
    </row>
    <row r="143" spans="1:7" x14ac:dyDescent="0.3">
      <c r="A143">
        <v>4.9367000000000001</v>
      </c>
      <c r="G143">
        <v>0</v>
      </c>
    </row>
    <row r="144" spans="1:7" x14ac:dyDescent="0.3">
      <c r="A144">
        <v>6.9114000000000004</v>
      </c>
      <c r="G144">
        <v>0</v>
      </c>
    </row>
    <row r="145" spans="1:7" x14ac:dyDescent="0.3">
      <c r="A145">
        <v>4.9726999999999997</v>
      </c>
      <c r="G145">
        <v>0</v>
      </c>
    </row>
    <row r="146" spans="1:7" x14ac:dyDescent="0.3">
      <c r="A146">
        <v>3.1320000000000001</v>
      </c>
      <c r="G146">
        <v>0</v>
      </c>
    </row>
    <row r="147" spans="1:7" x14ac:dyDescent="0.3">
      <c r="A147">
        <v>1.9049</v>
      </c>
      <c r="G147">
        <v>0</v>
      </c>
    </row>
    <row r="148" spans="1:7" x14ac:dyDescent="0.3">
      <c r="A148">
        <v>1.2715000000000001</v>
      </c>
      <c r="G148">
        <v>1</v>
      </c>
    </row>
    <row r="149" spans="1:7" x14ac:dyDescent="0.3">
      <c r="A149">
        <v>1.0375000000000001</v>
      </c>
      <c r="G149">
        <v>0</v>
      </c>
    </row>
    <row r="150" spans="1:7" x14ac:dyDescent="0.3">
      <c r="A150">
        <v>0.64880000000000004</v>
      </c>
      <c r="G150">
        <v>0</v>
      </c>
    </row>
    <row r="151" spans="1:7" x14ac:dyDescent="0.3">
      <c r="A151">
        <v>7.8852000000000002</v>
      </c>
      <c r="G151">
        <v>0</v>
      </c>
    </row>
    <row r="152" spans="1:7" x14ac:dyDescent="0.3">
      <c r="A152">
        <v>1.9517</v>
      </c>
      <c r="G152">
        <v>0</v>
      </c>
    </row>
    <row r="153" spans="1:7" x14ac:dyDescent="0.3">
      <c r="A153">
        <v>1.0428999999999999</v>
      </c>
      <c r="G153">
        <v>0</v>
      </c>
    </row>
    <row r="154" spans="1:7" x14ac:dyDescent="0.3">
      <c r="A154">
        <v>0.44469999999999998</v>
      </c>
      <c r="G154">
        <v>0</v>
      </c>
    </row>
    <row r="155" spans="1:7" x14ac:dyDescent="0.3">
      <c r="A155">
        <v>2.8016999999999999</v>
      </c>
      <c r="G155">
        <v>0</v>
      </c>
    </row>
    <row r="156" spans="1:7" x14ac:dyDescent="0.3">
      <c r="A156">
        <v>2.8506999999999998</v>
      </c>
      <c r="G156">
        <v>0</v>
      </c>
    </row>
    <row r="157" spans="1:7" x14ac:dyDescent="0.3">
      <c r="A157">
        <v>3.9863</v>
      </c>
      <c r="G157">
        <v>0</v>
      </c>
    </row>
    <row r="158" spans="1:7" x14ac:dyDescent="0.3">
      <c r="A158">
        <v>4.0735999999999999</v>
      </c>
      <c r="G158">
        <v>0</v>
      </c>
    </row>
    <row r="159" spans="1:7" x14ac:dyDescent="0.3">
      <c r="A159">
        <v>5.3045999999999998</v>
      </c>
      <c r="G159">
        <v>0</v>
      </c>
    </row>
    <row r="160" spans="1:7" x14ac:dyDescent="0.3">
      <c r="A160">
        <v>4.6501000000000001</v>
      </c>
      <c r="G160">
        <v>0</v>
      </c>
    </row>
    <row r="161" spans="1:7" x14ac:dyDescent="0.3">
      <c r="A161">
        <v>12.827400000000001</v>
      </c>
      <c r="G161">
        <v>1</v>
      </c>
    </row>
    <row r="162" spans="1:7" x14ac:dyDescent="0.3">
      <c r="A162">
        <v>3.1857000000000002</v>
      </c>
      <c r="G162">
        <v>0</v>
      </c>
    </row>
    <row r="163" spans="1:7" x14ac:dyDescent="0.3">
      <c r="A163">
        <v>5.2973999999999997</v>
      </c>
      <c r="G163">
        <v>1</v>
      </c>
    </row>
    <row r="164" spans="1:7" x14ac:dyDescent="0.3">
      <c r="A164">
        <v>5.2263000000000002</v>
      </c>
      <c r="G164">
        <v>0</v>
      </c>
    </row>
    <row r="165" spans="1:7" x14ac:dyDescent="0.3">
      <c r="A165">
        <v>3.6455000000000002</v>
      </c>
      <c r="G165">
        <v>0</v>
      </c>
    </row>
    <row r="166" spans="1:7" x14ac:dyDescent="0.3">
      <c r="A166">
        <v>1.4202999999999999</v>
      </c>
      <c r="G166">
        <v>1</v>
      </c>
    </row>
    <row r="167" spans="1:7" x14ac:dyDescent="0.3">
      <c r="A167">
        <v>1.879</v>
      </c>
      <c r="G167">
        <v>0</v>
      </c>
    </row>
    <row r="168" spans="1:7" x14ac:dyDescent="0.3">
      <c r="A168">
        <v>3.9357000000000002</v>
      </c>
      <c r="G168">
        <v>0</v>
      </c>
    </row>
    <row r="169" spans="1:7" x14ac:dyDescent="0.3">
      <c r="A169">
        <v>2.5579999999999998</v>
      </c>
      <c r="G169">
        <v>0</v>
      </c>
    </row>
    <row r="170" spans="1:7" x14ac:dyDescent="0.3">
      <c r="A170">
        <v>10.822900000000001</v>
      </c>
      <c r="G170">
        <v>0</v>
      </c>
    </row>
    <row r="171" spans="1:7" x14ac:dyDescent="0.3">
      <c r="A171">
        <v>1.3127</v>
      </c>
      <c r="G171">
        <v>0</v>
      </c>
    </row>
    <row r="172" spans="1:7" x14ac:dyDescent="0.3">
      <c r="A172">
        <v>2.9523000000000001</v>
      </c>
      <c r="G172">
        <v>0</v>
      </c>
    </row>
    <row r="173" spans="1:7" x14ac:dyDescent="0.3">
      <c r="A173">
        <v>3.5392000000000001</v>
      </c>
      <c r="G173">
        <v>0</v>
      </c>
    </row>
    <row r="174" spans="1:7" x14ac:dyDescent="0.3">
      <c r="A174">
        <v>0.80230000000000001</v>
      </c>
      <c r="G174">
        <v>0</v>
      </c>
    </row>
    <row r="175" spans="1:7" x14ac:dyDescent="0.3">
      <c r="A175">
        <v>0.68179999999999996</v>
      </c>
      <c r="G175">
        <v>0</v>
      </c>
    </row>
    <row r="176" spans="1:7" x14ac:dyDescent="0.3">
      <c r="A176">
        <v>2.8622999999999998</v>
      </c>
      <c r="G176">
        <v>0</v>
      </c>
    </row>
    <row r="177" spans="1:7" x14ac:dyDescent="0.3">
      <c r="A177">
        <v>1.2657</v>
      </c>
      <c r="G177">
        <v>0</v>
      </c>
    </row>
    <row r="178" spans="1:7" x14ac:dyDescent="0.3">
      <c r="A178">
        <v>9.4106000000000005</v>
      </c>
      <c r="G178">
        <v>0</v>
      </c>
    </row>
    <row r="179" spans="1:7" x14ac:dyDescent="0.3">
      <c r="A179">
        <v>1.0047999999999999</v>
      </c>
      <c r="G179">
        <v>0</v>
      </c>
    </row>
    <row r="180" spans="1:7" x14ac:dyDescent="0.3">
      <c r="A180">
        <v>1.5367999999999999</v>
      </c>
      <c r="G180">
        <v>0</v>
      </c>
    </row>
    <row r="181" spans="1:7" x14ac:dyDescent="0.3">
      <c r="A181">
        <v>2.3456000000000001</v>
      </c>
      <c r="G181">
        <v>0</v>
      </c>
    </row>
    <row r="182" spans="1:7" x14ac:dyDescent="0.3">
      <c r="A182">
        <v>0.90329999999999999</v>
      </c>
      <c r="G182">
        <v>0</v>
      </c>
    </row>
    <row r="183" spans="1:7" x14ac:dyDescent="0.3">
      <c r="A183">
        <v>2.1886000000000001</v>
      </c>
      <c r="G183">
        <v>0</v>
      </c>
    </row>
    <row r="184" spans="1:7" x14ac:dyDescent="0.3">
      <c r="A184">
        <v>0.68020000000000003</v>
      </c>
      <c r="G184">
        <v>0</v>
      </c>
    </row>
    <row r="185" spans="1:7" x14ac:dyDescent="0.3">
      <c r="A185">
        <v>8.9943000000000008</v>
      </c>
      <c r="G185">
        <v>1</v>
      </c>
    </row>
    <row r="186" spans="1:7" x14ac:dyDescent="0.3">
      <c r="A186">
        <v>0.88800000000000001</v>
      </c>
      <c r="G186">
        <v>0</v>
      </c>
    </row>
    <row r="187" spans="1:7" x14ac:dyDescent="0.3">
      <c r="A187">
        <v>1.2242</v>
      </c>
      <c r="G187">
        <v>1</v>
      </c>
    </row>
    <row r="188" spans="1:7" x14ac:dyDescent="0.3">
      <c r="A188">
        <v>1.7003999999999999</v>
      </c>
      <c r="G188">
        <v>0</v>
      </c>
    </row>
    <row r="189" spans="1:7" x14ac:dyDescent="0.3">
      <c r="A189">
        <v>1.5458000000000001</v>
      </c>
      <c r="G189">
        <v>0</v>
      </c>
    </row>
    <row r="190" spans="1:7" x14ac:dyDescent="0.3">
      <c r="A190">
        <v>1.6619999999999999</v>
      </c>
      <c r="G190">
        <v>0</v>
      </c>
    </row>
    <row r="191" spans="1:7" x14ac:dyDescent="0.3">
      <c r="A191">
        <v>7.5724999999999998</v>
      </c>
      <c r="G191">
        <v>0</v>
      </c>
    </row>
    <row r="192" spans="1:7" x14ac:dyDescent="0.3">
      <c r="A192">
        <v>2.6488999999999998</v>
      </c>
      <c r="G192">
        <v>0</v>
      </c>
    </row>
    <row r="193" spans="1:7" x14ac:dyDescent="0.3">
      <c r="A193">
        <v>2.0287000000000002</v>
      </c>
      <c r="G193">
        <v>0</v>
      </c>
    </row>
    <row r="194" spans="1:7" x14ac:dyDescent="0.3">
      <c r="A194">
        <v>0.63639999999999997</v>
      </c>
      <c r="G194">
        <v>1</v>
      </c>
    </row>
    <row r="195" spans="1:7" x14ac:dyDescent="0.3">
      <c r="A195">
        <v>3.7315</v>
      </c>
      <c r="G195">
        <v>0</v>
      </c>
    </row>
    <row r="196" spans="1:7" x14ac:dyDescent="0.3">
      <c r="A196">
        <v>8.3269000000000002</v>
      </c>
      <c r="G196">
        <v>0</v>
      </c>
    </row>
    <row r="197" spans="1:7" x14ac:dyDescent="0.3">
      <c r="A197">
        <v>1.4966999999999999</v>
      </c>
      <c r="G197">
        <v>0</v>
      </c>
    </row>
    <row r="198" spans="1:7" x14ac:dyDescent="0.3">
      <c r="A198">
        <v>0.74980000000000002</v>
      </c>
      <c r="G198">
        <v>0</v>
      </c>
    </row>
    <row r="199" spans="1:7" x14ac:dyDescent="0.3">
      <c r="A199">
        <v>1.0934999999999999</v>
      </c>
      <c r="G199">
        <v>0</v>
      </c>
    </row>
    <row r="200" spans="1:7" x14ac:dyDescent="0.3">
      <c r="A200">
        <v>2.1675</v>
      </c>
      <c r="G200">
        <v>0</v>
      </c>
    </row>
    <row r="201" spans="1:7" x14ac:dyDescent="0.3">
      <c r="A201">
        <v>9.8102</v>
      </c>
      <c r="G201">
        <v>0</v>
      </c>
    </row>
    <row r="202" spans="1:7" x14ac:dyDescent="0.3">
      <c r="A202">
        <v>7.8738000000000001</v>
      </c>
      <c r="G202">
        <v>0</v>
      </c>
    </row>
    <row r="203" spans="1:7" x14ac:dyDescent="0.3">
      <c r="A203">
        <v>7.6021000000000001</v>
      </c>
      <c r="G203">
        <v>0</v>
      </c>
    </row>
    <row r="204" spans="1:7" x14ac:dyDescent="0.3">
      <c r="A204">
        <v>10.237</v>
      </c>
      <c r="G204">
        <v>0</v>
      </c>
    </row>
    <row r="205" spans="1:7" x14ac:dyDescent="0.3">
      <c r="A205">
        <v>2.1118000000000001</v>
      </c>
      <c r="G205">
        <v>0</v>
      </c>
    </row>
    <row r="206" spans="1:7" x14ac:dyDescent="0.3">
      <c r="A206">
        <v>2.3157999999999999</v>
      </c>
      <c r="G206">
        <v>0</v>
      </c>
    </row>
    <row r="207" spans="1:7" x14ac:dyDescent="0.3">
      <c r="A207">
        <v>1.4</v>
      </c>
      <c r="G207">
        <v>0</v>
      </c>
    </row>
    <row r="208" spans="1:7" x14ac:dyDescent="0.3">
      <c r="A208">
        <v>1.3924000000000001</v>
      </c>
      <c r="G208">
        <v>1</v>
      </c>
    </row>
    <row r="209" spans="1:7" x14ac:dyDescent="0.3">
      <c r="A209">
        <v>2.3866999999999998</v>
      </c>
      <c r="G209">
        <v>0</v>
      </c>
    </row>
    <row r="210" spans="1:7" x14ac:dyDescent="0.3">
      <c r="A210">
        <v>3.2391999999999999</v>
      </c>
      <c r="G210">
        <v>1</v>
      </c>
    </row>
    <row r="211" spans="1:7" x14ac:dyDescent="0.3">
      <c r="G211">
        <v>0</v>
      </c>
    </row>
    <row r="212" spans="1:7" x14ac:dyDescent="0.3">
      <c r="G212">
        <v>0</v>
      </c>
    </row>
    <row r="213" spans="1:7" x14ac:dyDescent="0.3">
      <c r="G213">
        <v>1</v>
      </c>
    </row>
    <row r="214" spans="1:7" x14ac:dyDescent="0.3">
      <c r="G214">
        <v>0</v>
      </c>
    </row>
    <row r="215" spans="1:7" x14ac:dyDescent="0.3">
      <c r="G215">
        <v>0</v>
      </c>
    </row>
    <row r="216" spans="1:7" x14ac:dyDescent="0.3">
      <c r="G216">
        <v>0</v>
      </c>
    </row>
    <row r="217" spans="1:7" x14ac:dyDescent="0.3">
      <c r="G217">
        <v>0</v>
      </c>
    </row>
    <row r="218" spans="1:7" x14ac:dyDescent="0.3">
      <c r="G218">
        <v>0</v>
      </c>
    </row>
    <row r="219" spans="1:7" x14ac:dyDescent="0.3">
      <c r="G219">
        <v>0</v>
      </c>
    </row>
    <row r="220" spans="1:7" x14ac:dyDescent="0.3">
      <c r="G220">
        <v>0</v>
      </c>
    </row>
    <row r="221" spans="1:7" x14ac:dyDescent="0.3">
      <c r="G221">
        <v>0</v>
      </c>
    </row>
    <row r="222" spans="1:7" x14ac:dyDescent="0.3">
      <c r="G222">
        <v>0</v>
      </c>
    </row>
    <row r="223" spans="1:7" x14ac:dyDescent="0.3">
      <c r="G223">
        <v>0</v>
      </c>
    </row>
    <row r="224" spans="1:7" x14ac:dyDescent="0.3">
      <c r="G224">
        <v>0</v>
      </c>
    </row>
    <row r="225" spans="7:7" x14ac:dyDescent="0.3">
      <c r="G225">
        <v>0</v>
      </c>
    </row>
    <row r="226" spans="7:7" x14ac:dyDescent="0.3">
      <c r="G226">
        <v>0</v>
      </c>
    </row>
    <row r="227" spans="7:7" x14ac:dyDescent="0.3">
      <c r="G227">
        <v>0</v>
      </c>
    </row>
    <row r="228" spans="7:7" x14ac:dyDescent="0.3">
      <c r="G228">
        <v>0</v>
      </c>
    </row>
    <row r="229" spans="7:7" x14ac:dyDescent="0.3">
      <c r="G229">
        <v>0</v>
      </c>
    </row>
    <row r="230" spans="7:7" x14ac:dyDescent="0.3">
      <c r="G230">
        <v>0</v>
      </c>
    </row>
    <row r="231" spans="7:7" x14ac:dyDescent="0.3">
      <c r="G231">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1E1C1-7581-449B-8D47-47F1B27DC848}">
  <sheetPr codeName="Sheet8"/>
  <dimension ref="A1:B22"/>
  <sheetViews>
    <sheetView workbookViewId="0">
      <selection activeCell="B22" sqref="B22"/>
    </sheetView>
  </sheetViews>
  <sheetFormatPr defaultRowHeight="14.4" x14ac:dyDescent="0.3"/>
  <sheetData>
    <row r="1" spans="1:2" x14ac:dyDescent="0.3">
      <c r="A1">
        <v>1</v>
      </c>
      <c r="B1" t="s">
        <v>16197</v>
      </c>
    </row>
    <row r="2" spans="1:2" x14ac:dyDescent="0.3">
      <c r="A2">
        <v>2</v>
      </c>
      <c r="B2" t="s">
        <v>16172</v>
      </c>
    </row>
    <row r="3" spans="1:2" x14ac:dyDescent="0.3">
      <c r="A3">
        <v>3</v>
      </c>
      <c r="B3" t="s">
        <v>16173</v>
      </c>
    </row>
    <row r="4" spans="1:2" x14ac:dyDescent="0.3">
      <c r="A4">
        <v>4</v>
      </c>
      <c r="B4" t="s">
        <v>16174</v>
      </c>
    </row>
    <row r="5" spans="1:2" x14ac:dyDescent="0.3">
      <c r="A5">
        <v>5</v>
      </c>
      <c r="B5" t="s">
        <v>16175</v>
      </c>
    </row>
    <row r="6" spans="1:2" x14ac:dyDescent="0.3">
      <c r="A6">
        <v>6</v>
      </c>
      <c r="B6" t="s">
        <v>16176</v>
      </c>
    </row>
    <row r="7" spans="1:2" x14ac:dyDescent="0.3">
      <c r="A7">
        <v>7</v>
      </c>
      <c r="B7" t="s">
        <v>16177</v>
      </c>
    </row>
    <row r="8" spans="1:2" x14ac:dyDescent="0.3">
      <c r="A8">
        <v>8</v>
      </c>
      <c r="B8" t="s">
        <v>16178</v>
      </c>
    </row>
    <row r="9" spans="1:2" x14ac:dyDescent="0.3">
      <c r="A9">
        <v>9</v>
      </c>
      <c r="B9" t="s">
        <v>16179</v>
      </c>
    </row>
    <row r="10" spans="1:2" x14ac:dyDescent="0.3">
      <c r="A10">
        <v>10</v>
      </c>
      <c r="B10" t="s">
        <v>16180</v>
      </c>
    </row>
    <row r="11" spans="1:2" x14ac:dyDescent="0.3">
      <c r="A11">
        <v>11</v>
      </c>
      <c r="B11" t="s">
        <v>16181</v>
      </c>
    </row>
    <row r="12" spans="1:2" x14ac:dyDescent="0.3">
      <c r="A12">
        <v>12</v>
      </c>
      <c r="B12" t="s">
        <v>16182</v>
      </c>
    </row>
    <row r="13" spans="1:2" x14ac:dyDescent="0.3">
      <c r="A13">
        <v>13</v>
      </c>
      <c r="B13" t="s">
        <v>16183</v>
      </c>
    </row>
    <row r="14" spans="1:2" x14ac:dyDescent="0.3">
      <c r="A14">
        <v>14</v>
      </c>
      <c r="B14" t="s">
        <v>16184</v>
      </c>
    </row>
    <row r="15" spans="1:2" x14ac:dyDescent="0.3">
      <c r="A15">
        <v>15</v>
      </c>
      <c r="B15" t="s">
        <v>16185</v>
      </c>
    </row>
    <row r="16" spans="1:2" x14ac:dyDescent="0.3">
      <c r="A16">
        <v>16</v>
      </c>
      <c r="B16" t="s">
        <v>16186</v>
      </c>
    </row>
    <row r="17" spans="1:2" x14ac:dyDescent="0.3">
      <c r="A17">
        <v>17</v>
      </c>
      <c r="B17" t="s">
        <v>16187</v>
      </c>
    </row>
    <row r="18" spans="1:2" x14ac:dyDescent="0.3">
      <c r="A18">
        <v>18</v>
      </c>
      <c r="B18" t="s">
        <v>16188</v>
      </c>
    </row>
    <row r="19" spans="1:2" x14ac:dyDescent="0.3">
      <c r="A19">
        <v>19</v>
      </c>
      <c r="B19" t="s">
        <v>16189</v>
      </c>
    </row>
    <row r="20" spans="1:2" x14ac:dyDescent="0.3">
      <c r="A20">
        <v>20</v>
      </c>
      <c r="B20" t="s">
        <v>16190</v>
      </c>
    </row>
    <row r="21" spans="1:2" x14ac:dyDescent="0.3">
      <c r="A21">
        <v>21</v>
      </c>
      <c r="B21" t="s">
        <v>16191</v>
      </c>
    </row>
    <row r="22" spans="1:2" x14ac:dyDescent="0.3">
      <c r="A22">
        <v>22</v>
      </c>
      <c r="B22" t="s">
        <v>16193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3E940-3B1A-4694-8082-D483213417FD}">
  <sheetPr codeName="Sheet4"/>
  <dimension ref="A1:V23"/>
  <sheetViews>
    <sheetView workbookViewId="0">
      <selection activeCell="U29" sqref="U29"/>
    </sheetView>
  </sheetViews>
  <sheetFormatPr defaultRowHeight="14.4" x14ac:dyDescent="0.3"/>
  <sheetData>
    <row r="1" spans="1:22" x14ac:dyDescent="0.3">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3">
      <c r="A2">
        <f>Sheet1!C26</f>
        <v>0</v>
      </c>
      <c r="B2">
        <f>Sheet1!D26</f>
        <v>13.181818181818182</v>
      </c>
      <c r="C2">
        <f>Sheet1!E26</f>
        <v>21.263157894736842</v>
      </c>
      <c r="D2">
        <f>Sheet1!F26</f>
        <v>25.818181818181817</v>
      </c>
      <c r="E2">
        <f>Sheet1!G26</f>
        <v>22.071428571428573</v>
      </c>
      <c r="F2">
        <f>Sheet1!H26</f>
        <v>8.9230769230769234</v>
      </c>
      <c r="G2">
        <f>Sheet1!I26</f>
        <v>1.5333333333333334</v>
      </c>
      <c r="H2">
        <f>Sheet1!J26</f>
        <v>33.846153846153847</v>
      </c>
      <c r="I2">
        <f>Sheet1!K26</f>
        <v>19.125</v>
      </c>
      <c r="J2">
        <f>Sheet1!L26</f>
        <v>5.4615384615384617</v>
      </c>
      <c r="K2">
        <f>Sheet1!M26</f>
        <v>25.388888888888889</v>
      </c>
      <c r="L2">
        <f>Sheet1!N26</f>
        <v>11.814814814814815</v>
      </c>
      <c r="M2">
        <f>Sheet1!O26</f>
        <v>9.4782608695652169</v>
      </c>
      <c r="N2">
        <f>Sheet1!P26</f>
        <v>9.3888888888888893</v>
      </c>
      <c r="O2">
        <f>Sheet1!Q26</f>
        <v>1.7142857142857142</v>
      </c>
      <c r="P2">
        <f>Sheet1!R26</f>
        <v>7.5625</v>
      </c>
      <c r="Q2">
        <f>Sheet1!S26</f>
        <v>29.444444444444443</v>
      </c>
      <c r="R2">
        <f>Sheet1!T26</f>
        <v>20</v>
      </c>
      <c r="S2">
        <f>Sheet1!U26</f>
        <v>5.5</v>
      </c>
      <c r="T2">
        <f>Sheet1!V26</f>
        <v>1.5833333333333333</v>
      </c>
      <c r="U2">
        <f>Sheet1!W26</f>
        <v>13.285714285714286</v>
      </c>
      <c r="V2">
        <f>Sheet1!X26</f>
        <v>6.5263157894736841</v>
      </c>
    </row>
    <row r="3" spans="1:22" x14ac:dyDescent="0.3">
      <c r="A3">
        <f>Sheet1!C27</f>
        <v>290</v>
      </c>
      <c r="B3">
        <f>Sheet1!D27</f>
        <v>0</v>
      </c>
      <c r="C3">
        <f>Sheet1!E27</f>
        <v>35.368421052631582</v>
      </c>
      <c r="D3">
        <f>Sheet1!F27</f>
        <v>3</v>
      </c>
      <c r="E3">
        <f>Sheet1!G27</f>
        <v>4.2142857142857144</v>
      </c>
      <c r="F3">
        <f>Sheet1!H27</f>
        <v>28.46153846153846</v>
      </c>
      <c r="G3">
        <f>Sheet1!I27</f>
        <v>10.266666666666667</v>
      </c>
      <c r="H3">
        <f>Sheet1!J27</f>
        <v>10.307692307692308</v>
      </c>
      <c r="I3">
        <f>Sheet1!K27</f>
        <v>35.875</v>
      </c>
      <c r="J3">
        <f>Sheet1!L27</f>
        <v>17.846153846153847</v>
      </c>
      <c r="K3">
        <f>Sheet1!M27</f>
        <v>8.1111111111111107</v>
      </c>
      <c r="L3">
        <f>Sheet1!N27</f>
        <v>4.0370370370370372</v>
      </c>
      <c r="M3">
        <f>Sheet1!O27</f>
        <v>6.5652173913043477</v>
      </c>
      <c r="N3">
        <f>Sheet1!P27</f>
        <v>8</v>
      </c>
      <c r="O3">
        <f>Sheet1!Q27</f>
        <v>15.476190476190476</v>
      </c>
      <c r="P3">
        <f>Sheet1!R27</f>
        <v>11.5</v>
      </c>
      <c r="Q3">
        <f>Sheet1!S27</f>
        <v>44.333333333333336</v>
      </c>
      <c r="R3">
        <f>Sheet1!T27</f>
        <v>7.4545454545454541</v>
      </c>
      <c r="S3">
        <f>Sheet1!U27</f>
        <v>8.8461538461538467</v>
      </c>
      <c r="T3">
        <f>Sheet1!V27</f>
        <v>10.75</v>
      </c>
      <c r="U3">
        <f>Sheet1!W27</f>
        <v>7.4761904761904763</v>
      </c>
      <c r="V3">
        <f>Sheet1!X27</f>
        <v>9.6842105263157894</v>
      </c>
    </row>
    <row r="4" spans="1:22" x14ac:dyDescent="0.3">
      <c r="A4">
        <f>Sheet1!C28</f>
        <v>403</v>
      </c>
      <c r="B4">
        <f>Sheet1!D28</f>
        <v>30.045454545454547</v>
      </c>
      <c r="C4">
        <f>Sheet1!E28</f>
        <v>0</v>
      </c>
      <c r="D4">
        <f>Sheet1!F28</f>
        <v>61.545454545454547</v>
      </c>
      <c r="E4">
        <f>Sheet1!G28</f>
        <v>52.357142857142854</v>
      </c>
      <c r="F4">
        <f>Sheet1!H28</f>
        <v>22.692307692307693</v>
      </c>
      <c r="G4">
        <f>Sheet1!I28</f>
        <v>12.233333333333333</v>
      </c>
      <c r="H4">
        <f>Sheet1!J28</f>
        <v>63.769230769230766</v>
      </c>
      <c r="I4">
        <f>Sheet1!K28</f>
        <v>11.125</v>
      </c>
      <c r="J4">
        <f>Sheet1!L28</f>
        <v>35.07692307692308</v>
      </c>
      <c r="K4">
        <f>Sheet1!M28</f>
        <v>47.444444444444443</v>
      </c>
      <c r="L4">
        <f>Sheet1!N28</f>
        <v>26.555555555555557</v>
      </c>
      <c r="M4">
        <f>Sheet1!O28</f>
        <v>26.086956521739129</v>
      </c>
      <c r="N4">
        <f>Sheet1!P28</f>
        <v>29.111111111111111</v>
      </c>
      <c r="O4">
        <f>Sheet1!Q28</f>
        <v>20.238095238095237</v>
      </c>
      <c r="P4">
        <f>Sheet1!R28</f>
        <v>30.1875</v>
      </c>
      <c r="Q4">
        <f>Sheet1!S28</f>
        <v>8.3888888888888893</v>
      </c>
      <c r="R4">
        <f>Sheet1!T28</f>
        <v>52.363636363636367</v>
      </c>
      <c r="S4">
        <f>Sheet1!U28</f>
        <v>17.076923076923077</v>
      </c>
      <c r="T4">
        <f>Sheet1!V28</f>
        <v>17.791666666666668</v>
      </c>
      <c r="U4">
        <f>Sheet1!W28</f>
        <v>32.19047619047619</v>
      </c>
      <c r="V4">
        <f>Sheet1!X28</f>
        <v>25.105263157894736</v>
      </c>
    </row>
    <row r="5" spans="1:22" x14ac:dyDescent="0.3">
      <c r="A5">
        <f>Sheet1!C29</f>
        <v>284</v>
      </c>
      <c r="B5">
        <f>Sheet1!D29</f>
        <v>1.4545454545454546</v>
      </c>
      <c r="C5">
        <f>Sheet1!E29</f>
        <v>35.684210526315788</v>
      </c>
      <c r="D5">
        <f>Sheet1!F29</f>
        <v>0</v>
      </c>
      <c r="E5">
        <f>Sheet1!G29</f>
        <v>2.5714285714285716</v>
      </c>
      <c r="F5">
        <f>Sheet1!H29</f>
        <v>29.076923076923077</v>
      </c>
      <c r="G5">
        <f>Sheet1!I29</f>
        <v>10.233333333333333</v>
      </c>
      <c r="H5">
        <f>Sheet1!J29</f>
        <v>9.9230769230769234</v>
      </c>
      <c r="I5">
        <f>Sheet1!K29</f>
        <v>36.25</v>
      </c>
      <c r="J5">
        <f>Sheet1!L29</f>
        <v>17.307692307692307</v>
      </c>
      <c r="K5">
        <f>Sheet1!M29</f>
        <v>7.8888888888888893</v>
      </c>
      <c r="L5">
        <f>Sheet1!N29</f>
        <v>5.333333333333333</v>
      </c>
      <c r="M5">
        <f>Sheet1!O29</f>
        <v>7.3478260869565215</v>
      </c>
      <c r="N5">
        <f>Sheet1!P29</f>
        <v>9</v>
      </c>
      <c r="O5">
        <f>Sheet1!Q29</f>
        <v>14.380952380952381</v>
      </c>
      <c r="P5">
        <f>Sheet1!R29</f>
        <v>12.625</v>
      </c>
      <c r="Q5">
        <f>Sheet1!S29</f>
        <v>44.666666666666664</v>
      </c>
      <c r="R5">
        <f>Sheet1!T29</f>
        <v>9.3636363636363633</v>
      </c>
      <c r="S5">
        <f>Sheet1!U29</f>
        <v>9.5384615384615383</v>
      </c>
      <c r="T5">
        <f>Sheet1!V29</f>
        <v>10.5</v>
      </c>
      <c r="U5">
        <f>Sheet1!W29</f>
        <v>9.1428571428571423</v>
      </c>
      <c r="V5">
        <f>Sheet1!X29</f>
        <v>10.631578947368421</v>
      </c>
    </row>
    <row r="6" spans="1:22" x14ac:dyDescent="0.3">
      <c r="A6">
        <f>Sheet1!C30</f>
        <v>310</v>
      </c>
      <c r="B6">
        <f>Sheet1!D30</f>
        <v>2.6363636363636362</v>
      </c>
      <c r="C6">
        <f>Sheet1!E30</f>
        <v>38.631578947368418</v>
      </c>
      <c r="D6">
        <f>Sheet1!F30</f>
        <v>3.2727272727272729</v>
      </c>
      <c r="E6">
        <f>Sheet1!G30</f>
        <v>0</v>
      </c>
      <c r="F6">
        <f>Sheet1!H30</f>
        <v>34.384615384615387</v>
      </c>
      <c r="G6">
        <f>Sheet1!I30</f>
        <v>11.133333333333333</v>
      </c>
      <c r="H6">
        <f>Sheet1!J30</f>
        <v>7.615384615384615</v>
      </c>
      <c r="I6">
        <f>Sheet1!K30</f>
        <v>39.75</v>
      </c>
      <c r="J6">
        <f>Sheet1!L30</f>
        <v>19.384615384615383</v>
      </c>
      <c r="K6">
        <f>Sheet1!M30</f>
        <v>6.2222222222222223</v>
      </c>
      <c r="L6">
        <f>Sheet1!N30</f>
        <v>6.5925925925925926</v>
      </c>
      <c r="M6">
        <f>Sheet1!O30</f>
        <v>9.2173913043478262</v>
      </c>
      <c r="N6">
        <f>Sheet1!P30</f>
        <v>11.388888888888889</v>
      </c>
      <c r="O6">
        <f>Sheet1!Q30</f>
        <v>14.761904761904763</v>
      </c>
      <c r="P6">
        <f>Sheet1!R30</f>
        <v>14.6875</v>
      </c>
      <c r="Q6">
        <f>Sheet1!S30</f>
        <v>47.777777777777779</v>
      </c>
      <c r="R6">
        <f>Sheet1!T30</f>
        <v>13</v>
      </c>
      <c r="S6">
        <f>Sheet1!U30</f>
        <v>10.807692307692308</v>
      </c>
      <c r="T6">
        <f>Sheet1!V30</f>
        <v>11.583333333333334</v>
      </c>
      <c r="U6">
        <f>Sheet1!W30</f>
        <v>10.761904761904763</v>
      </c>
      <c r="V6">
        <f>Sheet1!X30</f>
        <v>12.421052631578947</v>
      </c>
    </row>
    <row r="7" spans="1:22" x14ac:dyDescent="0.3">
      <c r="A7">
        <f>Sheet1!C31</f>
        <v>116</v>
      </c>
      <c r="B7">
        <f>Sheet1!D31</f>
        <v>16.863636363636363</v>
      </c>
      <c r="C7">
        <f>Sheet1!E31</f>
        <v>15.578947368421053</v>
      </c>
      <c r="D7">
        <f>Sheet1!F31</f>
        <v>34.545454545454547</v>
      </c>
      <c r="E7">
        <f>Sheet1!G31</f>
        <v>31.785714285714285</v>
      </c>
      <c r="F7">
        <f>Sheet1!H31</f>
        <v>0</v>
      </c>
      <c r="G7">
        <f>Sheet1!I31</f>
        <v>2.6666666666666665</v>
      </c>
      <c r="H7">
        <f>Sheet1!J31</f>
        <v>38.53846153846154</v>
      </c>
      <c r="I7">
        <f>Sheet1!K31</f>
        <v>12.375</v>
      </c>
      <c r="J7">
        <f>Sheet1!L31</f>
        <v>11.692307692307692</v>
      </c>
      <c r="K7">
        <f>Sheet1!M31</f>
        <v>29</v>
      </c>
      <c r="L7">
        <f>Sheet1!N31</f>
        <v>14.25925925925926</v>
      </c>
      <c r="M7">
        <f>Sheet1!O31</f>
        <v>12.304347826086957</v>
      </c>
      <c r="N7">
        <f>Sheet1!P31</f>
        <v>13</v>
      </c>
      <c r="O7">
        <f>Sheet1!Q31</f>
        <v>6.5714285714285712</v>
      </c>
      <c r="P7">
        <f>Sheet1!R31</f>
        <v>11.375</v>
      </c>
      <c r="Q7">
        <f>Sheet1!S31</f>
        <v>23.444444444444443</v>
      </c>
      <c r="R7">
        <f>Sheet1!T31</f>
        <v>26</v>
      </c>
      <c r="S7">
        <f>Sheet1!U31</f>
        <v>6.8076923076923075</v>
      </c>
      <c r="T7">
        <f>Sheet1!V31</f>
        <v>5.833333333333333</v>
      </c>
      <c r="U7">
        <f>Sheet1!W31</f>
        <v>16.38095238095238</v>
      </c>
      <c r="V7">
        <f>Sheet1!X31</f>
        <v>9.8947368421052637</v>
      </c>
    </row>
    <row r="8" spans="1:22" x14ac:dyDescent="0.3">
      <c r="A8">
        <f>Sheet1!C32</f>
        <v>46</v>
      </c>
      <c r="B8">
        <f>Sheet1!D32</f>
        <v>14</v>
      </c>
      <c r="C8">
        <f>Sheet1!E32</f>
        <v>19.368421052631579</v>
      </c>
      <c r="D8">
        <f>Sheet1!F32</f>
        <v>28.363636363636363</v>
      </c>
      <c r="E8">
        <f>Sheet1!G32</f>
        <v>24.142857142857142</v>
      </c>
      <c r="F8">
        <f>Sheet1!H32</f>
        <v>6.2307692307692308</v>
      </c>
      <c r="G8">
        <f>Sheet1!I32</f>
        <v>0</v>
      </c>
      <c r="H8">
        <f>Sheet1!J32</f>
        <v>33.692307692307693</v>
      </c>
      <c r="I8">
        <f>Sheet1!K32</f>
        <v>16.875</v>
      </c>
      <c r="J8">
        <f>Sheet1!L32</f>
        <v>6.1538461538461542</v>
      </c>
      <c r="K8">
        <f>Sheet1!M32</f>
        <v>25.5</v>
      </c>
      <c r="L8">
        <f>Sheet1!N32</f>
        <v>11.925925925925926</v>
      </c>
      <c r="M8">
        <f>Sheet1!O32</f>
        <v>9.5652173913043477</v>
      </c>
      <c r="N8">
        <f>Sheet1!P32</f>
        <v>9.5</v>
      </c>
      <c r="O8">
        <f>Sheet1!Q32</f>
        <v>3.6190476190476191</v>
      </c>
      <c r="P8">
        <f>Sheet1!R32</f>
        <v>7.5</v>
      </c>
      <c r="Q8">
        <f>Sheet1!S32</f>
        <v>27.444444444444443</v>
      </c>
      <c r="R8">
        <f>Sheet1!T32</f>
        <v>20.363636363636363</v>
      </c>
      <c r="S8">
        <f>Sheet1!U32</f>
        <v>5.4615384615384617</v>
      </c>
      <c r="T8">
        <f>Sheet1!V32</f>
        <v>2.5833333333333335</v>
      </c>
      <c r="U8">
        <f>Sheet1!W32</f>
        <v>13.380952380952381</v>
      </c>
      <c r="V8">
        <f>Sheet1!X32</f>
        <v>6.5789473684210522</v>
      </c>
    </row>
    <row r="9" spans="1:22" x14ac:dyDescent="0.3">
      <c r="A9">
        <f>Sheet1!C33</f>
        <v>440</v>
      </c>
      <c r="B9">
        <f>Sheet1!D33</f>
        <v>6</v>
      </c>
      <c r="C9">
        <f>Sheet1!E33</f>
        <v>43.842105263157897</v>
      </c>
      <c r="D9">
        <f>Sheet1!F33</f>
        <v>11.727272727272727</v>
      </c>
      <c r="E9">
        <f>Sheet1!G33</f>
        <v>7.0714285714285712</v>
      </c>
      <c r="F9">
        <f>Sheet1!H33</f>
        <v>38.46153846153846</v>
      </c>
      <c r="G9">
        <f>Sheet1!I33</f>
        <v>14.6</v>
      </c>
      <c r="H9">
        <f>Sheet1!J33</f>
        <v>0</v>
      </c>
      <c r="I9">
        <f>Sheet1!K33</f>
        <v>45.9375</v>
      </c>
      <c r="J9">
        <f>Sheet1!L33</f>
        <v>27.846153846153847</v>
      </c>
      <c r="K9">
        <f>Sheet1!M33</f>
        <v>2.0555555555555554</v>
      </c>
      <c r="L9">
        <f>Sheet1!N33</f>
        <v>8.3333333333333339</v>
      </c>
      <c r="M9">
        <f>Sheet1!O33</f>
        <v>12.260869565217391</v>
      </c>
      <c r="N9">
        <f>Sheet1!P33</f>
        <v>15.222222222222221</v>
      </c>
      <c r="O9">
        <f>Sheet1!Q33</f>
        <v>19.428571428571427</v>
      </c>
      <c r="P9">
        <f>Sheet1!R33</f>
        <v>19.625</v>
      </c>
      <c r="Q9">
        <f>Sheet1!S33</f>
        <v>53.277777777777779</v>
      </c>
      <c r="R9">
        <f>Sheet1!T33</f>
        <v>19.272727272727273</v>
      </c>
      <c r="S9">
        <f>Sheet1!U33</f>
        <v>13.846153846153847</v>
      </c>
      <c r="T9">
        <f>Sheet1!V33</f>
        <v>16.166666666666668</v>
      </c>
      <c r="U9">
        <f>Sheet1!W33</f>
        <v>12.952380952380953</v>
      </c>
      <c r="V9">
        <f>Sheet1!X33</f>
        <v>16.526315789473685</v>
      </c>
    </row>
    <row r="10" spans="1:22" x14ac:dyDescent="0.3">
      <c r="A10">
        <f>Sheet1!C34</f>
        <v>306</v>
      </c>
      <c r="B10">
        <f>Sheet1!D34</f>
        <v>26.136363636363637</v>
      </c>
      <c r="C10">
        <f>Sheet1!E34</f>
        <v>9.473684210526315</v>
      </c>
      <c r="D10">
        <f>Sheet1!F34</f>
        <v>52.727272727272727</v>
      </c>
      <c r="E10">
        <f>Sheet1!G34</f>
        <v>45.428571428571431</v>
      </c>
      <c r="F10">
        <f>Sheet1!H34</f>
        <v>15.23076923076923</v>
      </c>
      <c r="G10">
        <f>Sheet1!I34</f>
        <v>9.0333333333333332</v>
      </c>
      <c r="H10">
        <f>Sheet1!J34</f>
        <v>56.307692307692307</v>
      </c>
      <c r="I10">
        <f>Sheet1!K34</f>
        <v>0</v>
      </c>
      <c r="J10">
        <f>Sheet1!L34</f>
        <v>27.615384615384617</v>
      </c>
      <c r="K10">
        <f>Sheet1!M34</f>
        <v>42.111111111111114</v>
      </c>
      <c r="L10">
        <f>Sheet1!N34</f>
        <v>22.962962962962962</v>
      </c>
      <c r="M10">
        <f>Sheet1!O34</f>
        <v>21.869565217391305</v>
      </c>
      <c r="N10">
        <f>Sheet1!P34</f>
        <v>24.333333333333332</v>
      </c>
      <c r="O10">
        <f>Sheet1!Q34</f>
        <v>15.619047619047619</v>
      </c>
      <c r="P10">
        <f>Sheet1!R34</f>
        <v>24.125</v>
      </c>
      <c r="Q10">
        <f>Sheet1!S34</f>
        <v>15.388888888888889</v>
      </c>
      <c r="R10">
        <f>Sheet1!T34</f>
        <v>44.545454545454547</v>
      </c>
      <c r="S10">
        <f>Sheet1!U34</f>
        <v>13.346153846153847</v>
      </c>
      <c r="T10">
        <f>Sheet1!V34</f>
        <v>13.75</v>
      </c>
      <c r="U10">
        <f>Sheet1!W34</f>
        <v>27.61904761904762</v>
      </c>
      <c r="V10">
        <f>Sheet1!X34</f>
        <v>20.631578947368421</v>
      </c>
    </row>
    <row r="11" spans="1:22" x14ac:dyDescent="0.3">
      <c r="A11">
        <f>Sheet1!C35</f>
        <v>70</v>
      </c>
      <c r="B11">
        <f>Sheet1!D35</f>
        <v>10.590909090909092</v>
      </c>
      <c r="C11">
        <f>Sheet1!E35</f>
        <v>24.05263157894737</v>
      </c>
      <c r="D11">
        <f>Sheet1!F35</f>
        <v>20.454545454545453</v>
      </c>
      <c r="E11">
        <f>Sheet1!G35</f>
        <v>17.928571428571427</v>
      </c>
      <c r="F11">
        <f>Sheet1!H35</f>
        <v>11.692307692307692</v>
      </c>
      <c r="G11">
        <f>Sheet1!I35</f>
        <v>2.6666666666666665</v>
      </c>
      <c r="H11">
        <f>Sheet1!J35</f>
        <v>27.923076923076923</v>
      </c>
      <c r="I11">
        <f>Sheet1!K35</f>
        <v>22.4375</v>
      </c>
      <c r="J11">
        <f>Sheet1!L35</f>
        <v>0</v>
      </c>
      <c r="K11">
        <f>Sheet1!M35</f>
        <v>21.444444444444443</v>
      </c>
      <c r="L11">
        <f>Sheet1!N35</f>
        <v>9.1851851851851851</v>
      </c>
      <c r="M11">
        <f>Sheet1!O35</f>
        <v>6.3913043478260869</v>
      </c>
      <c r="N11">
        <f>Sheet1!P35</f>
        <v>5.4444444444444446</v>
      </c>
      <c r="O11">
        <f>Sheet1!Q35</f>
        <v>4</v>
      </c>
      <c r="P11">
        <f>Sheet1!R35</f>
        <v>3.125</v>
      </c>
      <c r="Q11">
        <f>Sheet1!S35</f>
        <v>32.388888888888886</v>
      </c>
      <c r="R11">
        <f>Sheet1!T35</f>
        <v>13.545454545454545</v>
      </c>
      <c r="S11">
        <f>Sheet1!U35</f>
        <v>3.7692307692307692</v>
      </c>
      <c r="T11">
        <f>Sheet1!V35</f>
        <v>1.375</v>
      </c>
      <c r="U11">
        <f>Sheet1!W35</f>
        <v>9.9047619047619051</v>
      </c>
      <c r="V11">
        <f>Sheet1!X35</f>
        <v>2.7894736842105261</v>
      </c>
    </row>
    <row r="12" spans="1:22" x14ac:dyDescent="0.3">
      <c r="A12">
        <f>Sheet1!C36</f>
        <v>456</v>
      </c>
      <c r="B12">
        <f>Sheet1!D36</f>
        <v>6.5909090909090908</v>
      </c>
      <c r="C12">
        <f>Sheet1!E36</f>
        <v>44.94736842105263</v>
      </c>
      <c r="D12">
        <f>Sheet1!F36</f>
        <v>12.909090909090908</v>
      </c>
      <c r="E12">
        <f>Sheet1!G36</f>
        <v>8</v>
      </c>
      <c r="F12">
        <f>Sheet1!H36</f>
        <v>40.230769230769234</v>
      </c>
      <c r="G12">
        <f>Sheet1!I36</f>
        <v>15.333333333333334</v>
      </c>
      <c r="H12">
        <f>Sheet1!J36</f>
        <v>2.8461538461538463</v>
      </c>
      <c r="I12">
        <f>Sheet1!K36</f>
        <v>47.25</v>
      </c>
      <c r="J12">
        <f>Sheet1!L36</f>
        <v>29.692307692307693</v>
      </c>
      <c r="K12">
        <f>Sheet1!M36</f>
        <v>0</v>
      </c>
      <c r="L12">
        <f>Sheet1!N36</f>
        <v>6.9259259259259256</v>
      </c>
      <c r="M12">
        <f>Sheet1!O36</f>
        <v>11.347826086956522</v>
      </c>
      <c r="N12">
        <f>Sheet1!P36</f>
        <v>16.277777777777779</v>
      </c>
      <c r="O12">
        <f>Sheet1!Q36</f>
        <v>20.095238095238095</v>
      </c>
      <c r="P12">
        <f>Sheet1!R36</f>
        <v>21</v>
      </c>
      <c r="Q12">
        <f>Sheet1!S36</f>
        <v>54.444444444444443</v>
      </c>
      <c r="R12">
        <f>Sheet1!T36</f>
        <v>20.454545454545453</v>
      </c>
      <c r="S12">
        <f>Sheet1!U36</f>
        <v>14.692307692307692</v>
      </c>
      <c r="T12">
        <f>Sheet1!V36</f>
        <v>17.458333333333332</v>
      </c>
      <c r="U12">
        <f>Sheet1!W36</f>
        <v>11.142857142857142</v>
      </c>
      <c r="V12">
        <f>Sheet1!X36</f>
        <v>17.684210526315791</v>
      </c>
    </row>
    <row r="13" spans="1:22" x14ac:dyDescent="0.3">
      <c r="A13">
        <f>Sheet1!C37</f>
        <v>318</v>
      </c>
      <c r="B13">
        <f>Sheet1!D37</f>
        <v>4.9545454545454541</v>
      </c>
      <c r="C13">
        <f>Sheet1!E37</f>
        <v>37.736842105263158</v>
      </c>
      <c r="D13">
        <f>Sheet1!F37</f>
        <v>13.090909090909092</v>
      </c>
      <c r="E13">
        <f>Sheet1!G37</f>
        <v>12.714285714285714</v>
      </c>
      <c r="F13">
        <f>Sheet1!H37</f>
        <v>29.615384615384617</v>
      </c>
      <c r="G13">
        <f>Sheet1!I37</f>
        <v>10.733333333333333</v>
      </c>
      <c r="H13">
        <f>Sheet1!J37</f>
        <v>17.23076923076923</v>
      </c>
      <c r="I13">
        <f>Sheet1!K37</f>
        <v>38.6875</v>
      </c>
      <c r="J13">
        <f>Sheet1!L37</f>
        <v>19.076923076923077</v>
      </c>
      <c r="K13">
        <f>Sheet1!M37</f>
        <v>10.333333333333334</v>
      </c>
      <c r="L13">
        <f>Sheet1!N37</f>
        <v>0</v>
      </c>
      <c r="M13">
        <f>Sheet1!O37</f>
        <v>5.3478260869565215</v>
      </c>
      <c r="N13">
        <f>Sheet1!P37</f>
        <v>8.6666666666666661</v>
      </c>
      <c r="O13">
        <f>Sheet1!Q37</f>
        <v>16.047619047619047</v>
      </c>
      <c r="P13">
        <f>Sheet1!R37</f>
        <v>12.4375</v>
      </c>
      <c r="Q13">
        <f>Sheet1!S37</f>
        <v>46.833333333333336</v>
      </c>
      <c r="R13">
        <f>Sheet1!T37</f>
        <v>9.1818181818181817</v>
      </c>
      <c r="S13">
        <f>Sheet1!U37</f>
        <v>9.4230769230769234</v>
      </c>
      <c r="T13">
        <f>Sheet1!V37</f>
        <v>11.75</v>
      </c>
      <c r="U13">
        <f>Sheet1!W37</f>
        <v>2.3809523809523809</v>
      </c>
      <c r="V13">
        <f>Sheet1!X37</f>
        <v>10.421052631578947</v>
      </c>
    </row>
    <row r="14" spans="1:22" x14ac:dyDescent="0.3">
      <c r="A14">
        <f>Sheet1!C38</f>
        <v>217</v>
      </c>
      <c r="B14">
        <f>Sheet1!D38</f>
        <v>6.9090909090909092</v>
      </c>
      <c r="C14">
        <f>Sheet1!E38</f>
        <v>31.578947368421051</v>
      </c>
      <c r="D14">
        <f>Sheet1!F38</f>
        <v>15.363636363636363</v>
      </c>
      <c r="E14">
        <f>Sheet1!G38</f>
        <v>15.142857142857142</v>
      </c>
      <c r="F14">
        <f>Sheet1!H38</f>
        <v>21.846153846153847</v>
      </c>
      <c r="G14">
        <f>Sheet1!I38</f>
        <v>7.3666666666666663</v>
      </c>
      <c r="H14">
        <f>Sheet1!J38</f>
        <v>21.615384615384617</v>
      </c>
      <c r="I14">
        <f>Sheet1!K38</f>
        <v>31.375</v>
      </c>
      <c r="J14">
        <f>Sheet1!L38</f>
        <v>11.307692307692308</v>
      </c>
      <c r="K14">
        <f>Sheet1!M38</f>
        <v>14.5</v>
      </c>
      <c r="L14">
        <f>Sheet1!N38</f>
        <v>4.5555555555555554</v>
      </c>
      <c r="M14">
        <f>Sheet1!O38</f>
        <v>0</v>
      </c>
      <c r="N14">
        <f>Sheet1!P38</f>
        <v>3.0555555555555554</v>
      </c>
      <c r="O14">
        <f>Sheet1!Q38</f>
        <v>11.238095238095237</v>
      </c>
      <c r="P14">
        <f>Sheet1!R38</f>
        <v>6.125</v>
      </c>
      <c r="Q14">
        <f>Sheet1!S38</f>
        <v>40.333333333333336</v>
      </c>
      <c r="R14">
        <f>Sheet1!T38</f>
        <v>6.1818181818181817</v>
      </c>
      <c r="S14">
        <f>Sheet1!U38</f>
        <v>5.5384615384615383</v>
      </c>
      <c r="T14">
        <f>Sheet1!V38</f>
        <v>7.541666666666667</v>
      </c>
      <c r="U14">
        <f>Sheet1!W38</f>
        <v>3.9523809523809526</v>
      </c>
      <c r="V14">
        <f>Sheet1!X38</f>
        <v>5.1052631578947372</v>
      </c>
    </row>
    <row r="15" spans="1:22" x14ac:dyDescent="0.3">
      <c r="A15">
        <f>Sheet1!C39</f>
        <v>168</v>
      </c>
      <c r="B15">
        <f>Sheet1!D39</f>
        <v>6.5909090909090908</v>
      </c>
      <c r="C15">
        <f>Sheet1!E39</f>
        <v>28.210526315789473</v>
      </c>
      <c r="D15">
        <f>Sheet1!F39</f>
        <v>14.818181818181818</v>
      </c>
      <c r="E15">
        <f>Sheet1!G39</f>
        <v>14.714285714285714</v>
      </c>
      <c r="F15">
        <f>Sheet1!H39</f>
        <v>18</v>
      </c>
      <c r="G15">
        <f>Sheet1!I39</f>
        <v>5.7333333333333334</v>
      </c>
      <c r="H15">
        <f>Sheet1!J39</f>
        <v>21.153846153846153</v>
      </c>
      <c r="I15">
        <f>Sheet1!K39</f>
        <v>27.375</v>
      </c>
      <c r="J15">
        <f>Sheet1!L39</f>
        <v>7.5384615384615383</v>
      </c>
      <c r="K15">
        <f>Sheet1!M39</f>
        <v>16.333333333333332</v>
      </c>
      <c r="L15">
        <f>Sheet1!N39</f>
        <v>5.7777777777777777</v>
      </c>
      <c r="M15">
        <f>Sheet1!O39</f>
        <v>2.3913043478260869</v>
      </c>
      <c r="N15">
        <f>Sheet1!P39</f>
        <v>0</v>
      </c>
      <c r="O15">
        <f>Sheet1!Q39</f>
        <v>8.9047619047619051</v>
      </c>
      <c r="P15">
        <f>Sheet1!R39</f>
        <v>3</v>
      </c>
      <c r="Q15">
        <f>Sheet1!S39</f>
        <v>36.777777777777779</v>
      </c>
      <c r="R15">
        <f>Sheet1!T39</f>
        <v>5.5454545454545459</v>
      </c>
      <c r="S15">
        <f>Sheet1!U39</f>
        <v>3.6153846153846154</v>
      </c>
      <c r="T15">
        <f>Sheet1!V39</f>
        <v>5.458333333333333</v>
      </c>
      <c r="U15">
        <f>Sheet1!W39</f>
        <v>5.5238095238095237</v>
      </c>
      <c r="V15">
        <f>Sheet1!X39</f>
        <v>2.4736842105263159</v>
      </c>
    </row>
    <row r="16" spans="1:22" x14ac:dyDescent="0.3">
      <c r="A16">
        <f>Sheet1!C40</f>
        <v>32</v>
      </c>
      <c r="B16">
        <f>Sheet1!D40</f>
        <v>14.727272727272727</v>
      </c>
      <c r="C16">
        <f>Sheet1!E40</f>
        <v>22.368421052631579</v>
      </c>
      <c r="D16">
        <f>Sheet1!F40</f>
        <v>27</v>
      </c>
      <c r="E16">
        <f>Sheet1!G40</f>
        <v>22.071428571428573</v>
      </c>
      <c r="F16">
        <f>Sheet1!H40</f>
        <v>10.615384615384615</v>
      </c>
      <c r="G16">
        <f>Sheet1!I40</f>
        <v>2.5333333333333332</v>
      </c>
      <c r="H16">
        <f>Sheet1!J40</f>
        <v>31.153846153846153</v>
      </c>
      <c r="I16">
        <f>Sheet1!K40</f>
        <v>20.4375</v>
      </c>
      <c r="J16">
        <f>Sheet1!L40</f>
        <v>6.4615384615384617</v>
      </c>
      <c r="K16">
        <f>Sheet1!M40</f>
        <v>23.388888888888889</v>
      </c>
      <c r="L16">
        <f>Sheet1!N40</f>
        <v>12.481481481481481</v>
      </c>
      <c r="M16">
        <f>Sheet1!O40</f>
        <v>10.260869565217391</v>
      </c>
      <c r="N16">
        <f>Sheet1!P40</f>
        <v>10.388888888888889</v>
      </c>
      <c r="O16">
        <f>Sheet1!Q40</f>
        <v>0</v>
      </c>
      <c r="P16">
        <f>Sheet1!R40</f>
        <v>8.8125</v>
      </c>
      <c r="Q16">
        <f>Sheet1!S40</f>
        <v>30.611111111111111</v>
      </c>
      <c r="R16">
        <f>Sheet1!T40</f>
        <v>21.545454545454547</v>
      </c>
      <c r="S16">
        <f>Sheet1!U40</f>
        <v>7.1923076923076925</v>
      </c>
      <c r="T16">
        <f>Sheet1!V40</f>
        <v>2.0833333333333335</v>
      </c>
      <c r="U16">
        <f>Sheet1!W40</f>
        <v>14.142857142857142</v>
      </c>
      <c r="V16">
        <f>Sheet1!X40</f>
        <v>7.4736842105263159</v>
      </c>
    </row>
    <row r="17" spans="1:22" x14ac:dyDescent="0.3">
      <c r="A17">
        <f>Sheet1!C41</f>
        <v>120</v>
      </c>
      <c r="B17">
        <f>Sheet1!D41</f>
        <v>8.4090909090909083</v>
      </c>
      <c r="C17">
        <f>Sheet1!E41</f>
        <v>25.684210526315791</v>
      </c>
      <c r="D17">
        <f>Sheet1!F41</f>
        <v>18.454545454545453</v>
      </c>
      <c r="E17">
        <f>Sheet1!G41</f>
        <v>16.714285714285715</v>
      </c>
      <c r="F17">
        <f>Sheet1!H41</f>
        <v>14.384615384615385</v>
      </c>
      <c r="G17">
        <f>Sheet1!I41</f>
        <v>4.1333333333333337</v>
      </c>
      <c r="H17">
        <f>Sheet1!J41</f>
        <v>24.23076923076923</v>
      </c>
      <c r="I17">
        <f>Sheet1!K41</f>
        <v>24.375</v>
      </c>
      <c r="J17">
        <f>Sheet1!L41</f>
        <v>3.8461538461538463</v>
      </c>
      <c r="K17">
        <f>Sheet1!M41</f>
        <v>18.722222222222221</v>
      </c>
      <c r="L17">
        <f>Sheet1!N41</f>
        <v>7.3703703703703702</v>
      </c>
      <c r="M17">
        <f>Sheet1!O41</f>
        <v>4.2608695652173916</v>
      </c>
      <c r="N17">
        <f>Sheet1!P41</f>
        <v>2.6666666666666665</v>
      </c>
      <c r="O17">
        <f>Sheet1!Q41</f>
        <v>6.7142857142857144</v>
      </c>
      <c r="P17">
        <f>Sheet1!R41</f>
        <v>0</v>
      </c>
      <c r="Q17">
        <f>Sheet1!S41</f>
        <v>34.111111111111114</v>
      </c>
      <c r="R17">
        <f>Sheet1!T41</f>
        <v>9.1818181818181817</v>
      </c>
      <c r="S17">
        <f>Sheet1!U41</f>
        <v>1.8076923076923077</v>
      </c>
      <c r="T17">
        <f>Sheet1!V41</f>
        <v>3.4583333333333335</v>
      </c>
      <c r="U17">
        <f>Sheet1!W41</f>
        <v>7.5714285714285712</v>
      </c>
      <c r="V17">
        <f>Sheet1!X41</f>
        <v>0.10526315789473684</v>
      </c>
    </row>
    <row r="18" spans="1:22" x14ac:dyDescent="0.3">
      <c r="A18">
        <f>Sheet1!C42</f>
        <v>530</v>
      </c>
      <c r="B18">
        <f>Sheet1!D42</f>
        <v>35.81818181818182</v>
      </c>
      <c r="C18">
        <f>Sheet1!E42</f>
        <v>8</v>
      </c>
      <c r="D18">
        <f>Sheet1!F42</f>
        <v>73.090909090909093</v>
      </c>
      <c r="E18">
        <f>Sheet1!G42</f>
        <v>61.428571428571431</v>
      </c>
      <c r="F18">
        <f>Sheet1!H42</f>
        <v>32.46153846153846</v>
      </c>
      <c r="G18">
        <f>Sheet1!I42</f>
        <v>16.466666666666665</v>
      </c>
      <c r="H18">
        <f>Sheet1!J42</f>
        <v>73.538461538461533</v>
      </c>
      <c r="I18">
        <f>Sheet1!K42</f>
        <v>17.1875</v>
      </c>
      <c r="J18">
        <f>Sheet1!L42</f>
        <v>44.846153846153847</v>
      </c>
      <c r="K18">
        <f>Sheet1!M42</f>
        <v>54.5</v>
      </c>
      <c r="L18">
        <f>Sheet1!N42</f>
        <v>31.25925925925926</v>
      </c>
      <c r="M18">
        <f>Sheet1!O42</f>
        <v>31.608695652173914</v>
      </c>
      <c r="N18">
        <f>Sheet1!P42</f>
        <v>36.166666666666664</v>
      </c>
      <c r="O18">
        <f>Sheet1!Q42</f>
        <v>26.285714285714285</v>
      </c>
      <c r="P18">
        <f>Sheet1!R42</f>
        <v>38.125</v>
      </c>
      <c r="Q18">
        <f>Sheet1!S42</f>
        <v>0</v>
      </c>
      <c r="R18">
        <f>Sheet1!T42</f>
        <v>63.909090909090907</v>
      </c>
      <c r="S18">
        <f>Sheet1!U42</f>
        <v>21.96153846153846</v>
      </c>
      <c r="T18">
        <f>Sheet1!V42</f>
        <v>23.083333333333332</v>
      </c>
      <c r="U18">
        <f>Sheet1!W42</f>
        <v>38.238095238095241</v>
      </c>
      <c r="V18">
        <f>Sheet1!X42</f>
        <v>31.842105263157894</v>
      </c>
    </row>
    <row r="19" spans="1:22" x14ac:dyDescent="0.3">
      <c r="A19">
        <f>Sheet1!C43</f>
        <v>219</v>
      </c>
      <c r="B19">
        <f>Sheet1!D43</f>
        <v>3.7727272727272729</v>
      </c>
      <c r="C19">
        <f>Sheet1!E43</f>
        <v>30.94736842105263</v>
      </c>
      <c r="D19">
        <f>Sheet1!F43</f>
        <v>9.3636363636363633</v>
      </c>
      <c r="E19">
        <f>Sheet1!G43</f>
        <v>10.214285714285714</v>
      </c>
      <c r="F19">
        <f>Sheet1!H43</f>
        <v>22.076923076923077</v>
      </c>
      <c r="G19">
        <f>Sheet1!I43</f>
        <v>7.4666666666666668</v>
      </c>
      <c r="H19">
        <f>Sheet1!J43</f>
        <v>16.384615384615383</v>
      </c>
      <c r="I19">
        <f>Sheet1!K43</f>
        <v>30.625</v>
      </c>
      <c r="J19">
        <f>Sheet1!L43</f>
        <v>11.461538461538462</v>
      </c>
      <c r="K19">
        <f>Sheet1!M43</f>
        <v>12.5</v>
      </c>
      <c r="L19">
        <f>Sheet1!N43</f>
        <v>3.7407407407407409</v>
      </c>
      <c r="M19">
        <f>Sheet1!O43</f>
        <v>3</v>
      </c>
      <c r="N19">
        <f>Sheet1!P43</f>
        <v>3.3888888888888888</v>
      </c>
      <c r="O19">
        <f>Sheet1!Q43</f>
        <v>11.285714285714286</v>
      </c>
      <c r="P19">
        <f>Sheet1!R43</f>
        <v>6.3125</v>
      </c>
      <c r="Q19">
        <f>Sheet1!S43</f>
        <v>39.666666666666664</v>
      </c>
      <c r="R19">
        <f>Sheet1!T43</f>
        <v>0</v>
      </c>
      <c r="S19">
        <f>Sheet1!U43</f>
        <v>5.6538461538461542</v>
      </c>
      <c r="T19">
        <f>Sheet1!V43</f>
        <v>7.583333333333333</v>
      </c>
      <c r="U19">
        <f>Sheet1!W43</f>
        <v>5.8095238095238093</v>
      </c>
      <c r="V19">
        <f>Sheet1!X43</f>
        <v>5.3157894736842106</v>
      </c>
    </row>
    <row r="20" spans="1:22" x14ac:dyDescent="0.3">
      <c r="A20">
        <f>Sheet1!C44</f>
        <v>144</v>
      </c>
      <c r="B20">
        <f>Sheet1!D44</f>
        <v>10.5</v>
      </c>
      <c r="C20">
        <f>Sheet1!E44</f>
        <v>23.368421052631579</v>
      </c>
      <c r="D20">
        <f>Sheet1!F44</f>
        <v>22.636363636363637</v>
      </c>
      <c r="E20">
        <f>Sheet1!G44</f>
        <v>20.071428571428573</v>
      </c>
      <c r="F20">
        <f>Sheet1!H44</f>
        <v>13.615384615384615</v>
      </c>
      <c r="G20">
        <f>Sheet1!I44</f>
        <v>4.666666666666667</v>
      </c>
      <c r="H20">
        <f>Sheet1!J44</f>
        <v>27.76923076923077</v>
      </c>
      <c r="I20">
        <f>Sheet1!K44</f>
        <v>21.6875</v>
      </c>
      <c r="J20">
        <f>Sheet1!L44</f>
        <v>7.615384615384615</v>
      </c>
      <c r="K20">
        <f>Sheet1!M44</f>
        <v>21.222222222222221</v>
      </c>
      <c r="L20">
        <f>Sheet1!N44</f>
        <v>9.0740740740740744</v>
      </c>
      <c r="M20">
        <f>Sheet1!O44</f>
        <v>6.2608695652173916</v>
      </c>
      <c r="N20">
        <f>Sheet1!P44</f>
        <v>5.2222222222222223</v>
      </c>
      <c r="O20">
        <f>Sheet1!Q44</f>
        <v>8.9047619047619051</v>
      </c>
      <c r="P20">
        <f>Sheet1!R44</f>
        <v>2.9375</v>
      </c>
      <c r="Q20">
        <f>Sheet1!S44</f>
        <v>31.666666666666668</v>
      </c>
      <c r="R20">
        <f>Sheet1!T44</f>
        <v>13.363636363636363</v>
      </c>
      <c r="S20">
        <f>Sheet1!U44</f>
        <v>0</v>
      </c>
      <c r="T20">
        <f>Sheet1!V44</f>
        <v>4.625</v>
      </c>
      <c r="U20">
        <f>Sheet1!W44</f>
        <v>9.7142857142857135</v>
      </c>
      <c r="V20">
        <f>Sheet1!X44</f>
        <v>2.5263157894736841</v>
      </c>
    </row>
    <row r="21" spans="1:22" x14ac:dyDescent="0.3">
      <c r="A21">
        <f>Sheet1!C45</f>
        <v>38</v>
      </c>
      <c r="B21">
        <f>Sheet1!D45</f>
        <v>11.727272727272727</v>
      </c>
      <c r="C21">
        <f>Sheet1!E45</f>
        <v>22.473684210526315</v>
      </c>
      <c r="D21">
        <f>Sheet1!F45</f>
        <v>22.90909090909091</v>
      </c>
      <c r="E21">
        <f>Sheet1!G45</f>
        <v>19.785714285714285</v>
      </c>
      <c r="F21">
        <f>Sheet1!H45</f>
        <v>10.76923076923077</v>
      </c>
      <c r="G21">
        <f>Sheet1!I45</f>
        <v>1.9</v>
      </c>
      <c r="H21">
        <f>Sheet1!J45</f>
        <v>29.923076923076923</v>
      </c>
      <c r="I21">
        <f>Sheet1!K45</f>
        <v>20.5625</v>
      </c>
      <c r="J21">
        <f>Sheet1!L45</f>
        <v>2.6923076923076925</v>
      </c>
      <c r="K21">
        <f>Sheet1!M45</f>
        <v>23.388888888888889</v>
      </c>
      <c r="L21">
        <f>Sheet1!N45</f>
        <v>10.518518518518519</v>
      </c>
      <c r="M21">
        <f>Sheet1!O45</f>
        <v>7.9130434782608692</v>
      </c>
      <c r="N21">
        <f>Sheet1!P45</f>
        <v>7.3888888888888893</v>
      </c>
      <c r="O21">
        <f>Sheet1!Q45</f>
        <v>2.3809523809523809</v>
      </c>
      <c r="P21">
        <f>Sheet1!R45</f>
        <v>5.3125</v>
      </c>
      <c r="Q21">
        <f>Sheet1!S45</f>
        <v>30.722222222222221</v>
      </c>
      <c r="R21">
        <f>Sheet1!T45</f>
        <v>16.727272727272727</v>
      </c>
      <c r="S21">
        <f>Sheet1!U45</f>
        <v>4.3461538461538458</v>
      </c>
      <c r="T21">
        <f>Sheet1!V45</f>
        <v>0</v>
      </c>
      <c r="U21">
        <f>Sheet1!W45</f>
        <v>11.571428571428571</v>
      </c>
      <c r="V21">
        <f>Sheet1!X45</f>
        <v>4.6315789473684212</v>
      </c>
    </row>
    <row r="22" spans="1:22" x14ac:dyDescent="0.3">
      <c r="A22">
        <f>Sheet1!C46</f>
        <v>278</v>
      </c>
      <c r="B22">
        <f>Sheet1!D46</f>
        <v>7.1818181818181817</v>
      </c>
      <c r="C22">
        <f>Sheet1!E46</f>
        <v>35.631578947368418</v>
      </c>
      <c r="D22">
        <f>Sheet1!F46</f>
        <v>17.545454545454547</v>
      </c>
      <c r="E22">
        <f>Sheet1!G46</f>
        <v>16.142857142857142</v>
      </c>
      <c r="F22">
        <f>Sheet1!H46</f>
        <v>26.53846153846154</v>
      </c>
      <c r="G22">
        <f>Sheet1!I46</f>
        <v>9.4</v>
      </c>
      <c r="H22">
        <f>Sheet1!J46</f>
        <v>20.923076923076923</v>
      </c>
      <c r="I22">
        <f>Sheet1!K46</f>
        <v>36.1875</v>
      </c>
      <c r="J22">
        <f>Sheet1!L46</f>
        <v>16</v>
      </c>
      <c r="K22">
        <f>Sheet1!M46</f>
        <v>13</v>
      </c>
      <c r="L22">
        <f>Sheet1!N46</f>
        <v>1.8518518518518519</v>
      </c>
      <c r="M22">
        <f>Sheet1!O46</f>
        <v>3.6086956521739131</v>
      </c>
      <c r="N22">
        <f>Sheet1!P46</f>
        <v>6.3888888888888893</v>
      </c>
      <c r="O22">
        <f>Sheet1!Q46</f>
        <v>14.142857142857142</v>
      </c>
      <c r="P22">
        <f>Sheet1!R46</f>
        <v>9.9375</v>
      </c>
      <c r="Q22">
        <f>Sheet1!S46</f>
        <v>44.555555555555557</v>
      </c>
      <c r="R22">
        <f>Sheet1!T46</f>
        <v>11.090909090909092</v>
      </c>
      <c r="S22">
        <f>Sheet1!U46</f>
        <v>7.8461538461538458</v>
      </c>
      <c r="T22">
        <f>Sheet1!V46</f>
        <v>10.041666666666666</v>
      </c>
      <c r="U22">
        <f>Sheet1!W46</f>
        <v>0</v>
      </c>
      <c r="V22">
        <f>Sheet1!X46</f>
        <v>8.3157894736842106</v>
      </c>
    </row>
    <row r="23" spans="1:22" x14ac:dyDescent="0.3">
      <c r="A23">
        <f>Sheet1!C47</f>
        <v>122</v>
      </c>
      <c r="B23">
        <f>Sheet1!D47</f>
        <v>8.4090909090909083</v>
      </c>
      <c r="C23">
        <f>Sheet1!E47</f>
        <v>25.789473684210527</v>
      </c>
      <c r="D23">
        <f>Sheet1!F47</f>
        <v>18.454545454545453</v>
      </c>
      <c r="E23">
        <f>Sheet1!G47</f>
        <v>16.857142857142858</v>
      </c>
      <c r="F23">
        <f>Sheet1!H47</f>
        <v>14.461538461538462</v>
      </c>
      <c r="G23">
        <f>Sheet1!I47</f>
        <v>4.2</v>
      </c>
      <c r="H23">
        <f>Sheet1!J47</f>
        <v>24.23076923076923</v>
      </c>
      <c r="I23">
        <f>Sheet1!K47</f>
        <v>24.5</v>
      </c>
      <c r="J23">
        <f>Sheet1!L47</f>
        <v>4</v>
      </c>
      <c r="K23">
        <f>Sheet1!M47</f>
        <v>18.666666666666668</v>
      </c>
      <c r="L23">
        <f>Sheet1!N47</f>
        <v>7.3703703703703702</v>
      </c>
      <c r="M23">
        <f>Sheet1!O47</f>
        <v>4.2173913043478262</v>
      </c>
      <c r="N23">
        <f>Sheet1!P47</f>
        <v>2.6666666666666665</v>
      </c>
      <c r="O23">
        <f>Sheet1!Q47</f>
        <v>6.7619047619047619</v>
      </c>
      <c r="P23">
        <f>Sheet1!R47</f>
        <v>0.125</v>
      </c>
      <c r="Q23">
        <f>Sheet1!S47</f>
        <v>34.222222222222221</v>
      </c>
      <c r="R23">
        <f>Sheet1!T47</f>
        <v>9.1818181818181817</v>
      </c>
      <c r="S23">
        <f>Sheet1!U47</f>
        <v>1.8461538461538463</v>
      </c>
      <c r="T23">
        <f>Sheet1!V47</f>
        <v>3.5416666666666665</v>
      </c>
      <c r="U23">
        <f>Sheet1!W47</f>
        <v>7.5238095238095237</v>
      </c>
      <c r="V23">
        <f>Sheet1!X47</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890C-962A-4B74-8692-59D80C1C1B55}">
  <sheetPr codeName="Sheet6"/>
  <dimension ref="A1:V23"/>
  <sheetViews>
    <sheetView workbookViewId="0">
      <selection activeCell="F11" sqref="F11"/>
    </sheetView>
  </sheetViews>
  <sheetFormatPr defaultRowHeight="14.4" x14ac:dyDescent="0.3"/>
  <sheetData>
    <row r="1" spans="1:22" x14ac:dyDescent="0.3">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3">
      <c r="A2">
        <v>0</v>
      </c>
      <c r="B2">
        <v>290</v>
      </c>
      <c r="C2">
        <v>404</v>
      </c>
      <c r="D2">
        <v>284</v>
      </c>
      <c r="E2">
        <v>309</v>
      </c>
      <c r="F2">
        <v>116</v>
      </c>
      <c r="G2">
        <v>46</v>
      </c>
      <c r="H2">
        <v>440</v>
      </c>
      <c r="I2">
        <v>306</v>
      </c>
      <c r="J2">
        <v>71</v>
      </c>
      <c r="K2">
        <v>457</v>
      </c>
      <c r="L2">
        <v>319</v>
      </c>
      <c r="M2">
        <v>218</v>
      </c>
      <c r="N2">
        <v>169</v>
      </c>
      <c r="O2">
        <v>36</v>
      </c>
      <c r="P2">
        <v>121</v>
      </c>
      <c r="Q2">
        <v>530</v>
      </c>
      <c r="R2">
        <v>220</v>
      </c>
      <c r="S2">
        <v>143</v>
      </c>
      <c r="T2">
        <v>38</v>
      </c>
      <c r="U2">
        <v>279</v>
      </c>
      <c r="V2">
        <v>124</v>
      </c>
    </row>
    <row r="3" spans="1:22" x14ac:dyDescent="0.3">
      <c r="A3">
        <v>290</v>
      </c>
      <c r="B3">
        <v>0</v>
      </c>
      <c r="C3">
        <v>672</v>
      </c>
      <c r="D3">
        <v>33</v>
      </c>
      <c r="E3">
        <v>59</v>
      </c>
      <c r="F3">
        <v>370</v>
      </c>
      <c r="G3">
        <v>308</v>
      </c>
      <c r="H3">
        <v>134</v>
      </c>
      <c r="I3">
        <v>574</v>
      </c>
      <c r="J3">
        <v>232</v>
      </c>
      <c r="K3">
        <v>146</v>
      </c>
      <c r="L3">
        <v>109</v>
      </c>
      <c r="M3">
        <v>151</v>
      </c>
      <c r="N3">
        <v>144</v>
      </c>
      <c r="O3">
        <v>325</v>
      </c>
      <c r="P3">
        <v>184</v>
      </c>
      <c r="Q3">
        <v>798</v>
      </c>
      <c r="R3">
        <v>82</v>
      </c>
      <c r="S3">
        <v>230</v>
      </c>
      <c r="T3">
        <v>258</v>
      </c>
      <c r="U3">
        <v>157</v>
      </c>
      <c r="V3">
        <v>184</v>
      </c>
    </row>
    <row r="4" spans="1:22" x14ac:dyDescent="0.3">
      <c r="A4">
        <v>403</v>
      </c>
      <c r="B4">
        <v>661</v>
      </c>
      <c r="C4">
        <v>0</v>
      </c>
      <c r="D4">
        <v>677</v>
      </c>
      <c r="E4">
        <v>733</v>
      </c>
      <c r="F4">
        <v>295</v>
      </c>
      <c r="G4">
        <v>367</v>
      </c>
      <c r="H4">
        <v>829</v>
      </c>
      <c r="I4">
        <v>178</v>
      </c>
      <c r="J4">
        <v>456</v>
      </c>
      <c r="K4">
        <v>854</v>
      </c>
      <c r="L4">
        <v>717</v>
      </c>
      <c r="M4">
        <v>600</v>
      </c>
      <c r="N4">
        <v>524</v>
      </c>
      <c r="O4">
        <v>425</v>
      </c>
      <c r="P4">
        <v>483</v>
      </c>
      <c r="Q4">
        <v>151</v>
      </c>
      <c r="R4">
        <v>576</v>
      </c>
      <c r="S4">
        <v>444</v>
      </c>
      <c r="T4">
        <v>427</v>
      </c>
      <c r="U4">
        <v>676</v>
      </c>
      <c r="V4">
        <v>477</v>
      </c>
    </row>
    <row r="5" spans="1:22" x14ac:dyDescent="0.3">
      <c r="A5">
        <v>284</v>
      </c>
      <c r="B5">
        <v>32</v>
      </c>
      <c r="C5">
        <v>678</v>
      </c>
      <c r="D5">
        <v>0</v>
      </c>
      <c r="E5">
        <v>36</v>
      </c>
      <c r="F5">
        <v>378</v>
      </c>
      <c r="G5">
        <v>307</v>
      </c>
      <c r="H5">
        <v>129</v>
      </c>
      <c r="I5">
        <v>580</v>
      </c>
      <c r="J5">
        <v>225</v>
      </c>
      <c r="K5">
        <v>142</v>
      </c>
      <c r="L5">
        <v>144</v>
      </c>
      <c r="M5">
        <v>169</v>
      </c>
      <c r="N5">
        <v>162</v>
      </c>
      <c r="O5">
        <v>302</v>
      </c>
      <c r="P5">
        <v>202</v>
      </c>
      <c r="Q5">
        <v>804</v>
      </c>
      <c r="R5">
        <v>103</v>
      </c>
      <c r="S5">
        <v>248</v>
      </c>
      <c r="T5">
        <v>252</v>
      </c>
      <c r="U5">
        <v>192</v>
      </c>
      <c r="V5">
        <v>202</v>
      </c>
    </row>
    <row r="6" spans="1:22" x14ac:dyDescent="0.3">
      <c r="A6">
        <v>310</v>
      </c>
      <c r="B6">
        <v>58</v>
      </c>
      <c r="C6">
        <v>734</v>
      </c>
      <c r="D6">
        <v>36</v>
      </c>
      <c r="E6">
        <v>0</v>
      </c>
      <c r="F6">
        <v>447</v>
      </c>
      <c r="G6">
        <v>334</v>
      </c>
      <c r="H6">
        <v>99</v>
      </c>
      <c r="I6">
        <v>636</v>
      </c>
      <c r="J6">
        <v>252</v>
      </c>
      <c r="K6">
        <v>112</v>
      </c>
      <c r="L6">
        <v>178</v>
      </c>
      <c r="M6">
        <v>212</v>
      </c>
      <c r="N6">
        <v>205</v>
      </c>
      <c r="O6">
        <v>310</v>
      </c>
      <c r="P6">
        <v>235</v>
      </c>
      <c r="Q6">
        <v>860</v>
      </c>
      <c r="R6">
        <v>143</v>
      </c>
      <c r="S6">
        <v>281</v>
      </c>
      <c r="T6">
        <v>278</v>
      </c>
      <c r="U6">
        <v>226</v>
      </c>
      <c r="V6">
        <v>236</v>
      </c>
    </row>
    <row r="7" spans="1:22" x14ac:dyDescent="0.3">
      <c r="A7">
        <v>116</v>
      </c>
      <c r="B7">
        <v>371</v>
      </c>
      <c r="C7">
        <v>296</v>
      </c>
      <c r="D7">
        <v>380</v>
      </c>
      <c r="E7">
        <v>445</v>
      </c>
      <c r="F7">
        <v>0</v>
      </c>
      <c r="G7">
        <v>80</v>
      </c>
      <c r="H7">
        <v>501</v>
      </c>
      <c r="I7">
        <v>198</v>
      </c>
      <c r="J7">
        <v>152</v>
      </c>
      <c r="K7">
        <v>522</v>
      </c>
      <c r="L7">
        <v>385</v>
      </c>
      <c r="M7">
        <v>283</v>
      </c>
      <c r="N7">
        <v>234</v>
      </c>
      <c r="O7">
        <v>138</v>
      </c>
      <c r="P7">
        <v>182</v>
      </c>
      <c r="Q7">
        <v>422</v>
      </c>
      <c r="R7">
        <v>286</v>
      </c>
      <c r="S7">
        <v>177</v>
      </c>
      <c r="T7">
        <v>140</v>
      </c>
      <c r="U7">
        <v>344</v>
      </c>
      <c r="V7">
        <v>188</v>
      </c>
    </row>
    <row r="8" spans="1:22" x14ac:dyDescent="0.3">
      <c r="A8">
        <v>46</v>
      </c>
      <c r="B8">
        <v>308</v>
      </c>
      <c r="C8">
        <v>368</v>
      </c>
      <c r="D8">
        <v>312</v>
      </c>
      <c r="E8">
        <v>338</v>
      </c>
      <c r="F8">
        <v>81</v>
      </c>
      <c r="G8">
        <v>0</v>
      </c>
      <c r="H8">
        <v>438</v>
      </c>
      <c r="I8">
        <v>270</v>
      </c>
      <c r="J8">
        <v>80</v>
      </c>
      <c r="K8">
        <v>459</v>
      </c>
      <c r="L8">
        <v>322</v>
      </c>
      <c r="M8">
        <v>220</v>
      </c>
      <c r="N8">
        <v>171</v>
      </c>
      <c r="O8">
        <v>76</v>
      </c>
      <c r="P8">
        <v>120</v>
      </c>
      <c r="Q8">
        <v>494</v>
      </c>
      <c r="R8">
        <v>224</v>
      </c>
      <c r="S8">
        <v>142</v>
      </c>
      <c r="T8">
        <v>62</v>
      </c>
      <c r="U8">
        <v>281</v>
      </c>
      <c r="V8">
        <v>125</v>
      </c>
    </row>
    <row r="9" spans="1:22" x14ac:dyDescent="0.3">
      <c r="A9">
        <v>440</v>
      </c>
      <c r="B9">
        <v>132</v>
      </c>
      <c r="C9">
        <v>833</v>
      </c>
      <c r="D9">
        <v>129</v>
      </c>
      <c r="E9">
        <v>99</v>
      </c>
      <c r="F9">
        <v>500</v>
      </c>
      <c r="G9">
        <v>438</v>
      </c>
      <c r="H9">
        <v>0</v>
      </c>
      <c r="I9">
        <v>735</v>
      </c>
      <c r="J9">
        <v>362</v>
      </c>
      <c r="K9">
        <v>37</v>
      </c>
      <c r="L9">
        <v>225</v>
      </c>
      <c r="M9">
        <v>282</v>
      </c>
      <c r="N9">
        <v>274</v>
      </c>
      <c r="O9">
        <v>408</v>
      </c>
      <c r="P9">
        <v>314</v>
      </c>
      <c r="Q9">
        <v>959</v>
      </c>
      <c r="R9">
        <v>212</v>
      </c>
      <c r="S9">
        <v>360</v>
      </c>
      <c r="T9">
        <v>388</v>
      </c>
      <c r="U9">
        <v>272</v>
      </c>
      <c r="V9">
        <v>314</v>
      </c>
    </row>
    <row r="10" spans="1:22" x14ac:dyDescent="0.3">
      <c r="A10">
        <v>306</v>
      </c>
      <c r="B10">
        <v>575</v>
      </c>
      <c r="C10">
        <v>180</v>
      </c>
      <c r="D10">
        <v>580</v>
      </c>
      <c r="E10">
        <v>636</v>
      </c>
      <c r="F10">
        <v>198</v>
      </c>
      <c r="G10">
        <v>271</v>
      </c>
      <c r="H10">
        <v>732</v>
      </c>
      <c r="I10">
        <v>0</v>
      </c>
      <c r="J10">
        <v>359</v>
      </c>
      <c r="K10">
        <v>758</v>
      </c>
      <c r="L10">
        <v>620</v>
      </c>
      <c r="M10">
        <v>503</v>
      </c>
      <c r="N10">
        <v>438</v>
      </c>
      <c r="O10">
        <v>328</v>
      </c>
      <c r="P10">
        <v>386</v>
      </c>
      <c r="Q10">
        <v>277</v>
      </c>
      <c r="R10">
        <v>490</v>
      </c>
      <c r="S10">
        <v>347</v>
      </c>
      <c r="T10">
        <v>330</v>
      </c>
      <c r="U10">
        <v>580</v>
      </c>
      <c r="V10">
        <v>392</v>
      </c>
    </row>
    <row r="11" spans="1:22" x14ac:dyDescent="0.3">
      <c r="A11">
        <v>70</v>
      </c>
      <c r="B11">
        <v>233</v>
      </c>
      <c r="C11">
        <v>457</v>
      </c>
      <c r="D11">
        <v>225</v>
      </c>
      <c r="E11">
        <v>251</v>
      </c>
      <c r="F11">
        <v>152</v>
      </c>
      <c r="G11">
        <v>80</v>
      </c>
      <c r="H11">
        <v>363</v>
      </c>
      <c r="I11">
        <v>359</v>
      </c>
      <c r="J11">
        <v>0</v>
      </c>
      <c r="K11">
        <v>386</v>
      </c>
      <c r="L11">
        <v>248</v>
      </c>
      <c r="M11">
        <v>147</v>
      </c>
      <c r="N11">
        <v>98</v>
      </c>
      <c r="O11">
        <v>84</v>
      </c>
      <c r="P11">
        <v>50</v>
      </c>
      <c r="Q11">
        <v>583</v>
      </c>
      <c r="R11">
        <v>149</v>
      </c>
      <c r="S11">
        <v>98</v>
      </c>
      <c r="T11">
        <v>33</v>
      </c>
      <c r="U11">
        <v>208</v>
      </c>
      <c r="V11">
        <v>53</v>
      </c>
    </row>
    <row r="12" spans="1:22" x14ac:dyDescent="0.3">
      <c r="A12">
        <v>456</v>
      </c>
      <c r="B12">
        <v>145</v>
      </c>
      <c r="C12">
        <v>854</v>
      </c>
      <c r="D12">
        <v>142</v>
      </c>
      <c r="E12">
        <v>112</v>
      </c>
      <c r="F12">
        <v>523</v>
      </c>
      <c r="G12">
        <v>460</v>
      </c>
      <c r="H12">
        <v>37</v>
      </c>
      <c r="I12">
        <v>756</v>
      </c>
      <c r="J12">
        <v>386</v>
      </c>
      <c r="K12">
        <v>0</v>
      </c>
      <c r="L12">
        <v>187</v>
      </c>
      <c r="M12">
        <v>261</v>
      </c>
      <c r="N12">
        <v>293</v>
      </c>
      <c r="O12">
        <v>422</v>
      </c>
      <c r="P12">
        <v>336</v>
      </c>
      <c r="Q12">
        <v>980</v>
      </c>
      <c r="R12">
        <v>225</v>
      </c>
      <c r="S12">
        <v>382</v>
      </c>
      <c r="T12">
        <v>419</v>
      </c>
      <c r="U12">
        <v>234</v>
      </c>
      <c r="V12">
        <v>336</v>
      </c>
    </row>
    <row r="13" spans="1:22" x14ac:dyDescent="0.3">
      <c r="A13">
        <v>318</v>
      </c>
      <c r="B13">
        <v>109</v>
      </c>
      <c r="C13">
        <v>717</v>
      </c>
      <c r="D13">
        <v>144</v>
      </c>
      <c r="E13">
        <v>178</v>
      </c>
      <c r="F13">
        <v>385</v>
      </c>
      <c r="G13">
        <v>322</v>
      </c>
      <c r="H13">
        <v>224</v>
      </c>
      <c r="I13">
        <v>619</v>
      </c>
      <c r="J13">
        <v>248</v>
      </c>
      <c r="K13">
        <v>186</v>
      </c>
      <c r="L13">
        <v>0</v>
      </c>
      <c r="M13">
        <v>123</v>
      </c>
      <c r="N13">
        <v>156</v>
      </c>
      <c r="O13">
        <v>337</v>
      </c>
      <c r="P13">
        <v>199</v>
      </c>
      <c r="Q13">
        <v>843</v>
      </c>
      <c r="R13">
        <v>101</v>
      </c>
      <c r="S13">
        <v>245</v>
      </c>
      <c r="T13">
        <v>282</v>
      </c>
      <c r="U13">
        <v>50</v>
      </c>
      <c r="V13">
        <v>198</v>
      </c>
    </row>
    <row r="14" spans="1:22" x14ac:dyDescent="0.3">
      <c r="A14">
        <v>217</v>
      </c>
      <c r="B14">
        <v>152</v>
      </c>
      <c r="C14">
        <v>600</v>
      </c>
      <c r="D14">
        <v>169</v>
      </c>
      <c r="E14">
        <v>212</v>
      </c>
      <c r="F14">
        <v>284</v>
      </c>
      <c r="G14">
        <v>221</v>
      </c>
      <c r="H14">
        <v>281</v>
      </c>
      <c r="I14">
        <v>502</v>
      </c>
      <c r="J14">
        <v>147</v>
      </c>
      <c r="K14">
        <v>261</v>
      </c>
      <c r="L14">
        <v>123</v>
      </c>
      <c r="M14">
        <v>0</v>
      </c>
      <c r="N14">
        <v>55</v>
      </c>
      <c r="O14">
        <v>236</v>
      </c>
      <c r="P14">
        <v>98</v>
      </c>
      <c r="Q14">
        <v>726</v>
      </c>
      <c r="R14">
        <v>68</v>
      </c>
      <c r="S14">
        <v>144</v>
      </c>
      <c r="T14">
        <v>181</v>
      </c>
      <c r="U14">
        <v>83</v>
      </c>
      <c r="V14">
        <v>97</v>
      </c>
    </row>
    <row r="15" spans="1:22" x14ac:dyDescent="0.3">
      <c r="A15">
        <v>168</v>
      </c>
      <c r="B15">
        <v>145</v>
      </c>
      <c r="C15">
        <v>536</v>
      </c>
      <c r="D15">
        <v>163</v>
      </c>
      <c r="E15">
        <v>206</v>
      </c>
      <c r="F15">
        <v>234</v>
      </c>
      <c r="G15">
        <v>172</v>
      </c>
      <c r="H15">
        <v>275</v>
      </c>
      <c r="I15">
        <v>438</v>
      </c>
      <c r="J15">
        <v>98</v>
      </c>
      <c r="K15">
        <v>294</v>
      </c>
      <c r="L15">
        <v>156</v>
      </c>
      <c r="M15">
        <v>55</v>
      </c>
      <c r="N15">
        <v>0</v>
      </c>
      <c r="O15">
        <v>187</v>
      </c>
      <c r="P15">
        <v>48</v>
      </c>
      <c r="Q15">
        <v>662</v>
      </c>
      <c r="R15">
        <v>61</v>
      </c>
      <c r="S15">
        <v>94</v>
      </c>
      <c r="T15">
        <v>131</v>
      </c>
      <c r="U15">
        <v>116</v>
      </c>
      <c r="V15">
        <v>47</v>
      </c>
    </row>
    <row r="16" spans="1:22" x14ac:dyDescent="0.3">
      <c r="A16">
        <v>32</v>
      </c>
      <c r="B16">
        <v>324</v>
      </c>
      <c r="C16">
        <v>425</v>
      </c>
      <c r="D16">
        <v>297</v>
      </c>
      <c r="E16">
        <v>309</v>
      </c>
      <c r="F16">
        <v>138</v>
      </c>
      <c r="G16">
        <v>76</v>
      </c>
      <c r="H16">
        <v>405</v>
      </c>
      <c r="I16">
        <v>327</v>
      </c>
      <c r="J16">
        <v>84</v>
      </c>
      <c r="K16">
        <v>421</v>
      </c>
      <c r="L16">
        <v>337</v>
      </c>
      <c r="M16">
        <v>236</v>
      </c>
      <c r="N16">
        <v>187</v>
      </c>
      <c r="O16">
        <v>0</v>
      </c>
      <c r="P16">
        <v>141</v>
      </c>
      <c r="Q16">
        <v>551</v>
      </c>
      <c r="R16">
        <v>237</v>
      </c>
      <c r="S16">
        <v>187</v>
      </c>
      <c r="T16">
        <v>50</v>
      </c>
      <c r="U16">
        <v>297</v>
      </c>
      <c r="V16">
        <v>142</v>
      </c>
    </row>
    <row r="17" spans="1:22" x14ac:dyDescent="0.3">
      <c r="A17">
        <v>120</v>
      </c>
      <c r="B17">
        <v>185</v>
      </c>
      <c r="C17">
        <v>488</v>
      </c>
      <c r="D17">
        <v>203</v>
      </c>
      <c r="E17">
        <v>234</v>
      </c>
      <c r="F17">
        <v>187</v>
      </c>
      <c r="G17">
        <v>124</v>
      </c>
      <c r="H17">
        <v>315</v>
      </c>
      <c r="I17">
        <v>390</v>
      </c>
      <c r="J17">
        <v>50</v>
      </c>
      <c r="K17">
        <v>337</v>
      </c>
      <c r="L17">
        <v>199</v>
      </c>
      <c r="M17">
        <v>98</v>
      </c>
      <c r="N17">
        <v>48</v>
      </c>
      <c r="O17">
        <v>141</v>
      </c>
      <c r="P17">
        <v>0</v>
      </c>
      <c r="Q17">
        <v>614</v>
      </c>
      <c r="R17">
        <v>101</v>
      </c>
      <c r="S17">
        <v>47</v>
      </c>
      <c r="T17">
        <v>83</v>
      </c>
      <c r="U17">
        <v>159</v>
      </c>
      <c r="V17">
        <v>2</v>
      </c>
    </row>
    <row r="18" spans="1:22" x14ac:dyDescent="0.3">
      <c r="A18">
        <v>530</v>
      </c>
      <c r="B18">
        <v>788</v>
      </c>
      <c r="C18">
        <v>152</v>
      </c>
      <c r="D18">
        <v>804</v>
      </c>
      <c r="E18">
        <v>860</v>
      </c>
      <c r="F18">
        <v>422</v>
      </c>
      <c r="G18">
        <v>494</v>
      </c>
      <c r="H18">
        <v>956</v>
      </c>
      <c r="I18">
        <v>275</v>
      </c>
      <c r="J18">
        <v>583</v>
      </c>
      <c r="K18">
        <v>981</v>
      </c>
      <c r="L18">
        <v>844</v>
      </c>
      <c r="M18">
        <v>727</v>
      </c>
      <c r="N18">
        <v>651</v>
      </c>
      <c r="O18">
        <v>552</v>
      </c>
      <c r="P18">
        <v>610</v>
      </c>
      <c r="Q18">
        <v>0</v>
      </c>
      <c r="R18">
        <v>703</v>
      </c>
      <c r="S18">
        <v>571</v>
      </c>
      <c r="T18">
        <v>554</v>
      </c>
      <c r="U18">
        <v>803</v>
      </c>
      <c r="V18">
        <v>605</v>
      </c>
    </row>
    <row r="19" spans="1:22" x14ac:dyDescent="0.3">
      <c r="A19">
        <v>219</v>
      </c>
      <c r="B19">
        <v>83</v>
      </c>
      <c r="C19">
        <v>588</v>
      </c>
      <c r="D19">
        <v>103</v>
      </c>
      <c r="E19">
        <v>143</v>
      </c>
      <c r="F19">
        <v>287</v>
      </c>
      <c r="G19">
        <v>224</v>
      </c>
      <c r="H19">
        <v>213</v>
      </c>
      <c r="I19">
        <v>490</v>
      </c>
      <c r="J19">
        <v>149</v>
      </c>
      <c r="K19">
        <v>225</v>
      </c>
      <c r="L19">
        <v>101</v>
      </c>
      <c r="M19">
        <v>69</v>
      </c>
      <c r="N19">
        <v>61</v>
      </c>
      <c r="O19">
        <v>237</v>
      </c>
      <c r="P19">
        <v>101</v>
      </c>
      <c r="Q19">
        <v>714</v>
      </c>
      <c r="R19">
        <v>0</v>
      </c>
      <c r="S19">
        <v>147</v>
      </c>
      <c r="T19">
        <v>182</v>
      </c>
      <c r="U19">
        <v>122</v>
      </c>
      <c r="V19">
        <v>101</v>
      </c>
    </row>
    <row r="20" spans="1:22" x14ac:dyDescent="0.3">
      <c r="A20">
        <v>144</v>
      </c>
      <c r="B20">
        <v>231</v>
      </c>
      <c r="C20">
        <v>444</v>
      </c>
      <c r="D20">
        <v>249</v>
      </c>
      <c r="E20">
        <v>281</v>
      </c>
      <c r="F20">
        <v>177</v>
      </c>
      <c r="G20">
        <v>140</v>
      </c>
      <c r="H20">
        <v>361</v>
      </c>
      <c r="I20">
        <v>347</v>
      </c>
      <c r="J20">
        <v>99</v>
      </c>
      <c r="K20">
        <v>382</v>
      </c>
      <c r="L20">
        <v>245</v>
      </c>
      <c r="M20">
        <v>144</v>
      </c>
      <c r="N20">
        <v>94</v>
      </c>
      <c r="O20">
        <v>187</v>
      </c>
      <c r="P20">
        <v>47</v>
      </c>
      <c r="Q20">
        <v>570</v>
      </c>
      <c r="R20">
        <v>147</v>
      </c>
      <c r="S20">
        <v>0</v>
      </c>
      <c r="T20">
        <v>111</v>
      </c>
      <c r="U20">
        <v>204</v>
      </c>
      <c r="V20">
        <v>48</v>
      </c>
    </row>
    <row r="21" spans="1:22" x14ac:dyDescent="0.3">
      <c r="A21">
        <v>38</v>
      </c>
      <c r="B21">
        <v>258</v>
      </c>
      <c r="C21">
        <v>427</v>
      </c>
      <c r="D21">
        <v>252</v>
      </c>
      <c r="E21">
        <v>277</v>
      </c>
      <c r="F21">
        <v>140</v>
      </c>
      <c r="G21">
        <v>57</v>
      </c>
      <c r="H21">
        <v>389</v>
      </c>
      <c r="I21">
        <v>329</v>
      </c>
      <c r="J21">
        <v>35</v>
      </c>
      <c r="K21">
        <v>421</v>
      </c>
      <c r="L21">
        <v>284</v>
      </c>
      <c r="M21">
        <v>182</v>
      </c>
      <c r="N21">
        <v>133</v>
      </c>
      <c r="O21">
        <v>50</v>
      </c>
      <c r="P21">
        <v>85</v>
      </c>
      <c r="Q21">
        <v>553</v>
      </c>
      <c r="R21">
        <v>184</v>
      </c>
      <c r="S21">
        <v>113</v>
      </c>
      <c r="T21">
        <v>0</v>
      </c>
      <c r="U21">
        <v>243</v>
      </c>
      <c r="V21">
        <v>88</v>
      </c>
    </row>
    <row r="22" spans="1:22" x14ac:dyDescent="0.3">
      <c r="A22">
        <v>278</v>
      </c>
      <c r="B22">
        <v>158</v>
      </c>
      <c r="C22">
        <v>677</v>
      </c>
      <c r="D22">
        <v>193</v>
      </c>
      <c r="E22">
        <v>226</v>
      </c>
      <c r="F22">
        <v>345</v>
      </c>
      <c r="G22">
        <v>282</v>
      </c>
      <c r="H22">
        <v>272</v>
      </c>
      <c r="I22">
        <v>579</v>
      </c>
      <c r="J22">
        <v>208</v>
      </c>
      <c r="K22">
        <v>234</v>
      </c>
      <c r="L22">
        <v>50</v>
      </c>
      <c r="M22">
        <v>83</v>
      </c>
      <c r="N22">
        <v>115</v>
      </c>
      <c r="O22">
        <v>297</v>
      </c>
      <c r="P22">
        <v>159</v>
      </c>
      <c r="Q22">
        <v>802</v>
      </c>
      <c r="R22">
        <v>122</v>
      </c>
      <c r="S22">
        <v>204</v>
      </c>
      <c r="T22">
        <v>241</v>
      </c>
      <c r="U22">
        <v>0</v>
      </c>
      <c r="V22">
        <v>158</v>
      </c>
    </row>
    <row r="23" spans="1:22" x14ac:dyDescent="0.3">
      <c r="A23">
        <v>122</v>
      </c>
      <c r="B23">
        <v>185</v>
      </c>
      <c r="C23">
        <v>490</v>
      </c>
      <c r="D23">
        <v>203</v>
      </c>
      <c r="E23">
        <v>236</v>
      </c>
      <c r="F23">
        <v>188</v>
      </c>
      <c r="G23">
        <v>126</v>
      </c>
      <c r="H23">
        <v>315</v>
      </c>
      <c r="I23">
        <v>392</v>
      </c>
      <c r="J23">
        <v>52</v>
      </c>
      <c r="K23">
        <v>336</v>
      </c>
      <c r="L23">
        <v>199</v>
      </c>
      <c r="M23">
        <v>97</v>
      </c>
      <c r="N23">
        <v>48</v>
      </c>
      <c r="O23">
        <v>142</v>
      </c>
      <c r="P23">
        <v>2</v>
      </c>
      <c r="Q23">
        <v>616</v>
      </c>
      <c r="R23">
        <v>101</v>
      </c>
      <c r="S23">
        <v>48</v>
      </c>
      <c r="T23">
        <v>85</v>
      </c>
      <c r="U23">
        <v>158</v>
      </c>
      <c r="V2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E2117-D0AC-421B-8460-13D41757B1B2}">
  <sheetPr codeName="Sheet5"/>
  <dimension ref="A1:F23"/>
  <sheetViews>
    <sheetView workbookViewId="0">
      <selection activeCell="F10" sqref="F10"/>
    </sheetView>
  </sheetViews>
  <sheetFormatPr defaultRowHeight="14.4" x14ac:dyDescent="0.3"/>
  <cols>
    <col min="2" max="2" width="53.44140625" bestFit="1" customWidth="1"/>
    <col min="3" max="3" width="14.21875" bestFit="1" customWidth="1"/>
    <col min="4" max="4" width="16.21875" bestFit="1" customWidth="1"/>
    <col min="5" max="5" width="22" bestFit="1" customWidth="1"/>
    <col min="6" max="6" width="18.44140625" bestFit="1" customWidth="1"/>
  </cols>
  <sheetData>
    <row r="1" spans="1:6" ht="18" x14ac:dyDescent="0.35">
      <c r="A1" s="13" t="s">
        <v>2309</v>
      </c>
      <c r="B1" s="13" t="s">
        <v>16199</v>
      </c>
      <c r="C1" s="13" t="s">
        <v>16228</v>
      </c>
      <c r="D1" s="13" t="s">
        <v>16229</v>
      </c>
      <c r="E1" s="13" t="s">
        <v>16200</v>
      </c>
      <c r="F1" s="13" t="s">
        <v>16201</v>
      </c>
    </row>
    <row r="2" spans="1:6" x14ac:dyDescent="0.3">
      <c r="A2">
        <v>1</v>
      </c>
      <c r="B2" t="s">
        <v>16197</v>
      </c>
      <c r="C2">
        <v>0</v>
      </c>
      <c r="D2">
        <v>0</v>
      </c>
      <c r="E2">
        <v>5</v>
      </c>
      <c r="F2">
        <v>50</v>
      </c>
    </row>
    <row r="3" spans="1:6" x14ac:dyDescent="0.3">
      <c r="A3">
        <v>2</v>
      </c>
      <c r="B3" t="s">
        <v>16172</v>
      </c>
      <c r="C3">
        <v>21</v>
      </c>
      <c r="D3">
        <v>0</v>
      </c>
    </row>
    <row r="4" spans="1:6" x14ac:dyDescent="0.3">
      <c r="A4">
        <v>3</v>
      </c>
      <c r="B4" t="s">
        <v>16173</v>
      </c>
      <c r="C4">
        <v>18</v>
      </c>
      <c r="D4">
        <v>0</v>
      </c>
    </row>
    <row r="5" spans="1:6" x14ac:dyDescent="0.3">
      <c r="A5">
        <v>4</v>
      </c>
      <c r="B5" t="s">
        <v>16174</v>
      </c>
      <c r="C5">
        <v>10</v>
      </c>
      <c r="D5">
        <v>0</v>
      </c>
    </row>
    <row r="6" spans="1:6" x14ac:dyDescent="0.3">
      <c r="A6">
        <v>5</v>
      </c>
      <c r="B6" t="s">
        <v>16175</v>
      </c>
      <c r="C6">
        <v>13</v>
      </c>
      <c r="D6">
        <v>0</v>
      </c>
    </row>
    <row r="7" spans="1:6" x14ac:dyDescent="0.3">
      <c r="A7">
        <v>6</v>
      </c>
      <c r="B7" t="s">
        <v>16176</v>
      </c>
      <c r="C7">
        <v>12</v>
      </c>
      <c r="D7">
        <v>0</v>
      </c>
    </row>
    <row r="8" spans="1:6" x14ac:dyDescent="0.3">
      <c r="A8">
        <v>7</v>
      </c>
      <c r="B8" t="s">
        <v>16177</v>
      </c>
      <c r="C8">
        <v>29</v>
      </c>
      <c r="D8">
        <v>0</v>
      </c>
    </row>
    <row r="9" spans="1:6" x14ac:dyDescent="0.3">
      <c r="A9">
        <v>8</v>
      </c>
      <c r="B9" t="s">
        <v>16178</v>
      </c>
      <c r="C9">
        <v>12</v>
      </c>
      <c r="D9">
        <v>0</v>
      </c>
    </row>
    <row r="10" spans="1:6" x14ac:dyDescent="0.3">
      <c r="A10">
        <v>9</v>
      </c>
      <c r="B10" t="s">
        <v>16179</v>
      </c>
      <c r="C10">
        <v>15</v>
      </c>
      <c r="D10">
        <v>0</v>
      </c>
    </row>
    <row r="11" spans="1:6" x14ac:dyDescent="0.3">
      <c r="A11">
        <v>10</v>
      </c>
      <c r="B11" t="s">
        <v>16180</v>
      </c>
      <c r="C11">
        <v>12</v>
      </c>
      <c r="D11">
        <v>0</v>
      </c>
    </row>
    <row r="12" spans="1:6" x14ac:dyDescent="0.3">
      <c r="A12">
        <v>11</v>
      </c>
      <c r="B12" t="s">
        <v>16181</v>
      </c>
      <c r="C12">
        <v>17</v>
      </c>
      <c r="D12">
        <v>0</v>
      </c>
    </row>
    <row r="13" spans="1:6" x14ac:dyDescent="0.3">
      <c r="A13">
        <v>12</v>
      </c>
      <c r="B13" t="s">
        <v>16182</v>
      </c>
      <c r="C13">
        <v>26</v>
      </c>
      <c r="D13">
        <v>0</v>
      </c>
    </row>
    <row r="14" spans="1:6" x14ac:dyDescent="0.3">
      <c r="A14">
        <v>13</v>
      </c>
      <c r="B14" t="s">
        <v>16183</v>
      </c>
      <c r="C14">
        <v>22</v>
      </c>
      <c r="D14">
        <v>0</v>
      </c>
    </row>
    <row r="15" spans="1:6" x14ac:dyDescent="0.3">
      <c r="A15">
        <v>14</v>
      </c>
      <c r="B15" t="s">
        <v>16184</v>
      </c>
      <c r="C15">
        <v>17</v>
      </c>
      <c r="D15">
        <v>0</v>
      </c>
    </row>
    <row r="16" spans="1:6" x14ac:dyDescent="0.3">
      <c r="A16">
        <v>15</v>
      </c>
      <c r="B16" t="s">
        <v>16185</v>
      </c>
      <c r="C16">
        <v>20</v>
      </c>
      <c r="D16">
        <v>0</v>
      </c>
    </row>
    <row r="17" spans="1:4" x14ac:dyDescent="0.3">
      <c r="A17">
        <v>16</v>
      </c>
      <c r="B17" t="s">
        <v>16186</v>
      </c>
      <c r="C17">
        <v>15</v>
      </c>
      <c r="D17">
        <v>0</v>
      </c>
    </row>
    <row r="18" spans="1:4" x14ac:dyDescent="0.3">
      <c r="A18">
        <v>17</v>
      </c>
      <c r="B18" t="s">
        <v>16187</v>
      </c>
      <c r="C18">
        <v>17</v>
      </c>
      <c r="D18">
        <v>0</v>
      </c>
    </row>
    <row r="19" spans="1:4" x14ac:dyDescent="0.3">
      <c r="A19">
        <v>18</v>
      </c>
      <c r="B19" t="s">
        <v>16188</v>
      </c>
      <c r="C19">
        <v>10</v>
      </c>
      <c r="D19">
        <v>0</v>
      </c>
    </row>
    <row r="20" spans="1:4" x14ac:dyDescent="0.3">
      <c r="A20">
        <v>19</v>
      </c>
      <c r="B20" t="s">
        <v>16189</v>
      </c>
      <c r="C20">
        <v>25</v>
      </c>
      <c r="D20">
        <v>0</v>
      </c>
    </row>
    <row r="21" spans="1:4" x14ac:dyDescent="0.3">
      <c r="A21">
        <v>20</v>
      </c>
      <c r="B21" t="s">
        <v>16190</v>
      </c>
      <c r="C21">
        <v>23</v>
      </c>
      <c r="D21">
        <v>0</v>
      </c>
    </row>
    <row r="22" spans="1:4" x14ac:dyDescent="0.3">
      <c r="A22">
        <v>21</v>
      </c>
      <c r="B22" t="s">
        <v>16191</v>
      </c>
      <c r="C22">
        <v>20</v>
      </c>
      <c r="D22">
        <v>0</v>
      </c>
    </row>
    <row r="23" spans="1:4" x14ac:dyDescent="0.3">
      <c r="A23">
        <v>22</v>
      </c>
      <c r="B23" t="s">
        <v>16193</v>
      </c>
      <c r="C23">
        <v>18</v>
      </c>
      <c r="D23">
        <v>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unPython.RunPython">
                <anchor moveWithCells="1">
                  <from>
                    <xdr:col>6</xdr:col>
                    <xdr:colOff>38100</xdr:colOff>
                    <xdr:row>5</xdr:row>
                    <xdr:rowOff>30480</xdr:rowOff>
                  </from>
                  <to>
                    <xdr:col>7</xdr:col>
                    <xdr:colOff>274320</xdr:colOff>
                    <xdr:row>6</xdr:row>
                    <xdr:rowOff>76200</xdr:rowOff>
                  </to>
                </anchor>
              </controlPr>
            </control>
          </mc:Choice>
        </mc:AlternateContent>
        <mc:AlternateContent xmlns:mc="http://schemas.openxmlformats.org/markup-compatibility/2006">
          <mc:Choice Requires="x14">
            <control shapeId="6146" r:id="rId5" name="Button 2">
              <controlPr defaultSize="0" print="0" autoFill="0" autoPict="0" macro="[0]!UpdateLinks">
                <anchor moveWithCells="1">
                  <from>
                    <xdr:col>6</xdr:col>
                    <xdr:colOff>22860</xdr:colOff>
                    <xdr:row>7</xdr:row>
                    <xdr:rowOff>0</xdr:rowOff>
                  </from>
                  <to>
                    <xdr:col>7</xdr:col>
                    <xdr:colOff>297180</xdr:colOff>
                    <xdr:row>8</xdr:row>
                    <xdr:rowOff>45720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3E1DA-7F9A-4534-AAEC-88F03CBD2A34}">
  <sheetPr codeName="Sheet7"/>
  <dimension ref="A1:AS55"/>
  <sheetViews>
    <sheetView tabSelected="1" workbookViewId="0">
      <selection activeCell="Z3" sqref="Z3"/>
    </sheetView>
  </sheetViews>
  <sheetFormatPr defaultRowHeight="14.4" x14ac:dyDescent="0.3"/>
  <cols>
    <col min="4" max="4" width="13.5546875" bestFit="1" customWidth="1"/>
    <col min="5" max="5" width="12.33203125" bestFit="1" customWidth="1"/>
    <col min="6" max="6" width="10.44140625" bestFit="1" customWidth="1"/>
    <col min="7" max="7" width="13.44140625" style="15" bestFit="1" customWidth="1"/>
    <col min="8" max="8" width="13.44140625" style="15" customWidth="1"/>
    <col min="9" max="9" width="50.44140625" bestFit="1" customWidth="1"/>
    <col min="13" max="13" width="12.6640625" bestFit="1" customWidth="1"/>
    <col min="14" max="14" width="11.21875" bestFit="1" customWidth="1"/>
    <col min="15" max="15" width="9.88671875" bestFit="1" customWidth="1"/>
    <col min="16" max="16" width="9.5546875" bestFit="1" customWidth="1"/>
    <col min="17" max="17" width="11.109375" bestFit="1" customWidth="1"/>
    <col min="18" max="18" width="50.44140625" bestFit="1" customWidth="1"/>
    <col min="22" max="22" width="12.6640625" bestFit="1" customWidth="1"/>
    <col min="23" max="23" width="11.21875" bestFit="1" customWidth="1"/>
    <col min="24" max="24" width="9.88671875" bestFit="1" customWidth="1"/>
    <col min="25" max="25" width="9.5546875" bestFit="1" customWidth="1"/>
    <col min="26" max="26" width="11.109375" bestFit="1" customWidth="1"/>
    <col min="27" max="27" width="50.44140625" bestFit="1" customWidth="1"/>
    <col min="31" max="31" width="12.6640625" bestFit="1" customWidth="1"/>
    <col min="32" max="32" width="11.21875" bestFit="1" customWidth="1"/>
    <col min="33" max="33" width="9.88671875" bestFit="1" customWidth="1"/>
    <col min="34" max="34" width="9.5546875" bestFit="1" customWidth="1"/>
    <col min="35" max="35" width="11.109375" bestFit="1" customWidth="1"/>
    <col min="36" max="36" width="50.44140625" bestFit="1" customWidth="1"/>
    <col min="37" max="37" width="8.77734375" customWidth="1"/>
    <col min="40" max="40" width="12.6640625" bestFit="1" customWidth="1"/>
    <col min="41" max="41" width="11.21875" bestFit="1" customWidth="1"/>
    <col min="42" max="42" width="9.88671875" bestFit="1" customWidth="1"/>
    <col min="43" max="43" width="9.5546875" bestFit="1" customWidth="1"/>
    <col min="44" max="44" width="11.109375" bestFit="1" customWidth="1"/>
    <col min="45" max="45" width="50.44140625" bestFit="1" customWidth="1"/>
  </cols>
  <sheetData>
    <row r="1" spans="1:45" x14ac:dyDescent="0.3">
      <c r="A1" s="16" t="s">
        <v>16138</v>
      </c>
      <c r="B1" s="16"/>
      <c r="C1" s="16"/>
      <c r="D1" s="16"/>
      <c r="E1" s="16"/>
      <c r="F1" s="16"/>
      <c r="G1" s="16"/>
      <c r="H1" s="16"/>
      <c r="I1" s="16"/>
      <c r="J1" s="16" t="s">
        <v>16139</v>
      </c>
      <c r="K1" s="16"/>
      <c r="L1" s="16"/>
      <c r="M1" s="16"/>
      <c r="N1" s="16"/>
      <c r="O1" s="16"/>
      <c r="P1" s="16"/>
      <c r="Q1" s="16"/>
      <c r="R1" s="16"/>
      <c r="S1" s="16" t="s">
        <v>16140</v>
      </c>
      <c r="T1" s="16"/>
      <c r="U1" s="16"/>
      <c r="V1" s="16"/>
      <c r="W1" s="16"/>
      <c r="X1" s="16"/>
      <c r="Y1" s="16"/>
      <c r="Z1" s="16"/>
      <c r="AA1" s="16"/>
      <c r="AB1" s="16" t="s">
        <v>16141</v>
      </c>
      <c r="AC1" s="16"/>
      <c r="AD1" s="16"/>
      <c r="AE1" s="16"/>
      <c r="AF1" s="16"/>
      <c r="AG1" s="16"/>
      <c r="AH1" s="16"/>
      <c r="AI1" s="16"/>
      <c r="AJ1" s="16"/>
      <c r="AK1" s="16" t="s">
        <v>16142</v>
      </c>
      <c r="AL1" s="16"/>
      <c r="AM1" s="16"/>
      <c r="AN1" s="16"/>
      <c r="AO1" s="16"/>
      <c r="AP1" s="16"/>
      <c r="AQ1" s="16"/>
      <c r="AR1" s="16"/>
      <c r="AS1" s="16"/>
    </row>
    <row r="2" spans="1:45" x14ac:dyDescent="0.3">
      <c r="A2" s="11" t="s">
        <v>16168</v>
      </c>
      <c r="B2" s="11" t="s">
        <v>16169</v>
      </c>
      <c r="C2" s="11" t="s">
        <v>2</v>
      </c>
      <c r="D2" s="11" t="s">
        <v>16203</v>
      </c>
      <c r="E2" s="11" t="s">
        <v>16205</v>
      </c>
      <c r="F2" s="11" t="s">
        <v>16206</v>
      </c>
      <c r="G2" s="14" t="s">
        <v>16204</v>
      </c>
      <c r="H2" s="14" t="s">
        <v>16227</v>
      </c>
      <c r="I2" s="11" t="s">
        <v>16170</v>
      </c>
      <c r="J2" s="11" t="s">
        <v>16168</v>
      </c>
      <c r="K2" s="11" t="s">
        <v>16169</v>
      </c>
      <c r="L2" s="11" t="s">
        <v>2</v>
      </c>
      <c r="M2" s="11" t="s">
        <v>16203</v>
      </c>
      <c r="N2" s="11" t="s">
        <v>16205</v>
      </c>
      <c r="O2" s="11" t="s">
        <v>16206</v>
      </c>
      <c r="P2" s="14" t="s">
        <v>16204</v>
      </c>
      <c r="Q2" s="14" t="s">
        <v>16227</v>
      </c>
      <c r="R2" s="11" t="s">
        <v>16170</v>
      </c>
      <c r="S2" s="11" t="s">
        <v>16168</v>
      </c>
      <c r="T2" s="11" t="s">
        <v>16169</v>
      </c>
      <c r="U2" s="11" t="s">
        <v>2</v>
      </c>
      <c r="V2" s="11" t="s">
        <v>16203</v>
      </c>
      <c r="W2" s="11" t="s">
        <v>16205</v>
      </c>
      <c r="X2" s="11" t="s">
        <v>16206</v>
      </c>
      <c r="Y2" s="14" t="s">
        <v>16204</v>
      </c>
      <c r="Z2" s="14" t="s">
        <v>16227</v>
      </c>
      <c r="AA2" s="11" t="s">
        <v>16170</v>
      </c>
      <c r="AB2" s="11" t="s">
        <v>16168</v>
      </c>
      <c r="AC2" s="11" t="s">
        <v>16169</v>
      </c>
      <c r="AD2" s="11" t="s">
        <v>2</v>
      </c>
      <c r="AE2" s="11" t="s">
        <v>16203</v>
      </c>
      <c r="AF2" s="11" t="s">
        <v>16205</v>
      </c>
      <c r="AG2" s="11" t="s">
        <v>16206</v>
      </c>
      <c r="AH2" s="14" t="s">
        <v>16204</v>
      </c>
      <c r="AI2" s="14" t="s">
        <v>16227</v>
      </c>
      <c r="AJ2" s="11" t="s">
        <v>16170</v>
      </c>
      <c r="AK2" s="11" t="s">
        <v>16168</v>
      </c>
      <c r="AL2" s="11" t="s">
        <v>16169</v>
      </c>
      <c r="AM2" s="11" t="s">
        <v>2</v>
      </c>
      <c r="AN2" s="11" t="s">
        <v>16203</v>
      </c>
      <c r="AO2" s="11" t="s">
        <v>16205</v>
      </c>
      <c r="AP2" s="11" t="s">
        <v>16206</v>
      </c>
      <c r="AQ2" s="14" t="s">
        <v>16204</v>
      </c>
      <c r="AR2" s="14" t="s">
        <v>16227</v>
      </c>
      <c r="AS2" s="11" t="s">
        <v>16170</v>
      </c>
    </row>
    <row r="3" spans="1:45" x14ac:dyDescent="0.3">
      <c r="A3">
        <f>'[1]m-routes'!B2</f>
        <v>1</v>
      </c>
      <c r="B3">
        <f>'[1]m-routes'!C2</f>
        <v>7</v>
      </c>
      <c r="C3">
        <f>'[1]m-distances'!B2</f>
        <v>46</v>
      </c>
      <c r="D3">
        <f>'[1]m-sumDists'!B2</f>
        <v>46</v>
      </c>
      <c r="E3">
        <f>'[1]m-units'!B2</f>
        <v>29</v>
      </c>
      <c r="F3">
        <f>'[1]m-sumUnits'!B2</f>
        <v>29</v>
      </c>
      <c r="G3" s="15">
        <f>E3/C3</f>
        <v>0.63043478260869568</v>
      </c>
      <c r="H3" s="15">
        <f>'[1]m-times'!B2</f>
        <v>1.454722222222222</v>
      </c>
      <c r="I3" t="str" cm="1">
        <f t="array" ref="I3">INDEX(addresses!B$1:B$22, B3)</f>
        <v>5282 Peanut Rd., Graceville, FL, 32440</v>
      </c>
      <c r="J3">
        <f>'[1]t-routes'!B2</f>
        <v>1</v>
      </c>
      <c r="K3">
        <f>'[1]t-routes'!C2</f>
        <v>6</v>
      </c>
      <c r="L3">
        <f>'[1]t-distances'!B2</f>
        <v>116</v>
      </c>
      <c r="M3">
        <f>'[1]t-sumDists'!B2</f>
        <v>116</v>
      </c>
      <c r="N3">
        <f>'[1]t-units'!B2</f>
        <v>12</v>
      </c>
      <c r="O3">
        <f>'[1]t-sumUnits'!B2</f>
        <v>12</v>
      </c>
      <c r="P3" s="15">
        <f>N3/L3</f>
        <v>0.10344827586206896</v>
      </c>
      <c r="Q3" s="15">
        <f>'[1]t-times'!B2</f>
        <v>2.1744444444444451</v>
      </c>
      <c r="R3" t="str" cm="1">
        <f t="array" ref="R3">INDEX(addresses!B$1:B$22, K3)</f>
        <v>711 N Main St., Havana, FL, 32333</v>
      </c>
      <c r="S3">
        <f>'[1]w-routes'!B2</f>
        <v>18</v>
      </c>
      <c r="T3">
        <f>'[1]w-routes'!C2</f>
        <v>1</v>
      </c>
      <c r="U3">
        <f>'[1]w-distances'!B2</f>
        <v>219</v>
      </c>
      <c r="V3">
        <f>'[1]w-sumDists'!B2</f>
        <v>219</v>
      </c>
      <c r="W3">
        <f>'[1]w-units'!B2</f>
        <v>0</v>
      </c>
      <c r="X3">
        <f>'[1]w-sumUnits'!B2</f>
        <v>44</v>
      </c>
      <c r="Y3" s="15">
        <f>W3/U3</f>
        <v>0</v>
      </c>
      <c r="Z3" s="15">
        <f>'[1]w-times'!B2</f>
        <v>4.7688888888888892</v>
      </c>
      <c r="AA3" t="str" cm="1">
        <f t="array" ref="AA3">INDEX(addresses!B$1:B$22, T3)</f>
        <v>4509 State Hwy 83 North, Defuniak Springs, FL, 32433</v>
      </c>
      <c r="AB3">
        <f>'[1]th-routes'!B2</f>
        <v>1</v>
      </c>
      <c r="AC3">
        <f>'[1]th-routes'!C2</f>
        <v>1</v>
      </c>
      <c r="AD3">
        <f>'[1]th-distances'!B2</f>
        <v>0</v>
      </c>
      <c r="AE3">
        <f>'[1]th-sumDists'!B2</f>
        <v>0</v>
      </c>
      <c r="AF3">
        <f>'[1]th-units'!B2</f>
        <v>0</v>
      </c>
      <c r="AG3">
        <f>'[1]th-sumUnits'!B2</f>
        <v>44</v>
      </c>
      <c r="AH3" s="15" t="e">
        <f>AF3/AD3</f>
        <v>#DIV/0!</v>
      </c>
      <c r="AI3" s="15">
        <f>'[1]th-times'!B2</f>
        <v>0.81666666666666665</v>
      </c>
      <c r="AJ3" t="str" cm="1">
        <f t="array" ref="AJ3">INDEX(addresses!B$1:B$22, AC3)</f>
        <v>4509 State Hwy 83 North, Defuniak Springs, FL, 32433</v>
      </c>
      <c r="AK3">
        <f>'[1]f-routes'!B2</f>
        <v>1</v>
      </c>
      <c r="AL3">
        <f>'[1]f-routes'!C2</f>
        <v>1</v>
      </c>
      <c r="AM3">
        <f>'[1]f-distances'!B2</f>
        <v>0</v>
      </c>
      <c r="AN3">
        <f>'[1]f-sumDists'!B2</f>
        <v>0</v>
      </c>
      <c r="AO3">
        <f>'[1]f-units'!B2</f>
        <v>0</v>
      </c>
      <c r="AP3">
        <f>'[1]f-sumUnits'!B2</f>
        <v>44</v>
      </c>
      <c r="AQ3" s="15" t="e">
        <f>AO3/AM3</f>
        <v>#DIV/0!</v>
      </c>
      <c r="AR3" s="15">
        <f>'[1]f-times'!B2</f>
        <v>0.81666666666666665</v>
      </c>
      <c r="AS3" t="str" cm="1">
        <f t="array" ref="AS3">INDEX(addresses!B$1:B$22, AL3)</f>
        <v>4509 State Hwy 83 North, Defuniak Springs, FL, 32433</v>
      </c>
    </row>
    <row r="4" spans="1:45" x14ac:dyDescent="0.3">
      <c r="A4">
        <f>'[1]m-routes'!B3</f>
        <v>7</v>
      </c>
      <c r="B4">
        <f>'[1]m-routes'!C3</f>
        <v>15</v>
      </c>
      <c r="C4">
        <f>'[1]m-distances'!B3</f>
        <v>76</v>
      </c>
      <c r="D4">
        <f>'[1]m-sumDists'!B3</f>
        <v>122</v>
      </c>
      <c r="E4">
        <f>'[1]m-units'!B3</f>
        <v>20</v>
      </c>
      <c r="F4">
        <f>'[1]m-sumUnits'!B3</f>
        <v>49</v>
      </c>
      <c r="G4" s="15">
        <f t="shared" ref="G4:G9" si="0">E4/C4</f>
        <v>0.26315789473684209</v>
      </c>
      <c r="H4" s="15">
        <f>'[1]m-times'!B3</f>
        <v>3.1455555555555561</v>
      </c>
      <c r="I4" t="str" cm="1">
        <f t="array" ref="I4">INDEX(addresses!B$1:B$22, B4)</f>
        <v>120 John King Rd, Crestview, FL, 32539</v>
      </c>
      <c r="J4">
        <f>'[1]t-routes'!B3</f>
        <v>6</v>
      </c>
      <c r="K4">
        <f>'[1]t-routes'!C3</f>
        <v>13</v>
      </c>
      <c r="L4">
        <f>'[1]t-distances'!B3</f>
        <v>283</v>
      </c>
      <c r="M4">
        <f>'[1]t-sumDists'!B3</f>
        <v>399</v>
      </c>
      <c r="N4">
        <f>'[1]t-units'!B3</f>
        <v>22</v>
      </c>
      <c r="O4">
        <f>'[1]t-sumUnits'!B3</f>
        <v>34</v>
      </c>
      <c r="P4" s="15">
        <f t="shared" ref="P4:P9" si="1">N4/L4</f>
        <v>7.7738515901060068E-2</v>
      </c>
      <c r="Q4" s="15">
        <f>'[1]t-times'!B3</f>
        <v>7.3591666666666669</v>
      </c>
      <c r="R4" t="str" cm="1">
        <f t="array" ref="R4">INDEX(addresses!B$1:B$22, K4)</f>
        <v>2656 Queenstown Road, Birmingham, AL, 35210</v>
      </c>
      <c r="S4">
        <f>'[1]w-routes'!B3</f>
        <v>5</v>
      </c>
      <c r="T4">
        <f>'[1]w-routes'!C3</f>
        <v>1</v>
      </c>
      <c r="U4">
        <f>'[1]w-distances'!B3</f>
        <v>310</v>
      </c>
      <c r="V4">
        <f>'[1]w-sumDists'!B3</f>
        <v>310</v>
      </c>
      <c r="W4">
        <f>'[1]w-units'!B3</f>
        <v>0</v>
      </c>
      <c r="X4">
        <f>'[1]w-sumUnits'!B3</f>
        <v>50</v>
      </c>
      <c r="Y4" s="15">
        <f t="shared" ref="Y4:Y9" si="2">W4/U4</f>
        <v>0</v>
      </c>
      <c r="Z4" s="15">
        <f>'[1]w-times'!B3</f>
        <v>6.5780555555555562</v>
      </c>
      <c r="AA4" t="str" cm="1">
        <f t="array" ref="AA4">INDEX(addresses!B$1:B$22, T4)</f>
        <v>4509 State Hwy 83 North, Defuniak Springs, FL, 32433</v>
      </c>
      <c r="AB4">
        <f>'[1]th-routes'!B3</f>
        <v>1</v>
      </c>
      <c r="AC4">
        <f>'[1]th-routes'!C3</f>
        <v>1</v>
      </c>
      <c r="AD4">
        <f>'[1]th-distances'!B3</f>
        <v>0</v>
      </c>
      <c r="AE4">
        <f>'[1]th-sumDists'!B3</f>
        <v>0</v>
      </c>
      <c r="AF4">
        <f>'[1]th-units'!B3</f>
        <v>0</v>
      </c>
      <c r="AG4">
        <f>'[1]th-sumUnits'!B3</f>
        <v>50</v>
      </c>
      <c r="AH4" s="15" t="e">
        <f t="shared" ref="AH4:AH9" si="3">AF4/AD4</f>
        <v>#DIV/0!</v>
      </c>
      <c r="AI4" s="15">
        <f>'[1]th-times'!B3</f>
        <v>0.91666666666666663</v>
      </c>
      <c r="AJ4" t="str" cm="1">
        <f t="array" ref="AJ4">INDEX(addresses!B$1:B$22, AC4)</f>
        <v>4509 State Hwy 83 North, Defuniak Springs, FL, 32433</v>
      </c>
      <c r="AK4">
        <f>'[1]f-routes'!B3</f>
        <v>1</v>
      </c>
      <c r="AL4">
        <f>'[1]f-routes'!C3</f>
        <v>1</v>
      </c>
      <c r="AM4">
        <f>'[1]f-distances'!B3</f>
        <v>0</v>
      </c>
      <c r="AN4">
        <f>'[1]f-sumDists'!B3</f>
        <v>0</v>
      </c>
      <c r="AO4">
        <f>'[1]f-units'!B3</f>
        <v>0</v>
      </c>
      <c r="AP4">
        <f>'[1]f-sumUnits'!B3</f>
        <v>50</v>
      </c>
      <c r="AQ4" s="15" t="e">
        <f t="shared" ref="AQ4:AQ9" si="4">AO4/AM4</f>
        <v>#DIV/0!</v>
      </c>
      <c r="AR4" s="15">
        <f>'[1]f-times'!B3</f>
        <v>0.91666666666666663</v>
      </c>
      <c r="AS4" t="str" cm="1">
        <f t="array" ref="AS4">INDEX(addresses!B$1:B$22, AL4)</f>
        <v>4509 State Hwy 83 North, Defuniak Springs, FL, 32433</v>
      </c>
    </row>
    <row r="5" spans="1:45" x14ac:dyDescent="0.3">
      <c r="A5">
        <f>'[1]m-routes'!B4</f>
        <v>15</v>
      </c>
      <c r="B5">
        <f>'[1]m-routes'!C4</f>
        <v>1</v>
      </c>
      <c r="C5">
        <f>'[1]m-distances'!B4</f>
        <v>32</v>
      </c>
      <c r="D5">
        <f>'[1]m-sumDists'!B4</f>
        <v>154</v>
      </c>
      <c r="E5">
        <f>'[1]m-units'!B4</f>
        <v>0</v>
      </c>
      <c r="F5">
        <f>'[1]m-sumUnits'!B4</f>
        <v>49</v>
      </c>
      <c r="G5" s="15">
        <f t="shared" si="0"/>
        <v>0</v>
      </c>
      <c r="H5" s="15">
        <f>'[1]m-times'!B4</f>
        <v>4.661944444444444</v>
      </c>
      <c r="I5" t="str" cm="1">
        <f t="array" ref="I5">INDEX(addresses!B$1:B$22, B5)</f>
        <v>4509 State Hwy 83 North, Defuniak Springs, FL, 32433</v>
      </c>
      <c r="J5">
        <f>'[1]t-routes'!B4</f>
        <v>13</v>
      </c>
      <c r="K5">
        <f>'[1]t-routes'!C4</f>
        <v>18</v>
      </c>
      <c r="L5">
        <f>'[1]t-distances'!B4</f>
        <v>68</v>
      </c>
      <c r="M5">
        <f>'[1]t-sumDists'!B4</f>
        <v>467</v>
      </c>
      <c r="N5">
        <f>'[1]t-units'!B4</f>
        <v>10</v>
      </c>
      <c r="O5">
        <f>'[1]t-sumUnits'!B4</f>
        <v>44</v>
      </c>
      <c r="P5" s="15">
        <f t="shared" si="1"/>
        <v>0.14705882352941177</v>
      </c>
      <c r="Q5" s="15">
        <f>'[1]t-times'!B4</f>
        <v>8.642777777777777</v>
      </c>
      <c r="R5" t="str" cm="1">
        <f t="array" ref="R5">INDEX(addresses!B$1:B$22, K5)</f>
        <v>3435 Eric Cir E, Tuscaloosa, AL, 35401</v>
      </c>
      <c r="S5">
        <f>'[1]w-routes'!B4</f>
        <v>2</v>
      </c>
      <c r="T5">
        <f>'[1]w-routes'!C4</f>
        <v>1</v>
      </c>
      <c r="U5">
        <f>'[1]w-distances'!B4</f>
        <v>290</v>
      </c>
      <c r="V5">
        <f>'[1]w-sumDists'!B4</f>
        <v>290</v>
      </c>
      <c r="W5">
        <f>'[1]w-units'!B4</f>
        <v>0</v>
      </c>
      <c r="X5">
        <f>'[1]w-sumUnits'!B4</f>
        <v>47</v>
      </c>
      <c r="Y5" s="15">
        <f t="shared" si="2"/>
        <v>0</v>
      </c>
      <c r="Z5" s="15">
        <f>'[1]w-times'!B4</f>
        <v>6.049722222222222</v>
      </c>
      <c r="AA5" t="str" cm="1">
        <f t="array" ref="AA5">INDEX(addresses!B$1:B$22, T5)</f>
        <v>4509 State Hwy 83 North, Defuniak Springs, FL, 32433</v>
      </c>
      <c r="AB5">
        <f>'[1]th-routes'!B4</f>
        <v>1</v>
      </c>
      <c r="AC5">
        <f>'[1]th-routes'!C4</f>
        <v>1</v>
      </c>
      <c r="AD5">
        <f>'[1]th-distances'!B4</f>
        <v>0</v>
      </c>
      <c r="AE5">
        <f>'[1]th-sumDists'!B4</f>
        <v>0</v>
      </c>
      <c r="AF5">
        <f>'[1]th-units'!B4</f>
        <v>0</v>
      </c>
      <c r="AG5">
        <f>'[1]th-sumUnits'!B4</f>
        <v>47</v>
      </c>
      <c r="AH5" s="15" t="e">
        <f t="shared" si="3"/>
        <v>#DIV/0!</v>
      </c>
      <c r="AI5" s="15">
        <f>'[1]th-times'!B4</f>
        <v>0.8666666666666667</v>
      </c>
      <c r="AJ5" t="str" cm="1">
        <f t="array" ref="AJ5">INDEX(addresses!B$1:B$22, AC5)</f>
        <v>4509 State Hwy 83 North, Defuniak Springs, FL, 32433</v>
      </c>
      <c r="AK5">
        <f>'[1]f-routes'!B4</f>
        <v>1</v>
      </c>
      <c r="AL5">
        <f>'[1]f-routes'!C4</f>
        <v>1</v>
      </c>
      <c r="AM5">
        <f>'[1]f-distances'!B4</f>
        <v>0</v>
      </c>
      <c r="AN5">
        <f>'[1]f-sumDists'!B4</f>
        <v>0</v>
      </c>
      <c r="AO5">
        <f>'[1]f-units'!B4</f>
        <v>0</v>
      </c>
      <c r="AP5">
        <f>'[1]f-sumUnits'!B4</f>
        <v>47</v>
      </c>
      <c r="AQ5" s="15" t="e">
        <f t="shared" si="4"/>
        <v>#DIV/0!</v>
      </c>
      <c r="AR5" s="15">
        <f>'[1]f-times'!B4</f>
        <v>0.8666666666666667</v>
      </c>
      <c r="AS5" t="str" cm="1">
        <f t="array" ref="AS5">INDEX(addresses!B$1:B$22, AL5)</f>
        <v>4509 State Hwy 83 North, Defuniak Springs, FL, 32433</v>
      </c>
    </row>
    <row r="6" spans="1:45" x14ac:dyDescent="0.3">
      <c r="A6">
        <f>'[1]m-routes'!B5</f>
        <v>1</v>
      </c>
      <c r="B6">
        <f>'[1]m-routes'!C5</f>
        <v>20</v>
      </c>
      <c r="C6">
        <f>'[1]m-distances'!B5</f>
        <v>38</v>
      </c>
      <c r="D6">
        <f>'[1]m-sumDists'!B5</f>
        <v>38</v>
      </c>
      <c r="E6">
        <f>'[1]m-units'!B5</f>
        <v>23</v>
      </c>
      <c r="F6">
        <f>'[1]m-sumUnits'!B5</f>
        <v>23</v>
      </c>
      <c r="G6" s="15">
        <f t="shared" si="0"/>
        <v>0.60526315789473684</v>
      </c>
      <c r="H6" s="15">
        <f>'[1]m-times'!B5</f>
        <v>1.178333333333333</v>
      </c>
      <c r="I6" t="str" cm="1">
        <f t="array" ref="I6">INDEX(addresses!B$1:B$22, B6)</f>
        <v>104 Adams Road, Opp, AL, 36467</v>
      </c>
      <c r="J6">
        <f>'[1]t-routes'!B5</f>
        <v>1</v>
      </c>
      <c r="K6">
        <f>'[1]t-routes'!C5</f>
        <v>14</v>
      </c>
      <c r="L6">
        <f>'[1]t-distances'!B5</f>
        <v>169</v>
      </c>
      <c r="M6">
        <f>'[1]t-sumDists'!B5</f>
        <v>169</v>
      </c>
      <c r="N6">
        <f>'[1]t-units'!B5</f>
        <v>17</v>
      </c>
      <c r="O6">
        <f>'[1]t-sumUnits'!B5</f>
        <v>17</v>
      </c>
      <c r="P6" s="15">
        <f t="shared" si="1"/>
        <v>0.10059171597633136</v>
      </c>
      <c r="Q6" s="15">
        <f>'[1]t-times'!B5</f>
        <v>3.29</v>
      </c>
      <c r="R6" t="str" cm="1">
        <f t="array" ref="R6">INDEX(addresses!B$1:B$22, K6)</f>
        <v>19953 US-31 AL, Thorsby, AL, 35171</v>
      </c>
      <c r="S6">
        <f>'[1]w-routes'!B5</f>
        <v>0</v>
      </c>
      <c r="T6">
        <f>'[1]w-routes'!C5</f>
        <v>0</v>
      </c>
      <c r="U6">
        <f>'[1]w-distances'!B5</f>
        <v>0</v>
      </c>
      <c r="V6">
        <f>'[1]w-sumDists'!B5</f>
        <v>0</v>
      </c>
      <c r="W6">
        <f>'[1]w-units'!B5</f>
        <v>0</v>
      </c>
      <c r="X6">
        <f>'[1]w-sumUnits'!B5</f>
        <v>0</v>
      </c>
      <c r="Y6" s="15" t="e">
        <f t="shared" si="2"/>
        <v>#DIV/0!</v>
      </c>
      <c r="Z6" s="15">
        <f>'[1]w-times'!B5</f>
        <v>0</v>
      </c>
      <c r="AA6" t="e" cm="1" vm="3">
        <f t="array" aca="1" ref="AA6" ca="1">INDEX(addresses!B$1:B$22, T6)</f>
        <v>#VALUE!</v>
      </c>
      <c r="AB6">
        <f>'[1]th-routes'!B5</f>
        <v>0</v>
      </c>
      <c r="AC6">
        <f>'[1]th-routes'!C5</f>
        <v>0</v>
      </c>
      <c r="AD6">
        <f>'[1]th-distances'!B5</f>
        <v>0</v>
      </c>
      <c r="AE6">
        <f>'[1]th-sumDists'!B5</f>
        <v>0</v>
      </c>
      <c r="AF6">
        <f>'[1]th-units'!B5</f>
        <v>0</v>
      </c>
      <c r="AG6">
        <f>'[1]th-sumUnits'!B5</f>
        <v>0</v>
      </c>
      <c r="AH6" s="15" t="e">
        <f t="shared" si="3"/>
        <v>#DIV/0!</v>
      </c>
      <c r="AI6" s="15">
        <f>'[1]th-times'!B5</f>
        <v>0</v>
      </c>
      <c r="AJ6" t="e" cm="1" vm="3">
        <f t="array" aca="1" ref="AJ6" ca="1">INDEX(addresses!B$1:B$22, AC6)</f>
        <v>#VALUE!</v>
      </c>
      <c r="AK6">
        <f>'[1]f-routes'!B5</f>
        <v>0</v>
      </c>
      <c r="AL6">
        <f>'[1]f-routes'!C5</f>
        <v>0</v>
      </c>
      <c r="AM6">
        <f>'[1]f-distances'!B5</f>
        <v>0</v>
      </c>
      <c r="AN6">
        <f>'[1]f-sumDists'!B5</f>
        <v>0</v>
      </c>
      <c r="AO6">
        <f>'[1]f-units'!B5</f>
        <v>0</v>
      </c>
      <c r="AP6">
        <f>'[1]f-sumUnits'!B5</f>
        <v>0</v>
      </c>
      <c r="AQ6" s="15" t="e">
        <f t="shared" si="4"/>
        <v>#DIV/0!</v>
      </c>
      <c r="AR6" s="15">
        <f>'[1]f-times'!B5</f>
        <v>0</v>
      </c>
      <c r="AS6" t="e" cm="1" vm="3">
        <f t="array" aca="1" ref="AS6" ca="1">INDEX(addresses!B$1:B$22, AL6)</f>
        <v>#VALUE!</v>
      </c>
    </row>
    <row r="7" spans="1:45" x14ac:dyDescent="0.3">
      <c r="A7">
        <f>'[1]m-routes'!B6</f>
        <v>20</v>
      </c>
      <c r="B7">
        <f>'[1]m-routes'!C6</f>
        <v>10</v>
      </c>
      <c r="C7">
        <f>'[1]m-distances'!B6</f>
        <v>35</v>
      </c>
      <c r="D7">
        <f>'[1]m-sumDists'!B6</f>
        <v>73</v>
      </c>
      <c r="E7">
        <f>'[1]m-units'!B6</f>
        <v>12</v>
      </c>
      <c r="F7">
        <f>'[1]m-sumUnits'!B6</f>
        <v>35</v>
      </c>
      <c r="G7" s="15">
        <f t="shared" si="0"/>
        <v>0.34285714285714286</v>
      </c>
      <c r="H7" s="15">
        <f>'[1]m-times'!B6</f>
        <v>2.128055555555556</v>
      </c>
      <c r="I7" t="str" cm="1">
        <f t="array" ref="I7">INDEX(addresses!B$1:B$22, B7)</f>
        <v>65 6th Street, Luverne, AL, 36049</v>
      </c>
      <c r="J7">
        <f>'[1]t-routes'!B6</f>
        <v>14</v>
      </c>
      <c r="K7">
        <f>'[1]t-routes'!C6</f>
        <v>21</v>
      </c>
      <c r="L7">
        <f>'[1]t-distances'!B6</f>
        <v>116</v>
      </c>
      <c r="M7">
        <f>'[1]t-sumDists'!B6</f>
        <v>285</v>
      </c>
      <c r="N7">
        <f>'[1]t-units'!B6</f>
        <v>20</v>
      </c>
      <c r="O7">
        <f>'[1]t-sumUnits'!B6</f>
        <v>37</v>
      </c>
      <c r="P7" s="15">
        <f t="shared" si="1"/>
        <v>0.17241379310344829</v>
      </c>
      <c r="Q7" s="15">
        <f>'[1]t-times'!B6</f>
        <v>5.4924999999999997</v>
      </c>
      <c r="R7" t="str" cm="1">
        <f t="array" ref="R7">INDEX(addresses!B$1:B$22, K7)</f>
        <v>1010 Sparkman Street, Hartselle, AL, 35640</v>
      </c>
      <c r="S7">
        <f>'[1]w-routes'!B6</f>
        <v>0</v>
      </c>
      <c r="T7">
        <f>'[1]w-routes'!C6</f>
        <v>0</v>
      </c>
      <c r="U7">
        <f>'[1]w-distances'!B6</f>
        <v>0</v>
      </c>
      <c r="V7">
        <f>'[1]w-sumDists'!B6</f>
        <v>0</v>
      </c>
      <c r="W7">
        <f>'[1]w-units'!B6</f>
        <v>0</v>
      </c>
      <c r="X7">
        <f>'[1]w-sumUnits'!B6</f>
        <v>0</v>
      </c>
      <c r="Y7" s="15" t="e">
        <f t="shared" si="2"/>
        <v>#DIV/0!</v>
      </c>
      <c r="Z7" s="15">
        <f>'[1]w-times'!B6</f>
        <v>0</v>
      </c>
      <c r="AA7" t="e" cm="1" vm="3">
        <f t="array" aca="1" ref="AA7" ca="1">INDEX(addresses!B$1:B$22, T7)</f>
        <v>#VALUE!</v>
      </c>
      <c r="AB7">
        <f>'[1]th-routes'!B6</f>
        <v>0</v>
      </c>
      <c r="AC7">
        <f>'[1]th-routes'!C6</f>
        <v>0</v>
      </c>
      <c r="AD7">
        <f>'[1]th-distances'!B6</f>
        <v>0</v>
      </c>
      <c r="AE7">
        <f>'[1]th-sumDists'!B6</f>
        <v>0</v>
      </c>
      <c r="AF7">
        <f>'[1]th-units'!B6</f>
        <v>0</v>
      </c>
      <c r="AG7">
        <f>'[1]th-sumUnits'!B6</f>
        <v>0</v>
      </c>
      <c r="AH7" s="15" t="e">
        <f t="shared" si="3"/>
        <v>#DIV/0!</v>
      </c>
      <c r="AI7" s="15">
        <f>'[1]th-times'!B6</f>
        <v>0</v>
      </c>
      <c r="AJ7" t="e" cm="1" vm="3">
        <f t="array" aca="1" ref="AJ7" ca="1">INDEX(addresses!B$1:B$22, AC7)</f>
        <v>#VALUE!</v>
      </c>
      <c r="AK7">
        <f>'[1]f-routes'!B6</f>
        <v>0</v>
      </c>
      <c r="AL7">
        <f>'[1]f-routes'!C6</f>
        <v>0</v>
      </c>
      <c r="AM7">
        <f>'[1]f-distances'!B6</f>
        <v>0</v>
      </c>
      <c r="AN7">
        <f>'[1]f-sumDists'!B6</f>
        <v>0</v>
      </c>
      <c r="AO7">
        <f>'[1]f-units'!B6</f>
        <v>0</v>
      </c>
      <c r="AP7">
        <f>'[1]f-sumUnits'!B6</f>
        <v>0</v>
      </c>
      <c r="AQ7" s="15" t="e">
        <f t="shared" si="4"/>
        <v>#DIV/0!</v>
      </c>
      <c r="AR7" s="15">
        <f>'[1]f-times'!B6</f>
        <v>0</v>
      </c>
      <c r="AS7" t="e" cm="1" vm="3">
        <f t="array" aca="1" ref="AS7" ca="1">INDEX(addresses!B$1:B$22, AL7)</f>
        <v>#VALUE!</v>
      </c>
    </row>
    <row r="8" spans="1:45" x14ac:dyDescent="0.3">
      <c r="A8">
        <f>'[1]m-routes'!B7</f>
        <v>10</v>
      </c>
      <c r="B8">
        <f>'[1]m-routes'!C7</f>
        <v>16</v>
      </c>
      <c r="C8">
        <f>'[1]m-distances'!B7</f>
        <v>50</v>
      </c>
      <c r="D8">
        <f>'[1]m-sumDists'!B7</f>
        <v>123</v>
      </c>
      <c r="E8">
        <f>'[1]m-units'!B7</f>
        <v>15</v>
      </c>
      <c r="F8">
        <f>'[1]m-sumUnits'!B7</f>
        <v>50</v>
      </c>
      <c r="G8" s="15">
        <f t="shared" si="0"/>
        <v>0.3</v>
      </c>
      <c r="H8" s="15">
        <f>'[1]m-times'!B7</f>
        <v>3.3994444444444452</v>
      </c>
      <c r="I8" t="str" cm="1">
        <f t="array" ref="I8">INDEX(addresses!B$1:B$22, B8)</f>
        <v>1251 South Decatur St, Montgomery, AL, 36101</v>
      </c>
      <c r="J8">
        <f>'[1]t-routes'!B7</f>
        <v>21</v>
      </c>
      <c r="K8">
        <f>'[1]t-routes'!C7</f>
        <v>5</v>
      </c>
      <c r="L8">
        <f>'[1]t-distances'!B7</f>
        <v>226</v>
      </c>
      <c r="M8">
        <f>'[1]t-sumDists'!B7</f>
        <v>511</v>
      </c>
      <c r="N8">
        <f>'[1]t-units'!B7</f>
        <v>13</v>
      </c>
      <c r="O8">
        <f>'[1]t-sumUnits'!B7</f>
        <v>50</v>
      </c>
      <c r="P8" s="15">
        <f t="shared" si="1"/>
        <v>5.7522123893805309E-2</v>
      </c>
      <c r="Q8" s="15">
        <f>'[1]t-times'!B7</f>
        <v>9.7713888888888896</v>
      </c>
      <c r="R8" t="str" cm="1">
        <f t="array" ref="R8">INDEX(addresses!B$1:B$22, K8)</f>
        <v>124 W Washington, Kosciusko, MS, 39090</v>
      </c>
      <c r="S8">
        <f>'[1]w-routes'!B7</f>
        <v>0</v>
      </c>
      <c r="T8">
        <f>'[1]w-routes'!C7</f>
        <v>0</v>
      </c>
      <c r="U8">
        <f>'[1]w-distances'!B7</f>
        <v>0</v>
      </c>
      <c r="V8">
        <f>'[1]w-sumDists'!B7</f>
        <v>0</v>
      </c>
      <c r="W8">
        <f>'[1]w-units'!B7</f>
        <v>0</v>
      </c>
      <c r="X8">
        <f>'[1]w-sumUnits'!B7</f>
        <v>0</v>
      </c>
      <c r="Y8" s="15" t="e">
        <f t="shared" si="2"/>
        <v>#DIV/0!</v>
      </c>
      <c r="Z8" s="15">
        <f>'[1]w-times'!B7</f>
        <v>0</v>
      </c>
      <c r="AA8" t="e" cm="1" vm="3">
        <f t="array" aca="1" ref="AA8" ca="1">INDEX(addresses!B$1:B$22, T8)</f>
        <v>#VALUE!</v>
      </c>
      <c r="AB8">
        <f>'[1]th-routes'!B7</f>
        <v>0</v>
      </c>
      <c r="AC8">
        <f>'[1]th-routes'!C7</f>
        <v>0</v>
      </c>
      <c r="AD8">
        <f>'[1]th-distances'!B7</f>
        <v>0</v>
      </c>
      <c r="AE8">
        <f>'[1]th-sumDists'!B7</f>
        <v>0</v>
      </c>
      <c r="AF8">
        <f>'[1]th-units'!B7</f>
        <v>0</v>
      </c>
      <c r="AG8">
        <f>'[1]th-sumUnits'!B7</f>
        <v>0</v>
      </c>
      <c r="AH8" s="15" t="e">
        <f t="shared" si="3"/>
        <v>#DIV/0!</v>
      </c>
      <c r="AI8" s="15">
        <f>'[1]th-times'!B7</f>
        <v>0</v>
      </c>
      <c r="AJ8" t="e" cm="1" vm="3">
        <f t="array" aca="1" ref="AJ8" ca="1">INDEX(addresses!B$1:B$22, AC8)</f>
        <v>#VALUE!</v>
      </c>
      <c r="AK8">
        <f>'[1]f-routes'!B7</f>
        <v>0</v>
      </c>
      <c r="AL8">
        <f>'[1]f-routes'!C7</f>
        <v>0</v>
      </c>
      <c r="AM8">
        <f>'[1]f-distances'!B7</f>
        <v>0</v>
      </c>
      <c r="AN8">
        <f>'[1]f-sumDists'!B7</f>
        <v>0</v>
      </c>
      <c r="AO8">
        <f>'[1]f-units'!B7</f>
        <v>0</v>
      </c>
      <c r="AP8">
        <f>'[1]f-sumUnits'!B7</f>
        <v>0</v>
      </c>
      <c r="AQ8" s="15" t="e">
        <f t="shared" si="4"/>
        <v>#DIV/0!</v>
      </c>
      <c r="AR8" s="15">
        <f>'[1]f-times'!B7</f>
        <v>0</v>
      </c>
      <c r="AS8" t="e" cm="1" vm="3">
        <f t="array" aca="1" ref="AS8" ca="1">INDEX(addresses!B$1:B$22, AL8)</f>
        <v>#VALUE!</v>
      </c>
    </row>
    <row r="9" spans="1:45" x14ac:dyDescent="0.3">
      <c r="A9">
        <f>'[1]m-routes'!B8</f>
        <v>16</v>
      </c>
      <c r="B9">
        <f>'[1]m-routes'!C8</f>
        <v>1</v>
      </c>
      <c r="C9">
        <f>'[1]m-distances'!B8</f>
        <v>120</v>
      </c>
      <c r="D9">
        <f>'[1]m-sumDists'!B8</f>
        <v>243</v>
      </c>
      <c r="E9">
        <f>'[1]m-units'!B8</f>
        <v>0</v>
      </c>
      <c r="F9">
        <f>'[1]m-sumUnits'!B8</f>
        <v>50</v>
      </c>
      <c r="G9" s="15">
        <f t="shared" si="0"/>
        <v>0</v>
      </c>
      <c r="H9" s="15">
        <f>'[1]m-times'!B8</f>
        <v>6.5397222222222222</v>
      </c>
      <c r="I9" t="str" cm="1">
        <f t="array" ref="I9">INDEX(addresses!B$1:B$22, B9)</f>
        <v>4509 State Hwy 83 North, Defuniak Springs, FL, 32433</v>
      </c>
      <c r="J9">
        <f>'[1]t-routes'!B8</f>
        <v>1</v>
      </c>
      <c r="K9">
        <f>'[1]t-routes'!C8</f>
        <v>12</v>
      </c>
      <c r="L9">
        <f>'[1]t-distances'!B8</f>
        <v>319</v>
      </c>
      <c r="M9">
        <f>'[1]t-sumDists'!B8</f>
        <v>319</v>
      </c>
      <c r="N9">
        <f>'[1]t-units'!B8</f>
        <v>26</v>
      </c>
      <c r="O9">
        <f>'[1]t-sumUnits'!B8</f>
        <v>26</v>
      </c>
      <c r="P9" s="15">
        <f t="shared" si="1"/>
        <v>8.1504702194357362E-2</v>
      </c>
      <c r="Q9" s="15">
        <f>'[1]t-times'!B8</f>
        <v>5.6819444444444436</v>
      </c>
      <c r="R9" t="str" cm="1">
        <f t="array" ref="R9">INDEX(addresses!B$1:B$22, K9)</f>
        <v>475 Walnut Gate Rd, Russellville, AL, 35654</v>
      </c>
      <c r="S9">
        <f>'[1]w-routes'!B8</f>
        <v>0</v>
      </c>
      <c r="T9">
        <f>'[1]w-routes'!C8</f>
        <v>0</v>
      </c>
      <c r="U9">
        <f>'[1]w-distances'!B8</f>
        <v>0</v>
      </c>
      <c r="V9">
        <f>'[1]w-sumDists'!B8</f>
        <v>0</v>
      </c>
      <c r="W9">
        <f>'[1]w-units'!B8</f>
        <v>0</v>
      </c>
      <c r="X9">
        <f>'[1]w-sumUnits'!B8</f>
        <v>0</v>
      </c>
      <c r="Y9" s="15" t="e">
        <f t="shared" si="2"/>
        <v>#DIV/0!</v>
      </c>
      <c r="Z9" s="15">
        <f>'[1]w-times'!B8</f>
        <v>0</v>
      </c>
      <c r="AA9" t="e" cm="1" vm="3">
        <f t="array" aca="1" ref="AA9" ca="1">INDEX(addresses!B$1:B$22, T9)</f>
        <v>#VALUE!</v>
      </c>
      <c r="AB9">
        <f>'[1]th-routes'!B8</f>
        <v>0</v>
      </c>
      <c r="AC9">
        <f>'[1]th-routes'!C8</f>
        <v>0</v>
      </c>
      <c r="AD9">
        <f>'[1]th-distances'!B8</f>
        <v>0</v>
      </c>
      <c r="AE9">
        <f>'[1]th-sumDists'!B8</f>
        <v>0</v>
      </c>
      <c r="AF9">
        <f>'[1]th-units'!B8</f>
        <v>0</v>
      </c>
      <c r="AG9">
        <f>'[1]th-sumUnits'!B8</f>
        <v>0</v>
      </c>
      <c r="AH9" s="15" t="e">
        <f t="shared" si="3"/>
        <v>#DIV/0!</v>
      </c>
      <c r="AI9" s="15">
        <f>'[1]th-times'!B8</f>
        <v>0</v>
      </c>
      <c r="AJ9" t="e" cm="1" vm="3">
        <f t="array" aca="1" ref="AJ9" ca="1">INDEX(addresses!B$1:B$22, AC9)</f>
        <v>#VALUE!</v>
      </c>
      <c r="AK9">
        <f>'[1]f-routes'!B8</f>
        <v>0</v>
      </c>
      <c r="AL9">
        <f>'[1]f-routes'!C8</f>
        <v>0</v>
      </c>
      <c r="AM9">
        <f>'[1]f-distances'!B8</f>
        <v>0</v>
      </c>
      <c r="AN9">
        <f>'[1]f-sumDists'!B8</f>
        <v>0</v>
      </c>
      <c r="AO9">
        <f>'[1]f-units'!B8</f>
        <v>0</v>
      </c>
      <c r="AP9">
        <f>'[1]f-sumUnits'!B8</f>
        <v>0</v>
      </c>
      <c r="AQ9" s="15" t="e">
        <f t="shared" si="4"/>
        <v>#DIV/0!</v>
      </c>
      <c r="AR9" s="15">
        <f>'[1]f-times'!B8</f>
        <v>0</v>
      </c>
      <c r="AS9" t="e" cm="1" vm="3">
        <f t="array" aca="1" ref="AS9" ca="1">INDEX(addresses!B$1:B$22, AL9)</f>
        <v>#VALUE!</v>
      </c>
    </row>
    <row r="10" spans="1:45" x14ac:dyDescent="0.3">
      <c r="A10">
        <f>'[1]m-routes'!B9</f>
        <v>1</v>
      </c>
      <c r="B10">
        <f>'[1]m-routes'!C9</f>
        <v>19</v>
      </c>
      <c r="C10">
        <f>'[1]m-distances'!B9</f>
        <v>143</v>
      </c>
      <c r="D10">
        <f>'[1]m-sumDists'!B9</f>
        <v>143</v>
      </c>
      <c r="E10">
        <f>'[1]m-units'!B9</f>
        <v>25</v>
      </c>
      <c r="F10">
        <f>'[1]m-sumUnits'!B9</f>
        <v>25</v>
      </c>
      <c r="G10" s="15">
        <f>E10/C10</f>
        <v>0.17482517482517482</v>
      </c>
      <c r="H10" s="15">
        <f>'[1]m-times'!B9</f>
        <v>3.2197222222222219</v>
      </c>
      <c r="I10" t="str" cm="1">
        <f t="array" ref="I10">INDEX(addresses!B$1:B$22, B10)</f>
        <v>2134 Highway 29 South, Brewton, AL, 36426</v>
      </c>
      <c r="J10">
        <f>'[1]t-routes'!B9</f>
        <v>12</v>
      </c>
      <c r="K10">
        <f>'[1]t-routes'!C9</f>
        <v>2</v>
      </c>
      <c r="L10">
        <f>'[1]t-distances'!B9</f>
        <v>109</v>
      </c>
      <c r="M10">
        <f>'[1]t-sumDists'!B9</f>
        <v>428</v>
      </c>
      <c r="N10">
        <f>'[1]t-units'!B9</f>
        <v>21</v>
      </c>
      <c r="O10">
        <f>'[1]t-sumUnits'!B9</f>
        <v>47</v>
      </c>
      <c r="P10" s="15">
        <f>N10/L10</f>
        <v>0.19266055045871561</v>
      </c>
      <c r="Q10" s="15">
        <f>'[1]t-times'!B9</f>
        <v>8.1963888888888885</v>
      </c>
      <c r="R10" t="str" cm="1">
        <f t="array" ref="R10">INDEX(addresses!B$1:B$22, K10)</f>
        <v>605 Mississippi 182, Starkville, MS, 39759</v>
      </c>
      <c r="S10">
        <f>'[1]w-routes'!B9</f>
        <v>0</v>
      </c>
      <c r="T10">
        <f>'[1]w-routes'!C9</f>
        <v>0</v>
      </c>
      <c r="U10">
        <f>'[1]w-distances'!B9</f>
        <v>0</v>
      </c>
      <c r="V10">
        <f>'[1]w-sumDists'!B9</f>
        <v>0</v>
      </c>
      <c r="W10">
        <f>'[1]w-units'!B9</f>
        <v>0</v>
      </c>
      <c r="X10">
        <f>'[1]w-sumUnits'!B9</f>
        <v>0</v>
      </c>
      <c r="Y10" s="15" t="e">
        <f>W10/U10</f>
        <v>#DIV/0!</v>
      </c>
      <c r="Z10" s="15">
        <f>'[1]w-times'!B9</f>
        <v>0</v>
      </c>
      <c r="AA10" t="e" cm="1" vm="3">
        <f t="array" aca="1" ref="AA10" ca="1">INDEX(addresses!B$1:B$22, T10)</f>
        <v>#VALUE!</v>
      </c>
      <c r="AB10">
        <f>'[1]th-routes'!B9</f>
        <v>0</v>
      </c>
      <c r="AC10">
        <f>'[1]th-routes'!C9</f>
        <v>0</v>
      </c>
      <c r="AD10">
        <f>'[1]th-distances'!B9</f>
        <v>0</v>
      </c>
      <c r="AE10">
        <f>'[1]th-sumDists'!B9</f>
        <v>0</v>
      </c>
      <c r="AF10">
        <f>'[1]th-units'!B9</f>
        <v>0</v>
      </c>
      <c r="AG10">
        <f>'[1]th-sumUnits'!B9</f>
        <v>0</v>
      </c>
      <c r="AH10" s="15" t="e">
        <f>AF10/AD10</f>
        <v>#DIV/0!</v>
      </c>
      <c r="AI10" s="15">
        <f>'[1]th-times'!B9</f>
        <v>0</v>
      </c>
      <c r="AJ10" t="e" cm="1" vm="3">
        <f t="array" aca="1" ref="AJ10" ca="1">INDEX(addresses!B$1:B$22, AC10)</f>
        <v>#VALUE!</v>
      </c>
      <c r="AK10">
        <f>'[1]f-routes'!B9</f>
        <v>0</v>
      </c>
      <c r="AL10">
        <f>'[1]f-routes'!C9</f>
        <v>0</v>
      </c>
      <c r="AM10">
        <f>'[1]f-distances'!B9</f>
        <v>0</v>
      </c>
      <c r="AN10">
        <f>'[1]f-sumDists'!B9</f>
        <v>0</v>
      </c>
      <c r="AO10">
        <f>'[1]f-units'!B9</f>
        <v>0</v>
      </c>
      <c r="AP10">
        <f>'[1]f-sumUnits'!B9</f>
        <v>0</v>
      </c>
      <c r="AQ10" s="15" t="e">
        <f>AO10/AM10</f>
        <v>#DIV/0!</v>
      </c>
      <c r="AR10" s="15">
        <f>'[1]f-times'!B9</f>
        <v>0</v>
      </c>
      <c r="AS10" t="e" cm="1" vm="3">
        <f t="array" aca="1" ref="AS10" ca="1">INDEX(addresses!B$1:B$22, AL10)</f>
        <v>#VALUE!</v>
      </c>
    </row>
    <row r="11" spans="1:45" x14ac:dyDescent="0.3">
      <c r="A11">
        <f>'[1]m-routes'!B10</f>
        <v>19</v>
      </c>
      <c r="B11">
        <f>'[1]m-routes'!C10</f>
        <v>22</v>
      </c>
      <c r="C11">
        <f>'[1]m-distances'!B10</f>
        <v>48</v>
      </c>
      <c r="D11">
        <f>'[1]m-sumDists'!B10</f>
        <v>191</v>
      </c>
      <c r="E11">
        <f>'[1]m-units'!B10</f>
        <v>18</v>
      </c>
      <c r="F11">
        <f>'[1]m-sumUnits'!B10</f>
        <v>43</v>
      </c>
      <c r="G11" s="15">
        <f t="shared" ref="G11:G18" si="5">E11/C11</f>
        <v>0.375</v>
      </c>
      <c r="H11" s="15">
        <f>'[1]m-times'!B10</f>
        <v>4.3688888888888888</v>
      </c>
      <c r="I11" t="str" cm="1">
        <f t="array" ref="I11">INDEX(addresses!B$1:B$22, B11)</f>
        <v>100 Waits Dr, Andalusia, AL, 36421</v>
      </c>
      <c r="J11">
        <f>'[1]t-routes'!B10</f>
        <v>0</v>
      </c>
      <c r="K11">
        <f>'[1]t-routes'!C10</f>
        <v>0</v>
      </c>
      <c r="L11">
        <f>'[1]t-distances'!B10</f>
        <v>0</v>
      </c>
      <c r="M11">
        <f>'[1]t-sumDists'!B10</f>
        <v>0</v>
      </c>
      <c r="N11">
        <f>'[1]t-units'!B10</f>
        <v>0</v>
      </c>
      <c r="O11">
        <f>'[1]t-sumUnits'!B10</f>
        <v>0</v>
      </c>
      <c r="P11" s="15" t="e">
        <f t="shared" ref="P11:P14" si="6">N11/L11</f>
        <v>#DIV/0!</v>
      </c>
      <c r="Q11" s="15">
        <f>'[1]t-times'!B10</f>
        <v>0</v>
      </c>
      <c r="R11" t="e" cm="1" vm="3">
        <f t="array" aca="1" ref="R11" ca="1">INDEX(addresses!B$1:B$22, K11)</f>
        <v>#VALUE!</v>
      </c>
      <c r="S11">
        <f>'[1]w-routes'!B10</f>
        <v>0</v>
      </c>
      <c r="T11">
        <f>'[1]w-routes'!C10</f>
        <v>0</v>
      </c>
      <c r="U11">
        <f>'[1]w-distances'!B10</f>
        <v>0</v>
      </c>
      <c r="V11">
        <f>'[1]w-sumDists'!B10</f>
        <v>0</v>
      </c>
      <c r="W11">
        <f>'[1]w-units'!B10</f>
        <v>0</v>
      </c>
      <c r="X11">
        <f>'[1]w-sumUnits'!B10</f>
        <v>0</v>
      </c>
      <c r="Y11" s="15" t="e">
        <f t="shared" ref="Y11:Y14" si="7">W11/U11</f>
        <v>#DIV/0!</v>
      </c>
      <c r="Z11" s="15">
        <f>'[1]w-times'!B10</f>
        <v>0</v>
      </c>
      <c r="AA11" t="e" cm="1" vm="3">
        <f t="array" aca="1" ref="AA11" ca="1">INDEX(addresses!B$1:B$22, T11)</f>
        <v>#VALUE!</v>
      </c>
      <c r="AB11">
        <f>'[1]th-routes'!B10</f>
        <v>0</v>
      </c>
      <c r="AC11">
        <f>'[1]th-routes'!C10</f>
        <v>0</v>
      </c>
      <c r="AD11">
        <f>'[1]th-distances'!B10</f>
        <v>0</v>
      </c>
      <c r="AE11">
        <f>'[1]th-sumDists'!B10</f>
        <v>0</v>
      </c>
      <c r="AF11">
        <f>'[1]th-units'!B10</f>
        <v>0</v>
      </c>
      <c r="AG11">
        <f>'[1]th-sumUnits'!B10</f>
        <v>0</v>
      </c>
      <c r="AH11" s="15" t="e">
        <f t="shared" ref="AH11:AH14" si="8">AF11/AD11</f>
        <v>#DIV/0!</v>
      </c>
      <c r="AI11" s="15">
        <f>'[1]th-times'!B10</f>
        <v>0</v>
      </c>
      <c r="AJ11" t="e" cm="1" vm="3">
        <f t="array" aca="1" ref="AJ11" ca="1">INDEX(addresses!B$1:B$22, AC11)</f>
        <v>#VALUE!</v>
      </c>
      <c r="AK11">
        <f>'[1]f-routes'!B10</f>
        <v>0</v>
      </c>
      <c r="AL11">
        <f>'[1]f-routes'!C10</f>
        <v>0</v>
      </c>
      <c r="AM11">
        <f>'[1]f-distances'!B10</f>
        <v>0</v>
      </c>
      <c r="AN11">
        <f>'[1]f-sumDists'!B10</f>
        <v>0</v>
      </c>
      <c r="AO11">
        <f>'[1]f-units'!B10</f>
        <v>0</v>
      </c>
      <c r="AP11">
        <f>'[1]f-sumUnits'!B10</f>
        <v>0</v>
      </c>
      <c r="AQ11" s="15" t="e">
        <f t="shared" ref="AQ11:AQ14" si="9">AO11/AM11</f>
        <v>#DIV/0!</v>
      </c>
      <c r="AR11" s="15">
        <f>'[1]f-times'!B10</f>
        <v>0</v>
      </c>
      <c r="AS11" t="e" cm="1" vm="3">
        <f t="array" aca="1" ref="AS11" ca="1">INDEX(addresses!B$1:B$22, AL11)</f>
        <v>#VALUE!</v>
      </c>
    </row>
    <row r="12" spans="1:45" x14ac:dyDescent="0.3">
      <c r="A12">
        <f>'[1]m-routes'!B11</f>
        <v>22</v>
      </c>
      <c r="B12">
        <f>'[1]m-routes'!C11</f>
        <v>1</v>
      </c>
      <c r="C12">
        <f>'[1]m-distances'!B11</f>
        <v>122</v>
      </c>
      <c r="D12">
        <f>'[1]m-sumDists'!B11</f>
        <v>313</v>
      </c>
      <c r="E12">
        <f>'[1]m-units'!B11</f>
        <v>0</v>
      </c>
      <c r="F12">
        <f>'[1]m-sumUnits'!B11</f>
        <v>43</v>
      </c>
      <c r="G12" s="15">
        <f t="shared" si="5"/>
        <v>0</v>
      </c>
      <c r="H12" s="15">
        <f>'[1]m-times'!B11</f>
        <v>7.5080555555555559</v>
      </c>
      <c r="I12" t="str" cm="1">
        <f t="array" ref="I12">INDEX(addresses!B$1:B$22, B12)</f>
        <v>4509 State Hwy 83 North, Defuniak Springs, FL, 32433</v>
      </c>
      <c r="J12">
        <f>'[1]t-routes'!B11</f>
        <v>0</v>
      </c>
      <c r="K12">
        <f>'[1]t-routes'!C11</f>
        <v>0</v>
      </c>
      <c r="L12">
        <f>'[1]t-distances'!B11</f>
        <v>0</v>
      </c>
      <c r="M12">
        <f>'[1]t-sumDists'!B11</f>
        <v>0</v>
      </c>
      <c r="N12">
        <f>'[1]t-units'!B11</f>
        <v>0</v>
      </c>
      <c r="O12">
        <f>'[1]t-sumUnits'!B11</f>
        <v>0</v>
      </c>
      <c r="P12" s="15" t="e">
        <f t="shared" si="6"/>
        <v>#DIV/0!</v>
      </c>
      <c r="Q12" s="15">
        <f>'[1]t-times'!B11</f>
        <v>0</v>
      </c>
      <c r="R12" t="e" cm="1" vm="3">
        <f t="array" aca="1" ref="R12" ca="1">INDEX(addresses!B$1:B$22, K12)</f>
        <v>#VALUE!</v>
      </c>
      <c r="S12">
        <f>'[1]w-routes'!B11</f>
        <v>0</v>
      </c>
      <c r="T12">
        <f>'[1]w-routes'!C11</f>
        <v>0</v>
      </c>
      <c r="U12">
        <f>'[1]w-distances'!B11</f>
        <v>0</v>
      </c>
      <c r="V12">
        <f>'[1]w-sumDists'!B11</f>
        <v>0</v>
      </c>
      <c r="W12">
        <f>'[1]w-units'!B11</f>
        <v>0</v>
      </c>
      <c r="X12">
        <f>'[1]w-sumUnits'!B11</f>
        <v>0</v>
      </c>
      <c r="Y12" s="15" t="e">
        <f t="shared" si="7"/>
        <v>#DIV/0!</v>
      </c>
      <c r="Z12" s="15">
        <f>'[1]w-times'!B11</f>
        <v>0</v>
      </c>
      <c r="AA12" t="e" cm="1" vm="3">
        <f t="array" aca="1" ref="AA12" ca="1">INDEX(addresses!B$1:B$22, T12)</f>
        <v>#VALUE!</v>
      </c>
      <c r="AB12">
        <f>'[1]th-routes'!B11</f>
        <v>0</v>
      </c>
      <c r="AC12">
        <f>'[1]th-routes'!C11</f>
        <v>0</v>
      </c>
      <c r="AD12">
        <f>'[1]th-distances'!B11</f>
        <v>0</v>
      </c>
      <c r="AE12">
        <f>'[1]th-sumDists'!B11</f>
        <v>0</v>
      </c>
      <c r="AF12">
        <f>'[1]th-units'!B11</f>
        <v>0</v>
      </c>
      <c r="AG12">
        <f>'[1]th-sumUnits'!B11</f>
        <v>0</v>
      </c>
      <c r="AH12" s="15" t="e">
        <f t="shared" si="8"/>
        <v>#DIV/0!</v>
      </c>
      <c r="AI12" s="15">
        <f>'[1]th-times'!B11</f>
        <v>0</v>
      </c>
      <c r="AJ12" t="e" cm="1" vm="3">
        <f t="array" aca="1" ref="AJ12" ca="1">INDEX(addresses!B$1:B$22, AC12)</f>
        <v>#VALUE!</v>
      </c>
      <c r="AK12">
        <f>'[1]f-routes'!B11</f>
        <v>0</v>
      </c>
      <c r="AL12">
        <f>'[1]f-routes'!C11</f>
        <v>0</v>
      </c>
      <c r="AM12">
        <f>'[1]f-distances'!B11</f>
        <v>0</v>
      </c>
      <c r="AN12">
        <f>'[1]f-sumDists'!B11</f>
        <v>0</v>
      </c>
      <c r="AO12">
        <f>'[1]f-units'!B11</f>
        <v>0</v>
      </c>
      <c r="AP12">
        <f>'[1]f-sumUnits'!B11</f>
        <v>0</v>
      </c>
      <c r="AQ12" s="15" t="e">
        <f t="shared" si="9"/>
        <v>#DIV/0!</v>
      </c>
      <c r="AR12" s="15">
        <f>'[1]f-times'!B11</f>
        <v>0</v>
      </c>
      <c r="AS12" t="e" cm="1" vm="3">
        <f t="array" aca="1" ref="AS12" ca="1">INDEX(addresses!B$1:B$22, AL12)</f>
        <v>#VALUE!</v>
      </c>
    </row>
    <row r="13" spans="1:45" x14ac:dyDescent="0.3">
      <c r="A13">
        <f>'[1]m-routes'!B12</f>
        <v>0</v>
      </c>
      <c r="B13">
        <f>'[1]m-routes'!C12</f>
        <v>0</v>
      </c>
      <c r="C13">
        <f>'[1]m-distances'!B12</f>
        <v>0</v>
      </c>
      <c r="D13">
        <f>'[1]m-sumDists'!B12</f>
        <v>0</v>
      </c>
      <c r="E13">
        <f>'[1]m-units'!B12</f>
        <v>0</v>
      </c>
      <c r="F13">
        <f>'[1]m-sumUnits'!B12</f>
        <v>0</v>
      </c>
      <c r="G13" s="15" t="e">
        <f t="shared" si="5"/>
        <v>#DIV/0!</v>
      </c>
      <c r="H13" s="15">
        <f>'[1]m-times'!B12</f>
        <v>0</v>
      </c>
      <c r="I13" t="e" cm="1" vm="3">
        <f t="array" aca="1" ref="I13" ca="1">INDEX(addresses!B$1:B$22, B13)</f>
        <v>#VALUE!</v>
      </c>
      <c r="J13">
        <f>'[1]t-routes'!B12</f>
        <v>0</v>
      </c>
      <c r="K13">
        <f>'[1]t-routes'!C12</f>
        <v>0</v>
      </c>
      <c r="L13">
        <f>'[1]t-distances'!B12</f>
        <v>0</v>
      </c>
      <c r="M13">
        <f>'[1]t-sumDists'!B12</f>
        <v>0</v>
      </c>
      <c r="N13">
        <f>'[1]t-units'!B12</f>
        <v>0</v>
      </c>
      <c r="O13">
        <f>'[1]t-sumUnits'!B12</f>
        <v>0</v>
      </c>
      <c r="P13" s="15" t="e">
        <f t="shared" si="6"/>
        <v>#DIV/0!</v>
      </c>
      <c r="Q13" s="15">
        <f>'[1]t-times'!B12</f>
        <v>0</v>
      </c>
      <c r="R13" t="e" cm="1" vm="3">
        <f t="array" aca="1" ref="R13" ca="1">INDEX(addresses!B$1:B$22, K13)</f>
        <v>#VALUE!</v>
      </c>
      <c r="S13">
        <f>'[1]w-routes'!B12</f>
        <v>0</v>
      </c>
      <c r="T13">
        <f>'[1]w-routes'!C12</f>
        <v>0</v>
      </c>
      <c r="U13">
        <f>'[1]w-distances'!B12</f>
        <v>0</v>
      </c>
      <c r="V13">
        <f>'[1]w-sumDists'!B12</f>
        <v>0</v>
      </c>
      <c r="W13">
        <f>'[1]w-units'!B12</f>
        <v>0</v>
      </c>
      <c r="X13">
        <f>'[1]w-sumUnits'!B12</f>
        <v>0</v>
      </c>
      <c r="Y13" s="15" t="e">
        <f t="shared" si="7"/>
        <v>#DIV/0!</v>
      </c>
      <c r="Z13" s="15">
        <f>'[1]w-times'!B12</f>
        <v>0</v>
      </c>
      <c r="AA13" t="e" cm="1" vm="3">
        <f t="array" aca="1" ref="AA13" ca="1">INDEX(addresses!B$1:B$22, T13)</f>
        <v>#VALUE!</v>
      </c>
      <c r="AB13">
        <f>'[1]th-routes'!B12</f>
        <v>0</v>
      </c>
      <c r="AC13">
        <f>'[1]th-routes'!C12</f>
        <v>0</v>
      </c>
      <c r="AD13">
        <f>'[1]th-distances'!B12</f>
        <v>0</v>
      </c>
      <c r="AE13">
        <f>'[1]th-sumDists'!B12</f>
        <v>0</v>
      </c>
      <c r="AF13">
        <f>'[1]th-units'!B12</f>
        <v>0</v>
      </c>
      <c r="AG13">
        <f>'[1]th-sumUnits'!B12</f>
        <v>0</v>
      </c>
      <c r="AH13" s="15" t="e">
        <f t="shared" si="8"/>
        <v>#DIV/0!</v>
      </c>
      <c r="AI13" s="15">
        <f>'[1]th-times'!B12</f>
        <v>0</v>
      </c>
      <c r="AJ13" t="e" cm="1" vm="3">
        <f t="array" aca="1" ref="AJ13" ca="1">INDEX(addresses!B$1:B$22, AC13)</f>
        <v>#VALUE!</v>
      </c>
      <c r="AK13">
        <f>'[1]f-routes'!B12</f>
        <v>0</v>
      </c>
      <c r="AL13">
        <f>'[1]f-routes'!C12</f>
        <v>0</v>
      </c>
      <c r="AM13">
        <f>'[1]f-distances'!B12</f>
        <v>0</v>
      </c>
      <c r="AN13">
        <f>'[1]f-sumDists'!B12</f>
        <v>0</v>
      </c>
      <c r="AO13">
        <f>'[1]f-units'!B12</f>
        <v>0</v>
      </c>
      <c r="AP13">
        <f>'[1]f-sumUnits'!B12</f>
        <v>0</v>
      </c>
      <c r="AQ13" s="15" t="e">
        <f t="shared" si="9"/>
        <v>#DIV/0!</v>
      </c>
      <c r="AR13" s="15">
        <f>'[1]f-times'!B12</f>
        <v>0</v>
      </c>
      <c r="AS13" t="e" cm="1" vm="3">
        <f t="array" aca="1" ref="AS13" ca="1">INDEX(addresses!B$1:B$22, AL13)</f>
        <v>#VALUE!</v>
      </c>
    </row>
    <row r="14" spans="1:45" x14ac:dyDescent="0.3">
      <c r="A14">
        <f>'[1]m-routes'!B13</f>
        <v>0</v>
      </c>
      <c r="B14">
        <f>'[1]m-routes'!C13</f>
        <v>0</v>
      </c>
      <c r="C14">
        <f>'[1]m-distances'!B13</f>
        <v>0</v>
      </c>
      <c r="D14">
        <f>'[1]m-sumDists'!B13</f>
        <v>0</v>
      </c>
      <c r="E14">
        <f>'[1]m-units'!B13</f>
        <v>0</v>
      </c>
      <c r="F14">
        <f>'[1]m-sumUnits'!B13</f>
        <v>0</v>
      </c>
      <c r="G14" s="15" t="e">
        <f t="shared" si="5"/>
        <v>#DIV/0!</v>
      </c>
      <c r="H14" s="15">
        <f>'[1]m-times'!B13</f>
        <v>0</v>
      </c>
      <c r="I14" t="e" cm="1" vm="3">
        <f t="array" aca="1" ref="I14" ca="1">INDEX(addresses!B$1:B$22, B14)</f>
        <v>#VALUE!</v>
      </c>
      <c r="J14">
        <f>'[1]t-routes'!B13</f>
        <v>0</v>
      </c>
      <c r="K14">
        <f>'[1]t-routes'!C13</f>
        <v>0</v>
      </c>
      <c r="L14">
        <f>'[1]t-distances'!B13</f>
        <v>0</v>
      </c>
      <c r="M14">
        <f>'[1]t-sumDists'!B13</f>
        <v>0</v>
      </c>
      <c r="N14">
        <f>'[1]t-units'!B13</f>
        <v>0</v>
      </c>
      <c r="O14">
        <f>'[1]t-sumUnits'!B13</f>
        <v>0</v>
      </c>
      <c r="P14" s="15" t="e">
        <f t="shared" si="6"/>
        <v>#DIV/0!</v>
      </c>
      <c r="Q14" s="15">
        <f>'[1]t-times'!B13</f>
        <v>0</v>
      </c>
      <c r="R14" t="str" cm="1">
        <f t="array" ref="R14:R35">INDEX(addresses!B$1:B$22, K14)</f>
        <v>4509 State Hwy 83 North, Defuniak Springs, FL, 32433</v>
      </c>
      <c r="S14">
        <f>'[1]w-routes'!B13</f>
        <v>0</v>
      </c>
      <c r="T14">
        <f>'[1]w-routes'!C13</f>
        <v>0</v>
      </c>
      <c r="U14">
        <f>'[1]w-distances'!B13</f>
        <v>0</v>
      </c>
      <c r="V14">
        <f>'[1]w-sumDists'!B13</f>
        <v>0</v>
      </c>
      <c r="W14">
        <f>'[1]w-units'!B13</f>
        <v>0</v>
      </c>
      <c r="X14">
        <f>'[1]w-sumUnits'!B13</f>
        <v>0</v>
      </c>
      <c r="Y14" s="15" t="e">
        <f t="shared" si="7"/>
        <v>#DIV/0!</v>
      </c>
      <c r="Z14" s="15">
        <f>'[1]w-times'!B13</f>
        <v>0</v>
      </c>
      <c r="AA14" t="e" cm="1" vm="3">
        <f t="array" aca="1" ref="AA14" ca="1">INDEX(addresses!B$1:B$22, T14)</f>
        <v>#VALUE!</v>
      </c>
      <c r="AB14">
        <f>'[1]th-routes'!B13</f>
        <v>0</v>
      </c>
      <c r="AC14">
        <f>'[1]th-routes'!C13</f>
        <v>0</v>
      </c>
      <c r="AD14">
        <f>'[1]th-distances'!B13</f>
        <v>0</v>
      </c>
      <c r="AE14">
        <f>'[1]th-sumDists'!B13</f>
        <v>0</v>
      </c>
      <c r="AF14">
        <f>'[1]th-units'!B13</f>
        <v>0</v>
      </c>
      <c r="AG14">
        <f>'[1]th-sumUnits'!B13</f>
        <v>0</v>
      </c>
      <c r="AH14" s="15" t="e">
        <f t="shared" si="8"/>
        <v>#DIV/0!</v>
      </c>
      <c r="AI14" s="15">
        <f>'[1]th-times'!B13</f>
        <v>0</v>
      </c>
      <c r="AJ14" t="str" cm="1">
        <f t="array" ref="AJ14:AJ35">INDEX(addresses!B$1:B$22, AC14)</f>
        <v>4509 State Hwy 83 North, Defuniak Springs, FL, 32433</v>
      </c>
      <c r="AK14">
        <f>'[1]f-routes'!B13</f>
        <v>0</v>
      </c>
      <c r="AL14">
        <f>'[1]f-routes'!C13</f>
        <v>0</v>
      </c>
      <c r="AM14">
        <f>'[1]f-distances'!B13</f>
        <v>0</v>
      </c>
      <c r="AN14">
        <f>'[1]f-sumDists'!B13</f>
        <v>0</v>
      </c>
      <c r="AO14">
        <f>'[1]f-units'!B13</f>
        <v>0</v>
      </c>
      <c r="AP14">
        <f>'[1]f-sumUnits'!B13</f>
        <v>0</v>
      </c>
      <c r="AQ14" s="15" t="e">
        <f t="shared" si="9"/>
        <v>#DIV/0!</v>
      </c>
      <c r="AR14" s="15">
        <f>'[1]f-times'!B13</f>
        <v>0</v>
      </c>
      <c r="AS14" t="str" cm="1">
        <f t="array" ref="AS14:AS35">INDEX(addresses!B$1:B$22, AL14)</f>
        <v>4509 State Hwy 83 North, Defuniak Springs, FL, 32433</v>
      </c>
    </row>
    <row r="15" spans="1:45" x14ac:dyDescent="0.3">
      <c r="A15">
        <f>'[1]m-routes'!B14</f>
        <v>0</v>
      </c>
      <c r="B15">
        <f>'[1]m-routes'!C14</f>
        <v>0</v>
      </c>
      <c r="C15">
        <f>'[1]m-distances'!B14</f>
        <v>0</v>
      </c>
      <c r="D15">
        <f>'[1]m-sumDists'!B14</f>
        <v>0</v>
      </c>
      <c r="E15">
        <f>'[1]m-units'!B14</f>
        <v>0</v>
      </c>
      <c r="F15">
        <f>'[1]m-sumUnits'!B14</f>
        <v>0</v>
      </c>
      <c r="G15" s="15" t="e">
        <f t="shared" si="5"/>
        <v>#DIV/0!</v>
      </c>
      <c r="H15" s="15">
        <f>'[1]m-times'!B14</f>
        <v>0</v>
      </c>
      <c r="I15" t="e" cm="1" vm="3">
        <f t="array" aca="1" ref="I15" ca="1">INDEX(addresses!B$1:B$22, B15)</f>
        <v>#VALUE!</v>
      </c>
      <c r="R15" t="str">
        <v>605 Mississippi 182, Starkville, MS, 39759</v>
      </c>
      <c r="T15">
        <f>'[1]w-routes'!C14</f>
        <v>0</v>
      </c>
      <c r="U15">
        <f>'[1]w-distances'!B14</f>
        <v>0</v>
      </c>
      <c r="V15">
        <f>'[1]w-sumDists'!B14</f>
        <v>0</v>
      </c>
      <c r="W15">
        <f>'[1]w-units'!B14</f>
        <v>0</v>
      </c>
      <c r="X15">
        <f>'[1]w-sumUnits'!B14</f>
        <v>0</v>
      </c>
      <c r="Z15" s="15">
        <f>'[1]w-times'!B14</f>
        <v>0</v>
      </c>
      <c r="AA15" t="e" cm="1" vm="3">
        <f t="array" aca="1" ref="AA15" ca="1">INDEX(addresses!B$1:B$22, T15)</f>
        <v>#VALUE!</v>
      </c>
      <c r="AD15">
        <f>'[1]th-distances'!B14</f>
        <v>0</v>
      </c>
      <c r="AE15">
        <f>'[1]th-sumDists'!B14</f>
        <v>0</v>
      </c>
      <c r="AF15">
        <f>'[1]th-units'!B14</f>
        <v>0</v>
      </c>
      <c r="AG15">
        <f>'[1]th-sumUnits'!B14</f>
        <v>0</v>
      </c>
      <c r="AJ15" t="str">
        <v>605 Mississippi 182, Starkville, MS, 39759</v>
      </c>
      <c r="AS15" t="str">
        <v>605 Mississippi 182, Starkville, MS, 39759</v>
      </c>
    </row>
    <row r="16" spans="1:45" x14ac:dyDescent="0.3">
      <c r="A16">
        <f>'[1]m-routes'!B15</f>
        <v>0</v>
      </c>
      <c r="B16">
        <f>'[1]m-routes'!C15</f>
        <v>0</v>
      </c>
      <c r="C16">
        <f>'[1]m-distances'!B15</f>
        <v>0</v>
      </c>
      <c r="D16">
        <f>'[1]m-sumDists'!B15</f>
        <v>0</v>
      </c>
      <c r="E16">
        <f>'[1]m-units'!B15</f>
        <v>0</v>
      </c>
      <c r="F16">
        <f>'[1]m-sumUnits'!B15</f>
        <v>0</v>
      </c>
      <c r="G16" s="15" t="e">
        <f t="shared" si="5"/>
        <v>#DIV/0!</v>
      </c>
      <c r="H16" s="15">
        <f>'[1]m-times'!B15</f>
        <v>0</v>
      </c>
      <c r="I16" t="e" cm="1" vm="3">
        <f t="array" aca="1" ref="I16" ca="1">INDEX(addresses!B$1:B$22, B16)</f>
        <v>#VALUE!</v>
      </c>
      <c r="R16" t="str">
        <v>116 Terrace Dr, Haines City, FL, 33844</v>
      </c>
      <c r="U16">
        <f>'[1]w-distances'!B15</f>
        <v>0</v>
      </c>
      <c r="V16">
        <f>'[1]w-sumDists'!B15</f>
        <v>0</v>
      </c>
      <c r="W16">
        <f>'[1]w-units'!B15</f>
        <v>0</v>
      </c>
      <c r="X16">
        <f>'[1]w-sumUnits'!B15</f>
        <v>0</v>
      </c>
      <c r="Z16" s="15">
        <f>'[1]w-times'!B15</f>
        <v>0</v>
      </c>
      <c r="AA16" t="e" cm="1" vm="3">
        <f t="array" aca="1" ref="AA16" ca="1">INDEX(addresses!B$1:B$22, T16)</f>
        <v>#VALUE!</v>
      </c>
      <c r="AD16">
        <f>'[1]th-distances'!B15</f>
        <v>0</v>
      </c>
      <c r="AJ16" t="str">
        <v>116 Terrace Dr, Haines City, FL, 33844</v>
      </c>
      <c r="AS16" t="str">
        <v>116 Terrace Dr, Haines City, FL, 33844</v>
      </c>
    </row>
    <row r="17" spans="1:45" x14ac:dyDescent="0.3">
      <c r="A17">
        <f>'[1]m-routes'!B16</f>
        <v>0</v>
      </c>
      <c r="B17">
        <f>'[1]m-routes'!C16</f>
        <v>0</v>
      </c>
      <c r="C17">
        <f>'[1]m-distances'!B16</f>
        <v>0</v>
      </c>
      <c r="D17">
        <f>'[1]m-sumDists'!B16</f>
        <v>0</v>
      </c>
      <c r="E17">
        <f>'[1]m-units'!B16</f>
        <v>0</v>
      </c>
      <c r="F17">
        <f>'[1]m-sumUnits'!B16</f>
        <v>0</v>
      </c>
      <c r="G17" s="15" t="e">
        <f t="shared" si="5"/>
        <v>#DIV/0!</v>
      </c>
      <c r="H17" s="15">
        <f>'[1]m-times'!B16</f>
        <v>0</v>
      </c>
      <c r="I17" t="e" cm="1" vm="3">
        <f t="array" aca="1" ref="I17" ca="1">INDEX(addresses!B$1:B$22, B17)</f>
        <v>#VALUE!</v>
      </c>
      <c r="R17" t="str">
        <v>118 South Columbus Avenue, Louisville, MS, 39339</v>
      </c>
      <c r="U17">
        <f>'[1]w-distances'!B16</f>
        <v>0</v>
      </c>
      <c r="V17">
        <f>'[1]w-sumDists'!B16</f>
        <v>0</v>
      </c>
      <c r="W17">
        <f>'[1]w-units'!B16</f>
        <v>0</v>
      </c>
      <c r="X17">
        <f>'[1]w-sumUnits'!B16</f>
        <v>0</v>
      </c>
      <c r="Z17" s="15">
        <f>'[1]w-times'!B16</f>
        <v>0</v>
      </c>
      <c r="AA17" t="e" cm="1" vm="3">
        <f t="array" aca="1" ref="AA17" ca="1">INDEX(addresses!B$1:B$22, T17)</f>
        <v>#VALUE!</v>
      </c>
      <c r="AD17">
        <f>'[1]th-distances'!B16</f>
        <v>0</v>
      </c>
      <c r="AJ17" t="str">
        <v>118 South Columbus Avenue, Louisville, MS, 39339</v>
      </c>
      <c r="AS17" t="str">
        <v>118 South Columbus Avenue, Louisville, MS, 39339</v>
      </c>
    </row>
    <row r="18" spans="1:45" x14ac:dyDescent="0.3">
      <c r="A18">
        <f>'[1]m-routes'!B17</f>
        <v>0</v>
      </c>
      <c r="B18">
        <f>'[1]m-routes'!C17</f>
        <v>0</v>
      </c>
      <c r="C18">
        <f>'[1]m-distances'!B17</f>
        <v>0</v>
      </c>
      <c r="D18">
        <f>'[1]m-sumDists'!B17</f>
        <v>0</v>
      </c>
      <c r="E18">
        <f>'[1]m-units'!B17</f>
        <v>0</v>
      </c>
      <c r="F18">
        <f>'[1]m-sumUnits'!B17</f>
        <v>0</v>
      </c>
      <c r="G18" s="15" t="e">
        <f t="shared" si="5"/>
        <v>#DIV/0!</v>
      </c>
      <c r="H18" s="15">
        <f>'[1]m-times'!B17</f>
        <v>0</v>
      </c>
      <c r="I18" t="str" cm="1">
        <f t="array" ref="I18:I39">INDEX(addresses!B$1:B$22, B18)</f>
        <v>4509 State Hwy 83 North, Defuniak Springs, FL, 32433</v>
      </c>
      <c r="R18" t="str">
        <v>124 W Washington, Kosciusko, MS, 39090</v>
      </c>
      <c r="U18">
        <f>'[1]w-distances'!B17</f>
        <v>0</v>
      </c>
      <c r="V18">
        <f>'[1]w-sumDists'!B17</f>
        <v>0</v>
      </c>
      <c r="W18">
        <f>'[1]w-units'!B17</f>
        <v>0</v>
      </c>
      <c r="X18">
        <f>'[1]w-sumUnits'!B17</f>
        <v>0</v>
      </c>
      <c r="Z18" s="15">
        <f>'[1]w-times'!B17</f>
        <v>0</v>
      </c>
      <c r="AA18" t="e" cm="1" vm="3">
        <f t="array" aca="1" ref="AA18" ca="1">INDEX(addresses!B$1:B$22, T18)</f>
        <v>#VALUE!</v>
      </c>
      <c r="AD18">
        <f>'[1]th-distances'!B17</f>
        <v>0</v>
      </c>
      <c r="AJ18" t="str">
        <v>124 W Washington, Kosciusko, MS, 39090</v>
      </c>
      <c r="AS18" t="str">
        <v>124 W Washington, Kosciusko, MS, 39090</v>
      </c>
    </row>
    <row r="19" spans="1:45" x14ac:dyDescent="0.3">
      <c r="I19" t="str">
        <v>605 Mississippi 182, Starkville, MS, 39759</v>
      </c>
      <c r="R19" t="str">
        <v>711 N Main St., Havana, FL, 32333</v>
      </c>
      <c r="Z19" s="15">
        <f>'[1]w-times'!B18</f>
        <v>0</v>
      </c>
      <c r="AA19" t="e" cm="1" vm="3">
        <f t="array" aca="1" ref="AA19" ca="1">INDEX(addresses!B$1:B$22, T19)</f>
        <v>#VALUE!</v>
      </c>
      <c r="AJ19" t="str">
        <v>711 N Main St., Havana, FL, 32333</v>
      </c>
      <c r="AS19" t="str">
        <v>711 N Main St., Havana, FL, 32333</v>
      </c>
    </row>
    <row r="20" spans="1:45" x14ac:dyDescent="0.3">
      <c r="I20" t="str">
        <v>116 Terrace Dr, Haines City, FL, 33844</v>
      </c>
      <c r="R20" t="str">
        <v>5282 Peanut Rd., Graceville, FL, 32440</v>
      </c>
      <c r="AA20" t="e" cm="1" vm="3">
        <f t="array" aca="1" ref="AA20" ca="1">INDEX(addresses!B$1:B$22, T20)</f>
        <v>#VALUE!</v>
      </c>
      <c r="AJ20" t="str">
        <v>5282 Peanut Rd., Graceville, FL, 32440</v>
      </c>
      <c r="AS20" t="str">
        <v>5282 Peanut Rd., Graceville, FL, 32440</v>
      </c>
    </row>
    <row r="21" spans="1:45" x14ac:dyDescent="0.3">
      <c r="I21" t="str">
        <v>118 South Columbus Avenue, Louisville, MS, 39339</v>
      </c>
      <c r="R21" t="str">
        <v xml:space="preserve">, Cleveland, MS, </v>
      </c>
      <c r="AA21" t="e" cm="1" vm="3">
        <f t="array" aca="1" ref="AA21" ca="1">INDEX(addresses!B$1:B$22, T21)</f>
        <v>#VALUE!</v>
      </c>
      <c r="AJ21" t="str">
        <v xml:space="preserve">, Cleveland, MS, </v>
      </c>
      <c r="AS21" t="str">
        <v xml:space="preserve">, Cleveland, MS, </v>
      </c>
    </row>
    <row r="22" spans="1:45" x14ac:dyDescent="0.3">
      <c r="I22" t="str">
        <v>124 W Washington, Kosciusko, MS, 39090</v>
      </c>
      <c r="R22" t="str">
        <v>1460 Shetter Avenue, Jacksonville Beach, FL, 32250</v>
      </c>
      <c r="AA22" t="e" cm="1" vm="3">
        <f t="array" aca="1" ref="AA22" ca="1">INDEX(addresses!B$1:B$22, T22)</f>
        <v>#VALUE!</v>
      </c>
      <c r="AJ22" t="str">
        <v>1460 Shetter Avenue, Jacksonville Beach, FL, 32250</v>
      </c>
      <c r="AS22" t="str">
        <v>1460 Shetter Avenue, Jacksonville Beach, FL, 32250</v>
      </c>
    </row>
    <row r="23" spans="1:45" x14ac:dyDescent="0.3">
      <c r="I23" t="str">
        <v>711 N Main St., Havana, FL, 32333</v>
      </c>
      <c r="R23" t="str">
        <v>65 6th Street, Luverne, AL, 36049</v>
      </c>
      <c r="AA23" t="e" cm="1" vm="3">
        <f t="array" aca="1" ref="AA23" ca="1">INDEX(addresses!B$1:B$22, T23)</f>
        <v>#VALUE!</v>
      </c>
      <c r="AJ23" t="str">
        <v>65 6th Street, Luverne, AL, 36049</v>
      </c>
      <c r="AS23" t="str">
        <v>65 6th Street, Luverne, AL, 36049</v>
      </c>
    </row>
    <row r="24" spans="1:45" x14ac:dyDescent="0.3">
      <c r="I24" t="str">
        <v>5282 Peanut Rd., Graceville, FL, 32440</v>
      </c>
      <c r="R24" t="str">
        <v>240 Hicks Street, Clarksdale, MS, 38614</v>
      </c>
      <c r="AA24" t="e" cm="1" vm="3">
        <f t="array" aca="1" ref="AA24" ca="1">INDEX(addresses!B$1:B$22, T24)</f>
        <v>#VALUE!</v>
      </c>
      <c r="AJ24" t="str">
        <v>240 Hicks Street, Clarksdale, MS, 38614</v>
      </c>
      <c r="AS24" t="str">
        <v>240 Hicks Street, Clarksdale, MS, 38614</v>
      </c>
    </row>
    <row r="25" spans="1:45" x14ac:dyDescent="0.3">
      <c r="I25" t="str">
        <v xml:space="preserve">, Cleveland, MS, </v>
      </c>
      <c r="R25" t="str">
        <v>475 Walnut Gate Rd, Russellville, AL, 35654</v>
      </c>
      <c r="AA25" t="e" cm="1" vm="3">
        <f t="array" aca="1" ref="AA25" ca="1">INDEX(addresses!B$1:B$22, T25)</f>
        <v>#VALUE!</v>
      </c>
      <c r="AJ25" t="str">
        <v>475 Walnut Gate Rd, Russellville, AL, 35654</v>
      </c>
      <c r="AS25" t="str">
        <v>475 Walnut Gate Rd, Russellville, AL, 35654</v>
      </c>
    </row>
    <row r="26" spans="1:45" x14ac:dyDescent="0.3">
      <c r="I26" t="str">
        <v>1460 Shetter Avenue, Jacksonville Beach, FL, 32250</v>
      </c>
      <c r="R26" t="str">
        <v>2656 Queenstown Road, Birmingham, AL, 35210</v>
      </c>
      <c r="AA26" t="e" cm="1" vm="3">
        <f t="array" aca="1" ref="AA26" ca="1">INDEX(addresses!B$1:B$22, T26)</f>
        <v>#VALUE!</v>
      </c>
      <c r="AJ26" t="str">
        <v>2656 Queenstown Road, Birmingham, AL, 35210</v>
      </c>
      <c r="AS26" t="str">
        <v>2656 Queenstown Road, Birmingham, AL, 35210</v>
      </c>
    </row>
    <row r="27" spans="1:45" x14ac:dyDescent="0.3">
      <c r="I27" t="str">
        <v>65 6th Street, Luverne, AL, 36049</v>
      </c>
      <c r="R27" t="str">
        <v>19953 US-31 AL, Thorsby, AL, 35171</v>
      </c>
      <c r="AA27" t="e" cm="1" vm="3">
        <f t="array" aca="1" ref="AA27" ca="1">INDEX(addresses!B$1:B$22, T27)</f>
        <v>#VALUE!</v>
      </c>
      <c r="AJ27" t="str">
        <v>19953 US-31 AL, Thorsby, AL, 35171</v>
      </c>
      <c r="AS27" t="str">
        <v>19953 US-31 AL, Thorsby, AL, 35171</v>
      </c>
    </row>
    <row r="28" spans="1:45" x14ac:dyDescent="0.3">
      <c r="I28" t="str">
        <v>240 Hicks Street, Clarksdale, MS, 38614</v>
      </c>
      <c r="R28" t="str">
        <v>120 John King Rd, Crestview, FL, 32539</v>
      </c>
      <c r="AA28" t="e" cm="1" vm="3">
        <f t="array" aca="1" ref="AA28" ca="1">INDEX(addresses!B$1:B$22, T28)</f>
        <v>#VALUE!</v>
      </c>
      <c r="AJ28" t="str">
        <v>120 John King Rd, Crestview, FL, 32539</v>
      </c>
      <c r="AS28" t="str">
        <v>120 John King Rd, Crestview, FL, 32539</v>
      </c>
    </row>
    <row r="29" spans="1:45" x14ac:dyDescent="0.3">
      <c r="I29" t="str">
        <v>475 Walnut Gate Rd, Russellville, AL, 35654</v>
      </c>
      <c r="R29" t="str">
        <v>1251 South Decatur St, Montgomery, AL, 36101</v>
      </c>
      <c r="AA29" t="e" cm="1" vm="3">
        <f t="array" aca="1" ref="AA29" ca="1">INDEX(addresses!B$1:B$22, T29)</f>
        <v>#VALUE!</v>
      </c>
      <c r="AJ29" t="str">
        <v>1251 South Decatur St, Montgomery, AL, 36101</v>
      </c>
      <c r="AS29" t="str">
        <v>1251 South Decatur St, Montgomery, AL, 36101</v>
      </c>
    </row>
    <row r="30" spans="1:45" x14ac:dyDescent="0.3">
      <c r="I30" t="str">
        <v>2656 Queenstown Road, Birmingham, AL, 35210</v>
      </c>
      <c r="R30" t="str">
        <v>11780 US Hwy 1 Suite 208N, Palm Beach Gardens, FL, 33408</v>
      </c>
      <c r="AA30" t="e" cm="1" vm="3">
        <f t="array" aca="1" ref="AA30" ca="1">INDEX(addresses!B$1:B$22, T30)</f>
        <v>#VALUE!</v>
      </c>
      <c r="AJ30" t="str">
        <v>11780 US Hwy 1 Suite 208N, Palm Beach Gardens, FL, 33408</v>
      </c>
      <c r="AS30" t="str">
        <v>11780 US Hwy 1 Suite 208N, Palm Beach Gardens, FL, 33408</v>
      </c>
    </row>
    <row r="31" spans="1:45" x14ac:dyDescent="0.3">
      <c r="I31" t="str">
        <v>19953 US-31 AL, Thorsby, AL, 35171</v>
      </c>
      <c r="R31" t="str">
        <v>3435 Eric Cir E, Tuscaloosa, AL, 35401</v>
      </c>
      <c r="AA31" t="e" cm="1" vm="3">
        <f t="array" aca="1" ref="AA31" ca="1">INDEX(addresses!B$1:B$22, T31)</f>
        <v>#VALUE!</v>
      </c>
      <c r="AJ31" t="str">
        <v>3435 Eric Cir E, Tuscaloosa, AL, 35401</v>
      </c>
      <c r="AS31" t="str">
        <v>3435 Eric Cir E, Tuscaloosa, AL, 35401</v>
      </c>
    </row>
    <row r="32" spans="1:45" x14ac:dyDescent="0.3">
      <c r="I32" t="str">
        <v>120 John King Rd, Crestview, FL, 32539</v>
      </c>
      <c r="R32" t="str">
        <v>2134 Highway 29 South, Brewton, AL, 36426</v>
      </c>
      <c r="AA32" t="e" cm="1" vm="3">
        <f t="array" aca="1" ref="AA32" ca="1">INDEX(addresses!B$1:B$22, T32)</f>
        <v>#VALUE!</v>
      </c>
      <c r="AJ32" t="str">
        <v>2134 Highway 29 South, Brewton, AL, 36426</v>
      </c>
      <c r="AS32" t="str">
        <v>2134 Highway 29 South, Brewton, AL, 36426</v>
      </c>
    </row>
    <row r="33" spans="9:45" x14ac:dyDescent="0.3">
      <c r="I33" t="str">
        <v>1251 South Decatur St, Montgomery, AL, 36101</v>
      </c>
      <c r="R33" t="str">
        <v>104 Adams Road, Opp, AL, 36467</v>
      </c>
      <c r="AA33" t="e" cm="1" vm="3">
        <f t="array" aca="1" ref="AA33" ca="1">INDEX(addresses!B$1:B$22, T33)</f>
        <v>#VALUE!</v>
      </c>
      <c r="AJ33" t="str">
        <v>104 Adams Road, Opp, AL, 36467</v>
      </c>
      <c r="AS33" t="str">
        <v>104 Adams Road, Opp, AL, 36467</v>
      </c>
    </row>
    <row r="34" spans="9:45" x14ac:dyDescent="0.3">
      <c r="I34" t="str">
        <v>11780 US Hwy 1 Suite 208N, Palm Beach Gardens, FL, 33408</v>
      </c>
      <c r="R34" t="str">
        <v>1010 Sparkman Street, Hartselle, AL, 35640</v>
      </c>
      <c r="AA34" t="str" cm="1">
        <f t="array" ref="AA34:AA55">INDEX(addresses!B$1:B$22, T34)</f>
        <v>4509 State Hwy 83 North, Defuniak Springs, FL, 32433</v>
      </c>
      <c r="AJ34" t="str">
        <v>1010 Sparkman Street, Hartselle, AL, 35640</v>
      </c>
      <c r="AS34" t="str">
        <v>1010 Sparkman Street, Hartselle, AL, 35640</v>
      </c>
    </row>
    <row r="35" spans="9:45" x14ac:dyDescent="0.3">
      <c r="I35" t="str">
        <v>3435 Eric Cir E, Tuscaloosa, AL, 35401</v>
      </c>
      <c r="R35" t="str">
        <v>100 Waits Dr, Andalusia, AL, 36421</v>
      </c>
      <c r="AA35" t="str">
        <v>605 Mississippi 182, Starkville, MS, 39759</v>
      </c>
      <c r="AJ35" t="str">
        <v>100 Waits Dr, Andalusia, AL, 36421</v>
      </c>
      <c r="AS35" t="str">
        <v>100 Waits Dr, Andalusia, AL, 36421</v>
      </c>
    </row>
    <row r="36" spans="9:45" x14ac:dyDescent="0.3">
      <c r="I36" t="str">
        <v>2134 Highway 29 South, Brewton, AL, 36426</v>
      </c>
      <c r="AA36" t="str">
        <v>116 Terrace Dr, Haines City, FL, 33844</v>
      </c>
    </row>
    <row r="37" spans="9:45" x14ac:dyDescent="0.3">
      <c r="I37" t="str">
        <v>104 Adams Road, Opp, AL, 36467</v>
      </c>
      <c r="AA37" t="str">
        <v>118 South Columbus Avenue, Louisville, MS, 39339</v>
      </c>
    </row>
    <row r="38" spans="9:45" x14ac:dyDescent="0.3">
      <c r="I38" t="str">
        <v>1010 Sparkman Street, Hartselle, AL, 35640</v>
      </c>
      <c r="AA38" t="str">
        <v>124 W Washington, Kosciusko, MS, 39090</v>
      </c>
    </row>
    <row r="39" spans="9:45" x14ac:dyDescent="0.3">
      <c r="I39" t="str">
        <v>100 Waits Dr, Andalusia, AL, 36421</v>
      </c>
      <c r="AA39" t="str">
        <v>711 N Main St., Havana, FL, 32333</v>
      </c>
    </row>
    <row r="40" spans="9:45" x14ac:dyDescent="0.3">
      <c r="AA40" t="str">
        <v>5282 Peanut Rd., Graceville, FL, 32440</v>
      </c>
    </row>
    <row r="41" spans="9:45" x14ac:dyDescent="0.3">
      <c r="AA41" t="str">
        <v xml:space="preserve">, Cleveland, MS, </v>
      </c>
    </row>
    <row r="42" spans="9:45" x14ac:dyDescent="0.3">
      <c r="AA42" t="str">
        <v>1460 Shetter Avenue, Jacksonville Beach, FL, 32250</v>
      </c>
    </row>
    <row r="43" spans="9:45" x14ac:dyDescent="0.3">
      <c r="AA43" t="str">
        <v>65 6th Street, Luverne, AL, 36049</v>
      </c>
    </row>
    <row r="44" spans="9:45" x14ac:dyDescent="0.3">
      <c r="AA44" t="str">
        <v>240 Hicks Street, Clarksdale, MS, 38614</v>
      </c>
    </row>
    <row r="45" spans="9:45" x14ac:dyDescent="0.3">
      <c r="AA45" t="str">
        <v>475 Walnut Gate Rd, Russellville, AL, 35654</v>
      </c>
    </row>
    <row r="46" spans="9:45" x14ac:dyDescent="0.3">
      <c r="AA46" t="str">
        <v>2656 Queenstown Road, Birmingham, AL, 35210</v>
      </c>
    </row>
    <row r="47" spans="9:45" x14ac:dyDescent="0.3">
      <c r="AA47" t="str">
        <v>19953 US-31 AL, Thorsby, AL, 35171</v>
      </c>
    </row>
    <row r="48" spans="9:45" x14ac:dyDescent="0.3">
      <c r="AA48" t="str">
        <v>120 John King Rd, Crestview, FL, 32539</v>
      </c>
    </row>
    <row r="49" spans="27:27" x14ac:dyDescent="0.3">
      <c r="AA49" t="str">
        <v>1251 South Decatur St, Montgomery, AL, 36101</v>
      </c>
    </row>
    <row r="50" spans="27:27" x14ac:dyDescent="0.3">
      <c r="AA50" t="str">
        <v>11780 US Hwy 1 Suite 208N, Palm Beach Gardens, FL, 33408</v>
      </c>
    </row>
    <row r="51" spans="27:27" x14ac:dyDescent="0.3">
      <c r="AA51" t="str">
        <v>3435 Eric Cir E, Tuscaloosa, AL, 35401</v>
      </c>
    </row>
    <row r="52" spans="27:27" x14ac:dyDescent="0.3">
      <c r="AA52" t="str">
        <v>2134 Highway 29 South, Brewton, AL, 36426</v>
      </c>
    </row>
    <row r="53" spans="27:27" x14ac:dyDescent="0.3">
      <c r="AA53" t="str">
        <v>104 Adams Road, Opp, AL, 36467</v>
      </c>
    </row>
    <row r="54" spans="27:27" x14ac:dyDescent="0.3">
      <c r="AA54" t="str">
        <v>1010 Sparkman Street, Hartselle, AL, 35640</v>
      </c>
    </row>
    <row r="55" spans="27:27" x14ac:dyDescent="0.3">
      <c r="AA55" t="str">
        <v>100 Waits Dr, Andalusia, AL, 36421</v>
      </c>
    </row>
  </sheetData>
  <mergeCells count="5">
    <mergeCell ref="A1:I1"/>
    <mergeCell ref="J1:R1"/>
    <mergeCell ref="S1:AA1"/>
    <mergeCell ref="AB1:AJ1"/>
    <mergeCell ref="AK1:AS1"/>
  </mergeCells>
  <conditionalFormatting sqref="A1:A1048576">
    <cfRule type="cellIs" dxfId="13" priority="30" operator="equal">
      <formula>1</formula>
    </cfRule>
  </conditionalFormatting>
  <conditionalFormatting sqref="J2">
    <cfRule type="cellIs" dxfId="12" priority="27" operator="equal">
      <formula>1</formula>
    </cfRule>
  </conditionalFormatting>
  <conditionalFormatting sqref="J3:J14">
    <cfRule type="cellIs" dxfId="11" priority="25" operator="equal">
      <formula>1</formula>
    </cfRule>
  </conditionalFormatting>
  <conditionalFormatting sqref="J1:R1048576">
    <cfRule type="expression" dxfId="10" priority="23">
      <formula>$J1=0</formula>
    </cfRule>
  </conditionalFormatting>
  <conditionalFormatting sqref="S2">
    <cfRule type="cellIs" dxfId="9" priority="21" operator="equal">
      <formula>1</formula>
    </cfRule>
  </conditionalFormatting>
  <conditionalFormatting sqref="S3:S14">
    <cfRule type="cellIs" dxfId="8" priority="18" operator="equal">
      <formula>1</formula>
    </cfRule>
  </conditionalFormatting>
  <conditionalFormatting sqref="S1:AA1048576">
    <cfRule type="expression" dxfId="7" priority="16">
      <formula>$S1=0</formula>
    </cfRule>
  </conditionalFormatting>
  <conditionalFormatting sqref="AB2">
    <cfRule type="cellIs" dxfId="6" priority="14" operator="equal">
      <formula>1</formula>
    </cfRule>
  </conditionalFormatting>
  <conditionalFormatting sqref="AB3:AB14">
    <cfRule type="cellIs" dxfId="5" priority="10" operator="equal">
      <formula>1</formula>
    </cfRule>
  </conditionalFormatting>
  <conditionalFormatting sqref="AK2">
    <cfRule type="cellIs" dxfId="4" priority="8" operator="equal">
      <formula>1</formula>
    </cfRule>
  </conditionalFormatting>
  <conditionalFormatting sqref="AK3:AK14">
    <cfRule type="cellIs" dxfId="3" priority="4" operator="equal">
      <formula>1</formula>
    </cfRule>
  </conditionalFormatting>
  <conditionalFormatting sqref="AB1:AJ1048576">
    <cfRule type="expression" dxfId="2" priority="3">
      <formula>$AB1=0</formula>
    </cfRule>
  </conditionalFormatting>
  <conditionalFormatting sqref="AK1:AS1048576">
    <cfRule type="expression" dxfId="1" priority="2">
      <formula>$AK1=0</formula>
    </cfRule>
  </conditionalFormatting>
  <conditionalFormatting sqref="A1:I1048576">
    <cfRule type="expression" dxfId="0" priority="1">
      <formula>$A1=0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01869-4852-4CAD-A26E-639638F07DF9}">
  <sheetPr codeName="Sheet9"/>
  <dimension ref="A1:L17"/>
  <sheetViews>
    <sheetView workbookViewId="0">
      <selection activeCell="K10" sqref="K10"/>
    </sheetView>
  </sheetViews>
  <sheetFormatPr defaultRowHeight="14.4" x14ac:dyDescent="0.3"/>
  <sheetData>
    <row r="1" spans="1:12" x14ac:dyDescent="0.3">
      <c r="A1" t="s">
        <v>16207</v>
      </c>
      <c r="K1" t="s">
        <v>16207</v>
      </c>
    </row>
    <row r="2" spans="1:12" x14ac:dyDescent="0.3">
      <c r="B2" t="s">
        <v>16221</v>
      </c>
      <c r="L2" t="s">
        <v>16222</v>
      </c>
    </row>
    <row r="3" spans="1:12" x14ac:dyDescent="0.3">
      <c r="L3" t="s">
        <v>16224</v>
      </c>
    </row>
    <row r="4" spans="1:12" x14ac:dyDescent="0.3">
      <c r="B4" t="s">
        <v>16217</v>
      </c>
      <c r="L4" t="s">
        <v>16223</v>
      </c>
    </row>
    <row r="5" spans="1:12" x14ac:dyDescent="0.3">
      <c r="B5" t="s">
        <v>16218</v>
      </c>
      <c r="L5" t="s">
        <v>16218</v>
      </c>
    </row>
    <row r="6" spans="1:12" x14ac:dyDescent="0.3">
      <c r="A6" t="s">
        <v>16208</v>
      </c>
      <c r="L6" t="s">
        <v>16225</v>
      </c>
    </row>
    <row r="8" spans="1:12" x14ac:dyDescent="0.3">
      <c r="A8" t="s">
        <v>16209</v>
      </c>
      <c r="K8" t="s">
        <v>16211</v>
      </c>
    </row>
    <row r="9" spans="1:12" x14ac:dyDescent="0.3">
      <c r="A9" t="s">
        <v>16210</v>
      </c>
      <c r="L9" t="s">
        <v>16219</v>
      </c>
    </row>
    <row r="10" spans="1:12" x14ac:dyDescent="0.3">
      <c r="A10" t="s">
        <v>16211</v>
      </c>
      <c r="L10" t="s">
        <v>16226</v>
      </c>
    </row>
    <row r="11" spans="1:12" x14ac:dyDescent="0.3">
      <c r="B11" t="s">
        <v>16219</v>
      </c>
      <c r="K11" t="s">
        <v>16213</v>
      </c>
    </row>
    <row r="12" spans="1:12" x14ac:dyDescent="0.3">
      <c r="A12" t="s">
        <v>16212</v>
      </c>
      <c r="L12" t="s">
        <v>16220</v>
      </c>
    </row>
    <row r="13" spans="1:12" x14ac:dyDescent="0.3">
      <c r="A13" t="s">
        <v>16213</v>
      </c>
    </row>
    <row r="14" spans="1:12" x14ac:dyDescent="0.3">
      <c r="B14" t="s">
        <v>16220</v>
      </c>
    </row>
    <row r="15" spans="1:12" x14ac:dyDescent="0.3">
      <c r="A15" t="s">
        <v>16214</v>
      </c>
    </row>
    <row r="16" spans="1:12" x14ac:dyDescent="0.3">
      <c r="A16" t="s">
        <v>16215</v>
      </c>
    </row>
    <row r="17" spans="1:1" x14ac:dyDescent="0.3">
      <c r="A17" t="s">
        <v>16216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951741EFD2B27438447C28068740F17" ma:contentTypeVersion="8" ma:contentTypeDescription="Create a new document." ma:contentTypeScope="" ma:versionID="be445f95ffd92aace486265e55b57085">
  <xsd:schema xmlns:xsd="http://www.w3.org/2001/XMLSchema" xmlns:xs="http://www.w3.org/2001/XMLSchema" xmlns:p="http://schemas.microsoft.com/office/2006/metadata/properties" xmlns:ns3="1bdeba31-1772-41e4-81ff-fe768f145eef" xmlns:ns4="6a0dc199-1919-4301-aa34-f63303e469c4" targetNamespace="http://schemas.microsoft.com/office/2006/metadata/properties" ma:root="true" ma:fieldsID="5f3dedffa8953009546e6aceb96d01ee" ns3:_="" ns4:_="">
    <xsd:import namespace="1bdeba31-1772-41e4-81ff-fe768f145eef"/>
    <xsd:import namespace="6a0dc199-1919-4301-aa34-f63303e469c4"/>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bdeba31-1772-41e4-81ff-fe768f145e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a0dc199-1919-4301-aa34-f63303e469c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FA49ACF-828C-4A4E-9A9B-66A74FFB8602}">
  <ds:schemaRefs>
    <ds:schemaRef ds:uri="6a0dc199-1919-4301-aa34-f63303e469c4"/>
    <ds:schemaRef ds:uri="1bdeba31-1772-41e4-81ff-fe768f145eef"/>
    <ds:schemaRef ds:uri="http://schemas.microsoft.com/office/2006/documentManagement/types"/>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terms/"/>
  </ds:schemaRefs>
</ds:datastoreItem>
</file>

<file path=customXml/itemProps2.xml><?xml version="1.0" encoding="utf-8"?>
<ds:datastoreItem xmlns:ds="http://schemas.openxmlformats.org/officeDocument/2006/customXml" ds:itemID="{55A660A7-4213-490E-98C7-30B7CAE2CD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bdeba31-1772-41e4-81ff-fe768f145eef"/>
    <ds:schemaRef ds:uri="6a0dc199-1919-4301-aa34-f63303e469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4F8B302-296B-495E-8EE8-FCE8ABBAE72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All Accounts List</vt:lpstr>
      <vt:lpstr>Sheet1</vt:lpstr>
      <vt:lpstr>times</vt:lpstr>
      <vt:lpstr>Sheet2</vt:lpstr>
      <vt:lpstr>addresses</vt:lpstr>
      <vt:lpstr>distances</vt:lpstr>
      <vt:lpstr>realdists</vt:lpstr>
      <vt:lpstr>unit_entry</vt:lpstr>
      <vt:lpstr>output</vt:lpstr>
      <vt:lpstr>Next Steps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Micaiah Cowart</cp:lastModifiedBy>
  <dcterms:created xsi:type="dcterms:W3CDTF">2021-05-25T15:47:51Z</dcterms:created>
  <dcterms:modified xsi:type="dcterms:W3CDTF">2021-06-29T20:52:36Z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0x0101002951741EFD2B27438447C28068740F17</vt:lpwstr>
  </property>
</Properties>
</file>