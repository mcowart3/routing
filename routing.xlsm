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13_ncr:1_{0851470F-06E4-4B4C-83A1-4BEA9B94BAE2}" xr6:coauthVersionLast="47" xr6:coauthVersionMax="47" xr10:uidLastSave="{00000000-0000-0000-0000-000000000000}"/>
  <bookViews>
    <workbookView xWindow="-120" yWindow="-120" windowWidth="29040" windowHeight="16440" firstSheet="8" activeTab="8" xr2:uid="{00000000-000D-0000-FFFF-FFFF00000000}"/>
  </bookViews>
  <sheets>
    <sheet name="All Accounts List" sheetId="1" state="hidden" r:id="rId1"/>
    <sheet name="Sheet1" sheetId="2" state="hidden" r:id="rId2"/>
    <sheet name="Sheet3" sheetId="16" state="hidden" r:id="rId3"/>
    <sheet name="times" sheetId="12" state="hidden" r:id="rId4"/>
    <sheet name="Sheet2" sheetId="3" state="hidden" r:id="rId5"/>
    <sheet name="addresses" sheetId="10" state="hidden" r:id="rId6"/>
    <sheet name="distances" sheetId="4" state="hidden" r:id="rId7"/>
    <sheet name="realdists" sheetId="6" state="hidden" r:id="rId8"/>
    <sheet name="unit_entry" sheetId="5" r:id="rId9"/>
    <sheet name="output_testing" sheetId="7" state="hidden" r:id="rId10"/>
    <sheet name="output" sheetId="14" r:id="rId11"/>
    <sheet name="Next Steps" sheetId="11" r:id="rId12"/>
    <sheet name="testing" sheetId="15" state="hidden" r:id="rId13"/>
    <sheet name="Use Cases" sheetId="17" r:id="rId14"/>
  </sheets>
  <functionGroups builtInGroupCount="19"/>
  <externalReferences>
    <externalReference r:id="rId15"/>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6" l="1" a="1"/>
  <c r="A2" i="16" s="1"/>
  <c r="B1" i="16" a="1"/>
  <c r="B1" i="16" s="1"/>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 i="10"/>
  <c r="B6" i="10"/>
  <c r="B7" i="10"/>
  <c r="B8" i="10"/>
  <c r="B9" i="10"/>
  <c r="B10" i="10"/>
  <c r="B11" i="10"/>
  <c r="B12" i="10"/>
  <c r="AE37" i="7" s="1" a="1"/>
  <c r="AE37" i="7" s="1"/>
  <c r="B13" i="10"/>
  <c r="B14" i="10"/>
  <c r="B15" i="10"/>
  <c r="B16" i="10"/>
  <c r="B17" i="10"/>
  <c r="B18" i="10"/>
  <c r="B19" i="10"/>
  <c r="B20" i="10"/>
  <c r="B21" i="10"/>
  <c r="B22" i="10"/>
  <c r="B4" i="10"/>
  <c r="B3" i="10"/>
  <c r="B2" i="10"/>
  <c r="B1" i="10"/>
  <c r="BF57" i="14"/>
  <c r="BC57" i="14"/>
  <c r="BB57" i="14"/>
  <c r="BA57" i="14"/>
  <c r="AZ57" i="14"/>
  <c r="AY57" i="14"/>
  <c r="AX57" i="14"/>
  <c r="BG57" i="14" s="1"/>
  <c r="AW57" i="14"/>
  <c r="BF56" i="14"/>
  <c r="BC56" i="14"/>
  <c r="BB56" i="14"/>
  <c r="BA56" i="14"/>
  <c r="AZ56" i="14"/>
  <c r="AY56" i="14"/>
  <c r="AX56" i="14"/>
  <c r="BG56" i="14" s="1"/>
  <c r="AW56" i="14"/>
  <c r="BF55" i="14"/>
  <c r="BC55" i="14"/>
  <c r="BB55" i="14"/>
  <c r="BA55" i="14"/>
  <c r="AZ55" i="14"/>
  <c r="AY55" i="14"/>
  <c r="AX55" i="14"/>
  <c r="BG55" i="14" s="1"/>
  <c r="AW55" i="14"/>
  <c r="BF54" i="14"/>
  <c r="BC54" i="14"/>
  <c r="BB54" i="14"/>
  <c r="BA54" i="14"/>
  <c r="AZ54" i="14"/>
  <c r="AY54" i="14"/>
  <c r="AX54" i="14"/>
  <c r="BG54" i="14" s="1"/>
  <c r="AW54" i="14"/>
  <c r="BF53" i="14"/>
  <c r="BC53" i="14"/>
  <c r="BB53" i="14"/>
  <c r="BA53" i="14"/>
  <c r="AZ53" i="14"/>
  <c r="AY53" i="14"/>
  <c r="AX53" i="14"/>
  <c r="BG53" i="14" s="1"/>
  <c r="AW53" i="14"/>
  <c r="BF52" i="14"/>
  <c r="BC52" i="14"/>
  <c r="BB52" i="14"/>
  <c r="BA52" i="14"/>
  <c r="AZ52" i="14"/>
  <c r="AY52" i="14"/>
  <c r="AX52" i="14"/>
  <c r="BG52" i="14" s="1"/>
  <c r="AW52" i="14"/>
  <c r="BF51" i="14"/>
  <c r="BC51" i="14"/>
  <c r="BB51" i="14"/>
  <c r="BA51" i="14"/>
  <c r="AZ51" i="14"/>
  <c r="AY51" i="14"/>
  <c r="AX51" i="14"/>
  <c r="BG51" i="14" s="1"/>
  <c r="AW51" i="14"/>
  <c r="BF50" i="14"/>
  <c r="BC50" i="14"/>
  <c r="BB50" i="14"/>
  <c r="BA50" i="14"/>
  <c r="AZ50" i="14"/>
  <c r="AY50" i="14"/>
  <c r="AX50" i="14"/>
  <c r="BG50" i="14" s="1"/>
  <c r="AW50" i="14"/>
  <c r="BF49" i="14"/>
  <c r="BC49" i="14"/>
  <c r="BB49" i="14"/>
  <c r="BA49" i="14"/>
  <c r="AZ49" i="14"/>
  <c r="AY49" i="14"/>
  <c r="AX49" i="14"/>
  <c r="BG49" i="14" s="1"/>
  <c r="AW49" i="14"/>
  <c r="BF48" i="14"/>
  <c r="BC48" i="14"/>
  <c r="BB48" i="14"/>
  <c r="BA48" i="14"/>
  <c r="AZ48" i="14"/>
  <c r="AY48" i="14"/>
  <c r="AX48" i="14"/>
  <c r="BG48" i="14" s="1"/>
  <c r="AW48" i="14"/>
  <c r="BG47" i="14" s="1"/>
  <c r="AT57" i="14"/>
  <c r="AQ57" i="14"/>
  <c r="AP57" i="14"/>
  <c r="AO57" i="14"/>
  <c r="AN57" i="14"/>
  <c r="AM57" i="14"/>
  <c r="AL57" i="14"/>
  <c r="AU57" i="14" s="1"/>
  <c r="AK57" i="14"/>
  <c r="AT56" i="14"/>
  <c r="AQ56" i="14"/>
  <c r="AP56" i="14"/>
  <c r="AO56" i="14"/>
  <c r="AN56" i="14"/>
  <c r="AM56" i="14"/>
  <c r="AL56" i="14"/>
  <c r="AU56" i="14" s="1"/>
  <c r="AK56" i="14"/>
  <c r="AT55" i="14"/>
  <c r="AQ55" i="14"/>
  <c r="AP55" i="14"/>
  <c r="AO55" i="14"/>
  <c r="AN55" i="14"/>
  <c r="AM55" i="14"/>
  <c r="AL55" i="14"/>
  <c r="AU55" i="14" s="1"/>
  <c r="AK55" i="14"/>
  <c r="AT54" i="14"/>
  <c r="AQ54" i="14"/>
  <c r="AP54" i="14"/>
  <c r="AO54" i="14"/>
  <c r="AN54" i="14"/>
  <c r="AM54" i="14"/>
  <c r="AL54" i="14"/>
  <c r="AU54" i="14" s="1"/>
  <c r="AK54" i="14"/>
  <c r="AT53" i="14"/>
  <c r="AQ53" i="14"/>
  <c r="AP53" i="14"/>
  <c r="AO53" i="14"/>
  <c r="AN53" i="14"/>
  <c r="AM53" i="14"/>
  <c r="AL53" i="14"/>
  <c r="AU53" i="14" s="1"/>
  <c r="AK53" i="14"/>
  <c r="AT52" i="14"/>
  <c r="AQ52" i="14"/>
  <c r="AP52" i="14"/>
  <c r="AO52" i="14"/>
  <c r="AN52" i="14"/>
  <c r="AM52" i="14"/>
  <c r="AL52" i="14"/>
  <c r="AU52" i="14" s="1"/>
  <c r="AK52" i="14"/>
  <c r="AT51" i="14"/>
  <c r="AQ51" i="14"/>
  <c r="AP51" i="14"/>
  <c r="AO51" i="14"/>
  <c r="AN51" i="14"/>
  <c r="AM51" i="14"/>
  <c r="AL51" i="14"/>
  <c r="AU51" i="14" s="1"/>
  <c r="AK51" i="14"/>
  <c r="AT50" i="14"/>
  <c r="AQ50" i="14"/>
  <c r="AP50" i="14"/>
  <c r="AO50" i="14"/>
  <c r="AN50" i="14"/>
  <c r="AM50" i="14"/>
  <c r="AL50" i="14"/>
  <c r="AU50" i="14" s="1"/>
  <c r="AK50" i="14"/>
  <c r="AT49" i="14"/>
  <c r="AQ49" i="14"/>
  <c r="AP49" i="14"/>
  <c r="AO49" i="14"/>
  <c r="AN49" i="14"/>
  <c r="AM49" i="14"/>
  <c r="AL49" i="14"/>
  <c r="AU49" i="14" s="1"/>
  <c r="AK49" i="14"/>
  <c r="AT48" i="14"/>
  <c r="AQ48" i="14"/>
  <c r="AP48" i="14"/>
  <c r="AO48" i="14"/>
  <c r="AN48" i="14"/>
  <c r="AM48" i="14"/>
  <c r="AL48" i="14"/>
  <c r="AU48" i="14" s="1"/>
  <c r="AK48" i="14"/>
  <c r="AU47" i="14" s="1"/>
  <c r="AH57" i="14"/>
  <c r="AE57" i="14"/>
  <c r="AD57" i="14"/>
  <c r="AC57" i="14"/>
  <c r="AB57" i="14"/>
  <c r="AA57" i="14"/>
  <c r="Z57" i="14"/>
  <c r="AI57" i="14" s="1"/>
  <c r="Y57" i="14"/>
  <c r="AH56" i="14"/>
  <c r="AE56" i="14"/>
  <c r="AD56" i="14"/>
  <c r="AC56" i="14"/>
  <c r="AB56" i="14"/>
  <c r="AA56" i="14"/>
  <c r="Z56" i="14"/>
  <c r="AI56" i="14" s="1"/>
  <c r="Y56" i="14"/>
  <c r="AH55" i="14"/>
  <c r="AE55" i="14"/>
  <c r="AD55" i="14"/>
  <c r="AC55" i="14"/>
  <c r="AB55" i="14"/>
  <c r="AA55" i="14"/>
  <c r="Z55" i="14"/>
  <c r="AI55" i="14" s="1"/>
  <c r="Y55" i="14"/>
  <c r="AH54" i="14"/>
  <c r="AE54" i="14"/>
  <c r="AD54" i="14"/>
  <c r="AC54" i="14"/>
  <c r="AB54" i="14"/>
  <c r="AA54" i="14"/>
  <c r="Z54" i="14"/>
  <c r="AI54" i="14" s="1"/>
  <c r="Y54" i="14"/>
  <c r="AH53" i="14"/>
  <c r="AE53" i="14"/>
  <c r="AD53" i="14"/>
  <c r="AC53" i="14"/>
  <c r="AB53" i="14"/>
  <c r="AA53" i="14"/>
  <c r="Z53" i="14"/>
  <c r="AI53" i="14" s="1"/>
  <c r="Y53" i="14"/>
  <c r="AH52" i="14"/>
  <c r="AE52" i="14"/>
  <c r="AD52" i="14"/>
  <c r="AC52" i="14"/>
  <c r="AB52" i="14"/>
  <c r="AA52" i="14"/>
  <c r="Z52" i="14"/>
  <c r="AI52" i="14" s="1"/>
  <c r="Y52" i="14"/>
  <c r="AH51" i="14"/>
  <c r="AE51" i="14"/>
  <c r="AD51" i="14"/>
  <c r="AC51" i="14"/>
  <c r="AB51" i="14"/>
  <c r="AA51" i="14"/>
  <c r="Z51" i="14"/>
  <c r="AI51" i="14" s="1"/>
  <c r="Y51" i="14"/>
  <c r="AH50" i="14"/>
  <c r="AE50" i="14"/>
  <c r="AD50" i="14"/>
  <c r="AC50" i="14"/>
  <c r="AB50" i="14"/>
  <c r="AA50" i="14"/>
  <c r="Z50" i="14"/>
  <c r="AI50" i="14" s="1"/>
  <c r="Y50" i="14"/>
  <c r="AH49" i="14"/>
  <c r="AE49" i="14"/>
  <c r="AD49" i="14"/>
  <c r="AC49" i="14"/>
  <c r="AB49" i="14"/>
  <c r="AA49" i="14"/>
  <c r="Z49" i="14"/>
  <c r="AI49" i="14" s="1"/>
  <c r="Y49" i="14"/>
  <c r="AH48" i="14"/>
  <c r="AE48" i="14"/>
  <c r="AD48" i="14"/>
  <c r="AC48" i="14"/>
  <c r="AB48" i="14"/>
  <c r="AA48" i="14"/>
  <c r="Z48" i="14"/>
  <c r="AI48" i="14" s="1"/>
  <c r="Y48" i="14"/>
  <c r="AI47" i="14" s="1"/>
  <c r="V57" i="14"/>
  <c r="S57" i="14"/>
  <c r="R57" i="14"/>
  <c r="Q57" i="14"/>
  <c r="P57" i="14"/>
  <c r="O57" i="14"/>
  <c r="N57" i="14"/>
  <c r="W57" i="14" s="1"/>
  <c r="M57" i="14"/>
  <c r="V56" i="14"/>
  <c r="S56" i="14"/>
  <c r="R56" i="14"/>
  <c r="Q56" i="14"/>
  <c r="P56" i="14"/>
  <c r="O56" i="14"/>
  <c r="N56" i="14"/>
  <c r="W56" i="14" s="1"/>
  <c r="M56" i="14"/>
  <c r="V55" i="14"/>
  <c r="S55" i="14"/>
  <c r="R55" i="14"/>
  <c r="Q55" i="14"/>
  <c r="P55" i="14"/>
  <c r="O55" i="14"/>
  <c r="N55" i="14"/>
  <c r="W55" i="14" s="1"/>
  <c r="M55" i="14"/>
  <c r="V54" i="14"/>
  <c r="S54" i="14"/>
  <c r="R54" i="14"/>
  <c r="Q54" i="14"/>
  <c r="P54" i="14"/>
  <c r="O54" i="14"/>
  <c r="N54" i="14"/>
  <c r="W54" i="14" s="1"/>
  <c r="M54" i="14"/>
  <c r="V53" i="14"/>
  <c r="S53" i="14"/>
  <c r="R53" i="14"/>
  <c r="Q53" i="14"/>
  <c r="P53" i="14"/>
  <c r="O53" i="14"/>
  <c r="N53" i="14"/>
  <c r="W53" i="14" s="1"/>
  <c r="M53" i="14"/>
  <c r="V52" i="14"/>
  <c r="S52" i="14"/>
  <c r="R52" i="14"/>
  <c r="Q52" i="14"/>
  <c r="P52" i="14"/>
  <c r="O52" i="14"/>
  <c r="N52" i="14"/>
  <c r="W52" i="14" s="1"/>
  <c r="M52" i="14"/>
  <c r="V51" i="14"/>
  <c r="S51" i="14"/>
  <c r="R51" i="14"/>
  <c r="Q51" i="14"/>
  <c r="P51" i="14"/>
  <c r="O51" i="14"/>
  <c r="N51" i="14"/>
  <c r="W51" i="14" s="1"/>
  <c r="M51" i="14"/>
  <c r="V50" i="14"/>
  <c r="S50" i="14"/>
  <c r="R50" i="14"/>
  <c r="Q50" i="14"/>
  <c r="P50" i="14"/>
  <c r="O50" i="14"/>
  <c r="N50" i="14"/>
  <c r="W50" i="14" s="1"/>
  <c r="M50" i="14"/>
  <c r="V49" i="14"/>
  <c r="S49" i="14"/>
  <c r="R49" i="14"/>
  <c r="Q49" i="14"/>
  <c r="P49" i="14"/>
  <c r="O49" i="14"/>
  <c r="N49" i="14"/>
  <c r="W49" i="14" s="1"/>
  <c r="M49" i="14"/>
  <c r="V48" i="14"/>
  <c r="S48" i="14"/>
  <c r="R48" i="14"/>
  <c r="Q48" i="14"/>
  <c r="P48" i="14"/>
  <c r="O48" i="14"/>
  <c r="N48" i="14"/>
  <c r="W48" i="14" s="1"/>
  <c r="M48" i="14"/>
  <c r="W47" i="14" s="1"/>
  <c r="J57" i="14"/>
  <c r="G57" i="14"/>
  <c r="F57" i="14"/>
  <c r="E57" i="14"/>
  <c r="D57" i="14"/>
  <c r="C57" i="14"/>
  <c r="B57" i="14"/>
  <c r="K57" i="14" s="1"/>
  <c r="A57" i="14"/>
  <c r="J56" i="14"/>
  <c r="G56" i="14"/>
  <c r="F56" i="14"/>
  <c r="E56" i="14"/>
  <c r="D56" i="14"/>
  <c r="C56" i="14"/>
  <c r="B56" i="14"/>
  <c r="K56" i="14" s="1"/>
  <c r="A56" i="14"/>
  <c r="J55" i="14"/>
  <c r="G55" i="14"/>
  <c r="F55" i="14"/>
  <c r="E55" i="14"/>
  <c r="D55" i="14"/>
  <c r="C55" i="14"/>
  <c r="B55" i="14"/>
  <c r="K55" i="14" s="1"/>
  <c r="A55" i="14"/>
  <c r="J54" i="14"/>
  <c r="G54" i="14"/>
  <c r="F54" i="14"/>
  <c r="E54" i="14"/>
  <c r="D54" i="14"/>
  <c r="C54" i="14"/>
  <c r="B54" i="14"/>
  <c r="K54" i="14" s="1"/>
  <c r="A54" i="14"/>
  <c r="J53" i="14"/>
  <c r="G53" i="14"/>
  <c r="F53" i="14"/>
  <c r="E53" i="14"/>
  <c r="D53" i="14"/>
  <c r="C53" i="14"/>
  <c r="B53" i="14"/>
  <c r="K53" i="14" s="1"/>
  <c r="A53" i="14"/>
  <c r="J52" i="14"/>
  <c r="G52" i="14"/>
  <c r="F52" i="14"/>
  <c r="E52" i="14"/>
  <c r="D52" i="14"/>
  <c r="C52" i="14"/>
  <c r="B52" i="14"/>
  <c r="K52" i="14" s="1"/>
  <c r="A52" i="14"/>
  <c r="J51" i="14"/>
  <c r="G51" i="14"/>
  <c r="F51" i="14"/>
  <c r="E51" i="14"/>
  <c r="D51" i="14"/>
  <c r="C51" i="14"/>
  <c r="B51" i="14"/>
  <c r="K51" i="14" s="1"/>
  <c r="A51" i="14"/>
  <c r="J50" i="14"/>
  <c r="G50" i="14"/>
  <c r="F50" i="14"/>
  <c r="E50" i="14"/>
  <c r="D50" i="14"/>
  <c r="C50" i="14"/>
  <c r="B50" i="14"/>
  <c r="K50" i="14" s="1"/>
  <c r="A50" i="14"/>
  <c r="J49" i="14"/>
  <c r="G49" i="14"/>
  <c r="F49" i="14"/>
  <c r="E49" i="14"/>
  <c r="D49" i="14"/>
  <c r="C49" i="14"/>
  <c r="B49" i="14"/>
  <c r="K49" i="14" s="1"/>
  <c r="A49" i="14"/>
  <c r="J48" i="14"/>
  <c r="G48" i="14"/>
  <c r="F48" i="14"/>
  <c r="E48" i="14"/>
  <c r="D48" i="14"/>
  <c r="C48" i="14"/>
  <c r="B48" i="14"/>
  <c r="K48" i="14" s="1"/>
  <c r="A48" i="14"/>
  <c r="K47" i="14" s="1"/>
  <c r="BF46" i="14"/>
  <c r="BC46" i="14"/>
  <c r="BB46" i="14"/>
  <c r="BA46" i="14"/>
  <c r="AZ46" i="14"/>
  <c r="AY46" i="14"/>
  <c r="AX46" i="14"/>
  <c r="BG46" i="14" s="1"/>
  <c r="AW46" i="14"/>
  <c r="BF45" i="14"/>
  <c r="BC45" i="14"/>
  <c r="BB45" i="14"/>
  <c r="BA45" i="14"/>
  <c r="AZ45" i="14"/>
  <c r="AY45" i="14"/>
  <c r="AX45" i="14"/>
  <c r="BG45" i="14" s="1"/>
  <c r="AW45" i="14"/>
  <c r="BF44" i="14"/>
  <c r="BC44" i="14"/>
  <c r="BB44" i="14"/>
  <c r="BA44" i="14"/>
  <c r="AZ44" i="14"/>
  <c r="AY44" i="14"/>
  <c r="AX44" i="14"/>
  <c r="BG44" i="14" s="1"/>
  <c r="AW44" i="14"/>
  <c r="BF43" i="14"/>
  <c r="BC43" i="14"/>
  <c r="BB43" i="14"/>
  <c r="BA43" i="14"/>
  <c r="AZ43" i="14"/>
  <c r="AY43" i="14"/>
  <c r="AX43" i="14"/>
  <c r="BG43" i="14" s="1"/>
  <c r="AW43" i="14"/>
  <c r="BF42" i="14"/>
  <c r="BC42" i="14"/>
  <c r="BB42" i="14"/>
  <c r="BA42" i="14"/>
  <c r="AZ42" i="14"/>
  <c r="AY42" i="14"/>
  <c r="AX42" i="14"/>
  <c r="BG42" i="14" s="1"/>
  <c r="AW42" i="14"/>
  <c r="BF41" i="14"/>
  <c r="BC41" i="14"/>
  <c r="BB41" i="14"/>
  <c r="BA41" i="14"/>
  <c r="AZ41" i="14"/>
  <c r="AY41" i="14"/>
  <c r="AX41" i="14"/>
  <c r="BG41" i="14" s="1"/>
  <c r="AW41" i="14"/>
  <c r="BF40" i="14"/>
  <c r="BC40" i="14"/>
  <c r="BB40" i="14"/>
  <c r="BA40" i="14"/>
  <c r="AZ40" i="14"/>
  <c r="AY40" i="14"/>
  <c r="AX40" i="14"/>
  <c r="BG40" i="14" s="1"/>
  <c r="AW40" i="14"/>
  <c r="BF39" i="14"/>
  <c r="BC39" i="14"/>
  <c r="BB39" i="14"/>
  <c r="BA39" i="14"/>
  <c r="AZ39" i="14"/>
  <c r="AY39" i="14"/>
  <c r="AX39" i="14"/>
  <c r="BG39" i="14" s="1"/>
  <c r="AW39" i="14"/>
  <c r="BF38" i="14"/>
  <c r="BC38" i="14"/>
  <c r="BB38" i="14"/>
  <c r="BA38" i="14"/>
  <c r="AZ38" i="14"/>
  <c r="AY38" i="14"/>
  <c r="AX38" i="14"/>
  <c r="BG38" i="14" s="1"/>
  <c r="AW38" i="14"/>
  <c r="BF37" i="14"/>
  <c r="BC37" i="14"/>
  <c r="BB37" i="14"/>
  <c r="BA37" i="14"/>
  <c r="AZ37" i="14"/>
  <c r="AY37" i="14"/>
  <c r="AX37" i="14"/>
  <c r="BG37" i="14" s="1"/>
  <c r="AW37" i="14"/>
  <c r="BG36" i="14" s="1"/>
  <c r="BF35" i="14"/>
  <c r="BC35" i="14"/>
  <c r="BB35" i="14"/>
  <c r="BA35" i="14"/>
  <c r="AZ35" i="14"/>
  <c r="AY35" i="14"/>
  <c r="AX35" i="14"/>
  <c r="BG35" i="14" s="1"/>
  <c r="AW35" i="14"/>
  <c r="BF34" i="14"/>
  <c r="BC34" i="14"/>
  <c r="BB34" i="14"/>
  <c r="BA34" i="14"/>
  <c r="AZ34" i="14"/>
  <c r="AY34" i="14"/>
  <c r="AX34" i="14"/>
  <c r="BG34" i="14" s="1"/>
  <c r="AW34" i="14"/>
  <c r="BF33" i="14"/>
  <c r="BC33" i="14"/>
  <c r="BB33" i="14"/>
  <c r="BA33" i="14"/>
  <c r="AZ33" i="14"/>
  <c r="AY33" i="14"/>
  <c r="AX33" i="14"/>
  <c r="BG33" i="14" s="1"/>
  <c r="AW33" i="14"/>
  <c r="BF32" i="14"/>
  <c r="BC32" i="14"/>
  <c r="BB32" i="14"/>
  <c r="BA32" i="14"/>
  <c r="AZ32" i="14"/>
  <c r="AY32" i="14"/>
  <c r="AX32" i="14"/>
  <c r="BG32" i="14" s="1"/>
  <c r="AW32" i="14"/>
  <c r="BF31" i="14"/>
  <c r="BC31" i="14"/>
  <c r="BB31" i="14"/>
  <c r="BA31" i="14"/>
  <c r="AZ31" i="14"/>
  <c r="AY31" i="14"/>
  <c r="AX31" i="14"/>
  <c r="BG31" i="14" s="1"/>
  <c r="AW31" i="14"/>
  <c r="BF30" i="14"/>
  <c r="BC30" i="14"/>
  <c r="BB30" i="14"/>
  <c r="BA30" i="14"/>
  <c r="AZ30" i="14"/>
  <c r="AY30" i="14"/>
  <c r="AX30" i="14"/>
  <c r="BG30" i="14" s="1"/>
  <c r="AW30" i="14"/>
  <c r="BF29" i="14"/>
  <c r="BC29" i="14"/>
  <c r="BB29" i="14"/>
  <c r="BA29" i="14"/>
  <c r="AZ29" i="14"/>
  <c r="AY29" i="14"/>
  <c r="AX29" i="14"/>
  <c r="BG29" i="14" s="1"/>
  <c r="AW29" i="14"/>
  <c r="BF28" i="14"/>
  <c r="BC28" i="14"/>
  <c r="BB28" i="14"/>
  <c r="BA28" i="14"/>
  <c r="AZ28" i="14"/>
  <c r="AY28" i="14"/>
  <c r="AX28" i="14"/>
  <c r="BG28" i="14" s="1"/>
  <c r="AW28" i="14"/>
  <c r="BF27" i="14"/>
  <c r="BC27" i="14"/>
  <c r="BB27" i="14"/>
  <c r="BA27" i="14"/>
  <c r="AZ27" i="14"/>
  <c r="AY27" i="14"/>
  <c r="AX27" i="14"/>
  <c r="BG27" i="14" s="1"/>
  <c r="AW27" i="14"/>
  <c r="BF26" i="14"/>
  <c r="BC26" i="14"/>
  <c r="BB26" i="14"/>
  <c r="BA26" i="14"/>
  <c r="AZ26" i="14"/>
  <c r="AY26" i="14"/>
  <c r="AX26" i="14"/>
  <c r="BG26" i="14" s="1"/>
  <c r="AW26" i="14"/>
  <c r="BG25" i="14" s="1"/>
  <c r="BF24" i="14"/>
  <c r="BC24" i="14"/>
  <c r="BB24" i="14"/>
  <c r="BA24" i="14"/>
  <c r="AZ24" i="14"/>
  <c r="AY24" i="14"/>
  <c r="AX24" i="14"/>
  <c r="BG24" i="14" s="1"/>
  <c r="AW24" i="14"/>
  <c r="BF23" i="14"/>
  <c r="BC23" i="14"/>
  <c r="BB23" i="14"/>
  <c r="BA23" i="14"/>
  <c r="AZ23" i="14"/>
  <c r="AY23" i="14"/>
  <c r="AX23" i="14"/>
  <c r="BG23" i="14" s="1"/>
  <c r="AW23" i="14"/>
  <c r="BF22" i="14"/>
  <c r="BC22" i="14"/>
  <c r="BB22" i="14"/>
  <c r="BA22" i="14"/>
  <c r="AZ22" i="14"/>
  <c r="AY22" i="14"/>
  <c r="AX22" i="14"/>
  <c r="BG22" i="14" s="1"/>
  <c r="AW22" i="14"/>
  <c r="BF21" i="14"/>
  <c r="BC21" i="14"/>
  <c r="BB21" i="14"/>
  <c r="BA21" i="14"/>
  <c r="AZ21" i="14"/>
  <c r="AY21" i="14"/>
  <c r="AX21" i="14"/>
  <c r="BG21" i="14" s="1"/>
  <c r="AW21" i="14"/>
  <c r="BF20" i="14"/>
  <c r="BC20" i="14"/>
  <c r="BB20" i="14"/>
  <c r="BA20" i="14"/>
  <c r="AZ20" i="14"/>
  <c r="AY20" i="14"/>
  <c r="AX20" i="14"/>
  <c r="BG20" i="14" s="1"/>
  <c r="AW20" i="14"/>
  <c r="BF19" i="14"/>
  <c r="BC19" i="14"/>
  <c r="BB19" i="14"/>
  <c r="BA19" i="14"/>
  <c r="AZ19" i="14"/>
  <c r="AY19" i="14"/>
  <c r="AX19" i="14"/>
  <c r="BG19" i="14" s="1"/>
  <c r="AW19" i="14"/>
  <c r="BF18" i="14"/>
  <c r="BC18" i="14"/>
  <c r="BB18" i="14"/>
  <c r="BA18" i="14"/>
  <c r="AZ18" i="14"/>
  <c r="AY18" i="14"/>
  <c r="AX18" i="14"/>
  <c r="BG18" i="14" s="1"/>
  <c r="AW18" i="14"/>
  <c r="BF17" i="14"/>
  <c r="BC17" i="14"/>
  <c r="BB17" i="14"/>
  <c r="BA17" i="14"/>
  <c r="AZ17" i="14"/>
  <c r="AY17" i="14"/>
  <c r="AX17" i="14"/>
  <c r="BG17" i="14" s="1"/>
  <c r="AW17" i="14"/>
  <c r="BF16" i="14"/>
  <c r="BC16" i="14"/>
  <c r="BB16" i="14"/>
  <c r="BA16" i="14"/>
  <c r="AZ16" i="14"/>
  <c r="AY16" i="14"/>
  <c r="AX16" i="14"/>
  <c r="BG16" i="14" s="1"/>
  <c r="AW16" i="14"/>
  <c r="BF15" i="14"/>
  <c r="BC15" i="14"/>
  <c r="BB15" i="14"/>
  <c r="BA15" i="14"/>
  <c r="AZ15" i="14"/>
  <c r="AY15" i="14"/>
  <c r="AX15" i="14"/>
  <c r="BG15" i="14" s="1"/>
  <c r="AW15" i="14"/>
  <c r="BG14" i="14" s="1"/>
  <c r="BF13" i="14"/>
  <c r="BC13" i="14"/>
  <c r="BB13" i="14"/>
  <c r="BA13" i="14"/>
  <c r="AZ13" i="14"/>
  <c r="AY13" i="14"/>
  <c r="AX13" i="14"/>
  <c r="BG13" i="14" s="1"/>
  <c r="AW13" i="14"/>
  <c r="BF12" i="14"/>
  <c r="BC12" i="14"/>
  <c r="BB12" i="14"/>
  <c r="BA12" i="14"/>
  <c r="AZ12" i="14"/>
  <c r="AY12" i="14"/>
  <c r="AX12" i="14"/>
  <c r="BG12" i="14" s="1"/>
  <c r="AW12" i="14"/>
  <c r="BF11" i="14"/>
  <c r="BC11" i="14"/>
  <c r="BB11" i="14"/>
  <c r="BA11" i="14"/>
  <c r="AZ11" i="14"/>
  <c r="AY11" i="14"/>
  <c r="AX11" i="14"/>
  <c r="BG11" i="14" s="1"/>
  <c r="AW11" i="14"/>
  <c r="BF10" i="14"/>
  <c r="BC10" i="14"/>
  <c r="BB10" i="14"/>
  <c r="BA10" i="14"/>
  <c r="AZ10" i="14"/>
  <c r="AY10" i="14"/>
  <c r="AX10" i="14"/>
  <c r="BG10" i="14" s="1"/>
  <c r="AW10" i="14"/>
  <c r="BF9" i="14"/>
  <c r="BC9" i="14"/>
  <c r="BB9" i="14"/>
  <c r="BA9" i="14"/>
  <c r="AZ9" i="14"/>
  <c r="AY9" i="14"/>
  <c r="AX9" i="14"/>
  <c r="BG9" i="14" s="1"/>
  <c r="AW9" i="14"/>
  <c r="BF8" i="14"/>
  <c r="BC8" i="14"/>
  <c r="BB8" i="14"/>
  <c r="BA8" i="14"/>
  <c r="AZ8" i="14"/>
  <c r="AY8" i="14"/>
  <c r="AX8" i="14"/>
  <c r="BG8" i="14" s="1"/>
  <c r="AW8" i="14"/>
  <c r="BF7" i="14"/>
  <c r="BC7" i="14"/>
  <c r="BB7" i="14"/>
  <c r="BA7" i="14"/>
  <c r="AZ7" i="14"/>
  <c r="AY7" i="14"/>
  <c r="AX7" i="14"/>
  <c r="BG7" i="14" s="1"/>
  <c r="AW7" i="14"/>
  <c r="BF6" i="14"/>
  <c r="BC6" i="14"/>
  <c r="BB6" i="14"/>
  <c r="BA6" i="14"/>
  <c r="AZ6" i="14"/>
  <c r="AY6" i="14"/>
  <c r="AX6" i="14"/>
  <c r="BG6" i="14" s="1"/>
  <c r="AW6" i="14"/>
  <c r="BF5" i="14"/>
  <c r="BC5" i="14"/>
  <c r="BB5" i="14"/>
  <c r="BA5" i="14"/>
  <c r="AZ5" i="14"/>
  <c r="AY5" i="14"/>
  <c r="AX5" i="14"/>
  <c r="BG5" i="14" s="1"/>
  <c r="AW5" i="14"/>
  <c r="BF4" i="14"/>
  <c r="BC4" i="14"/>
  <c r="BB4" i="14"/>
  <c r="BA4" i="14"/>
  <c r="AZ4" i="14"/>
  <c r="AY4" i="14"/>
  <c r="AX4" i="14"/>
  <c r="BG4" i="14" s="1"/>
  <c r="AW4" i="14"/>
  <c r="BG3" i="14" s="1"/>
  <c r="AT46" i="14"/>
  <c r="AQ46" i="14"/>
  <c r="AP46" i="14"/>
  <c r="AO46" i="14"/>
  <c r="AN46" i="14"/>
  <c r="AM46" i="14"/>
  <c r="AL46" i="14"/>
  <c r="AU46" i="14" s="1"/>
  <c r="AK46" i="14"/>
  <c r="AT45" i="14"/>
  <c r="AQ45" i="14"/>
  <c r="AP45" i="14"/>
  <c r="AO45" i="14"/>
  <c r="AN45" i="14"/>
  <c r="AM45" i="14"/>
  <c r="AL45" i="14"/>
  <c r="AU45" i="14" s="1"/>
  <c r="AK45" i="14"/>
  <c r="AT44" i="14"/>
  <c r="AQ44" i="14"/>
  <c r="AP44" i="14"/>
  <c r="AO44" i="14"/>
  <c r="AN44" i="14"/>
  <c r="AM44" i="14"/>
  <c r="AL44" i="14"/>
  <c r="AU44" i="14" s="1"/>
  <c r="AK44" i="14"/>
  <c r="AT43" i="14"/>
  <c r="AQ43" i="14"/>
  <c r="AP43" i="14"/>
  <c r="AO43" i="14"/>
  <c r="AN43" i="14"/>
  <c r="AM43" i="14"/>
  <c r="AL43" i="14"/>
  <c r="AU43" i="14" s="1"/>
  <c r="AK43" i="14"/>
  <c r="AT42" i="14"/>
  <c r="AQ42" i="14"/>
  <c r="AP42" i="14"/>
  <c r="AO42" i="14"/>
  <c r="AN42" i="14"/>
  <c r="AM42" i="14"/>
  <c r="AL42" i="14"/>
  <c r="AU42" i="14" s="1"/>
  <c r="AK42" i="14"/>
  <c r="AT41" i="14"/>
  <c r="AQ41" i="14"/>
  <c r="AP41" i="14"/>
  <c r="AO41" i="14"/>
  <c r="AN41" i="14"/>
  <c r="AM41" i="14"/>
  <c r="AL41" i="14"/>
  <c r="AU41" i="14" s="1"/>
  <c r="AK41" i="14"/>
  <c r="AT40" i="14"/>
  <c r="AQ40" i="14"/>
  <c r="AP40" i="14"/>
  <c r="AO40" i="14"/>
  <c r="AN40" i="14"/>
  <c r="AM40" i="14"/>
  <c r="AL40" i="14"/>
  <c r="AU40" i="14" s="1"/>
  <c r="AK40" i="14"/>
  <c r="AT39" i="14"/>
  <c r="AQ39" i="14"/>
  <c r="AP39" i="14"/>
  <c r="AO39" i="14"/>
  <c r="AN39" i="14"/>
  <c r="AM39" i="14"/>
  <c r="AL39" i="14"/>
  <c r="AU39" i="14" s="1"/>
  <c r="AK39" i="14"/>
  <c r="AT38" i="14"/>
  <c r="AQ38" i="14"/>
  <c r="AP38" i="14"/>
  <c r="AO38" i="14"/>
  <c r="AN38" i="14"/>
  <c r="AM38" i="14"/>
  <c r="AL38" i="14"/>
  <c r="AU38" i="14" s="1"/>
  <c r="AK38" i="14"/>
  <c r="AT37" i="14"/>
  <c r="AQ37" i="14"/>
  <c r="AP37" i="14"/>
  <c r="AO37" i="14"/>
  <c r="AN37" i="14"/>
  <c r="AM37" i="14"/>
  <c r="AL37" i="14"/>
  <c r="AU37" i="14" s="1"/>
  <c r="AK37" i="14"/>
  <c r="AU36" i="14" s="1"/>
  <c r="AT35" i="14"/>
  <c r="AQ35" i="14"/>
  <c r="AP35" i="14"/>
  <c r="AO35" i="14"/>
  <c r="AN35" i="14"/>
  <c r="AM35" i="14"/>
  <c r="AL35" i="14"/>
  <c r="AU35" i="14" s="1"/>
  <c r="AK35" i="14"/>
  <c r="AT34" i="14"/>
  <c r="AQ34" i="14"/>
  <c r="AP34" i="14"/>
  <c r="AO34" i="14"/>
  <c r="AN34" i="14"/>
  <c r="AM34" i="14"/>
  <c r="AL34" i="14"/>
  <c r="AU34" i="14" s="1"/>
  <c r="AK34" i="14"/>
  <c r="AT33" i="14"/>
  <c r="AQ33" i="14"/>
  <c r="AP33" i="14"/>
  <c r="AO33" i="14"/>
  <c r="AN33" i="14"/>
  <c r="AM33" i="14"/>
  <c r="AL33" i="14"/>
  <c r="AU33" i="14" s="1"/>
  <c r="AK33" i="14"/>
  <c r="AT32" i="14"/>
  <c r="AQ32" i="14"/>
  <c r="AP32" i="14"/>
  <c r="AO32" i="14"/>
  <c r="AN32" i="14"/>
  <c r="AM32" i="14"/>
  <c r="AL32" i="14"/>
  <c r="AU32" i="14" s="1"/>
  <c r="AK32" i="14"/>
  <c r="AT31" i="14"/>
  <c r="AQ31" i="14"/>
  <c r="AP31" i="14"/>
  <c r="AO31" i="14"/>
  <c r="AN31" i="14"/>
  <c r="AM31" i="14"/>
  <c r="AL31" i="14"/>
  <c r="AU31" i="14" s="1"/>
  <c r="AK31" i="14"/>
  <c r="AT30" i="14"/>
  <c r="AQ30" i="14"/>
  <c r="AP30" i="14"/>
  <c r="AO30" i="14"/>
  <c r="AN30" i="14"/>
  <c r="AM30" i="14"/>
  <c r="AL30" i="14"/>
  <c r="AU30" i="14" s="1"/>
  <c r="AK30" i="14"/>
  <c r="AT29" i="14"/>
  <c r="AQ29" i="14"/>
  <c r="AP29" i="14"/>
  <c r="AO29" i="14"/>
  <c r="AN29" i="14"/>
  <c r="AM29" i="14"/>
  <c r="AL29" i="14"/>
  <c r="AU29" i="14" s="1"/>
  <c r="AK29" i="14"/>
  <c r="AT28" i="14"/>
  <c r="AQ28" i="14"/>
  <c r="AP28" i="14"/>
  <c r="AO28" i="14"/>
  <c r="AN28" i="14"/>
  <c r="AM28" i="14"/>
  <c r="AL28" i="14"/>
  <c r="AU28" i="14" s="1"/>
  <c r="AK28" i="14"/>
  <c r="AT27" i="14"/>
  <c r="AQ27" i="14"/>
  <c r="AP27" i="14"/>
  <c r="AO27" i="14"/>
  <c r="AN27" i="14"/>
  <c r="AM27" i="14"/>
  <c r="AL27" i="14"/>
  <c r="AU27" i="14" s="1"/>
  <c r="AK27" i="14"/>
  <c r="AT26" i="14"/>
  <c r="AQ26" i="14"/>
  <c r="AP26" i="14"/>
  <c r="AO26" i="14"/>
  <c r="AN26" i="14"/>
  <c r="AM26" i="14"/>
  <c r="AL26" i="14"/>
  <c r="AU26" i="14" s="1"/>
  <c r="AK26" i="14"/>
  <c r="AU25" i="14" s="1"/>
  <c r="AT24" i="14"/>
  <c r="AQ24" i="14"/>
  <c r="AP24" i="14"/>
  <c r="AO24" i="14"/>
  <c r="AN24" i="14"/>
  <c r="AM24" i="14"/>
  <c r="AL24" i="14"/>
  <c r="AU24" i="14" s="1"/>
  <c r="AK24" i="14"/>
  <c r="AT23" i="14"/>
  <c r="AQ23" i="14"/>
  <c r="AP23" i="14"/>
  <c r="AO23" i="14"/>
  <c r="AN23" i="14"/>
  <c r="AM23" i="14"/>
  <c r="AL23" i="14"/>
  <c r="AU23" i="14" s="1"/>
  <c r="AK23" i="14"/>
  <c r="AT22" i="14"/>
  <c r="AQ22" i="14"/>
  <c r="AP22" i="14"/>
  <c r="AO22" i="14"/>
  <c r="AN22" i="14"/>
  <c r="AM22" i="14"/>
  <c r="AL22" i="14"/>
  <c r="AU22" i="14" s="1"/>
  <c r="AK22" i="14"/>
  <c r="AT21" i="14"/>
  <c r="AQ21" i="14"/>
  <c r="AP21" i="14"/>
  <c r="AO21" i="14"/>
  <c r="AN21" i="14"/>
  <c r="AM21" i="14"/>
  <c r="AL21" i="14"/>
  <c r="AU21" i="14" s="1"/>
  <c r="AK21" i="14"/>
  <c r="AT20" i="14"/>
  <c r="AQ20" i="14"/>
  <c r="AP20" i="14"/>
  <c r="AO20" i="14"/>
  <c r="AN20" i="14"/>
  <c r="AM20" i="14"/>
  <c r="AL20" i="14"/>
  <c r="AU20" i="14" s="1"/>
  <c r="AK20" i="14"/>
  <c r="AT19" i="14"/>
  <c r="AQ19" i="14"/>
  <c r="AP19" i="14"/>
  <c r="AO19" i="14"/>
  <c r="AN19" i="14"/>
  <c r="AM19" i="14"/>
  <c r="AL19" i="14"/>
  <c r="AU19" i="14" s="1"/>
  <c r="AK19" i="14"/>
  <c r="AT18" i="14"/>
  <c r="AQ18" i="14"/>
  <c r="AP18" i="14"/>
  <c r="AO18" i="14"/>
  <c r="AN18" i="14"/>
  <c r="AM18" i="14"/>
  <c r="AL18" i="14"/>
  <c r="AU18" i="14" s="1"/>
  <c r="AK18" i="14"/>
  <c r="AT17" i="14"/>
  <c r="AQ17" i="14"/>
  <c r="AP17" i="14"/>
  <c r="AO17" i="14"/>
  <c r="AN17" i="14"/>
  <c r="AM17" i="14"/>
  <c r="AL17" i="14"/>
  <c r="AU17" i="14" s="1"/>
  <c r="AK17" i="14"/>
  <c r="AT16" i="14"/>
  <c r="AQ16" i="14"/>
  <c r="AP16" i="14"/>
  <c r="AO16" i="14"/>
  <c r="AN16" i="14"/>
  <c r="AM16" i="14"/>
  <c r="AL16" i="14"/>
  <c r="AU16" i="14" s="1"/>
  <c r="AK16" i="14"/>
  <c r="AT15" i="14"/>
  <c r="AQ15" i="14"/>
  <c r="AP15" i="14"/>
  <c r="AO15" i="14"/>
  <c r="AN15" i="14"/>
  <c r="AM15" i="14"/>
  <c r="AL15" i="14"/>
  <c r="AU15" i="14" s="1"/>
  <c r="AK15" i="14"/>
  <c r="AU14" i="14" s="1"/>
  <c r="AT13" i="14"/>
  <c r="AQ13" i="14"/>
  <c r="AP13" i="14"/>
  <c r="AO13" i="14"/>
  <c r="AN13" i="14"/>
  <c r="AM13" i="14"/>
  <c r="AL13" i="14"/>
  <c r="AU13" i="14" s="1"/>
  <c r="AK13" i="14"/>
  <c r="AT12" i="14"/>
  <c r="AQ12" i="14"/>
  <c r="AP12" i="14"/>
  <c r="AO12" i="14"/>
  <c r="AN12" i="14"/>
  <c r="AM12" i="14"/>
  <c r="AL12" i="14"/>
  <c r="AU12" i="14" s="1"/>
  <c r="AK12" i="14"/>
  <c r="AT11" i="14"/>
  <c r="AQ11" i="14"/>
  <c r="AP11" i="14"/>
  <c r="AO11" i="14"/>
  <c r="AN11" i="14"/>
  <c r="AM11" i="14"/>
  <c r="AL11" i="14"/>
  <c r="AU11" i="14" s="1"/>
  <c r="AK11" i="14"/>
  <c r="AT10" i="14"/>
  <c r="AQ10" i="14"/>
  <c r="AP10" i="14"/>
  <c r="AO10" i="14"/>
  <c r="AN10" i="14"/>
  <c r="AM10" i="14"/>
  <c r="AL10" i="14"/>
  <c r="AU10" i="14" s="1"/>
  <c r="AK10" i="14"/>
  <c r="AT9" i="14"/>
  <c r="AQ9" i="14"/>
  <c r="AP9" i="14"/>
  <c r="AO9" i="14"/>
  <c r="AN9" i="14"/>
  <c r="AM9" i="14"/>
  <c r="AL9" i="14"/>
  <c r="AU9" i="14" s="1"/>
  <c r="AK9" i="14"/>
  <c r="AT8" i="14"/>
  <c r="AQ8" i="14"/>
  <c r="AP8" i="14"/>
  <c r="AO8" i="14"/>
  <c r="AN8" i="14"/>
  <c r="AM8" i="14"/>
  <c r="AL8" i="14"/>
  <c r="AU8" i="14" s="1"/>
  <c r="AK8" i="14"/>
  <c r="AT7" i="14"/>
  <c r="AQ7" i="14"/>
  <c r="AP7" i="14"/>
  <c r="AO7" i="14"/>
  <c r="AN7" i="14"/>
  <c r="AM7" i="14"/>
  <c r="AL7" i="14"/>
  <c r="AU7" i="14" s="1"/>
  <c r="AK7" i="14"/>
  <c r="AT6" i="14"/>
  <c r="AQ6" i="14"/>
  <c r="AP6" i="14"/>
  <c r="AO6" i="14"/>
  <c r="AN6" i="14"/>
  <c r="AM6" i="14"/>
  <c r="AL6" i="14"/>
  <c r="AU6" i="14" s="1"/>
  <c r="AK6" i="14"/>
  <c r="AT5" i="14"/>
  <c r="AQ5" i="14"/>
  <c r="AP5" i="14"/>
  <c r="AO5" i="14"/>
  <c r="AN5" i="14"/>
  <c r="AM5" i="14"/>
  <c r="AL5" i="14"/>
  <c r="AU5" i="14" s="1"/>
  <c r="AK5" i="14"/>
  <c r="AT4" i="14"/>
  <c r="AQ4" i="14"/>
  <c r="AP4" i="14"/>
  <c r="AO4" i="14"/>
  <c r="AN4" i="14"/>
  <c r="AM4" i="14"/>
  <c r="AL4" i="14"/>
  <c r="AU4" i="14" s="1"/>
  <c r="AK4" i="14"/>
  <c r="AU3" i="14" s="1"/>
  <c r="AH46" i="14"/>
  <c r="AE46" i="14"/>
  <c r="AD46" i="14"/>
  <c r="AC46" i="14"/>
  <c r="AB46" i="14"/>
  <c r="AA46" i="14"/>
  <c r="Z46" i="14"/>
  <c r="AI46" i="14" s="1"/>
  <c r="Y46" i="14"/>
  <c r="AH45" i="14"/>
  <c r="AE45" i="14"/>
  <c r="AD45" i="14"/>
  <c r="AC45" i="14"/>
  <c r="AB45" i="14"/>
  <c r="AA45" i="14"/>
  <c r="Z45" i="14"/>
  <c r="AI45" i="14" s="1"/>
  <c r="Y45" i="14"/>
  <c r="AH44" i="14"/>
  <c r="AE44" i="14"/>
  <c r="AD44" i="14"/>
  <c r="AC44" i="14"/>
  <c r="AB44" i="14"/>
  <c r="AA44" i="14"/>
  <c r="Z44" i="14"/>
  <c r="AI44" i="14" s="1"/>
  <c r="Y44" i="14"/>
  <c r="AH43" i="14"/>
  <c r="AE43" i="14"/>
  <c r="AD43" i="14"/>
  <c r="AC43" i="14"/>
  <c r="AB43" i="14"/>
  <c r="AA43" i="14"/>
  <c r="Z43" i="14"/>
  <c r="AI43" i="14" s="1"/>
  <c r="Y43" i="14"/>
  <c r="AH42" i="14"/>
  <c r="AE42" i="14"/>
  <c r="AD42" i="14"/>
  <c r="AC42" i="14"/>
  <c r="AB42" i="14"/>
  <c r="AA42" i="14"/>
  <c r="Z42" i="14"/>
  <c r="AI42" i="14" s="1"/>
  <c r="Y42" i="14"/>
  <c r="AH41" i="14"/>
  <c r="AE41" i="14"/>
  <c r="AD41" i="14"/>
  <c r="AC41" i="14"/>
  <c r="AB41" i="14"/>
  <c r="AA41" i="14"/>
  <c r="Z41" i="14"/>
  <c r="AI41" i="14" s="1"/>
  <c r="Y41" i="14"/>
  <c r="AH40" i="14"/>
  <c r="AE40" i="14"/>
  <c r="AD40" i="14"/>
  <c r="AC40" i="14"/>
  <c r="AB40" i="14"/>
  <c r="AA40" i="14"/>
  <c r="Z40" i="14"/>
  <c r="AI40" i="14" s="1"/>
  <c r="Y40" i="14"/>
  <c r="AH39" i="14"/>
  <c r="AE39" i="14"/>
  <c r="AD39" i="14"/>
  <c r="AC39" i="14"/>
  <c r="AB39" i="14"/>
  <c r="AA39" i="14"/>
  <c r="Z39" i="14"/>
  <c r="AI39" i="14" s="1"/>
  <c r="Y39" i="14"/>
  <c r="AH38" i="14"/>
  <c r="AE38" i="14"/>
  <c r="AD38" i="14"/>
  <c r="AC38" i="14"/>
  <c r="AB38" i="14"/>
  <c r="AA38" i="14"/>
  <c r="Z38" i="14"/>
  <c r="AI38" i="14" s="1"/>
  <c r="Y38" i="14"/>
  <c r="AH37" i="14"/>
  <c r="AE37" i="14"/>
  <c r="AD37" i="14"/>
  <c r="AC37" i="14"/>
  <c r="AB37" i="14"/>
  <c r="AA37" i="14"/>
  <c r="Z37" i="14"/>
  <c r="AI37" i="14" s="1"/>
  <c r="Y37" i="14"/>
  <c r="AI36" i="14" s="1"/>
  <c r="AH35" i="14"/>
  <c r="AE35" i="14"/>
  <c r="AD35" i="14"/>
  <c r="AC35" i="14"/>
  <c r="AB35" i="14"/>
  <c r="AA35" i="14"/>
  <c r="Z35" i="14"/>
  <c r="AI35" i="14" s="1"/>
  <c r="Y35" i="14"/>
  <c r="AH34" i="14"/>
  <c r="AE34" i="14"/>
  <c r="AD34" i="14"/>
  <c r="AC34" i="14"/>
  <c r="AB34" i="14"/>
  <c r="AA34" i="14"/>
  <c r="Z34" i="14"/>
  <c r="AI34" i="14" s="1"/>
  <c r="Y34" i="14"/>
  <c r="AH33" i="14"/>
  <c r="AE33" i="14"/>
  <c r="AD33" i="14"/>
  <c r="AC33" i="14"/>
  <c r="AB33" i="14"/>
  <c r="AA33" i="14"/>
  <c r="Z33" i="14"/>
  <c r="AI33" i="14" s="1"/>
  <c r="Y33" i="14"/>
  <c r="AH32" i="14"/>
  <c r="AE32" i="14"/>
  <c r="AD32" i="14"/>
  <c r="AC32" i="14"/>
  <c r="AB32" i="14"/>
  <c r="AA32" i="14"/>
  <c r="Z32" i="14"/>
  <c r="AI32" i="14" s="1"/>
  <c r="Y32" i="14"/>
  <c r="AH31" i="14"/>
  <c r="AE31" i="14"/>
  <c r="AD31" i="14"/>
  <c r="AC31" i="14"/>
  <c r="AB31" i="14"/>
  <c r="AA31" i="14"/>
  <c r="Z31" i="14"/>
  <c r="AI31" i="14" s="1"/>
  <c r="Y31" i="14"/>
  <c r="AH30" i="14"/>
  <c r="AE30" i="14"/>
  <c r="AD30" i="14"/>
  <c r="AC30" i="14"/>
  <c r="AB30" i="14"/>
  <c r="AA30" i="14"/>
  <c r="Z30" i="14"/>
  <c r="AI30" i="14" s="1"/>
  <c r="Y30" i="14"/>
  <c r="AH29" i="14"/>
  <c r="AE29" i="14"/>
  <c r="AD29" i="14"/>
  <c r="AC29" i="14"/>
  <c r="AB29" i="14"/>
  <c r="AA29" i="14"/>
  <c r="Z29" i="14"/>
  <c r="AI29" i="14" s="1"/>
  <c r="Y29" i="14"/>
  <c r="AH28" i="14"/>
  <c r="AE28" i="14"/>
  <c r="AD28" i="14"/>
  <c r="AC28" i="14"/>
  <c r="AB28" i="14"/>
  <c r="AA28" i="14"/>
  <c r="Z28" i="14"/>
  <c r="AI28" i="14" s="1"/>
  <c r="Y28" i="14"/>
  <c r="AH27" i="14"/>
  <c r="AE27" i="14"/>
  <c r="AD27" i="14"/>
  <c r="AC27" i="14"/>
  <c r="AB27" i="14"/>
  <c r="AA27" i="14"/>
  <c r="Z27" i="14"/>
  <c r="AI27" i="14" s="1"/>
  <c r="Y27" i="14"/>
  <c r="AH26" i="14"/>
  <c r="AE26" i="14"/>
  <c r="AD26" i="14"/>
  <c r="AC26" i="14"/>
  <c r="AB26" i="14"/>
  <c r="AA26" i="14"/>
  <c r="Z26" i="14"/>
  <c r="AI26" i="14" s="1"/>
  <c r="Y26" i="14"/>
  <c r="AI25" i="14" s="1"/>
  <c r="AH24" i="14"/>
  <c r="AE24" i="14"/>
  <c r="AD24" i="14"/>
  <c r="AC24" i="14"/>
  <c r="AB24" i="14"/>
  <c r="AA24" i="14"/>
  <c r="Z24" i="14"/>
  <c r="AI24" i="14" s="1"/>
  <c r="Y24" i="14"/>
  <c r="AH23" i="14"/>
  <c r="AE23" i="14"/>
  <c r="AD23" i="14"/>
  <c r="AC23" i="14"/>
  <c r="AB23" i="14"/>
  <c r="AA23" i="14"/>
  <c r="Z23" i="14"/>
  <c r="AI23" i="14" s="1"/>
  <c r="Y23" i="14"/>
  <c r="AH22" i="14"/>
  <c r="AE22" i="14"/>
  <c r="AD22" i="14"/>
  <c r="AC22" i="14"/>
  <c r="AB22" i="14"/>
  <c r="AA22" i="14"/>
  <c r="Z22" i="14"/>
  <c r="AI22" i="14" s="1"/>
  <c r="Y22" i="14"/>
  <c r="AH21" i="14"/>
  <c r="AE21" i="14"/>
  <c r="AD21" i="14"/>
  <c r="AC21" i="14"/>
  <c r="AB21" i="14"/>
  <c r="AA21" i="14"/>
  <c r="Z21" i="14"/>
  <c r="AI21" i="14" s="1"/>
  <c r="Y21" i="14"/>
  <c r="AH20" i="14"/>
  <c r="AE20" i="14"/>
  <c r="AD20" i="14"/>
  <c r="AC20" i="14"/>
  <c r="AB20" i="14"/>
  <c r="AA20" i="14"/>
  <c r="Z20" i="14"/>
  <c r="AI20" i="14" s="1"/>
  <c r="Y20" i="14"/>
  <c r="AH19" i="14"/>
  <c r="AE19" i="14"/>
  <c r="AD19" i="14"/>
  <c r="AC19" i="14"/>
  <c r="AB19" i="14"/>
  <c r="AA19" i="14"/>
  <c r="Z19" i="14"/>
  <c r="AI19" i="14" s="1"/>
  <c r="Y19" i="14"/>
  <c r="AH18" i="14"/>
  <c r="AE18" i="14"/>
  <c r="AD18" i="14"/>
  <c r="AC18" i="14"/>
  <c r="AB18" i="14"/>
  <c r="AA18" i="14"/>
  <c r="Z18" i="14"/>
  <c r="AI18" i="14" s="1"/>
  <c r="Y18" i="14"/>
  <c r="AH17" i="14"/>
  <c r="AE17" i="14"/>
  <c r="AD17" i="14"/>
  <c r="AC17" i="14"/>
  <c r="AB17" i="14"/>
  <c r="AA17" i="14"/>
  <c r="Z17" i="14"/>
  <c r="AI17" i="14" s="1"/>
  <c r="Y17" i="14"/>
  <c r="AH16" i="14"/>
  <c r="AE16" i="14"/>
  <c r="AD16" i="14"/>
  <c r="AC16" i="14"/>
  <c r="AB16" i="14"/>
  <c r="AA16" i="14"/>
  <c r="Z16" i="14"/>
  <c r="AI16" i="14" s="1"/>
  <c r="Y16" i="14"/>
  <c r="AH15" i="14"/>
  <c r="AE15" i="14"/>
  <c r="AD15" i="14"/>
  <c r="AC15" i="14"/>
  <c r="AB15" i="14"/>
  <c r="AA15" i="14"/>
  <c r="Z15" i="14"/>
  <c r="AI15" i="14" s="1"/>
  <c r="Y15" i="14"/>
  <c r="AI14" i="14" s="1"/>
  <c r="AH13" i="14"/>
  <c r="AE13" i="14"/>
  <c r="AD13" i="14"/>
  <c r="AC13" i="14"/>
  <c r="AB13" i="14"/>
  <c r="AA13" i="14"/>
  <c r="Z13" i="14"/>
  <c r="AI13" i="14" s="1"/>
  <c r="Y13" i="14"/>
  <c r="AH12" i="14"/>
  <c r="AE12" i="14"/>
  <c r="AD12" i="14"/>
  <c r="AC12" i="14"/>
  <c r="AB12" i="14"/>
  <c r="AA12" i="14"/>
  <c r="Z12" i="14"/>
  <c r="AI12" i="14" s="1"/>
  <c r="Y12" i="14"/>
  <c r="AH11" i="14"/>
  <c r="AE11" i="14"/>
  <c r="AD11" i="14"/>
  <c r="AC11" i="14"/>
  <c r="AB11" i="14"/>
  <c r="AA11" i="14"/>
  <c r="Z11" i="14"/>
  <c r="AI11" i="14" s="1"/>
  <c r="Y11" i="14"/>
  <c r="AH10" i="14"/>
  <c r="AE10" i="14"/>
  <c r="AD10" i="14"/>
  <c r="AC10" i="14"/>
  <c r="AB10" i="14"/>
  <c r="AA10" i="14"/>
  <c r="Z10" i="14"/>
  <c r="AI10" i="14" s="1"/>
  <c r="Y10" i="14"/>
  <c r="AH9" i="14"/>
  <c r="AE9" i="14"/>
  <c r="AD9" i="14"/>
  <c r="AC9" i="14"/>
  <c r="AB9" i="14"/>
  <c r="AA9" i="14"/>
  <c r="Z9" i="14"/>
  <c r="AI9" i="14" s="1"/>
  <c r="Y9" i="14"/>
  <c r="AH8" i="14"/>
  <c r="AE8" i="14"/>
  <c r="AD8" i="14"/>
  <c r="AC8" i="14"/>
  <c r="AB8" i="14"/>
  <c r="AA8" i="14"/>
  <c r="Z8" i="14"/>
  <c r="AI8" i="14" s="1"/>
  <c r="Y8" i="14"/>
  <c r="AH7" i="14"/>
  <c r="AE7" i="14"/>
  <c r="AD7" i="14"/>
  <c r="AC7" i="14"/>
  <c r="AB7" i="14"/>
  <c r="AA7" i="14"/>
  <c r="Z7" i="14"/>
  <c r="AI7" i="14" s="1"/>
  <c r="Y7" i="14"/>
  <c r="AH6" i="14"/>
  <c r="AE6" i="14"/>
  <c r="AD6" i="14"/>
  <c r="AC6" i="14"/>
  <c r="AB6" i="14"/>
  <c r="AA6" i="14"/>
  <c r="Z6" i="14"/>
  <c r="AI6" i="14" s="1"/>
  <c r="Y6" i="14"/>
  <c r="AH5" i="14"/>
  <c r="AE5" i="14"/>
  <c r="AD5" i="14"/>
  <c r="AC5" i="14"/>
  <c r="AB5" i="14"/>
  <c r="AA5" i="14"/>
  <c r="Z5" i="14"/>
  <c r="AI5" i="14" s="1"/>
  <c r="Y5" i="14"/>
  <c r="AH4" i="14"/>
  <c r="AE4" i="14"/>
  <c r="AD4" i="14"/>
  <c r="AC4" i="14"/>
  <c r="AB4" i="14"/>
  <c r="AA4" i="14"/>
  <c r="Z4" i="14"/>
  <c r="AI4" i="14" s="1"/>
  <c r="Y4" i="14"/>
  <c r="AI3" i="14" s="1"/>
  <c r="P27" i="14"/>
  <c r="P16" i="14"/>
  <c r="P5" i="14"/>
  <c r="P38" i="14"/>
  <c r="D38" i="14"/>
  <c r="J46" i="14"/>
  <c r="G46" i="14"/>
  <c r="F46" i="14"/>
  <c r="E46" i="14"/>
  <c r="D46" i="14"/>
  <c r="C46" i="14"/>
  <c r="B46" i="14"/>
  <c r="K46" i="14" s="1"/>
  <c r="A46" i="14"/>
  <c r="J45" i="14"/>
  <c r="G45" i="14"/>
  <c r="F45" i="14"/>
  <c r="E45" i="14"/>
  <c r="D45" i="14"/>
  <c r="C45" i="14"/>
  <c r="B45" i="14"/>
  <c r="K45" i="14" s="1"/>
  <c r="A45" i="14"/>
  <c r="J44" i="14"/>
  <c r="G44" i="14"/>
  <c r="F44" i="14"/>
  <c r="E44" i="14"/>
  <c r="D44" i="14"/>
  <c r="C44" i="14"/>
  <c r="B44" i="14"/>
  <c r="K44" i="14" s="1"/>
  <c r="A44" i="14"/>
  <c r="J43" i="14"/>
  <c r="G43" i="14"/>
  <c r="F43" i="14"/>
  <c r="E43" i="14"/>
  <c r="D43" i="14"/>
  <c r="C43" i="14"/>
  <c r="B43" i="14"/>
  <c r="K43" i="14" s="1"/>
  <c r="A43" i="14"/>
  <c r="J42" i="14"/>
  <c r="G42" i="14"/>
  <c r="F42" i="14"/>
  <c r="E42" i="14"/>
  <c r="D42" i="14"/>
  <c r="C42" i="14"/>
  <c r="B42" i="14"/>
  <c r="K42" i="14" s="1"/>
  <c r="A42" i="14"/>
  <c r="J41" i="14"/>
  <c r="G41" i="14"/>
  <c r="F41" i="14"/>
  <c r="E41" i="14"/>
  <c r="D41" i="14"/>
  <c r="C41" i="14"/>
  <c r="B41" i="14"/>
  <c r="K41" i="14" s="1"/>
  <c r="A41" i="14"/>
  <c r="J40" i="14"/>
  <c r="G40" i="14"/>
  <c r="F40" i="14"/>
  <c r="E40" i="14"/>
  <c r="D40" i="14"/>
  <c r="C40" i="14"/>
  <c r="B40" i="14"/>
  <c r="K40" i="14" s="1"/>
  <c r="A40" i="14"/>
  <c r="J39" i="14"/>
  <c r="G39" i="14"/>
  <c r="F39" i="14"/>
  <c r="E39" i="14"/>
  <c r="D39" i="14"/>
  <c r="C39" i="14"/>
  <c r="B39" i="14"/>
  <c r="K39" i="14" s="1"/>
  <c r="A39" i="14"/>
  <c r="J38" i="14"/>
  <c r="G38" i="14"/>
  <c r="F38" i="14"/>
  <c r="E38" i="14"/>
  <c r="C38" i="14"/>
  <c r="B38" i="14"/>
  <c r="K38" i="14" s="1"/>
  <c r="A38" i="14"/>
  <c r="J37" i="14"/>
  <c r="G37" i="14"/>
  <c r="F37" i="14"/>
  <c r="E37" i="14"/>
  <c r="D37" i="14"/>
  <c r="C37" i="14"/>
  <c r="B37" i="14"/>
  <c r="A37" i="14"/>
  <c r="K36" i="14" s="1"/>
  <c r="V46" i="14"/>
  <c r="S46" i="14"/>
  <c r="R46" i="14"/>
  <c r="Q46" i="14"/>
  <c r="P46" i="14"/>
  <c r="O46" i="14"/>
  <c r="V45" i="14"/>
  <c r="S45" i="14"/>
  <c r="R45" i="14"/>
  <c r="Q45" i="14"/>
  <c r="P45" i="14"/>
  <c r="O45" i="14"/>
  <c r="V44" i="14"/>
  <c r="S44" i="14"/>
  <c r="R44" i="14"/>
  <c r="Q44" i="14"/>
  <c r="P44" i="14"/>
  <c r="O44" i="14"/>
  <c r="V43" i="14"/>
  <c r="S43" i="14"/>
  <c r="R43" i="14"/>
  <c r="Q43" i="14"/>
  <c r="P43" i="14"/>
  <c r="O43" i="14"/>
  <c r="V42" i="14"/>
  <c r="S42" i="14"/>
  <c r="R42" i="14"/>
  <c r="Q42" i="14"/>
  <c r="P42" i="14"/>
  <c r="O42" i="14"/>
  <c r="V41" i="14"/>
  <c r="S41" i="14"/>
  <c r="R41" i="14"/>
  <c r="Q41" i="14"/>
  <c r="P41" i="14"/>
  <c r="O41" i="14"/>
  <c r="V40" i="14"/>
  <c r="S40" i="14"/>
  <c r="R40" i="14"/>
  <c r="Q40" i="14"/>
  <c r="P40" i="14"/>
  <c r="O40" i="14"/>
  <c r="V39" i="14"/>
  <c r="S39" i="14"/>
  <c r="R39" i="14"/>
  <c r="Q39" i="14"/>
  <c r="P39" i="14"/>
  <c r="O39" i="14"/>
  <c r="V38" i="14"/>
  <c r="S38" i="14"/>
  <c r="R38" i="14"/>
  <c r="Q38" i="14"/>
  <c r="O38" i="14"/>
  <c r="V37" i="14"/>
  <c r="S37" i="14"/>
  <c r="R37" i="14"/>
  <c r="Q37" i="14"/>
  <c r="P37" i="14"/>
  <c r="O37" i="14"/>
  <c r="V35" i="14"/>
  <c r="S35" i="14"/>
  <c r="R35" i="14"/>
  <c r="Q35" i="14"/>
  <c r="P35" i="14"/>
  <c r="O35" i="14"/>
  <c r="V34" i="14"/>
  <c r="S34" i="14"/>
  <c r="R34" i="14"/>
  <c r="Q34" i="14"/>
  <c r="P34" i="14"/>
  <c r="O34" i="14"/>
  <c r="V33" i="14"/>
  <c r="S33" i="14"/>
  <c r="R33" i="14"/>
  <c r="Q33" i="14"/>
  <c r="P33" i="14"/>
  <c r="O33" i="14"/>
  <c r="V32" i="14"/>
  <c r="S32" i="14"/>
  <c r="R32" i="14"/>
  <c r="Q32" i="14"/>
  <c r="P32" i="14"/>
  <c r="O32" i="14"/>
  <c r="V31" i="14"/>
  <c r="S31" i="14"/>
  <c r="R31" i="14"/>
  <c r="Q31" i="14"/>
  <c r="P31" i="14"/>
  <c r="O31" i="14"/>
  <c r="V30" i="14"/>
  <c r="S30" i="14"/>
  <c r="R30" i="14"/>
  <c r="Q30" i="14"/>
  <c r="P30" i="14"/>
  <c r="O30" i="14"/>
  <c r="V29" i="14"/>
  <c r="S29" i="14"/>
  <c r="R29" i="14"/>
  <c r="Q29" i="14"/>
  <c r="P29" i="14"/>
  <c r="O29" i="14"/>
  <c r="V28" i="14"/>
  <c r="S28" i="14"/>
  <c r="R28" i="14"/>
  <c r="Q28" i="14"/>
  <c r="P28" i="14"/>
  <c r="O28" i="14"/>
  <c r="V27" i="14"/>
  <c r="S27" i="14"/>
  <c r="R27" i="14"/>
  <c r="Q27" i="14"/>
  <c r="O27" i="14"/>
  <c r="V26" i="14"/>
  <c r="S26" i="14"/>
  <c r="R26" i="14"/>
  <c r="Q26" i="14"/>
  <c r="P26" i="14"/>
  <c r="O26" i="14"/>
  <c r="V24" i="14"/>
  <c r="S24" i="14"/>
  <c r="R24" i="14"/>
  <c r="Q24" i="14"/>
  <c r="P24" i="14"/>
  <c r="O24" i="14"/>
  <c r="V23" i="14"/>
  <c r="S23" i="14"/>
  <c r="R23" i="14"/>
  <c r="Q23" i="14"/>
  <c r="P23" i="14"/>
  <c r="O23" i="14"/>
  <c r="V22" i="14"/>
  <c r="S22" i="14"/>
  <c r="R22" i="14"/>
  <c r="Q22" i="14"/>
  <c r="P22" i="14"/>
  <c r="O22" i="14"/>
  <c r="V21" i="14"/>
  <c r="S21" i="14"/>
  <c r="R21" i="14"/>
  <c r="Q21" i="14"/>
  <c r="P21" i="14"/>
  <c r="O21" i="14"/>
  <c r="V20" i="14"/>
  <c r="S20" i="14"/>
  <c r="R20" i="14"/>
  <c r="Q20" i="14"/>
  <c r="P20" i="14"/>
  <c r="O20" i="14"/>
  <c r="V19" i="14"/>
  <c r="S19" i="14"/>
  <c r="R19" i="14"/>
  <c r="Q19" i="14"/>
  <c r="P19" i="14"/>
  <c r="O19" i="14"/>
  <c r="V18" i="14"/>
  <c r="S18" i="14"/>
  <c r="R18" i="14"/>
  <c r="Q18" i="14"/>
  <c r="P18" i="14"/>
  <c r="O18" i="14"/>
  <c r="V17" i="14"/>
  <c r="S17" i="14"/>
  <c r="R17" i="14"/>
  <c r="Q17" i="14"/>
  <c r="P17" i="14"/>
  <c r="O17" i="14"/>
  <c r="V16" i="14"/>
  <c r="S16" i="14"/>
  <c r="R16" i="14"/>
  <c r="Q16" i="14"/>
  <c r="O16" i="14"/>
  <c r="V15" i="14"/>
  <c r="S15" i="14"/>
  <c r="R15" i="14"/>
  <c r="Q15" i="14"/>
  <c r="P15" i="14"/>
  <c r="O15" i="14"/>
  <c r="N46" i="14"/>
  <c r="W46" i="14" s="1"/>
  <c r="M46" i="14"/>
  <c r="N45" i="14"/>
  <c r="W45" i="14" s="1"/>
  <c r="M45" i="14"/>
  <c r="N44" i="14"/>
  <c r="W44" i="14" s="1"/>
  <c r="M44" i="14"/>
  <c r="N43" i="14"/>
  <c r="W43" i="14" s="1"/>
  <c r="M43" i="14"/>
  <c r="N42" i="14"/>
  <c r="W42" i="14" s="1"/>
  <c r="M42" i="14"/>
  <c r="N41" i="14"/>
  <c r="W41" i="14" s="1"/>
  <c r="M41" i="14"/>
  <c r="N40" i="14"/>
  <c r="W40" i="14" s="1"/>
  <c r="M40" i="14"/>
  <c r="N39" i="14"/>
  <c r="W39" i="14" s="1"/>
  <c r="M39" i="14"/>
  <c r="N38" i="14"/>
  <c r="W38" i="14" s="1"/>
  <c r="M38" i="14"/>
  <c r="N37" i="14"/>
  <c r="W37" i="14" s="1"/>
  <c r="M37" i="14"/>
  <c r="W36" i="14" s="1"/>
  <c r="N35" i="14"/>
  <c r="W35" i="14" s="1"/>
  <c r="M35" i="14"/>
  <c r="N34" i="14"/>
  <c r="W34" i="14" s="1"/>
  <c r="M34" i="14"/>
  <c r="N33" i="14"/>
  <c r="W33" i="14" s="1"/>
  <c r="M33" i="14"/>
  <c r="N32" i="14"/>
  <c r="W32" i="14" s="1"/>
  <c r="M32" i="14"/>
  <c r="N31" i="14"/>
  <c r="W31" i="14" s="1"/>
  <c r="M31" i="14"/>
  <c r="N30" i="14"/>
  <c r="W30" i="14" s="1"/>
  <c r="M30" i="14"/>
  <c r="N29" i="14"/>
  <c r="W29" i="14" s="1"/>
  <c r="M29" i="14"/>
  <c r="N28" i="14"/>
  <c r="W28" i="14" s="1"/>
  <c r="M28" i="14"/>
  <c r="N27" i="14"/>
  <c r="W27" i="14" s="1"/>
  <c r="M27" i="14"/>
  <c r="N26" i="14"/>
  <c r="W26" i="14" s="1"/>
  <c r="M26" i="14"/>
  <c r="W25" i="14" s="1"/>
  <c r="N24" i="14"/>
  <c r="W24" i="14" s="1"/>
  <c r="M24" i="14"/>
  <c r="N23" i="14"/>
  <c r="W23" i="14" s="1"/>
  <c r="M23" i="14"/>
  <c r="N22" i="14"/>
  <c r="W22" i="14" s="1"/>
  <c r="M22" i="14"/>
  <c r="N21" i="14"/>
  <c r="W21" i="14" s="1"/>
  <c r="M21" i="14"/>
  <c r="N20" i="14"/>
  <c r="W20" i="14" s="1"/>
  <c r="M20" i="14"/>
  <c r="N19" i="14"/>
  <c r="W19" i="14" s="1"/>
  <c r="M19" i="14"/>
  <c r="N18" i="14"/>
  <c r="W18" i="14" s="1"/>
  <c r="M18" i="14"/>
  <c r="N17" i="14"/>
  <c r="W17" i="14" s="1"/>
  <c r="M17" i="14"/>
  <c r="N16" i="14"/>
  <c r="W16" i="14" s="1"/>
  <c r="M16" i="14"/>
  <c r="N15" i="14"/>
  <c r="W15" i="14" s="1"/>
  <c r="M15" i="14"/>
  <c r="W14" i="14" s="1"/>
  <c r="V13" i="14"/>
  <c r="V12" i="14"/>
  <c r="V11" i="14"/>
  <c r="V10" i="14"/>
  <c r="V9" i="14"/>
  <c r="V8" i="14"/>
  <c r="S12" i="14"/>
  <c r="R12" i="14"/>
  <c r="Q12" i="14"/>
  <c r="P12" i="14"/>
  <c r="O12" i="14"/>
  <c r="N12" i="14"/>
  <c r="W12" i="14" s="1"/>
  <c r="M12" i="14"/>
  <c r="S11" i="14"/>
  <c r="R11" i="14"/>
  <c r="Q11" i="14"/>
  <c r="P11" i="14"/>
  <c r="O11" i="14"/>
  <c r="N11" i="14"/>
  <c r="W11" i="14" s="1"/>
  <c r="M11" i="14"/>
  <c r="S10" i="14"/>
  <c r="R10" i="14"/>
  <c r="Q10" i="14"/>
  <c r="P10" i="14"/>
  <c r="O10" i="14"/>
  <c r="N10" i="14"/>
  <c r="W10" i="14" s="1"/>
  <c r="M10" i="14"/>
  <c r="S9" i="14"/>
  <c r="R9" i="14"/>
  <c r="Q9" i="14"/>
  <c r="P9" i="14"/>
  <c r="O9" i="14"/>
  <c r="N9" i="14"/>
  <c r="W9" i="14" s="1"/>
  <c r="M9" i="14"/>
  <c r="S8" i="14"/>
  <c r="R8" i="14"/>
  <c r="Q8" i="14"/>
  <c r="P8" i="14"/>
  <c r="O8" i="14"/>
  <c r="N8" i="14"/>
  <c r="W8" i="14" s="1"/>
  <c r="M8" i="14"/>
  <c r="V7" i="14"/>
  <c r="S7" i="14"/>
  <c r="R7" i="14"/>
  <c r="Q7" i="14"/>
  <c r="P7" i="14"/>
  <c r="O7" i="14"/>
  <c r="N7" i="14"/>
  <c r="W7" i="14" s="1"/>
  <c r="M7" i="14"/>
  <c r="S6" i="14"/>
  <c r="R6" i="14"/>
  <c r="Q6" i="14"/>
  <c r="P6" i="14"/>
  <c r="O6" i="14"/>
  <c r="N6" i="14"/>
  <c r="W6" i="14" s="1"/>
  <c r="M6" i="14"/>
  <c r="V6" i="14"/>
  <c r="V5" i="14"/>
  <c r="S5" i="14"/>
  <c r="R5" i="14"/>
  <c r="Q5" i="14"/>
  <c r="O5" i="14"/>
  <c r="N5" i="14"/>
  <c r="W5" i="14" s="1"/>
  <c r="M5" i="14"/>
  <c r="V4" i="14"/>
  <c r="S4" i="14"/>
  <c r="R4" i="14"/>
  <c r="Q4" i="14"/>
  <c r="P4" i="14"/>
  <c r="O4" i="14"/>
  <c r="N4" i="14"/>
  <c r="W4" i="14" s="1"/>
  <c r="M4" i="14"/>
  <c r="W3" i="14" s="1"/>
  <c r="M13" i="14"/>
  <c r="N13" i="14"/>
  <c r="W13" i="14" s="1"/>
  <c r="O13" i="14"/>
  <c r="P13" i="14"/>
  <c r="Q13" i="14"/>
  <c r="R13" i="14"/>
  <c r="S13" i="14"/>
  <c r="A4" i="14"/>
  <c r="K3" i="14" s="1"/>
  <c r="A5" i="14"/>
  <c r="A6" i="14"/>
  <c r="A7" i="14"/>
  <c r="A8" i="14"/>
  <c r="A9" i="14"/>
  <c r="A10" i="14"/>
  <c r="A11" i="14"/>
  <c r="A12" i="14"/>
  <c r="A13" i="14"/>
  <c r="A27" i="14"/>
  <c r="B27" i="14"/>
  <c r="K27" i="14" s="1"/>
  <c r="C27" i="14"/>
  <c r="D27" i="14"/>
  <c r="E27" i="14"/>
  <c r="F27" i="14"/>
  <c r="G27" i="14"/>
  <c r="J27" i="14"/>
  <c r="A28" i="14"/>
  <c r="B28" i="14"/>
  <c r="K28" i="14" s="1"/>
  <c r="C28" i="14"/>
  <c r="D28" i="14"/>
  <c r="E28" i="14"/>
  <c r="F28" i="14"/>
  <c r="G28" i="14"/>
  <c r="J28" i="14"/>
  <c r="A29" i="14"/>
  <c r="B29" i="14"/>
  <c r="K29" i="14" s="1"/>
  <c r="C29" i="14"/>
  <c r="D29" i="14"/>
  <c r="E29" i="14"/>
  <c r="F29" i="14"/>
  <c r="G29" i="14"/>
  <c r="J29" i="14"/>
  <c r="A30" i="14"/>
  <c r="B30" i="14"/>
  <c r="K30" i="14" s="1"/>
  <c r="C30" i="14"/>
  <c r="D30" i="14"/>
  <c r="E30" i="14"/>
  <c r="F30" i="14"/>
  <c r="G30" i="14"/>
  <c r="J30" i="14"/>
  <c r="A31" i="14"/>
  <c r="B31" i="14"/>
  <c r="K31" i="14" s="1"/>
  <c r="C31" i="14"/>
  <c r="D31" i="14"/>
  <c r="E31" i="14"/>
  <c r="F31" i="14"/>
  <c r="G31" i="14"/>
  <c r="J31" i="14"/>
  <c r="A32" i="14"/>
  <c r="B32" i="14"/>
  <c r="K32" i="14" s="1"/>
  <c r="C32" i="14"/>
  <c r="D32" i="14"/>
  <c r="E32" i="14"/>
  <c r="F32" i="14"/>
  <c r="G32" i="14"/>
  <c r="J32" i="14"/>
  <c r="A33" i="14"/>
  <c r="B33" i="14"/>
  <c r="K33" i="14" s="1"/>
  <c r="C33" i="14"/>
  <c r="D33" i="14"/>
  <c r="E33" i="14"/>
  <c r="F33" i="14"/>
  <c r="G33" i="14"/>
  <c r="J33" i="14"/>
  <c r="A34" i="14"/>
  <c r="B34" i="14"/>
  <c r="K34" i="14" s="1"/>
  <c r="C34" i="14"/>
  <c r="D34" i="14"/>
  <c r="E34" i="14"/>
  <c r="F34" i="14"/>
  <c r="G34" i="14"/>
  <c r="J34" i="14"/>
  <c r="A35" i="14"/>
  <c r="B35" i="14"/>
  <c r="K35" i="14" s="1"/>
  <c r="C35" i="14"/>
  <c r="D35" i="14"/>
  <c r="E35" i="14"/>
  <c r="F35" i="14"/>
  <c r="G35" i="14"/>
  <c r="J35" i="14"/>
  <c r="J26" i="14"/>
  <c r="G26" i="14"/>
  <c r="F26" i="14"/>
  <c r="E26" i="14"/>
  <c r="C26" i="14"/>
  <c r="B26" i="14"/>
  <c r="K26" i="14" s="1"/>
  <c r="A26" i="14"/>
  <c r="K25" i="14" s="1"/>
  <c r="D26" i="14"/>
  <c r="A16" i="14"/>
  <c r="B16" i="14"/>
  <c r="K16" i="14" s="1"/>
  <c r="C16" i="14"/>
  <c r="D16" i="14"/>
  <c r="E16" i="14"/>
  <c r="F16" i="14"/>
  <c r="G16" i="14"/>
  <c r="J16" i="14"/>
  <c r="A17" i="14"/>
  <c r="B17" i="14"/>
  <c r="K17" i="14" s="1"/>
  <c r="C17" i="14"/>
  <c r="D17" i="14"/>
  <c r="E17" i="14"/>
  <c r="F17" i="14"/>
  <c r="G17" i="14"/>
  <c r="J17" i="14"/>
  <c r="A18" i="14"/>
  <c r="B18" i="14"/>
  <c r="K18" i="14" s="1"/>
  <c r="C18" i="14"/>
  <c r="D18" i="14"/>
  <c r="E18" i="14"/>
  <c r="F18" i="14"/>
  <c r="G18" i="14"/>
  <c r="J18" i="14"/>
  <c r="A19" i="14"/>
  <c r="B19" i="14"/>
  <c r="K19" i="14" s="1"/>
  <c r="C19" i="14"/>
  <c r="D19" i="14"/>
  <c r="E19" i="14"/>
  <c r="F19" i="14"/>
  <c r="G19" i="14"/>
  <c r="J19" i="14"/>
  <c r="A20" i="14"/>
  <c r="B20" i="14"/>
  <c r="K20" i="14" s="1"/>
  <c r="C20" i="14"/>
  <c r="D20" i="14"/>
  <c r="E20" i="14"/>
  <c r="F20" i="14"/>
  <c r="G20" i="14"/>
  <c r="J20" i="14"/>
  <c r="A21" i="14"/>
  <c r="B21" i="14"/>
  <c r="K21" i="14" s="1"/>
  <c r="C21" i="14"/>
  <c r="D21" i="14"/>
  <c r="E21" i="14"/>
  <c r="F21" i="14"/>
  <c r="G21" i="14"/>
  <c r="J21" i="14"/>
  <c r="A22" i="14"/>
  <c r="B22" i="14"/>
  <c r="K22" i="14" s="1"/>
  <c r="C22" i="14"/>
  <c r="D22" i="14"/>
  <c r="E22" i="14"/>
  <c r="F22" i="14"/>
  <c r="G22" i="14"/>
  <c r="J22" i="14"/>
  <c r="A23" i="14"/>
  <c r="B23" i="14"/>
  <c r="K23" i="14" s="1"/>
  <c r="C23" i="14"/>
  <c r="D23" i="14"/>
  <c r="E23" i="14"/>
  <c r="F23" i="14"/>
  <c r="G23" i="14"/>
  <c r="J23" i="14"/>
  <c r="A24" i="14"/>
  <c r="B24" i="14"/>
  <c r="K24" i="14" s="1"/>
  <c r="C24" i="14"/>
  <c r="D24" i="14"/>
  <c r="E24" i="14"/>
  <c r="F24" i="14"/>
  <c r="G24" i="14"/>
  <c r="J24" i="14"/>
  <c r="J15" i="14"/>
  <c r="G15" i="14"/>
  <c r="F15" i="14"/>
  <c r="E15" i="14"/>
  <c r="D15" i="14"/>
  <c r="C15" i="14"/>
  <c r="B15" i="14"/>
  <c r="K15" i="14" s="1"/>
  <c r="A15" i="14"/>
  <c r="K14" i="14" s="1"/>
  <c r="B5" i="14"/>
  <c r="K5" i="14" s="1"/>
  <c r="C5" i="14"/>
  <c r="D5" i="14"/>
  <c r="E5" i="14"/>
  <c r="F5" i="14"/>
  <c r="G5" i="14"/>
  <c r="J5" i="14"/>
  <c r="B6" i="14"/>
  <c r="K6" i="14" s="1"/>
  <c r="C6" i="14"/>
  <c r="D6" i="14"/>
  <c r="E6" i="14"/>
  <c r="F6" i="14"/>
  <c r="G6" i="14"/>
  <c r="J6" i="14"/>
  <c r="B7" i="14"/>
  <c r="K7" i="14" s="1"/>
  <c r="C7" i="14"/>
  <c r="D7" i="14"/>
  <c r="E7" i="14"/>
  <c r="F7" i="14"/>
  <c r="G7" i="14"/>
  <c r="J7" i="14"/>
  <c r="B8" i="14"/>
  <c r="K8" i="14" s="1"/>
  <c r="C8" i="14"/>
  <c r="D8" i="14"/>
  <c r="E8" i="14"/>
  <c r="F8" i="14"/>
  <c r="G8" i="14"/>
  <c r="J8" i="14"/>
  <c r="B9" i="14"/>
  <c r="K9" i="14" s="1"/>
  <c r="C9" i="14"/>
  <c r="D9" i="14"/>
  <c r="E9" i="14"/>
  <c r="F9" i="14"/>
  <c r="G9" i="14"/>
  <c r="J9" i="14"/>
  <c r="B10" i="14"/>
  <c r="K10" i="14" s="1"/>
  <c r="C10" i="14"/>
  <c r="D10" i="14"/>
  <c r="E10" i="14"/>
  <c r="F10" i="14"/>
  <c r="G10" i="14"/>
  <c r="J10" i="14"/>
  <c r="B11" i="14"/>
  <c r="K11" i="14" s="1"/>
  <c r="C11" i="14"/>
  <c r="D11" i="14"/>
  <c r="E11" i="14"/>
  <c r="F11" i="14"/>
  <c r="G11" i="14"/>
  <c r="J11" i="14"/>
  <c r="B12" i="14"/>
  <c r="K12" i="14" s="1"/>
  <c r="C12" i="14"/>
  <c r="D12" i="14"/>
  <c r="E12" i="14"/>
  <c r="F12" i="14"/>
  <c r="G12" i="14"/>
  <c r="J12" i="14"/>
  <c r="B13" i="14"/>
  <c r="K13" i="14" s="1"/>
  <c r="C13" i="14"/>
  <c r="D13" i="14"/>
  <c r="E13" i="14"/>
  <c r="F13" i="14"/>
  <c r="G13" i="14"/>
  <c r="J13" i="14"/>
  <c r="J4" i="14"/>
  <c r="G4" i="14"/>
  <c r="F4" i="14"/>
  <c r="E4" i="14"/>
  <c r="D4" i="14"/>
  <c r="C4" i="14"/>
  <c r="B4" i="14"/>
  <c r="K4" i="14" s="1"/>
  <c r="A29" i="7"/>
  <c r="B29" i="7"/>
  <c r="K29" i="7" s="1"/>
  <c r="C29" i="7"/>
  <c r="D29" i="7"/>
  <c r="E29" i="7"/>
  <c r="F29" i="7"/>
  <c r="G29" i="7"/>
  <c r="J29" i="7"/>
  <c r="A30" i="7"/>
  <c r="B30" i="7"/>
  <c r="K30" i="7" s="1"/>
  <c r="C30" i="7"/>
  <c r="D30" i="7"/>
  <c r="E30" i="7"/>
  <c r="F30" i="7"/>
  <c r="G30" i="7"/>
  <c r="J30" i="7"/>
  <c r="A31" i="7"/>
  <c r="B31" i="7"/>
  <c r="K31" i="7" s="1"/>
  <c r="C31" i="7"/>
  <c r="D31" i="7"/>
  <c r="E31" i="7"/>
  <c r="F31" i="7"/>
  <c r="G31" i="7"/>
  <c r="J31" i="7"/>
  <c r="A32" i="7"/>
  <c r="B32" i="7"/>
  <c r="K32" i="7" s="1"/>
  <c r="C32" i="7"/>
  <c r="D32" i="7"/>
  <c r="E32" i="7"/>
  <c r="F32" i="7"/>
  <c r="G32" i="7"/>
  <c r="J32" i="7"/>
  <c r="A33" i="7"/>
  <c r="B33" i="7"/>
  <c r="K33" i="7" s="1"/>
  <c r="C33" i="7"/>
  <c r="D33" i="7"/>
  <c r="E33" i="7"/>
  <c r="F33" i="7"/>
  <c r="G33" i="7"/>
  <c r="J33" i="7"/>
  <c r="A34" i="7"/>
  <c r="B34" i="7"/>
  <c r="K34" i="7" s="1"/>
  <c r="C34" i="7"/>
  <c r="D34" i="7"/>
  <c r="E34" i="7"/>
  <c r="F34" i="7"/>
  <c r="G34" i="7"/>
  <c r="J34" i="7"/>
  <c r="A35" i="7"/>
  <c r="B35" i="7"/>
  <c r="K35" i="7" s="1"/>
  <c r="C35" i="7"/>
  <c r="D35" i="7"/>
  <c r="E35" i="7"/>
  <c r="F35" i="7"/>
  <c r="G35" i="7"/>
  <c r="J35" i="7"/>
  <c r="A19" i="7"/>
  <c r="B19" i="7"/>
  <c r="K19" i="7" s="1"/>
  <c r="C19" i="7"/>
  <c r="D19" i="7"/>
  <c r="E19" i="7"/>
  <c r="F19" i="7"/>
  <c r="G19" i="7"/>
  <c r="J19" i="7"/>
  <c r="A20" i="7"/>
  <c r="B20" i="7"/>
  <c r="K20" i="7" s="1"/>
  <c r="C20" i="7"/>
  <c r="D20" i="7"/>
  <c r="E20" i="7"/>
  <c r="F20" i="7"/>
  <c r="G20" i="7"/>
  <c r="J20" i="7"/>
  <c r="A21" i="7"/>
  <c r="B21" i="7"/>
  <c r="K21" i="7" s="1"/>
  <c r="C21" i="7"/>
  <c r="D21" i="7"/>
  <c r="E21" i="7"/>
  <c r="F21" i="7"/>
  <c r="G21" i="7"/>
  <c r="J21" i="7"/>
  <c r="A22" i="7"/>
  <c r="B22" i="7"/>
  <c r="K22" i="7" s="1"/>
  <c r="C22" i="7"/>
  <c r="D22" i="7"/>
  <c r="E22" i="7"/>
  <c r="F22" i="7"/>
  <c r="G22" i="7"/>
  <c r="J22" i="7"/>
  <c r="A23" i="7"/>
  <c r="B23" i="7"/>
  <c r="K23" i="7" s="1"/>
  <c r="C23" i="7"/>
  <c r="D23" i="7"/>
  <c r="E23" i="7"/>
  <c r="F23" i="7"/>
  <c r="G23" i="7"/>
  <c r="J23" i="7"/>
  <c r="A24" i="7"/>
  <c r="B24" i="7"/>
  <c r="K24" i="7" s="1"/>
  <c r="C24" i="7"/>
  <c r="D24" i="7"/>
  <c r="E24" i="7"/>
  <c r="F24" i="7"/>
  <c r="G24" i="7"/>
  <c r="J24" i="7"/>
  <c r="A8" i="7"/>
  <c r="B8" i="7"/>
  <c r="K8" i="7" s="1"/>
  <c r="C8" i="7"/>
  <c r="D8" i="7"/>
  <c r="E8" i="7"/>
  <c r="F8" i="7"/>
  <c r="G8" i="7"/>
  <c r="J8" i="7"/>
  <c r="A9" i="7"/>
  <c r="B9" i="7"/>
  <c r="K9" i="7" s="1"/>
  <c r="C9" i="7"/>
  <c r="D9" i="7"/>
  <c r="E9" i="7"/>
  <c r="F9" i="7"/>
  <c r="G9" i="7"/>
  <c r="J9" i="7"/>
  <c r="A10" i="7"/>
  <c r="B10" i="7"/>
  <c r="K10" i="7" s="1"/>
  <c r="C10" i="7"/>
  <c r="D10" i="7"/>
  <c r="E10" i="7"/>
  <c r="F10" i="7"/>
  <c r="G10" i="7"/>
  <c r="J10" i="7"/>
  <c r="A11" i="7"/>
  <c r="B11" i="7"/>
  <c r="K11" i="7" s="1"/>
  <c r="C11" i="7"/>
  <c r="D11" i="7"/>
  <c r="E11" i="7"/>
  <c r="F11" i="7"/>
  <c r="G11" i="7"/>
  <c r="J11" i="7"/>
  <c r="A12" i="7"/>
  <c r="B12" i="7"/>
  <c r="K12" i="7" s="1"/>
  <c r="C12" i="7"/>
  <c r="D12" i="7"/>
  <c r="E12" i="7"/>
  <c r="F12" i="7"/>
  <c r="G12" i="7"/>
  <c r="J12" i="7"/>
  <c r="A13" i="7"/>
  <c r="B13" i="7"/>
  <c r="K13" i="7" s="1"/>
  <c r="C13" i="7"/>
  <c r="D13" i="7"/>
  <c r="E13" i="7"/>
  <c r="F13" i="7"/>
  <c r="G13" i="7"/>
  <c r="J13" i="7"/>
  <c r="J27" i="7"/>
  <c r="J28" i="7"/>
  <c r="J26" i="7"/>
  <c r="G27" i="7"/>
  <c r="G28" i="7"/>
  <c r="G26" i="7"/>
  <c r="F27" i="7"/>
  <c r="F28" i="7"/>
  <c r="F26" i="7"/>
  <c r="E27" i="7"/>
  <c r="E28" i="7"/>
  <c r="E26" i="7"/>
  <c r="D27" i="7"/>
  <c r="D28" i="7"/>
  <c r="D26" i="7"/>
  <c r="C27" i="7"/>
  <c r="C28" i="7"/>
  <c r="C26" i="7"/>
  <c r="B27" i="7"/>
  <c r="K27" i="7" s="1"/>
  <c r="B28" i="7"/>
  <c r="K28" i="7" s="1"/>
  <c r="B26" i="7"/>
  <c r="K26" i="7" s="1"/>
  <c r="A27" i="7"/>
  <c r="A28" i="7"/>
  <c r="A26" i="7"/>
  <c r="J16" i="7"/>
  <c r="J17" i="7"/>
  <c r="J18" i="7"/>
  <c r="J15" i="7"/>
  <c r="G16" i="7"/>
  <c r="G17" i="7"/>
  <c r="G18" i="7"/>
  <c r="G15" i="7"/>
  <c r="F16" i="7"/>
  <c r="F17" i="7"/>
  <c r="F18" i="7"/>
  <c r="F15" i="7"/>
  <c r="E16" i="7"/>
  <c r="E17" i="7"/>
  <c r="E18" i="7"/>
  <c r="E15" i="7"/>
  <c r="D16" i="7"/>
  <c r="D17" i="7"/>
  <c r="D18" i="7"/>
  <c r="D15" i="7"/>
  <c r="C16" i="7"/>
  <c r="C17" i="7"/>
  <c r="C18" i="7"/>
  <c r="C15" i="7"/>
  <c r="B16" i="7"/>
  <c r="K16" i="7" s="1"/>
  <c r="B17" i="7"/>
  <c r="K17" i="7" s="1"/>
  <c r="B18" i="7"/>
  <c r="K18" i="7" s="1"/>
  <c r="B15" i="7"/>
  <c r="K15" i="7" s="1"/>
  <c r="A16" i="7"/>
  <c r="A17" i="7"/>
  <c r="A18" i="7"/>
  <c r="A15" i="7"/>
  <c r="A4" i="7"/>
  <c r="J5" i="7"/>
  <c r="J6" i="7"/>
  <c r="J7" i="7"/>
  <c r="J4" i="7"/>
  <c r="G5" i="7"/>
  <c r="G6" i="7"/>
  <c r="G7" i="7"/>
  <c r="G4" i="7"/>
  <c r="E5" i="7"/>
  <c r="E6" i="7"/>
  <c r="E7" i="7"/>
  <c r="E4" i="7"/>
  <c r="F5" i="7"/>
  <c r="F6" i="7"/>
  <c r="F7" i="7"/>
  <c r="F4" i="7"/>
  <c r="D5" i="7"/>
  <c r="D6" i="7"/>
  <c r="D7" i="7"/>
  <c r="D4" i="7"/>
  <c r="C5" i="7"/>
  <c r="C6" i="7"/>
  <c r="C7" i="7"/>
  <c r="C4" i="7"/>
  <c r="B5" i="7"/>
  <c r="K5" i="7" s="1"/>
  <c r="B6" i="7"/>
  <c r="K6" i="7" s="1"/>
  <c r="B7" i="7"/>
  <c r="K7" i="7" s="1"/>
  <c r="B4" i="7"/>
  <c r="K4" i="7" s="1"/>
  <c r="A5" i="7"/>
  <c r="A6" i="7"/>
  <c r="A7" i="7"/>
  <c r="M6" i="7"/>
  <c r="U6" i="7" s="1" a="1"/>
  <c r="U6" i="7" s="1"/>
  <c r="L7" i="7"/>
  <c r="Y4" i="2"/>
  <c r="Y5" i="2"/>
  <c r="Y6" i="2"/>
  <c r="Y7" i="2"/>
  <c r="Y8" i="2"/>
  <c r="Y9" i="2"/>
  <c r="Y10" i="2"/>
  <c r="Y11" i="2"/>
  <c r="Y12" i="2"/>
  <c r="Y13" i="2"/>
  <c r="Y14" i="2"/>
  <c r="Y15" i="2"/>
  <c r="Y16" i="2"/>
  <c r="Y17" i="2"/>
  <c r="Y18" i="2"/>
  <c r="Y19" i="2"/>
  <c r="Y20" i="2"/>
  <c r="Y21" i="2"/>
  <c r="Y22" i="2"/>
  <c r="Y23" i="2"/>
  <c r="Y24" i="2"/>
  <c r="Y3" i="2"/>
  <c r="AK5" i="7"/>
  <c r="AK6" i="7"/>
  <c r="AK7" i="7"/>
  <c r="AK15" i="7"/>
  <c r="AK16" i="7"/>
  <c r="AK17" i="7"/>
  <c r="AK18" i="7"/>
  <c r="AK26" i="7"/>
  <c r="AK27" i="7"/>
  <c r="AK28" i="7"/>
  <c r="AK29" i="7"/>
  <c r="AK30" i="7"/>
  <c r="AK31" i="7"/>
  <c r="AK32" i="7"/>
  <c r="AK33" i="7"/>
  <c r="AK34" i="7"/>
  <c r="AK35" i="7"/>
  <c r="AK36" i="7"/>
  <c r="AU37" i="7"/>
  <c r="AU38" i="7"/>
  <c r="AU39" i="7"/>
  <c r="AU40" i="7"/>
  <c r="AU41" i="7"/>
  <c r="AU42" i="7"/>
  <c r="AU43" i="7"/>
  <c r="AK4" i="7"/>
  <c r="AA5" i="7"/>
  <c r="AA6" i="7"/>
  <c r="AA7" i="7"/>
  <c r="AA15" i="7"/>
  <c r="AA16" i="7"/>
  <c r="AA17" i="7"/>
  <c r="AA18" i="7"/>
  <c r="AA26" i="7"/>
  <c r="AA27" i="7"/>
  <c r="AA28" i="7"/>
  <c r="AA29" i="7"/>
  <c r="AA30" i="7"/>
  <c r="AA31" i="7"/>
  <c r="AA32" i="7"/>
  <c r="AA33" i="7"/>
  <c r="AA34" i="7"/>
  <c r="AA35" i="7"/>
  <c r="AA36" i="7"/>
  <c r="AK37" i="7"/>
  <c r="AK38" i="7"/>
  <c r="AK39" i="7"/>
  <c r="AK40" i="7"/>
  <c r="AK41" i="7"/>
  <c r="AK42" i="7"/>
  <c r="AK43" i="7"/>
  <c r="AK44" i="7"/>
  <c r="AK45" i="7"/>
  <c r="AK46" i="7"/>
  <c r="AK47" i="7"/>
  <c r="AK48" i="7"/>
  <c r="AA4" i="7"/>
  <c r="Q5" i="7"/>
  <c r="Q6" i="7"/>
  <c r="Q7" i="7"/>
  <c r="Q15" i="7"/>
  <c r="Q16" i="7"/>
  <c r="Q17" i="7"/>
  <c r="Q18" i="7"/>
  <c r="Q26" i="7"/>
  <c r="Q27" i="7"/>
  <c r="Q28" i="7"/>
  <c r="Q29" i="7"/>
  <c r="Q30" i="7"/>
  <c r="Q31" i="7"/>
  <c r="Q32" i="7"/>
  <c r="Q33" i="7"/>
  <c r="Q34" i="7"/>
  <c r="Q35" i="7"/>
  <c r="Q36" i="7"/>
  <c r="AA37" i="7"/>
  <c r="AA38" i="7"/>
  <c r="AA39" i="7"/>
  <c r="AA40" i="7"/>
  <c r="AA41" i="7"/>
  <c r="AA42" i="7"/>
  <c r="AA43" i="7"/>
  <c r="AA44" i="7"/>
  <c r="AA45" i="7"/>
  <c r="AA46" i="7"/>
  <c r="AA47" i="7"/>
  <c r="AA48" i="7"/>
  <c r="Q4" i="7"/>
  <c r="AN5" i="7"/>
  <c r="AN6" i="7"/>
  <c r="AN7" i="7"/>
  <c r="AN15" i="7"/>
  <c r="AN16" i="7"/>
  <c r="AN17" i="7"/>
  <c r="AN18" i="7"/>
  <c r="AN26" i="7"/>
  <c r="AN27" i="7"/>
  <c r="AN28" i="7"/>
  <c r="AN29" i="7"/>
  <c r="AN4" i="7"/>
  <c r="AL5" i="7"/>
  <c r="AL6" i="7"/>
  <c r="AL7" i="7"/>
  <c r="AL15" i="7"/>
  <c r="AL16" i="7"/>
  <c r="AL17" i="7"/>
  <c r="AL18" i="7"/>
  <c r="AL26" i="7"/>
  <c r="AL27" i="7"/>
  <c r="AL28" i="7"/>
  <c r="AL29" i="7"/>
  <c r="AL4" i="7"/>
  <c r="AJ5" i="7"/>
  <c r="AJ6" i="7"/>
  <c r="AJ7" i="7"/>
  <c r="AJ15" i="7"/>
  <c r="AJ16" i="7"/>
  <c r="AJ17" i="7"/>
  <c r="AJ18" i="7"/>
  <c r="AJ26" i="7"/>
  <c r="AJ27" i="7"/>
  <c r="AJ28" i="7"/>
  <c r="AJ29" i="7"/>
  <c r="AJ4" i="7"/>
  <c r="AI5" i="7"/>
  <c r="AI6" i="7"/>
  <c r="AI7" i="7"/>
  <c r="AI15" i="7"/>
  <c r="AI16" i="7"/>
  <c r="AI17" i="7"/>
  <c r="AI18" i="7"/>
  <c r="AI26" i="7"/>
  <c r="AI27" i="7"/>
  <c r="AI28" i="7"/>
  <c r="AI29" i="7"/>
  <c r="AI4" i="7"/>
  <c r="AH5" i="7"/>
  <c r="AH6" i="7"/>
  <c r="AH7" i="7"/>
  <c r="AH15" i="7"/>
  <c r="AH16" i="7"/>
  <c r="AH17" i="7"/>
  <c r="AH18" i="7"/>
  <c r="AH26" i="7"/>
  <c r="AH27" i="7"/>
  <c r="AH28" i="7"/>
  <c r="AH29" i="7"/>
  <c r="AH4" i="7"/>
  <c r="AG5" i="7"/>
  <c r="AO5" i="7" s="1" a="1"/>
  <c r="AO5" i="7" s="1"/>
  <c r="AG6" i="7"/>
  <c r="AO6" i="7" s="1" a="1"/>
  <c r="AO6" i="7" s="1"/>
  <c r="AG7" i="7"/>
  <c r="AO7" i="7" s="1" a="1"/>
  <c r="AO7" i="7" s="1"/>
  <c r="AG15" i="7"/>
  <c r="AO15" i="7" s="1" a="1"/>
  <c r="AO15" i="7" s="1"/>
  <c r="AG16" i="7"/>
  <c r="AO16" i="7" s="1" a="1"/>
  <c r="AO16" i="7" s="1"/>
  <c r="AG17" i="7"/>
  <c r="AO17" i="7" s="1" a="1"/>
  <c r="AO17" i="7" s="1"/>
  <c r="AG18" i="7"/>
  <c r="AO18" i="7" s="1" a="1"/>
  <c r="AO18" i="7" s="1"/>
  <c r="AG26" i="7"/>
  <c r="AO26" i="7" s="1" a="1"/>
  <c r="AO26" i="7" s="1"/>
  <c r="AG27" i="7"/>
  <c r="AO27" i="7" s="1" a="1"/>
  <c r="AO27" i="7" s="1"/>
  <c r="AG28" i="7"/>
  <c r="AO28" i="7" s="1" a="1"/>
  <c r="AO28" i="7" s="1"/>
  <c r="AG29" i="7"/>
  <c r="AO29" i="7" s="1" a="1"/>
  <c r="AO29" i="7" s="1"/>
  <c r="AG4" i="7"/>
  <c r="AO4" i="7" s="1" a="1"/>
  <c r="AO4" i="7" s="1"/>
  <c r="AF5" i="7"/>
  <c r="AF6" i="7"/>
  <c r="AF7" i="7"/>
  <c r="AF15" i="7"/>
  <c r="AF16" i="7"/>
  <c r="AF17" i="7"/>
  <c r="AF18" i="7"/>
  <c r="AF26" i="7"/>
  <c r="AF27" i="7"/>
  <c r="AF28" i="7"/>
  <c r="AF29" i="7"/>
  <c r="AF4" i="7"/>
  <c r="AD5" i="7"/>
  <c r="AD6" i="7"/>
  <c r="AD7" i="7"/>
  <c r="AD15" i="7"/>
  <c r="AD16" i="7"/>
  <c r="AD17" i="7"/>
  <c r="AD18" i="7"/>
  <c r="AD26" i="7"/>
  <c r="AD27" i="7"/>
  <c r="AD28" i="7"/>
  <c r="AD29" i="7"/>
  <c r="AD4" i="7"/>
  <c r="AB5" i="7"/>
  <c r="AB6" i="7"/>
  <c r="AB7" i="7"/>
  <c r="AB15" i="7"/>
  <c r="AB16" i="7"/>
  <c r="AB17" i="7"/>
  <c r="AB18" i="7"/>
  <c r="AB26" i="7"/>
  <c r="AB27" i="7"/>
  <c r="AB28" i="7"/>
  <c r="AB29" i="7"/>
  <c r="AB30" i="7"/>
  <c r="AB4" i="7"/>
  <c r="Z5" i="7"/>
  <c r="Z6" i="7"/>
  <c r="Z7" i="7"/>
  <c r="Z15" i="7"/>
  <c r="Z16" i="7"/>
  <c r="Z17" i="7"/>
  <c r="Z18" i="7"/>
  <c r="Z26" i="7"/>
  <c r="Z27" i="7"/>
  <c r="Z28" i="7"/>
  <c r="Z29" i="7"/>
  <c r="Z30" i="7"/>
  <c r="Z4" i="7"/>
  <c r="Y5" i="7"/>
  <c r="Y6" i="7"/>
  <c r="Y7" i="7"/>
  <c r="Y15" i="7"/>
  <c r="Y16" i="7"/>
  <c r="Y17" i="7"/>
  <c r="Y18" i="7"/>
  <c r="Y26" i="7"/>
  <c r="Y27" i="7"/>
  <c r="Y28" i="7"/>
  <c r="Y29" i="7"/>
  <c r="Y30" i="7"/>
  <c r="Y4" i="7"/>
  <c r="X5" i="7"/>
  <c r="X6" i="7"/>
  <c r="X7" i="7"/>
  <c r="X15" i="7"/>
  <c r="X16" i="7"/>
  <c r="X17" i="7"/>
  <c r="X18" i="7"/>
  <c r="X26" i="7"/>
  <c r="X27" i="7"/>
  <c r="X28" i="7"/>
  <c r="X29" i="7"/>
  <c r="X30" i="7"/>
  <c r="X31" i="7"/>
  <c r="X32" i="7"/>
  <c r="X33" i="7"/>
  <c r="X4" i="7"/>
  <c r="W5" i="7"/>
  <c r="AE5" i="7" s="1" a="1"/>
  <c r="AE5" i="7" s="1"/>
  <c r="W6" i="7"/>
  <c r="AE6" i="7" s="1" a="1"/>
  <c r="AE6" i="7" s="1"/>
  <c r="W7" i="7"/>
  <c r="AE7" i="7" s="1" a="1"/>
  <c r="AE7" i="7" s="1"/>
  <c r="W15" i="7"/>
  <c r="AE15" i="7" s="1" a="1"/>
  <c r="AE15" i="7" s="1"/>
  <c r="W16" i="7"/>
  <c r="AE16" i="7" s="1" a="1"/>
  <c r="AE16" i="7" s="1"/>
  <c r="W17" i="7"/>
  <c r="AE17" i="7" s="1" a="1"/>
  <c r="AE17" i="7" s="1"/>
  <c r="W18" i="7"/>
  <c r="AE18" i="7" s="1" a="1"/>
  <c r="AE18" i="7" s="1"/>
  <c r="W26" i="7"/>
  <c r="AE26" i="7" s="1" a="1"/>
  <c r="AE26" i="7" s="1"/>
  <c r="W27" i="7"/>
  <c r="AE27" i="7" s="1" a="1"/>
  <c r="AE27" i="7" s="1"/>
  <c r="W28" i="7"/>
  <c r="AE28" i="7" s="1" a="1"/>
  <c r="AE28" i="7" s="1"/>
  <c r="W29" i="7"/>
  <c r="AE29" i="7" s="1" a="1"/>
  <c r="AE29" i="7" s="1"/>
  <c r="W4" i="7"/>
  <c r="AE4" i="7" s="1" a="1"/>
  <c r="AE4" i="7" s="1"/>
  <c r="V5" i="7"/>
  <c r="V6" i="7"/>
  <c r="V7" i="7"/>
  <c r="V15" i="7"/>
  <c r="V16" i="7"/>
  <c r="V17" i="7"/>
  <c r="V18" i="7"/>
  <c r="V26" i="7"/>
  <c r="V27" i="7"/>
  <c r="V28" i="7"/>
  <c r="V29" i="7"/>
  <c r="V4" i="7"/>
  <c r="U36" i="7" a="1"/>
  <c r="U36" i="7" s="1"/>
  <c r="AE38" i="7" a="1"/>
  <c r="AE38" i="7" s="1"/>
  <c r="AE44" i="7" a="1"/>
  <c r="AE44" i="7" s="1"/>
  <c r="AE46" i="7" a="1"/>
  <c r="AE46" i="7" s="1"/>
  <c r="T5" i="7"/>
  <c r="T6" i="7"/>
  <c r="T7" i="7"/>
  <c r="T15" i="7"/>
  <c r="T16" i="7"/>
  <c r="T17" i="7"/>
  <c r="T18" i="7"/>
  <c r="T26" i="7"/>
  <c r="T27" i="7"/>
  <c r="T28" i="7"/>
  <c r="T29" i="7"/>
  <c r="T30" i="7"/>
  <c r="T31" i="7"/>
  <c r="T32" i="7"/>
  <c r="T33" i="7"/>
  <c r="T34" i="7"/>
  <c r="T4" i="7"/>
  <c r="R5" i="7"/>
  <c r="R6" i="7"/>
  <c r="R7" i="7"/>
  <c r="R15" i="7"/>
  <c r="R16" i="7"/>
  <c r="R17" i="7"/>
  <c r="R18" i="7"/>
  <c r="R26" i="7"/>
  <c r="R27" i="7"/>
  <c r="R28" i="7"/>
  <c r="R29" i="7"/>
  <c r="R30" i="7"/>
  <c r="R31" i="7"/>
  <c r="R32" i="7"/>
  <c r="R33" i="7"/>
  <c r="R4" i="7"/>
  <c r="P5" i="7"/>
  <c r="P6" i="7"/>
  <c r="P7" i="7"/>
  <c r="P15" i="7"/>
  <c r="P16" i="7"/>
  <c r="P17" i="7"/>
  <c r="P18" i="7"/>
  <c r="P26" i="7"/>
  <c r="P27" i="7"/>
  <c r="P28" i="7"/>
  <c r="P29" i="7"/>
  <c r="P30" i="7"/>
  <c r="P31" i="7"/>
  <c r="P32" i="7"/>
  <c r="P33" i="7"/>
  <c r="P4" i="7"/>
  <c r="O5" i="7"/>
  <c r="O6" i="7"/>
  <c r="O7" i="7"/>
  <c r="O15" i="7"/>
  <c r="O16" i="7"/>
  <c r="O17" i="7"/>
  <c r="O18" i="7"/>
  <c r="O26" i="7"/>
  <c r="O27" i="7"/>
  <c r="O28" i="7"/>
  <c r="O29" i="7"/>
  <c r="O30" i="7"/>
  <c r="O31" i="7"/>
  <c r="O32" i="7"/>
  <c r="O33" i="7"/>
  <c r="O4" i="7"/>
  <c r="N5" i="7"/>
  <c r="N6" i="7"/>
  <c r="N7" i="7"/>
  <c r="N15" i="7"/>
  <c r="N16" i="7"/>
  <c r="S16" i="7" s="1"/>
  <c r="N17" i="7"/>
  <c r="N18" i="7"/>
  <c r="S18" i="7" s="1"/>
  <c r="N26" i="7"/>
  <c r="N27" i="7"/>
  <c r="N28" i="7"/>
  <c r="N29" i="7"/>
  <c r="N30" i="7"/>
  <c r="N31" i="7"/>
  <c r="N32" i="7"/>
  <c r="N33" i="7"/>
  <c r="N4" i="7"/>
  <c r="M5" i="7"/>
  <c r="U5" i="7" s="1" a="1"/>
  <c r="U5" i="7" s="1"/>
  <c r="M7" i="7"/>
  <c r="U7" i="7" s="1" a="1"/>
  <c r="U7" i="7" s="1"/>
  <c r="M15" i="7"/>
  <c r="U15" i="7" s="1" a="1"/>
  <c r="U15" i="7" s="1"/>
  <c r="M16" i="7"/>
  <c r="U16" i="7" s="1" a="1"/>
  <c r="U16" i="7" s="1"/>
  <c r="M17" i="7"/>
  <c r="U17" i="7" s="1" a="1"/>
  <c r="U17" i="7" s="1"/>
  <c r="M18" i="7"/>
  <c r="U18" i="7" s="1" a="1"/>
  <c r="U18" i="7" s="1"/>
  <c r="M26" i="7"/>
  <c r="U26" i="7" s="1" a="1"/>
  <c r="U26" i="7" s="1"/>
  <c r="M27" i="7"/>
  <c r="U27" i="7" s="1" a="1"/>
  <c r="U27" i="7" s="1"/>
  <c r="M28" i="7"/>
  <c r="U28" i="7" s="1" a="1"/>
  <c r="U28" i="7" s="1"/>
  <c r="M29" i="7"/>
  <c r="U29" i="7" s="1" a="1"/>
  <c r="U29" i="7" s="1"/>
  <c r="M30" i="7"/>
  <c r="U30" i="7" s="1" a="1"/>
  <c r="U30" i="7" s="1"/>
  <c r="M4" i="7"/>
  <c r="U4" i="7" s="1" a="1"/>
  <c r="U4" i="7" s="1"/>
  <c r="L5" i="7"/>
  <c r="L6" i="7"/>
  <c r="L15" i="7"/>
  <c r="L16" i="7"/>
  <c r="L17" i="7"/>
  <c r="L18" i="7"/>
  <c r="L26" i="7"/>
  <c r="L27" i="7"/>
  <c r="L28" i="7"/>
  <c r="L29" i="7"/>
  <c r="L4" i="7"/>
  <c r="B50" i="2"/>
  <c r="I58" i="2" a="1"/>
  <c r="J71" i="2" a="1"/>
  <c r="G59" i="2" a="1"/>
  <c r="R60" i="2" a="1"/>
  <c r="K67" i="2" a="1"/>
  <c r="G61" i="2" a="1"/>
  <c r="T66" i="2" a="1"/>
  <c r="U73" i="2" a="1"/>
  <c r="D64" i="2" a="1"/>
  <c r="M60" i="2" a="1"/>
  <c r="F65" i="2" a="1"/>
  <c r="O54" i="2" a="1"/>
  <c r="V68" i="2" a="1"/>
  <c r="W61" i="2" a="1"/>
  <c r="R65" i="2" a="1"/>
  <c r="K68" i="2" a="1"/>
  <c r="W54" i="2" a="1"/>
  <c r="M61" i="2" a="1"/>
  <c r="O60" i="2" a="1"/>
  <c r="C58" i="2" a="1"/>
  <c r="H60" i="2" a="1"/>
  <c r="G69" i="2" a="1"/>
  <c r="O65" i="2" a="1"/>
  <c r="T73" i="2" a="1"/>
  <c r="V67" i="2" a="1"/>
  <c r="L55" i="2" a="1"/>
  <c r="D65" i="2" a="1"/>
  <c r="J56" i="2" a="1"/>
  <c r="U72" i="2" a="1"/>
  <c r="Q72" i="2" a="1"/>
  <c r="T70" i="2" a="1"/>
  <c r="K63" i="2" a="1"/>
  <c r="I60" i="2" a="1"/>
  <c r="H59" i="2" a="1"/>
  <c r="F73" i="2" a="1"/>
  <c r="L73" i="2" a="1"/>
  <c r="E61" i="2" a="1"/>
  <c r="J74" i="2" a="1"/>
  <c r="I57" i="2" a="1"/>
  <c r="O59" i="2" a="1"/>
  <c r="M67" i="2" a="1"/>
  <c r="H70" i="2" a="1"/>
  <c r="S63" i="2" a="1"/>
  <c r="T67" i="2" a="1"/>
  <c r="W71" i="2" a="1"/>
  <c r="N61" i="2" a="1"/>
  <c r="W70" i="2" a="1"/>
  <c r="E63" i="2" a="1"/>
  <c r="W55" i="2" a="1"/>
  <c r="Q55" i="2" a="1"/>
  <c r="G58" i="2" a="1"/>
  <c r="H67" i="2" a="1"/>
  <c r="S66" i="2" a="1"/>
  <c r="L60" i="2" a="1"/>
  <c r="V71" i="2" a="1"/>
  <c r="C66" i="2" a="1"/>
  <c r="O61" i="2" a="1"/>
  <c r="E74" i="2" a="1"/>
  <c r="P57" i="2" a="1"/>
  <c r="T74" i="2" a="1"/>
  <c r="D58" i="2" a="1"/>
  <c r="J69" i="2" a="1"/>
  <c r="X62" i="2" a="1"/>
  <c r="D57" i="2" a="1"/>
  <c r="Q63" i="2" a="1"/>
  <c r="V69" i="2" a="1"/>
  <c r="N72" i="2" a="1"/>
  <c r="F70" i="2" a="1"/>
  <c r="Q74" i="2" a="1"/>
  <c r="D63" i="2" a="1"/>
  <c r="P75" i="2" a="1"/>
  <c r="J75" i="2" a="1"/>
  <c r="H63" i="2" a="1"/>
  <c r="K74" i="2" a="1"/>
  <c r="F54" i="2" a="1"/>
  <c r="N55" i="2" a="1"/>
  <c r="L70" i="2" a="1"/>
  <c r="K58" i="2" a="1"/>
  <c r="W67" i="2" a="1"/>
  <c r="I64" i="2" a="1"/>
  <c r="E59" i="2" a="1"/>
  <c r="X72" i="2" a="1"/>
  <c r="P63" i="2" a="1"/>
  <c r="N68" i="2" a="1"/>
  <c r="G54" i="2" a="1"/>
  <c r="T69" i="2" a="1"/>
  <c r="N63" i="2" a="1"/>
  <c r="O57" i="2" a="1"/>
  <c r="K56" i="2" a="1"/>
  <c r="N67" i="2" a="1"/>
  <c r="Q70" i="2" a="1"/>
  <c r="G63" i="2" a="1"/>
  <c r="T71" i="2" a="1"/>
  <c r="C70" i="2" a="1"/>
  <c r="J60" i="2" a="1"/>
  <c r="M59" i="2" a="1"/>
  <c r="C63" i="2" a="1"/>
  <c r="S65" i="2" a="1"/>
  <c r="M54" i="2" a="1"/>
  <c r="E62" i="2" a="1"/>
  <c r="X70" i="2" a="1"/>
  <c r="R68" i="2" a="1"/>
  <c r="S73" i="2" a="1"/>
  <c r="Q58" i="2" a="1"/>
  <c r="P59" i="2" a="1"/>
  <c r="F57" i="2" a="1"/>
  <c r="I56" i="2" a="1"/>
  <c r="L56" i="2" a="1"/>
  <c r="S75" i="2" a="1"/>
  <c r="V58" i="2" a="1"/>
  <c r="M55" i="2" a="1"/>
  <c r="T64" i="2" a="1"/>
  <c r="C55" i="2" a="1"/>
  <c r="J73" i="2" a="1"/>
  <c r="U59" i="2" a="1"/>
  <c r="U57" i="2" a="1"/>
  <c r="M69" i="2" a="1"/>
  <c r="V70" i="2" a="1"/>
  <c r="W57" i="2" a="1"/>
  <c r="P72" i="2" a="1"/>
  <c r="E67" i="2" a="1"/>
  <c r="V75" i="2" a="1"/>
  <c r="J70" i="2" a="1"/>
  <c r="C65" i="2" a="1"/>
  <c r="N73" i="2" a="1"/>
  <c r="K55" i="2" a="1"/>
  <c r="L75" i="2" a="1"/>
  <c r="W73" i="2" a="1"/>
  <c r="P62" i="2" a="1"/>
  <c r="R66" i="2" a="1"/>
  <c r="Q64" i="2" a="1"/>
  <c r="P71" i="2" a="1"/>
  <c r="F75" i="2" a="1"/>
  <c r="S68" i="2" a="1"/>
  <c r="C68" i="2" a="1"/>
  <c r="Q65" i="2" a="1"/>
  <c r="U64" i="2" a="1"/>
  <c r="H55" i="2" a="1"/>
  <c r="Q67" i="2" a="1"/>
  <c r="P73" i="2" a="1"/>
  <c r="X56" i="2" a="1"/>
  <c r="Q61" i="2" a="1"/>
  <c r="R63" i="2" a="1"/>
  <c r="L64" i="2" a="1"/>
  <c r="C62" i="2" a="1"/>
  <c r="C54" i="2" a="1"/>
  <c r="C74" i="2" a="1"/>
  <c r="J72" i="2" a="1"/>
  <c r="D59" i="2" a="1"/>
  <c r="V59" i="2" a="1"/>
  <c r="S54" i="2" a="1"/>
  <c r="K65" i="2" a="1"/>
  <c r="M63" i="2" a="1"/>
  <c r="V66" i="2" a="1"/>
  <c r="Q75" i="2" a="1"/>
  <c r="G56" i="2" a="1"/>
  <c r="J61" i="2" a="1"/>
  <c r="D72" i="2" a="1"/>
  <c r="Q73" i="2" a="1"/>
  <c r="W63" i="2" a="1"/>
  <c r="G64" i="2" a="1"/>
  <c r="N69" i="2" a="1"/>
  <c r="I71" i="2" a="1"/>
  <c r="H66" i="2" a="1"/>
  <c r="W68" i="2" a="1"/>
  <c r="M58" i="2" a="1"/>
  <c r="S71" i="2" a="1"/>
  <c r="N75" i="2" a="1"/>
  <c r="L69" i="2" a="1"/>
  <c r="U54" i="2" a="1"/>
  <c r="H56" i="2" a="1"/>
  <c r="G73" i="2" a="1"/>
  <c r="M73" i="2" a="1"/>
  <c r="T56" i="2" a="1"/>
  <c r="R55" i="2" a="1"/>
  <c r="I55" i="2" a="1"/>
  <c r="N71" i="2" a="1"/>
  <c r="J68" i="2" a="1"/>
  <c r="E68" i="2" a="1"/>
  <c r="W64" i="2" a="1"/>
  <c r="U70" i="2" a="1"/>
  <c r="O72" i="2" a="1"/>
  <c r="C56" i="2" a="1"/>
  <c r="O55" i="2" a="1"/>
  <c r="P69" i="2" a="1"/>
  <c r="L68" i="2" a="1"/>
  <c r="P66" i="2" a="1"/>
  <c r="E72" i="2" a="1"/>
  <c r="I69" i="2" a="1"/>
  <c r="U60" i="2" a="1"/>
  <c r="C61" i="2" a="1"/>
  <c r="K75" i="2" a="1"/>
  <c r="J66" i="2" a="1"/>
  <c r="U66" i="2" a="1"/>
  <c r="X54" i="2" a="1"/>
  <c r="R72" i="2" a="1"/>
  <c r="S56" i="2" a="1"/>
  <c r="H74" i="2" a="1"/>
  <c r="F71" i="2" a="1"/>
  <c r="N57" i="2" a="1"/>
  <c r="T55" i="2" a="1"/>
  <c r="P64" i="2" a="1"/>
  <c r="F59" i="2" a="1"/>
  <c r="M68" i="2" a="1"/>
  <c r="J55" i="2" a="1"/>
  <c r="P74" i="2" a="1"/>
  <c r="L67" i="2" a="1"/>
  <c r="P61" i="2" a="1"/>
  <c r="U62" i="2" a="1"/>
  <c r="X69" i="2" a="1"/>
  <c r="G70" i="2" a="1"/>
  <c r="Q66" i="2" a="1"/>
  <c r="T65" i="2" a="1"/>
  <c r="I65" i="2" a="1"/>
  <c r="H58" i="2" a="1"/>
  <c r="E71" i="2" a="1"/>
  <c r="W60" i="2" a="1"/>
  <c r="Q71" i="2" a="1"/>
  <c r="F69" i="2" a="1"/>
  <c r="F61" i="2" a="1"/>
  <c r="E56" i="2" a="1"/>
  <c r="H69" i="2" a="1"/>
  <c r="D70" i="2" a="1"/>
  <c r="S57" i="2" a="1"/>
  <c r="E58" i="2" a="1"/>
  <c r="R73" i="2" a="1"/>
  <c r="E69" i="2" a="1"/>
  <c r="D60" i="2" a="1"/>
  <c r="G72" i="2" a="1"/>
  <c r="L58" i="2" a="1"/>
  <c r="M72" i="2" a="1"/>
  <c r="M71" i="2" a="1"/>
  <c r="N64" i="2" a="1"/>
  <c r="G62" i="2" a="1"/>
  <c r="U63" i="2" a="1"/>
  <c r="U61" i="2" a="1"/>
  <c r="O73" i="2" a="1"/>
  <c r="M64" i="2" a="1"/>
  <c r="H61" i="2" a="1"/>
  <c r="P54" i="2" a="1"/>
  <c r="T72" i="2" a="1"/>
  <c r="O74" i="2" a="1"/>
  <c r="X57" i="2" a="1"/>
  <c r="E70" i="2" a="1"/>
  <c r="G67" i="2" a="1"/>
  <c r="S58" i="2" a="1"/>
  <c r="U75" i="2" a="1"/>
  <c r="C59" i="2" a="1"/>
  <c r="G60" i="2" a="1"/>
  <c r="M62" i="2" a="1"/>
  <c r="R58" i="2" a="1"/>
  <c r="E73" i="2" a="1"/>
  <c r="L71" i="2" a="1"/>
  <c r="P55" i="2" a="1"/>
  <c r="F63" i="2" a="1"/>
  <c r="N60" i="2" a="1"/>
  <c r="Q59" i="2" a="1"/>
  <c r="I63" i="2" a="1"/>
  <c r="C57" i="2" a="1"/>
  <c r="E66" i="2" a="1"/>
  <c r="X58" i="2" a="1"/>
  <c r="K61" i="2" a="1"/>
  <c r="G55" i="2" a="1"/>
  <c r="M74" i="2" a="1"/>
  <c r="U69" i="2" a="1"/>
  <c r="W75" i="2" a="1"/>
  <c r="D69" i="2" a="1"/>
  <c r="S59" i="2" a="1"/>
  <c r="T62" i="2" a="1"/>
  <c r="O70" i="2" a="1"/>
  <c r="V73" i="2" a="1"/>
  <c r="X59" i="2" a="1"/>
  <c r="P65" i="2" a="1"/>
  <c r="P60" i="2" a="1"/>
  <c r="S74" i="2" a="1"/>
  <c r="N70" i="2" a="1"/>
  <c r="E57" i="2" a="1"/>
  <c r="F60" i="2" a="1"/>
  <c r="K66" i="2" a="1"/>
  <c r="X61" i="2" a="1"/>
  <c r="R64" i="2" a="1"/>
  <c r="T58" i="2" a="1"/>
  <c r="I62" i="2" a="1"/>
  <c r="R75" i="2" a="1"/>
  <c r="G74" i="2" a="1"/>
  <c r="V61" i="2" a="1"/>
  <c r="W74" i="2" a="1"/>
  <c r="R61" i="2" a="1"/>
  <c r="V56" i="2" a="1"/>
  <c r="N58" i="2" a="1"/>
  <c r="C73" i="2" a="1"/>
  <c r="X65" i="2" a="1"/>
  <c r="O66" i="2" a="1"/>
  <c r="N74" i="2" a="1"/>
  <c r="V65" i="2" a="1"/>
  <c r="W59" i="2" a="1"/>
  <c r="W69" i="2" a="1"/>
  <c r="P67" i="2" a="1"/>
  <c r="H73" i="2" a="1"/>
  <c r="U56" i="2" a="1"/>
  <c r="H75" i="2" a="1"/>
  <c r="U68" i="2" a="1"/>
  <c r="R74" i="2" a="1"/>
  <c r="V54" i="2" a="1"/>
  <c r="M65" i="2" a="1"/>
  <c r="U74" i="2" a="1"/>
  <c r="M56" i="2" a="1"/>
  <c r="L61" i="2" a="1"/>
  <c r="G66" i="2" a="1"/>
  <c r="G68" i="2" a="1"/>
  <c r="D68" i="2" a="1"/>
  <c r="F68" i="2" a="1"/>
  <c r="H57" i="2" a="1"/>
  <c r="F67" i="2" a="1"/>
  <c r="V74" i="2" a="1"/>
  <c r="O67" i="2" a="1"/>
  <c r="Q54" i="2" a="1"/>
  <c r="S67" i="2" a="1"/>
  <c r="K70" i="2" a="1"/>
  <c r="X67" i="2" a="1"/>
  <c r="R70" i="2" a="1"/>
  <c r="J58" i="2" a="1"/>
  <c r="W65" i="2" a="1"/>
  <c r="U55" i="2" a="1"/>
  <c r="J65" i="2" a="1"/>
  <c r="V55" i="2" a="1"/>
  <c r="P70" i="2" a="1"/>
  <c r="I68" i="2" a="1"/>
  <c r="R69" i="2" a="1"/>
  <c r="I74" i="2" a="1"/>
  <c r="K60" i="2" a="1"/>
  <c r="X64" i="2" a="1"/>
  <c r="I73" i="2" a="1"/>
  <c r="T59" i="2" a="1"/>
  <c r="I67" i="2" a="1"/>
  <c r="C69" i="2" a="1"/>
  <c r="V60" i="2" a="1"/>
  <c r="N56" i="2" a="1"/>
  <c r="J62" i="2" a="1"/>
  <c r="V72" i="2" a="1"/>
  <c r="P68" i="2" a="1"/>
  <c r="I54" i="2" a="1"/>
  <c r="F64" i="2" a="1"/>
  <c r="U71" i="2" a="1"/>
  <c r="L62" i="2" a="1"/>
  <c r="T61" i="2" a="1"/>
  <c r="W62" i="2" a="1"/>
  <c r="M57" i="2" a="1"/>
  <c r="N59" i="2" a="1"/>
  <c r="C141" i="1" a="1"/>
  <c r="D66" i="2" a="1"/>
  <c r="F58" i="2" a="1"/>
  <c r="T54" i="2" a="1"/>
  <c r="C60" i="2" a="1"/>
  <c r="F72" i="2" a="1"/>
  <c r="J54" i="2" a="1"/>
  <c r="S55" i="2" a="1"/>
  <c r="O69" i="2" a="1"/>
  <c r="K54" i="2" a="1"/>
  <c r="O56" i="2" a="1"/>
  <c r="S70" i="2" a="1"/>
  <c r="Q62" i="2" a="1"/>
  <c r="X71" i="2" a="1"/>
  <c r="F62" i="2" a="1"/>
  <c r="V62" i="2" a="1"/>
  <c r="M66" i="2" a="1"/>
  <c r="C71" i="2" a="1"/>
  <c r="V57" i="2" a="1"/>
  <c r="D75" i="2" a="1"/>
  <c r="L66" i="2" a="1"/>
  <c r="H62" i="2" a="1"/>
  <c r="O64" i="2" a="1"/>
  <c r="Q60" i="2" a="1"/>
  <c r="U67" i="2" a="1"/>
  <c r="Q69" i="2" a="1"/>
  <c r="W72" i="2" a="1"/>
  <c r="W66" i="2" a="1"/>
  <c r="W58" i="2" a="1"/>
  <c r="S62" i="2" a="1"/>
  <c r="L59" i="2" a="1"/>
  <c r="S64" i="2" a="1"/>
  <c r="I70" i="2" a="1"/>
  <c r="S61" i="2" a="1"/>
  <c r="X63" i="2" a="1"/>
  <c r="N66" i="2" a="1"/>
  <c r="R54" i="2" a="1"/>
  <c r="R57" i="2" a="1"/>
  <c r="D67" i="2" a="1"/>
  <c r="J57" i="2" a="1"/>
  <c r="U65" i="2" a="1"/>
  <c r="T75" i="2" a="1"/>
  <c r="D74" i="2" a="1"/>
  <c r="D54" i="2" a="1"/>
  <c r="I75" i="2" a="1"/>
  <c r="P58" i="2" a="1"/>
  <c r="F56" i="2" a="1"/>
  <c r="G57" i="2" a="1"/>
  <c r="L74" i="2" a="1"/>
  <c r="P56" i="2" a="1"/>
  <c r="T60" i="2" a="1"/>
  <c r="E54" i="2" a="1"/>
  <c r="T68" i="2" a="1"/>
  <c r="Q57" i="2" a="1"/>
  <c r="L57" i="2" a="1"/>
  <c r="D55" i="2" a="1"/>
  <c r="R56" i="2" a="1"/>
  <c r="X74" i="2" a="1"/>
  <c r="H72" i="2" a="1"/>
  <c r="Q68" i="2" a="1"/>
  <c r="O58" i="2" a="1"/>
  <c r="X68" i="2" a="1"/>
  <c r="M70" i="2" a="1"/>
  <c r="N62" i="2" a="1"/>
  <c r="T63" i="2" a="1"/>
  <c r="O62" i="2" a="1"/>
  <c r="W56" i="2" a="1"/>
  <c r="K59" i="2" a="1"/>
  <c r="R59" i="2" a="1"/>
  <c r="H54" i="2" a="1"/>
  <c r="G75" i="2" a="1"/>
  <c r="E64" i="2" a="1"/>
  <c r="Q56" i="2" a="1"/>
  <c r="X75" i="2" a="1"/>
  <c r="D56" i="2" a="1"/>
  <c r="O75" i="2" a="1"/>
  <c r="C67" i="2" a="1"/>
  <c r="X60" i="2" a="1"/>
  <c r="S69" i="2" a="1"/>
  <c r="D73" i="2" a="1"/>
  <c r="I72" i="2" a="1"/>
  <c r="L63" i="2" a="1"/>
  <c r="I59" i="2" a="1"/>
  <c r="K57" i="2" a="1"/>
  <c r="I66" i="2" a="1"/>
  <c r="N54" i="2" a="1"/>
  <c r="L72" i="2" a="1"/>
  <c r="U58" i="2" a="1"/>
  <c r="O68" i="2" a="1"/>
  <c r="R62" i="2" a="1"/>
  <c r="L54" i="2" a="1"/>
  <c r="O71" i="2" a="1"/>
  <c r="O63" i="2" a="1"/>
  <c r="E55" i="2" a="1"/>
  <c r="K72" i="2" a="1"/>
  <c r="V64" i="2" a="1"/>
  <c r="I61" i="2" a="1"/>
  <c r="K73" i="2" a="1"/>
  <c r="N65" i="2" a="1"/>
  <c r="C72" i="2" a="1"/>
  <c r="G65" i="2" a="1"/>
  <c r="X73" i="2" a="1"/>
  <c r="X55" i="2" a="1"/>
  <c r="L65" i="2" a="1"/>
  <c r="J63" i="2" a="1"/>
  <c r="K62" i="2" a="1"/>
  <c r="H65" i="2" a="1"/>
  <c r="D61" i="2" a="1"/>
  <c r="R71" i="2" a="1"/>
  <c r="E60" i="2" a="1"/>
  <c r="J59" i="2" a="1"/>
  <c r="J64" i="2" a="1"/>
  <c r="D62" i="2" a="1"/>
  <c r="S72" i="2" a="1"/>
  <c r="X66" i="2" a="1"/>
  <c r="C64" i="2" a="1"/>
  <c r="C75" i="2" a="1"/>
  <c r="F55" i="2" a="1"/>
  <c r="T57" i="2" a="1"/>
  <c r="H71" i="2" a="1"/>
  <c r="K71" i="2" a="1"/>
  <c r="E75" i="2" a="1"/>
  <c r="H64" i="2" a="1"/>
  <c r="V63" i="2" a="1"/>
  <c r="F66" i="2" a="1"/>
  <c r="R67" i="2" a="1"/>
  <c r="K69" i="2" a="1"/>
  <c r="J67" i="2" a="1"/>
  <c r="K64" i="2" a="1"/>
  <c r="G71" i="2" a="1"/>
  <c r="H68" i="2" a="1"/>
  <c r="S60" i="2" a="1"/>
  <c r="F74" i="2" a="1"/>
  <c r="E65" i="2" a="1"/>
  <c r="D71" i="2" a="1"/>
  <c r="M75" i="2" a="1"/>
  <c r="T53" i="14" l="1"/>
  <c r="AG48" i="14"/>
  <c r="AG49" i="14"/>
  <c r="AG50" i="14"/>
  <c r="AG51" i="14"/>
  <c r="AG52" i="14"/>
  <c r="AG53" i="14"/>
  <c r="AG54" i="14"/>
  <c r="AG55" i="14"/>
  <c r="AG57" i="14"/>
  <c r="AF51" i="14"/>
  <c r="AF56" i="14"/>
  <c r="I48" i="14"/>
  <c r="I49" i="14"/>
  <c r="I50" i="14"/>
  <c r="I51" i="14"/>
  <c r="I52" i="14"/>
  <c r="I53" i="14"/>
  <c r="I54" i="14"/>
  <c r="I55" i="14"/>
  <c r="I56" i="14"/>
  <c r="I57" i="14"/>
  <c r="T48" i="14"/>
  <c r="T49" i="14"/>
  <c r="T52" i="14"/>
  <c r="AR48" i="14"/>
  <c r="BD48" i="14"/>
  <c r="BD50" i="14"/>
  <c r="BD53" i="14"/>
  <c r="BD56" i="14"/>
  <c r="U52" i="14"/>
  <c r="AS48" i="14"/>
  <c r="AS50" i="14"/>
  <c r="AS52" i="14"/>
  <c r="AS53" i="14"/>
  <c r="AS55" i="14"/>
  <c r="AS56" i="14"/>
  <c r="AS57" i="14"/>
  <c r="BE52" i="14"/>
  <c r="BE56" i="14"/>
  <c r="BE53" i="14"/>
  <c r="AR49" i="14"/>
  <c r="AR53" i="14"/>
  <c r="U48" i="14"/>
  <c r="U49" i="14"/>
  <c r="U50" i="14"/>
  <c r="U51" i="14"/>
  <c r="U53" i="14"/>
  <c r="U54" i="14"/>
  <c r="U55" i="14"/>
  <c r="U56" i="14"/>
  <c r="U57" i="14"/>
  <c r="AG56" i="14"/>
  <c r="BD54" i="14"/>
  <c r="BD55" i="14"/>
  <c r="H49" i="14"/>
  <c r="H55" i="14"/>
  <c r="H57" i="14"/>
  <c r="BE48" i="14"/>
  <c r="BE49" i="14"/>
  <c r="BE50" i="14"/>
  <c r="BE51" i="14"/>
  <c r="BE55" i="14"/>
  <c r="BE57" i="14"/>
  <c r="AR50" i="14"/>
  <c r="AR51" i="14"/>
  <c r="AR52" i="14"/>
  <c r="AR54" i="14"/>
  <c r="AR55" i="14"/>
  <c r="AR56" i="14"/>
  <c r="AR57" i="14"/>
  <c r="T51" i="14"/>
  <c r="T54" i="14"/>
  <c r="T55" i="14"/>
  <c r="T56" i="14"/>
  <c r="T57" i="14"/>
  <c r="AF48" i="14"/>
  <c r="AF50" i="14"/>
  <c r="AF52" i="14"/>
  <c r="AF53" i="14"/>
  <c r="AF57" i="14"/>
  <c r="T38" i="14"/>
  <c r="AF49" i="14"/>
  <c r="AF54" i="14"/>
  <c r="AF55" i="14"/>
  <c r="BE54" i="14"/>
  <c r="D47" i="15"/>
  <c r="D48" i="15" s="1"/>
  <c r="D49" i="15" s="1"/>
  <c r="BD49" i="14"/>
  <c r="BD51" i="14"/>
  <c r="BD52" i="14"/>
  <c r="BD57" i="14"/>
  <c r="BD4" i="14"/>
  <c r="BD5" i="14"/>
  <c r="BD7" i="14"/>
  <c r="BD9" i="14"/>
  <c r="BD11" i="14"/>
  <c r="BD16" i="14"/>
  <c r="BD19" i="14"/>
  <c r="BD22" i="14"/>
  <c r="BD24" i="14"/>
  <c r="BD26" i="14"/>
  <c r="BD28" i="14"/>
  <c r="BD29" i="14"/>
  <c r="BD35" i="14"/>
  <c r="BD37" i="14"/>
  <c r="T50" i="14"/>
  <c r="AS49" i="14"/>
  <c r="AS51" i="14"/>
  <c r="AS54" i="14"/>
  <c r="H48" i="14"/>
  <c r="H50" i="14"/>
  <c r="H51" i="14"/>
  <c r="H52" i="14"/>
  <c r="H53" i="14"/>
  <c r="H54" i="14"/>
  <c r="H56" i="14"/>
  <c r="E47" i="15"/>
  <c r="E48" i="15" s="1"/>
  <c r="E49" i="15" s="1"/>
  <c r="AE43" i="7" a="1"/>
  <c r="AE43" i="7" s="1"/>
  <c r="U35" i="7" a="1"/>
  <c r="U35" i="7" s="1"/>
  <c r="AE42" i="7" a="1"/>
  <c r="AE42" i="7" s="1"/>
  <c r="U34" i="7" a="1"/>
  <c r="U34" i="7" s="1"/>
  <c r="K37" i="14"/>
  <c r="AE41" i="7" a="1"/>
  <c r="AE41" i="7" s="1"/>
  <c r="U33" i="7" a="1"/>
  <c r="U33" i="7" s="1"/>
  <c r="AE48" i="7" a="1"/>
  <c r="AE48" i="7" s="1"/>
  <c r="AE40" i="7" a="1"/>
  <c r="AE40" i="7" s="1"/>
  <c r="U32" i="7" a="1"/>
  <c r="U32" i="7" s="1"/>
  <c r="AE49" i="7" a="1"/>
  <c r="AE49" i="7" s="1"/>
  <c r="AE47" i="7" a="1"/>
  <c r="AE47" i="7" s="1"/>
  <c r="AE39" i="7" a="1"/>
  <c r="AE39" i="7" s="1"/>
  <c r="U31" i="7" a="1"/>
  <c r="U31" i="7" s="1"/>
  <c r="AE45" i="7" a="1"/>
  <c r="AE45" i="7" s="1"/>
  <c r="C47" i="15"/>
  <c r="C48" i="15" s="1"/>
  <c r="C49" i="15" s="1"/>
  <c r="A47" i="15"/>
  <c r="A48" i="15" s="1"/>
  <c r="A49" i="15" s="1"/>
  <c r="B47" i="15"/>
  <c r="B48" i="15" s="1"/>
  <c r="B49" i="15" s="1"/>
  <c r="AS7" i="14"/>
  <c r="AS21" i="14"/>
  <c r="AS23" i="14"/>
  <c r="AS27" i="14"/>
  <c r="AS34" i="14"/>
  <c r="AS35" i="14"/>
  <c r="AS38" i="14"/>
  <c r="AS45" i="14"/>
  <c r="H44" i="14"/>
  <c r="BD39" i="14"/>
  <c r="BD40" i="14"/>
  <c r="BD42" i="14"/>
  <c r="BD43" i="14"/>
  <c r="BD45" i="14"/>
  <c r="BD46" i="14"/>
  <c r="H17" i="14"/>
  <c r="U20" i="14"/>
  <c r="U24" i="14"/>
  <c r="U33" i="14"/>
  <c r="BD8" i="14"/>
  <c r="BD15" i="14"/>
  <c r="BD21" i="14"/>
  <c r="AG8" i="14"/>
  <c r="AG21" i="14"/>
  <c r="AF7" i="14"/>
  <c r="AF17" i="14"/>
  <c r="AF33" i="14"/>
  <c r="AF34" i="14"/>
  <c r="AR26" i="14"/>
  <c r="AR38" i="14"/>
  <c r="BE26" i="14"/>
  <c r="BE40" i="14"/>
  <c r="I34" i="14"/>
  <c r="AF10" i="14"/>
  <c r="AF16" i="14"/>
  <c r="AF26" i="14"/>
  <c r="AF31" i="14"/>
  <c r="AF38" i="14"/>
  <c r="AF39" i="14"/>
  <c r="AF41" i="14"/>
  <c r="AF42" i="14"/>
  <c r="U39" i="14"/>
  <c r="AS44" i="14"/>
  <c r="T29" i="14"/>
  <c r="T33" i="14"/>
  <c r="I38" i="14"/>
  <c r="I42" i="14"/>
  <c r="I46" i="14"/>
  <c r="T19" i="14"/>
  <c r="U26" i="14"/>
  <c r="U42" i="14"/>
  <c r="U46" i="14"/>
  <c r="U23" i="14"/>
  <c r="U40" i="14"/>
  <c r="I23" i="14"/>
  <c r="I18" i="14"/>
  <c r="AS4" i="14"/>
  <c r="AS5" i="14"/>
  <c r="AS6" i="14"/>
  <c r="AS8" i="14"/>
  <c r="AS9" i="14"/>
  <c r="AS10" i="14"/>
  <c r="AS11" i="14"/>
  <c r="AS12" i="14"/>
  <c r="AS13" i="14"/>
  <c r="AS15" i="14"/>
  <c r="AS16" i="14"/>
  <c r="AS17" i="14"/>
  <c r="AS18" i="14"/>
  <c r="AS19" i="14"/>
  <c r="AS20" i="14"/>
  <c r="AS22" i="14"/>
  <c r="AS24" i="14"/>
  <c r="AS26" i="14"/>
  <c r="AS28" i="14"/>
  <c r="AS29" i="14"/>
  <c r="AS30" i="14"/>
  <c r="AS31" i="14"/>
  <c r="AS32" i="14"/>
  <c r="AS33" i="14"/>
  <c r="AS37" i="14"/>
  <c r="AS39" i="14"/>
  <c r="AS40" i="14"/>
  <c r="AS41" i="14"/>
  <c r="AS42" i="14"/>
  <c r="AS43" i="14"/>
  <c r="AS46" i="14"/>
  <c r="I29" i="14"/>
  <c r="T20" i="14"/>
  <c r="T23" i="14"/>
  <c r="T41" i="14"/>
  <c r="T45" i="14"/>
  <c r="U11" i="14"/>
  <c r="U10" i="14"/>
  <c r="I39" i="14"/>
  <c r="BE4" i="14"/>
  <c r="BE6" i="14"/>
  <c r="BE7" i="14"/>
  <c r="BE10" i="14"/>
  <c r="BE11" i="14"/>
  <c r="BE12" i="14"/>
  <c r="BE17" i="14"/>
  <c r="BE18" i="14"/>
  <c r="BE20" i="14"/>
  <c r="BE21" i="14"/>
  <c r="BE22" i="14"/>
  <c r="BE27" i="14"/>
  <c r="BE28" i="14"/>
  <c r="BE32" i="14"/>
  <c r="BE35" i="14"/>
  <c r="BE38" i="14"/>
  <c r="BE41" i="14"/>
  <c r="BE42" i="14"/>
  <c r="BE44" i="14"/>
  <c r="BE45" i="14"/>
  <c r="BE46" i="14"/>
  <c r="U7" i="14"/>
  <c r="U35" i="14"/>
  <c r="I37" i="14"/>
  <c r="U27" i="14"/>
  <c r="H12" i="14"/>
  <c r="T9" i="14"/>
  <c r="T28" i="14"/>
  <c r="H33" i="14"/>
  <c r="T11" i="14"/>
  <c r="I43" i="14"/>
  <c r="I44" i="14"/>
  <c r="I45" i="14"/>
  <c r="AR45" i="14"/>
  <c r="U13" i="14"/>
  <c r="U22" i="14"/>
  <c r="T27" i="14"/>
  <c r="T30" i="14"/>
  <c r="T34" i="14"/>
  <c r="U43" i="14"/>
  <c r="AF4" i="14"/>
  <c r="AF12" i="14"/>
  <c r="AF19" i="14"/>
  <c r="AF22" i="14"/>
  <c r="AF24" i="14"/>
  <c r="AF28" i="14"/>
  <c r="AF29" i="14"/>
  <c r="AF30" i="14"/>
  <c r="AF40" i="14"/>
  <c r="AF43" i="14"/>
  <c r="AF46" i="14"/>
  <c r="B25" i="15"/>
  <c r="B26" i="15" s="1"/>
  <c r="B27" i="15" s="1"/>
  <c r="T17" i="14"/>
  <c r="T18" i="14"/>
  <c r="T22" i="14"/>
  <c r="T26" i="14"/>
  <c r="T42" i="14"/>
  <c r="T46" i="14"/>
  <c r="H11" i="14"/>
  <c r="B36" i="15"/>
  <c r="B37" i="15" s="1"/>
  <c r="B38" i="15" s="1"/>
  <c r="U15" i="14"/>
  <c r="AG4" i="14"/>
  <c r="AG5" i="14"/>
  <c r="AG6" i="14"/>
  <c r="AG7" i="14"/>
  <c r="AG9" i="14"/>
  <c r="AG10" i="14"/>
  <c r="AG11" i="14"/>
  <c r="AG12" i="14"/>
  <c r="AG13" i="14"/>
  <c r="AG15" i="14"/>
  <c r="AG16" i="14"/>
  <c r="AG17" i="14"/>
  <c r="AG18" i="14"/>
  <c r="AG19" i="14"/>
  <c r="AG20" i="14"/>
  <c r="AG22" i="14"/>
  <c r="AG23" i="14"/>
  <c r="AG24" i="14"/>
  <c r="AG26" i="14"/>
  <c r="AG27" i="14"/>
  <c r="AG28" i="14"/>
  <c r="AG29" i="14"/>
  <c r="AG30" i="14"/>
  <c r="AG31" i="14"/>
  <c r="AG32" i="14"/>
  <c r="AG33" i="14"/>
  <c r="AG34" i="14"/>
  <c r="AG35" i="14"/>
  <c r="AG37" i="14"/>
  <c r="AG38" i="14"/>
  <c r="AG39" i="14"/>
  <c r="AG40" i="14"/>
  <c r="AG41" i="14"/>
  <c r="AG42" i="14"/>
  <c r="AG43" i="14"/>
  <c r="AG44" i="14"/>
  <c r="AG45" i="14"/>
  <c r="AG46" i="14"/>
  <c r="E14" i="15"/>
  <c r="E15" i="15" s="1"/>
  <c r="E16" i="15" s="1"/>
  <c r="E36" i="15"/>
  <c r="E37" i="15" s="1"/>
  <c r="E38" i="15" s="1"/>
  <c r="H16" i="14"/>
  <c r="I32" i="14"/>
  <c r="I31" i="14"/>
  <c r="I30" i="14"/>
  <c r="B14" i="15"/>
  <c r="B15" i="15" s="1"/>
  <c r="B16" i="15" s="1"/>
  <c r="U16" i="14"/>
  <c r="T10" i="14"/>
  <c r="T15" i="14"/>
  <c r="T31" i="14"/>
  <c r="T35" i="14"/>
  <c r="U37" i="14"/>
  <c r="H39" i="14"/>
  <c r="H40" i="14"/>
  <c r="H41" i="14"/>
  <c r="H42" i="14"/>
  <c r="C36" i="15"/>
  <c r="C37" i="15" s="1"/>
  <c r="C38" i="15" s="1"/>
  <c r="AR4" i="14"/>
  <c r="AR5" i="14"/>
  <c r="AR6" i="14"/>
  <c r="AR7" i="14"/>
  <c r="AR8" i="14"/>
  <c r="AR9" i="14"/>
  <c r="AR10" i="14"/>
  <c r="AR11" i="14"/>
  <c r="AR12" i="14"/>
  <c r="AR13" i="14"/>
  <c r="AR15" i="14"/>
  <c r="AR16" i="14"/>
  <c r="AR17" i="14"/>
  <c r="AR18" i="14"/>
  <c r="AR19" i="14"/>
  <c r="AR20" i="14"/>
  <c r="AR21" i="14"/>
  <c r="AR22" i="14"/>
  <c r="AR23" i="14"/>
  <c r="AR24" i="14"/>
  <c r="AR27" i="14"/>
  <c r="AR28" i="14"/>
  <c r="AR29" i="14"/>
  <c r="AR30" i="14"/>
  <c r="AR31" i="14"/>
  <c r="AR32" i="14"/>
  <c r="AR33" i="14"/>
  <c r="AR34" i="14"/>
  <c r="AR35" i="14"/>
  <c r="AR37" i="14"/>
  <c r="AR39" i="14"/>
  <c r="AR40" i="14"/>
  <c r="AR41" i="14"/>
  <c r="AR42" i="14"/>
  <c r="AR43" i="14"/>
  <c r="AR44" i="14"/>
  <c r="AR46" i="14"/>
  <c r="U19" i="14"/>
  <c r="I22" i="14"/>
  <c r="I21" i="14"/>
  <c r="H27" i="14"/>
  <c r="AF5" i="14"/>
  <c r="AF6" i="14"/>
  <c r="AF8" i="14"/>
  <c r="AF9" i="14"/>
  <c r="AF11" i="14"/>
  <c r="AF13" i="14"/>
  <c r="AF15" i="14"/>
  <c r="AF18" i="14"/>
  <c r="AF20" i="14"/>
  <c r="AF21" i="14"/>
  <c r="AF23" i="14"/>
  <c r="AF27" i="14"/>
  <c r="AF32" i="14"/>
  <c r="AF35" i="14"/>
  <c r="AF37" i="14"/>
  <c r="AF44" i="14"/>
  <c r="AF45" i="14"/>
  <c r="BD6" i="14"/>
  <c r="BD10" i="14"/>
  <c r="BD12" i="14"/>
  <c r="BD13" i="14"/>
  <c r="BD17" i="14"/>
  <c r="BD18" i="14"/>
  <c r="BD20" i="14"/>
  <c r="BD23" i="14"/>
  <c r="BD27" i="14"/>
  <c r="BD30" i="14"/>
  <c r="BD31" i="14"/>
  <c r="BD32" i="14"/>
  <c r="BD33" i="14"/>
  <c r="BD34" i="14"/>
  <c r="BD38" i="14"/>
  <c r="BD41" i="14"/>
  <c r="BD44" i="14"/>
  <c r="E3" i="15"/>
  <c r="E4" i="15" s="1"/>
  <c r="E5" i="15" s="1"/>
  <c r="I11" i="14"/>
  <c r="H32" i="14"/>
  <c r="I28" i="14"/>
  <c r="E25" i="15"/>
  <c r="E26" i="15" s="1"/>
  <c r="E27" i="15" s="1"/>
  <c r="H23" i="14"/>
  <c r="U5" i="14"/>
  <c r="T12" i="14"/>
  <c r="T16" i="14"/>
  <c r="T32" i="14"/>
  <c r="D3" i="15"/>
  <c r="D4" i="15" s="1"/>
  <c r="D5" i="15" s="1"/>
  <c r="D25" i="15"/>
  <c r="D26" i="15" s="1"/>
  <c r="D27" i="15" s="1"/>
  <c r="D36" i="15"/>
  <c r="D37" i="15" s="1"/>
  <c r="D38" i="15" s="1"/>
  <c r="D14" i="15"/>
  <c r="D15" i="15" s="1"/>
  <c r="D16" i="15" s="1"/>
  <c r="B3" i="15"/>
  <c r="B4" i="15" s="1"/>
  <c r="B5" i="15" s="1"/>
  <c r="C3" i="15"/>
  <c r="C4" i="15" s="1"/>
  <c r="C5" i="15" s="1"/>
  <c r="C14" i="15"/>
  <c r="C15" i="15" s="1"/>
  <c r="C16" i="15" s="1"/>
  <c r="C25" i="15"/>
  <c r="C26" i="15" s="1"/>
  <c r="C27" i="15" s="1"/>
  <c r="I10" i="14"/>
  <c r="U30" i="14"/>
  <c r="U34" i="14"/>
  <c r="H9" i="14"/>
  <c r="H22" i="14"/>
  <c r="H21" i="14"/>
  <c r="H19" i="14"/>
  <c r="I26" i="14"/>
  <c r="H31" i="14"/>
  <c r="H30" i="14"/>
  <c r="U17" i="14"/>
  <c r="U21" i="14"/>
  <c r="I12" i="14"/>
  <c r="H10" i="14"/>
  <c r="H18" i="14"/>
  <c r="I27" i="14"/>
  <c r="T24" i="14"/>
  <c r="U29" i="14"/>
  <c r="I6" i="14"/>
  <c r="I24" i="14"/>
  <c r="T5" i="14"/>
  <c r="U8" i="14"/>
  <c r="BE5" i="14"/>
  <c r="BE8" i="14"/>
  <c r="BE9" i="14"/>
  <c r="BE13" i="14"/>
  <c r="BE15" i="14"/>
  <c r="BE16" i="14"/>
  <c r="BE19" i="14"/>
  <c r="BE23" i="14"/>
  <c r="BE24" i="14"/>
  <c r="BE29" i="14"/>
  <c r="BE30" i="14"/>
  <c r="BE31" i="14"/>
  <c r="BE33" i="14"/>
  <c r="BE34" i="14"/>
  <c r="BE37" i="14"/>
  <c r="BE39" i="14"/>
  <c r="BE43" i="14"/>
  <c r="I4" i="14"/>
  <c r="H13" i="14"/>
  <c r="I7" i="14"/>
  <c r="H5" i="14"/>
  <c r="T13" i="14"/>
  <c r="U6" i="14"/>
  <c r="T7" i="14"/>
  <c r="T8" i="14"/>
  <c r="T37" i="14"/>
  <c r="H43" i="14"/>
  <c r="H45" i="14"/>
  <c r="H46" i="14"/>
  <c r="H4" i="14"/>
  <c r="H24" i="14"/>
  <c r="H35" i="14"/>
  <c r="U9" i="14"/>
  <c r="U31" i="14"/>
  <c r="T39" i="14"/>
  <c r="T40" i="14"/>
  <c r="U41" i="14"/>
  <c r="T44" i="14"/>
  <c r="U45" i="14"/>
  <c r="H37" i="14"/>
  <c r="H38" i="14"/>
  <c r="I40" i="14"/>
  <c r="I41" i="14"/>
  <c r="A36" i="15"/>
  <c r="A37" i="15" s="1"/>
  <c r="A38" i="15" s="1"/>
  <c r="A14" i="15"/>
  <c r="A15" i="15" s="1"/>
  <c r="A16" i="15" s="1"/>
  <c r="A25" i="15"/>
  <c r="A26" i="15" s="1"/>
  <c r="A27" i="15" s="1"/>
  <c r="A3" i="15"/>
  <c r="A4" i="15" s="1"/>
  <c r="H20" i="14"/>
  <c r="I16" i="14"/>
  <c r="I33" i="14"/>
  <c r="U18" i="14"/>
  <c r="T21" i="14"/>
  <c r="T43" i="14"/>
  <c r="U44" i="14"/>
  <c r="I17" i="14"/>
  <c r="H29" i="14"/>
  <c r="H34" i="14"/>
  <c r="H12" i="7"/>
  <c r="H10" i="7"/>
  <c r="H8" i="7"/>
  <c r="H22" i="7"/>
  <c r="H35" i="7"/>
  <c r="I8" i="14"/>
  <c r="I5" i="14"/>
  <c r="I35" i="14"/>
  <c r="U28" i="14"/>
  <c r="U32" i="14"/>
  <c r="I13" i="14"/>
  <c r="I9" i="14"/>
  <c r="I20" i="14"/>
  <c r="I19" i="14"/>
  <c r="H28" i="14"/>
  <c r="U12" i="14"/>
  <c r="U38" i="14"/>
  <c r="H8" i="14"/>
  <c r="H7" i="14"/>
  <c r="H6" i="14"/>
  <c r="T6" i="14"/>
  <c r="T4" i="14"/>
  <c r="U4" i="14"/>
  <c r="H26" i="14"/>
  <c r="I15" i="14"/>
  <c r="H15" i="14"/>
  <c r="I20" i="7"/>
  <c r="I19" i="7"/>
  <c r="H33" i="7"/>
  <c r="I10" i="7"/>
  <c r="I9" i="7"/>
  <c r="I8" i="7"/>
  <c r="I24" i="7"/>
  <c r="H29" i="7"/>
  <c r="I35" i="7"/>
  <c r="I33" i="7"/>
  <c r="I32" i="7"/>
  <c r="I31" i="7"/>
  <c r="I30" i="7"/>
  <c r="H20" i="7"/>
  <c r="H23" i="7"/>
  <c r="I29" i="7"/>
  <c r="H34" i="7"/>
  <c r="H31" i="7"/>
  <c r="H30" i="7"/>
  <c r="H21" i="7"/>
  <c r="I23" i="7"/>
  <c r="H19" i="7"/>
  <c r="H24" i="7"/>
  <c r="I22" i="7"/>
  <c r="I34" i="7"/>
  <c r="I21" i="7"/>
  <c r="H32" i="7"/>
  <c r="H13" i="7"/>
  <c r="H11" i="7"/>
  <c r="H9" i="7"/>
  <c r="I13" i="7"/>
  <c r="I12" i="7"/>
  <c r="I11" i="7"/>
  <c r="I15" i="7"/>
  <c r="I16" i="7"/>
  <c r="I18" i="7"/>
  <c r="I17" i="7"/>
  <c r="H28" i="7"/>
  <c r="I28" i="7"/>
  <c r="H27" i="7"/>
  <c r="I27" i="7"/>
  <c r="I26" i="7"/>
  <c r="I4" i="7"/>
  <c r="I7" i="7"/>
  <c r="I6" i="7"/>
  <c r="I5" i="7"/>
  <c r="S7" i="7"/>
  <c r="AM6" i="7"/>
  <c r="AM17" i="7"/>
  <c r="AM5" i="7"/>
  <c r="AM27" i="7"/>
  <c r="AM29" i="7"/>
  <c r="AC17" i="7"/>
  <c r="C25" i="2" a="1"/>
  <c r="C25" i="2" s="1"/>
  <c r="AM7" i="7"/>
  <c r="AC16" i="7"/>
  <c r="AC7" i="7"/>
  <c r="S29" i="7"/>
  <c r="AC28" i="7"/>
  <c r="AC6" i="7"/>
  <c r="S27" i="7"/>
  <c r="S5" i="7"/>
  <c r="AC15" i="7"/>
  <c r="S28" i="7"/>
  <c r="S6" i="7"/>
  <c r="AC27" i="7"/>
  <c r="AC5" i="7"/>
  <c r="S17" i="7"/>
  <c r="AM4" i="7"/>
  <c r="AM15" i="7"/>
  <c r="AC18" i="7"/>
  <c r="AC29" i="7"/>
  <c r="AM28" i="7"/>
  <c r="AM26" i="7"/>
  <c r="S15" i="7"/>
  <c r="AM16" i="7"/>
  <c r="AM18" i="7"/>
  <c r="AC26" i="7"/>
  <c r="AC4" i="7"/>
  <c r="S26" i="7"/>
  <c r="S4"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B51" i="2" s="1"/>
  <c r="C71" i="2"/>
  <c r="C63" i="2"/>
  <c r="C55" i="2"/>
  <c r="C54" i="2"/>
  <c r="H26" i="7"/>
  <c r="H18" i="7"/>
  <c r="H15" i="7"/>
  <c r="H17" i="7"/>
  <c r="H16" i="7"/>
  <c r="H6" i="7"/>
  <c r="H7" i="7"/>
  <c r="H5" i="7"/>
  <c r="C141" i="1"/>
  <c r="H4" i="7"/>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I15" i="2" a="1"/>
  <c r="U17" i="2" a="1"/>
  <c r="J20" i="2" a="1"/>
  <c r="O13" i="2" a="1"/>
  <c r="W12" i="2" a="1"/>
  <c r="W20" i="2" a="1"/>
  <c r="E15" i="2" a="1"/>
  <c r="W8" i="2" a="1"/>
  <c r="I14" i="2" a="1"/>
  <c r="O3" i="2" a="1"/>
  <c r="G21" i="2" a="1"/>
  <c r="E12" i="2" a="1"/>
  <c r="O24" i="2" a="1"/>
  <c r="X6" i="2" a="1"/>
  <c r="F97" i="1" a="1"/>
  <c r="D9" i="2" a="1"/>
  <c r="F5" i="2" a="1"/>
  <c r="T24" i="2" a="1"/>
  <c r="P9" i="2" a="1"/>
  <c r="F4" i="2" a="1"/>
  <c r="F18" i="2" a="1"/>
  <c r="X12" i="2" a="1"/>
  <c r="G13" i="2" a="1"/>
  <c r="D13" i="2" a="1"/>
  <c r="P15" i="2" a="1"/>
  <c r="N4" i="2" a="1"/>
  <c r="L6" i="2" a="1"/>
  <c r="P20" i="2" a="1"/>
  <c r="L8" i="2" a="1"/>
  <c r="F7" i="1" a="1"/>
  <c r="M15" i="2" a="1"/>
  <c r="V20" i="2" a="1"/>
  <c r="O21" i="2" a="1"/>
  <c r="U8" i="2" a="1"/>
  <c r="K20" i="2" a="1"/>
  <c r="C16" i="2" a="1"/>
  <c r="W9" i="2" a="1"/>
  <c r="H17" i="2" a="1"/>
  <c r="O23" i="2" a="1"/>
  <c r="O19" i="2" a="1"/>
  <c r="J5" i="2" a="1"/>
  <c r="M22" i="2" a="1"/>
  <c r="U3" i="2" a="1"/>
  <c r="V16" i="2" a="1"/>
  <c r="F6" i="1" a="1"/>
  <c r="T16" i="2" a="1"/>
  <c r="S7" i="2" a="1"/>
  <c r="T22" i="2" a="1"/>
  <c r="J15" i="2" a="1"/>
  <c r="R16" i="2" a="1"/>
  <c r="N9" i="2" a="1"/>
  <c r="G16" i="2" a="1"/>
  <c r="H15" i="2" a="1"/>
  <c r="T4" i="2" a="1"/>
  <c r="U20" i="2" a="1"/>
  <c r="N16" i="2" a="1"/>
  <c r="W16" i="2" a="1"/>
  <c r="M23" i="2" a="1"/>
  <c r="F137" i="1" a="1"/>
  <c r="C20" i="2" a="1"/>
  <c r="F9" i="2" a="1"/>
  <c r="S8" i="2" a="1"/>
  <c r="V6" i="2" a="1"/>
  <c r="X7" i="2" a="1"/>
  <c r="F23" i="1" a="1"/>
  <c r="F12" i="2" a="1"/>
  <c r="N21" i="2" a="1"/>
  <c r="P10" i="2" a="1"/>
  <c r="K3" i="2" a="1"/>
  <c r="S10" i="2" a="1"/>
  <c r="U10" i="2" a="1"/>
  <c r="J7" i="2" a="1"/>
  <c r="I19" i="2" a="1"/>
  <c r="H3" i="2" a="1"/>
  <c r="R9" i="2" a="1"/>
  <c r="N23" i="2" a="1"/>
  <c r="N15" i="2" a="1"/>
  <c r="K5" i="2" a="1"/>
  <c r="Q4" i="2" a="1"/>
  <c r="U4" i="2" a="1"/>
  <c r="Q9" i="2" a="1"/>
  <c r="C13" i="2" a="1"/>
  <c r="S16" i="2" a="1"/>
  <c r="G10" i="2" a="1"/>
  <c r="Q24" i="2" a="1"/>
  <c r="R14" i="2" a="1"/>
  <c r="U6" i="2" a="1"/>
  <c r="D23" i="2" a="1"/>
  <c r="D22" i="2" a="1"/>
  <c r="M8" i="2" a="1"/>
  <c r="R3" i="2" a="1"/>
  <c r="L4" i="2" a="1"/>
  <c r="Q17" i="2" a="1"/>
  <c r="M16" i="2" a="1"/>
  <c r="C24" i="2" a="1"/>
  <c r="V10" i="2" a="1"/>
  <c r="D20" i="2" a="1"/>
  <c r="F14" i="2" a="1"/>
  <c r="F21" i="2" a="1"/>
  <c r="G15" i="2" a="1"/>
  <c r="E5" i="2" a="1"/>
  <c r="G3" i="2" a="1"/>
  <c r="F14" i="1" a="1"/>
  <c r="I11" i="2" a="1"/>
  <c r="M24" i="2" a="1"/>
  <c r="K15" i="2" a="1"/>
  <c r="X17" i="2" a="1"/>
  <c r="C12" i="2" a="1"/>
  <c r="Q5" i="2" a="1"/>
  <c r="M11" i="2" a="1"/>
  <c r="F16" i="1" a="1"/>
  <c r="D24" i="2" a="1"/>
  <c r="C4" i="2" a="1"/>
  <c r="O14" i="2" a="1"/>
  <c r="R23" i="2" a="1"/>
  <c r="P11" i="2" a="1"/>
  <c r="K9" i="2" a="1"/>
  <c r="I18" i="2" a="1"/>
  <c r="F16" i="2" a="1"/>
  <c r="J18" i="2" a="1"/>
  <c r="V17" i="2" a="1"/>
  <c r="H5" i="2" a="1"/>
  <c r="Q3" i="2" a="1"/>
  <c r="U15" i="2" a="1"/>
  <c r="Q19" i="2" a="1"/>
  <c r="U13" i="2" a="1"/>
  <c r="V4" i="2" a="1"/>
  <c r="E17" i="2" a="1"/>
  <c r="S24" i="2" a="1"/>
  <c r="K14" i="2" a="1"/>
  <c r="L11" i="2" a="1"/>
  <c r="P22" i="2" a="1"/>
  <c r="H6" i="2" a="1"/>
  <c r="C8" i="2" a="1"/>
  <c r="X23" i="2" a="1"/>
  <c r="V11" i="2" a="1"/>
  <c r="U18" i="2" a="1"/>
  <c r="V13" i="2" a="1"/>
  <c r="O20" i="2" a="1"/>
  <c r="G14" i="2" a="1"/>
  <c r="S9" i="2" a="1"/>
  <c r="U16" i="2" a="1"/>
  <c r="F10" i="2" a="1"/>
  <c r="X22" i="2" a="1"/>
  <c r="F95" i="1" a="1"/>
  <c r="V15" i="2" a="1"/>
  <c r="C22" i="2" a="1"/>
  <c r="H4" i="2" a="1"/>
  <c r="G22" i="2" a="1"/>
  <c r="P23" i="2" a="1"/>
  <c r="I6" i="2" a="1"/>
  <c r="U22" i="2" a="1"/>
  <c r="F17" i="2" a="1"/>
  <c r="F99" i="1" a="1"/>
  <c r="K13" i="2" a="1"/>
  <c r="D3" i="2" a="1"/>
  <c r="G4" i="2" a="1"/>
  <c r="X19" i="2" a="1"/>
  <c r="O8" i="2" a="1"/>
  <c r="P21" i="2" a="1"/>
  <c r="S3" i="2" a="1"/>
  <c r="S5" i="2" a="1"/>
  <c r="G12" i="2" a="1"/>
  <c r="I3" i="2" a="1"/>
  <c r="W15" i="2" a="1"/>
  <c r="X16" i="2" a="1"/>
  <c r="H23" i="2" a="1"/>
  <c r="S22" i="2" a="1"/>
  <c r="W17" i="2" a="1"/>
  <c r="T14" i="2" a="1"/>
  <c r="W23" i="2" a="1"/>
  <c r="F96" i="1" a="1"/>
  <c r="C3" i="2" a="1"/>
  <c r="F136" i="1" a="1"/>
  <c r="L9" i="2" a="1"/>
  <c r="M9" i="2" a="1"/>
  <c r="T21" i="2" a="1"/>
  <c r="T9" i="2" a="1"/>
  <c r="O5" i="2" a="1"/>
  <c r="Q23" i="2" a="1"/>
  <c r="H10" i="2" a="1"/>
  <c r="T5" i="2" a="1"/>
  <c r="F77" i="1" a="1"/>
  <c r="R4" i="2" a="1"/>
  <c r="Q14" i="2" a="1"/>
  <c r="K12" i="2" a="1"/>
  <c r="S23" i="2" a="1"/>
  <c r="J23" i="2" a="1"/>
  <c r="N19" i="2" a="1"/>
  <c r="F24" i="2" a="1"/>
  <c r="E24" i="2" a="1"/>
  <c r="E23" i="2" a="1"/>
  <c r="Q11" i="2" a="1"/>
  <c r="F3" i="2" a="1"/>
  <c r="S20" i="2" a="1"/>
  <c r="K17" i="2" a="1"/>
  <c r="K11" i="2" a="1"/>
  <c r="N12" i="2" a="1"/>
  <c r="I16" i="2" a="1"/>
  <c r="I20" i="2" a="1"/>
  <c r="F18" i="1" a="1"/>
  <c r="T3" i="2" a="1"/>
  <c r="L23" i="2" a="1"/>
  <c r="V24" i="2" a="1"/>
  <c r="J21" i="2" a="1"/>
  <c r="C19" i="2" a="1"/>
  <c r="K21" i="2" a="1"/>
  <c r="C18" i="2" a="1"/>
  <c r="R19" i="2" a="1"/>
  <c r="J4" i="2" a="1"/>
  <c r="M20" i="2" a="1"/>
  <c r="O16" i="2" a="1"/>
  <c r="O12" i="2" a="1"/>
  <c r="U24" i="2" a="1"/>
  <c r="L13" i="2" a="1"/>
  <c r="M3" i="2" a="1"/>
  <c r="C11" i="2" a="1"/>
  <c r="V8" i="2" a="1"/>
  <c r="E10" i="2" a="1"/>
  <c r="T8" i="2" a="1"/>
  <c r="Q12" i="2" a="1"/>
  <c r="D8" i="2" a="1"/>
  <c r="O10" i="2" a="1"/>
  <c r="K8" i="2" a="1"/>
  <c r="W7" i="2" a="1"/>
  <c r="Q16" i="2" a="1"/>
  <c r="T19" i="2" a="1"/>
  <c r="S13" i="2" a="1"/>
  <c r="C7" i="2" a="1"/>
  <c r="I10" i="2" a="1"/>
  <c r="P3" i="2" a="1"/>
  <c r="T10" i="2" a="1"/>
  <c r="V14" i="2" a="1"/>
  <c r="N6" i="2" a="1"/>
  <c r="T17" i="2" a="1"/>
  <c r="K22" i="2" a="1"/>
  <c r="L15" i="2" a="1"/>
  <c r="N17" i="2" a="1"/>
  <c r="L19" i="2" a="1"/>
  <c r="H20" i="2" a="1"/>
  <c r="E20" i="2" a="1"/>
  <c r="F8" i="2" a="1"/>
  <c r="K10" i="2" a="1"/>
  <c r="I7" i="2" a="1"/>
  <c r="D12" i="2" a="1"/>
  <c r="C5" i="2" a="1"/>
  <c r="S12" i="2" a="1"/>
  <c r="Q21" i="2" a="1"/>
  <c r="O7" i="2" a="1"/>
  <c r="F22" i="2" a="1"/>
  <c r="V3" i="2" a="1"/>
  <c r="Q7" i="2" a="1"/>
  <c r="E18" i="2" a="1"/>
  <c r="J24" i="2" a="1"/>
  <c r="P16" i="2" a="1"/>
  <c r="W19" i="2" a="1"/>
  <c r="V19" i="2" a="1"/>
  <c r="J12" i="2" a="1"/>
  <c r="H16" i="2" a="1"/>
  <c r="K18" i="2" a="1"/>
  <c r="X9" i="2" a="1"/>
  <c r="K4" i="2" a="1"/>
  <c r="K16" i="2" a="1"/>
  <c r="T7" i="2" a="1"/>
  <c r="N24" i="2" a="1"/>
  <c r="L12" i="2" a="1"/>
  <c r="F13" i="2" a="1"/>
  <c r="L3" i="2" a="1"/>
  <c r="W10" i="2" a="1"/>
  <c r="F100" i="1" a="1"/>
  <c r="G7" i="2" a="1"/>
  <c r="P5" i="2" a="1"/>
  <c r="Q15" i="2" a="1"/>
  <c r="D7" i="2" a="1"/>
  <c r="E13" i="2" a="1"/>
  <c r="H11" i="2" a="1"/>
  <c r="X13" i="2" a="1"/>
  <c r="U5" i="2" a="1"/>
  <c r="U19" i="2" a="1"/>
  <c r="F19" i="2" a="1"/>
  <c r="F25" i="1" a="1"/>
  <c r="G8" i="2" a="1"/>
  <c r="I12" i="2" a="1"/>
  <c r="J17" i="2" a="1"/>
  <c r="U12" i="2" a="1"/>
  <c r="E6" i="2" a="1"/>
  <c r="G23" i="2" a="1"/>
  <c r="E16" i="2" a="1"/>
  <c r="L20" i="2" a="1"/>
  <c r="Q20" i="2" a="1"/>
  <c r="V18" i="2" a="1"/>
  <c r="N20" i="2" a="1"/>
  <c r="M13" i="2" a="1"/>
  <c r="T23" i="2" a="1"/>
  <c r="O11" i="2" a="1"/>
  <c r="O22" i="2" a="1"/>
  <c r="F5" i="1" a="1"/>
  <c r="N5" i="2" a="1"/>
  <c r="T18" i="2" a="1"/>
  <c r="D15" i="2" a="1"/>
  <c r="J8" i="2" a="1"/>
  <c r="I9" i="2" a="1"/>
  <c r="X8" i="2" a="1"/>
  <c r="Q8" i="2" a="1"/>
  <c r="D16" i="2" a="1"/>
  <c r="X11" i="2" a="1"/>
  <c r="X5" i="2" a="1"/>
  <c r="Q10" i="2" a="1"/>
  <c r="F23" i="2" a="1"/>
  <c r="O6" i="2" a="1"/>
  <c r="T12" i="2" a="1"/>
  <c r="G9" i="2" a="1"/>
  <c r="S17" i="2" a="1"/>
  <c r="I5" i="2" a="1"/>
  <c r="E8" i="2" a="1"/>
  <c r="L17" i="2" a="1"/>
  <c r="M18" i="2" a="1"/>
  <c r="S19" i="2" a="1"/>
  <c r="R22" i="2" a="1"/>
  <c r="P13" i="2" a="1"/>
  <c r="X18" i="2" a="1"/>
  <c r="M4" i="2" a="1"/>
  <c r="K23" i="2" a="1"/>
  <c r="X4" i="2" a="1"/>
  <c r="F15" i="2" a="1"/>
  <c r="U11" i="2" a="1"/>
  <c r="O15" i="2" a="1"/>
  <c r="W18" i="2" a="1"/>
  <c r="W11" i="2" a="1"/>
  <c r="I24" i="2" a="1"/>
  <c r="C14" i="2" a="1"/>
  <c r="F140" i="1" a="1"/>
  <c r="M7" i="2" a="1"/>
  <c r="N18" i="2" a="1"/>
  <c r="R13" i="2" a="1"/>
  <c r="X20" i="2" a="1"/>
  <c r="T20" i="2" a="1"/>
  <c r="G11" i="2" a="1"/>
  <c r="T11" i="2" a="1"/>
  <c r="D18" i="2" a="1"/>
  <c r="X3" i="2" a="1"/>
  <c r="E19" i="2" a="1"/>
  <c r="J22" i="2" a="1"/>
  <c r="O9" i="2" a="1"/>
  <c r="V23" i="2" a="1"/>
  <c r="N7" i="2" a="1"/>
  <c r="P14" i="2" a="1"/>
  <c r="U14" i="2" a="1"/>
  <c r="J14" i="2" a="1"/>
  <c r="G6" i="2" a="1"/>
  <c r="L22" i="2" a="1"/>
  <c r="J9" i="2" a="1"/>
  <c r="S21" i="2" a="1"/>
  <c r="F116" i="1" a="1"/>
  <c r="M10" i="2" a="1"/>
  <c r="L16" i="2" a="1"/>
  <c r="G19" i="2" a="1"/>
  <c r="C6" i="2" a="1"/>
  <c r="W6" i="2" a="1"/>
  <c r="M21" i="2" a="1"/>
  <c r="F114" i="1" a="1"/>
  <c r="V5" i="2" a="1"/>
  <c r="M19" i="2" a="1"/>
  <c r="P24" i="2" a="1"/>
  <c r="Q6" i="2" a="1"/>
  <c r="P7" i="2" a="1"/>
  <c r="L10" i="2" a="1"/>
  <c r="R20" i="2" a="1"/>
  <c r="N14" i="2" a="1"/>
  <c r="U9" i="2" a="1"/>
  <c r="J6" i="2" a="1"/>
  <c r="I23" i="2" a="1"/>
  <c r="O18" i="2" a="1"/>
  <c r="S18" i="2" a="1"/>
  <c r="V7" i="2" a="1"/>
  <c r="J13" i="2" a="1"/>
  <c r="W22" i="2" a="1"/>
  <c r="G5" i="2" a="1"/>
  <c r="P17" i="2" a="1"/>
  <c r="R12" i="2" a="1"/>
  <c r="S11" i="2" a="1"/>
  <c r="E11" i="2" a="1"/>
  <c r="F94" i="1" a="1"/>
  <c r="L7" i="2" a="1"/>
  <c r="L24" i="2" a="1"/>
  <c r="F20" i="2" a="1"/>
  <c r="P4" i="2" a="1"/>
  <c r="D11" i="2" a="1"/>
  <c r="D14" i="2" a="1"/>
  <c r="H14" i="2" a="1"/>
  <c r="W3" i="2" a="1"/>
  <c r="H13" i="2" a="1"/>
  <c r="E3" i="2" a="1"/>
  <c r="M17" i="2" a="1"/>
  <c r="G24" i="2" a="1"/>
  <c r="P12" i="2" a="1"/>
  <c r="V9" i="2" a="1"/>
  <c r="H12" i="2" a="1"/>
  <c r="X14" i="2" a="1"/>
  <c r="S4" i="2" a="1"/>
  <c r="I13" i="2" a="1"/>
  <c r="K24" i="2" a="1"/>
  <c r="G17" i="2" a="1"/>
  <c r="M14" i="2" a="1"/>
  <c r="D6" i="2" a="1"/>
  <c r="R21" i="2" a="1"/>
  <c r="P8" i="2" a="1"/>
  <c r="W21" i="2" a="1"/>
  <c r="T6" i="2" a="1"/>
  <c r="D19" i="2" a="1"/>
  <c r="D17" i="2" a="1"/>
  <c r="N11" i="2" a="1"/>
  <c r="W24" i="2" a="1"/>
  <c r="L18" i="2" a="1"/>
  <c r="K19" i="2" a="1"/>
  <c r="F6" i="2" a="1"/>
  <c r="H18" i="2" a="1"/>
  <c r="I4" i="2" a="1"/>
  <c r="H22" i="2" a="1"/>
  <c r="H8" i="2" a="1"/>
  <c r="F11" i="2" a="1"/>
  <c r="X10" i="2" a="1"/>
  <c r="R24" i="2" a="1"/>
  <c r="V22" i="2" a="1"/>
  <c r="W13" i="2" a="1"/>
  <c r="V12" i="2" a="1"/>
  <c r="E14" i="2" a="1"/>
  <c r="L14" i="2" a="1"/>
  <c r="R11" i="2" a="1"/>
  <c r="I22" i="2" a="1"/>
  <c r="G20" i="2" a="1"/>
  <c r="X24" i="2" a="1"/>
  <c r="U23" i="2" a="1"/>
  <c r="N10" i="2" a="1"/>
  <c r="R8" i="2" a="1"/>
  <c r="C9" i="2" a="1"/>
  <c r="F138" i="1" a="1"/>
  <c r="K7" i="2" a="1"/>
  <c r="R7" i="2" a="1"/>
  <c r="H24" i="2" a="1"/>
  <c r="J3" i="2" a="1"/>
  <c r="Q13" i="2" a="1"/>
  <c r="N22" i="2" a="1"/>
  <c r="U21" i="2" a="1"/>
  <c r="C23" i="2" a="1"/>
  <c r="H7" i="2" a="1"/>
  <c r="C21" i="2" a="1"/>
  <c r="T15" i="2" a="1"/>
  <c r="D10" i="2" a="1"/>
  <c r="U7" i="2" a="1"/>
  <c r="H19" i="2" a="1"/>
  <c r="D21" i="2" a="1"/>
  <c r="L5" i="2" a="1"/>
  <c r="M5" i="2" a="1"/>
  <c r="S14" i="2" a="1"/>
  <c r="E22" i="2" a="1"/>
  <c r="T13" i="2" a="1"/>
  <c r="O17" i="2" a="1"/>
  <c r="L21" i="2" a="1"/>
  <c r="H21" i="2" a="1"/>
  <c r="D4" i="2" a="1"/>
  <c r="E9" i="2" a="1"/>
  <c r="P6" i="2" a="1"/>
  <c r="R6" i="2" a="1"/>
  <c r="F15" i="1" a="1"/>
  <c r="W14" i="2" a="1"/>
  <c r="C10" i="2" a="1"/>
  <c r="I17" i="2" a="1"/>
  <c r="S15" i="2" a="1"/>
  <c r="M12" i="2" a="1"/>
  <c r="O4" i="2" a="1"/>
  <c r="X15" i="2" a="1"/>
  <c r="I21" i="2" a="1"/>
  <c r="P18" i="2" a="1"/>
  <c r="G18" i="2" a="1"/>
  <c r="N8" i="2" a="1"/>
  <c r="N13" i="2" a="1"/>
  <c r="N3" i="2" a="1"/>
  <c r="Q22" i="2" a="1"/>
  <c r="J11" i="2" a="1"/>
  <c r="C15" i="2" a="1"/>
  <c r="M6" i="2" a="1"/>
  <c r="I8" i="2" a="1"/>
  <c r="W4" i="2" a="1"/>
  <c r="P19" i="2" a="1"/>
  <c r="C17" i="2" a="1"/>
  <c r="J19" i="2" a="1"/>
  <c r="E21" i="2" a="1"/>
  <c r="R15" i="2" a="1"/>
  <c r="X21" i="2" a="1"/>
  <c r="R18" i="2" a="1"/>
  <c r="D5" i="2" a="1"/>
  <c r="K6" i="2" a="1"/>
  <c r="R10" i="2" a="1"/>
  <c r="V21" i="2" a="1"/>
  <c r="E7" i="2" a="1"/>
  <c r="J10" i="2" a="1"/>
  <c r="H9" i="2" a="1"/>
  <c r="R5" i="2" a="1"/>
  <c r="F7" i="2" a="1"/>
  <c r="W5" i="2" a="1"/>
  <c r="Q18" i="2" a="1"/>
  <c r="J16" i="2" a="1"/>
  <c r="E4" i="2" a="1"/>
  <c r="S6" i="2" a="1"/>
  <c r="R17" i="2" a="1"/>
  <c r="A5" i="15" l="1"/>
  <c r="X24" i="2"/>
  <c r="X47" i="2" s="1"/>
  <c r="V23" i="4" s="1"/>
  <c r="F140" i="1"/>
  <c r="K5" i="2"/>
  <c r="K28" i="2" s="1"/>
  <c r="I4" i="4" s="1"/>
  <c r="J5" i="2"/>
  <c r="J28" i="2" s="1"/>
  <c r="H4" i="4" s="1"/>
  <c r="I5" i="2"/>
  <c r="I28" i="2" s="1"/>
  <c r="G4" i="4" s="1"/>
  <c r="H5" i="2"/>
  <c r="H28" i="2" s="1"/>
  <c r="F4" i="4" s="1"/>
  <c r="G5" i="2"/>
  <c r="G28" i="2" s="1"/>
  <c r="E4" i="4" s="1"/>
  <c r="F5" i="2"/>
  <c r="F28" i="2" s="1"/>
  <c r="D4" i="4" s="1"/>
  <c r="K4" i="2"/>
  <c r="K27" i="2" s="1"/>
  <c r="I3" i="4" s="1"/>
  <c r="J4" i="2"/>
  <c r="J27" i="2" s="1"/>
  <c r="H3" i="4" s="1"/>
  <c r="I4" i="2"/>
  <c r="I27" i="2" s="1"/>
  <c r="G3" i="4" s="1"/>
  <c r="H4" i="2"/>
  <c r="H27" i="2" s="1"/>
  <c r="F3" i="4" s="1"/>
  <c r="G4" i="2"/>
  <c r="G27" i="2" s="1"/>
  <c r="E3" i="4" s="1"/>
  <c r="F4" i="2"/>
  <c r="F27" i="2" s="1"/>
  <c r="D3" i="4" s="1"/>
  <c r="E4" i="2"/>
  <c r="E27" i="2" s="1"/>
  <c r="C3" i="4" s="1"/>
  <c r="L11" i="2"/>
  <c r="L34" i="2" s="1"/>
  <c r="J10" i="4" s="1"/>
  <c r="L10" i="2"/>
  <c r="L33" i="2" s="1"/>
  <c r="J9" i="4" s="1"/>
  <c r="L9" i="2"/>
  <c r="L32" i="2" s="1"/>
  <c r="J8" i="4" s="1"/>
  <c r="L8" i="2"/>
  <c r="L31" i="2" s="1"/>
  <c r="J7" i="4" s="1"/>
  <c r="L7" i="2"/>
  <c r="L30" i="2" s="1"/>
  <c r="J6" i="4" s="1"/>
  <c r="L6" i="2"/>
  <c r="L29" i="2" s="1"/>
  <c r="J5" i="4" s="1"/>
  <c r="L5" i="2"/>
  <c r="L28" i="2" s="1"/>
  <c r="J4" i="4" s="1"/>
  <c r="L4" i="2"/>
  <c r="L27" i="2" s="1"/>
  <c r="J3" i="4" s="1"/>
  <c r="M11" i="2"/>
  <c r="M34" i="2" s="1"/>
  <c r="K10" i="4" s="1"/>
  <c r="M10" i="2"/>
  <c r="M33" i="2" s="1"/>
  <c r="K9" i="4" s="1"/>
  <c r="M9" i="2"/>
  <c r="M32" i="2" s="1"/>
  <c r="K8" i="4" s="1"/>
  <c r="M8" i="2"/>
  <c r="M31" i="2" s="1"/>
  <c r="K7" i="4" s="1"/>
  <c r="M7" i="2"/>
  <c r="M30" i="2" s="1"/>
  <c r="K6" i="4" s="1"/>
  <c r="M6" i="2"/>
  <c r="M29" i="2" s="1"/>
  <c r="K5" i="4" s="1"/>
  <c r="M5" i="2"/>
  <c r="M28" i="2" s="1"/>
  <c r="K4" i="4" s="1"/>
  <c r="M12" i="2"/>
  <c r="M35" i="2" s="1"/>
  <c r="K11" i="4" s="1"/>
  <c r="M4" i="2"/>
  <c r="M27" i="2" s="1"/>
  <c r="K3" i="4" s="1"/>
  <c r="N11" i="2"/>
  <c r="N34" i="2" s="1"/>
  <c r="L10" i="4" s="1"/>
  <c r="N10" i="2"/>
  <c r="N33" i="2" s="1"/>
  <c r="L9" i="4" s="1"/>
  <c r="N9" i="2"/>
  <c r="N32" i="2" s="1"/>
  <c r="L8" i="4" s="1"/>
  <c r="N8" i="2"/>
  <c r="N31" i="2" s="1"/>
  <c r="L7" i="4" s="1"/>
  <c r="N7" i="2"/>
  <c r="N30" i="2" s="1"/>
  <c r="L6" i="4" s="1"/>
  <c r="N6" i="2"/>
  <c r="N29" i="2" s="1"/>
  <c r="L5" i="4" s="1"/>
  <c r="N13" i="2"/>
  <c r="N36" i="2" s="1"/>
  <c r="L12" i="4" s="1"/>
  <c r="N5" i="2"/>
  <c r="N28" i="2" s="1"/>
  <c r="L4" i="4" s="1"/>
  <c r="N12" i="2"/>
  <c r="N35" i="2" s="1"/>
  <c r="L11" i="4" s="1"/>
  <c r="N4" i="2"/>
  <c r="N27" i="2" s="1"/>
  <c r="L3" i="4" s="1"/>
  <c r="O11" i="2"/>
  <c r="O34" i="2" s="1"/>
  <c r="M10" i="4" s="1"/>
  <c r="O10" i="2"/>
  <c r="O33" i="2" s="1"/>
  <c r="M9" i="4" s="1"/>
  <c r="O9" i="2"/>
  <c r="O32" i="2" s="1"/>
  <c r="M8" i="4" s="1"/>
  <c r="O8" i="2"/>
  <c r="O31" i="2" s="1"/>
  <c r="M7" i="4" s="1"/>
  <c r="O7" i="2"/>
  <c r="O30" i="2" s="1"/>
  <c r="M6" i="4" s="1"/>
  <c r="O14" i="2"/>
  <c r="O37" i="2" s="1"/>
  <c r="M13" i="4" s="1"/>
  <c r="O6" i="2"/>
  <c r="O29" i="2" s="1"/>
  <c r="M5" i="4" s="1"/>
  <c r="O13" i="2"/>
  <c r="O36" i="2" s="1"/>
  <c r="M12" i="4" s="1"/>
  <c r="O5" i="2"/>
  <c r="O28" i="2" s="1"/>
  <c r="M4" i="4" s="1"/>
  <c r="O12" i="2"/>
  <c r="O35" i="2" s="1"/>
  <c r="M11" i="4" s="1"/>
  <c r="O4" i="2"/>
  <c r="O27" i="2" s="1"/>
  <c r="M3" i="4" s="1"/>
  <c r="P11" i="2"/>
  <c r="P34" i="2" s="1"/>
  <c r="N10" i="4" s="1"/>
  <c r="P10" i="2"/>
  <c r="P33" i="2" s="1"/>
  <c r="N9" i="4" s="1"/>
  <c r="P9" i="2"/>
  <c r="P32" i="2" s="1"/>
  <c r="N8" i="4" s="1"/>
  <c r="P8" i="2"/>
  <c r="P31" i="2" s="1"/>
  <c r="N7" i="4" s="1"/>
  <c r="P15" i="2"/>
  <c r="P38" i="2" s="1"/>
  <c r="N14" i="4" s="1"/>
  <c r="P7" i="2"/>
  <c r="P30" i="2" s="1"/>
  <c r="N6" i="4" s="1"/>
  <c r="P14" i="2"/>
  <c r="P37" i="2" s="1"/>
  <c r="N13" i="4" s="1"/>
  <c r="P6" i="2"/>
  <c r="P29" i="2" s="1"/>
  <c r="N5" i="4" s="1"/>
  <c r="P13" i="2"/>
  <c r="P36" i="2" s="1"/>
  <c r="N12" i="4" s="1"/>
  <c r="P5" i="2"/>
  <c r="P28" i="2" s="1"/>
  <c r="N4" i="4" s="1"/>
  <c r="P12" i="2"/>
  <c r="P35" i="2" s="1"/>
  <c r="N11" i="4" s="1"/>
  <c r="P4" i="2"/>
  <c r="P27" i="2" s="1"/>
  <c r="N3" i="4" s="1"/>
  <c r="Q11" i="2"/>
  <c r="Q34" i="2" s="1"/>
  <c r="O10" i="4" s="1"/>
  <c r="Q10" i="2"/>
  <c r="Q33" i="2" s="1"/>
  <c r="O9" i="4" s="1"/>
  <c r="Q9" i="2"/>
  <c r="Q32" i="2" s="1"/>
  <c r="O8" i="4" s="1"/>
  <c r="Q16" i="2"/>
  <c r="Q39" i="2" s="1"/>
  <c r="O15" i="4" s="1"/>
  <c r="Q8" i="2"/>
  <c r="Q31" i="2" s="1"/>
  <c r="O7" i="4" s="1"/>
  <c r="Q15" i="2"/>
  <c r="Q38" i="2" s="1"/>
  <c r="O14" i="4" s="1"/>
  <c r="Q7" i="2"/>
  <c r="Q30" i="2" s="1"/>
  <c r="O6" i="4" s="1"/>
  <c r="Q14" i="2"/>
  <c r="Q37" i="2" s="1"/>
  <c r="O13" i="4" s="1"/>
  <c r="Q6" i="2"/>
  <c r="Q29" i="2" s="1"/>
  <c r="O5" i="4" s="1"/>
  <c r="Q13" i="2"/>
  <c r="Q36" i="2" s="1"/>
  <c r="O12" i="4" s="1"/>
  <c r="Q5" i="2"/>
  <c r="Q28" i="2" s="1"/>
  <c r="O4" i="4" s="1"/>
  <c r="Q12" i="2"/>
  <c r="Q35" i="2" s="1"/>
  <c r="O11" i="4" s="1"/>
  <c r="Q4" i="2"/>
  <c r="Q27" i="2" s="1"/>
  <c r="O3" i="4" s="1"/>
  <c r="R11" i="2"/>
  <c r="R34" i="2" s="1"/>
  <c r="P10" i="4" s="1"/>
  <c r="R10" i="2"/>
  <c r="R33" i="2" s="1"/>
  <c r="P9" i="4" s="1"/>
  <c r="R17" i="2"/>
  <c r="R40" i="2" s="1"/>
  <c r="P16" i="4" s="1"/>
  <c r="R9" i="2"/>
  <c r="R32" i="2" s="1"/>
  <c r="P8" i="4" s="1"/>
  <c r="R16" i="2"/>
  <c r="R39" i="2" s="1"/>
  <c r="P15" i="4" s="1"/>
  <c r="R8" i="2"/>
  <c r="R31" i="2" s="1"/>
  <c r="P7" i="4" s="1"/>
  <c r="R15" i="2"/>
  <c r="R38" i="2" s="1"/>
  <c r="P14" i="4" s="1"/>
  <c r="R7" i="2"/>
  <c r="R30" i="2" s="1"/>
  <c r="P6" i="4" s="1"/>
  <c r="R14" i="2"/>
  <c r="R37" i="2" s="1"/>
  <c r="P13" i="4" s="1"/>
  <c r="R6" i="2"/>
  <c r="R29" i="2" s="1"/>
  <c r="P5" i="4" s="1"/>
  <c r="R13" i="2"/>
  <c r="R36" i="2" s="1"/>
  <c r="P12" i="4" s="1"/>
  <c r="R5" i="2"/>
  <c r="R28" i="2" s="1"/>
  <c r="P4" i="4" s="1"/>
  <c r="R12" i="2"/>
  <c r="R35" i="2" s="1"/>
  <c r="P11" i="4" s="1"/>
  <c r="R4" i="2"/>
  <c r="R27" i="2" s="1"/>
  <c r="P3" i="4" s="1"/>
  <c r="S11" i="2"/>
  <c r="S34" i="2" s="1"/>
  <c r="Q10" i="4" s="1"/>
  <c r="S18" i="2"/>
  <c r="S41" i="2" s="1"/>
  <c r="Q17" i="4" s="1"/>
  <c r="S10" i="2"/>
  <c r="S33" i="2" s="1"/>
  <c r="Q9" i="4" s="1"/>
  <c r="S17" i="2"/>
  <c r="S40" i="2" s="1"/>
  <c r="Q16" i="4" s="1"/>
  <c r="S9" i="2"/>
  <c r="S32" i="2" s="1"/>
  <c r="Q8" i="4" s="1"/>
  <c r="S16" i="2"/>
  <c r="S39" i="2" s="1"/>
  <c r="Q15" i="4" s="1"/>
  <c r="S8" i="2"/>
  <c r="S31" i="2" s="1"/>
  <c r="Q7" i="4" s="1"/>
  <c r="S15" i="2"/>
  <c r="S38" i="2" s="1"/>
  <c r="Q14" i="4" s="1"/>
  <c r="S7" i="2"/>
  <c r="S30" i="2" s="1"/>
  <c r="Q6" i="4" s="1"/>
  <c r="S14" i="2"/>
  <c r="S37" i="2" s="1"/>
  <c r="Q13" i="4" s="1"/>
  <c r="S6" i="2"/>
  <c r="S29" i="2" s="1"/>
  <c r="Q5" i="4" s="1"/>
  <c r="S13" i="2"/>
  <c r="S36" i="2" s="1"/>
  <c r="Q12" i="4" s="1"/>
  <c r="S5" i="2"/>
  <c r="S28" i="2" s="1"/>
  <c r="Q4" i="4" s="1"/>
  <c r="S12" i="2"/>
  <c r="S35" i="2" s="1"/>
  <c r="Q11" i="4" s="1"/>
  <c r="S4" i="2"/>
  <c r="S27" i="2" s="1"/>
  <c r="Q3" i="4" s="1"/>
  <c r="T19" i="2"/>
  <c r="T42" i="2" s="1"/>
  <c r="R18" i="4" s="1"/>
  <c r="T11" i="2"/>
  <c r="T34" i="2" s="1"/>
  <c r="R10" i="4" s="1"/>
  <c r="T18" i="2"/>
  <c r="T41" i="2" s="1"/>
  <c r="R17" i="4" s="1"/>
  <c r="T10" i="2"/>
  <c r="T33" i="2" s="1"/>
  <c r="R9" i="4" s="1"/>
  <c r="T17" i="2"/>
  <c r="T40" i="2" s="1"/>
  <c r="R16" i="4" s="1"/>
  <c r="T9" i="2"/>
  <c r="T32" i="2" s="1"/>
  <c r="R8" i="4" s="1"/>
  <c r="T16" i="2"/>
  <c r="T39" i="2" s="1"/>
  <c r="R15" i="4" s="1"/>
  <c r="T8" i="2"/>
  <c r="T31" i="2" s="1"/>
  <c r="R7" i="4" s="1"/>
  <c r="T15" i="2"/>
  <c r="T38" i="2" s="1"/>
  <c r="R14" i="4" s="1"/>
  <c r="T7" i="2"/>
  <c r="T30" i="2" s="1"/>
  <c r="R6" i="4" s="1"/>
  <c r="T14" i="2"/>
  <c r="T37" i="2" s="1"/>
  <c r="R13" i="4" s="1"/>
  <c r="T6" i="2"/>
  <c r="T29" i="2" s="1"/>
  <c r="R5" i="4" s="1"/>
  <c r="T13" i="2"/>
  <c r="T36" i="2" s="1"/>
  <c r="R12" i="4" s="1"/>
  <c r="T5" i="2"/>
  <c r="T28" i="2" s="1"/>
  <c r="R4" i="4" s="1"/>
  <c r="T12" i="2"/>
  <c r="T35" i="2" s="1"/>
  <c r="R11" i="4" s="1"/>
  <c r="T4" i="2"/>
  <c r="T27" i="2" s="1"/>
  <c r="R3" i="4" s="1"/>
  <c r="U19" i="2"/>
  <c r="U42" i="2" s="1"/>
  <c r="S18" i="4" s="1"/>
  <c r="U11" i="2"/>
  <c r="U34" i="2" s="1"/>
  <c r="S10" i="4" s="1"/>
  <c r="U18" i="2"/>
  <c r="U41" i="2" s="1"/>
  <c r="S17" i="4" s="1"/>
  <c r="U10" i="2"/>
  <c r="U33" i="2" s="1"/>
  <c r="S9" i="4" s="1"/>
  <c r="U17" i="2"/>
  <c r="U40" i="2" s="1"/>
  <c r="S16" i="4" s="1"/>
  <c r="U9" i="2"/>
  <c r="U32" i="2" s="1"/>
  <c r="S8" i="4" s="1"/>
  <c r="U16" i="2"/>
  <c r="U39" i="2" s="1"/>
  <c r="S15" i="4" s="1"/>
  <c r="U8" i="2"/>
  <c r="U31" i="2" s="1"/>
  <c r="S7" i="4" s="1"/>
  <c r="U15" i="2"/>
  <c r="U38" i="2" s="1"/>
  <c r="S14" i="4" s="1"/>
  <c r="U7" i="2"/>
  <c r="U30" i="2" s="1"/>
  <c r="S6" i="4" s="1"/>
  <c r="U14" i="2"/>
  <c r="U37" i="2" s="1"/>
  <c r="S13" i="4" s="1"/>
  <c r="U6" i="2"/>
  <c r="U29" i="2" s="1"/>
  <c r="S5" i="4" s="1"/>
  <c r="U13" i="2"/>
  <c r="U36" i="2" s="1"/>
  <c r="S12" i="4" s="1"/>
  <c r="U5" i="2"/>
  <c r="U28" i="2" s="1"/>
  <c r="S4" i="4" s="1"/>
  <c r="U20" i="2"/>
  <c r="U43" i="2" s="1"/>
  <c r="S19" i="4" s="1"/>
  <c r="U12" i="2"/>
  <c r="U35" i="2" s="1"/>
  <c r="S11" i="4" s="1"/>
  <c r="U4" i="2"/>
  <c r="U27" i="2" s="1"/>
  <c r="S3" i="4" s="1"/>
  <c r="V19" i="2"/>
  <c r="V42" i="2" s="1"/>
  <c r="T18" i="4" s="1"/>
  <c r="V11" i="2"/>
  <c r="V34" i="2" s="1"/>
  <c r="T10" i="4" s="1"/>
  <c r="V18" i="2"/>
  <c r="V41" i="2" s="1"/>
  <c r="T17" i="4" s="1"/>
  <c r="V10" i="2"/>
  <c r="V33" i="2" s="1"/>
  <c r="T9" i="4" s="1"/>
  <c r="V17" i="2"/>
  <c r="V40" i="2" s="1"/>
  <c r="T16" i="4" s="1"/>
  <c r="V9" i="2"/>
  <c r="V32" i="2" s="1"/>
  <c r="T8" i="4" s="1"/>
  <c r="V16" i="2"/>
  <c r="V39" i="2" s="1"/>
  <c r="T15" i="4" s="1"/>
  <c r="V8" i="2"/>
  <c r="V31" i="2" s="1"/>
  <c r="T7" i="4" s="1"/>
  <c r="V15" i="2"/>
  <c r="V38" i="2" s="1"/>
  <c r="T14" i="4" s="1"/>
  <c r="V7" i="2"/>
  <c r="V30" i="2" s="1"/>
  <c r="T6" i="4" s="1"/>
  <c r="V14" i="2"/>
  <c r="V37" i="2" s="1"/>
  <c r="T13" i="4" s="1"/>
  <c r="V6" i="2"/>
  <c r="V29" i="2" s="1"/>
  <c r="T5" i="4" s="1"/>
  <c r="V21" i="2"/>
  <c r="V44" i="2" s="1"/>
  <c r="T20" i="4" s="1"/>
  <c r="V13" i="2"/>
  <c r="V36" i="2" s="1"/>
  <c r="T12" i="4" s="1"/>
  <c r="V5" i="2"/>
  <c r="V28" i="2" s="1"/>
  <c r="T4" i="4" s="1"/>
  <c r="V20" i="2"/>
  <c r="V43" i="2" s="1"/>
  <c r="T19" i="4" s="1"/>
  <c r="V12" i="2"/>
  <c r="V35" i="2" s="1"/>
  <c r="T11" i="4" s="1"/>
  <c r="V4" i="2"/>
  <c r="V27" i="2" s="1"/>
  <c r="T3" i="4" s="1"/>
  <c r="W19" i="2"/>
  <c r="W42" i="2" s="1"/>
  <c r="U18" i="4" s="1"/>
  <c r="W11" i="2"/>
  <c r="W34" i="2" s="1"/>
  <c r="U10" i="4" s="1"/>
  <c r="W18" i="2"/>
  <c r="W41" i="2" s="1"/>
  <c r="U17" i="4" s="1"/>
  <c r="W10" i="2"/>
  <c r="W33" i="2" s="1"/>
  <c r="U9" i="4" s="1"/>
  <c r="W17" i="2"/>
  <c r="W40" i="2" s="1"/>
  <c r="U16" i="4" s="1"/>
  <c r="W9" i="2"/>
  <c r="W32" i="2" s="1"/>
  <c r="U8" i="4" s="1"/>
  <c r="W16" i="2"/>
  <c r="W39" i="2" s="1"/>
  <c r="U15" i="4" s="1"/>
  <c r="W8" i="2"/>
  <c r="W31" i="2" s="1"/>
  <c r="U7" i="4" s="1"/>
  <c r="W15" i="2"/>
  <c r="W38" i="2" s="1"/>
  <c r="U14" i="4" s="1"/>
  <c r="W7" i="2"/>
  <c r="W30" i="2" s="1"/>
  <c r="U6" i="4" s="1"/>
  <c r="W22" i="2"/>
  <c r="W45" i="2" s="1"/>
  <c r="U21" i="4" s="1"/>
  <c r="W14" i="2"/>
  <c r="W37" i="2" s="1"/>
  <c r="U13" i="4" s="1"/>
  <c r="W6" i="2"/>
  <c r="W29" i="2" s="1"/>
  <c r="U5" i="4" s="1"/>
  <c r="W21" i="2"/>
  <c r="W44" i="2" s="1"/>
  <c r="U20" i="4" s="1"/>
  <c r="W13" i="2"/>
  <c r="W36" i="2" s="1"/>
  <c r="U12" i="4" s="1"/>
  <c r="W5" i="2"/>
  <c r="W28" i="2" s="1"/>
  <c r="U4" i="4" s="1"/>
  <c r="W20" i="2"/>
  <c r="W43" i="2" s="1"/>
  <c r="U19" i="4" s="1"/>
  <c r="W12" i="2"/>
  <c r="W35" i="2" s="1"/>
  <c r="U11" i="4" s="1"/>
  <c r="W4" i="2"/>
  <c r="W27" i="2" s="1"/>
  <c r="U3" i="4" s="1"/>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W46" i="2" s="1"/>
  <c r="U22" i="4" s="1"/>
  <c r="V24" i="2"/>
  <c r="V47" i="2" s="1"/>
  <c r="T23" i="4" s="1"/>
  <c r="V23" i="2"/>
  <c r="V46" i="2" s="1"/>
  <c r="T22" i="4" s="1"/>
  <c r="V22" i="2"/>
  <c r="V45" i="2" s="1"/>
  <c r="T21" i="4" s="1"/>
  <c r="U24" i="2"/>
  <c r="U47" i="2" s="1"/>
  <c r="S23" i="4" s="1"/>
  <c r="U23" i="2"/>
  <c r="U46" i="2" s="1"/>
  <c r="S22" i="4" s="1"/>
  <c r="U22" i="2"/>
  <c r="U45" i="2" s="1"/>
  <c r="S21" i="4" s="1"/>
  <c r="U21" i="2"/>
  <c r="U44" i="2" s="1"/>
  <c r="S20" i="4" s="1"/>
  <c r="T24" i="2"/>
  <c r="T47" i="2" s="1"/>
  <c r="R23" i="4" s="1"/>
  <c r="T23" i="2"/>
  <c r="T46" i="2" s="1"/>
  <c r="R22" i="4" s="1"/>
  <c r="T22" i="2"/>
  <c r="T45" i="2" s="1"/>
  <c r="R21" i="4" s="1"/>
  <c r="T21" i="2"/>
  <c r="T44" i="2" s="1"/>
  <c r="R20" i="4" s="1"/>
  <c r="T20" i="2"/>
  <c r="T43" i="2" s="1"/>
  <c r="R19" i="4" s="1"/>
  <c r="S24" i="2"/>
  <c r="S47" i="2" s="1"/>
  <c r="Q23" i="4" s="1"/>
  <c r="S23" i="2"/>
  <c r="S46" i="2" s="1"/>
  <c r="Q22" i="4" s="1"/>
  <c r="S22" i="2"/>
  <c r="S45" i="2" s="1"/>
  <c r="Q21" i="4" s="1"/>
  <c r="S21" i="2"/>
  <c r="S44" i="2" s="1"/>
  <c r="Q20" i="4" s="1"/>
  <c r="S20" i="2"/>
  <c r="S43" i="2" s="1"/>
  <c r="Q19" i="4" s="1"/>
  <c r="S19" i="2"/>
  <c r="S42" i="2" s="1"/>
  <c r="Q18" i="4" s="1"/>
  <c r="R24" i="2"/>
  <c r="R47" i="2" s="1"/>
  <c r="P23" i="4" s="1"/>
  <c r="R23" i="2"/>
  <c r="R46" i="2" s="1"/>
  <c r="P22" i="4" s="1"/>
  <c r="R22" i="2"/>
  <c r="R45" i="2" s="1"/>
  <c r="P21" i="4" s="1"/>
  <c r="R21" i="2"/>
  <c r="R44" i="2" s="1"/>
  <c r="P20" i="4" s="1"/>
  <c r="R20" i="2"/>
  <c r="R43" i="2" s="1"/>
  <c r="P19" i="4" s="1"/>
  <c r="R19" i="2"/>
  <c r="R42" i="2" s="1"/>
  <c r="P18" i="4" s="1"/>
  <c r="R18" i="2"/>
  <c r="R41" i="2" s="1"/>
  <c r="P17" i="4" s="1"/>
  <c r="Q24" i="2"/>
  <c r="Q47" i="2" s="1"/>
  <c r="O23" i="4" s="1"/>
  <c r="Q23" i="2"/>
  <c r="Q46" i="2" s="1"/>
  <c r="O22" i="4" s="1"/>
  <c r="Q22" i="2"/>
  <c r="Q45" i="2" s="1"/>
  <c r="O21" i="4" s="1"/>
  <c r="Q21" i="2"/>
  <c r="Q44" i="2" s="1"/>
  <c r="O20" i="4" s="1"/>
  <c r="Q20" i="2"/>
  <c r="Q43" i="2" s="1"/>
  <c r="O19" i="4" s="1"/>
  <c r="Q19" i="2"/>
  <c r="Q42" i="2" s="1"/>
  <c r="O18" i="4" s="1"/>
  <c r="Q18" i="2"/>
  <c r="Q41" i="2" s="1"/>
  <c r="O17" i="4" s="1"/>
  <c r="Q17" i="2"/>
  <c r="Q40" i="2" s="1"/>
  <c r="O16" i="4" s="1"/>
  <c r="P23" i="2"/>
  <c r="P46" i="2" s="1"/>
  <c r="N22" i="4" s="1"/>
  <c r="P22" i="2"/>
  <c r="P45" i="2" s="1"/>
  <c r="N21" i="4" s="1"/>
  <c r="P21" i="2"/>
  <c r="P44" i="2" s="1"/>
  <c r="N20" i="4" s="1"/>
  <c r="P20" i="2"/>
  <c r="P43" i="2" s="1"/>
  <c r="N19" i="4" s="1"/>
  <c r="P19" i="2"/>
  <c r="P42" i="2" s="1"/>
  <c r="N18" i="4" s="1"/>
  <c r="P18" i="2"/>
  <c r="P41" i="2" s="1"/>
  <c r="N17" i="4" s="1"/>
  <c r="P17" i="2"/>
  <c r="P40" i="2" s="1"/>
  <c r="N16" i="4" s="1"/>
  <c r="P24" i="2"/>
  <c r="P47" i="2" s="1"/>
  <c r="N23" i="4" s="1"/>
  <c r="P16" i="2"/>
  <c r="P39" i="2" s="1"/>
  <c r="N15" i="4" s="1"/>
  <c r="O22" i="2"/>
  <c r="O45" i="2" s="1"/>
  <c r="M21" i="4" s="1"/>
  <c r="O21" i="2"/>
  <c r="O44" i="2" s="1"/>
  <c r="M20" i="4" s="1"/>
  <c r="O20" i="2"/>
  <c r="O43" i="2" s="1"/>
  <c r="M19" i="4" s="1"/>
  <c r="O19" i="2"/>
  <c r="O42" i="2" s="1"/>
  <c r="M18" i="4" s="1"/>
  <c r="O18" i="2"/>
  <c r="O41" i="2" s="1"/>
  <c r="M17" i="4" s="1"/>
  <c r="O17" i="2"/>
  <c r="O40" i="2" s="1"/>
  <c r="M16" i="4" s="1"/>
  <c r="O24" i="2"/>
  <c r="O47" i="2" s="1"/>
  <c r="M23" i="4" s="1"/>
  <c r="O16" i="2"/>
  <c r="O39" i="2" s="1"/>
  <c r="M15" i="4" s="1"/>
  <c r="O23" i="2"/>
  <c r="O46" i="2" s="1"/>
  <c r="M22" i="4" s="1"/>
  <c r="O15" i="2"/>
  <c r="O38" i="2" s="1"/>
  <c r="M14" i="4" s="1"/>
  <c r="N21" i="2"/>
  <c r="N44" i="2" s="1"/>
  <c r="L20" i="4" s="1"/>
  <c r="N20" i="2"/>
  <c r="N43" i="2" s="1"/>
  <c r="L19" i="4" s="1"/>
  <c r="N19" i="2"/>
  <c r="N42" i="2" s="1"/>
  <c r="L18" i="4" s="1"/>
  <c r="N18" i="2"/>
  <c r="N41" i="2" s="1"/>
  <c r="L17" i="4" s="1"/>
  <c r="N17" i="2"/>
  <c r="N40" i="2" s="1"/>
  <c r="L16" i="4" s="1"/>
  <c r="N24" i="2"/>
  <c r="N47" i="2" s="1"/>
  <c r="L23" i="4" s="1"/>
  <c r="N16" i="2"/>
  <c r="N39" i="2" s="1"/>
  <c r="L15" i="4" s="1"/>
  <c r="N23" i="2"/>
  <c r="N46" i="2" s="1"/>
  <c r="L22" i="4" s="1"/>
  <c r="N15" i="2"/>
  <c r="N38" i="2" s="1"/>
  <c r="L14" i="4" s="1"/>
  <c r="N22" i="2"/>
  <c r="N45" i="2" s="1"/>
  <c r="L21" i="4" s="1"/>
  <c r="N14" i="2"/>
  <c r="N37" i="2" s="1"/>
  <c r="L13" i="4" s="1"/>
  <c r="M20" i="2"/>
  <c r="M43" i="2" s="1"/>
  <c r="K19" i="4" s="1"/>
  <c r="M19" i="2"/>
  <c r="M42" i="2" s="1"/>
  <c r="K18" i="4" s="1"/>
  <c r="M18" i="2"/>
  <c r="M41" i="2" s="1"/>
  <c r="K17" i="4" s="1"/>
  <c r="M17" i="2"/>
  <c r="M40" i="2" s="1"/>
  <c r="K16" i="4" s="1"/>
  <c r="M24" i="2"/>
  <c r="M47" i="2" s="1"/>
  <c r="K23" i="4" s="1"/>
  <c r="M16" i="2"/>
  <c r="M39" i="2" s="1"/>
  <c r="K15" i="4" s="1"/>
  <c r="M23" i="2"/>
  <c r="M46" i="2" s="1"/>
  <c r="K22" i="4" s="1"/>
  <c r="M15" i="2"/>
  <c r="M38" i="2" s="1"/>
  <c r="K14" i="4" s="1"/>
  <c r="M22" i="2"/>
  <c r="M45" i="2" s="1"/>
  <c r="K21" i="4" s="1"/>
  <c r="M14" i="2"/>
  <c r="M37" i="2" s="1"/>
  <c r="K13" i="4" s="1"/>
  <c r="M21" i="2"/>
  <c r="M44" i="2" s="1"/>
  <c r="K20" i="4" s="1"/>
  <c r="M13" i="2"/>
  <c r="M36" i="2" s="1"/>
  <c r="K12" i="4" s="1"/>
  <c r="L19" i="2"/>
  <c r="L42" i="2" s="1"/>
  <c r="J18" i="4" s="1"/>
  <c r="L18" i="2"/>
  <c r="L41" i="2" s="1"/>
  <c r="J17" i="4" s="1"/>
  <c r="L17" i="2"/>
  <c r="L40" i="2" s="1"/>
  <c r="J16" i="4" s="1"/>
  <c r="L24" i="2"/>
  <c r="L47" i="2" s="1"/>
  <c r="J23" i="4" s="1"/>
  <c r="L16" i="2"/>
  <c r="L39" i="2" s="1"/>
  <c r="J15" i="4" s="1"/>
  <c r="L23" i="2"/>
  <c r="L46" i="2" s="1"/>
  <c r="J22" i="4" s="1"/>
  <c r="L15" i="2"/>
  <c r="L38" i="2" s="1"/>
  <c r="J14" i="4" s="1"/>
  <c r="L22" i="2"/>
  <c r="L45" i="2" s="1"/>
  <c r="J21" i="4" s="1"/>
  <c r="L14" i="2"/>
  <c r="L37" i="2" s="1"/>
  <c r="J13" i="4" s="1"/>
  <c r="L21" i="2"/>
  <c r="L44" i="2" s="1"/>
  <c r="J20" i="4" s="1"/>
  <c r="L13" i="2"/>
  <c r="L36" i="2" s="1"/>
  <c r="J12" i="4" s="1"/>
  <c r="L20" i="2"/>
  <c r="L43" i="2" s="1"/>
  <c r="J19" i="4" s="1"/>
  <c r="L12" i="2"/>
  <c r="L35" i="2" s="1"/>
  <c r="J11" i="4" s="1"/>
  <c r="K21" i="2"/>
  <c r="K44" i="2" s="1"/>
  <c r="I20" i="4" s="1"/>
  <c r="K13" i="2"/>
  <c r="K36" i="2" s="1"/>
  <c r="I12" i="4" s="1"/>
  <c r="K20" i="2"/>
  <c r="K43" i="2" s="1"/>
  <c r="I19" i="4" s="1"/>
  <c r="K12" i="2"/>
  <c r="K35" i="2" s="1"/>
  <c r="I11" i="4" s="1"/>
  <c r="K19" i="2"/>
  <c r="K42" i="2" s="1"/>
  <c r="I18" i="4" s="1"/>
  <c r="K11" i="2"/>
  <c r="K34" i="2" s="1"/>
  <c r="I10" i="4" s="1"/>
  <c r="K18" i="2"/>
  <c r="K41" i="2" s="1"/>
  <c r="I17" i="4" s="1"/>
  <c r="K10" i="2"/>
  <c r="K33" i="2" s="1"/>
  <c r="I9" i="4" s="1"/>
  <c r="K17" i="2"/>
  <c r="K40" i="2" s="1"/>
  <c r="I16" i="4" s="1"/>
  <c r="K9" i="2"/>
  <c r="K32" i="2" s="1"/>
  <c r="I8" i="4" s="1"/>
  <c r="K24" i="2"/>
  <c r="K47" i="2" s="1"/>
  <c r="I23" i="4" s="1"/>
  <c r="K16" i="2"/>
  <c r="K39" i="2" s="1"/>
  <c r="I15" i="4" s="1"/>
  <c r="K8" i="2"/>
  <c r="K31" i="2" s="1"/>
  <c r="I7" i="4" s="1"/>
  <c r="K23" i="2"/>
  <c r="K46" i="2" s="1"/>
  <c r="I22" i="4" s="1"/>
  <c r="K15" i="2"/>
  <c r="K38" i="2" s="1"/>
  <c r="I14" i="4" s="1"/>
  <c r="K7" i="2"/>
  <c r="K30" i="2" s="1"/>
  <c r="I6" i="4" s="1"/>
  <c r="K22" i="2"/>
  <c r="K45" i="2" s="1"/>
  <c r="I21" i="4" s="1"/>
  <c r="K14" i="2"/>
  <c r="K37" i="2" s="1"/>
  <c r="I13" i="4" s="1"/>
  <c r="K6" i="2"/>
  <c r="K29" i="2" s="1"/>
  <c r="I5" i="4" s="1"/>
  <c r="J21" i="2"/>
  <c r="J44" i="2" s="1"/>
  <c r="H20" i="4" s="1"/>
  <c r="J13" i="2"/>
  <c r="J20" i="2"/>
  <c r="J43" i="2" s="1"/>
  <c r="H19" i="4" s="1"/>
  <c r="J12" i="2"/>
  <c r="J35" i="2" s="1"/>
  <c r="H11" i="4" s="1"/>
  <c r="J19" i="2"/>
  <c r="J42" i="2" s="1"/>
  <c r="H18" i="4" s="1"/>
  <c r="J11" i="2"/>
  <c r="J34" i="2" s="1"/>
  <c r="H10" i="4" s="1"/>
  <c r="J18" i="2"/>
  <c r="J41" i="2" s="1"/>
  <c r="H17" i="4" s="1"/>
  <c r="J10" i="2"/>
  <c r="J33" i="2" s="1"/>
  <c r="H9" i="4" s="1"/>
  <c r="J17" i="2"/>
  <c r="J40" i="2" s="1"/>
  <c r="H16" i="4" s="1"/>
  <c r="J9" i="2"/>
  <c r="J32" i="2" s="1"/>
  <c r="H8" i="4" s="1"/>
  <c r="J24" i="2"/>
  <c r="J47" i="2" s="1"/>
  <c r="H23" i="4" s="1"/>
  <c r="J16" i="2"/>
  <c r="J39" i="2" s="1"/>
  <c r="H15" i="4" s="1"/>
  <c r="J8" i="2"/>
  <c r="J31" i="2" s="1"/>
  <c r="H7" i="4" s="1"/>
  <c r="J23" i="2"/>
  <c r="J46" i="2" s="1"/>
  <c r="H22" i="4" s="1"/>
  <c r="J15" i="2"/>
  <c r="J38" i="2" s="1"/>
  <c r="H14" i="4" s="1"/>
  <c r="J7" i="2"/>
  <c r="J30" i="2" s="1"/>
  <c r="H6" i="4" s="1"/>
  <c r="J22" i="2"/>
  <c r="J45" i="2" s="1"/>
  <c r="H21" i="4" s="1"/>
  <c r="J14" i="2"/>
  <c r="J37" i="2" s="1"/>
  <c r="H13" i="4" s="1"/>
  <c r="J6" i="2"/>
  <c r="J29" i="2" s="1"/>
  <c r="H5" i="4" s="1"/>
  <c r="I21" i="2"/>
  <c r="I44" i="2" s="1"/>
  <c r="G20" i="4" s="1"/>
  <c r="I13" i="2"/>
  <c r="I36" i="2" s="1"/>
  <c r="G12" i="4" s="1"/>
  <c r="I20" i="2"/>
  <c r="I43" i="2" s="1"/>
  <c r="G19" i="4" s="1"/>
  <c r="I12" i="2"/>
  <c r="I35" i="2" s="1"/>
  <c r="G11" i="4" s="1"/>
  <c r="I19" i="2"/>
  <c r="I42" i="2" s="1"/>
  <c r="G18" i="4" s="1"/>
  <c r="I11" i="2"/>
  <c r="I34" i="2" s="1"/>
  <c r="G10" i="4" s="1"/>
  <c r="I18" i="2"/>
  <c r="I41" i="2" s="1"/>
  <c r="G17" i="4" s="1"/>
  <c r="I10" i="2"/>
  <c r="I33" i="2" s="1"/>
  <c r="G9" i="4" s="1"/>
  <c r="I17" i="2"/>
  <c r="I40" i="2" s="1"/>
  <c r="G16" i="4" s="1"/>
  <c r="I9" i="2"/>
  <c r="I32" i="2" s="1"/>
  <c r="G8" i="4" s="1"/>
  <c r="I24" i="2"/>
  <c r="I47" i="2" s="1"/>
  <c r="G23" i="4" s="1"/>
  <c r="I16" i="2"/>
  <c r="I39" i="2" s="1"/>
  <c r="G15" i="4" s="1"/>
  <c r="I8" i="2"/>
  <c r="I31" i="2" s="1"/>
  <c r="G7" i="4" s="1"/>
  <c r="I23" i="2"/>
  <c r="I46" i="2" s="1"/>
  <c r="G22" i="4" s="1"/>
  <c r="I15" i="2"/>
  <c r="I38" i="2" s="1"/>
  <c r="G14" i="4" s="1"/>
  <c r="I7" i="2"/>
  <c r="I30" i="2" s="1"/>
  <c r="G6" i="4" s="1"/>
  <c r="I22" i="2"/>
  <c r="I45" i="2" s="1"/>
  <c r="G21" i="4" s="1"/>
  <c r="I14" i="2"/>
  <c r="I37" i="2" s="1"/>
  <c r="G13" i="4" s="1"/>
  <c r="I6" i="2"/>
  <c r="I29" i="2" s="1"/>
  <c r="G5" i="4" s="1"/>
  <c r="H21" i="2"/>
  <c r="H44" i="2" s="1"/>
  <c r="F20" i="4" s="1"/>
  <c r="H13" i="2"/>
  <c r="H36" i="2" s="1"/>
  <c r="F12" i="4" s="1"/>
  <c r="H20" i="2"/>
  <c r="H43" i="2" s="1"/>
  <c r="F19" i="4" s="1"/>
  <c r="H12" i="2"/>
  <c r="H35" i="2" s="1"/>
  <c r="F11" i="4" s="1"/>
  <c r="H19" i="2"/>
  <c r="H42" i="2" s="1"/>
  <c r="F18" i="4" s="1"/>
  <c r="H11" i="2"/>
  <c r="H34" i="2" s="1"/>
  <c r="F10" i="4" s="1"/>
  <c r="H18" i="2"/>
  <c r="H41" i="2" s="1"/>
  <c r="F17" i="4" s="1"/>
  <c r="H10" i="2"/>
  <c r="H33" i="2" s="1"/>
  <c r="F9" i="4" s="1"/>
  <c r="H17" i="2"/>
  <c r="H40" i="2" s="1"/>
  <c r="F16" i="4" s="1"/>
  <c r="H9" i="2"/>
  <c r="H32" i="2" s="1"/>
  <c r="F8" i="4" s="1"/>
  <c r="H24" i="2"/>
  <c r="H47" i="2" s="1"/>
  <c r="F23" i="4" s="1"/>
  <c r="H16" i="2"/>
  <c r="H39" i="2" s="1"/>
  <c r="F15" i="4" s="1"/>
  <c r="H8" i="2"/>
  <c r="H31" i="2" s="1"/>
  <c r="F7" i="4" s="1"/>
  <c r="H23" i="2"/>
  <c r="H46" i="2" s="1"/>
  <c r="F22" i="4" s="1"/>
  <c r="H15" i="2"/>
  <c r="H38" i="2" s="1"/>
  <c r="F14" i="4" s="1"/>
  <c r="H7" i="2"/>
  <c r="H30" i="2" s="1"/>
  <c r="F6" i="4" s="1"/>
  <c r="H22" i="2"/>
  <c r="H45" i="2" s="1"/>
  <c r="F21" i="4" s="1"/>
  <c r="H14" i="2"/>
  <c r="H37" i="2" s="1"/>
  <c r="F13" i="4" s="1"/>
  <c r="H6" i="2"/>
  <c r="H29" i="2" s="1"/>
  <c r="F5" i="4" s="1"/>
  <c r="G21" i="2"/>
  <c r="G44" i="2" s="1"/>
  <c r="E20" i="4" s="1"/>
  <c r="G13" i="2"/>
  <c r="G36" i="2" s="1"/>
  <c r="E12" i="4" s="1"/>
  <c r="G20" i="2"/>
  <c r="G43" i="2" s="1"/>
  <c r="E19" i="4" s="1"/>
  <c r="G12" i="2"/>
  <c r="G35" i="2" s="1"/>
  <c r="E11" i="4" s="1"/>
  <c r="G19" i="2"/>
  <c r="G42" i="2" s="1"/>
  <c r="E18" i="4" s="1"/>
  <c r="G11" i="2"/>
  <c r="G34" i="2" s="1"/>
  <c r="E10" i="4" s="1"/>
  <c r="G18" i="2"/>
  <c r="G41" i="2" s="1"/>
  <c r="E17" i="4" s="1"/>
  <c r="G10" i="2"/>
  <c r="G33" i="2" s="1"/>
  <c r="E9" i="4" s="1"/>
  <c r="G17" i="2"/>
  <c r="G40" i="2" s="1"/>
  <c r="E16" i="4" s="1"/>
  <c r="G9" i="2"/>
  <c r="G32" i="2" s="1"/>
  <c r="E8" i="4" s="1"/>
  <c r="G24" i="2"/>
  <c r="G47" i="2" s="1"/>
  <c r="E23" i="4" s="1"/>
  <c r="G16" i="2"/>
  <c r="G39" i="2" s="1"/>
  <c r="E15" i="4" s="1"/>
  <c r="G8" i="2"/>
  <c r="G31" i="2" s="1"/>
  <c r="E7" i="4" s="1"/>
  <c r="G23" i="2"/>
  <c r="G46" i="2" s="1"/>
  <c r="E22" i="4" s="1"/>
  <c r="G15" i="2"/>
  <c r="G38" i="2" s="1"/>
  <c r="E14" i="4" s="1"/>
  <c r="G7" i="2"/>
  <c r="G30" i="2" s="1"/>
  <c r="E6" i="4" s="1"/>
  <c r="G22" i="2"/>
  <c r="G45" i="2" s="1"/>
  <c r="E21" i="4" s="1"/>
  <c r="G14" i="2"/>
  <c r="G37" i="2" s="1"/>
  <c r="E13" i="4" s="1"/>
  <c r="G6" i="2"/>
  <c r="G29" i="2" s="1"/>
  <c r="E5" i="4" s="1"/>
  <c r="F21" i="2"/>
  <c r="F44" i="2" s="1"/>
  <c r="D20" i="4" s="1"/>
  <c r="F13" i="2"/>
  <c r="F36" i="2" s="1"/>
  <c r="D12" i="4" s="1"/>
  <c r="F20" i="2"/>
  <c r="F43" i="2" s="1"/>
  <c r="D19" i="4" s="1"/>
  <c r="F12" i="2"/>
  <c r="F35" i="2" s="1"/>
  <c r="D11" i="4" s="1"/>
  <c r="F19" i="2"/>
  <c r="F42" i="2" s="1"/>
  <c r="D18" i="4" s="1"/>
  <c r="F11" i="2"/>
  <c r="F34" i="2" s="1"/>
  <c r="D10" i="4" s="1"/>
  <c r="F18" i="2"/>
  <c r="F41" i="2" s="1"/>
  <c r="D17" i="4" s="1"/>
  <c r="F10" i="2"/>
  <c r="F33" i="2" s="1"/>
  <c r="D9" i="4" s="1"/>
  <c r="F17" i="2"/>
  <c r="F40" i="2" s="1"/>
  <c r="D16" i="4" s="1"/>
  <c r="F9" i="2"/>
  <c r="F32" i="2" s="1"/>
  <c r="D8" i="4" s="1"/>
  <c r="F24" i="2"/>
  <c r="F47" i="2" s="1"/>
  <c r="D23" i="4" s="1"/>
  <c r="F16" i="2"/>
  <c r="F39" i="2" s="1"/>
  <c r="D15" i="4" s="1"/>
  <c r="F8" i="2"/>
  <c r="F31" i="2" s="1"/>
  <c r="D7" i="4" s="1"/>
  <c r="F23" i="2"/>
  <c r="F46" i="2" s="1"/>
  <c r="D22" i="4" s="1"/>
  <c r="F15" i="2"/>
  <c r="F38" i="2" s="1"/>
  <c r="D14" i="4" s="1"/>
  <c r="F7" i="2"/>
  <c r="F30" i="2" s="1"/>
  <c r="D6" i="4" s="1"/>
  <c r="F22" i="2"/>
  <c r="F45" i="2" s="1"/>
  <c r="D21" i="4" s="1"/>
  <c r="F14" i="2"/>
  <c r="F37" i="2" s="1"/>
  <c r="D13" i="4" s="1"/>
  <c r="F6" i="2"/>
  <c r="F29" i="2" s="1"/>
  <c r="D5" i="4" s="1"/>
  <c r="E20" i="2"/>
  <c r="E43" i="2" s="1"/>
  <c r="C19" i="4" s="1"/>
  <c r="E12" i="2"/>
  <c r="E35" i="2" s="1"/>
  <c r="C11" i="4" s="1"/>
  <c r="E19" i="2"/>
  <c r="E42" i="2" s="1"/>
  <c r="C18" i="4" s="1"/>
  <c r="E11" i="2"/>
  <c r="E34" i="2" s="1"/>
  <c r="C10" i="4" s="1"/>
  <c r="E18" i="2"/>
  <c r="E41" i="2" s="1"/>
  <c r="C17" i="4" s="1"/>
  <c r="E10" i="2"/>
  <c r="E33" i="2" s="1"/>
  <c r="C9" i="4" s="1"/>
  <c r="E17" i="2"/>
  <c r="E40" i="2" s="1"/>
  <c r="C16" i="4" s="1"/>
  <c r="E9" i="2"/>
  <c r="E32" i="2" s="1"/>
  <c r="C8" i="4" s="1"/>
  <c r="E24" i="2"/>
  <c r="E47" i="2" s="1"/>
  <c r="C23" i="4" s="1"/>
  <c r="E16" i="2"/>
  <c r="E39" i="2" s="1"/>
  <c r="C15" i="4" s="1"/>
  <c r="E8" i="2"/>
  <c r="E31" i="2" s="1"/>
  <c r="C7" i="4" s="1"/>
  <c r="E23" i="2"/>
  <c r="E46" i="2" s="1"/>
  <c r="C22" i="4" s="1"/>
  <c r="E15" i="2"/>
  <c r="E38" i="2" s="1"/>
  <c r="C14" i="4" s="1"/>
  <c r="E7" i="2"/>
  <c r="E30" i="2" s="1"/>
  <c r="C6" i="4" s="1"/>
  <c r="E22" i="2"/>
  <c r="E45" i="2" s="1"/>
  <c r="C21" i="4" s="1"/>
  <c r="E14" i="2"/>
  <c r="E37" i="2" s="1"/>
  <c r="C13" i="4" s="1"/>
  <c r="E6" i="2"/>
  <c r="E29" i="2" s="1"/>
  <c r="C5" i="4" s="1"/>
  <c r="E21" i="2"/>
  <c r="E44" i="2" s="1"/>
  <c r="C20" i="4" s="1"/>
  <c r="E13" i="2"/>
  <c r="E36" i="2" s="1"/>
  <c r="C12" i="4" s="1"/>
  <c r="E5" i="2"/>
  <c r="E28" i="2" s="1"/>
  <c r="C4" i="4" s="1"/>
  <c r="D19" i="2"/>
  <c r="D42" i="2" s="1"/>
  <c r="B18" i="4" s="1"/>
  <c r="D11" i="2"/>
  <c r="D34" i="2" s="1"/>
  <c r="B10" i="4" s="1"/>
  <c r="D18" i="2"/>
  <c r="D41" i="2" s="1"/>
  <c r="B17" i="4" s="1"/>
  <c r="D10" i="2"/>
  <c r="D33" i="2" s="1"/>
  <c r="B9" i="4" s="1"/>
  <c r="D17" i="2"/>
  <c r="D40" i="2" s="1"/>
  <c r="B16" i="4" s="1"/>
  <c r="D9" i="2"/>
  <c r="D32" i="2" s="1"/>
  <c r="B8" i="4" s="1"/>
  <c r="D24" i="2"/>
  <c r="D47" i="2" s="1"/>
  <c r="B23" i="4" s="1"/>
  <c r="D16" i="2"/>
  <c r="D39" i="2" s="1"/>
  <c r="B15" i="4" s="1"/>
  <c r="D8" i="2"/>
  <c r="D31" i="2" s="1"/>
  <c r="B7" i="4" s="1"/>
  <c r="D23" i="2"/>
  <c r="D46" i="2" s="1"/>
  <c r="B22" i="4" s="1"/>
  <c r="D15" i="2"/>
  <c r="D38" i="2" s="1"/>
  <c r="B14" i="4" s="1"/>
  <c r="D7" i="2"/>
  <c r="D30" i="2" s="1"/>
  <c r="B6" i="4" s="1"/>
  <c r="D22" i="2"/>
  <c r="D45" i="2" s="1"/>
  <c r="B21" i="4" s="1"/>
  <c r="D14" i="2"/>
  <c r="D37" i="2" s="1"/>
  <c r="B13" i="4" s="1"/>
  <c r="D6" i="2"/>
  <c r="D29" i="2" s="1"/>
  <c r="B5" i="4" s="1"/>
  <c r="D21" i="2"/>
  <c r="D44" i="2" s="1"/>
  <c r="B20" i="4" s="1"/>
  <c r="D13" i="2"/>
  <c r="D36" i="2" s="1"/>
  <c r="B12" i="4" s="1"/>
  <c r="D5" i="2"/>
  <c r="D28" i="2" s="1"/>
  <c r="B4" i="4" s="1"/>
  <c r="D20" i="2"/>
  <c r="D43" i="2" s="1"/>
  <c r="B19" i="4" s="1"/>
  <c r="D12" i="2"/>
  <c r="D35" i="2" s="1"/>
  <c r="B11" i="4" s="1"/>
  <c r="D4" i="2"/>
  <c r="D27" i="2" s="1"/>
  <c r="B3" i="4" s="1"/>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3" i="2"/>
  <c r="C26" i="2" s="1"/>
  <c r="A2" i="4" s="1"/>
  <c r="F138" i="1"/>
  <c r="F136" i="1"/>
  <c r="F137" i="1"/>
  <c r="F116" i="1"/>
  <c r="F114" i="1"/>
  <c r="F99" i="1"/>
  <c r="F100" i="1"/>
  <c r="F94" i="1"/>
  <c r="F95" i="1"/>
  <c r="F96" i="1"/>
  <c r="F97" i="1"/>
  <c r="F77" i="1"/>
  <c r="F25" i="1"/>
  <c r="F23" i="1"/>
  <c r="F18" i="1"/>
  <c r="F15" i="1"/>
  <c r="F16" i="1"/>
  <c r="F14" i="1"/>
  <c r="F7" i="1"/>
  <c r="F6" i="1"/>
  <c r="F5" i="1"/>
  <c r="J36" i="2" l="1"/>
  <c r="H12" i="4" s="1"/>
  <c r="C27" i="2"/>
  <c r="A3" i="4" s="1"/>
  <c r="E53" i="2"/>
  <c r="O26" i="2"/>
  <c r="M2" i="4" s="1"/>
  <c r="C49"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<sst xmlns="http://schemas.openxmlformats.org/spreadsheetml/2006/main" count="34303" uniqueCount="16252">
  <si>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</si>
  <si>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</si>
  <si>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</si>
  <si>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</si>
  <si>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</si>
  <si>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</si>
  <si>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</si>
  <si>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</si>
  <si>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</si>
  <si>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</si>
  <si>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</si>
  <si>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</si>
  <si>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</si>
  <si>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</si>
  <si>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</si>
  <si>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</si>
  <si>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</si>
  <si>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</si>
  <si>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</si>
  <si>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</si>
  <si>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</si>
  <si>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</si>
  <si>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</si>
  <si>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</si>
  <si>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</si>
  <si>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</si>
  <si>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</si>
  <si>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</si>
  <si>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</si>
  <si>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</si>
  <si>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</si>
  <si>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</si>
  <si>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</si>
  <si>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</si>
  <si>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</si>
  <si>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</si>
  <si>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</si>
  <si>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</si>
  <si>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</si>
  <si>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</si>
  <si>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</si>
  <si>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</si>
  <si>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</si>
  <si>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</si>
  <si>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</si>
  <si>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</si>
  <si>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</si>
  <si>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</si>
  <si>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</si>
  <si>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</si>
  <si>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</si>
  <si>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</si>
  <si>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</si>
  <si>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</si>
  <si>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</si>
  <si>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</si>
  <si>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</si>
  <si>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</si>
  <si>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</si>
  <si>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</si>
  <si>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</si>
  <si>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</si>
  <si>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</si>
  <si>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</si>
  <si>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</si>
  <si>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</si>
  <si>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</si>
  <si>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</si>
  <si>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</si>
  <si>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</si>
  <si>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</si>
  <si>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</si>
  <si>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</si>
  <si>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</si>
  <si>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</si>
  <si>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</si>
  <si>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</si>
  <si>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</si>
  <si>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</si>
  <si>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</si>
  <si>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</si>
  <si>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</si>
  <si>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</si>
  <si>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</si>
  <si>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</si>
  <si>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</si>
  <si>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</si>
  <si>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</si>
  <si>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</si>
  <si>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</si>
  <si>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</si>
  <si>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</si>
  <si>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</si>
  <si>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</si>
  <si>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</si>
  <si>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</si>
  <si>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</si>
  <si>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</si>
  <si>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</si>
  <si>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</si>
  <si>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</si>
  <si>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</si>
  <si>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</si>
  <si>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</si>
  <si>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</si>
  <si>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</si>
  <si>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</si>
  <si>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</si>
  <si>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</si>
  <si>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</si>
  <si>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</si>
  <si>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</si>
  <si>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</si>
  <si>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</si>
  <si>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</si>
  <si>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</si>
  <si>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</si>
  <si>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</si>
  <si>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</si>
  <si>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</si>
  <si>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</si>
  <si>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</si>
  <si>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</si>
  <si>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</si>
  <si>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</si>
  <si>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</si>
  <si>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</si>
  <si>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</si>
  <si>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</si>
  <si>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</si>
  <si>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</si>
  <si>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</si>
  <si>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</si>
  <si>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</si>
  <si>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</si>
  <si>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</si>
  <si>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</si>
  <si>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</si>
  <si>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</si>
  <si>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</si>
  <si>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</si>
  <si>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</si>
  <si>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</si>
  <si>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</si>
  <si>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</si>
  <si>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</si>
  <si>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</si>
  <si>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</si>
  <si>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</si>
  <si>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</si>
  <si>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</si>
  <si>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</si>
  <si>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</si>
  <si>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</si>
  <si>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</si>
  <si>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</si>
  <si>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</si>
  <si>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</si>
  <si>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</si>
  <si>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</si>
  <si>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</si>
  <si>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</si>
  <si>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</si>
  <si>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</si>
  <si>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</si>
  <si>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</si>
  <si>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</si>
  <si>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</si>
  <si>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</si>
  <si>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</si>
  <si>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</si>
  <si>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</si>
  <si>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</si>
  <si>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</si>
  <si>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</si>
  <si>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</si>
  <si>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</si>
  <si>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</si>
  <si>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</si>
  <si>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</si>
  <si>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</si>
  <si>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</si>
  <si>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</si>
  <si>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</si>
  <si>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</si>
  <si>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</si>
  <si>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</si>
  <si>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</si>
  <si>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</si>
  <si>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</si>
  <si>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</si>
  <si>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</si>
  <si>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</si>
  <si>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</si>
  <si>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</si>
  <si>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</si>
  <si>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</si>
  <si>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</si>
  <si>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</si>
  <si>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</si>
  <si>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</si>
  <si>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</si>
  <si>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</si>
  <si>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</si>
  <si>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</si>
  <si>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</si>
  <si>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</si>
  <si>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</si>
  <si>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</si>
  <si>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</si>
  <si>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</si>
  <si>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</si>
  <si>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</si>
  <si>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</si>
  <si>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</si>
  <si>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</si>
  <si>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</si>
  <si>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</si>
  <si>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</si>
  <si>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</si>
  <si>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</si>
  <si>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</si>
  <si>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</si>
  <si>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</si>
  <si>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</si>
  <si>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</si>
  <si>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</si>
  <si>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</si>
  <si>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</si>
  <si>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</si>
  <si>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</si>
  <si>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</si>
  <si>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</si>
  <si>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</si>
  <si>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</si>
  <si>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</si>
  <si>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</si>
  <si>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</si>
  <si>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</si>
  <si>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</si>
  <si>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</si>
  <si>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</si>
  <si>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</si>
  <si>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</si>
  <si>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</si>
  <si>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</si>
  <si>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</si>
  <si>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</si>
  <si>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</si>
  <si>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</si>
  <si>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</si>
  <si>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</si>
  <si>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</si>
  <si>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</si>
  <si>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</si>
  <si>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</si>
  <si>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</si>
  <si>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</si>
  <si>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</si>
  <si>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</si>
  <si>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</si>
  <si>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</si>
  <si>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</si>
  <si>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</si>
  <si>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</si>
  <si>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</si>
  <si>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</si>
  <si>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</si>
  <si>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</si>
  <si>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</si>
  <si>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</si>
  <si>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</si>
  <si>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</si>
  <si>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</si>
  <si>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</si>
  <si>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</si>
  <si>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</si>
  <si>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</si>
  <si>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</si>
  <si>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</si>
  <si>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</si>
  <si>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</si>
  <si>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</si>
  <si>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</si>
  <si>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</si>
  <si>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</si>
  <si>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</si>
  <si>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</si>
  <si>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</si>
  <si>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</si>
  <si>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</si>
  <si>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</si>
  <si>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</si>
  <si>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</si>
  <si>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</si>
  <si>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</si>
  <si>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</si>
  <si>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</si>
  <si>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</si>
  <si>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</si>
  <si>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</si>
  <si>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</si>
  <si>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</si>
  <si>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</si>
  <si>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</si>
  <si>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</si>
  <si>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</si>
  <si>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</si>
  <si>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</si>
  <si>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</si>
  <si>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</si>
  <si>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</si>
  <si>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</si>
  <si>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</si>
  <si>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</si>
  <si>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</si>
  <si>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</si>
  <si>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</si>
  <si>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</si>
  <si>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</si>
  <si>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</si>
  <si>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</si>
  <si>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</si>
  <si>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</si>
  <si>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</si>
  <si>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</si>
  <si>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</si>
  <si>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</si>
  <si>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</si>
  <si>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</si>
  <si>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</si>
  <si>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</si>
  <si>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</si>
  <si>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</si>
  <si>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</si>
  <si>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</si>
  <si>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</si>
  <si>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</si>
  <si>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</si>
  <si>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</si>
  <si>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</si>
  <si>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</si>
  <si>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</si>
  <si>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</si>
  <si>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</si>
  <si>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</si>
  <si>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</si>
  <si>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</si>
  <si>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</si>
  <si>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</si>
  <si>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</si>
  <si>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</si>
  <si>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</si>
  <si>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</si>
  <si>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</si>
  <si>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</si>
  <si>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</si>
  <si>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</si>
  <si>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</si>
  <si>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</si>
  <si>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</si>
  <si>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</si>
  <si>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</si>
  <si>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</si>
  <si>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</si>
  <si>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</si>
  <si>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</si>
  <si>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</si>
  <si>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</si>
  <si>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</si>
  <si>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</si>
  <si>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</si>
  <si>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</si>
  <si>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</si>
  <si>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</si>
  <si>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</si>
  <si>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</si>
  <si>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</si>
  <si>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</si>
  <si>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</si>
  <si>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</si>
  <si>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</si>
  <si>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</si>
  <si>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</si>
  <si>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</si>
  <si>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</si>
  <si>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</si>
  <si>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</si>
  <si>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</si>
  <si>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</si>
  <si>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</si>
  <si>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</si>
  <si>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</si>
  <si>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</si>
  <si>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</si>
  <si>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</si>
  <si>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</si>
  <si>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</si>
  <si>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</si>
  <si>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</si>
  <si>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</si>
  <si>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</si>
  <si>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</si>
  <si>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</si>
  <si>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</si>
  <si>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</si>
  <si>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</si>
  <si>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</si>
  <si>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</si>
  <si>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</si>
  <si>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</si>
  <si>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</si>
  <si>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</si>
  <si>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</si>
  <si>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</si>
  <si>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</si>
  <si>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</si>
  <si>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</si>
  <si>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</si>
  <si>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</si>
  <si>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</si>
  <si>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</si>
  <si>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</si>
  <si>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</si>
  <si>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</si>
  <si>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</si>
  <si>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</si>
  <si>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</si>
  <si>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</si>
  <si>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</si>
  <si>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</si>
  <si>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</si>
  <si>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</si>
  <si>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</si>
  <si>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</si>
  <si>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</si>
  <si>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</si>
  <si>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</si>
  <si>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</si>
  <si>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</si>
  <si>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</si>
  <si>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</si>
  <si>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</si>
  <si>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</si>
  <si>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</si>
  <si>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</si>
  <si>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</si>
  <si>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</si>
  <si>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</si>
  <si>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</si>
  <si>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</si>
  <si>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</si>
  <si>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</si>
  <si>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</si>
  <si>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</si>
  <si>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</si>
  <si>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</si>
  <si>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</si>
  <si>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</si>
  <si>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</si>
  <si>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</si>
  <si>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</si>
  <si>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</si>
  <si>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</si>
  <si>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</si>
  <si>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</si>
  <si>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</si>
  <si>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</si>
  <si>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</si>
  <si>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</si>
  <si>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</si>
  <si>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</si>
  <si>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</si>
  <si>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</si>
  <si>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</si>
  <si>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</si>
  <si>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</si>
  <si>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</si>
  <si>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</si>
  <si>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</si>
  <si>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</si>
  <si>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</si>
  <si>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</si>
  <si>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</si>
  <si>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</si>
  <si>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</si>
  <si>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</si>
  <si>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</si>
  <si>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</si>
  <si>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</si>
  <si>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</si>
  <si>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</si>
  <si>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</si>
  <si>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</si>
  <si>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</si>
  <si>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</si>
  <si>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</si>
  <si>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</si>
  <si>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</si>
  <si>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</si>
  <si>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</si>
  <si>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</si>
  <si>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</si>
  <si>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</si>
  <si>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</si>
  <si>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</si>
  <si>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</si>
  <si>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</si>
  <si>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</si>
  <si>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</si>
  <si>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</si>
  <si>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</si>
  <si>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</si>
  <si>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</si>
  <si>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</si>
  <si>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</si>
  <si>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</si>
  <si>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</si>
  <si>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</si>
  <si>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</si>
  <si>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</si>
  <si>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</si>
  <si>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</si>
  <si>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</si>
  <si>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</si>
  <si>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</si>
  <si>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</si>
  <si>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</si>
  <si>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</si>
  <si>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</si>
  <si>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</si>
  <si>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</si>
  <si>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</si>
  <si>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</si>
  <si>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</si>
  <si>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</si>
  <si>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</si>
  <si>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</si>
  <si>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</si>
  <si>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</si>
  <si>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</si>
  <si>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</si>
  <si>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</si>
  <si>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</si>
  <si>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</si>
  <si>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</si>
  <si>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</si>
  <si>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</si>
  <si>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</si>
  <si>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</si>
  <si>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</si>
  <si>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</si>
  <si>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</si>
  <si>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</si>
  <si>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</si>
  <si>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</si>
  <si>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</si>
  <si>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</si>
  <si>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</si>
  <si>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</si>
  <si>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</si>
  <si>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</si>
  <si>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</si>
  <si>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</si>
  <si>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</si>
  <si>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</si>
  <si>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</si>
  <si>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</si>
  <si>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</si>
  <si>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</si>
  <si>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</si>
  <si>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</si>
  <si>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</si>
  <si>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</si>
  <si>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</si>
  <si>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</si>
  <si>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</si>
  <si>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</si>
  <si>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</si>
  <si>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</si>
  <si>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</si>
  <si>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</si>
  <si>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</si>
  <si>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</si>
  <si>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</si>
  <si>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</si>
  <si>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</si>
  <si>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</si>
  <si>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</si>
  <si>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</si>
  <si>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</si>
  <si>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</si>
  <si>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</si>
  <si>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</si>
  <si>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</si>
  <si>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</si>
  <si>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</si>
  <si>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</si>
  <si>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</si>
  <si>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</si>
  <si>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</si>
  <si>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</si>
  <si>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</si>
  <si>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</si>
  <si>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</si>
  <si>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</si>
  <si>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</si>
  <si>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</si>
  <si>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</si>
  <si>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</si>
  <si>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</si>
  <si>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</si>
  <si>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</si>
  <si>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</si>
  <si>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</si>
  <si>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</si>
  <si>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</si>
  <si>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</si>
  <si>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</si>
  <si>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</si>
  <si>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</si>
  <si>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</si>
  <si>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</si>
  <si>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</si>
  <si>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</si>
  <si>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</si>
  <si>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</si>
  <si>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</si>
  <si>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</si>
  <si>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</si>
  <si>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</si>
  <si>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</si>
  <si>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</si>
  <si>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</si>
  <si>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</si>
  <si>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</si>
  <si>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</si>
  <si>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</si>
  <si>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</si>
  <si>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</si>
  <si>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</si>
  <si>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</si>
  <si>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</si>
  <si>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</si>
  <si>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</si>
  <si>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</si>
  <si>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</si>
  <si>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</si>
  <si>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</si>
  <si>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</si>
  <si>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</si>
  <si>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</si>
  <si>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</si>
  <si>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</si>
  <si>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</si>
  <si>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</si>
  <si>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</si>
  <si>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</si>
  <si>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</si>
  <si>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</si>
  <si>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</si>
  <si>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</si>
  <si>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</si>
  <si>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</si>
  <si>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</si>
  <si>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</si>
  <si>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</si>
  <si>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</si>
  <si>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</si>
  <si>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</si>
  <si>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</si>
  <si>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</si>
  <si>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</si>
  <si>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</si>
  <si>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</si>
  <si>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</si>
  <si>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</si>
  <si>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</si>
  <si>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</si>
  <si>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</si>
  <si>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</si>
  <si>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</si>
  <si>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</si>
  <si>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</si>
  <si>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</si>
  <si>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</si>
  <si>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</si>
  <si>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</si>
  <si>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</si>
  <si>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</si>
  <si>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</si>
  <si>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</si>
  <si>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</si>
  <si>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</si>
  <si>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</si>
  <si>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</si>
  <si>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</si>
  <si>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</si>
  <si>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</si>
  <si>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</si>
  <si>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</si>
  <si>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</si>
  <si>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</si>
  <si>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</si>
  <si>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</si>
  <si>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</si>
  <si>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</si>
  <si>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</si>
  <si>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</si>
  <si>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</si>
  <si>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</si>
  <si>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</si>
  <si>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</si>
  <si>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</si>
  <si>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</si>
  <si>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</si>
  <si>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</si>
  <si>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</si>
  <si>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</si>
  <si>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</si>
  <si>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</si>
  <si>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</si>
  <si>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</si>
  <si>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</si>
  <si>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</si>
  <si>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</si>
  <si>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</si>
  <si>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</si>
  <si>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</si>
  <si>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</si>
  <si>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</si>
  <si>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</si>
  <si>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</si>
  <si>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</si>
  <si>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</si>
  <si>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</si>
  <si>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</si>
  <si>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</si>
  <si>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</si>
  <si>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</si>
  <si>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</si>
  <si>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</si>
  <si>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</si>
  <si>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</si>
  <si>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</si>
  <si>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</si>
  <si>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</si>
  <si>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</si>
  <si>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</si>
  <si>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</si>
  <si>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</si>
  <si>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</si>
  <si>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</si>
  <si>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</si>
  <si>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</si>
  <si>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</si>
  <si>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</si>
  <si>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</si>
  <si>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</si>
  <si>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</si>
  <si>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</si>
  <si>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</si>
  <si>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</si>
  <si>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</si>
  <si>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</si>
  <si>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</si>
  <si>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</si>
  <si>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</si>
  <si>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</si>
  <si>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</si>
  <si>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</si>
  <si>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</si>
  <si>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</si>
  <si>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</si>
  <si>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</si>
  <si>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</si>
  <si>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</si>
  <si>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</si>
  <si>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</si>
  <si>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</si>
  <si>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</si>
  <si>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</si>
  <si>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</si>
  <si>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</si>
  <si>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</si>
  <si>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</si>
  <si>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</si>
  <si>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</si>
  <si>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</si>
  <si>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</si>
  <si>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</si>
  <si>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</si>
  <si>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</si>
  <si>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</si>
  <si>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</si>
  <si>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</si>
  <si>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</si>
  <si>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</si>
  <si>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</si>
  <si>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</si>
  <si>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</si>
  <si>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</si>
  <si>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</si>
  <si>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</si>
  <si>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</si>
  <si>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</si>
  <si>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</si>
  <si>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</si>
  <si>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</si>
  <si>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</si>
  <si>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</si>
  <si>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</si>
  <si>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</si>
  <si>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</si>
  <si>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</si>
  <si>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</si>
  <si>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</si>
  <si>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</si>
  <si>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</si>
  <si>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</si>
  <si>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</si>
  <si>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</si>
  <si>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</si>
  <si>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</si>
  <si>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</si>
  <si>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</si>
  <si>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</si>
  <si>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</si>
  <si>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</si>
  <si>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</si>
  <si>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</si>
  <si>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</si>
  <si>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</si>
  <si>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</si>
  <si>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</si>
  <si>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</si>
  <si>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</si>
  <si>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</si>
  <si>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</si>
  <si>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</si>
  <si>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</si>
  <si>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</si>
  <si>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</si>
  <si>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</si>
  <si>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</si>
  <si>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</si>
  <si>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</si>
  <si>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</si>
  <si>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</si>
  <si>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</si>
  <si>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</si>
  <si>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</si>
  <si>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</si>
  <si>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</si>
  <si>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</si>
  <si>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</si>
  <si>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</si>
  <si>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</si>
  <si>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</si>
  <si>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</si>
  <si>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</si>
  <si>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</si>
  <si>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</si>
  <si>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</si>
  <si>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</si>
  <si>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</si>
  <si>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</si>
  <si>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</si>
  <si>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</si>
  <si>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</si>
  <si>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</si>
  <si>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</si>
  <si>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</si>
  <si>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</si>
  <si>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</si>
  <si>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</si>
  <si>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</si>
  <si>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</si>
  <si>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</si>
  <si>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</si>
  <si>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</si>
  <si>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</si>
  <si>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</si>
  <si>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</si>
  <si>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</si>
  <si>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</si>
  <si>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</si>
  <si>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</si>
  <si>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</si>
  <si>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</si>
  <si>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</si>
  <si>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</si>
  <si>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</si>
  <si>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</si>
  <si>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</si>
  <si>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</si>
  <si>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</si>
  <si>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</si>
  <si>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</si>
  <si>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</si>
  <si>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</si>
  <si>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</si>
  <si>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</si>
  <si>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</si>
  <si>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</si>
  <si>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</si>
  <si>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</si>
  <si>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</si>
  <si>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</si>
  <si>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</si>
  <si>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</si>
  <si>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</si>
  <si>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</si>
  <si>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</si>
  <si>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</si>
  <si>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</si>
  <si>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</si>
  <si>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</si>
  <si>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</si>
  <si>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</si>
  <si>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</si>
  <si>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</si>
  <si>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</si>
  <si>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</si>
  <si>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</si>
  <si>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</si>
  <si>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</si>
  <si>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</si>
  <si>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</si>
  <si>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</si>
  <si>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</si>
  <si>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</si>
  <si>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</si>
  <si>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</si>
  <si>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</si>
  <si>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</si>
  <si>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</si>
  <si>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</si>
  <si>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</si>
  <si>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</si>
  <si>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</si>
  <si>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</si>
  <si>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</si>
  <si>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</si>
  <si>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</si>
  <si>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</si>
  <si>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</si>
  <si>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</si>
  <si>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</si>
  <si>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</si>
  <si>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</si>
  <si>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</si>
  <si>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</si>
  <si>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</si>
  <si>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</si>
  <si>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</si>
  <si>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</si>
  <si>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</si>
  <si>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</si>
  <si>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</si>
  <si>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</si>
  <si>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</si>
  <si>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</si>
  <si>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</si>
  <si>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</si>
  <si>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</si>
  <si>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</si>
  <si>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</si>
  <si>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</si>
  <si>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</si>
  <si>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</si>
  <si>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</si>
  <si>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</si>
  <si>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</si>
  <si>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</si>
  <si>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</si>
  <si>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</si>
  <si>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</si>
  <si>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</si>
  <si>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</si>
  <si>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</si>
  <si>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</si>
  <si>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</si>
  <si>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</si>
  <si>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</si>
  <si>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</si>
  <si>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</si>
  <si>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</si>
  <si>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</si>
  <si>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</si>
  <si>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</si>
  <si>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</si>
  <si>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</si>
  <si>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</si>
  <si>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</si>
  <si>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</si>
  <si>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</si>
  <si>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</si>
  <si>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</si>
  <si>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</si>
  <si>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</si>
  <si>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</si>
  <si>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</si>
  <si>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</si>
  <si>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</si>
  <si>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</si>
  <si>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</si>
  <si>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</si>
  <si>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</si>
  <si>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</si>
  <si>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</si>
  <si>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</si>
  <si>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</si>
  <si>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</si>
  <si>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</si>
  <si>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</si>
  <si>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</si>
  <si>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</si>
  <si>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</si>
  <si>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</si>
  <si>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</si>
  <si>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</si>
  <si>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</si>
  <si>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</si>
  <si>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</si>
  <si>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</si>
  <si>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</si>
  <si>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</si>
  <si>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</si>
  <si>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</si>
  <si>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</si>
  <si>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</si>
  <si>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</si>
  <si>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</si>
  <si>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</si>
  <si>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</si>
  <si>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</si>
  <si>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</si>
  <si>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</si>
  <si>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</si>
  <si>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</si>
  <si>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</si>
  <si>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</si>
  <si>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</si>
  <si>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</si>
  <si>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</si>
  <si>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</si>
  <si>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</si>
  <si>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</si>
  <si>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</si>
  <si>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</si>
  <si>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</si>
  <si>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</si>
  <si>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</si>
  <si>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</si>
  <si>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</si>
  <si>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</si>
  <si>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</si>
  <si>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</si>
  <si>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</si>
  <si>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</si>
  <si>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</si>
  <si>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</si>
  <si>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</si>
  <si>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</si>
  <si>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</si>
  <si>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</si>
  <si>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</si>
  <si>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</si>
  <si>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</si>
  <si>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</si>
  <si>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</si>
  <si>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</si>
  <si>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</si>
  <si>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</si>
  <si>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</si>
  <si>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</si>
  <si>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</si>
  <si>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</si>
  <si>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</si>
  <si>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</si>
  <si>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</si>
  <si>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</si>
  <si>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</si>
  <si>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</si>
  <si>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</si>
  <si>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</si>
  <si>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</si>
  <si>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</si>
  <si>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</si>
  <si>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</si>
  <si>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</si>
  <si>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</si>
  <si>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</si>
  <si>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</si>
  <si>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</si>
  <si>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</si>
  <si>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</si>
  <si>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</si>
  <si>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</si>
  <si>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</si>
  <si>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</si>
  <si>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</si>
  <si>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</si>
  <si>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</si>
  <si>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</si>
  <si>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</si>
  <si>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</si>
  <si>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</si>
  <si>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</si>
  <si>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</si>
  <si>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</si>
  <si>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</si>
  <si>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</si>
  <si>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</si>
  <si>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</si>
  <si>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</si>
  <si>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</si>
  <si>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</si>
  <si>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</si>
  <si>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</si>
  <si>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</si>
  <si>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</si>
  <si>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</si>
  <si>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</si>
  <si>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</si>
  <si>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</si>
  <si>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</si>
  <si>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</si>
  <si>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</si>
  <si>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</si>
  <si>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</si>
  <si>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</si>
  <si>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</si>
  <si>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</si>
  <si>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</si>
  <si>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</si>
  <si>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</si>
  <si>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</si>
  <si>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</si>
  <si>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</si>
  <si>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</si>
  <si>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</si>
  <si>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</si>
  <si>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</si>
  <si>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</si>
  <si>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</si>
  <si>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</si>
  <si>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</si>
  <si>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</si>
  <si>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</si>
  <si>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</si>
  <si>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</si>
  <si>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</si>
  <si>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</si>
  <si>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</si>
  <si>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</si>
  <si>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</si>
  <si>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</si>
  <si>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</si>
  <si>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</si>
  <si>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</si>
  <si>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</si>
  <si>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</si>
  <si>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</si>
  <si>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</si>
  <si>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</si>
  <si>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</si>
  <si>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</si>
  <si>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</si>
  <si>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</si>
  <si>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</si>
  <si>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</si>
  <si>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</si>
  <si>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</si>
  <si>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</si>
  <si>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</si>
  <si>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</si>
  <si>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</si>
  <si>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</si>
  <si>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</si>
  <si>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</si>
  <si>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</si>
  <si>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</si>
  <si>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</si>
  <si>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</si>
  <si>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</si>
  <si>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</si>
  <si>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</si>
  <si>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</si>
  <si>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</si>
  <si>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</si>
  <si>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</si>
  <si>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</si>
  <si>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</si>
  <si>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</si>
  <si>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</si>
  <si>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</si>
  <si>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</si>
  <si>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</si>
  <si>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</si>
  <si>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</si>
  <si>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</si>
  <si>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</si>
  <si>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</si>
  <si>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</si>
  <si>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</si>
  <si>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</si>
  <si>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</si>
  <si>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</si>
  <si>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</si>
  <si>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</si>
  <si>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</si>
  <si>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</si>
  <si>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</si>
  <si>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</si>
  <si>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</si>
  <si>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</si>
  <si>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</si>
  <si>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</si>
  <si>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</si>
  <si>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</si>
  <si>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</si>
  <si>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</si>
  <si>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</si>
  <si>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</si>
  <si>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</si>
  <si>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</si>
  <si>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</si>
  <si>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</si>
  <si>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</si>
  <si>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</si>
  <si>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</si>
  <si>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</si>
  <si>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</si>
  <si>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</si>
  <si>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</si>
  <si>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</si>
  <si>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</si>
  <si>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</si>
  <si>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</si>
  <si>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</si>
  <si>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</si>
  <si>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</si>
  <si>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</si>
  <si>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</si>
  <si>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</si>
  <si>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</si>
  <si>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</si>
  <si>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</si>
  <si>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</si>
  <si>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</si>
  <si>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</si>
  <si>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</si>
  <si>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</si>
  <si>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</si>
  <si>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</si>
  <si>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</si>
  <si>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</si>
  <si>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</si>
  <si>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</si>
  <si>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</si>
  <si>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</si>
  <si>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</si>
  <si>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</si>
  <si>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</si>
  <si>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</si>
  <si>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</si>
  <si>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</si>
  <si>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</si>
  <si>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</si>
  <si>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</si>
  <si>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</si>
  <si>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</si>
  <si>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</si>
  <si>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</si>
  <si>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</si>
  <si>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</si>
  <si>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</si>
  <si>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</si>
  <si>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</si>
  <si>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</si>
  <si>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</si>
  <si>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</si>
  <si>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</si>
  <si>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</si>
  <si>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</si>
  <si>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</si>
  <si>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</si>
  <si>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</si>
  <si>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</si>
  <si>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</si>
  <si>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</si>
  <si>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</si>
  <si>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</si>
  <si>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</si>
  <si>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</si>
  <si>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</si>
  <si>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</si>
  <si>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</si>
  <si>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</si>
  <si>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</si>
  <si>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</si>
  <si>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</si>
  <si>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</si>
  <si>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</si>
  <si>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</si>
  <si>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</si>
  <si>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</si>
  <si>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</si>
  <si>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</si>
  <si>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</si>
  <si>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</si>
  <si>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</si>
  <si>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</si>
  <si>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</si>
  <si>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</si>
  <si>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</si>
  <si>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</si>
  <si>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</si>
  <si>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</si>
  <si>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</si>
  <si>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</si>
  <si>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</si>
  <si>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</si>
  <si>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</si>
  <si>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</si>
  <si>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</si>
  <si>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</si>
  <si>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</si>
  <si>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</si>
  <si>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</si>
  <si>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</si>
  <si>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</si>
  <si>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</si>
  <si>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</si>
  <si>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</si>
  <si>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</si>
  <si>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</si>
  <si>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</si>
  <si>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</si>
  <si>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</si>
  <si>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</si>
  <si>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</si>
  <si>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</si>
  <si>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</si>
  <si>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</si>
  <si>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</si>
  <si>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</si>
  <si>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</si>
  <si>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</si>
  <si>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</si>
  <si>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</si>
  <si>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</si>
  <si>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</si>
  <si>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</si>
  <si>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</si>
  <si>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</si>
  <si>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</si>
  <si>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</si>
  <si>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</si>
  <si>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</si>
  <si>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</si>
  <si>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</si>
  <si>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</si>
  <si>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</si>
  <si>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</si>
  <si>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</si>
  <si>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</si>
  <si>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</si>
  <si>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</si>
  <si>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</si>
  <si>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</si>
  <si>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</si>
  <si>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</si>
  <si>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</si>
  <si>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</si>
  <si>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</si>
  <si>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</si>
  <si>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</si>
  <si>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</si>
  <si>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</si>
  <si>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</si>
  <si>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</si>
  <si>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</si>
  <si>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</si>
  <si>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</si>
  <si>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</si>
  <si>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</si>
  <si>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</si>
  <si>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</si>
  <si>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</si>
  <si>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</si>
  <si>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</si>
  <si>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</si>
  <si>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</si>
  <si>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</si>
  <si>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</si>
  <si>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</si>
  <si>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</si>
  <si>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</si>
  <si>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</si>
  <si>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</si>
  <si>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</si>
  <si>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</si>
  <si>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</si>
  <si>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</si>
  <si>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</si>
  <si>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</si>
  <si>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</si>
  <si>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</si>
  <si>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</si>
  <si>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</si>
  <si>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</si>
  <si>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</si>
  <si>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</si>
  <si>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</si>
  <si>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</si>
  <si>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</si>
  <si>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</si>
  <si>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</si>
  <si>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</si>
  <si>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</si>
  <si>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</si>
  <si>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</si>
  <si>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</si>
  <si>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</si>
  <si>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</si>
  <si>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</si>
  <si>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</si>
  <si>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</si>
  <si>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</si>
  <si>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</si>
  <si>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</si>
  <si>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</si>
  <si>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</si>
  <si>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</si>
  <si>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</si>
  <si>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</si>
  <si>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</si>
  <si>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</si>
  <si>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</si>
  <si>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</si>
  <si>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</si>
  <si>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</si>
  <si>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</si>
  <si>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</si>
  <si>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</si>
  <si>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</si>
  <si>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</si>
  <si>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</si>
  <si>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</si>
  <si>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</si>
  <si>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</si>
  <si>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</si>
  <si>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</si>
  <si>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</si>
  <si>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</si>
  <si>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</si>
  <si>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</si>
  <si>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</si>
  <si>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</si>
  <si>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</si>
  <si>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</si>
  <si>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</si>
  <si>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</si>
  <si>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</si>
  <si>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</si>
  <si>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</si>
  <si>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</si>
  <si>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</si>
  <si>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</si>
  <si>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</si>
  <si>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</si>
  <si>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</si>
  <si>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</si>
  <si>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</si>
  <si>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</si>
  <si>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</si>
  <si>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</si>
  <si>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</si>
  <si>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</si>
  <si>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</si>
  <si>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</si>
  <si>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</si>
  <si>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</si>
  <si>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</si>
  <si>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</si>
  <si>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</si>
  <si>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</si>
  <si>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</si>
  <si>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</si>
  <si>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</si>
  <si>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</si>
  <si>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</si>
  <si>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</si>
  <si>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</si>
  <si>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</si>
  <si>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</si>
  <si>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</si>
  <si>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</si>
  <si>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</si>
  <si>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</si>
  <si>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</si>
  <si>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</si>
  <si>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</si>
  <si>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</si>
  <si>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</si>
  <si>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</si>
  <si>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</si>
  <si>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</si>
  <si>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</si>
  <si>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</si>
  <si>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</si>
  <si>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</si>
  <si>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</si>
  <si>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</si>
  <si>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</si>
  <si>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</si>
  <si>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</si>
  <si>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</si>
  <si>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</si>
  <si>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</si>
  <si>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</si>
  <si>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</si>
  <si>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</si>
  <si>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</si>
  <si>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</si>
  <si>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</si>
  <si>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</si>
  <si>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</si>
  <si>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</si>
  <si>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</si>
  <si>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</si>
  <si>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</si>
  <si>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</si>
  <si>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</si>
  <si>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</si>
  <si>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</si>
  <si>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</si>
  <si>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</si>
  <si>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</si>
  <si>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</si>
  <si>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</si>
  <si>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</si>
  <si>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</si>
  <si>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</si>
  <si>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</si>
  <si>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</si>
  <si>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</si>
  <si>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</si>
  <si>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</si>
  <si>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</si>
  <si>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</si>
  <si>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</si>
  <si>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</si>
  <si>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</si>
  <si>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</si>
  <si>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</si>
  <si>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</si>
  <si>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</si>
  <si>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</si>
  <si>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</si>
  <si>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</si>
  <si>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</si>
  <si>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</si>
  <si>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</si>
  <si>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</si>
  <si>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</si>
  <si>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</si>
  <si>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</si>
  <si>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</si>
  <si>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</si>
  <si>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</si>
  <si>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</si>
  <si>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</si>
  <si>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</si>
  <si>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</si>
  <si>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</si>
  <si>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</si>
  <si>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</si>
  <si>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</si>
  <si>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</si>
  <si>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</si>
  <si>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</si>
  <si>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</si>
  <si>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</si>
  <si>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</si>
  <si>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</si>
  <si>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</si>
  <si>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</si>
  <si>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</si>
  <si>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</si>
  <si>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</si>
  <si>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</si>
  <si>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</si>
  <si>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</si>
  <si>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</si>
  <si>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</si>
  <si>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</si>
  <si>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</si>
  <si>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</si>
  <si>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</si>
  <si>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</si>
  <si>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</si>
  <si>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</si>
  <si>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</si>
  <si>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</si>
  <si>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</si>
  <si>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</si>
  <si>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</si>
  <si>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</si>
  <si>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</si>
  <si>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</si>
  <si>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</si>
  <si>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</si>
  <si>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</si>
  <si>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</si>
  <si>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</si>
  <si>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</si>
  <si>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</si>
  <si>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</si>
  <si>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</si>
  <si>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</si>
  <si>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</si>
  <si>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</si>
  <si>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</si>
  <si>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</si>
  <si>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</si>
  <si>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</si>
  <si>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</si>
  <si>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</si>
  <si>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</si>
  <si>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</si>
  <si>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</si>
  <si>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</si>
  <si>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</si>
  <si>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</si>
  <si>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</si>
  <si>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</si>
  <si>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</si>
  <si>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</si>
  <si>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</si>
  <si>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</si>
  <si>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</si>
  <si>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</si>
  <si>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</si>
  <si>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</si>
  <si>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</si>
  <si>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</si>
  <si>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</si>
  <si>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</si>
  <si>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</si>
  <si>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</si>
  <si>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</si>
  <si>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</si>
  <si>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</si>
  <si>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</si>
  <si>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</si>
  <si>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</si>
  <si>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</si>
  <si>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</si>
  <si>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</si>
  <si>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</si>
  <si>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</si>
  <si>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</si>
  <si>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</si>
  <si>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</si>
  <si>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</si>
  <si>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</si>
  <si>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</si>
  <si>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</si>
  <si>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</si>
  <si>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</si>
  <si>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</si>
  <si>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</si>
  <si>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</si>
  <si>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</si>
  <si>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</si>
  <si>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</si>
  <si>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</si>
  <si>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</si>
  <si>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</si>
  <si>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</si>
  <si>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</si>
  <si>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</si>
  <si>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</si>
  <si>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</si>
  <si>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</si>
  <si>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</si>
  <si>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</si>
  <si>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</si>
  <si>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</si>
  <si>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</si>
  <si>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</si>
  <si>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</si>
  <si>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</si>
  <si>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</si>
  <si>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</si>
  <si>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</si>
  <si>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</si>
  <si>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</si>
  <si>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</si>
  <si>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</si>
  <si>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</si>
  <si>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</si>
  <si>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</si>
  <si>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</si>
  <si>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</si>
  <si>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</si>
  <si>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</si>
  <si>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</si>
  <si>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</si>
  <si>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</si>
  <si>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</si>
  <si>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</si>
  <si>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</si>
  <si>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</si>
  <si>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</si>
  <si>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</si>
  <si>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</si>
  <si>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</si>
  <si>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</si>
  <si>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</si>
  <si>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</si>
  <si>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</si>
  <si>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</si>
  <si>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</si>
  <si>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</si>
  <si>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</si>
  <si>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</si>
  <si>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</si>
  <si>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</si>
  <si>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</si>
  <si>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</si>
  <si>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</si>
  <si>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</si>
  <si>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</si>
  <si>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</si>
  <si>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</si>
  <si>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</si>
  <si>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</si>
  <si>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</si>
  <si>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</si>
  <si>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</si>
  <si>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</si>
  <si>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</si>
  <si>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</si>
  <si>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</si>
  <si>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</si>
  <si>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</si>
  <si>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</si>
  <si>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</si>
  <si>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</si>
  <si>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</si>
  <si>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</si>
  <si>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</si>
  <si>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</si>
  <si>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</si>
  <si>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</si>
  <si>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</si>
  <si>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</si>
  <si>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</si>
  <si>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</si>
  <si>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</si>
  <si>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</si>
  <si>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</si>
  <si>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</si>
  <si>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</si>
  <si>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</si>
  <si>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</si>
  <si>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</si>
  <si>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</si>
  <si>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</si>
  <si>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</si>
  <si>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</si>
  <si>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</si>
  <si>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</si>
  <si>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</si>
  <si>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</si>
  <si>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</si>
  <si>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</si>
  <si>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</si>
  <si>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</si>
  <si>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</si>
  <si>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</si>
  <si>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</si>
  <si>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</si>
  <si>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</si>
  <si>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</si>
  <si>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</si>
  <si>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</si>
  <si>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</si>
  <si>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</si>
  <si>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</si>
  <si>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</si>
  <si>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</si>
  <si>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</si>
  <si>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</si>
  <si>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</si>
  <si>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</si>
  <si>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</si>
  <si>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</si>
  <si>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</si>
  <si>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</si>
  <si>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</si>
  <si>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</si>
  <si>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</si>
  <si>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</si>
  <si>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</si>
  <si>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</si>
  <si>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</si>
  <si>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</si>
  <si>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</si>
  <si>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</si>
  <si>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</si>
  <si>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</si>
  <si>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</si>
  <si>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</si>
  <si>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</si>
  <si>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</si>
  <si>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</si>
  <si>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</si>
  <si>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</si>
  <si>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</si>
  <si>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</si>
  <si>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</si>
  <si>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</si>
  <si>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</si>
  <si>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</si>
  <si>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</si>
  <si>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</si>
  <si>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</si>
  <si>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</si>
  <si>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</si>
  <si>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</si>
  <si>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</si>
  <si>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</si>
  <si>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</si>
  <si>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</si>
  <si>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</si>
  <si>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</si>
  <si>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</si>
  <si>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</si>
  <si>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</si>
  <si>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</si>
  <si>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</si>
  <si>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</si>
  <si>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</si>
  <si>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</si>
  <si>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</si>
  <si>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</si>
  <si>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</si>
  <si>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</si>
  <si>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</si>
  <si>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</si>
  <si>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</si>
  <si>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</si>
  <si>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</si>
  <si>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</si>
  <si>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</si>
  <si>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</si>
  <si>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</si>
  <si>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</si>
  <si>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</si>
  <si>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</si>
  <si>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</si>
  <si>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</si>
  <si>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</si>
  <si>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</si>
  <si>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</si>
  <si>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</si>
  <si>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</si>
  <si>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</si>
  <si>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</si>
  <si>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</si>
  <si>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</si>
  <si>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</si>
  <si>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</si>
  <si>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</si>
  <si>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</si>
  <si>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</si>
  <si>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</si>
  <si>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</si>
  <si>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</si>
  <si>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</si>
  <si>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</si>
  <si>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</si>
  <si>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</si>
  <si>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</si>
  <si>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</si>
  <si>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</si>
  <si>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</si>
  <si>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</si>
  <si>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</si>
  <si>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</si>
  <si>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</si>
  <si>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</si>
  <si>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</si>
  <si>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</si>
  <si>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</si>
  <si>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</si>
  <si>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</si>
  <si>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</si>
  <si>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</si>
  <si>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</si>
  <si>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</si>
  <si>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</si>
  <si>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</si>
  <si>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</si>
  <si>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</si>
  <si>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</si>
  <si>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</si>
  <si>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</si>
  <si>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</si>
  <si>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</si>
  <si>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</si>
  <si>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</si>
  <si>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</si>
  <si>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</si>
  <si>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</si>
  <si>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</si>
  <si>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</si>
  <si>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</si>
  <si>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</si>
  <si>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</si>
  <si>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</si>
  <si>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</si>
  <si>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</si>
  <si>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</si>
  <si>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</si>
  <si>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</si>
  <si>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</si>
  <si>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</si>
  <si>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</si>
  <si>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</si>
  <si>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</si>
  <si>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</si>
  <si>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</si>
  <si>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</si>
  <si>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</si>
  <si>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</si>
  <si>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</si>
  <si>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</si>
  <si>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</si>
  <si>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</si>
  <si>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</si>
  <si>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</si>
  <si>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</si>
  <si>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</si>
  <si>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</si>
  <si>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</si>
  <si>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</si>
  <si>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</si>
  <si>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</si>
  <si>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</si>
  <si>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</si>
  <si>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</si>
  <si>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</si>
  <si>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</si>
  <si>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</si>
  <si>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</si>
  <si>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</si>
  <si>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</si>
  <si>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</si>
  <si>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</si>
  <si>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</si>
  <si>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</si>
  <si>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</si>
  <si>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</si>
  <si>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</si>
  <si>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</si>
  <si>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</si>
  <si>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</si>
  <si>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</si>
  <si>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</si>
  <si>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</si>
  <si>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</si>
  <si>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</si>
  <si>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</si>
  <si>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</si>
  <si>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</si>
  <si>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</si>
  <si>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</si>
  <si>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</si>
  <si>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</si>
  <si>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</si>
  <si>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</si>
  <si>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</si>
  <si>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</si>
  <si>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</si>
  <si>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</si>
  <si>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</si>
  <si>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</si>
  <si>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</si>
  <si>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</si>
  <si>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</si>
  <si>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</si>
  <si>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</si>
  <si>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</si>
  <si>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</si>
  <si>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</si>
  <si>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</si>
  <si>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</si>
  <si>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</si>
  <si>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</si>
  <si>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</si>
  <si>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</si>
  <si>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</si>
  <si>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</si>
  <si>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</si>
  <si>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</si>
  <si>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</si>
  <si>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</si>
  <si>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</si>
  <si>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</si>
  <si>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</si>
  <si>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</si>
  <si>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</si>
  <si>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</si>
  <si>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</si>
  <si>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</si>
  <si>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</si>
  <si>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</si>
  <si>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</si>
  <si>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</si>
  <si>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</si>
  <si>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</si>
  <si>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</si>
  <si>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</si>
  <si>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</si>
  <si>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</si>
  <si>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</si>
  <si>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</si>
  <si>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</si>
  <si>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</si>
  <si>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</si>
  <si>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</si>
  <si>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</si>
  <si>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</si>
  <si>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</si>
  <si>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</si>
  <si>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</si>
  <si>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</si>
  <si>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</si>
  <si>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</si>
  <si>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</si>
  <si>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</si>
  <si>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</si>
  <si>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</si>
  <si>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</si>
  <si>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</si>
  <si>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</si>
  <si>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</si>
  <si>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</si>
  <si>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</si>
  <si>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</si>
  <si>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</si>
  <si>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</si>
  <si>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</si>
  <si>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</si>
  <si>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</si>
  <si>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</si>
  <si>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</si>
  <si>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</si>
  <si>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</si>
  <si>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</si>
  <si>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</si>
  <si>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</si>
  <si>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</si>
  <si>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</si>
  <si>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</si>
  <si>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</si>
  <si>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</si>
  <si>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</si>
  <si>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</si>
  <si>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</si>
  <si>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</si>
  <si>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</si>
  <si>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</si>
  <si>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</si>
  <si>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</si>
  <si>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</si>
  <si>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</si>
  <si>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</si>
  <si>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</si>
  <si>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</si>
  <si>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</si>
  <si>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</si>
  <si>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</si>
  <si>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</si>
  <si>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</si>
  <si>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</si>
  <si>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</si>
  <si>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</si>
  <si>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</si>
  <si>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</si>
  <si>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</si>
  <si>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</si>
  <si>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</si>
  <si>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</si>
  <si>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</si>
  <si>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</si>
  <si>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</si>
  <si>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</si>
  <si>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</si>
  <si>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</si>
  <si>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</si>
  <si>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</si>
  <si>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</si>
  <si>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</si>
  <si>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</si>
  <si>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</si>
  <si>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</si>
  <si>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</si>
  <si>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</si>
  <si>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</si>
  <si>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</si>
  <si>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</si>
  <si>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</si>
  <si>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</si>
  <si>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</si>
  <si>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</si>
  <si>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</si>
  <si>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</si>
  <si>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</si>
  <si>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</si>
  <si>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</si>
  <si>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</si>
  <si>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</si>
  <si>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</si>
  <si>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</si>
  <si>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</si>
  <si>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</si>
  <si>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</si>
  <si>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</si>
  <si>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</si>
  <si>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</si>
  <si>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</si>
  <si>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</si>
  <si>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</si>
  <si>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</si>
  <si>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</si>
  <si>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</si>
  <si>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</si>
  <si>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</si>
  <si>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</si>
  <si>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</si>
  <si>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</si>
  <si>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</si>
  <si>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</si>
  <si>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</si>
  <si>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</si>
  <si>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</si>
  <si>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</si>
  <si>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</si>
  <si>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</si>
  <si>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</si>
  <si>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</si>
  <si>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</si>
  <si>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</si>
  <si>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</si>
  <si>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</si>
  <si>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</si>
  <si>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</si>
  <si>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</si>
  <si>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</si>
  <si>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</si>
  <si>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</si>
  <si>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</si>
  <si>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</si>
  <si>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</si>
  <si>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</si>
  <si>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</si>
  <si>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</si>
  <si>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</si>
  <si>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</si>
  <si>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</si>
  <si>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</si>
  <si>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</si>
  <si>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</si>
  <si>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</si>
  <si>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</si>
  <si>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</si>
  <si>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</si>
  <si>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</si>
  <si>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</si>
  <si>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</si>
  <si>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</si>
  <si>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</si>
  <si>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</si>
  <si>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</si>
  <si>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</si>
  <si>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</si>
  <si>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</si>
  <si>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</si>
  <si>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</si>
  <si>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</si>
  <si>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</si>
  <si>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</si>
  <si>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</si>
  <si>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</si>
  <si>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</si>
  <si>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</si>
  <si>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</si>
  <si>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</si>
  <si>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</si>
  <si>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</si>
  <si>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</si>
  <si>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</si>
  <si>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</si>
  <si>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</si>
  <si>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</si>
  <si>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</si>
  <si>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</si>
  <si>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</si>
  <si>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</si>
  <si>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</si>
  <si>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</si>
  <si>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</si>
  <si>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</si>
  <si>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</si>
  <si>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</si>
  <si>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</si>
  <si>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</si>
  <si>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</si>
  <si>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</si>
  <si>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</si>
  <si>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</si>
  <si>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</si>
  <si>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</si>
  <si>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</si>
  <si>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</si>
  <si>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</si>
  <si>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</si>
  <si>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</si>
  <si>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</si>
  <si>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</si>
  <si>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</si>
  <si>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</si>
  <si>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</si>
  <si>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</si>
  <si>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</si>
  <si>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</si>
  <si>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</si>
  <si>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</si>
  <si>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</si>
  <si>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</si>
  <si>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</si>
  <si>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</si>
  <si>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</si>
  <si>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</si>
  <si>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</si>
  <si>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</si>
  <si>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</si>
  <si>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</si>
  <si>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</si>
  <si>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</si>
  <si>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</si>
  <si>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</si>
  <si>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</si>
  <si>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</si>
  <si>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</si>
  <si>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</si>
  <si>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</si>
  <si>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</si>
  <si>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</si>
  <si>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</si>
  <si>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</si>
  <si>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</si>
  <si>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</si>
  <si>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</si>
  <si>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</si>
  <si>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</si>
  <si>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</si>
  <si>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</si>
  <si>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</si>
  <si>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</si>
  <si>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</si>
  <si>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</si>
  <si>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</si>
  <si>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</si>
  <si>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</si>
  <si>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</si>
  <si>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</si>
  <si>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</si>
  <si>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</si>
  <si>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</si>
  <si>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</si>
  <si>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</si>
  <si>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</si>
  <si>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</si>
  <si>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</si>
  <si>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</si>
  <si>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</si>
  <si>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</si>
  <si>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</si>
  <si>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</si>
  <si>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</si>
  <si>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</si>
  <si>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</si>
  <si>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</si>
  <si>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</si>
  <si>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</si>
  <si>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</si>
  <si>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</si>
  <si>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</si>
  <si>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</si>
  <si>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</si>
  <si>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</si>
  <si>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</si>
  <si>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</si>
  <si>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</si>
  <si>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</si>
  <si>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</si>
  <si>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</si>
  <si>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</si>
  <si>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</si>
  <si>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</si>
  <si>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</si>
  <si>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</si>
  <si>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</si>
  <si>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</si>
  <si>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</si>
  <si>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</si>
  <si>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</si>
  <si>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</si>
  <si>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</si>
  <si>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</si>
  <si>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</si>
  <si>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</si>
  <si>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</si>
  <si>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</si>
  <si>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</si>
  <si>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</si>
  <si>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</si>
  <si>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</si>
  <si>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</si>
  <si>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</si>
  <si>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</si>
  <si>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</si>
  <si>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</si>
  <si>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</si>
  <si>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</si>
  <si>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</si>
  <si>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</si>
  <si>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</si>
  <si>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</si>
  <si>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</si>
  <si>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</si>
  <si>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</si>
  <si>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</si>
  <si>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</si>
  <si>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</si>
  <si>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</si>
  <si>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</si>
  <si>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</si>
  <si>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</si>
  <si>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</si>
  <si>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</si>
  <si>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</si>
  <si>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</si>
  <si>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</si>
  <si>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</si>
  <si>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</si>
  <si>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</si>
  <si>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</si>
  <si>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</si>
  <si>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</si>
  <si>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</si>
  <si>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</si>
  <si>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</si>
  <si>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</si>
  <si>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</si>
  <si>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</si>
  <si>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</si>
  <si>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</si>
  <si>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</si>
  <si>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</si>
  <si>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</si>
  <si>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</si>
  <si>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</si>
  <si>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</si>
  <si>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</si>
  <si>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</si>
  <si>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</si>
  <si>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</si>
  <si>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</si>
  <si>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</si>
  <si>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</si>
  <si>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</si>
  <si>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</si>
  <si>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</si>
  <si>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</si>
  <si>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</si>
  <si>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</si>
  <si>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</si>
  <si>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</si>
  <si>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</si>
  <si>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</si>
  <si>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</si>
  <si>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</si>
  <si>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</si>
  <si>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</si>
  <si>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</si>
  <si>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</si>
  <si>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</si>
  <si>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</si>
  <si>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</si>
  <si>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</si>
  <si>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</si>
  <si>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</si>
  <si>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</si>
  <si>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</si>
  <si>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</si>
  <si>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</si>
  <si>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</si>
  <si>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</si>
  <si>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</si>
  <si>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</si>
  <si>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</si>
  <si>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</si>
  <si>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</si>
  <si>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</si>
  <si>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</si>
  <si>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</si>
  <si>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</si>
  <si>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</si>
  <si>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</si>
  <si>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</si>
  <si>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</si>
  <si>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</si>
  <si>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</si>
  <si>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</si>
  <si>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</si>
  <si>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</si>
  <si>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</si>
  <si>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</si>
  <si>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</si>
  <si>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</si>
  <si>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</si>
  <si>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</si>
  <si>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</si>
  <si>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</si>
  <si>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</si>
  <si>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</si>
  <si>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</si>
  <si>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</si>
  <si>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</si>
  <si>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</si>
  <si>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</si>
  <si>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</si>
  <si>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</si>
  <si>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</si>
  <si>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</si>
  <si>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</si>
  <si>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</si>
  <si>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</si>
  <si>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</si>
  <si>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</si>
  <si>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</si>
  <si>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</si>
  <si>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</si>
  <si>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</si>
  <si>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</si>
  <si>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</si>
  <si>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</si>
  <si>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</si>
  <si>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</si>
  <si>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</si>
  <si>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</si>
  <si>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</si>
  <si>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</si>
  <si>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</si>
  <si>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</si>
  <si>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</si>
  <si>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</si>
  <si>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</si>
  <si>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</si>
  <si>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</si>
  <si>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</si>
  <si>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</si>
  <si>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</si>
  <si>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</si>
  <si>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</si>
  <si>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</si>
  <si>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</si>
  <si>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</si>
  <si>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</si>
  <si>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</si>
  <si>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</si>
  <si>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</si>
  <si>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</si>
  <si>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</si>
  <si>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</si>
  <si>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</si>
  <si>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</si>
  <si>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</si>
  <si>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</si>
  <si>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</si>
  <si>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</si>
  <si>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</si>
  <si>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</si>
  <si>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</si>
  <si>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</si>
  <si>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</si>
  <si>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</si>
  <si>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</si>
  <si>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</si>
  <si>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</si>
  <si>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</si>
  <si>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</si>
  <si>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</si>
  <si>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</si>
  <si>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</si>
  <si>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</si>
  <si>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</si>
  <si>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</si>
  <si>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</si>
  <si>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</si>
  <si>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</si>
  <si>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</si>
  <si>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</si>
  <si>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</si>
  <si>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</si>
  <si>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</si>
  <si>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</si>
  <si>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</si>
  <si>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</si>
  <si>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</si>
  <si>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</si>
  <si>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</si>
  <si>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</si>
  <si>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</si>
  <si>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</si>
  <si>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</si>
  <si>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</si>
  <si>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</si>
  <si>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</si>
  <si>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</si>
  <si>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</si>
  <si>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</si>
  <si>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</si>
  <si>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</si>
  <si>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</si>
  <si>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</si>
  <si>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</si>
  <si>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</si>
  <si>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</si>
  <si>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</si>
  <si>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</si>
  <si>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</si>
  <si>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</si>
  <si>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</si>
  <si>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</si>
  <si>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</si>
  <si>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</si>
  <si>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</si>
  <si>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</si>
  <si>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</si>
  <si>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</si>
  <si>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</si>
  <si>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</si>
  <si>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</si>
  <si>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</si>
  <si>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</si>
  <si>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</si>
  <si>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</si>
  <si>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</si>
  <si>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</si>
  <si>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</si>
  <si>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</si>
  <si>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</si>
  <si>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</si>
  <si>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</si>
  <si>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</si>
  <si>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</si>
  <si>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</si>
  <si>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</si>
  <si>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</si>
  <si>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</si>
  <si>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</si>
  <si>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</si>
  <si>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</si>
  <si>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</si>
  <si>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</si>
  <si>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</si>
  <si>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</si>
  <si>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</si>
  <si>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</si>
  <si>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</si>
  <si>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</si>
  <si>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</si>
  <si>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</si>
  <si>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</si>
  <si>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</si>
  <si>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</si>
  <si>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</si>
  <si>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</si>
  <si>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</si>
  <si>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</si>
  <si>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</si>
  <si>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</si>
  <si>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</si>
  <si>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</si>
  <si>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</si>
  <si>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</si>
  <si>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</si>
  <si>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</si>
  <si>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</si>
  <si>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</si>
  <si>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</si>
  <si>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</si>
  <si>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</si>
  <si>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</si>
  <si>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</si>
  <si>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</si>
  <si>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</si>
  <si>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</si>
  <si>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</si>
  <si>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</si>
  <si>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</si>
  <si>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</si>
  <si>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</si>
  <si>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</si>
  <si>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</si>
  <si>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</si>
  <si>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</si>
  <si>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</si>
  <si>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</si>
  <si>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</si>
  <si>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</si>
  <si>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</si>
  <si>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</si>
  <si>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</si>
  <si>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</si>
  <si>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</si>
  <si>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</si>
  <si>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</si>
  <si>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</si>
  <si>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</si>
  <si>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</si>
  <si>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</si>
  <si>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</si>
  <si>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</si>
  <si>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</si>
  <si>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</si>
  <si>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</si>
  <si>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</si>
  <si>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</si>
  <si>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</si>
  <si>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</si>
  <si>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</si>
  <si>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</si>
  <si>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</si>
  <si>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</si>
  <si>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</si>
  <si>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</si>
  <si>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</si>
  <si>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</si>
  <si>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</si>
  <si>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</si>
  <si>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</si>
  <si>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</si>
  <si>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</si>
  <si>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</si>
  <si>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</si>
  <si>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</si>
  <si>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</si>
  <si>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</si>
  <si>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</si>
  <si>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</si>
  <si>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</si>
  <si>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</si>
  <si>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</si>
  <si>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</si>
  <si>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</si>
  <si>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</si>
  <si>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</si>
  <si>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</si>
  <si>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</si>
  <si>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</si>
  <si>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</si>
  <si>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</si>
  <si>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</si>
  <si>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</si>
  <si>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</si>
  <si>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</si>
  <si>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</si>
  <si>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</si>
  <si>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</si>
  <si>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</si>
  <si>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</si>
  <si>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</si>
  <si>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</si>
  <si>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</si>
  <si>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</si>
  <si>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</si>
  <si>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</si>
  <si>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</si>
  <si>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</si>
  <si>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</si>
  <si>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</si>
  <si>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</si>
  <si>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</si>
  <si>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</si>
  <si>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</si>
  <si>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</si>
  <si>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</si>
  <si>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</si>
  <si>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</si>
  <si>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</si>
  <si>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</si>
  <si>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</si>
  <si>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</si>
  <si>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</si>
  <si>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</si>
  <si>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</si>
  <si>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</si>
  <si>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</si>
  <si>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</si>
  <si>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</si>
  <si>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</si>
  <si>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</si>
  <si>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</si>
  <si>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</si>
  <si>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</si>
  <si>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</si>
  <si>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</si>
  <si>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</si>
  <si>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</si>
  <si>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</si>
  <si>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</si>
  <si>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</si>
  <si>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</si>
  <si>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</si>
  <si>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</si>
  <si>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</si>
  <si>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</si>
  <si>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</si>
  <si>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</si>
  <si>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</si>
  <si>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</si>
  <si>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</si>
  <si>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</si>
  <si>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</si>
  <si>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</si>
  <si>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</si>
  <si>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</si>
  <si>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</si>
  <si>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</si>
  <si>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</si>
  <si>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</si>
  <si>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</si>
  <si>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</si>
  <si>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</si>
  <si>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</si>
  <si>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</si>
  <si>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</si>
  <si>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</si>
  <si>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</si>
  <si>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</si>
  <si>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</si>
  <si>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</si>
  <si>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</si>
  <si>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</si>
  <si>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</si>
  <si>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</si>
  <si>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</si>
  <si>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</si>
  <si>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</si>
  <si>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</si>
  <si>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</si>
  <si>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</si>
  <si>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</si>
  <si>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</si>
  <si>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</si>
  <si>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</si>
  <si>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</si>
  <si>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</si>
  <si>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</si>
  <si>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</si>
  <si>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</si>
  <si>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</si>
  <si>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</si>
  <si>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</si>
  <si>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</si>
  <si>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</si>
  <si>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</si>
  <si>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</si>
  <si>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</si>
  <si>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</si>
  <si>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</si>
  <si>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</si>
  <si>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</si>
  <si>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</si>
  <si>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</si>
  <si>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</si>
  <si>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</si>
  <si>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</si>
  <si>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</si>
  <si>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</si>
  <si>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</si>
  <si>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</si>
  <si>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</si>
  <si>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</si>
  <si>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</si>
  <si>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</si>
  <si>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</si>
  <si>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</si>
  <si>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</si>
  <si>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</si>
  <si>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</si>
  <si>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</si>
  <si>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</si>
  <si>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</si>
  <si>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</si>
  <si>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</si>
  <si>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</si>
  <si>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</si>
  <si>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</si>
  <si>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</si>
  <si>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</si>
  <si>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</si>
  <si>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</si>
  <si>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</si>
  <si>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</si>
  <si>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</si>
  <si>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</si>
  <si>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</si>
  <si>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</si>
  <si>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</si>
  <si>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</si>
  <si>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</si>
  <si>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</si>
  <si>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</si>
  <si>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</si>
  <si>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</si>
  <si>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</si>
  <si>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</si>
  <si>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</si>
  <si>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</si>
  <si>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</si>
  <si>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</si>
  <si>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</si>
  <si>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</si>
  <si>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</si>
  <si>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</si>
  <si>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</si>
  <si>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</si>
  <si>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</si>
  <si>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</si>
  <si>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</si>
  <si>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</si>
  <si>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</si>
  <si>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</si>
  <si>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</si>
  <si>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</si>
  <si>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</si>
  <si>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</si>
  <si>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</si>
  <si>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</si>
  <si>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</si>
  <si>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</si>
  <si>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</si>
  <si>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</si>
  <si>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</si>
  <si>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</si>
  <si>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</si>
  <si>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</si>
  <si>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</si>
  <si>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</si>
  <si>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</si>
  <si>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</si>
  <si>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</si>
  <si>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</si>
  <si>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</si>
  <si>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</si>
  <si>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</si>
  <si>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</si>
  <si>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</si>
  <si>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</si>
  <si>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</si>
  <si>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</si>
  <si>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</si>
  <si>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</si>
  <si>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</si>
  <si>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</si>
  <si>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</si>
  <si>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</si>
  <si>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</si>
  <si>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</si>
  <si>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</si>
  <si>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</si>
  <si>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</si>
  <si>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</si>
  <si>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</si>
  <si>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</si>
  <si>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</si>
  <si>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</si>
  <si>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</si>
  <si>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</si>
  <si>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</si>
  <si>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</si>
  <si>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</si>
  <si>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</si>
  <si>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</si>
  <si>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</si>
  <si>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</si>
  <si>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</si>
  <si>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</si>
  <si>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</si>
  <si>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</si>
  <si>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</si>
  <si>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</si>
  <si>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</si>
  <si>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</si>
  <si>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</si>
  <si>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</si>
  <si>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</si>
  <si>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</si>
  <si>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</si>
  <si>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</si>
  <si>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</si>
  <si>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</si>
  <si>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</si>
  <si>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</si>
  <si>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</si>
  <si>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</si>
  <si>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</si>
  <si>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</si>
  <si>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</si>
  <si>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</si>
  <si>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</si>
  <si>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</si>
  <si>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</si>
  <si>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</si>
  <si>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</si>
  <si>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</si>
  <si>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</si>
  <si>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</si>
  <si>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</si>
  <si>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</si>
  <si>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</si>
  <si>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</si>
  <si>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</si>
  <si>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</si>
  <si>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</si>
  <si>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</si>
  <si>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</si>
  <si>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</si>
  <si>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</si>
  <si>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</si>
  <si>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</si>
  <si>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</si>
  <si>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</si>
  <si>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</si>
  <si>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</si>
  <si>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</si>
  <si>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</si>
  <si>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</si>
  <si>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</si>
  <si>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</si>
  <si>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</si>
  <si>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</si>
  <si>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</si>
  <si>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</si>
  <si>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</si>
  <si>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</si>
  <si>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</si>
  <si>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</si>
  <si>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</si>
  <si>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</si>
  <si>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</si>
  <si>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</si>
  <si>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</si>
  <si>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</si>
  <si>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</si>
  <si>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</si>
  <si>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</si>
  <si>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</si>
  <si>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</si>
  <si>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</si>
  <si>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</si>
  <si>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</si>
  <si>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</si>
  <si>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</si>
  <si>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</si>
  <si>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</si>
  <si>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</si>
  <si>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</si>
  <si>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</si>
  <si>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</si>
  <si>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</si>
  <si>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</si>
  <si>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</si>
  <si>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</si>
  <si>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</si>
  <si>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</si>
  <si>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</si>
  <si>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</si>
  <si>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</si>
  <si>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</si>
  <si>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</si>
  <si>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</si>
  <si>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</si>
  <si>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</si>
  <si>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</si>
  <si>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</si>
  <si>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</si>
  <si>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</si>
  <si>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</si>
  <si>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</si>
  <si>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</si>
  <si>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</si>
  <si>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</si>
  <si>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</si>
  <si>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</si>
  <si>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</si>
  <si>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</si>
  <si>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</si>
  <si>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</si>
  <si>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</si>
  <si>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</si>
  <si>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</si>
  <si>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</si>
  <si>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</si>
  <si>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</si>
  <si>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</si>
  <si>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</si>
  <si>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</si>
  <si>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</si>
  <si>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</si>
  <si>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</si>
  <si>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</si>
  <si>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</si>
  <si>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</si>
  <si>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</si>
  <si>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</si>
  <si>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</si>
  <si>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</si>
  <si>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</si>
  <si>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</si>
  <si>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</si>
  <si>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</si>
  <si>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</si>
  <si>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</si>
  <si>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</si>
  <si>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</si>
  <si>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</si>
  <si>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</si>
  <si>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</si>
  <si>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</si>
  <si>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</si>
  <si>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</si>
  <si>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</si>
  <si>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</si>
  <si>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</si>
  <si>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</si>
  <si>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</si>
  <si>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</si>
  <si>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</si>
  <si>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</si>
  <si>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</si>
  <si>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</si>
  <si>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</si>
  <si>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</si>
  <si>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</si>
  <si>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</si>
  <si>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</si>
  <si>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</si>
  <si>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</si>
  <si>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</si>
  <si>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</si>
  <si>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</si>
  <si>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</si>
  <si>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</si>
  <si>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</si>
  <si>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</si>
  <si>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</si>
  <si>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</si>
  <si>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</si>
  <si>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</si>
  <si>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</si>
  <si>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</si>
  <si>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</si>
  <si>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</si>
  <si>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</si>
  <si>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</si>
  <si>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</si>
  <si>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</si>
  <si>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</si>
  <si>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</si>
  <si>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</si>
  <si>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</si>
  <si>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</si>
  <si>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</si>
  <si>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</si>
  <si>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</si>
  <si>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</si>
  <si>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</si>
  <si>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</si>
  <si>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</si>
  <si>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</si>
  <si>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</si>
  <si>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</si>
  <si>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</si>
  <si>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</si>
  <si>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</si>
  <si>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</si>
  <si>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</si>
  <si>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</si>
  <si>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</si>
  <si>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</si>
  <si>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</si>
  <si>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</si>
  <si>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</si>
  <si>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</si>
  <si>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</si>
  <si>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</si>
  <si>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</si>
  <si>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</si>
  <si>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</si>
  <si>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</si>
  <si>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</si>
  <si>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</si>
  <si>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</si>
  <si>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</si>
  <si>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</si>
  <si>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</si>
  <si>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</si>
  <si>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</si>
  <si>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</si>
  <si>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</si>
  <si>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</si>
  <si>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</si>
  <si>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</si>
  <si>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</si>
  <si>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</si>
  <si>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</si>
  <si>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</si>
  <si>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</si>
  <si>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</si>
  <si>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</si>
  <si>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</si>
  <si>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</si>
  <si>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</si>
  <si>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</si>
  <si>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</si>
  <si>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</si>
  <si>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</si>
  <si>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</si>
  <si>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</si>
  <si>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</si>
  <si>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</si>
  <si>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</si>
  <si>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</si>
  <si>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</si>
  <si>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</si>
  <si>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</si>
  <si>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</si>
  <si>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</si>
  <si>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</si>
  <si>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</si>
  <si>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</si>
  <si>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</si>
  <si>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</si>
  <si>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</si>
  <si>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</si>
  <si>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</si>
  <si>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</si>
  <si>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</si>
  <si>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</si>
  <si>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</si>
  <si>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</si>
  <si>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</si>
  <si>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</si>
  <si>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</si>
  <si>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</si>
  <si>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</si>
  <si>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</si>
  <si>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</si>
  <si>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</si>
  <si>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</si>
  <si>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</si>
  <si>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</si>
  <si>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</si>
  <si>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</si>
  <si>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</si>
  <si>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</si>
  <si>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</si>
  <si>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</si>
  <si>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</si>
  <si>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</si>
  <si>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</si>
  <si>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</si>
  <si>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</si>
  <si>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</si>
  <si>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</si>
  <si>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</si>
  <si>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</si>
  <si>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</si>
  <si>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</si>
  <si>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</si>
  <si>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</si>
  <si>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</si>
  <si>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</si>
  <si>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</si>
  <si>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</si>
  <si>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</si>
  <si>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</si>
  <si>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</si>
  <si>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</si>
  <si>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</si>
  <si>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</si>
  <si>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</si>
  <si>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</si>
  <si>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</si>
  <si>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</si>
  <si>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</si>
  <si>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</si>
  <si>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</si>
  <si>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</si>
  <si>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</si>
  <si>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</si>
  <si>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</si>
  <si>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</si>
  <si>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</si>
  <si>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</si>
  <si>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</si>
  <si>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</si>
  <si>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</si>
  <si>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</si>
  <si>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</si>
  <si>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</si>
  <si>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</si>
  <si>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</si>
  <si>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</si>
  <si>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</si>
  <si>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</si>
  <si>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</si>
  <si>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</si>
  <si>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</si>
  <si>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</si>
  <si>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</si>
  <si>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</si>
  <si>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</si>
  <si>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</si>
  <si>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</si>
  <si>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</si>
  <si>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</si>
  <si>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</si>
  <si>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</si>
  <si>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</si>
  <si>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</si>
  <si>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</si>
  <si>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</si>
  <si>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</si>
  <si>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</si>
  <si>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</si>
  <si>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</si>
  <si>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</si>
  <si>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</si>
  <si>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</si>
  <si>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</si>
  <si>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</si>
  <si>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</si>
  <si>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</si>
  <si>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</si>
  <si>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</si>
  <si>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</si>
  <si>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</si>
  <si>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</si>
  <si>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</si>
  <si>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</si>
  <si>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</si>
  <si>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</si>
  <si>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</si>
  <si>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</si>
  <si>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</si>
  <si>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</si>
  <si>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</si>
  <si>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</si>
  <si>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</si>
  <si>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</si>
  <si>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</si>
  <si>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</si>
  <si>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</si>
  <si>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</si>
  <si>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</si>
  <si>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</si>
  <si>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</si>
  <si>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</si>
  <si>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</si>
  <si>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</si>
  <si>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</si>
  <si>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</si>
  <si>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</si>
  <si>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</si>
  <si>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</si>
  <si>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</si>
  <si>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</si>
  <si>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</si>
  <si>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</si>
  <si>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</si>
  <si>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</si>
  <si>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</si>
  <si>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</si>
  <si>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</si>
  <si>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</si>
  <si>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</si>
  <si>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</si>
  <si>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</si>
  <si>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</si>
  <si>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</si>
  <si>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</si>
  <si>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</si>
  <si>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</si>
  <si>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</si>
  <si>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</si>
  <si>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</si>
  <si>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</si>
  <si>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</si>
  <si>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</si>
  <si>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</si>
  <si>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</si>
  <si>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</si>
  <si>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</si>
  <si>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</si>
  <si>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</si>
  <si>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</si>
  <si>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</si>
  <si>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</si>
  <si>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</si>
  <si>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</si>
  <si>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</si>
  <si>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</si>
  <si>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</si>
  <si>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</si>
  <si>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</si>
  <si>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</si>
  <si>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</si>
  <si>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</si>
  <si>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</si>
  <si>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</si>
  <si>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</si>
  <si>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</si>
  <si>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</si>
  <si>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</si>
  <si>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</si>
  <si>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</si>
  <si>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</si>
  <si>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</si>
  <si>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</si>
  <si>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</si>
  <si>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</si>
  <si>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</si>
  <si>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</si>
  <si>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</si>
  <si>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</si>
  <si>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</si>
  <si>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</si>
  <si>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</si>
  <si>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</si>
  <si>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</si>
  <si>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</si>
  <si>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</si>
  <si>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</si>
  <si>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</si>
  <si>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</si>
  <si>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</si>
  <si>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</si>
  <si>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</si>
  <si>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</si>
  <si>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</si>
  <si>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</si>
  <si>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</si>
  <si>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</si>
  <si>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</si>
  <si>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</si>
  <si>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</si>
  <si>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</si>
  <si>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</si>
  <si>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</si>
  <si>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</si>
  <si>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</si>
  <si>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</si>
  <si>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</si>
  <si>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</si>
  <si>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</si>
  <si>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</si>
  <si>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</si>
  <si>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</si>
  <si>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</si>
  <si>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</si>
  <si>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</si>
  <si>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</si>
  <si>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</si>
  <si>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</si>
  <si>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</si>
  <si>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</si>
  <si>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</si>
  <si>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</si>
  <si>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</si>
  <si>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</si>
  <si>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</si>
  <si>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</si>
  <si>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</si>
  <si>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</si>
  <si>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</si>
  <si>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</si>
  <si>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</si>
  <si>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</si>
  <si>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</si>
  <si>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</si>
  <si>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</si>
  <si>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</si>
  <si>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</si>
  <si>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</si>
  <si>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</si>
  <si>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</si>
  <si>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</si>
  <si>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</si>
  <si>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</si>
  <si>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</si>
  <si>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</si>
  <si>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</si>
  <si>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</si>
  <si>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</si>
  <si>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</si>
  <si>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</si>
  <si>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</si>
  <si>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</si>
  <si>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</si>
  <si>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</si>
  <si>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</si>
  <si>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</si>
  <si>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</si>
  <si>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</si>
  <si>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</si>
  <si>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</si>
  <si>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</si>
  <si>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</si>
  <si>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</si>
  <si>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</si>
  <si>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</si>
  <si>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</si>
  <si>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</si>
  <si>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</si>
  <si>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</si>
  <si>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</si>
  <si>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</si>
  <si>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</si>
  <si>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</si>
  <si>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</si>
  <si>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</si>
  <si>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</si>
  <si>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</si>
  <si>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</si>
  <si>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</si>
  <si>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</si>
  <si>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</si>
  <si>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</si>
  <si>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</si>
  <si>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</si>
  <si>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</si>
  <si>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</si>
  <si>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</si>
  <si>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</si>
  <si>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</si>
  <si>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</si>
  <si>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</si>
  <si>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</si>
  <si>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</si>
  <si>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</si>
  <si>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</si>
  <si>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</si>
  <si>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</si>
  <si>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</si>
  <si>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</si>
  <si>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</si>
  <si>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</si>
  <si>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</si>
  <si>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</si>
  <si>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</si>
  <si>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</si>
  <si>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</si>
  <si>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</si>
  <si>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</si>
  <si>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</si>
  <si>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</si>
  <si>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</si>
  <si>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</si>
  <si>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</si>
  <si>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</si>
  <si>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</si>
  <si>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</si>
  <si>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</si>
  <si>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</si>
  <si>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</si>
  <si>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</si>
  <si>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</si>
  <si>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</si>
  <si>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</si>
  <si>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</si>
  <si>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</si>
  <si>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</si>
  <si>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</si>
  <si>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</si>
  <si>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</si>
  <si>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</si>
  <si>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</si>
  <si>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</si>
  <si>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</si>
  <si>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</si>
  <si>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</si>
  <si>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</si>
  <si>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</si>
  <si>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</si>
  <si>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</si>
  <si>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</si>
  <si>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</si>
  <si>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</si>
  <si>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</si>
  <si>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</si>
  <si>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</si>
  <si>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</si>
  <si>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</si>
  <si>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</si>
  <si>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</si>
  <si>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</si>
  <si>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</si>
  <si>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</si>
  <si>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</si>
  <si>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</si>
  <si>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</si>
  <si>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</si>
  <si>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</si>
  <si>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</si>
  <si>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</si>
  <si>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</si>
  <si>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</si>
  <si>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</si>
  <si>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</si>
  <si>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</si>
  <si>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</si>
  <si>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</si>
  <si>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</si>
  <si>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</si>
  <si>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</si>
  <si>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</si>
  <si>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</si>
  <si>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</si>
  <si>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</si>
  <si>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</si>
  <si>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</si>
  <si>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</si>
  <si>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</si>
  <si>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</si>
  <si>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</si>
  <si>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</si>
  <si>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</si>
  <si>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</si>
  <si>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</si>
  <si>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</si>
  <si>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</si>
  <si>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</si>
  <si>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</si>
  <si>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</si>
  <si>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</si>
  <si>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</si>
  <si>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</si>
  <si>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</si>
  <si>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</si>
  <si>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</si>
  <si>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</si>
  <si>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</si>
  <si>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</si>
  <si>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</si>
  <si>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</si>
  <si>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</si>
  <si>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</si>
  <si>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</si>
  <si>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</si>
  <si>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</si>
  <si>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</si>
  <si>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</si>
  <si>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</si>
  <si>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</si>
  <si>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</si>
  <si>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</si>
  <si>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</si>
  <si>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</si>
  <si>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</si>
  <si>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</si>
  <si>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</si>
  <si>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</si>
  <si>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</si>
  <si>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</si>
  <si>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</si>
  <si>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</si>
  <si>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</si>
  <si>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</si>
  <si>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</si>
  <si>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</si>
  <si>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</si>
  <si>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</si>
  <si>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</si>
  <si>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</si>
  <si>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</si>
  <si>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</si>
  <si>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</si>
  <si>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</si>
  <si>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</si>
  <si>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</si>
  <si>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</si>
  <si>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</si>
  <si>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</si>
  <si>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</si>
  <si>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</si>
  <si>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</si>
  <si>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</si>
  <si>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</si>
  <si>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</si>
  <si>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</si>
  <si>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</si>
  <si>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</si>
  <si>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</si>
  <si>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</si>
  <si>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</si>
  <si>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</si>
  <si>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</si>
  <si>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</si>
  <si>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</si>
  <si>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</si>
  <si>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</si>
  <si>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</si>
  <si>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</si>
  <si>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</si>
  <si>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</si>
  <si>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</si>
  <si>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</si>
  <si>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</si>
  <si>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</si>
  <si>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</si>
  <si>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</si>
  <si>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</si>
  <si>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</si>
  <si>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</si>
  <si>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</si>
  <si>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</si>
  <si>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</si>
  <si>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</si>
  <si>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</si>
  <si>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</si>
  <si>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</si>
  <si>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</si>
  <si>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</si>
  <si>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</si>
  <si>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</si>
  <si>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</si>
  <si>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</si>
  <si>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</si>
  <si>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</si>
  <si>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</si>
  <si>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</si>
  <si>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</si>
  <si>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</si>
  <si>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</si>
  <si>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</si>
  <si>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</si>
  <si>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</si>
  <si>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</si>
  <si>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</si>
  <si>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</si>
  <si>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</si>
  <si>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</si>
  <si>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</si>
  <si>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</si>
  <si>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</si>
  <si>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</si>
  <si>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</si>
  <si>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</si>
  <si>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</si>
  <si>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</si>
  <si>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</si>
  <si>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</si>
  <si>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</si>
  <si>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</si>
  <si>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</si>
  <si>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</si>
  <si>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</si>
  <si>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</si>
  <si>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</si>
  <si>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</si>
  <si>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</si>
  <si>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</si>
  <si>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</si>
  <si>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</si>
  <si>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</si>
  <si>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</si>
  <si>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</si>
  <si>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</si>
  <si>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</si>
  <si>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</si>
  <si>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</si>
  <si>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</si>
  <si>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</si>
  <si>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</si>
  <si>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</si>
  <si>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</si>
  <si>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</si>
  <si>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</si>
  <si>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</si>
  <si>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</si>
  <si>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</si>
  <si>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</si>
  <si>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</si>
  <si>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</si>
  <si>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</si>
  <si>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</si>
  <si>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</si>
  <si>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</si>
  <si>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</si>
  <si>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</si>
  <si>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</si>
  <si>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</si>
  <si>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</si>
  <si>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</si>
  <si>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</si>
  <si>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</si>
  <si>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</si>
  <si>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</si>
  <si>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</si>
  <si>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</si>
  <si>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</si>
  <si>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</si>
  <si>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</si>
  <si>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</si>
  <si>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</si>
  <si>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</si>
  <si>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</si>
  <si>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</si>
  <si>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</si>
  <si>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</si>
  <si>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</si>
  <si>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</si>
  <si>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</si>
  <si>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</si>
  <si>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</si>
  <si>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</si>
  <si>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</si>
  <si>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</si>
  <si>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</si>
  <si>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</si>
  <si>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</si>
  <si>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</si>
  <si>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</si>
  <si>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</si>
  <si>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</si>
  <si>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</si>
  <si>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</si>
  <si>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</si>
  <si>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</si>
  <si>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</si>
  <si>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</si>
  <si>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</si>
  <si>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</si>
  <si>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</si>
  <si>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</si>
  <si>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</si>
  <si>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</si>
  <si>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</si>
  <si>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</si>
  <si>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</si>
  <si>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</si>
  <si>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</si>
  <si>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</si>
  <si>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</si>
  <si>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</si>
  <si>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</si>
  <si>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</si>
  <si>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</si>
  <si>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</si>
  <si>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</si>
  <si>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</si>
  <si>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</si>
  <si>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</si>
  <si>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</si>
  <si>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</si>
  <si>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</si>
  <si>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</si>
  <si>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</si>
  <si>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</si>
  <si>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</si>
  <si>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</si>
  <si>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</si>
  <si>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</si>
  <si>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</si>
  <si>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</si>
  <si>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</si>
  <si>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</si>
  <si>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</si>
  <si>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</si>
  <si>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</si>
  <si>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</si>
  <si>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</si>
  <si>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</si>
  <si>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</si>
  <si>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</si>
  <si>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</si>
  <si>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</si>
  <si>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</si>
  <si>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</si>
  <si>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</si>
  <si>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</si>
  <si>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</si>
  <si>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</si>
  <si>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</si>
  <si>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</si>
  <si>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</si>
  <si>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</si>
  <si>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</si>
  <si>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</si>
  <si>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</si>
  <si>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</si>
  <si>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</si>
  <si>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</si>
  <si>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</si>
  <si>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</si>
  <si>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</si>
  <si>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</si>
  <si>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</si>
  <si>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</si>
  <si>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</si>
  <si>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</si>
  <si>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</si>
  <si>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</si>
  <si>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</si>
  <si>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</si>
  <si>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</si>
  <si>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</si>
  <si>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</si>
  <si>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</si>
  <si>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</si>
  <si>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</si>
  <si>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</si>
  <si>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</si>
  <si>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</si>
  <si>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</si>
  <si>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</si>
  <si>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</si>
  <si>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</si>
  <si>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</si>
  <si>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</si>
  <si>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</si>
  <si>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</si>
  <si>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</si>
  <si>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</si>
  <si>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</si>
  <si>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</si>
  <si>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</si>
  <si>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</si>
  <si>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</si>
  <si>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</si>
  <si>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</si>
  <si>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</si>
  <si>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</si>
  <si>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</si>
  <si>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</si>
  <si>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</si>
  <si>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</si>
  <si>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</si>
  <si>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</si>
  <si>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</si>
  <si>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</si>
  <si>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</si>
  <si>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</si>
  <si>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</si>
  <si>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</si>
  <si>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</si>
  <si>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</si>
  <si>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</si>
  <si>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</si>
  <si>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</si>
  <si>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</si>
  <si>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</si>
  <si>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</si>
  <si>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</si>
  <si>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</si>
  <si>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</si>
  <si>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</si>
  <si>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</si>
  <si>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</si>
  <si>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</si>
  <si>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</si>
  <si>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</si>
  <si>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</si>
  <si>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</si>
  <si>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</si>
  <si>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</si>
  <si>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</si>
  <si>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</si>
  <si>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</si>
  <si>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</si>
  <si>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</si>
  <si>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</si>
  <si>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</si>
  <si>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</si>
  <si>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</si>
  <si>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</si>
  <si>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</si>
  <si>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</si>
  <si>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</si>
  <si>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</si>
  <si>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</si>
  <si>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</si>
  <si>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</si>
  <si>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</si>
  <si>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</si>
  <si>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</si>
  <si>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</si>
  <si>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</si>
  <si>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</si>
  <si>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</si>
  <si>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</si>
  <si>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</si>
  <si>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</si>
  <si>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</si>
  <si>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</si>
  <si>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</si>
  <si>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</si>
  <si>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</si>
  <si>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</si>
  <si>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</si>
  <si>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</si>
  <si>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</si>
  <si>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</si>
  <si>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</si>
  <si>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</si>
  <si>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</si>
  <si>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</si>
  <si>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</si>
  <si>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</si>
  <si>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</si>
  <si>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</si>
  <si>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</si>
  <si>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</si>
  <si>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</si>
  <si>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</si>
  <si>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</si>
  <si>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</si>
  <si>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</si>
  <si>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</si>
  <si>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</si>
  <si>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</si>
  <si>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</si>
  <si>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</si>
  <si>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</si>
  <si>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</si>
  <si>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</si>
  <si>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</si>
  <si>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</si>
  <si>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</si>
  <si>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</si>
  <si>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</si>
  <si>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</si>
  <si>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</si>
  <si>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</si>
  <si>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</si>
  <si>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</si>
  <si>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</si>
  <si>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</si>
  <si>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</si>
  <si>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</si>
  <si>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</si>
  <si>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</si>
  <si>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</si>
  <si>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</si>
  <si>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</si>
  <si>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</si>
  <si>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</si>
  <si>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</si>
  <si>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</si>
  <si>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</si>
  <si>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</si>
  <si>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</si>
  <si>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</si>
  <si>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</si>
  <si>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</si>
  <si>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</si>
  <si>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</si>
  <si>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</si>
  <si>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</si>
  <si>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</si>
  <si>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</si>
  <si>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</si>
  <si>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</si>
  <si>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</si>
  <si>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</si>
  <si>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</si>
  <si>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</si>
  <si>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</si>
  <si>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</si>
  <si>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</si>
  <si>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</si>
  <si>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</si>
  <si>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</si>
  <si>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</si>
  <si>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</si>
  <si>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</si>
  <si>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</si>
  <si>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</si>
  <si>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</si>
  <si>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</si>
  <si>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</si>
  <si>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</si>
  <si>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</si>
  <si>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</si>
  <si>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</si>
  <si>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</si>
  <si>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</si>
  <si>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</si>
  <si>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</si>
  <si>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</si>
  <si>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</si>
  <si>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</si>
  <si>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</si>
  <si>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</si>
  <si>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</si>
  <si>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</si>
  <si>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</si>
  <si>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</si>
  <si>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</si>
  <si>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</si>
  <si>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</si>
  <si>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</si>
  <si>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</si>
  <si>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</si>
  <si>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</si>
  <si>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</si>
  <si>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</si>
  <si>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</si>
  <si>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</si>
  <si>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</si>
  <si>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</si>
  <si>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</si>
  <si>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</si>
  <si>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</si>
  <si>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</si>
  <si>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</si>
  <si>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</si>
  <si>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</si>
  <si>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</si>
  <si>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</si>
  <si>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</si>
  <si>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</si>
  <si>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</si>
  <si>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</si>
  <si>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</si>
  <si>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</si>
  <si>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</si>
  <si>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</si>
  <si>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</si>
  <si>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</si>
  <si>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</si>
  <si>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</si>
  <si>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</si>
  <si>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</si>
  <si>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</si>
  <si>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</si>
  <si>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</si>
  <si>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</si>
  <si>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</si>
  <si>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</si>
  <si>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</si>
  <si>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</si>
  <si>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</si>
  <si>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</si>
  <si>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</si>
  <si>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</si>
  <si>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</si>
  <si>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</si>
  <si>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</si>
  <si>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</si>
  <si>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</si>
  <si>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</si>
  <si>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</si>
  <si>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</si>
  <si>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</si>
  <si>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</si>
  <si>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</si>
  <si>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</si>
  <si>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</si>
  <si>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</si>
  <si>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</si>
  <si>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</si>
  <si>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</si>
  <si>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</si>
  <si>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</si>
  <si>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</si>
  <si>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</si>
  <si>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</si>
  <si>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</si>
  <si>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</si>
  <si>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</si>
  <si>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</si>
  <si>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</si>
  <si>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</si>
  <si>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</si>
  <si>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</si>
  <si>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</si>
  <si>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</si>
  <si>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</si>
  <si>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</si>
  <si>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</si>
  <si>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</si>
  <si>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</si>
  <si>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</si>
  <si>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</si>
  <si>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</si>
  <si>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</si>
  <si>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</si>
  <si>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</si>
  <si>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</si>
  <si>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</si>
  <si>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</si>
  <si>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</si>
  <si>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</si>
  <si>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</si>
  <si>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</si>
  <si>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</si>
  <si>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</si>
  <si>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</si>
  <si>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</si>
  <si>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</si>
  <si>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</si>
  <si>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</si>
  <si>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</si>
  <si>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</si>
  <si>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</si>
  <si>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</si>
  <si>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</si>
  <si>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</si>
  <si>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</si>
  <si>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</si>
  <si>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</si>
  <si>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</si>
  <si>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</si>
  <si>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</si>
  <si>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</si>
  <si>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</si>
  <si>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</si>
  <si>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</si>
  <si>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</si>
  <si>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</si>
  <si>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</si>
  <si>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</si>
  <si>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</si>
  <si>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</si>
  <si>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</si>
  <si>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</si>
  <si>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</si>
  <si>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</si>
  <si>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</si>
  <si>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</si>
  <si>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</si>
  <si>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</si>
  <si>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</si>
  <si>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</si>
  <si>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</si>
  <si>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</si>
  <si>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</si>
  <si>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</si>
  <si>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</si>
  <si>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</si>
  <si>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</si>
  <si>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</si>
  <si>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</si>
  <si>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</si>
  <si>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</si>
  <si>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</si>
  <si>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</si>
  <si>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</si>
  <si>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</si>
  <si>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</si>
  <si>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</si>
  <si>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</si>
  <si>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</si>
  <si>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</si>
  <si>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</si>
  <si>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</si>
  <si>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</si>
  <si>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</si>
  <si>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</si>
  <si>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</si>
  <si>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</si>
  <si>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</si>
  <si>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</si>
  <si>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</si>
  <si>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</si>
  <si>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</si>
  <si>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</si>
  <si>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</si>
  <si>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</si>
  <si>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</si>
  <si>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</si>
  <si>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</si>
  <si>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</si>
  <si>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</si>
  <si>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</si>
  <si>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</si>
  <si>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</si>
  <si>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</si>
  <si>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</si>
  <si>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</si>
  <si>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</si>
  <si>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</si>
  <si>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</si>
  <si>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</si>
  <si>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</si>
  <si>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</si>
  <si>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</si>
  <si>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</si>
  <si>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</si>
  <si>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</si>
  <si>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</si>
  <si>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</si>
  <si>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</si>
  <si>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</si>
  <si>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</si>
  <si>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</si>
  <si>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</si>
  <si>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</si>
  <si>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</si>
  <si>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</si>
  <si>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</si>
  <si>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</si>
  <si>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</si>
  <si>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</si>
  <si>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</si>
  <si>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</si>
  <si>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</si>
  <si>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</si>
  <si>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</si>
  <si>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</si>
  <si>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</si>
  <si>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</si>
  <si>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</si>
  <si>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</si>
  <si>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</si>
  <si>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</si>
  <si>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</si>
  <si>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</si>
  <si>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</si>
  <si>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</si>
  <si>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</si>
  <si>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</si>
  <si>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</si>
  <si>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</si>
  <si>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</si>
  <si>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</si>
  <si>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</si>
  <si>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</si>
  <si>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</si>
  <si>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</si>
  <si>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</si>
  <si>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</si>
  <si>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</si>
  <si>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</si>
  <si>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</si>
  <si>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</si>
  <si>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</si>
  <si>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</si>
  <si>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</si>
  <si>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</si>
  <si>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</si>
  <si>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</si>
  <si>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</si>
  <si>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</si>
  <si>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</si>
  <si>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</si>
  <si>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</si>
  <si>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</si>
  <si>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</si>
  <si>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</si>
  <si>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</si>
  <si>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</si>
  <si>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</si>
  <si>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</si>
  <si>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</si>
  <si>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</si>
  <si>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</si>
  <si>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</si>
  <si>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</si>
  <si>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</si>
  <si>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</si>
  <si>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</si>
  <si>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</si>
  <si>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</si>
  <si>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</si>
  <si>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</si>
  <si>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</si>
  <si>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</si>
  <si>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</si>
  <si>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</si>
  <si>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</si>
  <si>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</si>
  <si>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</si>
  <si>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</si>
  <si>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</si>
  <si>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</si>
  <si>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</si>
  <si>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</si>
  <si>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</si>
  <si>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</si>
  <si>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</si>
  <si>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</si>
  <si>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</si>
  <si>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</si>
  <si>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</si>
  <si>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</si>
  <si>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</si>
  <si>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</si>
  <si>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</si>
  <si>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</si>
  <si>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</si>
  <si>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</si>
  <si>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</si>
  <si>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</si>
  <si>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</si>
  <si>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</si>
  <si>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</si>
  <si>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</si>
  <si>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</si>
  <si>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</si>
  <si>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</si>
  <si>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</si>
  <si>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</si>
  <si>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</si>
  <si>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</si>
  <si>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</si>
  <si>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</si>
  <si>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</si>
  <si>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</si>
  <si>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</si>
  <si>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</si>
  <si>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</si>
  <si>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</si>
  <si>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</si>
  <si>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</si>
  <si>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</si>
  <si>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</si>
  <si>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</si>
  <si>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</si>
  <si>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</si>
  <si>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</si>
  <si>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</si>
  <si>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</si>
  <si>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</si>
  <si>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</si>
  <si>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</si>
  <si>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</si>
  <si>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</si>
  <si>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</si>
  <si>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</si>
  <si>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</si>
  <si>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</si>
  <si>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</si>
  <si>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</si>
  <si>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</si>
  <si>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</si>
  <si>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</si>
  <si>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</si>
  <si>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</si>
  <si>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</si>
  <si>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</si>
  <si>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</si>
  <si>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</si>
  <si>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</si>
  <si>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</si>
  <si>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</si>
  <si>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</si>
  <si>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</si>
  <si>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</si>
  <si>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</si>
  <si>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</si>
  <si>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</si>
  <si>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</si>
  <si>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</si>
  <si>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</si>
  <si>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</si>
  <si>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</si>
  <si>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</si>
  <si>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</si>
  <si>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</si>
  <si>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</si>
  <si>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</si>
  <si>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</si>
  <si>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</si>
  <si>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</si>
  <si>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</si>
  <si>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</si>
  <si>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</si>
  <si>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</si>
  <si>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</si>
  <si>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</si>
  <si>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</si>
  <si>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</si>
  <si>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</si>
  <si>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</si>
  <si>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</si>
  <si>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</si>
  <si>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</si>
  <si>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</si>
  <si>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</si>
  <si>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</si>
  <si>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</si>
  <si>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</si>
  <si>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</si>
  <si>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</si>
  <si>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</si>
  <si>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</si>
  <si>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</si>
  <si>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</si>
  <si>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</si>
  <si>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</si>
  <si>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</si>
  <si>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</si>
  <si>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</si>
  <si>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</si>
  <si>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</si>
  <si>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</si>
  <si>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</si>
  <si>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</si>
  <si>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</si>
  <si>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</si>
  <si>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</si>
  <si>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</si>
  <si>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</si>
  <si>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</si>
  <si>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</si>
  <si>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</si>
  <si>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</si>
  <si>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</si>
  <si>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</si>
  <si>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</si>
  <si>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</si>
  <si>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</si>
  <si>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</si>
  <si>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</si>
  <si>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</si>
  <si>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</si>
  <si>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</si>
  <si>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</si>
  <si>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</si>
  <si>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</si>
  <si>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</si>
  <si>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</si>
  <si>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</si>
  <si>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</si>
  <si>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</si>
  <si>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</si>
  <si>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</si>
  <si>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</si>
  <si>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</si>
  <si>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</si>
  <si>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</si>
  <si>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</si>
  <si>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</si>
  <si>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</si>
  <si>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</si>
  <si>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</si>
  <si>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</si>
  <si>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</si>
  <si>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</si>
  <si>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</si>
  <si>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</si>
  <si>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</si>
  <si>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</si>
  <si>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</si>
  <si>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</si>
  <si>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</si>
  <si>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</si>
  <si>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</si>
  <si>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</si>
  <si>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</si>
  <si>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</si>
  <si>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</si>
  <si>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</si>
  <si>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</si>
  <si>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</si>
  <si>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</si>
  <si>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</si>
  <si>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</si>
  <si>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</si>
  <si>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</si>
  <si>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</si>
  <si>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</si>
  <si>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</si>
  <si>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</si>
  <si>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</si>
  <si>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</si>
  <si>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</si>
  <si>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</si>
  <si>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</si>
  <si>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</si>
  <si>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</si>
  <si>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</si>
  <si>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</si>
  <si>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</si>
  <si>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</si>
  <si>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</si>
  <si>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</si>
  <si>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</si>
  <si>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</si>
  <si>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</si>
  <si>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</si>
  <si>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</si>
  <si>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</si>
  <si>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</si>
  <si>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</si>
  <si>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</si>
  <si>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</si>
  <si>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</si>
  <si>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</si>
  <si>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</si>
  <si>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</si>
  <si>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</si>
  <si>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</si>
  <si>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</si>
  <si>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</si>
  <si>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</si>
  <si>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</si>
  <si>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</si>
  <si>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</si>
  <si>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</si>
  <si>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</si>
  <si>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</si>
  <si>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</si>
  <si>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</si>
  <si>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</si>
  <si>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</si>
  <si>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</si>
  <si>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</si>
  <si>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</si>
  <si>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</si>
  <si>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</si>
  <si>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</si>
  <si>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</si>
  <si>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</si>
  <si>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</si>
  <si>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</si>
  <si>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</si>
  <si>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</si>
  <si>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</si>
  <si>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</si>
  <si>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</si>
  <si>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</si>
  <si>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</si>
  <si>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</si>
  <si>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</si>
  <si>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</si>
  <si>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</si>
  <si>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</si>
  <si>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</si>
  <si>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</si>
  <si>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</si>
  <si>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</si>
  <si>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</si>
  <si>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</si>
  <si>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</si>
  <si>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</si>
  <si>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</si>
  <si>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</si>
  <si>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</si>
  <si>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</si>
  <si>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</si>
  <si>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</si>
  <si>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</si>
  <si>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</si>
  <si>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</si>
  <si>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</si>
  <si>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</si>
  <si>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</si>
  <si>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</si>
  <si>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</si>
  <si>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</si>
  <si>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</si>
  <si>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</si>
  <si>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</si>
  <si>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</si>
  <si>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</si>
  <si>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</si>
  <si>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</si>
  <si>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</si>
  <si>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</si>
  <si>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</si>
  <si>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</si>
  <si>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</si>
  <si>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</si>
  <si>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</si>
  <si>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</si>
  <si>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</si>
  <si>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</si>
  <si>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</si>
  <si>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</si>
  <si>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</si>
  <si>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</si>
  <si>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</si>
  <si>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</si>
  <si>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</si>
  <si>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</si>
  <si>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</si>
  <si>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</si>
  <si>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</si>
  <si>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</si>
  <si>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</si>
  <si>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</si>
  <si>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</si>
  <si>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</si>
  <si>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</si>
  <si>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</si>
  <si>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</si>
  <si>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</si>
  <si>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</si>
  <si>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</si>
  <si>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</si>
  <si>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</si>
  <si>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</si>
  <si>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</si>
  <si>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</si>
  <si>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</si>
  <si>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</si>
  <si>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</si>
  <si>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</si>
  <si>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</si>
  <si>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</si>
  <si>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</si>
  <si>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</si>
  <si>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</si>
  <si>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</si>
  <si>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</si>
  <si>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</si>
  <si>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</si>
  <si>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</si>
  <si>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</si>
  <si>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</si>
  <si>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</si>
  <si>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</si>
  <si>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</si>
  <si>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</si>
  <si>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</si>
  <si>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</si>
  <si>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</si>
  <si>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</si>
  <si>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</si>
  <si>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</si>
  <si>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</si>
  <si>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</si>
  <si>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</si>
  <si>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</si>
  <si>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</si>
  <si>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</si>
  <si>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</si>
  <si>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</si>
  <si>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</si>
  <si>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</si>
  <si>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</si>
  <si>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</si>
  <si>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</si>
  <si>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</si>
  <si>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</si>
  <si>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</si>
  <si>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</si>
  <si>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</si>
  <si>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</si>
  <si>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</si>
  <si>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</si>
  <si>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</si>
  <si>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</si>
  <si>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</si>
  <si>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</si>
  <si>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</si>
  <si>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</si>
  <si>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</si>
  <si>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</si>
  <si>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</si>
  <si>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</si>
  <si>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</si>
  <si>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</si>
  <si>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</si>
  <si>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</si>
  <si>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</si>
  <si>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</si>
  <si>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</si>
  <si>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</si>
  <si>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</si>
  <si>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</si>
  <si>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</si>
  <si>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</si>
  <si>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</si>
  <si>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</si>
  <si>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</si>
  <si>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</si>
  <si>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</si>
  <si>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</si>
  <si>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</si>
  <si>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</si>
  <si>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</si>
  <si>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</si>
  <si>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</si>
  <si>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</si>
  <si>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</si>
  <si>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</si>
  <si>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</si>
  <si>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</si>
  <si>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</si>
  <si>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</si>
  <si>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</si>
  <si>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</si>
  <si>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</si>
  <si>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</si>
  <si>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</si>
  <si>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</si>
  <si>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</si>
  <si>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</si>
  <si>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</si>
  <si>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</si>
  <si>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</si>
  <si>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</si>
  <si>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</si>
  <si>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</si>
  <si>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</si>
  <si>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</si>
  <si>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</si>
  <si>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</si>
  <si>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</si>
  <si>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</si>
  <si>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</si>
  <si>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</si>
  <si>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</si>
  <si>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</si>
  <si>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</si>
  <si>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</si>
  <si>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</si>
  <si>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</si>
  <si>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</si>
  <si>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</si>
  <si>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</si>
  <si>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</si>
  <si>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</si>
  <si>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</si>
  <si>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</si>
  <si>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</si>
  <si>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</si>
  <si>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</si>
  <si>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</si>
  <si>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</si>
  <si>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</si>
  <si>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</si>
  <si>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</si>
  <si>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</si>
  <si>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</si>
  <si>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</si>
  <si>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</si>
  <si>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</si>
  <si>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</si>
  <si>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</si>
  <si>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</si>
  <si>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</si>
  <si>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</si>
  <si>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</si>
  <si>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</si>
  <si>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</si>
  <si>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</si>
  <si>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</si>
  <si>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</si>
  <si>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</si>
  <si>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</si>
  <si>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</si>
  <si>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</si>
  <si>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</si>
  <si>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</si>
  <si>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</si>
  <si>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</si>
  <si>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</si>
  <si>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</si>
  <si>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</si>
  <si>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</si>
  <si>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</si>
  <si>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</si>
  <si>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</si>
  <si>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</si>
  <si>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</si>
  <si>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</si>
  <si>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</si>
  <si>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</si>
  <si>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</si>
  <si>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</si>
  <si>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</si>
  <si>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</si>
  <si>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</si>
  <si>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</si>
  <si>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</si>
  <si>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</si>
  <si>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</si>
  <si>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</si>
  <si>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</si>
  <si>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</si>
  <si>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</si>
  <si>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</si>
  <si>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</si>
  <si>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</si>
  <si>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</si>
  <si>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</si>
  <si>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</si>
  <si>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</si>
  <si>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</si>
  <si>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</si>
  <si>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</si>
  <si>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</si>
  <si>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</si>
  <si>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</si>
  <si>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</si>
  <si>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</si>
  <si>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</si>
  <si>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</si>
  <si>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</si>
  <si>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</si>
  <si>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</si>
  <si>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</si>
  <si>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</si>
  <si>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</si>
  <si>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</si>
  <si>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</si>
  <si>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</si>
  <si>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</si>
  <si>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</si>
  <si>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</si>
  <si>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</si>
  <si>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</si>
  <si>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</si>
  <si>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</si>
  <si>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</si>
  <si>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</si>
  <si>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</si>
  <si>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</si>
  <si>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</si>
  <si>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</si>
  <si>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</si>
  <si>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</si>
  <si>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</si>
  <si>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</si>
  <si>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</si>
  <si>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</si>
  <si>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</si>
  <si>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</si>
  <si>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</si>
  <si>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</si>
  <si>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</si>
  <si>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</si>
  <si>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</si>
  <si>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</si>
  <si>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</si>
  <si>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</si>
  <si>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</si>
  <si>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</si>
  <si>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</si>
  <si>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</si>
  <si>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</si>
  <si>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</si>
  <si>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</si>
  <si>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</si>
  <si>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</si>
  <si>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</si>
  <si>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</si>
  <si>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</si>
  <si>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</si>
  <si>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</si>
  <si>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</si>
  <si>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</si>
  <si>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</si>
  <si>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</si>
  <si>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</si>
  <si>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</si>
  <si>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</si>
  <si>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</si>
  <si>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</si>
  <si>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</si>
  <si>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</si>
  <si>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</si>
  <si>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</si>
  <si>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</si>
  <si>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</si>
  <si>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</si>
  <si>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</si>
  <si>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</si>
  <si>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</si>
  <si>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</si>
  <si>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</si>
  <si>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</si>
  <si>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</si>
  <si>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</si>
  <si>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</si>
  <si>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</si>
  <si>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</si>
  <si>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</si>
  <si>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</si>
  <si>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</si>
  <si>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</si>
  <si>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</si>
  <si>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</si>
  <si>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</si>
  <si>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</si>
  <si>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</si>
  <si>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</si>
  <si>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</si>
  <si>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</si>
  <si>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</si>
  <si>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</si>
  <si>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</si>
  <si>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</si>
  <si>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</si>
  <si>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</si>
  <si>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</si>
  <si>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</si>
  <si>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</si>
  <si>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</si>
  <si>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</si>
  <si>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</si>
  <si>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</si>
  <si>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</si>
  <si>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</si>
  <si>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</si>
  <si>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</si>
  <si>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</si>
  <si>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</si>
  <si>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</si>
  <si>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</si>
  <si>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</si>
  <si>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</si>
  <si>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</si>
  <si>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</si>
  <si>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</si>
  <si>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</si>
  <si>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</si>
  <si>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</si>
  <si>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</si>
  <si>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</si>
  <si>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</si>
  <si>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</si>
  <si>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</si>
  <si>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</si>
  <si>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</si>
  <si>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</si>
  <si>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</si>
  <si>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</si>
  <si>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</si>
  <si>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</si>
  <si>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</si>
  <si>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</si>
  <si>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</si>
  <si>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</si>
  <si>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</si>
  <si>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</si>
  <si>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</si>
  <si>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</si>
  <si>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</si>
  <si>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</si>
  <si>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</si>
  <si>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</si>
  <si>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</si>
  <si>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</si>
  <si>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</si>
  <si>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</si>
  <si>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</si>
  <si>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</si>
  <si>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</si>
  <si>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</si>
  <si>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</si>
  <si>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</si>
  <si>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</si>
  <si>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</si>
  <si>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</si>
  <si>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</si>
  <si>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</si>
  <si>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</si>
  <si>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</si>
  <si>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</si>
  <si>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</si>
  <si>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</si>
  <si>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</si>
  <si>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</si>
  <si>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</si>
  <si>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</si>
  <si>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</si>
  <si>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</si>
  <si>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</si>
  <si>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</si>
  <si>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</si>
  <si>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</si>
  <si>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</si>
  <si>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</si>
  <si>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</si>
  <si>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</si>
  <si>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</si>
  <si>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</si>
  <si>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</si>
  <si>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</si>
  <si>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</si>
  <si>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</si>
  <si>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</si>
  <si>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</si>
  <si>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</si>
  <si>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</si>
  <si>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</si>
  <si>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</si>
  <si>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</si>
  <si>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</si>
  <si>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</si>
  <si>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</si>
  <si>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</si>
  <si>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</si>
  <si>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</si>
  <si>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</si>
  <si>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</si>
  <si>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</si>
  <si>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</si>
  <si>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</si>
  <si>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</si>
  <si>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</si>
  <si>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</si>
  <si>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</si>
  <si>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</si>
  <si>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</si>
  <si>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</si>
  <si>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</si>
  <si>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</si>
  <si>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</si>
  <si>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</si>
  <si>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</si>
  <si>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</si>
  <si>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</si>
  <si>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</si>
  <si>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</si>
  <si>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</si>
  <si>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</si>
  <si>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</si>
  <si>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</si>
  <si>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</si>
  <si>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</si>
  <si>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</si>
  <si>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</si>
  <si>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</si>
  <si>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</si>
  <si>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</si>
  <si>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</si>
  <si>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</si>
  <si>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</si>
  <si>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</si>
  <si>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</si>
  <si>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</si>
  <si>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</si>
  <si>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</si>
  <si>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</si>
  <si>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</si>
  <si>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</si>
  <si>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</si>
  <si>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</si>
  <si>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</si>
  <si>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</si>
  <si>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</si>
  <si>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</si>
  <si>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</si>
  <si>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</si>
  <si>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</si>
  <si>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</si>
  <si>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</si>
  <si>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</si>
  <si>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</si>
  <si>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</si>
  <si>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</si>
  <si>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</si>
  <si>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</si>
  <si>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</si>
  <si>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</si>
  <si>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</si>
  <si>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</si>
  <si>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</si>
  <si>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</si>
  <si>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</si>
  <si>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</si>
  <si>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</si>
  <si>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</si>
  <si>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</si>
  <si>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</si>
  <si>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</si>
  <si>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</si>
  <si>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</si>
  <si>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</si>
  <si>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</si>
  <si>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</si>
  <si>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</si>
  <si>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</si>
  <si>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</si>
  <si>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</si>
  <si>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</si>
  <si>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</si>
  <si>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</si>
  <si>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</si>
  <si>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</si>
  <si>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</si>
  <si>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</si>
  <si>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</si>
  <si>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</si>
  <si>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</si>
  <si>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</si>
  <si>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</si>
  <si>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</si>
  <si>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</si>
  <si>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</si>
  <si>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</si>
  <si>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</si>
  <si>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</si>
  <si>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</si>
  <si>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</si>
  <si>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</si>
  <si>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</si>
  <si>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</si>
  <si>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</si>
  <si>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</si>
  <si>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</si>
  <si>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</si>
  <si>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</si>
  <si>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</si>
  <si>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</si>
  <si>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</si>
  <si>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</si>
  <si>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</si>
  <si>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</si>
  <si>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</si>
  <si>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</si>
  <si>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</si>
  <si>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</si>
  <si>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</si>
  <si>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</si>
  <si>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</si>
  <si>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</si>
  <si>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</si>
  <si>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</si>
  <si>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</si>
  <si>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</si>
  <si>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</si>
  <si>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</si>
  <si>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</si>
  <si>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</si>
  <si>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</si>
  <si>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</si>
  <si>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</si>
  <si>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</si>
  <si>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</si>
  <si>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</si>
  <si>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</si>
  <si>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</si>
  <si>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</si>
  <si>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</si>
  <si>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</si>
  <si>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</si>
  <si>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</si>
  <si>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</si>
  <si>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</si>
  <si>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</si>
  <si>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</si>
  <si>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</si>
  <si>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</si>
  <si>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</si>
  <si>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</si>
  <si>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</si>
  <si>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</si>
  <si>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</si>
  <si>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</si>
  <si>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</si>
  <si>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</si>
  <si>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</si>
  <si>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</si>
  <si>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</si>
  <si>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</si>
  <si>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</si>
  <si>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</si>
  <si>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</si>
  <si>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</si>
  <si>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</si>
  <si>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</si>
  <si>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</si>
  <si>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</si>
  <si>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</si>
  <si>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</si>
  <si>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</si>
  <si>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</si>
  <si>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</si>
  <si>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</si>
  <si>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</si>
  <si>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</si>
  <si>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</si>
  <si>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</si>
  <si>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</si>
  <si>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</si>
  <si>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</si>
  <si>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</si>
  <si>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</si>
  <si>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</si>
  <si>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</si>
  <si>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</si>
  <si>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</si>
  <si>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</si>
  <si>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</si>
  <si>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</si>
  <si>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</si>
  <si>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</si>
  <si>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</si>
  <si>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</si>
  <si>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</si>
  <si>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</si>
  <si>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</si>
  <si>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</si>
  <si>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</si>
  <si>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</si>
  <si>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</si>
  <si>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</si>
  <si>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</si>
  <si>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</si>
  <si>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</si>
  <si>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</si>
  <si>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</si>
  <si>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</si>
  <si>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</si>
  <si>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</si>
  <si>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</si>
  <si>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</si>
  <si>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</si>
  <si>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</si>
  <si>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</si>
  <si>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</si>
  <si>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</si>
  <si>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</si>
  <si>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</si>
  <si>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</si>
  <si>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</si>
  <si>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</si>
  <si>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</si>
  <si>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</si>
  <si>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</si>
  <si>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</si>
  <si>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</si>
  <si>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</si>
  <si>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</si>
  <si>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</si>
  <si>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</si>
  <si>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</si>
  <si>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</si>
  <si>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</si>
  <si>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</si>
  <si>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</si>
  <si>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</si>
  <si>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</si>
  <si>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</si>
  <si>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</si>
  <si>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</si>
  <si>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</si>
  <si>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</si>
  <si>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</si>
  <si>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</si>
  <si>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</si>
  <si>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</si>
  <si>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</si>
  <si>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</si>
  <si>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</si>
  <si>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</si>
  <si>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</si>
  <si>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</si>
  <si>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</si>
  <si>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</si>
  <si>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</si>
  <si>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</si>
  <si>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</si>
  <si>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</si>
  <si>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</si>
  <si>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</si>
  <si>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</si>
  <si>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</si>
  <si>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</si>
  <si>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</si>
  <si>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</si>
  <si>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</si>
  <si>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</si>
  <si>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</si>
  <si>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</si>
  <si>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</si>
  <si>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</si>
  <si>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</si>
  <si>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</si>
  <si>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</si>
  <si>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</si>
  <si>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</si>
  <si>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</si>
  <si>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</si>
  <si>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</si>
  <si>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</si>
  <si>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</si>
  <si>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</si>
  <si>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</si>
  <si>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</si>
  <si>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</si>
  <si>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</si>
  <si>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</si>
  <si>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</si>
  <si>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</si>
  <si>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</si>
  <si>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</si>
  <si>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</si>
  <si>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</si>
  <si>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</si>
  <si>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</si>
  <si>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</si>
  <si>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</si>
  <si>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</si>
  <si>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</si>
  <si>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</si>
  <si>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</si>
  <si>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</si>
  <si>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</si>
  <si>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</si>
  <si>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</si>
  <si>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</si>
  <si>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</si>
  <si>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</si>
  <si>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</si>
  <si>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</si>
  <si>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</si>
  <si>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</si>
  <si>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</si>
  <si>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</si>
  <si>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</si>
  <si>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</si>
  <si>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</si>
  <si>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</si>
  <si>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</si>
  <si>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</si>
  <si>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</si>
  <si>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</si>
  <si>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</si>
  <si>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</si>
  <si>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</si>
  <si>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</si>
  <si>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</si>
  <si>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</si>
  <si>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</si>
  <si>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</si>
  <si>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</si>
  <si>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</si>
  <si>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</si>
  <si>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</si>
  <si>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</si>
  <si>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</si>
  <si>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</si>
  <si>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</si>
  <si>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</si>
  <si>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</si>
  <si>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</si>
  <si>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</si>
  <si>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</si>
  <si>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</si>
  <si>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</si>
  <si>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</si>
  <si>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</si>
  <si>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</si>
  <si>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</si>
  <si>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</si>
  <si>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</si>
  <si>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</si>
  <si>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</si>
  <si>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</si>
  <si>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</si>
  <si>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</si>
  <si>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</si>
  <si>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</si>
  <si>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</si>
  <si>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</si>
  <si>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</si>
  <si>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</si>
  <si>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</si>
  <si>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</si>
  <si>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</si>
  <si>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</si>
  <si>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</si>
  <si>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</si>
  <si>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</si>
  <si>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</si>
  <si>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</si>
  <si>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</si>
  <si>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</si>
  <si>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</si>
  <si>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</si>
  <si>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</si>
  <si>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</si>
  <si>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</si>
  <si>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</si>
  <si>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</si>
  <si>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</si>
  <si>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</si>
  <si>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</si>
  <si>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</si>
  <si>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</si>
  <si>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</si>
  <si>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</si>
  <si>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</si>
  <si>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</si>
  <si>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</si>
  <si>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</si>
  <si>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</si>
  <si>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</si>
  <si>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</si>
  <si>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</si>
  <si>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</si>
  <si>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</si>
  <si>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</si>
  <si>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</si>
  <si>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</si>
  <si>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</si>
  <si>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</si>
  <si>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</si>
  <si>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</si>
  <si>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</si>
  <si>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</si>
  <si>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</si>
  <si>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</si>
  <si>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</si>
  <si>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</si>
  <si>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</si>
  <si>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</si>
  <si>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</si>
  <si>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</si>
  <si>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</si>
  <si>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</si>
  <si>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</si>
  <si>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</si>
  <si>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</si>
  <si>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</si>
  <si>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</si>
  <si>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</si>
  <si>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</si>
  <si>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</si>
  <si>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</si>
  <si>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</si>
  <si>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</si>
  <si>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</si>
  <si>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</si>
  <si>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</si>
  <si>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</si>
  <si>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</si>
  <si>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</si>
  <si>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</si>
  <si>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</si>
  <si>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</si>
  <si>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</si>
  <si>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</si>
  <si>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</si>
  <si>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</si>
  <si>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</si>
  <si>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</si>
  <si>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</si>
  <si>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</si>
  <si>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</si>
  <si>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</si>
  <si>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</si>
  <si>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</si>
  <si>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</si>
  <si>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</si>
  <si>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</si>
  <si>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</si>
  <si>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</si>
  <si>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</si>
  <si>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</si>
  <si>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</si>
  <si>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</si>
  <si>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</si>
  <si>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</si>
  <si>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</si>
  <si>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</si>
  <si>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</si>
  <si>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</si>
  <si>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</si>
  <si>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</si>
  <si>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</si>
  <si>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</si>
  <si>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</si>
  <si>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</si>
  <si>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</si>
  <si>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</si>
  <si>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</si>
  <si>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</si>
  <si>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</si>
  <si>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</si>
  <si>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</si>
  <si>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</si>
  <si>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</si>
  <si>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</si>
  <si>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</si>
  <si>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</si>
  <si>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</si>
  <si>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</si>
  <si>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</si>
  <si>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</si>
  <si>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</si>
  <si>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</si>
  <si>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</si>
  <si>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</si>
  <si>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</si>
  <si>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</si>
  <si>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</si>
  <si>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</si>
  <si>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</si>
  <si>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</si>
  <si>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</si>
  <si>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</si>
  <si>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</si>
  <si>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</si>
  <si>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</si>
  <si>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</si>
  <si>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</si>
  <si>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</si>
  <si>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</si>
  <si>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</si>
  <si>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</si>
  <si>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</si>
  <si>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</si>
  <si>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</si>
  <si>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</si>
  <si>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</si>
  <si>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</si>
  <si>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</si>
  <si>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</si>
  <si>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</si>
  <si>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</si>
  <si>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</si>
  <si>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</si>
  <si>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</si>
  <si>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</si>
  <si>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</si>
  <si>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</si>
  <si>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</si>
  <si>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</si>
  <si>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</si>
  <si>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</si>
  <si>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</si>
  <si>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</si>
  <si>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</si>
  <si>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</si>
  <si>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</si>
  <si>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</si>
  <si>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</si>
  <si>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</si>
  <si>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</si>
  <si>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</si>
  <si>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</si>
  <si>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</si>
  <si>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</si>
  <si>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</si>
  <si>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</si>
  <si>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</si>
  <si>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</si>
  <si>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</si>
  <si>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</si>
  <si>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</si>
  <si>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</si>
  <si>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</si>
  <si>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</si>
  <si>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</si>
  <si>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</si>
  <si>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</si>
  <si>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</si>
  <si>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</si>
  <si>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</si>
  <si>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</si>
  <si>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</si>
  <si>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</si>
  <si>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</si>
  <si>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</si>
  <si>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</si>
  <si>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</si>
  <si>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</si>
  <si>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</si>
  <si>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</si>
  <si>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</si>
  <si>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</si>
  <si>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</si>
  <si>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</si>
  <si>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</si>
  <si>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</si>
  <si>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</si>
  <si>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</si>
  <si>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</si>
  <si>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</si>
  <si>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</si>
  <si>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</si>
  <si>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</si>
  <si>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</si>
  <si>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</si>
  <si>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</si>
  <si>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</si>
  <si>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</si>
  <si>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</si>
  <si>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</si>
  <si>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</si>
  <si>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</si>
  <si>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</si>
  <si>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</si>
  <si>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</si>
  <si>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</si>
  <si>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</si>
  <si>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</si>
  <si>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</si>
  <si>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</si>
  <si>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</si>
  <si>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</si>
  <si>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</si>
  <si>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</si>
  <si>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</si>
  <si>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</si>
  <si>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</si>
  <si>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</si>
  <si>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</si>
  <si>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</si>
  <si>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</si>
  <si>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</si>
  <si>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</si>
  <si>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</si>
  <si>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</si>
  <si>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</si>
  <si>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</si>
  <si>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</si>
  <si>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</si>
  <si>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</si>
  <si>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</si>
  <si>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</si>
  <si>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</si>
  <si>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</si>
  <si>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</si>
  <si>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</si>
  <si>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</si>
  <si>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</si>
  <si>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</si>
  <si>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</si>
  <si>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</si>
  <si>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</si>
  <si>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</si>
  <si>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</si>
  <si>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</si>
  <si>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</si>
  <si>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</si>
  <si>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</si>
  <si>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</si>
  <si>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</si>
  <si>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</si>
  <si>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</si>
  <si>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</si>
  <si>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</si>
  <si>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</si>
  <si>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</si>
  <si>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</si>
  <si>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</si>
  <si>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</si>
  <si>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</si>
  <si>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</si>
  <si>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</si>
  <si>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</si>
  <si>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</si>
  <si>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</si>
  <si>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</si>
  <si>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</si>
  <si>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</si>
  <si>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</si>
  <si>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</si>
  <si>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</si>
  <si>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</si>
  <si>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</si>
  <si>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</si>
  <si>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</si>
  <si>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</si>
  <si>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</si>
  <si>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</si>
  <si>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</si>
  <si>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</si>
  <si>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</si>
  <si>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</si>
  <si>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</si>
  <si>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</si>
  <si>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</si>
  <si>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</si>
  <si>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</si>
  <si>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</si>
  <si>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</si>
  <si>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</si>
  <si>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</si>
  <si>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</si>
  <si>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</si>
  <si>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</si>
  <si>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</si>
  <si>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</si>
  <si>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</si>
  <si>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</si>
  <si>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</si>
  <si>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</si>
  <si>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</si>
  <si>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</si>
  <si>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</si>
  <si>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</si>
  <si>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</si>
  <si>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</si>
  <si>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</si>
  <si>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</si>
  <si>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</si>
  <si>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</si>
  <si>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</si>
  <si>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</si>
  <si>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</si>
  <si>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</si>
  <si>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</si>
  <si>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</si>
  <si>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</si>
  <si>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</si>
  <si>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</si>
  <si>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</si>
  <si>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</si>
  <si>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</si>
  <si>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</si>
  <si>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</si>
  <si>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</si>
  <si>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</si>
  <si>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</si>
  <si>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</si>
  <si>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</si>
  <si>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</si>
  <si>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</si>
  <si>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</si>
  <si>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</si>
  <si>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</si>
  <si>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</si>
  <si>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</si>
  <si>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</si>
  <si>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</si>
  <si>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</si>
  <si>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</si>
  <si>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</si>
  <si>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</si>
  <si>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</si>
  <si>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</si>
  <si>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</si>
  <si>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</si>
  <si>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</si>
  <si>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</si>
  <si>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</si>
  <si>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</si>
  <si>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</si>
  <si>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</si>
  <si>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</si>
  <si>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</si>
  <si>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</si>
  <si>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</si>
  <si>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</si>
  <si>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</si>
  <si>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</si>
  <si>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</si>
  <si>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</si>
  <si>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</si>
  <si>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</si>
  <si>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</si>
  <si>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</si>
  <si>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</si>
  <si>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</si>
  <si>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</si>
  <si>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</si>
  <si>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</si>
  <si>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</si>
  <si>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</si>
  <si>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</si>
  <si>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</si>
  <si>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</si>
  <si>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</si>
  <si>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</si>
  <si>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</si>
  <si>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</si>
  <si>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</si>
  <si>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</si>
  <si>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</si>
  <si>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</si>
  <si>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</si>
  <si>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</si>
  <si>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</si>
  <si>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</si>
  <si>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</si>
  <si>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</si>
  <si>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</si>
  <si>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</si>
  <si>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</si>
  <si>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</si>
  <si>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</si>
  <si>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</si>
  <si>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</si>
  <si>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</si>
  <si>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</si>
  <si>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</si>
  <si>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</si>
  <si>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</si>
  <si>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</si>
  <si>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</si>
  <si>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</si>
  <si>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</si>
  <si>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</si>
  <si>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</si>
  <si>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</si>
  <si>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</si>
  <si>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</si>
  <si>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</si>
  <si>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</si>
  <si>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</si>
  <si>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</si>
  <si>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</si>
  <si>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</si>
  <si>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</si>
  <si>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</si>
  <si>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</si>
  <si>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</si>
  <si>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</si>
  <si>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</si>
  <si>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</si>
  <si>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</si>
  <si>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</si>
  <si>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</si>
  <si>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</si>
  <si>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</si>
  <si>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</si>
  <si>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</si>
  <si>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</si>
  <si>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</si>
  <si>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</si>
  <si>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</si>
  <si>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</si>
  <si>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</si>
  <si>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</si>
  <si>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</si>
  <si>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</si>
  <si>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</si>
  <si>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</si>
  <si>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</si>
  <si>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</si>
  <si>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</si>
  <si>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</si>
  <si>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</si>
  <si>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</si>
  <si>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</si>
  <si>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</si>
  <si>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</si>
  <si>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</si>
  <si>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</si>
  <si>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</si>
  <si>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</si>
  <si>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</si>
  <si>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</si>
  <si>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</si>
  <si>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</si>
  <si>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</si>
  <si>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</si>
  <si>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</si>
  <si>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</si>
  <si>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</si>
  <si>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</si>
  <si>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</si>
  <si>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</si>
  <si>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</si>
  <si>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</si>
  <si>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</si>
  <si>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</si>
  <si>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</si>
  <si>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</si>
  <si>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</si>
  <si>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</si>
  <si>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</si>
  <si>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</si>
  <si>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</si>
  <si>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</si>
  <si>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</si>
  <si>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</si>
  <si>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</si>
  <si>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</si>
  <si>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</si>
  <si>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</si>
  <si>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</si>
  <si>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</si>
  <si>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</si>
  <si>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</si>
  <si>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</si>
  <si>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</si>
  <si>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</si>
  <si>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</si>
  <si>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</si>
  <si>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</si>
  <si>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</si>
  <si>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</si>
  <si>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</si>
  <si>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</si>
  <si>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</si>
  <si>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</si>
  <si>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</si>
  <si>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</si>
  <si>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</si>
  <si>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</si>
  <si>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</si>
  <si>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</si>
  <si>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</si>
  <si>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</si>
  <si>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</si>
  <si>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</si>
  <si>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</si>
  <si>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</si>
  <si>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</si>
  <si>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</si>
  <si>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</si>
  <si>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</si>
  <si>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</si>
  <si>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</si>
  <si>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</si>
  <si>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</si>
  <si>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</si>
  <si>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</si>
  <si>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</si>
  <si>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</si>
  <si>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</si>
  <si>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</si>
  <si>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</si>
  <si>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</si>
  <si>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</si>
  <si>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</si>
  <si>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</si>
  <si>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</si>
  <si>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</si>
  <si>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</si>
  <si>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</si>
  <si>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</si>
  <si>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</si>
  <si>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</si>
  <si>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</si>
  <si>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</si>
  <si>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</si>
  <si>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</si>
  <si>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</si>
  <si>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</si>
  <si>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</si>
  <si>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</si>
  <si>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</si>
  <si>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</si>
  <si>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</si>
  <si>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</si>
  <si>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</si>
  <si>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</si>
  <si>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</si>
  <si>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</si>
  <si>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</si>
  <si>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</si>
  <si>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</si>
  <si>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</si>
  <si>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</si>
  <si>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</si>
  <si>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</si>
  <si>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</si>
  <si>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</si>
  <si>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</si>
  <si>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</si>
  <si>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</si>
  <si>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</si>
  <si>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</si>
  <si>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</si>
  <si>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</si>
  <si>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</si>
  <si>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</si>
  <si>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</si>
  <si>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</si>
  <si>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</si>
  <si>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</si>
  <si>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</si>
  <si>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</si>
  <si>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</si>
  <si>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</si>
  <si>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</si>
  <si>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</si>
  <si>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</si>
  <si>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</si>
  <si>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</si>
  <si>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</si>
  <si>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</si>
  <si>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</si>
  <si>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</si>
  <si>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</si>
  <si>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</si>
  <si>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</si>
  <si>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</si>
  <si>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</si>
  <si>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</si>
  <si>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</si>
  <si>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</si>
  <si>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</si>
  <si>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</si>
  <si>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</si>
  <si>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</si>
  <si>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</si>
  <si>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</si>
  <si>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</si>
  <si>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</si>
  <si>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</si>
  <si>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</si>
  <si>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</si>
  <si>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</si>
  <si>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</si>
  <si>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</si>
  <si>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</si>
  <si>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</si>
  <si>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</si>
  <si>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</si>
  <si>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</si>
  <si>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</si>
  <si>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</si>
  <si>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</si>
  <si>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</si>
  <si>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</si>
  <si>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</si>
  <si>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</si>
  <si>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</si>
  <si>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</si>
  <si>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</si>
  <si>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</si>
  <si>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</si>
  <si>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</si>
  <si>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</si>
  <si>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</si>
  <si>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</si>
  <si>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</si>
  <si>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</si>
  <si>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</si>
  <si>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</si>
  <si>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</si>
  <si>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</si>
  <si>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</si>
  <si>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</si>
  <si>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</si>
  <si>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</si>
  <si>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</si>
  <si>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</si>
  <si>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</si>
  <si>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</si>
  <si>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</si>
  <si>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</si>
  <si>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</si>
  <si>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</si>
  <si>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</si>
  <si>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</si>
  <si>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</si>
  <si>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</si>
  <si>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</si>
  <si>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</si>
  <si>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</si>
  <si>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</si>
  <si>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</si>
  <si>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</si>
  <si>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</si>
  <si>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</si>
  <si>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</si>
  <si>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</si>
  <si>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</si>
  <si>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</si>
  <si>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</si>
  <si>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</si>
  <si>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</si>
  <si>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</si>
  <si>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</si>
  <si>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</si>
  <si>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</si>
  <si>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</si>
  <si>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</si>
  <si>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</si>
  <si>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</si>
  <si>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</si>
  <si>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</si>
  <si>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</si>
  <si>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</si>
  <si>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</si>
  <si>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</si>
  <si>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</si>
  <si>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</si>
  <si>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</si>
  <si>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</si>
  <si>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</si>
  <si>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</si>
  <si>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</si>
  <si>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</si>
  <si>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</si>
  <si>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</si>
  <si>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</si>
  <si>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</si>
  <si>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</si>
  <si>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</si>
  <si>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</si>
  <si>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</si>
  <si>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</si>
  <si>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</si>
  <si>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</si>
  <si>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</si>
  <si>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</si>
  <si>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</si>
  <si>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</si>
  <si>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</si>
  <si>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</si>
  <si>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</si>
  <si>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</si>
  <si>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</si>
  <si>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</si>
  <si>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</si>
  <si>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</si>
  <si>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</si>
  <si>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</si>
  <si>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</si>
  <si>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</si>
  <si>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</si>
  <si>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</si>
  <si>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</si>
  <si>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</si>
  <si>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</si>
  <si>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</si>
  <si>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</si>
  <si>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</si>
  <si>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</si>
  <si>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</si>
  <si>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</si>
  <si>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</si>
  <si>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</si>
  <si>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</si>
  <si>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</si>
  <si>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</si>
  <si>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</si>
  <si>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</si>
  <si>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</si>
  <si>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</si>
  <si>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</si>
  <si>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</si>
  <si>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</si>
  <si>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</si>
  <si>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</si>
  <si>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</si>
  <si>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</si>
  <si>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</si>
  <si>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</si>
  <si>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</si>
  <si>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</si>
  <si>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</si>
  <si>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</si>
  <si>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</si>
  <si>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</si>
  <si>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</si>
  <si>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</si>
  <si>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</si>
  <si>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</si>
  <si>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</si>
  <si>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</si>
  <si>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</si>
  <si>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</si>
  <si>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</si>
  <si>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</si>
  <si>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</si>
  <si>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</si>
  <si>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</si>
  <si>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</si>
  <si>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</si>
  <si>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</si>
  <si>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</si>
  <si>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</si>
  <si>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</si>
  <si>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</si>
  <si>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</si>
  <si>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</si>
  <si>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</si>
  <si>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</si>
  <si>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</si>
  <si>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</si>
  <si>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</si>
  <si>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</si>
  <si>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</si>
  <si>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</si>
  <si>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</si>
  <si>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</si>
  <si>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</si>
  <si>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</si>
  <si>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</si>
  <si>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</si>
  <si>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</si>
  <si>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</si>
  <si>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</si>
  <si>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</si>
  <si>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</si>
  <si>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</si>
  <si>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</si>
  <si>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</si>
  <si>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</si>
  <si>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</si>
  <si>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</si>
  <si>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</si>
  <si>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</si>
  <si>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</si>
  <si>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</si>
  <si>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</si>
  <si>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</si>
  <si>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</si>
  <si>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</si>
  <si>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</si>
  <si>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</si>
  <si>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</si>
  <si>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</si>
  <si>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</si>
  <si>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</si>
  <si>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</si>
  <si>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</si>
  <si>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</si>
  <si>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</si>
  <si>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</si>
  <si>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</si>
  <si>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</si>
  <si>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</si>
  <si>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</si>
  <si>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</si>
  <si>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</si>
  <si>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</si>
  <si>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</si>
  <si>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</si>
  <si>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</si>
  <si>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</si>
  <si>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</si>
  <si>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</si>
  <si>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</si>
  <si>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</si>
  <si>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</si>
  <si>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</si>
  <si>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</si>
  <si>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</si>
  <si>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</si>
  <si>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</si>
  <si>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</si>
  <si>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</si>
  <si>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</si>
  <si>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</si>
  <si>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</si>
  <si>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</si>
  <si>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</si>
  <si>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</si>
  <si>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</si>
  <si>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</si>
  <si>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</si>
  <si>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</si>
  <si>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</si>
  <si>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</si>
  <si>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</si>
  <si>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</si>
  <si>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</si>
  <si>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</si>
  <si>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</si>
  <si>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</si>
  <si>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</si>
  <si>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</si>
  <si>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</si>
  <si>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</si>
  <si>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</si>
  <si>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</si>
  <si>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</si>
  <si>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</si>
  <si>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</si>
  <si>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</si>
  <si>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</si>
  <si>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</si>
  <si>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</si>
  <si>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</si>
  <si>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</si>
  <si>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</si>
  <si>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</si>
  <si>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</si>
  <si>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</si>
  <si>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</si>
  <si>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</si>
  <si>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</si>
  <si>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</si>
  <si>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</si>
  <si>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</si>
  <si>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</si>
  <si>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</si>
  <si>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</si>
  <si>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</si>
  <si>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</si>
  <si>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</si>
  <si>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</si>
  <si>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</si>
  <si>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</si>
  <si>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</si>
  <si>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</si>
  <si>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</si>
  <si>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</si>
  <si>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</si>
  <si>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</si>
  <si>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</si>
  <si>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</si>
  <si>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</si>
  <si>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</si>
  <si>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</si>
  <si>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</si>
  <si>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</si>
  <si>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</si>
  <si>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</si>
  <si>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</si>
  <si>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</si>
  <si>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</si>
  <si>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</si>
  <si>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</si>
  <si>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</si>
  <si>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</si>
  <si>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</si>
  <si>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</si>
  <si>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</si>
  <si>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</si>
  <si>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</si>
  <si>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</si>
  <si>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</si>
  <si>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</si>
  <si>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</si>
  <si>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</si>
  <si>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</si>
  <si>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</si>
  <si>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</si>
  <si>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</si>
  <si>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</si>
  <si>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</si>
  <si>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</si>
  <si>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</si>
  <si>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</si>
  <si>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</si>
  <si>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</si>
  <si>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</si>
  <si>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</si>
  <si>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</si>
  <si>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</si>
  <si>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</si>
  <si>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</si>
  <si>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</si>
  <si>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</si>
  <si>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</si>
  <si>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</si>
  <si>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</si>
  <si>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</si>
  <si>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</si>
  <si>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</si>
  <si>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</si>
  <si>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</si>
  <si>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</si>
  <si>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</si>
  <si>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</si>
  <si>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</si>
  <si>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</si>
  <si>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</si>
  <si>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</si>
  <si>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</si>
  <si>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</si>
  <si>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</si>
  <si>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</si>
  <si>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</si>
  <si>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</si>
  <si>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</si>
  <si>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</si>
  <si>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</si>
  <si>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</si>
  <si>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</si>
  <si>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</si>
  <si>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</si>
  <si>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</si>
  <si>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</si>
  <si>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</si>
  <si>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</si>
  <si>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</si>
  <si>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</si>
  <si>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</si>
  <si>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</si>
  <si>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</si>
  <si>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</si>
  <si>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</si>
  <si>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</si>
  <si>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</si>
  <si>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</si>
  <si>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</si>
  <si>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</si>
  <si>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</si>
  <si>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</si>
  <si>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</si>
  <si>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</si>
  <si>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</si>
  <si>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</si>
  <si>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</si>
  <si>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</si>
  <si>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</si>
  <si>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</si>
  <si>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</si>
  <si>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</si>
  <si>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</si>
  <si>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</si>
  <si>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</si>
  <si>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</si>
  <si>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</si>
  <si>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</si>
  <si>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</si>
  <si>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</si>
  <si>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</si>
  <si>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</si>
  <si>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</si>
  <si>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</si>
  <si>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</si>
  <si>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</si>
  <si>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</si>
  <si>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</si>
  <si>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</si>
  <si>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</si>
  <si>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</si>
  <si>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</si>
  <si>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</si>
  <si>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</si>
  <si>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</si>
  <si>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</si>
  <si>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</si>
  <si>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</si>
  <si>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</si>
  <si>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</si>
  <si>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</si>
  <si>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</si>
  <si>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</si>
  <si>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</si>
  <si>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</si>
  <si>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</si>
  <si>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</si>
  <si>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</si>
  <si>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</si>
  <si>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</si>
  <si>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</si>
  <si>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</si>
  <si>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</si>
  <si>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</si>
  <si>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</si>
  <si>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</si>
  <si>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</si>
  <si>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</si>
  <si>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</si>
  <si>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</si>
  <si>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</si>
  <si>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</si>
  <si>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</si>
  <si>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</si>
  <si>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</si>
  <si>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</si>
  <si>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</si>
  <si>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</si>
  <si>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</si>
  <si>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</si>
  <si>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</si>
  <si>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</si>
  <si>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</si>
  <si>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</si>
  <si>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</si>
  <si>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</si>
  <si>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</si>
  <si>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</si>
  <si>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</si>
  <si>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</si>
  <si>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</si>
  <si>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</si>
  <si>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</si>
  <si>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</si>
  <si>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</si>
  <si>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</si>
  <si>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</si>
  <si>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</si>
  <si>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</si>
  <si>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</si>
  <si>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</si>
  <si>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</si>
  <si>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</si>
  <si>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</si>
  <si>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</si>
  <si>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</si>
  <si>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</si>
  <si>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</si>
  <si>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</si>
  <si>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</si>
  <si>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</si>
  <si>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</si>
  <si>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</si>
  <si>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</si>
  <si>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</si>
  <si>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</si>
  <si>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</si>
  <si>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</si>
  <si>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</si>
  <si>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</si>
  <si>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</si>
  <si>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</si>
  <si>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</si>
  <si>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</si>
  <si>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</si>
  <si>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</si>
  <si>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</si>
  <si>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</si>
  <si>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</si>
  <si>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</si>
  <si>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</si>
  <si>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</si>
  <si>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</si>
  <si>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</si>
  <si>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</si>
  <si>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</si>
  <si>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</si>
  <si>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</si>
  <si>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</si>
  <si>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</si>
  <si>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</si>
  <si>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</si>
  <si>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</si>
  <si>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</si>
  <si>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</si>
  <si>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</si>
  <si>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</si>
  <si>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</si>
  <si>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</si>
  <si>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</si>
  <si>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</si>
  <si>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</si>
  <si>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</si>
  <si>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</si>
  <si>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</si>
  <si>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</si>
  <si>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</si>
  <si>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</si>
  <si>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</si>
  <si>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</si>
  <si>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</si>
  <si>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</si>
  <si>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</si>
  <si>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</si>
  <si>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</si>
  <si>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</si>
  <si>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</si>
  <si>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</si>
  <si>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</si>
  <si>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</si>
  <si>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</si>
  <si>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</si>
  <si>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</si>
  <si>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</si>
  <si>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</si>
  <si>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</si>
  <si>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</si>
  <si>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</si>
  <si>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</si>
  <si>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</si>
  <si>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</si>
  <si>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</si>
  <si>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</si>
  <si>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</si>
  <si>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</si>
  <si>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</si>
  <si>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</si>
  <si>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</si>
  <si>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</si>
  <si>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</si>
  <si>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</si>
  <si>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</si>
  <si>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</si>
  <si>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</si>
  <si>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</si>
  <si>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</si>
  <si>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</si>
  <si>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</si>
  <si>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</si>
  <si>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</si>
  <si>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</si>
  <si>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</si>
  <si>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</si>
  <si>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</si>
  <si>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</si>
  <si>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</si>
  <si>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</si>
  <si>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</si>
  <si>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</si>
  <si>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</si>
  <si>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</si>
  <si>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</si>
  <si>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</si>
  <si>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</si>
  <si>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</si>
  <si>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</si>
  <si>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</si>
  <si>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</si>
  <si>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</si>
  <si>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</si>
  <si>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</si>
  <si>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</si>
  <si>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</si>
  <si>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</si>
  <si>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</si>
  <si>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</si>
  <si>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</si>
  <si>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</si>
  <si>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</si>
  <si>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</si>
  <si>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</si>
  <si>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</si>
  <si>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</si>
  <si>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</si>
  <si>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</si>
  <si>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</si>
  <si>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</si>
  <si>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</si>
  <si>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</si>
  <si>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</si>
  <si>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</si>
  <si>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</si>
  <si>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</si>
  <si>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</si>
  <si>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</si>
  <si>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</si>
  <si>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</si>
  <si>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</si>
  <si>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</si>
  <si>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</si>
  <si>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</si>
  <si>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</si>
  <si>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</si>
  <si>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</si>
  <si>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</si>
  <si>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</si>
  <si>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</si>
  <si>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</si>
  <si>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</si>
  <si>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</si>
  <si>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</si>
  <si>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</si>
  <si>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</si>
  <si>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</si>
  <si>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</si>
  <si>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</si>
  <si>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</si>
  <si>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</si>
  <si>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</si>
  <si>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</si>
  <si>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</si>
  <si>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</si>
  <si>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</si>
  <si>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</si>
  <si>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</si>
  <si>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</si>
  <si>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</si>
  <si>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</si>
  <si>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</si>
  <si>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</si>
  <si>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</si>
  <si>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</si>
  <si>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</si>
  <si>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</si>
  <si>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</si>
  <si>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</si>
  <si>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</si>
  <si>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</si>
  <si>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</si>
  <si>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</si>
  <si>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</si>
  <si>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</si>
  <si>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</si>
  <si>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</si>
  <si>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</si>
  <si>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</si>
  <si>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</si>
  <si>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</si>
  <si>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</si>
  <si>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</si>
  <si>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</si>
  <si>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</si>
  <si>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</si>
  <si>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</si>
  <si>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</si>
  <si>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</si>
  <si>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</si>
  <si>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</si>
  <si>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</si>
  <si>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</si>
  <si>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</si>
  <si>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</si>
  <si>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</si>
  <si>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</si>
  <si>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</si>
  <si>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</si>
  <si>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</si>
  <si>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</si>
  <si>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</si>
  <si>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</si>
  <si>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</si>
  <si>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</si>
  <si>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</si>
  <si>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</si>
  <si>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</si>
  <si>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</si>
  <si>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</si>
  <si>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</si>
  <si>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</si>
  <si>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</si>
  <si>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</si>
  <si>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</si>
  <si>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</si>
  <si>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</si>
  <si>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</si>
  <si>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</si>
  <si>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</si>
  <si>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</si>
  <si>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</si>
  <si>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</si>
  <si>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</si>
  <si>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</si>
  <si>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</si>
  <si>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</si>
  <si>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</si>
  <si>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</si>
  <si>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</si>
  <si>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</si>
  <si>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</si>
  <si>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</si>
  <si>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</si>
  <si>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</si>
  <si>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</si>
  <si>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</si>
  <si>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</si>
  <si>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</si>
  <si>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</si>
  <si>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</si>
  <si>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</si>
  <si>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</si>
  <si>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</si>
  <si>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</si>
  <si>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</si>
  <si>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</si>
  <si>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</si>
  <si>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</si>
  <si>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</si>
  <si>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</si>
  <si>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</si>
  <si>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</si>
  <si>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</si>
  <si>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</si>
  <si>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</si>
  <si>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</si>
  <si>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</si>
  <si>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</si>
  <si>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</si>
  <si>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</si>
  <si>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</si>
  <si>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</si>
  <si>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</si>
  <si>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</si>
  <si>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</si>
  <si>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</si>
  <si>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</si>
  <si>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</si>
  <si>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</si>
  <si>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</si>
  <si>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</si>
  <si>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</si>
  <si>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</si>
  <si>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</si>
  <si>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</si>
  <si>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</si>
  <si>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</si>
  <si>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</si>
  <si>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</si>
  <si>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</si>
  <si>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</si>
  <si>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</si>
  <si>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</si>
  <si>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</si>
  <si>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</si>
  <si>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</si>
  <si>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</si>
  <si>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</si>
  <si>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</si>
  <si>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</si>
  <si>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</si>
  <si>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</si>
  <si>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</si>
  <si>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</si>
  <si>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</si>
  <si>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</si>
  <si>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</si>
  <si>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</si>
  <si>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</si>
  <si>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</si>
  <si>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</si>
  <si>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</si>
  <si>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</si>
  <si>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</si>
  <si>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</si>
  <si>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</si>
  <si>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</si>
  <si>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</si>
  <si>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</si>
  <si>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</si>
  <si>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</si>
  <si>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</si>
  <si>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</si>
  <si>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</si>
  <si>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</si>
  <si>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</si>
  <si>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</si>
  <si>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</si>
  <si>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</si>
  <si>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</si>
  <si>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</si>
  <si>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</si>
  <si>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</si>
  <si>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</si>
  <si>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</si>
  <si>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</si>
  <si>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</si>
  <si>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</si>
  <si>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</si>
  <si>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</si>
  <si>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</si>
  <si>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</si>
  <si>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</si>
  <si>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</si>
  <si>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</si>
  <si>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</si>
  <si>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</si>
  <si>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</si>
  <si>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</si>
  <si>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</si>
  <si>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</si>
  <si>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</si>
  <si>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</si>
  <si>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</si>
  <si>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</si>
  <si>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</si>
  <si>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</si>
  <si>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</si>
  <si>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</si>
  <si>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</si>
  <si>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</si>
  <si>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</si>
  <si>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</si>
  <si>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</si>
  <si>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</si>
  <si>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</si>
  <si>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</si>
  <si>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</si>
  <si>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</si>
  <si>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</si>
  <si>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</si>
  <si>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</si>
  <si>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</si>
  <si>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</si>
  <si>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</si>
  <si>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</si>
  <si>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</si>
  <si>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</si>
  <si>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</si>
  <si>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</si>
  <si>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</si>
  <si>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</si>
  <si>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</si>
  <si>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</si>
  <si>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</si>
  <si>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</si>
  <si>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</si>
  <si>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</si>
  <si>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</si>
  <si>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</si>
  <si>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</si>
  <si>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</si>
  <si>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</si>
  <si>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</si>
  <si>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</si>
  <si>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</si>
  <si>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</si>
  <si>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</si>
  <si>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</si>
  <si>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</si>
  <si>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</si>
  <si>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</si>
  <si>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</si>
  <si>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</si>
  <si>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</si>
  <si>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</si>
  <si>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</si>
  <si>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</si>
  <si>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</si>
  <si>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</si>
  <si>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</si>
  <si>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</si>
  <si>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</si>
  <si>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</si>
  <si>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</si>
  <si>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</si>
  <si>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</si>
  <si>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</si>
  <si>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</si>
  <si>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</si>
  <si>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</si>
  <si>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</si>
  <si>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</si>
  <si>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</si>
  <si>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</si>
  <si>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</si>
  <si>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</si>
  <si>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</si>
  <si>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</si>
  <si>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</si>
  <si>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</si>
  <si>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</si>
  <si>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</si>
  <si>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</si>
  <si>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</si>
  <si>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</si>
  <si>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</si>
  <si>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</si>
  <si>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</si>
  <si>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</si>
  <si>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</si>
  <si>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</si>
  <si>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</si>
  <si>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</si>
  <si>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</si>
  <si>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</si>
  <si>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</si>
  <si>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</si>
  <si>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</si>
  <si>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</si>
  <si>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</si>
  <si>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</si>
  <si>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</si>
  <si>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</si>
  <si>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</si>
  <si>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</si>
  <si>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</si>
  <si>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</si>
  <si>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</si>
  <si>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</si>
  <si>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</si>
  <si>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</si>
  <si>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</si>
  <si>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</si>
  <si>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</si>
  <si>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</si>
  <si>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</si>
  <si>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</si>
  <si>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</si>
  <si>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</si>
  <si>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</si>
  <si>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</si>
  <si>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</si>
  <si>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</si>
  <si>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</si>
  <si>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</si>
  <si>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</si>
  <si>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</si>
  <si>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</si>
  <si>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</si>
  <si>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</si>
  <si>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</si>
  <si>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</si>
  <si>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</si>
  <si>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</si>
  <si>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</si>
  <si>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</si>
  <si>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</si>
  <si>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</si>
  <si>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</si>
  <si>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</si>
  <si>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</si>
  <si>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</si>
  <si>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</si>
  <si>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</si>
  <si>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</si>
  <si>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</si>
  <si>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</si>
  <si>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</si>
  <si>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</si>
  <si>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</si>
  <si>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</si>
  <si>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</si>
  <si>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</si>
  <si>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</si>
  <si>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</si>
  <si>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</si>
  <si>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</si>
  <si>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</si>
  <si>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</si>
  <si>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</si>
  <si>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</si>
  <si>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</si>
  <si>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</si>
  <si>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</si>
  <si>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</si>
  <si>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</si>
  <si>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</si>
  <si>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</si>
  <si>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</si>
  <si>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</si>
  <si>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</si>
  <si>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</si>
  <si>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</si>
  <si>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</si>
  <si>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</si>
  <si>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</si>
  <si>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</si>
  <si>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</si>
  <si>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</si>
  <si>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</si>
  <si>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</si>
  <si>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</si>
  <si>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</si>
  <si>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</si>
  <si>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</si>
  <si>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</si>
  <si>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</si>
  <si>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</si>
  <si>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</si>
  <si>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</si>
  <si>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</si>
  <si>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</si>
  <si>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</si>
  <si>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</si>
  <si>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</si>
  <si>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</si>
  <si>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</si>
  <si>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</si>
  <si>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</si>
  <si>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</si>
  <si>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</si>
  <si>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</si>
  <si>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</si>
  <si>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</si>
  <si>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</si>
  <si>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</si>
  <si>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</si>
  <si>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</si>
  <si>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</si>
  <si>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</si>
  <si>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</si>
  <si>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</si>
  <si>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</si>
  <si>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</si>
  <si>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</si>
  <si>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</si>
  <si>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</si>
  <si>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</si>
  <si>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</si>
  <si>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</si>
  <si>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</si>
  <si>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</si>
  <si>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</si>
  <si>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</si>
  <si>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</si>
  <si>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</si>
  <si>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</si>
  <si>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</si>
  <si>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</si>
  <si>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</si>
  <si>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</si>
  <si>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</si>
  <si>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</si>
  <si>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</si>
  <si>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</si>
  <si>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</si>
  <si>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</si>
  <si>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</si>
  <si>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</si>
  <si>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</si>
  <si>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</si>
  <si>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</si>
  <si>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</si>
  <si>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</si>
  <si>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</si>
  <si>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</si>
  <si>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</si>
  <si>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</si>
  <si>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</si>
  <si>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</si>
  <si>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</si>
  <si>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</si>
  <si>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</si>
  <si>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</si>
  <si>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</si>
  <si>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</si>
  <si>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</si>
  <si>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</si>
  <si>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</si>
  <si>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</si>
  <si>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</si>
  <si>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</si>
  <si>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</si>
  <si>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</si>
  <si>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</si>
  <si>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</si>
  <si>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</si>
  <si>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</si>
  <si>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</si>
  <si>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</si>
  <si>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</si>
  <si>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</si>
  <si>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</si>
  <si>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</si>
  <si>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</si>
  <si>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</si>
  <si>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</si>
  <si>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</si>
  <si>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</si>
  <si>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</si>
  <si>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</si>
  <si>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</si>
  <si>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</si>
  <si>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</si>
  <si>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</si>
  <si>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</si>
  <si>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</si>
  <si>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</si>
  <si>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</si>
  <si>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</si>
  <si>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</si>
  <si>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</si>
  <si>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</si>
  <si>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</si>
  <si>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</si>
  <si>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</si>
  <si>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</si>
  <si>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</si>
  <si>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</si>
  <si>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</si>
  <si>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</si>
  <si>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</si>
  <si>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</si>
  <si>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</si>
  <si>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</si>
  <si>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</si>
  <si>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</si>
  <si>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</si>
  <si>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</si>
  <si>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</si>
  <si>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</si>
  <si>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</si>
  <si>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</si>
  <si>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</si>
  <si>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</si>
  <si>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</si>
  <si>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</si>
  <si>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</si>
  <si>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</si>
  <si>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</si>
  <si>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</si>
  <si>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</si>
  <si>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</si>
  <si>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</si>
  <si>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</si>
  <si>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</si>
  <si>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</si>
  <si>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</si>
  <si>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</si>
  <si>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</si>
  <si>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</si>
  <si>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</si>
  <si>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</si>
  <si>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</si>
  <si>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</si>
  <si>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</si>
  <si>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</si>
  <si>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</si>
  <si>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</si>
  <si>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</si>
  <si>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</si>
  <si>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</si>
  <si>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</si>
  <si>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</si>
  <si>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</si>
  <si>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</si>
  <si>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</si>
  <si>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</si>
  <si>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</si>
  <si>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</si>
  <si>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</si>
  <si>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</si>
  <si>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</si>
  <si>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</si>
  <si>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</si>
  <si>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</si>
  <si>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</si>
  <si>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</si>
  <si>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</si>
  <si>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</si>
  <si>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</si>
  <si>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</si>
  <si>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</si>
  <si>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</si>
  <si>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</si>
  <si>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</si>
  <si>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</si>
  <si>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</si>
  <si>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</si>
  <si>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</si>
  <si>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</si>
  <si>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</si>
  <si>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</si>
  <si>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</si>
  <si>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</si>
  <si>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</si>
  <si>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</si>
  <si>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</si>
  <si>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</si>
  <si>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</si>
  <si>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</si>
  <si>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</si>
  <si>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</si>
  <si>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</si>
  <si>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</si>
  <si>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</si>
  <si>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</si>
  <si>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</si>
  <si>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</si>
  <si>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</si>
  <si>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</si>
  <si>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</si>
  <si>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</si>
  <si>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</si>
  <si>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</si>
  <si>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</si>
  <si>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</si>
  <si>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</si>
  <si>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</si>
  <si>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</si>
  <si>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</si>
  <si>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</si>
  <si>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</si>
  <si>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</si>
  <si>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</si>
  <si>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</si>
  <si>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</si>
  <si>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</si>
  <si>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</si>
  <si>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</si>
  <si>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</si>
  <si>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</si>
  <si>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</si>
  <si>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</si>
  <si>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</si>
  <si>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</si>
  <si>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</si>
  <si>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</si>
  <si>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</si>
  <si>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</si>
  <si>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</si>
  <si>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</si>
  <si>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</si>
  <si>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</si>
  <si>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</si>
  <si>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</si>
  <si>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</si>
  <si>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</si>
  <si>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</si>
  <si>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</si>
  <si>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</si>
  <si>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</si>
  <si>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</si>
  <si>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</si>
  <si>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</si>
  <si>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</si>
  <si>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</si>
  <si>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</si>
  <si>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</si>
  <si>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</si>
  <si>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</si>
  <si>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</si>
  <si>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</si>
  <si>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</si>
  <si>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</si>
  <si>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</si>
  <si>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</si>
  <si>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</si>
  <si>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</si>
  <si>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</si>
  <si>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</si>
  <si>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</si>
  <si>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</si>
  <si>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</si>
  <si>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</si>
  <si>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</si>
  <si>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</si>
  <si>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</si>
  <si>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</si>
  <si>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</si>
  <si>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</si>
  <si>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</si>
  <si>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</si>
  <si>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</si>
  <si>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</si>
  <si>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</si>
  <si>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</si>
  <si>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</si>
  <si>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</si>
  <si>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</si>
  <si>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</si>
  <si>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</si>
  <si>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</si>
  <si>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</si>
  <si>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</si>
  <si>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</si>
  <si>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</si>
  <si>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</si>
  <si>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</si>
  <si>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</si>
  <si>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</si>
  <si>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</si>
  <si>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</si>
  <si>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</si>
  <si>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</si>
  <si>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</si>
  <si>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</si>
  <si>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</si>
  <si>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</si>
  <si>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</si>
  <si>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</si>
  <si>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</si>
  <si>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</si>
  <si>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</si>
  <si>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</si>
  <si>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</si>
  <si>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</si>
  <si>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</si>
  <si>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</si>
  <si>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</si>
  <si>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</si>
  <si>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</si>
  <si>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</si>
  <si>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</si>
  <si>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</si>
  <si>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</si>
  <si>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</si>
  <si>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</si>
  <si>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</si>
  <si>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</si>
  <si>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</si>
  <si>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</si>
  <si>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</si>
  <si>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</si>
  <si>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</si>
  <si>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</si>
  <si>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</si>
  <si>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</si>
  <si>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</si>
  <si>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</si>
  <si>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</si>
  <si>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</si>
  <si>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</si>
  <si>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</si>
  <si>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</si>
  <si>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</si>
  <si>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</si>
  <si>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</si>
  <si>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</si>
  <si>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</si>
  <si>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</si>
  <si>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</si>
  <si>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</si>
  <si>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</si>
  <si>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</si>
  <si>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</si>
  <si>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</si>
  <si>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</si>
  <si>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</si>
  <si>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</si>
  <si>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</si>
  <si>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</si>
  <si>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</si>
  <si>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</si>
  <si>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</si>
  <si>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</si>
  <si>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</si>
  <si>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</si>
  <si>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</si>
  <si>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</si>
  <si>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</si>
  <si>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</si>
  <si>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</si>
  <si>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</si>
  <si>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</si>
  <si>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</si>
  <si>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</si>
  <si>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</si>
  <si>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</si>
  <si>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</si>
  <si>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</si>
  <si>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</si>
  <si>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</si>
  <si>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</si>
  <si>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</si>
  <si>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</si>
  <si>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</si>
  <si>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</si>
  <si>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</si>
  <si>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</si>
  <si>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</si>
  <si>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</si>
  <si>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</si>
  <si>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</si>
  <si>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</si>
  <si>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</si>
  <si>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</si>
  <si>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</si>
  <si>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</si>
  <si>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</si>
  <si>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</si>
  <si>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</si>
  <si>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</si>
  <si>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</si>
  <si>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</si>
  <si>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</si>
  <si>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</si>
  <si>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</si>
  <si>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</si>
  <si>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</si>
  <si>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</si>
  <si>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</si>
  <si>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</si>
  <si>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</si>
  <si>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</si>
  <si>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</si>
  <si>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</si>
  <si>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</si>
  <si>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</si>
  <si>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</si>
  <si>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</si>
  <si>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</si>
  <si>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</si>
  <si>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</si>
  <si>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</si>
  <si>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</si>
  <si>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</si>
  <si>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</si>
  <si>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</si>
  <si>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</si>
  <si>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</si>
  <si>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</si>
  <si>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</si>
  <si>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</si>
  <si>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</si>
  <si>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</si>
  <si>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</si>
  <si>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</si>
  <si>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</si>
  <si>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</si>
  <si>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</si>
  <si>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</si>
  <si>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</si>
  <si>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</si>
  <si>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</si>
  <si>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</si>
  <si>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</si>
  <si>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</si>
  <si>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</si>
  <si>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</si>
  <si>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</si>
  <si>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</si>
  <si>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</si>
  <si>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</si>
  <si>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</si>
  <si>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</si>
  <si>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</si>
  <si>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</si>
  <si>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</si>
  <si>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</si>
  <si>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</si>
  <si>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</si>
  <si>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</si>
  <si>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</si>
  <si>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</si>
  <si>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</si>
  <si>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</si>
  <si>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</si>
  <si>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</si>
  <si>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</si>
  <si>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</si>
  <si>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</si>
  <si>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</si>
  <si>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</si>
  <si>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</si>
  <si>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</si>
  <si>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</si>
  <si>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</si>
  <si>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</si>
  <si>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</si>
  <si>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</si>
  <si>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</si>
  <si>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</si>
  <si>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</si>
  <si>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</si>
  <si>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</si>
  <si>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</si>
  <si>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</si>
  <si>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</si>
  <si>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</si>
  <si>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</si>
  <si>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</si>
  <si>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</si>
  <si>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</si>
  <si>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</si>
  <si>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</si>
  <si>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</si>
  <si>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</si>
  <si>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</si>
  <si>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</si>
  <si>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</si>
  <si>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</si>
  <si>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</si>
  <si>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</si>
  <si>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</si>
  <si>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</si>
  <si>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</si>
  <si>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</si>
  <si>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</si>
  <si>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</si>
  <si>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</si>
  <si>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</si>
  <si>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</si>
  <si>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</si>
  <si>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</si>
  <si>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</si>
  <si>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</si>
  <si>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</si>
  <si>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</si>
  <si>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</si>
  <si>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</si>
  <si>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</si>
  <si>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</si>
  <si>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</si>
  <si>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</si>
  <si>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</si>
  <si>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</si>
  <si>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</si>
  <si>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</si>
  <si>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</si>
  <si>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</si>
  <si>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</si>
  <si>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</si>
  <si>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</si>
  <si>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</si>
  <si>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</si>
  <si>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</si>
  <si>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</si>
  <si>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</si>
  <si>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</si>
  <si>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</si>
  <si>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</si>
  <si>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</si>
  <si>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</si>
  <si>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</si>
  <si>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</si>
  <si>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</si>
  <si>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</si>
  <si>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</si>
  <si>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</si>
  <si>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</si>
  <si>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</si>
  <si>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</si>
  <si>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</si>
  <si>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</si>
  <si>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</si>
  <si>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</si>
  <si>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</si>
  <si>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</si>
  <si>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</si>
  <si>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</si>
  <si>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</si>
  <si>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</si>
  <si>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</si>
  <si>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</si>
  <si>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</si>
  <si>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</si>
  <si>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</si>
  <si>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</si>
  <si>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</si>
  <si>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</si>
  <si>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</si>
  <si>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</si>
  <si>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</si>
  <si>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</si>
  <si>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</si>
  <si>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</si>
  <si>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</si>
  <si>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</si>
  <si>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</si>
  <si>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</si>
  <si>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</si>
  <si>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</si>
  <si>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</si>
  <si>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</si>
  <si>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</si>
  <si>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</si>
  <si>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</si>
  <si>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</si>
  <si>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</si>
  <si>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</si>
  <si>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</si>
  <si>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</si>
  <si>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</si>
  <si>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</si>
  <si>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</si>
  <si>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</si>
  <si>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</si>
  <si>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</si>
  <si>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</si>
  <si>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</si>
  <si>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</si>
  <si>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</si>
  <si>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</si>
  <si>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</si>
  <si>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</si>
  <si>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</si>
  <si>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</si>
  <si>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</si>
  <si>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</si>
  <si>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</si>
  <si>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</si>
  <si>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</si>
  <si>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</si>
  <si>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</si>
  <si>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</si>
  <si>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</si>
  <si>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</si>
  <si>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</si>
  <si>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</si>
  <si>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</si>
  <si>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</si>
  <si>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</si>
  <si>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</si>
  <si>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</si>
  <si>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</si>
  <si>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</si>
  <si>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</si>
  <si>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</si>
  <si>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</si>
  <si>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</si>
  <si>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</si>
  <si>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</si>
  <si>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</si>
  <si>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</si>
  <si>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</si>
  <si>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</si>
  <si>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</si>
  <si>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</si>
  <si>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</si>
  <si>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</si>
  <si>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</si>
  <si>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</si>
  <si>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</si>
  <si>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</si>
  <si>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</si>
  <si>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</si>
  <si>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</si>
  <si>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</si>
  <si>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</si>
  <si>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</si>
  <si>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</si>
  <si>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</si>
  <si>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</si>
  <si>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</si>
  <si>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</si>
  <si>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</si>
  <si>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</si>
  <si>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</si>
  <si>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</si>
  <si>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</si>
  <si>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</si>
  <si>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</si>
  <si>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</si>
  <si>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</si>
  <si>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</si>
  <si>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</si>
  <si>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</si>
  <si>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</si>
  <si>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</si>
  <si>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</si>
  <si>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</si>
  <si>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</si>
  <si>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</si>
  <si>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</si>
  <si>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</si>
  <si>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</si>
  <si>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</si>
  <si>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</si>
  <si>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</si>
  <si>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</si>
  <si>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</si>
  <si>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</si>
  <si>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</si>
  <si>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</si>
  <si>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</si>
  <si>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</si>
  <si>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</si>
  <si>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</si>
  <si>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</si>
  <si>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</si>
  <si>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</si>
  <si>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</si>
  <si>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</si>
  <si>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</si>
  <si>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</si>
  <si>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</si>
  <si>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</si>
  <si>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</si>
  <si>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</si>
  <si>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</si>
  <si>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</si>
  <si>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</si>
  <si>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</si>
  <si>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</si>
  <si>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</si>
  <si>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</si>
  <si>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</si>
  <si>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</si>
  <si>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</si>
  <si>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</si>
  <si>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</si>
  <si>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</si>
  <si>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</si>
  <si>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</si>
  <si>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</si>
  <si>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</si>
  <si>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</si>
  <si>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</si>
  <si>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</si>
  <si>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</si>
  <si>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</si>
  <si>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</si>
  <si>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</si>
  <si>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</si>
  <si>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</si>
  <si>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</si>
  <si>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</si>
  <si>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</si>
  <si>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</si>
  <si>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</si>
  <si>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</si>
  <si>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</si>
  <si>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</si>
  <si>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</si>
  <si>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</si>
  <si>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</si>
  <si>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</si>
  <si>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</si>
  <si>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</si>
  <si>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</si>
  <si>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</si>
  <si>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</si>
  <si>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</si>
  <si>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</si>
  <si>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</si>
  <si>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</si>
  <si>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</si>
  <si>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</si>
  <si>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</si>
  <si>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</si>
  <si>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</si>
  <si>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</si>
  <si>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</si>
  <si>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</si>
  <si>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</si>
  <si>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</si>
  <si>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</si>
  <si>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</si>
  <si>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</si>
  <si>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</si>
  <si>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</si>
  <si>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</si>
  <si>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</si>
  <si>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</si>
  <si>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</si>
  <si>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</si>
  <si>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</si>
  <si>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</si>
  <si>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</si>
  <si>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</si>
  <si>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</si>
  <si>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</si>
  <si>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</si>
  <si>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</si>
  <si>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</si>
  <si>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</si>
  <si>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</si>
  <si>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</si>
  <si>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</si>
  <si>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</si>
  <si>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</si>
  <si>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</si>
  <si>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</si>
  <si>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</si>
  <si>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</si>
  <si>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</si>
  <si>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</si>
  <si>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</si>
  <si>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</si>
  <si>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</si>
  <si>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</si>
  <si>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</si>
  <si>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</si>
  <si>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</si>
  <si>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</si>
  <si>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</si>
  <si>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</si>
  <si>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</si>
  <si>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</si>
  <si>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</si>
  <si>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</si>
  <si>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</si>
  <si>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</si>
  <si>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</si>
  <si>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</si>
  <si>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</si>
  <si>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</si>
  <si>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</si>
  <si>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</si>
  <si>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</si>
  <si>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</si>
  <si>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</si>
  <si>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</si>
  <si>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</si>
  <si>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</si>
  <si>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</si>
  <si>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</si>
  <si>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</si>
  <si>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</si>
  <si>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</si>
  <si>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</si>
  <si>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</si>
  <si>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</si>
  <si>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</si>
  <si>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</si>
  <si>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</si>
  <si>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</si>
  <si>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</si>
  <si>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</si>
  <si>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</si>
  <si>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</si>
  <si>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</si>
  <si>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</si>
  <si>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</si>
  <si>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</si>
  <si>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</si>
  <si>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</si>
  <si>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</si>
  <si>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</si>
  <si>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</si>
  <si>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</si>
  <si>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</si>
  <si>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</si>
  <si>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</si>
  <si>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</si>
  <si>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</si>
  <si>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</si>
  <si>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</si>
  <si>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</si>
  <si>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</si>
  <si>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</si>
  <si>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</si>
  <si>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</si>
  <si>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</si>
  <si>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</si>
  <si>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</si>
  <si>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</si>
  <si>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</si>
  <si>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</si>
  <si>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</si>
  <si>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</si>
  <si>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</si>
  <si>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</si>
  <si>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</si>
  <si>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</si>
  <si>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</si>
  <si>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</si>
  <si>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</si>
  <si>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</si>
  <si>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</si>
  <si>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</si>
  <si>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</si>
  <si>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</si>
  <si>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</si>
  <si>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</si>
  <si>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</si>
  <si>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</si>
  <si>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</si>
  <si>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</si>
  <si>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</si>
  <si>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</si>
  <si>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</si>
  <si>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</si>
  <si>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</si>
  <si>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</si>
  <si>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</si>
  <si>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</si>
  <si>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</si>
  <si>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</si>
  <si>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</si>
  <si>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</si>
  <si>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</si>
  <si>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</si>
  <si>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</si>
  <si>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</si>
  <si>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</si>
  <si>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</si>
  <si>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</si>
  <si>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</si>
  <si>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</si>
  <si>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</si>
  <si>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</si>
  <si>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</si>
  <si>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</si>
  <si>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</si>
  <si>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</si>
  <si>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</si>
  <si>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</si>
  <si>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</si>
  <si>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</si>
  <si>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</si>
  <si>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</si>
  <si>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</si>
  <si>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</si>
  <si>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</si>
  <si>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</si>
  <si>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</si>
  <si>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</si>
  <si>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</si>
  <si>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</si>
  <si>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</si>
  <si>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</si>
  <si>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</si>
  <si>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</si>
  <si>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</si>
  <si>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</si>
  <si>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</si>
  <si>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</si>
  <si>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</si>
  <si>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</si>
  <si>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</si>
  <si>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</si>
  <si>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</si>
  <si>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</si>
  <si>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</si>
  <si>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</si>
  <si>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</si>
  <si>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</si>
  <si>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</si>
  <si>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</si>
  <si>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</si>
  <si>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</si>
  <si>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</si>
  <si>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</si>
  <si>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</si>
  <si>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</si>
  <si>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</si>
  <si>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</si>
  <si>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</si>
  <si>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</si>
  <si>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</si>
  <si>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</si>
  <si>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</si>
  <si>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</si>
  <si>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</si>
  <si>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</si>
  <si>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</si>
  <si>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</si>
  <si>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</si>
  <si>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</si>
  <si>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</si>
  <si>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</si>
  <si>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</si>
  <si>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</si>
  <si>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</si>
  <si>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</si>
  <si>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</si>
  <si>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</si>
  <si>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</si>
  <si>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</si>
  <si>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</si>
  <si>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</si>
  <si>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</si>
  <si>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</si>
  <si>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</si>
  <si>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</si>
  <si>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</si>
  <si>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</si>
  <si>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</si>
  <si>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</si>
  <si>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</si>
  <si>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</si>
  <si>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</si>
  <si>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</si>
  <si>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</si>
  <si>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</si>
  <si>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</si>
  <si>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</si>
  <si>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</si>
  <si>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</si>
  <si>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</si>
  <si>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</si>
  <si>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</si>
  <si>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</si>
  <si>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</si>
  <si>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</si>
  <si>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</si>
  <si>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</si>
  <si>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</si>
  <si>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</si>
  <si>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</si>
  <si>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</si>
  <si>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</si>
  <si>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</si>
  <si>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</si>
  <si>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</si>
  <si>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</si>
  <si>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</si>
  <si>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</si>
  <si>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</si>
  <si>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</si>
  <si>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</si>
  <si>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</si>
  <si>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</si>
  <si>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</si>
  <si>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</si>
  <si>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</si>
  <si>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</si>
  <si>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</si>
  <si>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</si>
  <si>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</si>
  <si>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</si>
  <si>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</si>
  <si>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</si>
  <si>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</si>
  <si>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</si>
  <si>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</si>
  <si>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</si>
  <si>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</si>
  <si>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</si>
  <si>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</si>
  <si>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</si>
  <si>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</si>
  <si>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</si>
  <si>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</si>
  <si>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</si>
  <si>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</si>
  <si>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</si>
  <si>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</si>
  <si>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</si>
  <si>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</si>
  <si>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</si>
  <si>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</si>
  <si>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</si>
  <si>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</si>
  <si>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</si>
  <si>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</si>
  <si>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</si>
  <si>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</si>
  <si>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</si>
  <si>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</si>
  <si>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</si>
  <si>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</si>
  <si>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</si>
  <si>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</si>
  <si>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</si>
  <si>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</si>
  <si>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</si>
  <si>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</si>
  <si>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</si>
  <si>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</si>
  <si>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</si>
  <si>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</si>
  <si>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</si>
  <si>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</si>
  <si>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</si>
  <si>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</si>
  <si>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</si>
  <si>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</si>
  <si>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</si>
  <si>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</si>
  <si>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</si>
  <si>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</si>
  <si>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</si>
  <si>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</si>
  <si>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</si>
  <si>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</si>
  <si>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</si>
  <si>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</si>
  <si>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</si>
  <si>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</si>
  <si>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</si>
  <si>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</si>
  <si>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</si>
  <si>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</si>
  <si>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</si>
  <si>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</si>
  <si>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</si>
  <si>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</si>
  <si>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</si>
  <si>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</si>
  <si>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</si>
  <si>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</si>
  <si>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</si>
  <si>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</si>
  <si>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</si>
  <si>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</si>
  <si>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</si>
  <si>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</si>
  <si>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</si>
  <si>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</si>
  <si>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</si>
  <si>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</si>
  <si>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</si>
  <si>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</si>
  <si>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</si>
  <si>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</si>
  <si>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</si>
  <si>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</si>
  <si>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</si>
  <si>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</si>
  <si>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</si>
  <si>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</si>
  <si>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</si>
  <si>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</si>
  <si>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</si>
  <si>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</si>
  <si>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</si>
  <si>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</si>
  <si>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</si>
  <si>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</si>
  <si>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</si>
  <si>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</si>
  <si>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</si>
  <si>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</si>
  <si>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</si>
  <si>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</si>
  <si>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</si>
  <si>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</si>
  <si>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</si>
  <si>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</si>
  <si>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</si>
  <si>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</si>
  <si>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</si>
  <si>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</si>
  <si>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</si>
  <si>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</si>
  <si>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</si>
  <si>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</si>
  <si>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</si>
  <si>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</si>
  <si>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</si>
  <si>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</si>
  <si>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</si>
  <si>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</si>
  <si>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</si>
  <si>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</si>
  <si>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</si>
  <si>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</si>
  <si>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</si>
  <si>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</si>
  <si>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</si>
  <si>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</si>
  <si>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</si>
  <si>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</si>
  <si>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</si>
  <si>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</si>
  <si>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</si>
  <si>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</si>
  <si>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</si>
  <si>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</si>
  <si>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</si>
  <si>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</si>
  <si>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</si>
  <si>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</si>
  <si>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</si>
  <si>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</si>
  <si>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</si>
  <si>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</si>
  <si>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</si>
  <si>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</si>
  <si>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</si>
  <si>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</si>
  <si>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</si>
  <si>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</si>
  <si>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</si>
  <si>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</si>
  <si>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</si>
  <si>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</si>
  <si>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</si>
  <si>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</si>
  <si>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</si>
  <si>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</si>
  <si>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</si>
  <si>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</si>
  <si>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</si>
  <si>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</si>
  <si>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</si>
  <si>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</si>
  <si>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</si>
  <si>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</si>
  <si>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</si>
  <si>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</si>
  <si>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</si>
  <si>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</si>
  <si>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</si>
  <si>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</si>
  <si>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</si>
  <si>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</si>
  <si>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</si>
  <si>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</si>
  <si>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</si>
  <si>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</si>
  <si>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</si>
  <si>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</si>
  <si>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</si>
  <si>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</si>
  <si>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</si>
  <si>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</si>
  <si>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</si>
  <si>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</si>
  <si>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</si>
  <si>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</si>
  <si>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</si>
  <si>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</si>
  <si>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</si>
  <si>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</si>
  <si>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</si>
  <si>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</si>
  <si>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</si>
  <si>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</si>
  <si>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</si>
  <si>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</si>
  <si>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</si>
  <si>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</si>
  <si>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</si>
  <si>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</si>
  <si>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</si>
  <si>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</si>
  <si>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</si>
  <si>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</si>
  <si>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</si>
  <si>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</si>
  <si>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</si>
  <si>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</si>
  <si>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</si>
  <si>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</si>
  <si>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</si>
  <si>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</si>
  <si>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</si>
  <si>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</si>
  <si>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</si>
  <si>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</si>
  <si>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</si>
  <si>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</si>
  <si>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</si>
  <si>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</si>
  <si>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</si>
  <si>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</si>
  <si>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</si>
  <si>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</si>
  <si>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</si>
  <si>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</si>
  <si>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</si>
  <si>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</si>
  <si>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</si>
  <si>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</si>
  <si>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</si>
  <si>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</si>
  <si>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</si>
  <si>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</si>
  <si>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</si>
  <si>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</si>
  <si>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</si>
  <si>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</si>
  <si>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</si>
  <si>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</si>
  <si>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</si>
  <si>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</si>
  <si>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</si>
  <si>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</si>
  <si>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</si>
  <si>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</si>
  <si>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</si>
  <si>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</si>
  <si>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</si>
  <si>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</si>
  <si>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</si>
  <si>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</si>
  <si>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</si>
  <si>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</si>
  <si>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</si>
  <si>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</si>
  <si>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</si>
  <si>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</si>
  <si>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</si>
  <si>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</si>
  <si>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</si>
  <si>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</si>
  <si>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</si>
  <si>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</si>
  <si>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</si>
  <si>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</si>
  <si>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</si>
  <si>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</si>
  <si>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</si>
  <si>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</si>
  <si>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</si>
  <si>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</si>
  <si>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</si>
  <si>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</si>
  <si>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</si>
  <si>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</si>
  <si>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</si>
  <si>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</si>
  <si>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</si>
  <si>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</si>
  <si>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</si>
  <si>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</si>
  <si>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</si>
  <si>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</si>
  <si>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</si>
  <si>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</si>
  <si>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</si>
  <si>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</si>
  <si>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</si>
  <si>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</si>
  <si>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</si>
  <si>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</si>
  <si>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</si>
  <si>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</si>
  <si>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</si>
  <si>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</si>
  <si>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</si>
  <si>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</si>
  <si>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</si>
  <si>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</si>
  <si>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</si>
  <si>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</si>
  <si>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</si>
  <si>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</si>
  <si>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</si>
  <si>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</si>
  <si>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</si>
  <si>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</si>
  <si>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</si>
  <si>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</si>
  <si>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</si>
  <si>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</si>
  <si>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</si>
  <si>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</si>
  <si>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</si>
  <si>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</si>
  <si>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</si>
  <si>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</si>
  <si>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</si>
  <si>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</si>
  <si>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</si>
  <si>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</si>
  <si>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</si>
  <si>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</si>
  <si>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</si>
  <si>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</si>
  <si>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</si>
  <si>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</si>
  <si>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</si>
  <si>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</si>
  <si>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</si>
  <si>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</si>
  <si>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</si>
  <si>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</si>
  <si>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</si>
  <si>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</si>
  <si>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</si>
  <si>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</si>
  <si>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</si>
  <si>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</si>
  <si>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</si>
  <si>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</si>
  <si>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</si>
  <si>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</si>
  <si>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</si>
  <si>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</si>
  <si>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</si>
  <si>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</si>
  <si>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</si>
  <si>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</si>
  <si>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</si>
  <si>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</si>
  <si>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</si>
  <si>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</si>
  <si>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</si>
  <si>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</si>
  <si>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</si>
  <si>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</si>
  <si>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</si>
  <si>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</si>
  <si>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</si>
  <si>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</si>
  <si>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</si>
  <si>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</si>
  <si>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</si>
  <si>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</si>
  <si>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</si>
  <si>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</si>
  <si>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</si>
  <si>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</si>
  <si>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</si>
  <si>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</si>
  <si>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</si>
  <si>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</si>
  <si>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</si>
  <si>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</si>
  <si>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</si>
  <si>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</si>
  <si>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</si>
  <si>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</si>
  <si>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</si>
  <si>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</si>
  <si>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</si>
  <si>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</si>
  <si>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</si>
  <si>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</si>
  <si>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</si>
  <si>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</si>
  <si>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</si>
  <si>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</si>
  <si>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</si>
  <si>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</si>
  <si>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</si>
  <si>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</si>
  <si>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</si>
  <si>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</si>
  <si>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</si>
  <si>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</si>
  <si>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</si>
  <si>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</si>
  <si>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</si>
  <si>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</si>
  <si>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</si>
  <si>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</si>
  <si>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</si>
  <si>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</si>
  <si>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</si>
  <si>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</si>
  <si>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</si>
  <si>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</si>
  <si>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</si>
  <si>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</si>
  <si>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</si>
  <si>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</si>
  <si>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</si>
  <si>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</si>
  <si>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</si>
  <si>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</si>
  <si>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</si>
  <si>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</si>
  <si>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</si>
  <si>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</si>
  <si>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</si>
  <si>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</si>
  <si>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</si>
  <si>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</si>
  <si>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</si>
  <si>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</si>
  <si>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</si>
  <si>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</si>
  <si>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</si>
  <si>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</si>
  <si>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</si>
  <si>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</si>
  <si>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</si>
  <si>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</si>
  <si>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</si>
  <si>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</si>
  <si>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</si>
  <si>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</si>
  <si>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</si>
  <si>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</si>
  <si>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</si>
  <si>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</si>
  <si>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</si>
  <si>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</si>
  <si>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</si>
  <si>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</si>
  <si>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</si>
  <si>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</si>
  <si>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</si>
  <si>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</si>
  <si>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</si>
  <si>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</si>
  <si>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</si>
  <si>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</si>
  <si>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</si>
  <si>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</si>
  <si>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</si>
  <si>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</si>
  <si>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</si>
  <si>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</si>
  <si>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</si>
  <si>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</si>
  <si>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</si>
  <si>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</si>
  <si>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</si>
  <si>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</si>
  <si>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</si>
  <si>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</si>
  <si>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</si>
  <si>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</si>
  <si>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</si>
  <si>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</si>
  <si>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</si>
  <si>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</si>
  <si>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</si>
  <si>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</si>
  <si>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</si>
  <si>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</si>
  <si>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</si>
  <si>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</si>
  <si>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</si>
  <si>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</si>
  <si>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</si>
  <si>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</si>
  <si>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</si>
  <si>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</si>
  <si>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</si>
  <si>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</si>
  <si>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</si>
  <si>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</si>
  <si>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</si>
  <si>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</si>
  <si>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</si>
  <si>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</si>
  <si>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</si>
  <si>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</si>
  <si>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</si>
  <si>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</si>
  <si>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</si>
  <si>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</si>
  <si>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</si>
  <si>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</si>
  <si>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</si>
  <si>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</si>
  <si>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</si>
  <si>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</si>
  <si>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</si>
  <si>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</si>
  <si>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</si>
  <si>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</si>
  <si>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</si>
  <si>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</si>
  <si>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</si>
  <si>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</si>
  <si>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</si>
  <si>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</si>
  <si>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</si>
  <si>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</si>
  <si>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</si>
  <si>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</si>
  <si>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</si>
  <si>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</si>
  <si>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</si>
  <si>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</si>
  <si>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</si>
  <si>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</si>
  <si>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</si>
  <si>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</si>
  <si>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</si>
  <si>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</si>
  <si>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</si>
  <si>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</si>
  <si>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</si>
  <si>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</si>
  <si>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</si>
  <si>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</si>
  <si>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</si>
  <si>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</si>
  <si>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</si>
  <si>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</si>
  <si>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</si>
  <si>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</si>
  <si>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</si>
  <si>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</si>
  <si>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</si>
  <si>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</si>
  <si>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</si>
  <si>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</si>
  <si>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</si>
  <si>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</si>
  <si>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</si>
  <si>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</si>
  <si>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</si>
  <si>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</si>
  <si>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</si>
  <si>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</si>
  <si>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</si>
  <si>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</si>
  <si>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</si>
  <si>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</si>
  <si>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</si>
  <si>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</si>
  <si>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</si>
  <si>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</si>
  <si>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</si>
  <si>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</si>
  <si>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</si>
  <si>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</si>
  <si>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</si>
  <si>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</si>
  <si>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</si>
  <si>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</si>
  <si>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</si>
  <si>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</si>
  <si>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</si>
  <si>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</si>
  <si>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</si>
  <si>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</si>
  <si>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</si>
  <si>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</si>
  <si>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</si>
  <si>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</si>
  <si>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</si>
  <si>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</si>
  <si>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</si>
  <si>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</si>
  <si>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</si>
  <si>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</si>
  <si>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</si>
  <si>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</si>
  <si>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</si>
  <si>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</si>
  <si>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</si>
  <si>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</si>
  <si>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</si>
  <si>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</si>
  <si>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</si>
  <si>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</si>
  <si>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</si>
  <si>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</si>
  <si>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</si>
  <si>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</si>
  <si>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</si>
  <si>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</si>
  <si>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</si>
  <si>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</si>
  <si>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</si>
  <si>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</si>
  <si>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</si>
  <si>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</si>
  <si>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</si>
  <si>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</si>
  <si>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</si>
  <si>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</si>
  <si>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</si>
  <si>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</si>
  <si>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</si>
  <si>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</si>
  <si>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</si>
  <si>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</si>
  <si>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</si>
  <si>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</si>
  <si>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</si>
  <si>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</si>
  <si>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</si>
  <si>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</si>
  <si>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</si>
  <si>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</si>
  <si>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</si>
  <si>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</si>
  <si>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</si>
  <si>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</si>
  <si>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</si>
  <si>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</si>
  <si>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</si>
  <si>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</si>
  <si>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</si>
  <si>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</si>
  <si>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</si>
  <si>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</si>
  <si>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</si>
  <si>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</si>
  <si>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</si>
  <si>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</si>
  <si>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</si>
  <si>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</si>
  <si>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</si>
  <si>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</si>
  <si>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</si>
  <si>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</si>
  <si>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</si>
  <si>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</si>
  <si>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</si>
  <si>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</si>
  <si>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</si>
  <si>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</si>
  <si>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</si>
  <si>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</si>
  <si>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</si>
  <si>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</si>
  <si>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</si>
  <si>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</si>
  <si>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</si>
  <si>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</si>
  <si>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</si>
  <si>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</si>
  <si>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</si>
  <si>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</si>
  <si>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</si>
  <si>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</si>
  <si>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</si>
  <si>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</si>
  <si>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</si>
  <si>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</si>
  <si>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</si>
  <si>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</si>
  <si>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</si>
  <si>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</si>
  <si>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</si>
  <si>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</si>
  <si>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</si>
  <si>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</si>
  <si>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</si>
  <si>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</si>
  <si>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</si>
  <si>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</si>
  <si>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</si>
  <si>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</si>
  <si>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</si>
  <si>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</si>
  <si>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</si>
  <si>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</si>
  <si>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</si>
  <si>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</si>
  <si>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</si>
  <si>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</si>
  <si>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</si>
  <si>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</si>
  <si>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</si>
  <si>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</si>
  <si>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</si>
  <si>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</si>
  <si>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</si>
  <si>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</si>
  <si>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</si>
  <si>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</si>
  <si>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</si>
  <si>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</si>
  <si>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</si>
  <si>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</si>
  <si>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</si>
  <si>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</si>
  <si>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</si>
  <si>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</si>
  <si>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</si>
  <si>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</si>
  <si>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</si>
  <si>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</si>
  <si>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</si>
  <si>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</si>
  <si>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</si>
  <si>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</si>
  <si>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</si>
  <si>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</si>
  <si>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</si>
  <si>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</si>
  <si>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</si>
  <si>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</si>
  <si>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</si>
  <si>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</si>
  <si>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</si>
  <si>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</si>
  <si>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</si>
  <si>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</si>
  <si>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</si>
  <si>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</si>
  <si>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</si>
  <si>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</si>
  <si>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</si>
  <si>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</si>
  <si>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</si>
  <si>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</si>
  <si>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</si>
  <si>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</si>
  <si>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</si>
  <si>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</si>
  <si>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</si>
  <si>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</si>
  <si>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</si>
  <si>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</si>
  <si>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</si>
  <si>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</si>
  <si>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</si>
  <si>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</si>
  <si>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</si>
  <si>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</si>
  <si>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</si>
  <si>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</si>
  <si>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</si>
  <si>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</si>
  <si>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</si>
  <si>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</si>
  <si>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</si>
  <si>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</si>
  <si>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</si>
  <si>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</si>
  <si>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</si>
  <si>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</si>
  <si>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</si>
  <si>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</si>
  <si>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</si>
  <si>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</si>
  <si>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</si>
  <si>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</si>
  <si>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</si>
  <si>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</si>
  <si>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</si>
  <si>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</si>
  <si>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</si>
  <si>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</si>
  <si>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</si>
  <si>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</si>
  <si>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</si>
  <si>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</si>
  <si>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</si>
  <si>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</si>
  <si>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</si>
  <si>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</si>
  <si>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</si>
  <si>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</si>
  <si>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</si>
  <si>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</si>
  <si>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</si>
  <si>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</si>
  <si>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</si>
  <si>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</si>
  <si>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</si>
  <si>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</si>
  <si>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</si>
  <si>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</si>
  <si>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</si>
  <si>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</si>
  <si>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</si>
  <si>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</si>
  <si>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</si>
  <si>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</si>
  <si>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</si>
  <si>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</si>
  <si>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</si>
  <si>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</si>
  <si>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</si>
  <si>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</si>
  <si>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</si>
  <si>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</si>
  <si>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</si>
  <si>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</si>
  <si>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</si>
  <si>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</si>
  <si>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</si>
  <si>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</si>
  <si>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</si>
  <si>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</si>
  <si>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</si>
  <si>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</si>
  <si>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</si>
  <si>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</si>
  <si>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</si>
  <si>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</si>
  <si>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</si>
  <si>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</si>
  <si>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</si>
  <si>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</si>
  <si>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</si>
  <si>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</si>
  <si>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</si>
  <si>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</si>
  <si>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</si>
  <si>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</si>
  <si>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</si>
  <si>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</si>
  <si>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</si>
  <si>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</si>
  <si>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</si>
  <si>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</si>
  <si>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</si>
  <si>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</si>
  <si>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</si>
  <si>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</si>
  <si>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</si>
  <si>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</si>
  <si>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</si>
  <si>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</si>
  <si>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</si>
  <si>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</si>
  <si>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</si>
  <si>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</si>
  <si>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</si>
  <si>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</si>
  <si>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</si>
  <si>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</si>
  <si>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</si>
  <si>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</si>
  <si>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</si>
  <si>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</si>
  <si>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</si>
  <si>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</si>
  <si>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</si>
  <si>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</si>
  <si>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</si>
  <si>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</si>
  <si>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</si>
  <si>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</si>
  <si>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</si>
  <si>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</si>
  <si>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</si>
  <si>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</si>
  <si>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</si>
  <si>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</si>
  <si>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</si>
  <si>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</si>
  <si>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</si>
  <si>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</si>
  <si>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</si>
  <si>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</si>
  <si>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</si>
  <si>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</si>
  <si>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</si>
  <si>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</si>
  <si>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</si>
  <si>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</si>
  <si>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</si>
  <si>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</si>
  <si>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</si>
  <si>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</si>
  <si>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</si>
  <si>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</si>
  <si>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</si>
  <si>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</si>
  <si>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</si>
  <si>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</si>
  <si>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</si>
  <si>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</si>
  <si>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</si>
  <si>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</si>
  <si>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</si>
  <si>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</si>
  <si>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</si>
  <si>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</si>
  <si>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</si>
  <si>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</si>
  <si>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</si>
  <si>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</si>
  <si>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</si>
  <si>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</si>
  <si>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</si>
  <si>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</si>
  <si>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</si>
  <si>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</si>
  <si>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</si>
  <si>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</si>
  <si>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</si>
  <si>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</si>
  <si>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</si>
  <si>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</si>
  <si>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</si>
  <si>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</si>
  <si>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</si>
  <si>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</si>
  <si>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</si>
  <si>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</si>
  <si>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</si>
  <si>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</si>
  <si>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</si>
  <si>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</si>
  <si>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</si>
  <si>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</si>
  <si>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</si>
  <si>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</si>
  <si>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</si>
  <si>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</si>
  <si>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</si>
  <si>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</si>
  <si>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</si>
  <si>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</si>
  <si>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</si>
  <si>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</si>
  <si>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</si>
  <si>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</si>
  <si>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</si>
  <si>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</si>
  <si>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</si>
  <si>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</si>
  <si>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</si>
  <si>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</si>
  <si>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</si>
  <si>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</si>
  <si>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</si>
  <si>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</si>
  <si>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</si>
  <si>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</si>
  <si>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</si>
  <si>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</si>
  <si>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</si>
  <si>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</si>
  <si>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</si>
  <si>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</si>
  <si>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</si>
  <si>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</si>
  <si>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</si>
  <si>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</si>
  <si>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</si>
  <si>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</si>
  <si>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</si>
  <si>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</si>
  <si>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</si>
  <si>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</si>
  <si>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</si>
  <si>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</si>
  <si>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</si>
  <si>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</si>
  <si>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</si>
  <si>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</si>
  <si>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</si>
  <si>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</si>
  <si>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</si>
  <si>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</si>
  <si>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</si>
  <si>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</si>
  <si>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</si>
  <si>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</si>
  <si>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</si>
  <si>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</si>
  <si>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</si>
  <si>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</si>
  <si>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</si>
  <si>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</si>
  <si>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</si>
  <si>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</si>
  <si>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</si>
  <si>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</si>
  <si>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</si>
  <si>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</si>
  <si>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</si>
  <si>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</si>
  <si>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</si>
  <si>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</si>
  <si>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</si>
  <si>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</si>
  <si>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</si>
  <si>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</si>
  <si>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</si>
  <si>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</si>
  <si>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</si>
  <si>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</si>
  <si>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</si>
  <si>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</si>
  <si>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</si>
  <si>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</si>
  <si>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</si>
  <si>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</si>
  <si>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</si>
  <si>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</si>
  <si>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</si>
  <si>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</si>
  <si>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</si>
  <si>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</si>
  <si>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</si>
  <si>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</si>
  <si>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</si>
  <si>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</si>
  <si>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</si>
  <si>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</si>
  <si>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</si>
  <si>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</si>
  <si>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</si>
  <si>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</si>
  <si>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</si>
  <si>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</si>
  <si>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</si>
  <si>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</si>
  <si>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</si>
  <si>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</si>
  <si>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</si>
  <si>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</si>
  <si>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</si>
  <si>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</si>
  <si>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</si>
  <si>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</si>
  <si>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</si>
  <si>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</si>
  <si>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</si>
  <si>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</si>
  <si>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</si>
  <si>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</si>
  <si>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</si>
  <si>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</si>
  <si>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</si>
  <si>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</si>
  <si>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</si>
  <si>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</si>
  <si>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</si>
  <si>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</si>
  <si>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</si>
  <si>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</si>
  <si>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</si>
  <si>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</si>
  <si>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</si>
  <si>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</si>
  <si>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</si>
  <si>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</si>
  <si>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</si>
  <si>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</si>
  <si>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</si>
  <si>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</si>
  <si>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</si>
  <si>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</si>
  <si>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</si>
  <si>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</si>
  <si>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</si>
  <si>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</si>
  <si>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</si>
  <si>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</si>
  <si>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</si>
  <si>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</si>
  <si>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</si>
  <si>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</si>
  <si>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</si>
  <si>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</si>
  <si>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</si>
  <si>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</si>
  <si>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</si>
  <si>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</si>
  <si>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</si>
  <si>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</si>
  <si>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</si>
  <si>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</si>
  <si>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</si>
  <si>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</si>
  <si>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</si>
  <si>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</si>
  <si>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</si>
  <si>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</si>
  <si>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</si>
  <si>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</si>
  <si>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</si>
  <si>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</si>
  <si>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</si>
  <si>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</si>
  <si>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</si>
  <si>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</si>
  <si>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</si>
  <si>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</si>
  <si>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</si>
  <si>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</si>
  <si>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</si>
  <si>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</si>
  <si>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</si>
  <si>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</si>
  <si>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</si>
  <si>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</si>
  <si>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</si>
  <si>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</si>
  <si>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</si>
  <si>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</si>
  <si>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</si>
  <si>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</si>
  <si>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</si>
  <si>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</si>
  <si>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</si>
  <si>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</si>
  <si>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</si>
  <si>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</si>
  <si>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</si>
  <si>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</si>
  <si>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</si>
  <si>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</si>
  <si>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</si>
  <si>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</si>
  <si>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</si>
  <si>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</si>
  <si>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</si>
  <si>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</si>
  <si>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</si>
  <si>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</si>
  <si>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</si>
  <si>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</si>
  <si>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</si>
  <si>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</si>
  <si>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</si>
  <si>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</si>
  <si>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</si>
  <si>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</si>
  <si>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</si>
  <si>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</si>
  <si>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</si>
  <si>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</si>
  <si>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</si>
  <si>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</si>
  <si>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</si>
  <si>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</si>
  <si>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</si>
  <si>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</si>
  <si>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</si>
  <si>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</si>
  <si>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</si>
  <si>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</si>
  <si>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</si>
  <si>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</si>
  <si>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</si>
  <si>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</si>
  <si>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</si>
  <si>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</si>
  <si>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</si>
  <si>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</si>
  <si>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</si>
  <si>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</si>
  <si>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</si>
  <si>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</si>
  <si>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</si>
  <si>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</si>
  <si>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</si>
  <si>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</si>
  <si>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</si>
  <si>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</si>
  <si>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</si>
  <si>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</si>
  <si>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</si>
  <si>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</si>
  <si>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</si>
  <si>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</si>
  <si>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</si>
  <si>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</si>
  <si>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</si>
  <si>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</si>
  <si>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</si>
  <si>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</si>
  <si>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</si>
  <si>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</si>
  <si>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</si>
  <si>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</si>
  <si>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</si>
  <si>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</si>
  <si>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</si>
  <si>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</si>
  <si>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</si>
  <si>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</si>
  <si>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</si>
  <si>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</si>
  <si>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</si>
  <si>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</si>
  <si>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</si>
  <si>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</si>
  <si>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</si>
  <si>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</si>
  <si>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</si>
  <si>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</si>
  <si>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</si>
  <si>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</si>
  <si>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</si>
  <si>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</si>
  <si>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</si>
  <si>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</si>
  <si>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</si>
  <si>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</si>
  <si>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</si>
  <si>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</si>
  <si>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</si>
  <si>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</si>
  <si>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</si>
  <si>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</si>
  <si>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</si>
  <si>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</si>
  <si>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</si>
  <si>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</si>
  <si>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</si>
  <si>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</si>
  <si>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</si>
  <si>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</si>
  <si>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</si>
  <si>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</si>
  <si>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</si>
  <si>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</si>
  <si>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</si>
  <si>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</si>
  <si>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</si>
  <si>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</si>
  <si>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</si>
  <si>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</si>
  <si>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</si>
  <si>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</si>
  <si>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</si>
  <si>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</si>
  <si>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</si>
  <si>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</si>
  <si>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</si>
  <si>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</si>
  <si>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</si>
  <si>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</si>
  <si>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</si>
  <si>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</si>
  <si>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</si>
  <si>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</si>
  <si>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</si>
  <si>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</si>
  <si>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</si>
  <si>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</si>
  <si>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</si>
  <si>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</si>
  <si>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</si>
  <si>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</si>
  <si>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</si>
  <si>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</si>
  <si>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</si>
  <si>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</si>
  <si>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</si>
  <si>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</si>
  <si>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</si>
  <si>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</si>
  <si>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</si>
  <si>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</si>
  <si>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</si>
  <si>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</si>
  <si>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</si>
  <si>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</si>
  <si>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</si>
  <si>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</si>
  <si>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</si>
  <si>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</si>
  <si>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</si>
  <si>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</si>
  <si>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</si>
  <si>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</si>
  <si>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</si>
  <si>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</si>
  <si>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</si>
  <si>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</si>
  <si>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</si>
  <si>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</si>
  <si>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</si>
  <si>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</si>
  <si>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</si>
  <si>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</si>
  <si>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</si>
  <si>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</si>
  <si>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</si>
  <si>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</si>
  <si>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</si>
  <si>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</si>
  <si>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</si>
  <si>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</si>
  <si>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</si>
  <si>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</si>
  <si>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</si>
  <si>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</si>
  <si>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</si>
  <si>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</si>
  <si>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</si>
  <si>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</si>
  <si>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</si>
  <si>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</si>
  <si>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</si>
  <si>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</si>
  <si>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</si>
  <si>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</si>
  <si>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</si>
  <si>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</si>
  <si>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</si>
  <si>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</si>
  <si>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</si>
  <si>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</si>
  <si>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</si>
  <si>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</si>
  <si>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</si>
  <si>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</si>
  <si>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</si>
  <si>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</si>
  <si>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</si>
  <si>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</si>
  <si>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</si>
  <si>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</si>
  <si>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</si>
  <si>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</si>
  <si>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</si>
  <si>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</si>
  <si>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</si>
  <si>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</si>
  <si>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</si>
  <si>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</si>
  <si>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</si>
  <si>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</si>
  <si>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</si>
  <si>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</si>
  <si>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</si>
  <si>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</si>
  <si>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</si>
  <si>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</si>
  <si>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</si>
  <si>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</si>
  <si>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</si>
  <si>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</si>
  <si>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</si>
  <si>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</si>
  <si>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</si>
  <si>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</si>
  <si>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</si>
  <si>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</si>
  <si>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</si>
  <si>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</si>
  <si>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</si>
  <si>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</si>
  <si>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</si>
  <si>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</si>
  <si>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</si>
  <si>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</si>
  <si>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</si>
  <si>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</si>
  <si>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</si>
  <si>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</si>
  <si>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</si>
  <si>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</si>
  <si>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</si>
  <si>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</si>
  <si>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</si>
  <si>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</si>
  <si>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</si>
  <si>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</si>
  <si>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</si>
  <si>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</si>
  <si>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</si>
  <si>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</si>
  <si>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</si>
  <si>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</si>
  <si>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</si>
  <si>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</si>
  <si>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</si>
  <si>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</si>
  <si>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</si>
  <si>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</si>
  <si>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</si>
  <si>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</si>
  <si>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</si>
  <si>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</si>
  <si>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</si>
  <si>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</si>
  <si>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</si>
  <si>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</si>
  <si>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</si>
  <si>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</si>
  <si>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</si>
  <si>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</si>
  <si>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</si>
  <si>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</si>
  <si>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</si>
  <si>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</si>
  <si>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</si>
  <si>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</si>
  <si>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</si>
  <si>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</si>
  <si>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</si>
  <si>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</si>
  <si>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</si>
  <si>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</si>
  <si>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</si>
  <si>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</si>
  <si>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</si>
  <si>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</si>
  <si>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</si>
  <si>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</si>
  <si>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</si>
  <si>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</si>
  <si>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</si>
  <si>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</si>
  <si>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</si>
  <si>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</si>
  <si>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</si>
  <si>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</si>
  <si>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</si>
  <si>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</si>
  <si>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</si>
  <si>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</si>
  <si>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</si>
  <si>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</si>
  <si>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</si>
  <si>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</si>
  <si>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</si>
  <si>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</si>
  <si>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</si>
  <si>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</si>
  <si>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</si>
  <si>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</si>
  <si>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</si>
  <si>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</si>
  <si>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</si>
  <si>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</si>
  <si>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</si>
  <si>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</si>
  <si>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</si>
  <si>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</si>
  <si>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</si>
  <si>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</si>
  <si>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</si>
  <si>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</si>
  <si>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</si>
  <si>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</si>
  <si>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</si>
  <si>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</si>
  <si>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</si>
  <si>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</si>
  <si>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</si>
  <si>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</si>
  <si>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</si>
  <si>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</si>
  <si>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</si>
  <si>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</si>
  <si>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</si>
  <si>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</si>
  <si>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</si>
  <si>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</si>
  <si>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</si>
  <si>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</si>
  <si>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</si>
  <si>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</si>
  <si>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</si>
  <si>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</si>
  <si>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</si>
  <si>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</si>
  <si>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</si>
  <si>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</si>
  <si>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</si>
  <si>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</si>
  <si>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</si>
  <si>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</si>
  <si>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</si>
  <si>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</si>
  <si>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</si>
  <si>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</si>
  <si>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</si>
  <si>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</si>
  <si>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</si>
  <si>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</si>
  <si>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</si>
  <si>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</si>
  <si>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</si>
  <si>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</si>
  <si>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</si>
  <si>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</si>
  <si>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</si>
  <si>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</si>
  <si>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</si>
  <si>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</si>
  <si>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</si>
  <si>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</si>
  <si>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</si>
  <si>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</si>
  <si>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</si>
  <si>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</si>
  <si>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</si>
  <si>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</si>
  <si>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</si>
  <si>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</si>
  <si>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</si>
  <si>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</si>
  <si>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</si>
  <si>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</si>
  <si>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</si>
  <si>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</si>
  <si>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</si>
  <si>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</si>
  <si>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</si>
  <si>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</si>
  <si>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</si>
  <si>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</si>
  <si>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</si>
  <si>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</si>
  <si>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</si>
  <si>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</si>
  <si>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</si>
  <si>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</si>
  <si>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</si>
  <si>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</si>
  <si>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</si>
  <si>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</si>
  <si>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</si>
  <si>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</si>
  <si>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</si>
  <si>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</si>
  <si>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</si>
  <si>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</si>
  <si>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</si>
  <si>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</si>
  <si>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</si>
  <si>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</si>
  <si>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</si>
  <si>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</si>
  <si>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</si>
  <si>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</si>
  <si>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</si>
  <si>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</si>
  <si>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</si>
  <si>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</si>
  <si>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</si>
  <si>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</si>
  <si>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</si>
  <si>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</si>
  <si>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</si>
  <si>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</si>
  <si>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</si>
  <si>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</si>
  <si>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</si>
  <si>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</si>
  <si>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</si>
  <si>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</si>
  <si>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</si>
  <si>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</si>
  <si>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</si>
  <si>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</si>
  <si>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</si>
  <si>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</si>
  <si>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</si>
  <si>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</si>
  <si>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</si>
  <si>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</si>
  <si>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</si>
  <si>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</si>
  <si>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</si>
  <si>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</si>
  <si>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</si>
  <si>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</si>
  <si>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</si>
  <si>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</si>
  <si>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</si>
  <si>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</si>
  <si>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</si>
  <si>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</si>
  <si>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</si>
  <si>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</si>
  <si>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</si>
  <si>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</si>
  <si>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</si>
  <si>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</si>
  <si>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</si>
  <si>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</si>
  <si>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</si>
  <si>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</si>
  <si>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</si>
  <si>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</si>
  <si>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</si>
  <si>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</si>
  <si>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</si>
  <si>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</si>
  <si>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</si>
  <si>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</si>
  <si>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</si>
  <si>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</si>
  <si>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</si>
  <si>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</si>
  <si>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</si>
  <si>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</si>
  <si>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</si>
  <si>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</si>
  <si>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</si>
  <si>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</si>
  <si>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</si>
  <si>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</si>
  <si>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</si>
  <si>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</si>
  <si>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</si>
  <si>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</si>
  <si>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</si>
  <si>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</si>
  <si>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</si>
  <si>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</si>
  <si>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</si>
  <si>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</si>
  <si>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</si>
  <si>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</si>
  <si>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</si>
  <si>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</si>
  <si>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</si>
  <si>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</si>
  <si>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</si>
  <si>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</si>
  <si>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</si>
  <si>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</si>
  <si>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</si>
  <si>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</si>
  <si>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</si>
  <si>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</si>
  <si>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</si>
  <si>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</si>
  <si>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</si>
  <si>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</si>
  <si>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</si>
  <si>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</si>
  <si>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</si>
  <si>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</si>
  <si>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</si>
  <si>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</si>
  <si>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</si>
  <si>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</si>
  <si>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</si>
  <si>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</si>
  <si>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</si>
  <si>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</si>
  <si>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</si>
  <si>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</si>
  <si>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</si>
  <si>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</si>
  <si>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</si>
  <si>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</si>
  <si>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</si>
  <si>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</si>
  <si>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</si>
  <si>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</si>
  <si>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</si>
  <si>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</si>
  <si>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</si>
  <si>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</si>
  <si>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</si>
  <si>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</si>
  <si>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</si>
  <si>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</si>
  <si>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</si>
  <si>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</si>
  <si>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</si>
  <si>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</si>
  <si>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</si>
  <si>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</si>
  <si>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</si>
  <si>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</si>
  <si>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</si>
  <si>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</si>
  <si>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</si>
  <si>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</si>
  <si>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</si>
  <si>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</si>
  <si>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</si>
  <si>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</si>
  <si>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</si>
  <si>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</si>
  <si>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</si>
  <si>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</si>
  <si>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</si>
  <si>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</si>
  <si>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</si>
  <si>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</si>
  <si>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</si>
  <si>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</si>
  <si>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</si>
  <si>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</si>
  <si>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</si>
  <si>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</si>
  <si>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</si>
  <si>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</si>
  <si>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</si>
  <si>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</si>
  <si>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</si>
  <si>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</si>
  <si>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</si>
  <si>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</si>
  <si>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</si>
  <si>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</si>
  <si>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</si>
  <si>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</si>
  <si>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</si>
  <si>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</si>
  <si>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</si>
  <si>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</si>
  <si>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</si>
  <si>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</si>
  <si>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</si>
  <si>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</si>
  <si>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</si>
  <si>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</si>
  <si>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</si>
  <si>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</si>
  <si>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</si>
  <si>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</si>
  <si>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</si>
  <si>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</si>
  <si>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</si>
  <si>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</si>
  <si>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</si>
  <si>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</si>
  <si>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</si>
  <si>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</si>
  <si>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</si>
  <si>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</si>
  <si>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</si>
  <si>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</si>
  <si>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</si>
  <si>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</si>
  <si>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</si>
  <si>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</si>
  <si>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</si>
  <si>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</si>
  <si>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</si>
  <si>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</si>
  <si>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</si>
  <si>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</si>
  <si>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</si>
  <si>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</si>
  <si>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</si>
  <si>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</si>
  <si>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</si>
  <si>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</si>
  <si>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</si>
  <si>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</si>
  <si>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</si>
  <si>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</si>
  <si>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</si>
  <si>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</si>
  <si>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</si>
  <si>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</si>
  <si>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</si>
  <si>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</si>
  <si>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</si>
  <si>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</si>
  <si>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</si>
  <si>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</si>
  <si>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</si>
  <si>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</si>
  <si>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</si>
  <si>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</si>
  <si>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</si>
  <si>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</si>
  <si>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</si>
  <si>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</si>
  <si>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</si>
  <si>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</si>
  <si>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</si>
  <si>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</si>
  <si>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</si>
  <si>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</si>
  <si>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</si>
  <si>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</si>
  <si>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</si>
  <si>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</si>
  <si>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</si>
  <si>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</si>
  <si>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</si>
  <si>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</si>
  <si>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</si>
  <si>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</si>
  <si>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</si>
  <si>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</si>
  <si>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</si>
  <si>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</si>
  <si>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</si>
  <si>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</si>
  <si>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</si>
  <si>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</si>
  <si>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</si>
  <si>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</si>
  <si>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</si>
  <si>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</si>
  <si>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</si>
  <si>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</si>
  <si>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</si>
  <si>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</si>
  <si>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</si>
  <si>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</si>
  <si>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</si>
  <si>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</si>
  <si>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</si>
  <si>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</si>
  <si>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</si>
  <si>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</si>
  <si>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</si>
  <si>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</si>
  <si>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</si>
  <si>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</si>
  <si>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</si>
  <si>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</si>
  <si>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</si>
  <si>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</si>
  <si>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</si>
  <si>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</si>
  <si>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</si>
  <si>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</si>
  <si>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</si>
  <si>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</si>
  <si>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</si>
  <si>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</si>
  <si>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</si>
  <si>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</si>
  <si>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</si>
  <si>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</si>
  <si>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</si>
  <si>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</si>
  <si>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</si>
  <si>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</si>
  <si>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</si>
  <si>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</si>
  <si>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</si>
  <si>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</si>
  <si>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</si>
  <si>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</si>
  <si>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</si>
  <si>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</si>
  <si>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</si>
  <si>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</si>
  <si>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</si>
  <si>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</si>
  <si>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</si>
  <si>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</si>
  <si>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</si>
  <si>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</si>
  <si>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</si>
  <si>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</si>
  <si>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</si>
  <si>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</si>
  <si>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</si>
  <si>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</si>
  <si>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</si>
  <si>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</si>
  <si>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</si>
  <si>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</si>
  <si>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</si>
  <si>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</si>
  <si>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</si>
  <si>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</si>
  <si>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</si>
  <si>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</si>
  <si>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</si>
  <si>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</si>
  <si>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</si>
  <si>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</si>
  <si>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</si>
  <si>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</si>
  <si>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</si>
  <si>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</si>
  <si>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</si>
  <si>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</si>
  <si>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</si>
  <si>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</si>
  <si>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</si>
  <si>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</si>
  <si>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</si>
  <si>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</si>
  <si>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</si>
  <si>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</si>
  <si>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</si>
  <si>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</si>
  <si>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</si>
  <si>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</si>
  <si>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</si>
  <si>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</si>
  <si>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</si>
  <si>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</si>
  <si>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</si>
  <si>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</si>
  <si>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</si>
  <si>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</si>
  <si>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</si>
  <si>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</si>
  <si>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</si>
  <si>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</si>
  <si>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</si>
  <si>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</si>
  <si>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</si>
  <si>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</si>
  <si>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</si>
  <si>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</si>
  <si>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</si>
  <si>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</si>
  <si>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</si>
  <si>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</si>
  <si>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</si>
  <si>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</si>
  <si>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</si>
  <si>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</si>
  <si>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</si>
  <si>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</si>
  <si>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</si>
  <si>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</si>
  <si>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</si>
  <si>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</si>
  <si>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</si>
  <si>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</si>
  <si>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</si>
  <si>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</si>
  <si>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</si>
  <si>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</si>
  <si>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</si>
  <si>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</si>
  <si>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</si>
  <si>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</si>
  <si>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</si>
  <si>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</si>
  <si>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</si>
  <si>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</si>
  <si>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</si>
  <si>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</si>
  <si>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</si>
  <si>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</si>
  <si>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</si>
  <si>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</si>
  <si>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</si>
  <si>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</si>
  <si>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</si>
  <si>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</si>
  <si>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</si>
  <si>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</si>
  <si>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</si>
  <si>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</si>
  <si>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</si>
  <si>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</si>
  <si>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</si>
  <si>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</si>
  <si>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</si>
  <si>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</si>
  <si>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</si>
  <si>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</si>
  <si>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</si>
  <si>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</si>
  <si>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</si>
  <si>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</si>
  <si>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</si>
  <si>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</si>
  <si>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</si>
  <si>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</si>
  <si>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</si>
  <si>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</si>
  <si>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</si>
  <si>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</si>
  <si>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</si>
  <si>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</si>
  <si>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</si>
  <si>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</si>
  <si>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</si>
  <si>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</si>
  <si>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</si>
  <si>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</si>
  <si>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</si>
  <si>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</si>
  <si>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</si>
  <si>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</si>
  <si>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</si>
  <si>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</si>
  <si>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</si>
  <si>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</si>
  <si>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</si>
  <si>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</si>
  <si>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</si>
  <si>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</si>
  <si>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</si>
  <si>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</si>
  <si>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</si>
  <si>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</si>
  <si>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</si>
  <si>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</si>
  <si>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</si>
  <si>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</si>
  <si>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</si>
  <si>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</si>
  <si>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</si>
  <si>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</si>
  <si>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</si>
  <si>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</si>
  <si>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</si>
  <si>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</si>
  <si>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</si>
  <si>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</si>
  <si>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</si>
  <si>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</si>
  <si>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</si>
  <si>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</si>
  <si>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</si>
  <si>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</si>
  <si>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</si>
  <si>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</si>
  <si>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</si>
  <si>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</si>
  <si>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</si>
  <si>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</si>
  <si>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</si>
  <si>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</si>
  <si>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</si>
  <si>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</si>
  <si>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</si>
  <si>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</si>
  <si>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</si>
  <si>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</si>
  <si>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</si>
  <si>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</si>
  <si>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</si>
  <si>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</si>
  <si>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</si>
  <si>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</si>
  <si>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</si>
  <si>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</si>
  <si>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</si>
  <si>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</si>
  <si>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</si>
  <si>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</si>
  <si>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</si>
  <si>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</si>
  <si>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</si>
  <si>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</si>
  <si>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</si>
  <si>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</si>
  <si>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</si>
  <si>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</si>
  <si>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</si>
  <si>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</si>
  <si>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</si>
  <si>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</si>
  <si>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</si>
  <si>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</si>
  <si>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</si>
  <si>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</si>
  <si>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</si>
  <si>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</si>
  <si>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</si>
  <si>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</si>
  <si>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</si>
  <si>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</si>
  <si>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</si>
  <si>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</si>
  <si>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</si>
  <si>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</si>
  <si>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</si>
  <si>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</si>
  <si>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</si>
  <si>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</si>
  <si>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</si>
  <si>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</si>
  <si>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</si>
  <si>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</si>
  <si>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</si>
  <si>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</si>
  <si>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</si>
  <si>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</si>
  <si>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</si>
  <si>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</si>
  <si>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</si>
  <si>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</si>
  <si>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</si>
  <si>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</si>
  <si>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</si>
  <si>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</si>
  <si>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</si>
  <si>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</si>
  <si>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</si>
  <si>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</si>
  <si>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</si>
  <si>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</si>
  <si>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</si>
  <si>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</si>
  <si>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</si>
  <si>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</si>
  <si>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</si>
  <si>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</si>
  <si>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</si>
  <si>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</si>
  <si>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</si>
  <si>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</si>
  <si>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</si>
  <si>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</si>
  <si>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</si>
  <si>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</si>
  <si>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</si>
  <si>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</si>
  <si>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</si>
  <si>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</si>
  <si>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</si>
  <si>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</si>
  <si>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</si>
  <si>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</si>
  <si>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</si>
  <si>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</si>
  <si>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</si>
  <si>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</si>
  <si>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</si>
  <si>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</si>
  <si>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</si>
  <si>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</si>
  <si>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</si>
  <si>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</si>
  <si>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</si>
  <si>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</si>
  <si>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</si>
  <si>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</si>
  <si>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</si>
  <si>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</si>
  <si>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</si>
  <si>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</si>
  <si>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</si>
  <si>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</si>
  <si>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</si>
  <si>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</si>
  <si>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</si>
  <si>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</si>
  <si>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</si>
  <si>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</si>
  <si>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</si>
  <si>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</si>
  <si>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</si>
  <si>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</si>
  <si>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</si>
  <si>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</si>
  <si>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</si>
  <si>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</si>
  <si>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</si>
  <si>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</si>
  <si>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</si>
  <si>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</si>
  <si>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</si>
  <si>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</si>
  <si>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</si>
  <si>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</si>
  <si>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</si>
  <si>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</si>
  <si>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</si>
  <si>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</si>
  <si>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</si>
  <si>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</si>
  <si>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</si>
  <si>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</si>
  <si>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</si>
  <si>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</si>
  <si>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</si>
  <si>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</si>
  <si>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</si>
  <si>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</si>
  <si>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</si>
  <si>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</si>
  <si>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</si>
  <si>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</si>
  <si>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</si>
  <si>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</si>
  <si>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</si>
  <si>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</si>
  <si>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</si>
  <si>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</si>
  <si>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</si>
  <si>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</si>
  <si>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</si>
  <si>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</si>
  <si>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</si>
  <si>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</si>
  <si>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</si>
  <si>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</si>
  <si>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</si>
  <si>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</si>
  <si>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</si>
  <si>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</si>
  <si>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</si>
  <si>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</si>
  <si>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</si>
  <si>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</si>
  <si>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</si>
  <si>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</si>
  <si>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</si>
  <si>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</si>
  <si>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</si>
  <si>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</si>
  <si>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</si>
  <si>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</si>
  <si>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</si>
  <si>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</si>
  <si>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</si>
  <si>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</si>
  <si>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</si>
  <si>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</si>
  <si>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</si>
  <si>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</si>
  <si>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</si>
  <si>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</si>
  <si>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</si>
  <si>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</si>
  <si>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</si>
  <si>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</si>
  <si>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</si>
  <si>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</si>
  <si>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</si>
  <si>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</si>
  <si>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</si>
  <si>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</si>
  <si>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</si>
  <si>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</si>
  <si>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</si>
  <si>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</si>
  <si>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</si>
  <si>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</si>
  <si>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</si>
  <si>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</si>
  <si>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</si>
  <si>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</si>
  <si>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</si>
  <si>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</si>
  <si>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</si>
  <si>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</si>
  <si>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</si>
  <si>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</si>
  <si>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</si>
  <si>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</si>
  <si>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</si>
  <si>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</si>
  <si>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</si>
  <si>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</si>
  <si>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</si>
  <si>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</si>
  <si>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</si>
  <si>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</si>
  <si>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</si>
  <si>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</si>
  <si>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</si>
  <si>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</si>
  <si>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</si>
  <si>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</si>
  <si>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</si>
  <si>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</si>
  <si>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</si>
  <si>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</si>
  <si>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</si>
  <si>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</si>
  <si>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</si>
  <si>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</si>
  <si>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</si>
  <si>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</si>
  <si>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</si>
  <si>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</si>
  <si>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</si>
  <si>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</si>
  <si>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</si>
  <si>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</si>
  <si>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</si>
  <si>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</si>
  <si>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</si>
  <si>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</si>
  <si>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</si>
  <si>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</si>
  <si>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</si>
  <si>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</si>
  <si>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</si>
  <si>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</si>
  <si>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</si>
  <si>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</si>
  <si>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</si>
  <si>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</si>
  <si>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</si>
  <si>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</si>
  <si>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</si>
  <si>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</si>
  <si>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</si>
  <si>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</si>
  <si>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</si>
  <si>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</si>
  <si>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</si>
  <si>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</si>
  <si>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</si>
  <si>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</si>
  <si>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</si>
  <si>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</si>
  <si>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</si>
  <si>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</si>
  <si>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</si>
  <si>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</si>
  <si>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</si>
  <si>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</si>
  <si>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</si>
  <si>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</si>
  <si>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</si>
  <si>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</si>
  <si>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</si>
  <si>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</si>
  <si>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</si>
  <si>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</si>
  <si>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</si>
  <si>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</si>
  <si>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</si>
  <si>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</si>
  <si>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</si>
  <si>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</si>
  <si>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</si>
  <si>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</si>
  <si>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</si>
  <si>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</si>
  <si>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</si>
  <si>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</si>
  <si>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</si>
  <si>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</si>
  <si>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</si>
  <si>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</si>
  <si>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</si>
  <si>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</si>
  <si>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</si>
  <si>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</si>
  <si>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</si>
  <si>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</si>
  <si>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</si>
  <si>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</si>
  <si>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</si>
  <si>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</si>
  <si>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</si>
  <si>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</si>
  <si>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</si>
  <si>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</si>
  <si>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</si>
  <si>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</si>
  <si>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</si>
  <si>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</si>
  <si>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</si>
  <si>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</si>
  <si>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</si>
  <si>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</si>
  <si>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</si>
  <si>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</si>
  <si>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</si>
  <si>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</si>
  <si>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</si>
  <si>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</si>
  <si>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</si>
  <si>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</si>
  <si>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</si>
  <si>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</si>
  <si>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</si>
  <si>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</si>
  <si>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</si>
  <si>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</si>
  <si>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</si>
  <si>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</si>
  <si>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</si>
  <si>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</si>
  <si>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</si>
  <si>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</si>
  <si>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</si>
  <si>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</si>
  <si>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</si>
  <si>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</si>
  <si>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</si>
  <si>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</si>
  <si>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</si>
  <si>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</si>
  <si>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</si>
  <si>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</si>
  <si>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</si>
  <si>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</si>
  <si>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</si>
  <si>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</si>
  <si>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</si>
  <si>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</si>
  <si>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</si>
  <si>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</si>
  <si>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</si>
  <si>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</si>
  <si>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</si>
  <si>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</si>
  <si>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</si>
  <si>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</si>
  <si>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</si>
  <si>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</si>
  <si>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</si>
  <si>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</si>
  <si>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</si>
  <si>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</si>
  <si>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</si>
  <si>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</si>
  <si>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</si>
  <si>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</si>
  <si>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</si>
  <si>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</si>
  <si>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</si>
  <si>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</si>
  <si>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</si>
  <si>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</si>
  <si>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</si>
  <si>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</si>
  <si>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</si>
  <si>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</si>
  <si>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</si>
  <si>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</si>
  <si>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</si>
  <si>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</si>
  <si>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</si>
  <si>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</si>
  <si>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</si>
  <si>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</si>
  <si>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</si>
  <si>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</si>
  <si>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</si>
  <si>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</si>
  <si>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</si>
  <si>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</si>
  <si>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</si>
  <si>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</si>
  <si>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</si>
  <si>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</si>
  <si>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</si>
  <si>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</si>
  <si>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</si>
  <si>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</si>
  <si>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</si>
  <si>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</si>
  <si>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</si>
  <si>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</si>
  <si>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</si>
  <si>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</si>
  <si>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</si>
  <si>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</si>
  <si>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</si>
  <si>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</si>
  <si>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</si>
  <si>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</si>
  <si>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</si>
  <si>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</si>
  <si>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</si>
  <si>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</si>
  <si>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</si>
  <si>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</si>
  <si>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</si>
  <si>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</si>
  <si>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</si>
  <si>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</si>
  <si>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</si>
  <si>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</si>
  <si>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</si>
  <si>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</si>
  <si>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</si>
  <si>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</si>
  <si>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</si>
  <si>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</si>
  <si>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</si>
  <si>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</si>
  <si>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</si>
  <si>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</si>
  <si>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</si>
  <si>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</si>
  <si>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</si>
  <si>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</si>
  <si>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</si>
  <si>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</si>
  <si>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</si>
  <si>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</si>
  <si>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</si>
  <si>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</si>
  <si>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</si>
  <si>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</si>
  <si>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</si>
  <si>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</si>
  <si>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</si>
  <si>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</si>
  <si>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</si>
  <si>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</si>
  <si>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</si>
  <si>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</si>
  <si>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</si>
  <si>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</si>
  <si>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</si>
  <si>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</si>
  <si>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</si>
  <si>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</si>
  <si>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</si>
  <si>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</si>
  <si>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</si>
  <si>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</si>
  <si>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</si>
  <si>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</si>
  <si>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</si>
  <si>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</si>
  <si>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</si>
  <si>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</si>
  <si>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</si>
  <si>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</si>
  <si>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</si>
  <si>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</si>
  <si>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</si>
  <si>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</si>
  <si>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</si>
  <si>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</si>
  <si>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</si>
  <si>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</si>
  <si>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</si>
  <si>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</si>
  <si>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</si>
  <si>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</si>
  <si>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</si>
  <si>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</si>
  <si>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</si>
  <si>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</si>
  <si>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</si>
  <si>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</si>
  <si>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</si>
  <si>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</si>
  <si>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</si>
  <si>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</si>
  <si>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</si>
  <si>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</si>
  <si>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</si>
  <si>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</si>
  <si>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</si>
  <si>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</si>
  <si>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</si>
  <si>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</si>
  <si>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</si>
  <si>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</si>
  <si>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</si>
  <si>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</si>
  <si>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</si>
  <si>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</si>
  <si>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</si>
  <si>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</si>
  <si>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</si>
  <si>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</si>
  <si>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</si>
  <si>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</si>
  <si>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</si>
  <si>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</si>
  <si>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</si>
  <si>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</si>
  <si>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</si>
  <si>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</si>
  <si>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</si>
  <si>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</si>
  <si>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</si>
  <si>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</si>
  <si>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</si>
  <si>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</si>
  <si>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</si>
  <si>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</si>
  <si>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</si>
  <si>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</si>
  <si>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</si>
  <si>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</si>
  <si>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</si>
  <si>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</si>
  <si>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</si>
  <si>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</si>
  <si>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</si>
  <si>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</si>
  <si>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</si>
  <si>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</si>
  <si>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</si>
  <si>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</si>
  <si>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</si>
  <si>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</si>
  <si>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</si>
  <si>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</si>
  <si>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</si>
  <si>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</si>
  <si>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</si>
  <si>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</si>
  <si>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</si>
  <si>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</si>
  <si>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</si>
  <si>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</si>
  <si>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</si>
  <si>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</si>
  <si>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</si>
  <si>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</si>
  <si>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</si>
  <si>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</si>
  <si>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</si>
  <si>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</si>
  <si>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</si>
  <si>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</si>
  <si>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</si>
  <si>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</si>
  <si>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</si>
  <si>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</si>
  <si>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</si>
  <si>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</si>
  <si>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</si>
  <si>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</si>
  <si>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</si>
  <si>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</si>
  <si>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</si>
  <si>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</si>
  <si>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</si>
  <si>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</si>
  <si>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</si>
  <si>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</si>
  <si>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</si>
  <si>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</si>
  <si>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</si>
  <si>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</si>
  <si>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</si>
  <si>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</si>
  <si>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</si>
  <si>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</si>
  <si>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</si>
  <si>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</si>
  <si>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</si>
  <si>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</si>
  <si>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</si>
  <si>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</si>
  <si>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</si>
  <si>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</si>
  <si>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</si>
  <si>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</si>
  <si>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</si>
  <si>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</si>
  <si>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</si>
  <si>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</si>
  <si>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</si>
  <si>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</si>
  <si>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</si>
  <si>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</si>
  <si>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</si>
  <si>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</si>
  <si>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</si>
  <si>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</si>
  <si>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</si>
  <si>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</si>
  <si>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</si>
  <si>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</si>
  <si>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</si>
  <si>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</si>
  <si>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</si>
  <si>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</si>
  <si>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</si>
  <si>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</si>
  <si>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</si>
  <si>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</si>
  <si>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</si>
  <si>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</si>
  <si>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</si>
  <si>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</si>
  <si>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</si>
  <si>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</si>
  <si>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</si>
  <si>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</si>
  <si>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</si>
  <si>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</si>
  <si>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</si>
  <si>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</si>
  <si>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</si>
  <si>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</si>
  <si>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</si>
  <si>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</si>
  <si>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</si>
  <si>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</si>
  <si>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</si>
  <si>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</si>
  <si>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</si>
  <si>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</si>
  <si>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</si>
  <si>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</si>
  <si>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</si>
  <si>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</si>
  <si>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</si>
  <si>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</si>
  <si>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</si>
  <si>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</si>
  <si>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</si>
  <si>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</si>
  <si>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</si>
  <si>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</si>
  <si>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</si>
  <si>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</si>
  <si>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</si>
  <si>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</si>
  <si>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</si>
  <si>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</si>
  <si>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</si>
  <si>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</si>
  <si>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</si>
  <si>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</si>
  <si>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</si>
  <si>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</si>
  <si>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</si>
  <si>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</si>
  <si>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</si>
  <si>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</si>
  <si>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</si>
  <si>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</si>
  <si>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</si>
  <si>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</si>
  <si>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</si>
  <si>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</si>
  <si>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</si>
  <si>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</si>
  <si>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</si>
  <si>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</si>
  <si>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</si>
  <si>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</si>
  <si>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</si>
  <si>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</si>
  <si>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</si>
  <si>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</si>
  <si>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</si>
  <si>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</si>
  <si>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</si>
  <si>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</si>
  <si>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</si>
  <si>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</si>
  <si>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</si>
  <si>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</si>
  <si>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</si>
  <si>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</si>
  <si>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</si>
  <si>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</si>
  <si>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</si>
  <si>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</si>
  <si>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</si>
  <si>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</si>
  <si>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</si>
  <si>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</si>
  <si>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</si>
  <si>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</si>
  <si>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</si>
  <si>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</si>
  <si>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</si>
  <si>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</si>
  <si>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</si>
  <si>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</si>
  <si>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</si>
  <si>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</si>
  <si>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</si>
  <si>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</si>
  <si>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</si>
  <si>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</si>
  <si>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</si>
  <si>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</si>
  <si>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</si>
  <si>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</si>
  <si>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</si>
  <si>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</si>
  <si>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</si>
  <si>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</si>
  <si>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</si>
  <si>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</si>
  <si>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</si>
  <si>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</si>
  <si>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</si>
  <si>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</si>
  <si>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</si>
  <si>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</si>
  <si>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</si>
  <si>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</si>
  <si>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</si>
  <si>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</si>
  <si>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</si>
  <si>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</si>
  <si>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</si>
  <si>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</si>
  <si>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</si>
  <si>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</si>
  <si>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</si>
  <si>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</si>
  <si>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</si>
  <si>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</si>
  <si>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</si>
  <si>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</si>
  <si>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</si>
  <si>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</si>
  <si>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</si>
  <si>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</si>
  <si>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</si>
  <si>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</si>
  <si>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</si>
  <si>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</si>
  <si>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</si>
  <si>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</si>
  <si>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</si>
  <si>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</si>
  <si>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</si>
  <si>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</si>
  <si>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</si>
  <si>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</si>
  <si>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</si>
  <si>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</si>
  <si>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</si>
  <si>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</si>
  <si>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</si>
  <si>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</si>
  <si>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</si>
  <si>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</si>
  <si>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</si>
  <si>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</si>
  <si>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</si>
  <si>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</si>
  <si>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</si>
  <si>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</si>
  <si>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</si>
  <si>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</si>
  <si>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</si>
  <si>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</si>
  <si>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</si>
  <si>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</si>
  <si>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</si>
  <si>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</si>
  <si>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</si>
  <si>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</si>
  <si>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</si>
  <si>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</si>
  <si>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</si>
  <si>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</si>
  <si>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</si>
  <si>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</si>
  <si>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</si>
  <si>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</si>
  <si>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</si>
  <si>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</si>
  <si>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</si>
  <si>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</si>
  <si>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</si>
  <si>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</si>
  <si>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</si>
  <si>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</si>
  <si>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</si>
  <si>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</si>
  <si>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</si>
  <si>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</si>
  <si>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</si>
  <si>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</si>
  <si>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</si>
  <si>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</si>
  <si>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</si>
  <si>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</si>
  <si>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</si>
  <si>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</si>
  <si>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</si>
  <si>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</si>
  <si>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</si>
  <si>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</si>
  <si>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</si>
  <si>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</si>
  <si>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</si>
  <si>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</si>
  <si>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</si>
  <si>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</si>
  <si>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</si>
  <si>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</si>
  <si>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</si>
  <si>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</si>
  <si>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</si>
  <si>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</si>
  <si>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</si>
  <si>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</si>
  <si>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</si>
  <si>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</si>
  <si>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</si>
  <si>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</si>
  <si>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</si>
  <si>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</si>
  <si>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</si>
  <si>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</si>
  <si>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</si>
  <si>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</si>
  <si>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</si>
  <si>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</si>
  <si>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</si>
  <si>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</si>
  <si>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</si>
  <si>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</si>
  <si>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</si>
  <si>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</si>
  <si>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</si>
  <si>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</si>
  <si>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</si>
  <si>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</si>
  <si>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</si>
  <si>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</si>
  <si>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</si>
  <si>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</si>
  <si>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</si>
  <si>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</si>
  <si>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</si>
  <si>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</si>
  <si>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</si>
  <si>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</si>
  <si>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</si>
  <si>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</si>
  <si>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</si>
  <si>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</si>
  <si>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</si>
  <si>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</si>
  <si>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</si>
  <si>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</si>
  <si>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</si>
  <si>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</si>
  <si>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</si>
  <si>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</si>
  <si>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</si>
  <si>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</si>
  <si>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</si>
  <si>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</si>
  <si>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</si>
  <si>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</si>
  <si>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</si>
  <si>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</si>
  <si>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</si>
  <si>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</si>
  <si>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</si>
  <si>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</si>
  <si>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</si>
  <si>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</si>
  <si>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</si>
  <si>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</si>
  <si>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</si>
  <si>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</si>
  <si>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</si>
  <si>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</si>
  <si>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</si>
  <si>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</si>
  <si>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</si>
  <si>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</si>
  <si>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</si>
  <si>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</si>
  <si>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</si>
  <si>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</si>
  <si>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</si>
  <si>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</si>
  <si>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</si>
  <si>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</si>
  <si>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</si>
  <si>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</si>
  <si>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</si>
  <si>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</si>
  <si>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</si>
  <si>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</si>
  <si>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</si>
  <si>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</si>
  <si>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</si>
  <si>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</si>
  <si>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</si>
  <si>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</si>
  <si>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</si>
  <si>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</si>
  <si>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</si>
  <si>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</si>
  <si>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</si>
  <si>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</si>
  <si>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</si>
  <si>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</si>
  <si>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</si>
  <si>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</si>
  <si>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</si>
  <si>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</si>
  <si>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</si>
  <si>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</si>
  <si>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</si>
  <si>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</si>
  <si>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</si>
  <si>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</si>
  <si>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</si>
  <si>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</si>
  <si>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</si>
  <si>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</si>
  <si>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</si>
  <si>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</si>
  <si>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</si>
  <si>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</si>
  <si>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</si>
  <si>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</si>
  <si>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</si>
  <si>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</si>
  <si>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</si>
  <si>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</si>
  <si>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</si>
  <si>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</si>
  <si>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</si>
  <si>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</si>
  <si>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</si>
  <si>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</si>
  <si>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</si>
  <si>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</si>
  <si>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</si>
  <si>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</si>
  <si>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</si>
  <si>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</si>
  <si>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</si>
  <si>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</si>
  <si>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</si>
  <si>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</si>
  <si>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</si>
  <si>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</si>
  <si>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</si>
  <si>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</si>
  <si>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</si>
  <si>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</si>
  <si>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</si>
  <si>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</si>
  <si>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</si>
  <si>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</si>
  <si>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</si>
  <si>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</si>
  <si>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</si>
  <si>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</si>
  <si>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</si>
  <si>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</si>
  <si>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</si>
  <si>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</si>
  <si>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</si>
  <si>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</si>
  <si>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</si>
  <si>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</si>
  <si>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</si>
  <si>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</si>
  <si>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</si>
  <si>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</si>
  <si>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</si>
  <si>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</si>
  <si>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</si>
  <si>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</si>
  <si>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</si>
  <si>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</si>
  <si>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</si>
  <si>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</si>
  <si>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</si>
  <si>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</si>
  <si>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</si>
  <si>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</si>
  <si>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</si>
  <si>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</si>
  <si>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</si>
  <si>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</si>
  <si>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</si>
  <si>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</si>
  <si>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</si>
  <si>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</si>
  <si>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</si>
  <si>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</si>
  <si>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</si>
  <si>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</si>
  <si>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</si>
  <si>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</si>
  <si>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</si>
  <si>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</si>
  <si>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</si>
  <si>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</si>
  <si>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</si>
  <si>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</si>
  <si>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</si>
  <si>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</si>
  <si>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</si>
  <si>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</si>
  <si>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</si>
  <si>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</si>
  <si>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</si>
  <si>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</si>
  <si>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</si>
  <si>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</si>
  <si>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</si>
  <si>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</si>
  <si>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</si>
  <si>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</si>
  <si>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</si>
  <si>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</si>
  <si>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</si>
  <si>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</si>
  <si>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</si>
  <si>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</si>
  <si>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</si>
  <si>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</si>
  <si>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</si>
  <si>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</si>
  <si>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</si>
  <si>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</si>
  <si>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</si>
  <si>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</si>
  <si>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</si>
  <si>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</si>
  <si>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</si>
  <si>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</si>
  <si>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</si>
  <si>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</si>
  <si>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</si>
  <si>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</si>
  <si>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</si>
  <si>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</si>
  <si>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</si>
  <si>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</si>
  <si>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</si>
  <si>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</si>
  <si>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</si>
  <si>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</si>
  <si>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</si>
  <si>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</si>
  <si>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</si>
  <si>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</si>
  <si>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</si>
  <si>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</si>
  <si>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</si>
  <si>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</si>
  <si>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</si>
  <si>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</si>
  <si>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</si>
  <si>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</si>
  <si>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</si>
  <si>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</si>
  <si>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</si>
  <si>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</si>
  <si>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</si>
  <si>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</si>
  <si>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</si>
  <si>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</si>
  <si>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</si>
  <si>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</si>
  <si>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</si>
  <si>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</si>
  <si>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</si>
  <si>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</si>
  <si>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</si>
  <si>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</si>
  <si>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</si>
  <si>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</si>
  <si>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</si>
  <si>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</si>
  <si>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</si>
  <si>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</si>
  <si>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</si>
  <si>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</si>
  <si>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</si>
  <si>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</si>
  <si>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</si>
  <si>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</si>
  <si>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</si>
  <si>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</si>
  <si>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</si>
  <si>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</si>
  <si>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</si>
  <si>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</si>
  <si>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</si>
  <si>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</si>
  <si>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</si>
  <si>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</si>
  <si>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</si>
  <si>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</si>
  <si>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</si>
  <si>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</si>
  <si>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</si>
  <si>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</si>
  <si>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</si>
  <si>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</si>
  <si>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</si>
  <si>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</si>
  <si>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</si>
  <si>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</si>
  <si>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</si>
  <si>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</si>
  <si>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</si>
  <si>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</si>
  <si>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</si>
  <si>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</si>
  <si>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</si>
  <si>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</si>
  <si>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</si>
  <si>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</si>
  <si>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</si>
  <si>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</si>
  <si>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</si>
  <si>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</si>
  <si>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</si>
  <si>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</si>
  <si>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</si>
  <si>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</si>
  <si>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</si>
  <si>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</si>
  <si>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</si>
  <si>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</si>
  <si>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</si>
  <si>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</si>
  <si>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</si>
  <si>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</si>
  <si>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</si>
  <si>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</si>
  <si>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</si>
  <si>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</si>
  <si>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</si>
  <si>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</si>
  <si>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</si>
  <si>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</si>
  <si>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</si>
  <si>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</si>
  <si>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</si>
  <si>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</si>
  <si>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</si>
  <si>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</si>
  <si>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</si>
  <si>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</si>
  <si>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</si>
  <si>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</si>
  <si>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</si>
  <si>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</si>
  <si>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</si>
  <si>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</si>
  <si>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</si>
  <si>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</si>
  <si>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</si>
  <si>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</si>
  <si>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</si>
  <si>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</si>
  <si>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</si>
  <si>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</si>
  <si>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</si>
  <si>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</si>
  <si>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</si>
  <si>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</si>
  <si>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</si>
  <si>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</si>
  <si>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</si>
  <si>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</si>
  <si>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</si>
  <si>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</si>
  <si>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</si>
  <si>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</si>
  <si>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</si>
  <si>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</si>
  <si>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</si>
  <si>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</si>
  <si>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</si>
  <si>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</si>
  <si>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</si>
  <si>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</si>
  <si>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</si>
  <si>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</si>
  <si>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</si>
  <si>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</si>
  <si>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</si>
  <si>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</si>
  <si>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</si>
  <si>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</si>
  <si>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</si>
  <si>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</si>
  <si>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</si>
  <si>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</si>
  <si>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</si>
  <si>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</si>
  <si>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</si>
  <si>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</si>
  <si>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</si>
  <si>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</si>
  <si>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</si>
  <si>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</si>
  <si>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</si>
  <si>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</si>
  <si>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</si>
  <si>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</si>
  <si>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</si>
  <si>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</si>
  <si>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</si>
  <si>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</si>
  <si>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</si>
  <si>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</si>
  <si>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</si>
  <si>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</si>
  <si>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</si>
  <si>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</si>
  <si>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</si>
  <si>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</si>
  <si>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</si>
  <si>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</si>
  <si>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</si>
  <si>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</si>
  <si>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</si>
  <si>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</si>
  <si>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</si>
  <si>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</si>
  <si>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</si>
  <si>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</si>
  <si>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</si>
  <si>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</si>
  <si>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</si>
  <si>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</si>
  <si>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</si>
  <si>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</si>
  <si>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</si>
  <si>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</si>
  <si>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</si>
  <si>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</si>
  <si>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</si>
  <si>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</si>
  <si>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</si>
  <si>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</si>
  <si>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</si>
  <si>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</si>
  <si>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</si>
  <si>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</si>
  <si>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</si>
  <si>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</si>
  <si>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</si>
  <si>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</si>
  <si>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</si>
  <si>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</si>
  <si>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</si>
  <si>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</si>
  <si>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</si>
  <si>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</si>
  <si>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</si>
  <si>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</si>
  <si>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</si>
  <si>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</si>
  <si>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</si>
  <si>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</si>
  <si>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</si>
  <si>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</si>
  <si>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</si>
  <si>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</si>
  <si>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</si>
  <si>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</si>
  <si>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</si>
  <si>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</si>
  <si>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</si>
  <si>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</si>
  <si>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</si>
  <si>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</si>
  <si>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</si>
  <si>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</si>
  <si>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</si>
  <si>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</si>
  <si>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</si>
  <si>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</si>
  <si>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</si>
  <si>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</si>
  <si>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</si>
  <si>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</si>
  <si>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</si>
  <si>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</si>
  <si>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</si>
  <si>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</si>
  <si>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</si>
  <si>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</si>
  <si>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</si>
  <si>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</si>
  <si>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</si>
  <si>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</si>
  <si>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</si>
  <si>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</si>
  <si>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</si>
  <si>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</si>
  <si>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</si>
  <si>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</si>
  <si>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</si>
  <si>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</si>
  <si>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</si>
  <si>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</si>
  <si>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</si>
  <si>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</si>
  <si>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</si>
  <si>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</si>
  <si>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</si>
  <si>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</si>
  <si>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</si>
  <si>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</si>
  <si>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</si>
  <si>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</si>
  <si>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</si>
  <si>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</si>
  <si>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</si>
  <si>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</si>
  <si>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</si>
  <si>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</si>
  <si>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</si>
  <si>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</si>
  <si>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</si>
  <si>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</si>
  <si>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</si>
  <si>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</si>
  <si>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</si>
  <si>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</si>
  <si>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</si>
  <si>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</si>
  <si>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</si>
  <si>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</si>
  <si>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</si>
  <si>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</si>
  <si>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</si>
  <si>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</si>
  <si>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</si>
  <si>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</si>
  <si>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</si>
  <si>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</si>
  <si>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</si>
  <si>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</si>
  <si>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</si>
  <si>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</si>
  <si>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</si>
  <si>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</si>
  <si>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</si>
  <si>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</si>
  <si>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</si>
  <si>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</si>
  <si>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</si>
  <si>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</si>
  <si>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</si>
  <si>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</si>
  <si>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</si>
  <si>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</si>
  <si>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</si>
  <si>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</si>
  <si>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</si>
  <si>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</si>
  <si>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</si>
  <si>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</si>
  <si>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</si>
  <si>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</si>
  <si>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</si>
  <si>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</si>
  <si>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</si>
  <si>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</si>
  <si>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</si>
  <si>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</si>
  <si>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</si>
  <si>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</si>
  <si>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</si>
  <si>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</si>
  <si>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</si>
  <si>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</si>
  <si>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</si>
  <si>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</si>
  <si>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</si>
  <si>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</si>
  <si>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</si>
  <si>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</si>
  <si>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</si>
  <si>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</si>
  <si>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</si>
  <si>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</si>
  <si>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</si>
  <si>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</si>
  <si>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</si>
  <si>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</si>
  <si>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</si>
  <si>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</si>
  <si>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</si>
  <si>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</si>
  <si>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</si>
  <si>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</si>
  <si>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</si>
  <si>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</si>
  <si>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</si>
  <si>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</si>
  <si>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</si>
  <si>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</si>
  <si>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</si>
  <si>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</si>
  <si>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</si>
  <si>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</si>
  <si>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</si>
  <si>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</si>
  <si>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</si>
  <si>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</si>
  <si>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</si>
  <si>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</si>
  <si>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</si>
  <si>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</si>
  <si>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</si>
  <si>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</si>
  <si>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</si>
  <si>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</si>
  <si>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</si>
  <si>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</si>
  <si>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</si>
  <si>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</si>
  <si>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</si>
  <si>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</si>
  <si>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</si>
  <si>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</si>
  <si>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</si>
  <si>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</si>
  <si>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</si>
  <si>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</si>
  <si>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</si>
  <si>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</si>
  <si>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</si>
  <si>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</si>
  <si>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</si>
  <si>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</si>
  <si>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</si>
  <si>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</si>
  <si>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</si>
  <si>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</si>
  <si>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</si>
  <si>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</si>
  <si>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</si>
  <si>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</si>
  <si>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</si>
  <si>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</si>
  <si>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</si>
  <si>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</si>
  <si>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</si>
  <si>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</si>
  <si>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</si>
  <si>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</si>
  <si>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</si>
  <si>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</si>
  <si>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</si>
  <si>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</si>
  <si>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</si>
  <si>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</si>
  <si>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</si>
  <si>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</si>
  <si>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</si>
  <si>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</si>
  <si>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</si>
  <si>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</si>
  <si>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</si>
  <si>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</si>
  <si>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</si>
  <si>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</si>
  <si>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</si>
  <si>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</si>
  <si>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</si>
  <si>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</si>
  <si>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</si>
  <si>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</si>
  <si>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</si>
  <si>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</si>
  <si>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</si>
  <si>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</si>
  <si>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</si>
  <si>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</si>
  <si>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</si>
  <si>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</si>
  <si>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</si>
  <si>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</si>
  <si>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</si>
  <si>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</si>
  <si>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</si>
  <si>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</si>
  <si>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</si>
  <si>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</si>
  <si>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</si>
  <si>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</si>
  <si>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</si>
  <si>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</si>
  <si>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</si>
  <si>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</si>
  <si>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</si>
  <si>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</si>
  <si>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</si>
  <si>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</si>
  <si>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</si>
  <si>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</si>
  <si>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</si>
  <si>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</si>
  <si>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</si>
  <si>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</si>
  <si>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</si>
  <si>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</si>
  <si>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</si>
  <si>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</si>
  <si>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</si>
  <si>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</si>
  <si>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</si>
  <si>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</si>
  <si>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</si>
  <si>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</si>
  <si>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</si>
  <si>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</si>
  <si>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</si>
  <si>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</si>
  <si>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</si>
  <si>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</si>
  <si>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</si>
  <si>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</si>
  <si>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</si>
  <si>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</si>
  <si>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</si>
  <si>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</si>
  <si>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</si>
  <si>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</si>
  <si>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</si>
  <si>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</si>
  <si>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</si>
  <si>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</si>
  <si>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</si>
  <si>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</si>
  <si>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</si>
  <si>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</si>
  <si>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</si>
  <si>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</si>
  <si>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</si>
  <si>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</si>
  <si>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</si>
  <si>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</si>
  <si>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</si>
  <si>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</si>
  <si>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</si>
  <si>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</si>
  <si>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</si>
  <si>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</si>
  <si>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</si>
  <si>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</si>
  <si>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</si>
  <si>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</si>
  <si>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</si>
  <si>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</si>
  <si>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</si>
  <si>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</si>
  <si>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</si>
  <si>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</si>
  <si>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</si>
  <si>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</si>
  <si>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</si>
  <si>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</si>
  <si>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</si>
  <si>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</si>
  <si>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</si>
  <si>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</si>
  <si>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</si>
  <si>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</si>
  <si>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</si>
  <si>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</si>
  <si>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</si>
  <si>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</si>
  <si>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</si>
  <si>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</si>
  <si>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</si>
  <si>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</si>
  <si>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</si>
  <si>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</si>
  <si>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</si>
  <si>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</si>
  <si>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</si>
  <si>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</si>
  <si>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</si>
  <si>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</si>
  <si>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</si>
  <si>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</si>
  <si>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</si>
  <si>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</si>
  <si>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</si>
  <si>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</si>
  <si>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</si>
  <si>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</si>
  <si>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</si>
  <si>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</si>
  <si>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</si>
  <si>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</si>
  <si>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</si>
  <si>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</si>
  <si>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</si>
  <si>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</si>
  <si>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</si>
  <si>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</si>
  <si>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</si>
  <si>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</si>
  <si>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</si>
  <si>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</si>
  <si>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</si>
  <si>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</si>
  <si>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</si>
  <si>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</si>
  <si>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</si>
  <si>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</si>
  <si>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</si>
  <si>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</si>
  <si>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</si>
  <si>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</si>
  <si>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</si>
  <si>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</si>
  <si>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</si>
  <si>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</si>
  <si>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</si>
  <si>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</si>
  <si>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</si>
  <si>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</si>
  <si>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</si>
  <si>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</si>
  <si>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</si>
  <si>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</si>
  <si>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</si>
  <si>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</si>
  <si>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</si>
  <si>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</si>
  <si>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</si>
  <si>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</si>
  <si>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</si>
  <si>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</si>
  <si>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</si>
  <si>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</si>
  <si>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</si>
  <si>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</si>
  <si>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</si>
  <si>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</si>
  <si>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</si>
  <si>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</si>
  <si>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</si>
  <si>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</si>
  <si>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</si>
  <si>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</si>
  <si>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</si>
  <si>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</si>
  <si>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</si>
  <si>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</si>
  <si>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</si>
  <si>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</si>
  <si>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</si>
  <si>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</si>
  <si>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</si>
  <si>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</si>
  <si>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</si>
  <si>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</si>
  <si>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</si>
  <si>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</si>
  <si>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</si>
  <si>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</si>
  <si>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</si>
  <si>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</si>
  <si>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</si>
  <si>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</si>
  <si>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</si>
  <si>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</si>
  <si>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</si>
  <si>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</si>
  <si>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</si>
  <si>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</si>
  <si>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</si>
  <si>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</si>
  <si>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</si>
  <si>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</si>
  <si>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</si>
  <si>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</si>
  <si>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</si>
  <si>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</si>
  <si>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</si>
  <si>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</si>
  <si>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</si>
  <si>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</si>
  <si>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</si>
  <si>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</si>
  <si>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</si>
  <si>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</si>
  <si>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</si>
  <si>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</si>
  <si>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</si>
  <si>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</si>
  <si>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</si>
  <si>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</si>
  <si>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</si>
  <si>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</si>
  <si>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</si>
  <si>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</si>
  <si>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</si>
  <si>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</si>
  <si>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</si>
  <si>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</si>
  <si>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</si>
  <si>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</si>
  <si>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</si>
  <si>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</si>
  <si>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</si>
  <si>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</si>
  <si>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</si>
  <si>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</si>
  <si>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</si>
  <si>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</si>
  <si>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</si>
  <si>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</si>
  <si>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</si>
  <si>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</si>
  <si>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</si>
  <si>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</si>
  <si>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</si>
  <si>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</si>
  <si>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</si>
  <si>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</si>
  <si>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</si>
  <si>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</si>
  <si>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</si>
  <si>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</si>
  <si>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</si>
  <si>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</si>
  <si>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</si>
  <si>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</si>
  <si>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</si>
  <si>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</si>
  <si>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</si>
  <si>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</si>
  <si>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</si>
  <si>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</si>
  <si>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</si>
  <si>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</si>
  <si>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</si>
  <si>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</si>
  <si>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</si>
  <si>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</si>
  <si>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</si>
  <si>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</si>
  <si>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</si>
  <si>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</si>
  <si>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</si>
  <si>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</si>
  <si>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</si>
  <si>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</si>
  <si>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</si>
  <si>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</si>
  <si>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</si>
  <si>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</si>
  <si>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</si>
  <si>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</si>
  <si>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</si>
  <si>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</si>
  <si>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</si>
  <si>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</si>
  <si>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</si>
  <si>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</si>
  <si>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</si>
  <si>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</si>
  <si>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</si>
  <si>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</si>
  <si>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</si>
  <si>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</si>
  <si>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</si>
  <si>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</si>
  <si>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</si>
  <si>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</si>
  <si>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</si>
  <si>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</si>
  <si>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</si>
  <si>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</si>
  <si>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</si>
  <si>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</si>
  <si>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</si>
  <si>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</si>
  <si>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</si>
  <si>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</si>
  <si>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</si>
  <si>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</si>
  <si>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</si>
  <si>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</si>
  <si>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</si>
  <si>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</si>
  <si>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</si>
  <si>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</si>
  <si>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</si>
  <si>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</si>
  <si>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</si>
  <si>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</si>
  <si>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</si>
  <si>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</si>
  <si>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</si>
  <si>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</si>
  <si>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</si>
  <si>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</si>
  <si>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</si>
  <si>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</si>
  <si>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</si>
  <si>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</si>
  <si>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</si>
  <si>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</si>
  <si>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</si>
  <si>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</si>
  <si>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</si>
  <si>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</si>
  <si>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</si>
  <si>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</si>
  <si>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</si>
  <si>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</si>
  <si>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</si>
  <si>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</si>
  <si>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</si>
  <si>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</si>
  <si>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</si>
  <si>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</si>
  <si>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</si>
  <si>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</si>
  <si>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</si>
  <si>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</si>
  <si>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</si>
  <si>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</si>
  <si>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</si>
  <si>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</si>
  <si>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</si>
  <si>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</si>
  <si>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</si>
  <si>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</si>
  <si>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</si>
  <si>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</si>
  <si>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</si>
  <si>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</si>
  <si>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</si>
  <si>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</si>
  <si>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</si>
  <si>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</si>
  <si>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</si>
  <si>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</si>
  <si>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</si>
  <si>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</si>
  <si>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</si>
  <si>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</si>
  <si>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</si>
  <si>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</si>
  <si>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</si>
  <si>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</si>
  <si>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</si>
  <si>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</si>
  <si>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</si>
  <si>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</si>
  <si>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</si>
  <si>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</si>
  <si>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</si>
  <si>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</si>
  <si>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</si>
  <si>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</si>
  <si>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</si>
  <si>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</si>
  <si>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</si>
  <si>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</si>
  <si>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</si>
  <si>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</si>
  <si>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</si>
  <si>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</si>
  <si>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</si>
  <si>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</si>
  <si>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</si>
  <si>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</si>
  <si>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</si>
  <si>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</si>
  <si>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</si>
  <si>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</si>
  <si>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</si>
  <si>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</si>
  <si>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</si>
  <si>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</si>
  <si>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</si>
  <si>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</si>
  <si>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</si>
  <si>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</si>
  <si>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</si>
  <si>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</si>
  <si>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</si>
  <si>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</si>
  <si>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</si>
  <si>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</si>
  <si>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</si>
  <si>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</si>
  <si>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</si>
  <si>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</si>
  <si>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</si>
  <si>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</si>
  <si>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</si>
  <si>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</si>
  <si>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</si>
  <si>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</si>
  <si>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</si>
  <si>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</si>
  <si>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</si>
  <si>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</si>
  <si>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</si>
  <si>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</si>
  <si>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</si>
  <si>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</si>
  <si>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</si>
  <si>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</si>
  <si>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</si>
  <si>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</si>
  <si>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</si>
  <si>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</si>
  <si>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</si>
  <si>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</si>
  <si>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</si>
  <si>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</si>
  <si>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</si>
  <si>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</si>
  <si>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</si>
  <si>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</si>
  <si>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</si>
  <si>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</si>
  <si>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</si>
  <si>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</si>
  <si>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</si>
  <si>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</si>
  <si>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</si>
  <si>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</si>
  <si>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</si>
  <si>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</si>
  <si>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</si>
  <si>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</si>
  <si>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</si>
  <si>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</si>
  <si>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</si>
  <si>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</si>
  <si>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</si>
  <si>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</si>
  <si>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</si>
  <si>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</si>
  <si>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</si>
  <si>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</si>
  <si>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</si>
  <si>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</si>
  <si>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</si>
  <si>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</si>
  <si>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</si>
  <si>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</si>
  <si>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</si>
  <si>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</si>
  <si>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</si>
  <si>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</si>
  <si>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</si>
  <si>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</si>
  <si>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</si>
  <si>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</si>
  <si>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</si>
  <si>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</si>
  <si>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</si>
  <si>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</si>
  <si>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</si>
  <si>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</si>
  <si>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</si>
  <si>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</si>
  <si>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</si>
  <si>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</si>
  <si>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</si>
  <si>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</si>
  <si>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</si>
  <si>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</si>
  <si>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</si>
  <si>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</si>
  <si>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</si>
  <si>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</si>
  <si>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</si>
  <si>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</si>
  <si>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</si>
  <si>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</si>
  <si>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</si>
  <si>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</si>
  <si>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</si>
  <si>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</si>
  <si>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</si>
  <si>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</si>
  <si>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</si>
  <si>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</si>
  <si>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</si>
  <si>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</si>
  <si>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</si>
  <si>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</si>
  <si>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</si>
  <si>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</si>
  <si>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</si>
  <si>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</si>
  <si>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</si>
  <si>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</si>
  <si>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</si>
  <si>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</si>
  <si>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</si>
  <si>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</si>
  <si>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</si>
  <si>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</si>
  <si>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</si>
  <si>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</si>
  <si>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</si>
  <si>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</si>
  <si>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</si>
  <si>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</si>
  <si>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</si>
  <si>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</si>
  <si>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</si>
  <si>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</si>
  <si>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</si>
  <si>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</si>
  <si>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</si>
  <si>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</si>
  <si>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</si>
  <si>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</si>
  <si>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</si>
  <si>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</si>
  <si>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</si>
  <si>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</si>
  <si>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</si>
  <si>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</si>
  <si>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</si>
  <si>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</si>
  <si>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</si>
  <si>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</si>
  <si>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</si>
  <si>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</si>
  <si>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</si>
  <si>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</si>
  <si>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</si>
  <si>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</si>
  <si>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</si>
  <si>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</si>
  <si>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</si>
  <si>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</si>
  <si>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</si>
  <si>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</si>
  <si>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</si>
  <si>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</si>
  <si>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</si>
  <si>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</si>
  <si>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</si>
  <si>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</si>
  <si>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</si>
  <si>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</si>
  <si>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</si>
  <si>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</si>
  <si>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</si>
  <si>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</si>
  <si>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</si>
  <si>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</si>
  <si>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</si>
  <si>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</si>
  <si>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</si>
  <si>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</si>
  <si>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</si>
  <si>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</si>
  <si>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</si>
  <si>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</si>
  <si>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</si>
  <si>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</si>
  <si>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</si>
  <si>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</si>
  <si>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</si>
  <si>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</si>
  <si>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</si>
  <si>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</si>
  <si>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</si>
  <si>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</si>
  <si>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</si>
  <si>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</si>
  <si>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</si>
  <si>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</si>
  <si>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</si>
  <si>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</si>
  <si>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</si>
  <si>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</si>
  <si>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</si>
  <si>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</si>
  <si>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</si>
  <si>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</si>
  <si>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</si>
  <si>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</si>
  <si>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</si>
  <si>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</si>
  <si>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</si>
  <si>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</si>
  <si>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</si>
  <si>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</si>
  <si>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</si>
  <si>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</si>
  <si>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</si>
  <si>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</si>
  <si>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</si>
  <si>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</si>
  <si>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</si>
  <si>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</si>
  <si>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</si>
  <si>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</si>
  <si>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</si>
  <si>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</si>
  <si>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</si>
  <si>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</si>
  <si>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</si>
  <si>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</si>
  <si>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</si>
  <si>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</si>
  <si>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</si>
  <si>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</si>
  <si>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</si>
  <si>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</si>
  <si>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</si>
  <si>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</si>
  <si>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</si>
  <si>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</si>
  <si>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</si>
  <si>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</si>
  <si>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</si>
  <si>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</si>
  <si>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</si>
  <si>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</si>
  <si>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</si>
  <si>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</si>
  <si>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</si>
  <si>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</si>
  <si>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</si>
  <si>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</si>
  <si>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</si>
  <si>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</si>
  <si>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</si>
  <si>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</si>
  <si>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</si>
  <si>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</si>
  <si>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</si>
  <si>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</si>
  <si>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</si>
  <si>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</si>
  <si>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</si>
  <si>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</si>
  <si>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</si>
  <si>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</si>
  <si>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</si>
  <si>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</si>
  <si>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</si>
  <si>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</si>
  <si>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</si>
  <si>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</si>
  <si>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</si>
  <si>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</si>
  <si>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</si>
  <si>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</si>
  <si>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</si>
  <si>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</si>
  <si>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</si>
  <si>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</si>
  <si>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</si>
  <si>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</si>
  <si>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</si>
  <si>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</si>
  <si>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</si>
  <si>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</si>
  <si>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</si>
  <si>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</si>
  <si>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</si>
  <si>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</si>
  <si>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</si>
  <si>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</si>
  <si>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</si>
  <si>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</si>
  <si>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</si>
  <si>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</si>
  <si>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</si>
  <si>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</si>
  <si>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</si>
  <si>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</si>
  <si>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</si>
  <si>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</si>
  <si>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</si>
  <si>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</si>
  <si>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</si>
  <si>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</si>
  <si>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</si>
  <si>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</si>
  <si>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</si>
  <si>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</si>
  <si>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</si>
  <si>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</si>
  <si>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</si>
  <si>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</si>
  <si>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</si>
  <si>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</si>
  <si>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</si>
  <si>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</si>
  <si>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</si>
  <si>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</si>
  <si>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</si>
  <si>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</si>
  <si>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</si>
  <si>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</si>
  <si>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</si>
  <si>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</si>
  <si>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</si>
  <si>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</si>
  <si>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</si>
  <si>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</si>
  <si>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</si>
  <si>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</si>
  <si>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</si>
  <si>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</si>
  <si>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</si>
  <si>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</si>
  <si>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</si>
  <si>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</si>
  <si>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</si>
  <si>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</si>
  <si>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</si>
  <si>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</si>
  <si>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</si>
  <si>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</si>
  <si>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</si>
  <si>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</si>
  <si>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</si>
  <si>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</si>
  <si>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</si>
  <si>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</si>
  <si>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</si>
  <si>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</si>
  <si>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</si>
  <si>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</si>
  <si>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</si>
  <si>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</si>
  <si>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</si>
  <si>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</si>
  <si>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</si>
  <si>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</si>
  <si>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</si>
  <si>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</si>
  <si>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</si>
  <si>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</si>
  <si>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</si>
  <si>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</si>
  <si>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</si>
  <si>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</si>
  <si>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</si>
  <si>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</si>
  <si>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</si>
  <si>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</si>
  <si>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</si>
  <si>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</si>
  <si>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</si>
  <si>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</si>
  <si>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</si>
  <si>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</si>
  <si>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</si>
  <si>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</si>
  <si>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</si>
  <si>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</si>
  <si>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</si>
  <si>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</si>
  <si>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</si>
  <si>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</si>
  <si>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</si>
  <si>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</si>
  <si>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</si>
  <si>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</si>
  <si>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</si>
  <si>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</si>
  <si>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</si>
  <si>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</si>
  <si>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</si>
  <si>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</si>
  <si>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</si>
  <si>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</si>
  <si>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</si>
  <si>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</si>
  <si>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</si>
  <si>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</si>
  <si>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</si>
  <si>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</si>
  <si>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</si>
  <si>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</si>
  <si>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</si>
  <si>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</si>
  <si>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</si>
  <si>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</si>
  <si>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</si>
  <si>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</si>
  <si>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</si>
  <si>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</si>
  <si>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</si>
  <si>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</si>
  <si>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</si>
  <si>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</si>
  <si>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</si>
  <si>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</si>
  <si>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</si>
  <si>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</si>
  <si>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</si>
  <si>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</si>
  <si>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</si>
  <si>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</si>
  <si>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</si>
  <si>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</si>
  <si>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</si>
  <si>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</si>
  <si>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</si>
  <si>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</si>
  <si>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</si>
  <si>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</si>
  <si>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</si>
  <si>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</si>
  <si>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</si>
  <si>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</si>
  <si>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</si>
  <si>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</si>
  <si>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</si>
  <si>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</si>
  <si>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</si>
  <si>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</si>
  <si>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</si>
  <si>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</si>
  <si>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</si>
  <si>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</si>
  <si>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</si>
  <si>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</si>
  <si>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</si>
  <si>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</si>
  <si>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</si>
  <si>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</si>
  <si>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</si>
  <si>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</si>
  <si>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</si>
  <si>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</si>
  <si>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</si>
  <si>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</si>
  <si>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</si>
  <si>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</si>
  <si>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</si>
  <si>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</si>
  <si>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</si>
  <si>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</si>
  <si>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</si>
  <si>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</si>
  <si>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</si>
  <si>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</si>
  <si>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</si>
  <si>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</si>
  <si>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</si>
  <si>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</si>
  <si>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</si>
  <si>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</si>
  <si>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</si>
  <si>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</si>
  <si>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</si>
  <si>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</si>
  <si>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</si>
  <si>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</si>
  <si>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</si>
  <si>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</si>
  <si>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</si>
  <si>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</si>
  <si>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</si>
  <si>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</si>
  <si>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</si>
  <si>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</si>
  <si>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</si>
  <si>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</si>
  <si>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</si>
  <si>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</si>
  <si>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</si>
  <si>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</si>
  <si>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</si>
  <si>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</si>
  <si>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</si>
  <si>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</si>
  <si>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</si>
  <si>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</si>
  <si>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</si>
  <si>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</si>
  <si>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</si>
  <si>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</si>
  <si>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</si>
  <si>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</si>
  <si>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</si>
  <si>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</si>
  <si>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</si>
  <si>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</si>
  <si>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</si>
  <si>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</si>
  <si>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</si>
  <si>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</si>
  <si>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</si>
  <si>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</si>
  <si>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</si>
  <si>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</si>
  <si>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</si>
  <si>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</si>
  <si>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</si>
  <si>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</si>
  <si>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</si>
  <si>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</si>
  <si>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</si>
  <si>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</si>
  <si>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</si>
  <si>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</si>
  <si>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</si>
  <si>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</si>
  <si>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</si>
  <si>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</si>
  <si>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</si>
  <si>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</si>
  <si>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</si>
  <si>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</si>
  <si>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</si>
  <si>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</si>
  <si>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</si>
  <si>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</si>
  <si>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</si>
  <si>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</si>
  <si>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</si>
  <si>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</si>
  <si>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</si>
  <si>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</si>
  <si>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</si>
  <si>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</si>
  <si>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</si>
  <si>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</si>
  <si>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</si>
  <si>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</si>
  <si>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</si>
  <si>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</si>
  <si>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</si>
  <si>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</si>
  <si>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</si>
  <si>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</si>
  <si>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</si>
  <si>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</si>
  <si>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</si>
  <si>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</si>
  <si>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</si>
  <si>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</si>
  <si>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</si>
  <si>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</si>
  <si>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</si>
  <si>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</si>
  <si>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</si>
  <si>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</si>
  <si>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</si>
  <si>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</si>
  <si>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</si>
  <si>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</si>
  <si>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</si>
  <si>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</si>
  <si>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</si>
  <si>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</si>
  <si>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</si>
  <si>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</si>
  <si>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</si>
  <si>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</si>
  <si>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</si>
  <si>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</si>
  <si>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</si>
  <si>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</si>
  <si>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</si>
  <si>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</si>
  <si>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</si>
  <si>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</si>
  <si>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</si>
  <si>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</si>
  <si>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</si>
  <si>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</si>
  <si>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</si>
  <si>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</si>
  <si>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</si>
  <si>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</si>
  <si>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</si>
  <si>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</si>
  <si>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</si>
  <si>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</si>
  <si>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</si>
  <si>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</si>
  <si>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</si>
  <si>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</si>
  <si>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</si>
  <si>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</si>
  <si>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</si>
  <si>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</si>
  <si>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</si>
  <si>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</si>
  <si>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</si>
  <si>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</si>
  <si>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</si>
  <si>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</si>
  <si>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</si>
  <si>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</si>
  <si>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</si>
  <si>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</si>
  <si>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</si>
  <si>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</si>
  <si>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</si>
  <si>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</si>
  <si>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</si>
  <si>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</si>
  <si>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</si>
  <si>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</si>
  <si>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</si>
  <si>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</si>
  <si>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</si>
  <si>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</si>
  <si>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</si>
  <si>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</si>
  <si>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</si>
  <si>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</si>
  <si>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</si>
  <si>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</si>
  <si>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</si>
  <si>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</si>
  <si>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</si>
  <si>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</si>
  <si>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</si>
  <si>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</si>
  <si>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</si>
  <si>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</si>
  <si>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</si>
  <si>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</si>
  <si>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</si>
  <si>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</si>
  <si>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</si>
  <si>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</si>
  <si>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</si>
  <si>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</si>
  <si>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</si>
  <si>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</si>
  <si>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</si>
  <si>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</si>
  <si>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</si>
  <si>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</si>
  <si>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</si>
  <si>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</si>
  <si>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</si>
  <si>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</si>
  <si>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</si>
  <si>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</si>
  <si>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</si>
  <si>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</si>
  <si>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</si>
  <si>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</si>
  <si>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</si>
  <si>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</si>
  <si>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</si>
  <si>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</si>
  <si>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</si>
  <si>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</si>
  <si>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</si>
  <si>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</si>
  <si>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</si>
  <si>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</si>
  <si>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</si>
  <si>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</si>
  <si>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</si>
  <si>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</si>
  <si>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</si>
  <si>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</si>
  <si>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</si>
  <si>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</si>
  <si>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</si>
  <si>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</si>
  <si>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</si>
  <si>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</si>
  <si>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</si>
  <si>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</si>
  <si>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</si>
  <si>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</si>
  <si>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</si>
  <si>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</si>
  <si>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</si>
  <si>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</si>
  <si>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</si>
  <si>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</si>
  <si>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</si>
  <si>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</si>
  <si>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</si>
  <si>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</si>
  <si>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</si>
  <si>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</si>
  <si>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</si>
  <si>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</si>
  <si>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</si>
  <si>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</si>
  <si>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</si>
  <si>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</si>
  <si>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</si>
  <si>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</si>
  <si>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</si>
  <si>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</si>
  <si>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</si>
  <si>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</si>
  <si>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</si>
  <si>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</si>
  <si>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</si>
  <si>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</si>
  <si>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</si>
  <si>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</si>
  <si>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</si>
  <si>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</si>
  <si>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</si>
  <si>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</si>
  <si>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</si>
  <si>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</si>
  <si>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</si>
  <si>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</si>
  <si>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</si>
  <si>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</si>
  <si>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</si>
  <si>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</si>
  <si>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</si>
  <si>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</si>
  <si>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</si>
  <si>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</si>
  <si>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</si>
  <si>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</si>
  <si>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</si>
  <si>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</si>
  <si>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</si>
  <si>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</si>
  <si>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</si>
  <si>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</si>
  <si>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</si>
  <si>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</si>
  <si>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</si>
  <si>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</si>
  <si>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</si>
  <si>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</si>
  <si>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</si>
  <si>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</si>
  <si>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</si>
  <si>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</si>
  <si>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</si>
  <si>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</si>
  <si>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</si>
  <si>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</si>
  <si>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</si>
  <si>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</si>
  <si>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</si>
  <si>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</si>
  <si>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</si>
  <si>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</si>
  <si>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</si>
  <si>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</si>
  <si>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</si>
  <si>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</si>
  <si>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</si>
  <si>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</si>
  <si>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</si>
  <si>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</si>
  <si>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</si>
  <si>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</si>
  <si>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</si>
  <si>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</si>
  <si>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</si>
  <si>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</si>
  <si>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</si>
  <si>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</si>
  <si>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</si>
  <si>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</si>
  <si>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</si>
  <si>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</si>
  <si>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</si>
  <si>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</si>
  <si>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</si>
  <si>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</si>
  <si>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</si>
  <si>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</si>
  <si>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</si>
  <si>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</si>
  <si>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</si>
  <si>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</si>
  <si>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</si>
  <si>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</si>
  <si>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</si>
  <si>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</si>
  <si>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</si>
  <si>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</si>
  <si>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</si>
  <si>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</si>
  <si>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</si>
  <si>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</si>
  <si>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</si>
  <si>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</si>
  <si>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</si>
  <si>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</si>
  <si>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</si>
  <si>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</si>
  <si>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</si>
  <si>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</si>
  <si>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</si>
  <si>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</si>
  <si>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</si>
  <si>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</si>
  <si>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</si>
  <si>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</si>
  <si>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</si>
  <si>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</si>
  <si>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</si>
  <si>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</si>
  <si>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</si>
  <si>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</si>
  <si>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</si>
  <si>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</si>
  <si>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</si>
  <si>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</si>
  <si>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</si>
  <si>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</si>
  <si>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</si>
  <si>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</si>
  <si>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</si>
  <si>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</si>
  <si>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</si>
  <si>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</si>
  <si>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</si>
  <si>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</si>
  <si>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</si>
  <si>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</si>
  <si>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</si>
  <si>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</si>
  <si>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</si>
  <si>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</si>
  <si>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</si>
  <si>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</si>
  <si>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</si>
  <si>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</si>
  <si>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</si>
  <si>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</si>
  <si>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</si>
  <si>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</si>
  <si>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</si>
  <si>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</si>
  <si>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</si>
  <si>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</si>
  <si>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</si>
  <si>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</si>
  <si>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</si>
  <si>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</si>
  <si>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</si>
  <si>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</si>
  <si>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</si>
  <si>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</si>
  <si>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</si>
  <si>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</si>
  <si>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</si>
  <si>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</si>
  <si>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</si>
  <si>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</si>
  <si>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</si>
  <si>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</si>
  <si>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</si>
  <si>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</si>
  <si>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</si>
  <si>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</si>
  <si>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</si>
  <si>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</si>
  <si>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</si>
  <si>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</si>
  <si>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</si>
  <si>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</si>
  <si>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</si>
  <si>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</si>
  <si>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</si>
  <si>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</si>
  <si>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</si>
  <si>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</si>
  <si>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</si>
  <si>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</si>
  <si>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</si>
  <si>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</si>
  <si>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</si>
  <si>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</si>
  <si>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</si>
  <si>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</si>
  <si>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</si>
  <si>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</si>
  <si>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</si>
  <si>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</si>
  <si>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</si>
  <si>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</si>
  <si>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</si>
  <si>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</si>
  <si>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</si>
  <si>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</si>
  <si>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</si>
  <si>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</si>
  <si>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</si>
  <si>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</si>
  <si>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</si>
  <si>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</si>
  <si>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</si>
  <si>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</si>
  <si>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</si>
  <si>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</si>
  <si>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</si>
  <si>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</si>
  <si>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</si>
  <si>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</si>
  <si>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</si>
  <si>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</si>
  <si>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</si>
  <si>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</si>
  <si>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</si>
  <si>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</si>
  <si>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</si>
  <si>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</si>
  <si>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</si>
  <si>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</si>
  <si>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</si>
  <si>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</si>
  <si>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</si>
  <si>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</si>
  <si>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</si>
  <si>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</si>
  <si>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</si>
  <si>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</si>
  <si>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</si>
  <si>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</si>
  <si>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</si>
  <si>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</si>
  <si>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</si>
  <si>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</si>
  <si>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</si>
  <si>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</si>
  <si>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</si>
  <si>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</si>
  <si>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</si>
  <si>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</si>
  <si>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</si>
  <si>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</si>
  <si>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</si>
  <si>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</si>
  <si>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</si>
  <si>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</si>
  <si>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</si>
  <si>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</si>
  <si>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</si>
  <si>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</si>
  <si>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</si>
  <si>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</si>
  <si>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</si>
  <si>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</si>
  <si>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</si>
  <si>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</si>
  <si>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</si>
  <si>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</si>
  <si>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</si>
  <si>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</si>
  <si>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</si>
  <si>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</si>
  <si>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</si>
  <si>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</si>
  <si>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</si>
  <si>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</si>
  <si>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</si>
  <si>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</si>
  <si>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</si>
  <si>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</si>
  <si>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</si>
  <si>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</si>
  <si>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</si>
  <si>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</si>
  <si>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</si>
  <si>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</si>
  <si>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</si>
  <si>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</si>
  <si>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</si>
  <si>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</si>
  <si>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</si>
  <si>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</si>
  <si>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</si>
  <si>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</si>
  <si>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</si>
  <si>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</si>
  <si>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</si>
  <si>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</si>
  <si>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</si>
  <si>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</si>
  <si>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</si>
  <si>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</si>
  <si>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</si>
  <si>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</si>
  <si>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</si>
  <si>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</si>
  <si>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</si>
  <si>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</si>
  <si>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</si>
  <si>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</si>
  <si>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</si>
  <si>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</si>
  <si>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</si>
  <si>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</si>
  <si>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</si>
  <si>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</si>
  <si>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</si>
  <si>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</si>
  <si>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</si>
  <si>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</si>
  <si>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</si>
  <si>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</si>
  <si>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</si>
  <si>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</si>
  <si>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</si>
  <si>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</si>
  <si>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</si>
  <si>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</si>
  <si>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</si>
  <si>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</si>
  <si>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</si>
  <si>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</si>
  <si>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</si>
  <si>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</si>
  <si>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</si>
  <si>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</si>
  <si>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</si>
  <si>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</si>
  <si>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</si>
  <si>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</si>
  <si>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</si>
  <si>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</si>
  <si>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</si>
  <si>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</si>
  <si>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</si>
  <si>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</si>
  <si>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</si>
  <si>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</si>
  <si>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</si>
  <si>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</si>
  <si>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</si>
  <si>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</si>
  <si>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</si>
  <si>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</si>
  <si>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</si>
  <si>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</si>
  <si>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</si>
  <si>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</si>
  <si>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</si>
  <si>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</si>
  <si>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</si>
  <si>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</si>
  <si>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</si>
  <si>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</si>
  <si>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</si>
  <si>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</si>
  <si>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</si>
  <si>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</si>
  <si>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</si>
  <si>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</si>
  <si>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</si>
  <si>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</si>
  <si>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</si>
  <si>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</si>
  <si>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</si>
  <si>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</si>
  <si>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</si>
  <si>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</si>
  <si>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</si>
  <si>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</si>
  <si>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</si>
  <si>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</si>
  <si>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</si>
  <si>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</si>
  <si>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</si>
  <si>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</si>
  <si>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</si>
  <si>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</si>
  <si>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</si>
  <si>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</si>
  <si>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</si>
  <si>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</si>
  <si>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</si>
  <si>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</si>
  <si>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</si>
  <si>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</si>
  <si>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</si>
  <si>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</si>
  <si>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</si>
  <si>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</si>
  <si>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</si>
  <si>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</si>
  <si>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</si>
  <si>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</si>
  <si>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</si>
  <si>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</si>
  <si>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</si>
  <si>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</si>
  <si>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</si>
  <si>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</si>
  <si>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</si>
  <si>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</si>
  <si>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</si>
  <si>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</si>
  <si>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</si>
  <si>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</si>
  <si>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</si>
  <si>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</si>
  <si>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</si>
  <si>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</si>
  <si>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</si>
  <si>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</si>
  <si>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</si>
  <si>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</si>
  <si>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</si>
  <si>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</si>
  <si>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</si>
  <si>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</si>
  <si>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</si>
  <si>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</si>
  <si>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</si>
  <si>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</si>
  <si>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</si>
  <si>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</si>
  <si>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</si>
  <si>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</si>
  <si>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</si>
  <si>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</si>
  <si>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</si>
  <si>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</si>
  <si>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</si>
  <si>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</si>
  <si>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</si>
  <si>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</si>
  <si>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</si>
  <si>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</si>
  <si>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</si>
  <si>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</si>
  <si>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</si>
  <si>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</si>
  <si>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</si>
  <si>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</si>
  <si>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</si>
  <si>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</si>
  <si>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</si>
  <si>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</si>
  <si>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</si>
  <si>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</si>
  <si>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</si>
  <si>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</si>
  <si>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</si>
  <si>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</si>
  <si>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</si>
  <si>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</si>
  <si>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</si>
  <si>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</si>
  <si>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</si>
  <si>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</si>
  <si>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</si>
  <si>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</si>
  <si>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</si>
  <si>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</si>
  <si>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</si>
  <si>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</si>
  <si>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</si>
  <si>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</si>
  <si>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</si>
  <si>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</si>
  <si>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</si>
  <si>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</si>
  <si>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</si>
  <si>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</si>
  <si>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</si>
  <si>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</si>
  <si>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</si>
  <si>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</si>
  <si>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</si>
  <si>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</si>
  <si>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</si>
  <si>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</si>
  <si>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</si>
  <si>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</si>
  <si>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</si>
  <si>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</si>
  <si>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</si>
  <si>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</si>
  <si>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</si>
  <si>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</si>
  <si>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</si>
  <si>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</si>
  <si>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</si>
  <si>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</si>
  <si>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</si>
  <si>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</si>
  <si>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</si>
  <si>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</si>
  <si>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</si>
  <si>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</si>
  <si>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</si>
  <si>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</si>
  <si>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</si>
  <si>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</si>
  <si>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</si>
  <si>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</si>
  <si>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</si>
  <si>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</si>
  <si>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</si>
  <si>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</si>
  <si>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</si>
  <si>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</si>
  <si>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</si>
  <si>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</si>
  <si>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</si>
  <si>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</si>
  <si>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</si>
  <si>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</si>
  <si>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</si>
  <si>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</si>
  <si>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</si>
  <si>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</si>
  <si>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</si>
  <si>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</si>
  <si>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</si>
  <si>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</si>
  <si>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</si>
  <si>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</si>
  <si>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</si>
  <si>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</si>
  <si>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</si>
  <si>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</si>
  <si>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</si>
  <si>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</si>
  <si>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</si>
  <si>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</si>
  <si>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</si>
  <si>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</si>
  <si>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</si>
  <si>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</si>
  <si>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</si>
  <si>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</si>
  <si>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</si>
  <si>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</si>
  <si>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</si>
  <si>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</si>
  <si>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</si>
  <si>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</si>
  <si>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</si>
  <si>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</si>
  <si>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</si>
  <si>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</si>
  <si>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</si>
  <si>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</si>
  <si>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</si>
  <si>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</si>
  <si>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</si>
  <si>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</si>
  <si>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</si>
  <si>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</si>
  <si>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</si>
  <si>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</si>
  <si>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</si>
  <si>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</si>
  <si>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</si>
  <si>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</si>
  <si>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</si>
  <si>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</si>
  <si>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</si>
  <si>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</si>
  <si>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</si>
  <si>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</si>
  <si>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</si>
  <si>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</si>
  <si>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</si>
  <si>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</si>
  <si>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</si>
  <si>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</si>
  <si>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</si>
  <si>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</si>
  <si>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</si>
  <si>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</si>
  <si>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</si>
  <si>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</si>
  <si>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</si>
  <si>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</si>
  <si>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</si>
  <si>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</si>
  <si>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</si>
  <si>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</si>
  <si>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</si>
  <si>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</si>
  <si>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</si>
  <si>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</si>
  <si>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</si>
  <si>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</si>
  <si>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</si>
  <si>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</si>
  <si>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</si>
  <si>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</si>
  <si>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</si>
  <si>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</si>
  <si>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</si>
  <si>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</si>
  <si>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</si>
  <si>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</si>
  <si>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</si>
  <si>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</si>
  <si>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</si>
  <si>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</si>
  <si>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</si>
  <si>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</si>
  <si>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</si>
  <si>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</si>
  <si>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</si>
  <si>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</si>
  <si>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</si>
  <si>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</si>
  <si>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</si>
  <si>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</si>
  <si>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</si>
  <si>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</si>
  <si>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</si>
  <si>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</si>
  <si>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</si>
  <si>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</si>
  <si>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</si>
  <si>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</si>
  <si>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</si>
  <si>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</si>
  <si>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</si>
  <si>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</si>
  <si>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</si>
  <si>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</si>
  <si>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</si>
  <si>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</si>
  <si>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</si>
  <si>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</si>
  <si>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</si>
  <si>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</si>
  <si>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</si>
  <si>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</si>
  <si>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</si>
  <si>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</si>
  <si>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</si>
  <si>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</si>
  <si>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</si>
  <si>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</si>
  <si>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</si>
  <si>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</si>
  <si>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</si>
  <si>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</si>
  <si>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</si>
  <si>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</si>
  <si>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</si>
  <si>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</si>
  <si>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</si>
  <si>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</si>
  <si>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</si>
  <si>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</si>
  <si>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</si>
  <si>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</si>
  <si>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</si>
  <si>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</si>
  <si>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</si>
  <si>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</si>
  <si>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</si>
  <si>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</si>
  <si>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</si>
  <si>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</si>
  <si>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</si>
  <si>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</si>
  <si>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</si>
  <si>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</si>
  <si>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</si>
  <si>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</si>
  <si>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</si>
  <si>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</si>
  <si>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</si>
  <si>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</si>
  <si>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</si>
  <si>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</si>
  <si>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</si>
  <si>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</si>
  <si>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</si>
  <si>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</si>
  <si>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</si>
  <si>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</si>
  <si>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</si>
  <si>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</si>
  <si>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</si>
  <si>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</si>
  <si>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</si>
  <si>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</si>
  <si>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</si>
  <si>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</si>
  <si>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</si>
  <si>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</si>
  <si>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</si>
  <si>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</si>
  <si>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</si>
  <si>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</si>
  <si>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</si>
  <si>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</si>
  <si>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</si>
  <si>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</si>
  <si>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</si>
  <si>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</si>
  <si>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</si>
  <si>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</si>
  <si>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</si>
  <si>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</si>
  <si>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</si>
  <si>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</si>
  <si>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</si>
  <si>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</si>
  <si>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</si>
  <si>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</si>
  <si>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</si>
  <si>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</si>
  <si>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</si>
  <si>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</si>
  <si>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</si>
  <si>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</si>
  <si>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</si>
  <si>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</si>
  <si>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</si>
  <si>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</si>
  <si>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</si>
  <si>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</si>
  <si>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</si>
  <si>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</si>
  <si>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</si>
  <si>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</si>
  <si>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</si>
  <si>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</si>
  <si>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</si>
  <si>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</si>
  <si>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</si>
  <si>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</si>
  <si>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</si>
  <si>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</si>
  <si>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</si>
  <si>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</si>
  <si>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</si>
  <si>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</si>
  <si>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</si>
  <si>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</si>
  <si>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</si>
  <si>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</si>
  <si>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</si>
  <si>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</si>
  <si>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</si>
  <si>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</si>
  <si>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</si>
  <si>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</si>
  <si>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</si>
  <si>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</si>
  <si>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</si>
  <si>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</si>
  <si>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</si>
  <si>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</si>
  <si>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</si>
  <si>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</si>
  <si>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</si>
  <si>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</si>
  <si>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</si>
  <si>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</si>
  <si>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</si>
  <si>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</si>
  <si>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</si>
  <si>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</si>
  <si>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</si>
  <si>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</si>
  <si>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</si>
  <si>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</si>
  <si>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</si>
  <si>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</si>
  <si>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</si>
  <si>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</si>
  <si>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</si>
  <si>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</si>
  <si>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</si>
  <si>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</si>
  <si>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</si>
  <si>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</si>
  <si>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</si>
  <si>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</si>
  <si>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</si>
  <si>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</si>
  <si>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</si>
  <si>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</si>
  <si>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</si>
  <si>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</si>
  <si>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</si>
  <si>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</si>
  <si>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</si>
  <si>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</si>
  <si>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</si>
  <si>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</si>
  <si>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</si>
  <si>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</si>
  <si>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</si>
  <si>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</si>
  <si>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</si>
  <si>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</si>
  <si>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</si>
  <si>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</si>
  <si>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</si>
  <si>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</si>
  <si>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</si>
  <si>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</si>
  <si>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</si>
  <si>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</si>
  <si>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</si>
  <si>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</si>
  <si>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</si>
  <si>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</si>
  <si>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</si>
  <si>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</si>
  <si>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</si>
  <si>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</si>
  <si>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</si>
  <si>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</si>
  <si>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</si>
  <si>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</si>
  <si>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</si>
  <si>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</si>
  <si>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</si>
  <si>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</si>
  <si>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</si>
  <si>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</si>
  <si>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</si>
  <si>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</si>
  <si>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</si>
  <si>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</si>
  <si>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</si>
  <si>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</si>
  <si>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</si>
  <si>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</si>
  <si>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</si>
  <si>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</si>
  <si>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</si>
  <si>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</si>
  <si>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</si>
  <si>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</si>
  <si>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</si>
  <si>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</si>
  <si>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</si>
  <si>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</si>
  <si>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</si>
  <si>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</si>
  <si>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</si>
  <si>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</si>
  <si>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</si>
  <si>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</si>
  <si>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</si>
  <si>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</si>
  <si>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</si>
  <si>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</si>
  <si>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</si>
  <si>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</si>
  <si>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</si>
  <si>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</si>
  <si>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</si>
  <si>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</si>
  <si>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</si>
  <si>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</si>
  <si>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</si>
  <si>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</si>
  <si>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</si>
  <si>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</si>
  <si>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</si>
  <si>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</si>
  <si>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</si>
  <si>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</si>
  <si>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</si>
  <si>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</si>
  <si>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</si>
  <si>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</si>
  <si>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</si>
  <si>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</si>
  <si>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</si>
  <si>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</si>
  <si>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</si>
  <si>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</si>
  <si>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</si>
  <si>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</si>
  <si>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</si>
  <si>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</si>
  <si>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</si>
  <si>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</si>
  <si>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</si>
  <si>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</si>
  <si>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</si>
  <si>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</si>
  <si>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</si>
  <si>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</si>
  <si>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</si>
  <si>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</si>
  <si>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</si>
  <si>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</si>
  <si>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</si>
  <si>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</si>
  <si>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</si>
  <si>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</si>
  <si>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</si>
  <si>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</si>
  <si>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</si>
  <si>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</si>
  <si>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</si>
  <si>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</si>
  <si>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</si>
  <si>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</si>
  <si>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</si>
  <si>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</si>
  <si>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</si>
  <si>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</si>
  <si>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</si>
  <si>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</si>
  <si>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</si>
  <si>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</si>
  <si>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</si>
  <si>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</si>
  <si>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</si>
  <si>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</si>
  <si>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</si>
  <si>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</si>
  <si>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</si>
  <si>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</si>
  <si>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</si>
  <si>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</si>
  <si>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</si>
  <si>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</si>
  <si>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</si>
  <si>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</si>
  <si>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</si>
  <si>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</si>
  <si>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</si>
  <si>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</si>
  <si>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</si>
  <si>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</si>
  <si>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</si>
  <si>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</si>
  <si>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</si>
  <si>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</si>
  <si>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</si>
  <si>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</si>
  <si>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</si>
  <si>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</si>
  <si>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</si>
  <si>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</si>
  <si>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</si>
  <si>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</si>
  <si>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</si>
  <si>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</si>
  <si>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</si>
  <si>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</si>
  <si>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</si>
  <si>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</si>
  <si>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</si>
  <si>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</si>
  <si>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</si>
  <si>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</si>
  <si>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</si>
  <si>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</si>
  <si>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</si>
  <si>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</si>
  <si>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</si>
  <si>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</si>
  <si>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</si>
  <si>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</si>
  <si>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</si>
  <si>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</si>
  <si>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</si>
  <si>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</si>
  <si>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</si>
  <si>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</si>
  <si>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</si>
  <si>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</si>
  <si>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</si>
  <si>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</si>
  <si>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</si>
  <si>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</si>
  <si>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</si>
  <si>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</si>
  <si>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</si>
  <si>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</si>
  <si>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</si>
  <si>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</si>
  <si>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</si>
  <si>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</si>
  <si>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</si>
  <si>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</si>
  <si>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</si>
  <si>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</si>
  <si>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</si>
  <si>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</si>
  <si>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</si>
  <si>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</si>
  <si>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</si>
  <si>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</si>
  <si>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</si>
  <si>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</si>
  <si>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</si>
  <si>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</si>
  <si>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</si>
  <si>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</si>
  <si>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</si>
  <si>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</si>
  <si>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</si>
  <si>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</si>
  <si>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</si>
  <si>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</si>
  <si>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</si>
  <si>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</si>
  <si>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</si>
  <si>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</si>
  <si>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</si>
  <si>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</si>
  <si>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</si>
  <si>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</si>
  <si>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</si>
  <si>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</si>
  <si>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</si>
  <si>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</si>
  <si>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</si>
  <si>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</si>
  <si>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</si>
  <si>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</si>
  <si>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</si>
  <si>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</si>
  <si>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</si>
  <si>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</si>
  <si>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</si>
  <si>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</si>
  <si>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</si>
  <si>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</si>
  <si>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</si>
  <si>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</si>
  <si>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</si>
  <si>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</si>
  <si>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</si>
  <si>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</si>
  <si>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</si>
  <si>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</si>
  <si>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</si>
  <si>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</si>
  <si>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</si>
  <si>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</si>
  <si>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</si>
  <si>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</si>
  <si>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</si>
  <si>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</si>
  <si>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</si>
  <si>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</si>
  <si>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</si>
  <si>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</si>
  <si>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</si>
  <si>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</si>
  <si>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</si>
  <si>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</si>
  <si>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</si>
  <si>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</si>
  <si>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</si>
  <si>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</si>
  <si>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</si>
  <si>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</si>
  <si>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</si>
  <si>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</si>
  <si>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</si>
  <si>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</si>
  <si>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</si>
  <si>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</si>
  <si>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</si>
  <si>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</si>
  <si>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</si>
  <si>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</si>
  <si>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</si>
  <si>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</si>
  <si>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</si>
  <si>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</si>
  <si>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</si>
  <si>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</si>
  <si>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</si>
  <si>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</si>
  <si>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</si>
  <si>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</si>
  <si>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</si>
  <si>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</si>
  <si>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</si>
  <si>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</si>
  <si>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</si>
  <si>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</si>
  <si>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</si>
  <si>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</si>
  <si>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</si>
  <si>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</si>
  <si>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</si>
  <si>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</si>
  <si>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</si>
  <si>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</si>
  <si>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</si>
  <si>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</si>
  <si>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</si>
  <si>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</si>
  <si>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</si>
  <si>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</si>
  <si>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</si>
  <si>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</si>
  <si>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</si>
  <si>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</si>
  <si>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</si>
  <si>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</si>
  <si>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</si>
  <si>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</si>
  <si>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</si>
  <si>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</si>
  <si>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</si>
  <si>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</si>
  <si>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</si>
  <si>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</si>
  <si>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</si>
  <si>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</si>
  <si>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</si>
  <si>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</si>
  <si>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</si>
  <si>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</si>
  <si>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</si>
  <si>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</si>
  <si>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</si>
  <si>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</si>
  <si>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</si>
  <si>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</si>
  <si>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</si>
  <si>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</si>
  <si>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</si>
  <si>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</si>
  <si>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</si>
  <si>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</si>
  <si>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</si>
  <si>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</si>
  <si>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</si>
  <si>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</si>
  <si>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</si>
  <si>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</si>
  <si>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</si>
  <si>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</si>
  <si>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</si>
  <si>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</si>
  <si>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</si>
  <si>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</si>
  <si>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</si>
  <si>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</si>
  <si>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</si>
  <si>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</si>
  <si>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</si>
  <si>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</si>
  <si>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</si>
  <si>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</si>
  <si>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</si>
  <si>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</si>
  <si>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</si>
  <si>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</si>
  <si>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</si>
  <si>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</si>
  <si>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</si>
  <si>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</si>
  <si>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</si>
  <si>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</si>
  <si>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</si>
  <si>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</si>
  <si>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</si>
  <si>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</si>
  <si>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</si>
  <si>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</si>
  <si>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</si>
  <si>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</si>
  <si>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</si>
  <si>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</si>
  <si>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</si>
  <si>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</si>
  <si>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</si>
  <si>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</si>
  <si>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</si>
  <si>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</si>
  <si>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</si>
  <si>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</si>
  <si>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</si>
  <si>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</si>
  <si>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</si>
  <si>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</si>
  <si>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</si>
  <si>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</si>
  <si>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</si>
  <si>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</si>
  <si>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</si>
  <si>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</si>
  <si>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</si>
  <si>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</si>
  <si>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</si>
  <si>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</si>
  <si>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</si>
  <si>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</si>
  <si>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</si>
  <si>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</si>
  <si>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</si>
  <si>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</si>
  <si>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</si>
  <si>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</si>
  <si>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</si>
  <si>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</si>
  <si>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</si>
  <si>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</si>
  <si>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</si>
  <si>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</si>
  <si>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</si>
  <si>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</si>
  <si>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</si>
  <si>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</si>
  <si>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</si>
  <si>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</si>
  <si>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</si>
  <si>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</si>
  <si>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</si>
  <si>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</si>
  <si>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</si>
  <si>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</si>
  <si>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</si>
  <si>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</si>
  <si>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</si>
  <si>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</si>
  <si>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</si>
  <si>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</si>
  <si>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</si>
  <si>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</si>
  <si>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</si>
  <si>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</si>
  <si>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</si>
  <si>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</si>
  <si>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</si>
  <si>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</si>
  <si>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</si>
  <si>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</si>
  <si>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</si>
  <si>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</si>
  <si>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</si>
  <si>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</si>
  <si>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</si>
  <si>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</si>
  <si>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</si>
  <si>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</si>
  <si>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</si>
  <si>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</si>
  <si>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</si>
  <si>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</si>
  <si>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</si>
  <si>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</si>
  <si>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</si>
  <si>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</si>
  <si>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</si>
  <si>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</si>
  <si>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</si>
  <si>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</si>
  <si>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</si>
  <si>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</si>
  <si>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</si>
  <si>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</si>
  <si>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</si>
  <si>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</si>
  <si>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</si>
  <si>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</si>
  <si>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</si>
  <si>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</si>
  <si>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</si>
  <si>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</si>
  <si>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</si>
  <si>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</si>
  <si>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</si>
  <si>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</si>
  <si>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</si>
  <si>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</si>
  <si>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</si>
  <si>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</si>
  <si>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</si>
  <si>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</si>
  <si>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</si>
  <si>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</si>
  <si>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</si>
  <si>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</si>
  <si>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</si>
  <si>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</si>
  <si>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</si>
  <si>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</si>
  <si>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</si>
  <si>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</si>
  <si>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</si>
  <si>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</si>
  <si>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</si>
  <si>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</si>
  <si>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</si>
  <si>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</si>
  <si>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</si>
  <si>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</si>
  <si>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</si>
  <si>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</si>
  <si>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</si>
  <si>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</si>
  <si>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</si>
  <si>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</si>
  <si>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</si>
  <si>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</si>
  <si>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</si>
  <si>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</si>
  <si>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</si>
  <si>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</si>
  <si>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</si>
  <si>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</si>
  <si>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</si>
  <si>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</si>
  <si>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</si>
  <si>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</si>
  <si>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</si>
  <si>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</si>
  <si>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</si>
  <si>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</si>
  <si>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</si>
  <si>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</si>
  <si>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</si>
  <si>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</si>
  <si>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</si>
  <si>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</si>
  <si>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</si>
  <si>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</si>
  <si>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</si>
  <si>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</si>
  <si>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</si>
  <si>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</si>
  <si>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</si>
  <si>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</si>
  <si>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</si>
  <si>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</si>
  <si>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</si>
  <si>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</si>
  <si>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</si>
  <si>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</si>
  <si>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</si>
  <si>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</si>
  <si>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</si>
  <si>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</si>
  <si>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</si>
  <si>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</si>
  <si>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</si>
  <si>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</si>
  <si>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</si>
  <si>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</si>
  <si>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</si>
  <si>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</si>
  <si>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</si>
  <si>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</si>
  <si>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</si>
  <si>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</si>
  <si>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</si>
  <si>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</si>
  <si>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</si>
  <si>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</si>
  <si>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</si>
  <si>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</si>
  <si>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</si>
  <si>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</si>
  <si>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</si>
  <si>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</si>
  <si>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</si>
  <si>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</si>
  <si>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</si>
  <si>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</si>
  <si>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</si>
  <si>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</si>
  <si>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</si>
  <si>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</si>
  <si>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</si>
  <si>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</si>
  <si>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</si>
  <si>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</si>
  <si>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</si>
  <si>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</si>
  <si>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</si>
  <si>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</si>
  <si>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</si>
  <si>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</si>
  <si>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</si>
  <si>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</si>
  <si>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</si>
  <si>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</si>
  <si>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</si>
  <si>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</si>
  <si>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</si>
  <si>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</si>
  <si>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</si>
  <si>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</si>
  <si>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</si>
  <si>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</si>
  <si>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</si>
  <si>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</si>
  <si>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</si>
  <si>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</si>
  <si>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</si>
  <si>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</si>
  <si>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</si>
  <si>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</si>
  <si>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</si>
  <si>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</si>
  <si>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</si>
  <si>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</si>
  <si>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</si>
  <si>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</si>
  <si>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</si>
  <si>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</si>
  <si>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</si>
  <si>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</si>
  <si>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</si>
  <si>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</si>
  <si>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</si>
  <si>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</si>
  <si>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</si>
  <si>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</si>
  <si>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</si>
  <si>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</si>
  <si>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</si>
  <si>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</si>
  <si>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</si>
  <si>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</si>
  <si>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</si>
  <si>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</si>
  <si>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</si>
  <si>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</si>
  <si>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</si>
  <si>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</si>
  <si>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</si>
  <si>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</si>
  <si>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</si>
  <si>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</si>
  <si>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</si>
  <si>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</si>
  <si>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</si>
  <si>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</si>
  <si>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</si>
  <si>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</si>
  <si>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</si>
  <si>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</si>
  <si>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</si>
  <si>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</si>
  <si>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</si>
  <si>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</si>
  <si>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</si>
  <si>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</si>
  <si>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</si>
  <si>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</si>
  <si>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</si>
  <si>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</si>
  <si>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</si>
  <si>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</si>
  <si>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</si>
  <si>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</si>
  <si>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</si>
  <si>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</si>
  <si>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</si>
  <si>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</si>
  <si>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</si>
  <si>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</si>
  <si>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</si>
  <si>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</si>
  <si>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</si>
  <si>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</si>
  <si>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</si>
  <si>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</si>
  <si>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</si>
  <si>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</si>
  <si>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</si>
  <si>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</si>
  <si>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</si>
  <si>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</si>
  <si>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</si>
  <si>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</si>
  <si>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</si>
  <si>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</si>
  <si>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</si>
  <si>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</si>
  <si>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</si>
  <si>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</si>
  <si>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</si>
  <si>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</si>
  <si>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</si>
  <si>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</si>
  <si>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</si>
  <si>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</si>
  <si>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</si>
  <si>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</si>
  <si>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</si>
  <si>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</si>
  <si>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</si>
  <si>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</si>
  <si>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</si>
  <si>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</si>
  <si>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</si>
  <si>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</si>
  <si>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</si>
  <si>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</si>
  <si>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</si>
  <si>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</si>
  <si>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</si>
  <si>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</si>
  <si>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</si>
  <si>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</si>
  <si>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</si>
  <si>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</si>
  <si>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</si>
  <si>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</si>
  <si>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</si>
  <si>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</si>
  <si>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</si>
  <si>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</si>
  <si>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</si>
  <si>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</si>
  <si>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</si>
  <si>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</si>
  <si>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</si>
  <si>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</si>
  <si>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</si>
  <si>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</si>
  <si>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</si>
  <si>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</si>
  <si>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</si>
  <si>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</si>
  <si>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</si>
  <si>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</si>
  <si>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</si>
  <si>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</si>
  <si>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</si>
  <si>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</si>
  <si>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</si>
  <si>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</si>
  <si>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</si>
  <si>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</si>
  <si>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</si>
  <si>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</si>
  <si>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</si>
  <si>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</si>
  <si>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</si>
  <si>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</si>
  <si>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</si>
  <si>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</si>
  <si>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</si>
  <si>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</si>
  <si>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</si>
  <si>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</si>
  <si>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</si>
  <si>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</si>
  <si>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</si>
  <si>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</si>
  <si>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</si>
  <si>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</si>
  <si>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</si>
  <si>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</si>
  <si>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</si>
  <si>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</si>
  <si>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</si>
  <si>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</si>
  <si>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</si>
  <si>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</si>
  <si>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</si>
  <si>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</si>
  <si>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</si>
  <si>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</si>
  <si>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</si>
  <si>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</si>
  <si>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</si>
  <si>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</si>
  <si>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</si>
  <si>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</si>
  <si>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</si>
  <si>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</si>
  <si>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</si>
  <si>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</si>
  <si>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</si>
  <si>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</si>
  <si>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</si>
  <si>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</si>
  <si>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</si>
  <si>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</si>
  <si>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</si>
  <si>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</si>
  <si>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</si>
  <si>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</si>
  <si>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</si>
  <si>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</si>
  <si>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</si>
  <si>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</si>
  <si>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</si>
  <si>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</si>
  <si>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</si>
  <si>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</si>
  <si>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</si>
  <si>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</si>
  <si>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</si>
  <si>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</si>
  <si>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</si>
  <si>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</si>
  <si>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</si>
  <si>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</si>
  <si>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</si>
  <si>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</si>
  <si>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</si>
  <si>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</si>
  <si>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</si>
  <si>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</si>
  <si>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</si>
  <si>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</si>
  <si>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</si>
  <si>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</si>
  <si>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</si>
  <si>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</si>
  <si>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</si>
  <si>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</si>
  <si>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</si>
  <si>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</si>
  <si>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</si>
  <si>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</si>
  <si>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</si>
  <si>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</si>
  <si>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</si>
  <si>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</si>
  <si>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</si>
  <si>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</si>
  <si>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</si>
  <si>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</si>
  <si>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</si>
  <si>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</si>
  <si>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</si>
  <si>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</si>
  <si>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</si>
  <si>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</si>
  <si>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</si>
  <si>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</si>
  <si>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</si>
  <si>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</si>
  <si>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</si>
  <si>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</si>
  <si>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</si>
  <si>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</si>
  <si>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</si>
  <si>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</si>
  <si>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</si>
  <si>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</si>
  <si>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</si>
  <si>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</si>
  <si>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</si>
  <si>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</si>
  <si>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</si>
  <si>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</si>
  <si>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</si>
  <si>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</si>
  <si>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</si>
  <si>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</si>
  <si>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</si>
  <si>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</si>
  <si>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</si>
  <si>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</si>
  <si>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</si>
  <si>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</si>
  <si>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</si>
  <si>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</si>
  <si>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</si>
  <si>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</si>
  <si>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</si>
  <si>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</si>
  <si>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</si>
  <si>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</si>
  <si>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</si>
  <si>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</si>
  <si>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</si>
  <si>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</si>
  <si>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</si>
  <si>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</si>
  <si>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</si>
  <si>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</si>
  <si>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</si>
  <si>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</si>
  <si>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</si>
  <si>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</si>
  <si>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</si>
  <si>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</si>
  <si>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</si>
  <si>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</si>
  <si>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</si>
  <si>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</si>
  <si>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</si>
  <si>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</si>
  <si>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</si>
  <si>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</si>
  <si>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</si>
  <si>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</si>
  <si>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</si>
  <si>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</si>
  <si>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</si>
  <si>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</si>
  <si>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</si>
  <si>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</si>
  <si>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</si>
  <si>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</si>
  <si>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</si>
  <si>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</si>
  <si>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</si>
  <si>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</si>
  <si>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</si>
  <si>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</si>
  <si>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</si>
  <si>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</si>
  <si>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</si>
  <si>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</si>
  <si>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</si>
  <si>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</si>
  <si>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</si>
  <si>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</si>
  <si>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</si>
  <si>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</si>
  <si>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</si>
  <si>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</si>
  <si>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</si>
  <si>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</si>
  <si>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</si>
  <si>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</si>
  <si>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</si>
  <si>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</si>
  <si>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</si>
  <si>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</si>
  <si>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</si>
  <si>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</si>
  <si>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</si>
  <si>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</si>
  <si>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</si>
  <si>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</si>
  <si>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</si>
  <si>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</si>
  <si>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</si>
  <si>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</si>
  <si>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</si>
  <si>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</si>
  <si>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</si>
  <si>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</si>
  <si>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</si>
  <si>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</si>
  <si>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</si>
  <si>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</si>
  <si>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</si>
  <si>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</si>
  <si>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</si>
  <si>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</si>
  <si>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</si>
  <si>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</si>
  <si>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</si>
  <si>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</si>
  <si>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</si>
  <si>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</si>
  <si>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</si>
  <si>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</si>
  <si>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</si>
  <si>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</si>
  <si>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</si>
  <si>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</si>
  <si>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</si>
  <si>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</si>
  <si>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</si>
  <si>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</si>
  <si>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</si>
  <si>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</si>
  <si>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</si>
  <si>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</si>
  <si>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</si>
  <si>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</si>
  <si>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</si>
  <si>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</si>
  <si>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</si>
  <si>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</si>
  <si>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</si>
  <si>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</si>
  <si>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</si>
  <si>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</si>
  <si>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</si>
  <si>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</si>
  <si>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</si>
  <si>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</si>
  <si>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</si>
  <si>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</si>
  <si>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</si>
  <si>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</si>
  <si>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</si>
  <si>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</si>
  <si>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</si>
  <si>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</si>
  <si>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</si>
  <si>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</si>
  <si>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</si>
  <si>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</si>
  <si>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</si>
  <si>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</si>
  <si>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</si>
  <si>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</si>
  <si>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</si>
  <si>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</si>
  <si>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</si>
  <si>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</si>
  <si>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</si>
  <si>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</si>
  <si>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</si>
  <si>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</si>
  <si>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</si>
  <si>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</si>
  <si>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</si>
  <si>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</si>
  <si>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</si>
  <si>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</si>
  <si>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</si>
  <si>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</si>
  <si>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</si>
  <si>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</si>
  <si>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</si>
  <si>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</si>
  <si>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</si>
  <si>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</si>
  <si>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</si>
  <si>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</si>
  <si>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</si>
  <si>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</si>
  <si>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</si>
  <si>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</si>
  <si>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</si>
  <si>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</si>
  <si>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</si>
  <si>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</si>
  <si>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</si>
  <si>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</si>
  <si>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</si>
  <si>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</si>
  <si>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</si>
  <si>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</si>
  <si>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</si>
  <si>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</si>
  <si>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</si>
  <si>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</si>
  <si>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</si>
  <si>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</si>
  <si>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</si>
  <si>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</si>
  <si>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</si>
  <si>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</si>
  <si>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</si>
  <si>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</si>
  <si>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</si>
  <si>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</si>
  <si>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</si>
  <si>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</si>
  <si>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</si>
  <si>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</si>
  <si>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</si>
  <si>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</si>
  <si>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</si>
  <si>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</si>
  <si>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</si>
  <si>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</si>
  <si>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</si>
  <si>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</si>
  <si>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</si>
  <si>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</si>
  <si>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</si>
  <si>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</si>
  <si>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</si>
  <si>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</si>
  <si>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</si>
  <si>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</si>
  <si>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</si>
  <si>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</si>
  <si>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</si>
  <si>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</si>
  <si>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</si>
  <si>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</si>
  <si>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</si>
  <si>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</si>
  <si>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</si>
  <si>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</si>
  <si>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</si>
  <si>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</si>
  <si>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</si>
  <si>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</si>
  <si>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</si>
  <si>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</si>
  <si>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</si>
  <si>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</si>
  <si>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</si>
  <si>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</si>
  <si>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</si>
  <si>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</si>
  <si>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</si>
  <si>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</si>
  <si>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</si>
  <si>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</si>
  <si>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</si>
  <si>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</si>
  <si>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</si>
  <si>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</si>
  <si>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</si>
  <si>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</si>
  <si>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</si>
  <si>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</si>
  <si>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</si>
  <si>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</si>
  <si>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</si>
  <si>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</si>
  <si>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</si>
  <si>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</si>
  <si>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</si>
  <si>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</si>
  <si>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</si>
  <si>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</si>
  <si>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</si>
  <si>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</si>
  <si>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</si>
  <si>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</si>
  <si>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</si>
  <si>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</si>
  <si>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</si>
  <si>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</si>
  <si>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</si>
  <si>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</si>
  <si>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</si>
  <si>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</si>
  <si>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</si>
  <si>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</si>
  <si>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</si>
  <si>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</si>
  <si>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</si>
  <si>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</si>
  <si>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</si>
  <si>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</si>
  <si>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</si>
  <si>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</si>
  <si>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</si>
  <si>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</si>
  <si>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</si>
  <si>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</si>
  <si>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</si>
  <si>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</si>
  <si>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</si>
  <si>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</si>
  <si>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</si>
  <si>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</si>
  <si>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</si>
  <si>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</si>
  <si>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</si>
  <si>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</si>
  <si>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</si>
  <si>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</si>
  <si>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</si>
  <si>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</si>
  <si>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</si>
  <si>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</si>
  <si>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</si>
  <si>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</si>
  <si>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</si>
  <si>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</si>
  <si>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</si>
  <si>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</si>
  <si>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</si>
  <si>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</si>
  <si>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</si>
  <si>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</si>
  <si>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</si>
  <si>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</si>
  <si>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</si>
  <si>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</si>
  <si>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</si>
  <si>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</si>
  <si>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</si>
  <si>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</si>
  <si>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</si>
  <si>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</si>
  <si>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</si>
  <si>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</si>
  <si>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</si>
  <si>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</si>
  <si>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</si>
  <si>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</si>
  <si>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</si>
  <si>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</si>
  <si>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</si>
  <si>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</si>
  <si>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</si>
  <si>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</si>
  <si>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</si>
  <si>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</si>
  <si>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</si>
  <si>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</si>
  <si>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</si>
  <si>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</si>
  <si>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</si>
  <si>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</si>
  <si>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</si>
  <si>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</si>
  <si>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</si>
  <si>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</si>
  <si>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</si>
  <si>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</si>
  <si>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</si>
  <si>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</si>
  <si>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</si>
  <si>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</si>
  <si>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</si>
  <si>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</si>
  <si>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</si>
  <si>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</si>
  <si>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</si>
  <si>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</si>
  <si>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</si>
  <si>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</si>
  <si>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</si>
  <si>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</si>
  <si>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</si>
  <si>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</si>
  <si>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</si>
  <si>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</si>
  <si>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</si>
  <si>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</si>
  <si>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</si>
  <si>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</si>
  <si>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</si>
  <si>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</si>
  <si>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</si>
  <si>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</si>
  <si>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</si>
  <si>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</si>
  <si>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</si>
  <si>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</si>
  <si>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</si>
  <si>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</si>
  <si>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</si>
  <si>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</si>
  <si>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</si>
  <si>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</si>
  <si>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</si>
  <si>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</si>
  <si>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</si>
  <si>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</si>
  <si>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</si>
  <si>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</si>
  <si>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</si>
  <si>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</si>
  <si>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</si>
  <si>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</si>
  <si>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</si>
  <si>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</si>
  <si>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</si>
  <si>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</si>
  <si>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</si>
  <si>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</si>
  <si>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</si>
  <si>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</si>
  <si>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</si>
  <si>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</si>
  <si>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</si>
  <si>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</si>
  <si>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</si>
  <si>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</si>
  <si>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</si>
  <si>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</si>
  <si>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</si>
  <si>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</si>
  <si>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</si>
  <si>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</si>
  <si>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</si>
  <si>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</si>
  <si>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</si>
  <si>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</si>
  <si>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</si>
  <si>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</si>
  <si>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</si>
  <si>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</si>
  <si>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</si>
  <si>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</si>
  <si>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</si>
  <si>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</si>
  <si>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</si>
  <si>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</si>
  <si>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</si>
  <si>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</si>
  <si>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</si>
  <si>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</si>
  <si>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</si>
  <si>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</si>
  <si>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</si>
  <si>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</si>
  <si>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</si>
  <si>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</si>
  <si>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</si>
  <si>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</si>
  <si>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</si>
  <si>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</si>
  <si>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</si>
  <si>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</si>
  <si>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</si>
  <si>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</si>
  <si>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</si>
  <si>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</si>
  <si>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</si>
  <si>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</si>
  <si>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</si>
  <si>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</si>
  <si>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</si>
  <si>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</si>
  <si>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</si>
  <si>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</si>
  <si>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</si>
  <si>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</si>
  <si>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</si>
  <si>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</si>
  <si>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</si>
  <si>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</si>
  <si>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</si>
  <si>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</si>
  <si>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</si>
  <si>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</si>
  <si>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</si>
  <si>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</si>
  <si>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</si>
  <si>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</si>
  <si>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</si>
  <si>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</si>
  <si>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</si>
  <si>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</si>
  <si>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</si>
  <si>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</si>
  <si>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</si>
  <si>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</si>
  <si>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</si>
  <si>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</si>
  <si>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</si>
  <si>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</si>
  <si>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</si>
  <si>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</si>
  <si>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</si>
  <si>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</si>
  <si>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</si>
  <si>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</si>
  <si>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</si>
  <si>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</si>
  <si>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</si>
  <si>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</si>
  <si>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</si>
  <si>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</si>
  <si>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</si>
  <si>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</si>
  <si>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</si>
  <si>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</si>
  <si>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</si>
  <si>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</si>
  <si>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</si>
  <si>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</si>
  <si>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</si>
  <si>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</si>
  <si>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</si>
  <si>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</si>
  <si>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</si>
  <si>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</si>
  <si>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</si>
  <si>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</si>
  <si>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</si>
  <si>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</si>
  <si>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</si>
  <si>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</si>
  <si>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</si>
  <si>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</si>
  <si>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</si>
  <si>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</si>
  <si>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</si>
  <si>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</si>
  <si>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</si>
  <si>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</si>
  <si>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</si>
  <si>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</si>
  <si>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</si>
  <si>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</si>
  <si>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</si>
  <si>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</si>
  <si>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</si>
  <si>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</si>
  <si>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</si>
  <si>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</si>
  <si>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</si>
  <si>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</si>
  <si>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</si>
  <si>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</si>
  <si>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</si>
  <si>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</si>
  <si>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</si>
  <si>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</si>
  <si>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</si>
  <si>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</si>
  <si>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</si>
  <si>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</si>
  <si>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</si>
  <si>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</si>
  <si>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</si>
  <si>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</si>
  <si>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</si>
  <si>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</si>
  <si>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</si>
  <si>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</si>
  <si>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</si>
  <si>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</si>
  <si>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</si>
  <si>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</si>
  <si>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</si>
  <si>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</si>
  <si>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</si>
  <si>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</si>
  <si>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</si>
  <si>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</si>
  <si>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</si>
  <si>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</si>
  <si>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</si>
  <si>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</si>
  <si>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</si>
  <si>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</si>
  <si>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</si>
  <si>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</si>
  <si>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</si>
  <si>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</si>
  <si>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</si>
  <si>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</si>
  <si>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</si>
  <si>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</si>
  <si>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</si>
  <si>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</si>
  <si>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</si>
  <si>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</si>
  <si>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</si>
  <si>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</si>
  <si>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</si>
  <si>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</si>
  <si>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</si>
  <si>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</si>
  <si>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</si>
  <si>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</si>
  <si>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</si>
  <si>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</si>
  <si>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</si>
  <si>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</si>
  <si>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</si>
  <si>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</si>
  <si>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</si>
  <si>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</si>
  <si>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</si>
  <si>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</si>
  <si>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</si>
  <si>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</si>
  <si>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</si>
  <si>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</si>
  <si>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</si>
  <si>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</si>
  <si>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</si>
  <si>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</si>
  <si>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</si>
  <si>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</si>
  <si>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</si>
  <si>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</si>
  <si>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</si>
  <si>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</si>
  <si>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</si>
  <si>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</si>
  <si>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</si>
  <si>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</si>
  <si>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</si>
  <si>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</si>
  <si>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</si>
  <si>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</si>
  <si>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</si>
  <si>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</si>
  <si>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</si>
  <si>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</si>
  <si>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</si>
  <si>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</si>
  <si>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</si>
  <si>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</si>
  <si>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</si>
  <si>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</si>
  <si>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</si>
  <si>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</si>
  <si>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</si>
  <si>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</si>
  <si>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</si>
  <si>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</si>
  <si>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</si>
  <si>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</si>
  <si>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</si>
  <si>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</si>
  <si>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</si>
  <si>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</si>
  <si>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</si>
  <si>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</si>
  <si>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</si>
  <si>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</si>
  <si>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</si>
  <si>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</si>
  <si>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</si>
  <si>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</si>
  <si>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</si>
  <si>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</si>
  <si>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</si>
  <si>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</si>
  <si>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</si>
  <si>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</si>
  <si>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</si>
  <si>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</si>
  <si>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</si>
  <si>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</si>
  <si>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</si>
  <si>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</si>
  <si>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</si>
  <si>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</si>
  <si>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</si>
  <si>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</si>
  <si>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</si>
  <si>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</si>
  <si>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</si>
  <si>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</si>
  <si>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</si>
  <si>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</si>
  <si>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</si>
  <si>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</si>
  <si>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</si>
  <si>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</si>
  <si>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</si>
  <si>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</si>
  <si>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</si>
  <si>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</si>
  <si>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</si>
  <si>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</si>
  <si>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</si>
  <si>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</si>
  <si>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</si>
  <si>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</si>
  <si>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</si>
  <si>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</si>
  <si>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</si>
  <si>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</si>
  <si>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</si>
  <si>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</si>
  <si>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</si>
  <si>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</si>
  <si>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</si>
  <si>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</si>
  <si>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</si>
  <si>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</si>
  <si>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</si>
  <si>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</si>
  <si>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</si>
  <si>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</si>
  <si>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</si>
  <si>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</si>
  <si>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</si>
  <si>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</si>
  <si>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</si>
  <si>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</si>
  <si>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</si>
  <si>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</si>
  <si>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</si>
  <si>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</si>
  <si>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</si>
  <si>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</si>
  <si>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</si>
  <si>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</si>
  <si>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</si>
  <si>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</si>
  <si>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</si>
  <si>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</si>
  <si>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</si>
  <si>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</si>
  <si>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</si>
  <si>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</si>
  <si>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</si>
  <si>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</si>
  <si>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</si>
  <si>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</si>
  <si>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</si>
  <si>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</si>
  <si>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</si>
  <si>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</si>
  <si>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</si>
  <si>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</si>
  <si>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</si>
  <si>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</si>
  <si>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</si>
  <si>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</si>
  <si>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</si>
  <si>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</si>
  <si>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</si>
  <si>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</si>
  <si>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</si>
  <si>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</si>
  <si>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</si>
  <si>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</si>
  <si>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</si>
  <si>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</si>
  <si>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</si>
  <si>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</si>
  <si>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</si>
  <si>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</si>
  <si>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</si>
  <si>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</si>
  <si>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</si>
  <si>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</si>
  <si>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</si>
  <si>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</si>
  <si>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</si>
  <si>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</si>
  <si>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</si>
  <si>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</si>
  <si>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</si>
  <si>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</si>
  <si>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</si>
  <si>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</si>
  <si>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</si>
  <si>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</si>
  <si>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</si>
  <si>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</si>
  <si>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</si>
  <si>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</si>
  <si>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</si>
  <si>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</si>
  <si>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</si>
  <si>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</si>
  <si>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</si>
  <si>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</si>
  <si>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</si>
  <si>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</si>
  <si>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</si>
  <si>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</si>
  <si>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</si>
  <si>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</si>
  <si>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</si>
  <si>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</si>
  <si>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</si>
  <si>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</si>
  <si>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</si>
  <si>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</si>
  <si>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</si>
  <si>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</si>
  <si>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</si>
  <si>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</si>
  <si>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</si>
  <si>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</si>
  <si>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</si>
  <si>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</si>
  <si>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</si>
  <si>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</si>
  <si>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</si>
  <si>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</si>
  <si>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</si>
  <si>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</si>
  <si>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</si>
  <si>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</si>
  <si>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</si>
  <si>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</si>
  <si>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</si>
  <si>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</si>
  <si>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</si>
  <si>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</si>
  <si>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</si>
  <si>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</si>
  <si>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</si>
  <si>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</si>
  <si>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</si>
  <si>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</si>
  <si>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</si>
  <si>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</si>
  <si>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</si>
  <si>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</si>
  <si>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</si>
  <si>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</si>
  <si>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</si>
  <si>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</si>
  <si>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</si>
  <si>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</si>
  <si>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</si>
  <si>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</si>
  <si>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</si>
  <si>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</si>
  <si>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</si>
  <si>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</si>
  <si>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</si>
  <si>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</si>
  <si>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</si>
  <si>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</si>
  <si>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</si>
  <si>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</si>
  <si>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</si>
  <si>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</si>
  <si>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</si>
  <si>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</si>
  <si>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</si>
  <si>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</si>
  <si>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</si>
  <si>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</si>
  <si>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</si>
  <si>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</si>
  <si>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</si>
  <si>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</si>
  <si>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</si>
  <si>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</si>
  <si>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</si>
  <si>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</si>
  <si>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</si>
  <si>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</si>
  <si>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</si>
  <si>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</si>
  <si>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</si>
  <si>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</si>
  <si>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</si>
  <si>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</si>
  <si>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</si>
  <si>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</si>
  <si>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</si>
  <si>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</si>
  <si>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</si>
  <si>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</si>
  <si>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</si>
  <si>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</si>
  <si>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</si>
  <si>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</si>
  <si>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</si>
  <si>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</si>
  <si>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</si>
  <si>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</si>
  <si>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</si>
  <si>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</si>
  <si>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</si>
  <si>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</si>
  <si>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</si>
  <si>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</si>
  <si>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</si>
  <si>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</si>
  <si>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</si>
  <si>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</si>
  <si>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</si>
  <si>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</si>
  <si>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</si>
  <si>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</si>
  <si>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</si>
  <si>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</si>
  <si>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</si>
  <si>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</si>
  <si>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</si>
  <si>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</si>
  <si>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</si>
  <si>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</si>
  <si>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</si>
  <si>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</si>
  <si>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</si>
  <si>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</si>
  <si>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</si>
  <si>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</si>
  <si>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</si>
  <si>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</si>
  <si>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</si>
  <si>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</si>
  <si>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</si>
  <si>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</si>
  <si>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</si>
  <si>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</si>
  <si>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</si>
  <si>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</si>
  <si>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</si>
  <si>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</si>
  <si>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</si>
  <si>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</si>
  <si>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</si>
  <si>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</si>
  <si>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</si>
  <si>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</si>
  <si>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</si>
  <si>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</si>
  <si>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</si>
  <si>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</si>
  <si>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</si>
  <si>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</si>
  <si>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</si>
  <si>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</si>
  <si>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</si>
  <si>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</si>
  <si>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</si>
  <si>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</si>
  <si>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</si>
  <si>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</si>
  <si>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</si>
  <si>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</si>
  <si>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</si>
  <si>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</si>
  <si>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</si>
  <si>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</si>
  <si>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</si>
  <si>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</si>
  <si>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</si>
  <si>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</si>
  <si>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</si>
  <si>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</si>
  <si>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</si>
  <si>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</si>
  <si>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</si>
  <si>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</si>
  <si>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</si>
  <si>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</si>
  <si>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</si>
  <si>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</si>
  <si>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</si>
  <si>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</si>
  <si>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</si>
  <si>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</si>
  <si>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</si>
  <si>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</si>
  <si>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</si>
  <si>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</si>
  <si>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</si>
  <si>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</si>
  <si>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</si>
  <si>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</si>
  <si>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</si>
  <si>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</si>
  <si>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</si>
  <si>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</si>
  <si>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</si>
  <si>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</si>
  <si>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</si>
  <si>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</si>
  <si>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</si>
  <si>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</si>
  <si>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</si>
  <si>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</si>
  <si>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</si>
  <si>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</si>
  <si>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</si>
  <si>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</si>
  <si>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</si>
  <si>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</si>
  <si>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</si>
  <si>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</si>
  <si>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</si>
  <si>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</si>
  <si>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</si>
  <si>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</si>
  <si>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</si>
  <si>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</si>
  <si>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</si>
  <si>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</si>
  <si>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</si>
  <si>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</si>
  <si>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</si>
  <si>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</si>
  <si>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</si>
  <si>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</si>
  <si>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</si>
  <si>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</si>
  <si>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</si>
  <si>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</si>
  <si>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</si>
  <si>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</si>
  <si>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</si>
  <si>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</si>
  <si>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</si>
  <si>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</si>
  <si>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</si>
  <si>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</si>
  <si>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</si>
  <si>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</si>
  <si>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</si>
  <si>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</si>
  <si>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</si>
  <si>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</si>
  <si>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</si>
  <si>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</si>
  <si>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</si>
  <si>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</si>
  <si>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</si>
  <si>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</si>
  <si>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</si>
  <si>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</si>
  <si>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</si>
  <si>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</si>
  <si>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</si>
  <si>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</si>
  <si>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</si>
  <si>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</si>
  <si>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</si>
  <si>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</si>
  <si>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</si>
  <si>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</si>
  <si>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</si>
  <si>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</si>
  <si>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</si>
  <si>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</si>
  <si>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</si>
  <si>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</si>
  <si>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</si>
  <si>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</si>
  <si>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</si>
  <si>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</si>
  <si>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</si>
  <si>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</si>
  <si>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</si>
  <si>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</si>
  <si>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</si>
  <si>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</si>
  <si>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</si>
  <si>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</si>
  <si>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</si>
  <si>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</si>
  <si>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</si>
  <si>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</si>
  <si>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</si>
  <si>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</si>
  <si>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</si>
  <si>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</si>
  <si>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</si>
  <si>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</si>
  <si>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</si>
  <si>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</si>
  <si>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</si>
  <si>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</si>
  <si>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</si>
  <si>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</si>
  <si>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</si>
  <si>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</si>
  <si>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</si>
  <si>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</si>
  <si>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</si>
  <si>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</si>
  <si>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</si>
  <si>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</si>
  <si>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</si>
  <si>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</si>
  <si>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</si>
  <si>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</si>
  <si>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</si>
  <si>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</si>
  <si>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</si>
  <si>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</si>
  <si>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</si>
  <si>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</si>
  <si>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</si>
  <si>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</si>
  <si>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</si>
  <si>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</si>
  <si>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</si>
  <si>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</si>
  <si>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</si>
  <si>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</si>
  <si>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</si>
  <si>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</si>
  <si>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</si>
  <si>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</si>
  <si>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</si>
  <si>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</si>
  <si>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</si>
  <si>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</si>
  <si>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</si>
  <si>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</si>
  <si>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</si>
  <si>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</si>
  <si>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</si>
  <si>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</si>
  <si>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</si>
  <si>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</si>
  <si>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</si>
  <si>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</si>
  <si>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</si>
  <si>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</si>
  <si>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</si>
  <si>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</si>
  <si>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</si>
  <si>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</si>
  <si>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</si>
  <si>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</si>
  <si>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</si>
  <si>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</si>
  <si>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</si>
  <si>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</si>
  <si>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</si>
  <si>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</si>
  <si>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</si>
  <si>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</si>
  <si>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</si>
  <si>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</si>
  <si>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</si>
  <si>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</si>
  <si>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</si>
  <si>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</si>
  <si>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</si>
  <si>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</si>
  <si>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</si>
  <si>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</si>
  <si>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</si>
  <si>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</si>
  <si>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</si>
  <si>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</si>
  <si>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</si>
  <si>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</si>
  <si>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</si>
  <si>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</si>
  <si>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</si>
  <si>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</si>
  <si>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</si>
  <si>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</si>
  <si>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</si>
  <si>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</si>
  <si>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</si>
  <si>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</si>
  <si>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</si>
  <si>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</si>
  <si>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</si>
  <si>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</si>
  <si>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</si>
  <si>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</si>
  <si>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</si>
  <si>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</si>
  <si>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</si>
  <si>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</si>
  <si>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</si>
  <si>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</si>
  <si>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</si>
  <si>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</si>
  <si>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</si>
  <si>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</si>
  <si>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</si>
  <si>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</si>
  <si>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</si>
  <si>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</si>
  <si>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</si>
  <si>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</si>
  <si>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</si>
  <si>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</si>
  <si>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</si>
  <si>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</si>
  <si>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</si>
  <si>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</si>
  <si>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</si>
  <si>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</si>
  <si>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</si>
  <si>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</si>
  <si>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</si>
  <si>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</si>
  <si>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</si>
  <si>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</si>
  <si>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</si>
  <si>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</si>
  <si>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</si>
  <si>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</si>
  <si>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</si>
  <si>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</si>
  <si>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</si>
  <si>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</si>
  <si>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</si>
  <si>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</si>
  <si>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</si>
  <si>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</si>
  <si>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</si>
  <si>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</si>
  <si>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</si>
  <si>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</si>
  <si>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</si>
  <si>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</si>
  <si>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</si>
  <si>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</si>
  <si>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</si>
  <si>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</si>
  <si>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</si>
  <si>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</si>
  <si>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</si>
  <si>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</si>
  <si>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</si>
  <si>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</si>
  <si>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</si>
  <si>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</si>
  <si>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</si>
  <si>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</si>
  <si>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</si>
  <si>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</si>
  <si>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</si>
  <si>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</si>
  <si>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</si>
  <si>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</si>
  <si>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</si>
  <si>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</si>
  <si>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</si>
  <si>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</si>
  <si>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</si>
  <si>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</si>
  <si>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</si>
  <si>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</si>
  <si>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</si>
  <si>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</si>
  <si>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</si>
  <si>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</si>
  <si>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</si>
  <si>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</si>
  <si>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</si>
  <si>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</si>
  <si>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</si>
  <si>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</si>
  <si>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</si>
  <si>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</si>
  <si>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</si>
  <si>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</si>
  <si>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</si>
  <si>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</si>
  <si>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</si>
  <si>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</si>
  <si>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</si>
  <si>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</si>
  <si>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</si>
  <si>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</si>
  <si>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</si>
  <si>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</si>
  <si>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</si>
  <si>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</si>
  <si>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</si>
  <si>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</si>
  <si>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</si>
  <si>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</si>
  <si>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</si>
  <si>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</si>
  <si>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</si>
  <si>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</si>
  <si>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</si>
  <si>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</si>
  <si>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</si>
  <si>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</si>
  <si>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</si>
  <si>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</si>
  <si>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</si>
  <si>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</si>
  <si>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</si>
  <si>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</si>
  <si>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</si>
  <si>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</si>
  <si>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</si>
  <si>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</si>
  <si>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</si>
  <si>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</si>
  <si>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</si>
  <si>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</si>
  <si>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</si>
  <si>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</si>
  <si>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</si>
  <si>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</si>
  <si>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</si>
  <si>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</si>
  <si>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</si>
  <si>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</si>
  <si>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</si>
  <si>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</si>
  <si>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</si>
  <si>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</si>
  <si>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</si>
  <si>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</si>
  <si>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</si>
  <si>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</si>
  <si>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</si>
  <si>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</si>
  <si>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</si>
  <si>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</si>
  <si>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</si>
  <si>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</si>
  <si>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</si>
  <si>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</si>
  <si>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</si>
  <si>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</si>
  <si>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</si>
  <si>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</si>
  <si>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</si>
  <si>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</si>
  <si>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</si>
  <si>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</si>
  <si>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</si>
  <si>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</si>
  <si>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</si>
  <si>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</si>
  <si>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</si>
  <si>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</si>
  <si>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</si>
  <si>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</si>
  <si>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</si>
  <si>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</si>
  <si>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</si>
  <si>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</si>
  <si>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</si>
  <si>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</si>
  <si>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</si>
  <si>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</si>
  <si>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</si>
  <si>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</si>
  <si>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</si>
  <si>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</si>
  <si>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</si>
  <si>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</si>
  <si>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</si>
  <si>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</si>
  <si>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</si>
  <si>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</si>
  <si>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</si>
  <si>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</si>
  <si>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</si>
  <si>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</si>
  <si>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</si>
  <si>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</si>
  <si>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</si>
  <si>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</si>
  <si>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</si>
  <si>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</si>
  <si>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</si>
  <si>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</si>
  <si>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</si>
  <si>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</si>
  <si>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</si>
  <si>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</si>
  <si>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</si>
  <si>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</si>
  <si>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</si>
  <si>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</si>
  <si>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</si>
  <si>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</si>
  <si>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</si>
  <si>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</si>
  <si>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</si>
  <si>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</si>
  <si>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</si>
  <si>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</si>
  <si>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</si>
  <si>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</si>
  <si>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</si>
  <si>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</si>
  <si>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</si>
  <si>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</si>
  <si>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</si>
  <si>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</si>
  <si>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</si>
  <si>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</si>
  <si>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</si>
  <si>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</si>
  <si>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</si>
  <si>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</si>
  <si>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</si>
  <si>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</si>
  <si>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</si>
  <si>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</si>
  <si>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</si>
  <si>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</si>
  <si>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</si>
  <si>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</si>
  <si>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</si>
  <si>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</si>
  <si>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</si>
  <si>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</si>
  <si>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</si>
  <si>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</si>
  <si>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</si>
  <si>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</si>
  <si>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</si>
  <si>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</si>
  <si>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</si>
  <si>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</si>
  <si>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</si>
  <si>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</si>
  <si>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</si>
  <si>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</si>
  <si>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</si>
  <si>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</si>
  <si>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</si>
  <si>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</si>
  <si>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</si>
  <si>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</si>
  <si>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</si>
  <si>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</si>
  <si>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</si>
  <si>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</si>
  <si>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</si>
  <si>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</si>
  <si>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</si>
  <si>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</si>
  <si>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</si>
  <si>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</si>
  <si>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</si>
  <si>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</si>
  <si>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</si>
  <si>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</si>
  <si>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</si>
  <si>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</si>
  <si>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</si>
  <si>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</si>
  <si>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</si>
  <si>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</si>
  <si>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</si>
  <si>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</si>
  <si>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</si>
  <si>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</si>
  <si>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</si>
  <si>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</si>
  <si>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</si>
  <si>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</si>
  <si>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</si>
  <si>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</si>
  <si>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</si>
  <si>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</si>
  <si>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</si>
  <si>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</si>
  <si>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</si>
  <si>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</si>
  <si>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</si>
  <si>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</si>
  <si>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</si>
  <si>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</si>
  <si>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</si>
  <si>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</si>
  <si>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</si>
  <si>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</si>
  <si>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</si>
  <si>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</si>
  <si>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</si>
  <si>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</si>
  <si>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</si>
  <si>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</si>
  <si>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</si>
  <si>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</si>
  <si>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</si>
  <si>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</si>
  <si>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</si>
  <si>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</si>
  <si>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</si>
  <si>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</si>
  <si>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</si>
  <si>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</si>
  <si>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</si>
  <si>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</si>
  <si>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</si>
  <si>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</si>
  <si>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</si>
  <si>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</si>
  <si>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</si>
  <si>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</si>
  <si>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</si>
  <si>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</si>
  <si>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</si>
  <si>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</si>
  <si>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</si>
  <si>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</si>
  <si>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</si>
  <si>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</si>
  <si>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</si>
  <si>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</si>
  <si>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</si>
  <si>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</si>
  <si>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</si>
  <si>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</si>
  <si>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</si>
  <si>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</si>
  <si>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</si>
  <si>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</si>
  <si>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</si>
  <si>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</si>
  <si>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</si>
  <si>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</si>
  <si>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</si>
  <si>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</si>
  <si>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</si>
  <si>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</si>
  <si>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</si>
  <si>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</si>
  <si>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</si>
  <si>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</si>
  <si>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</si>
  <si>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</si>
  <si>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</si>
  <si>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</si>
  <si>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</si>
  <si>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</si>
  <si>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</si>
  <si>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</si>
  <si>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</si>
  <si>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</si>
  <si>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</si>
  <si>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</si>
  <si>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</si>
  <si>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</si>
  <si>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</si>
  <si>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</si>
  <si>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</si>
  <si>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</si>
  <si>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</si>
  <si>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</si>
  <si>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</si>
  <si>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</si>
  <si>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</si>
  <si>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</si>
  <si>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</si>
  <si>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</si>
  <si>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</si>
  <si>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</si>
  <si>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</si>
  <si>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</si>
  <si>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</si>
  <si>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</si>
  <si>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</si>
  <si>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</si>
  <si>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</si>
  <si>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</si>
  <si>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</si>
  <si>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</si>
  <si>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</si>
  <si>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</si>
  <si>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</si>
  <si>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</si>
  <si>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</si>
  <si>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</si>
  <si>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</si>
  <si>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</si>
  <si>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</si>
  <si>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</si>
  <si>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</si>
  <si>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</si>
  <si>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</si>
  <si>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</si>
  <si>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</si>
  <si>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</si>
  <si>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</si>
  <si>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</si>
  <si>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</si>
  <si>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</si>
  <si>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</si>
  <si>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</si>
  <si>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</si>
  <si>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</si>
  <si>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</si>
  <si>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</si>
  <si>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</si>
  <si>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</si>
  <si>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</si>
  <si>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</si>
  <si>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</si>
  <si>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</si>
  <si>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</si>
  <si>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</si>
  <si>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</si>
  <si>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</si>
  <si>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</si>
  <si>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</si>
  <si>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</si>
  <si>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</si>
  <si>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</si>
  <si>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</si>
  <si>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</si>
  <si>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</si>
  <si>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</si>
  <si>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</si>
  <si>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</si>
  <si>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</si>
  <si>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</si>
  <si>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</si>
  <si>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</si>
  <si>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</si>
  <si>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</si>
  <si>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</si>
  <si>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</si>
  <si>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</si>
  <si>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</si>
  <si>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</si>
  <si>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</si>
  <si>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</si>
  <si>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</si>
  <si>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</si>
  <si>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</si>
  <si>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</si>
  <si>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</si>
  <si>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</si>
  <si>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</si>
  <si>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</si>
  <si>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</si>
  <si>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</si>
  <si>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</si>
  <si>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</si>
  <si>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</si>
  <si>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</si>
  <si>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</si>
  <si>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</si>
  <si>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</si>
  <si>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</si>
  <si>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</si>
  <si>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</si>
  <si>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</si>
  <si>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</si>
  <si>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</si>
  <si>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</si>
  <si>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</si>
  <si>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</si>
  <si>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</si>
  <si>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</si>
  <si>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</si>
  <si>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</si>
  <si>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</si>
  <si>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</si>
  <si>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</si>
  <si>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</si>
  <si>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</si>
  <si>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</si>
  <si>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</si>
  <si>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</si>
  <si>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</si>
  <si>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</si>
  <si>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</si>
  <si>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</si>
  <si>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</si>
  <si>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</si>
  <si>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</si>
  <si>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</si>
  <si>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</si>
  <si>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</si>
  <si>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</si>
  <si>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</si>
  <si>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</si>
  <si>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</si>
  <si>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</si>
  <si>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</si>
  <si>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</si>
  <si>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</si>
  <si>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</si>
  <si>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</si>
  <si>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</si>
  <si>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</si>
  <si>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</si>
  <si>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</si>
  <si>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</si>
  <si>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</si>
  <si>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</si>
  <si>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</si>
  <si>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</si>
  <si>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</si>
  <si>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</si>
  <si>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</si>
  <si>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</si>
  <si>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</si>
  <si>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</si>
  <si>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</si>
  <si>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</si>
  <si>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</si>
  <si>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</si>
  <si>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</si>
  <si>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</si>
  <si>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</si>
  <si>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</si>
  <si>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</si>
  <si>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</si>
  <si>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</si>
  <si>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</si>
  <si>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</si>
  <si>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</si>
  <si>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</si>
  <si>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</si>
  <si>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</si>
  <si>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</si>
  <si>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</si>
  <si>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</si>
  <si>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</si>
  <si>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</si>
  <si>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</si>
  <si>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</si>
  <si>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</si>
  <si>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</si>
  <si>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</si>
  <si>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</si>
  <si>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</si>
  <si>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</si>
  <si>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</si>
  <si>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</si>
  <si>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</si>
  <si>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</si>
  <si>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</si>
  <si>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</si>
  <si>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</si>
  <si>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</si>
  <si>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</si>
  <si>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</si>
  <si>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</si>
  <si>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</si>
  <si>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</si>
  <si>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</si>
  <si>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</si>
  <si>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</si>
  <si>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</si>
  <si>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</si>
  <si>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</si>
  <si>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</si>
  <si>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</si>
  <si>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</si>
  <si>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</si>
  <si>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</si>
  <si>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</si>
  <si>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</si>
  <si>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</si>
  <si>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</si>
  <si>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</si>
  <si>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</si>
  <si>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</si>
  <si>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</si>
  <si>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</si>
  <si>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</si>
  <si>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</si>
  <si>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</si>
  <si>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</si>
  <si>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</si>
  <si>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</si>
  <si>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</si>
  <si>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</si>
  <si>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</si>
  <si>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</si>
  <si>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</si>
  <si>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</si>
  <si>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</si>
  <si>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</si>
  <si>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</si>
  <si>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</si>
  <si>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</si>
  <si>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</si>
  <si>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</si>
  <si>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</si>
  <si>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</si>
  <si>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</si>
  <si>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</si>
  <si>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</si>
  <si>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100 Waits Dr, Andalusia, AL, 36421</t>
  </si>
  <si>
    <t>4509 State Hwy 83 North, Defuniak Springs, FL, 32433</t>
  </si>
  <si>
    <t>30.7855890, -86.1210990</t>
  </si>
  <si>
    <t>Locations</t>
  </si>
  <si>
    <t># Trucks Available</t>
  </si>
  <si>
    <t>Capacity/Truck</t>
  </si>
  <si>
    <t>32.3895645, -86.3050869</t>
  </si>
  <si>
    <t>Total Distance</t>
  </si>
  <si>
    <t>Units/Mile</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</si>
  <si>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</si>
  <si>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</si>
  <si>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</si>
  <si>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</si>
  <si>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</si>
  <si>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</si>
  <si>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</si>
  <si>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</si>
  <si>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</si>
  <si>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</si>
  <si>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</si>
  <si>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</si>
  <si>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</si>
  <si>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</si>
  <si>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</si>
  <si>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</si>
  <si>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</si>
  <si>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</si>
  <si>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</si>
  <si>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</si>
  <si>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</si>
  <si>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</si>
  <si>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</si>
  <si>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</si>
  <si>
    <t>Deliveries</t>
  </si>
  <si>
    <t>Day</t>
  </si>
  <si>
    <t>any</t>
  </si>
  <si>
    <t>w</t>
  </si>
  <si>
    <t>Delivery on particular day</t>
  </si>
  <si>
    <t>Truck 1</t>
  </si>
  <si>
    <t>Truck 2</t>
  </si>
  <si>
    <t>Truck 3</t>
  </si>
  <si>
    <t>Total Units/Mile</t>
  </si>
  <si>
    <t>Truck 4</t>
  </si>
  <si>
    <t>Display</t>
  </si>
  <si>
    <t>Truck 5</t>
  </si>
  <si>
    <t>t</t>
  </si>
  <si>
    <t>m</t>
  </si>
  <si>
    <t>th</t>
  </si>
  <si>
    <t>f</t>
  </si>
  <si>
    <t>12. Daily Rescheduling</t>
  </si>
  <si>
    <t>Use cases</t>
  </si>
  <si>
    <t>- 4 trucks and 80 seats per truck
- assign 80 UNITs per location and any day and no deliveries</t>
  </si>
  <si>
    <t>- assign 40 UNITs per location</t>
  </si>
  <si>
    <t>- assign 0 pick ups for Friday</t>
  </si>
  <si>
    <t>- assing 40 pick ups for Friday
- add randomly 10 repair UNITS to be delivered for 5 locations</t>
  </si>
  <si>
    <t>- Assign for each repair delivery another day of the week</t>
  </si>
  <si>
    <t>- Choose 3 locations for Friday delivery that were not choosen before for Friday</t>
  </si>
  <si>
    <t>Load testing</t>
  </si>
  <si>
    <t>Add up to 500 locations in incremental steps of 50 locations</t>
  </si>
  <si>
    <t>Add up to 20 trucks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</si>
</sst>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
      <b/>
      <sz val="11"/>
      <color theme="1"/>
      <name val="Calibri"/>
      <family val="2"/>
      <scheme val="minor"/>
    </font>
    <font>
      <b/>
      <sz val="11"/>
      <color indexed="8"/>
      <name val="Calibri"/>
      <family val="2"/>
      <scheme val="minor"/>
    </font>
    <font>
      <b/>
      <sz val="14"/>
      <color indexed="8"/>
      <name val="Calibri"/>
      <family val="2"/>
      <scheme val="minor"/>
    </font>
    <font>
      <sz val="11"/>
      <color theme="2" tint="-0.499984740745262"/>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4">
    <xf numFmtId="0" fontId="0" fillId="0" borderId="0"/>
    <xf numFmtId="0" fontId="9" fillId="6"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cellStyleXfs>
  <cellXfs count="37">
    <xf numFmtId="0" fontId="0" fillId="0" borderId="0" xfId="0"/>
    <xf numFmtId="0" fontId="5" fillId="3" borderId="1" xfId="0" applyNumberFormat="1" applyFont="1" applyFill="1" applyBorder="1" applyAlignment="1">
      <alignment horizontal="left"/>
    </xf>
    <xf numFmtId="0" fontId="5" fillId="3" borderId="1" xfId="0" applyNumberFormat="1" applyFont="1" applyFill="1" applyBorder="1" applyAlignment="1">
      <alignment horizontal="right"/>
    </xf>
    <xf numFmtId="0" fontId="4" fillId="2" borderId="2" xfId="0" applyFont="1" applyFill="1" applyBorder="1"/>
    <xf numFmtId="0" fontId="5" fillId="3" borderId="3" xfId="0" applyNumberFormat="1" applyFont="1" applyFill="1" applyBorder="1" applyAlignment="1">
      <alignment horizontal="left"/>
    </xf>
    <xf numFmtId="0" fontId="5" fillId="3" borderId="3" xfId="0" applyNumberFormat="1" applyFont="1" applyFill="1" applyBorder="1" applyAlignment="1">
      <alignment horizontal="right"/>
    </xf>
    <xf numFmtId="0" fontId="7" fillId="4" borderId="1" xfId="0" applyNumberFormat="1" applyFont="1" applyFill="1" applyBorder="1" applyAlignment="1">
      <alignment horizontal="left"/>
    </xf>
    <xf numFmtId="0" fontId="7" fillId="4" borderId="2" xfId="0" applyNumberFormat="1" applyFont="1" applyFill="1" applyBorder="1" applyAlignment="1">
      <alignment horizontal="left"/>
    </xf>
    <xf numFmtId="0" fontId="7" fillId="4" borderId="3" xfId="0" applyNumberFormat="1" applyFont="1" applyFill="1" applyBorder="1" applyAlignment="1">
      <alignment horizontal="left"/>
    </xf>
    <xf numFmtId="0" fontId="8" fillId="5" borderId="2" xfId="0" applyFont="1" applyFill="1" applyBorder="1"/>
    <xf numFmtId="0" fontId="9" fillId="8" borderId="0" xfId="1" applyFill="1"/>
    <xf numFmtId="0" fontId="10" fillId="9" borderId="0" xfId="2" applyFont="1" applyFill="1"/>
    <xf numFmtId="0" fontId="5" fillId="4" borderId="1" xfId="0" applyNumberFormat="1" applyFont="1" applyFill="1" applyBorder="1" applyAlignment="1">
      <alignment horizontal="left"/>
    </xf>
    <xf numFmtId="0" fontId="11" fillId="0" borderId="0" xfId="0" applyFont="1"/>
    <xf numFmtId="2" fontId="10" fillId="9" borderId="0" xfId="2" applyNumberFormat="1" applyFont="1" applyFill="1"/>
    <xf numFmtId="2" fontId="0" fillId="0" borderId="0" xfId="0" applyNumberFormat="1"/>
    <xf numFmtId="0" fontId="0" fillId="0" borderId="0" xfId="0" applyAlignment="1">
      <alignment horizontal="center"/>
    </xf>
    <xf numFmtId="0" fontId="13" fillId="0" borderId="0" xfId="0" applyFont="1" applyAlignment="1">
      <alignment horizontal="center"/>
    </xf>
    <xf numFmtId="0" fontId="13" fillId="9" borderId="0" xfId="2" applyFont="1" applyFill="1" applyAlignment="1">
      <alignment horizontal="center"/>
    </xf>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2" fillId="9" borderId="0" xfId="2" applyFont="1" applyFill="1" applyAlignment="1"/>
    <xf numFmtId="0" fontId="0" fillId="0" borderId="0" xfId="0" applyAlignment="1"/>
    <xf numFmtId="0" fontId="16" fillId="0" borderId="0" xfId="0" applyFont="1"/>
    <xf numFmtId="0" fontId="10" fillId="9" borderId="0" xfId="2" applyFont="1" applyFill="1" applyAlignment="1">
      <alignment wrapText="1"/>
    </xf>
    <xf numFmtId="2" fontId="10" fillId="9" borderId="0" xfId="2" applyNumberFormat="1" applyFont="1" applyFill="1" applyAlignment="1">
      <alignment wrapText="1"/>
    </xf>
    <xf numFmtId="0" fontId="0" fillId="0" borderId="0" xfId="0" applyAlignment="1">
      <alignment wrapText="1"/>
    </xf>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4" fillId="0" borderId="0" xfId="0" applyFont="1" applyAlignment="1"/>
    <xf numFmtId="0" fontId="0" fillId="0" borderId="0" xfId="0"/>
    <xf numFmtId="0" fontId="0" fillId="0" borderId="0" xfId="0" applyAlignment="1"/>
    <xf numFmtId="0" fontId="0" fillId="0" borderId="0" xfId="0" quotePrefix="1" applyAlignment="1"/>
  </cellXfs>
  <cellStyles count="4">
    <cellStyle name="20% - Accent2" xfId="2" builtinId="34"/>
    <cellStyle name="20% - Accent2 2" xfId="3" xr:uid="{01DDBB75-BE98-46B8-827D-81E6B274C054}"/>
    <cellStyle name="Good" xfId="1" builtinId="26"/>
    <cellStyle name="Normal" xfId="0" builtinId="0"/>
  </cellStyles>
  <dxfs count="67">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ill>
        <patternFill>
          <bgColor rgb="FFFFC7CE"/>
        </patternFill>
      </fill>
    </dxf>
    <dxf>
      <font>
        <color theme="0"/>
      </font>
    </dxf>
    <dxf>
      <font>
        <color theme="0"/>
      </font>
    </dxf>
    <dxf>
      <fill>
        <patternFill>
          <bgColor rgb="FFFFC7CE"/>
        </patternFill>
      </fill>
    </dxf>
    <dxf>
      <font>
        <color theme="0"/>
      </font>
    </dxf>
    <dxf>
      <font>
        <color theme="0"/>
      </font>
    </dxf>
    <dxf>
      <font>
        <color theme="0"/>
      </font>
    </dxf>
    <dxf>
      <fill>
        <patternFill>
          <bgColor rgb="FFFFC7CE"/>
        </patternFill>
      </fill>
    </dxf>
    <dxf>
      <fill>
        <patternFill>
          <bgColor rgb="FFFFC7CE"/>
        </patternFill>
      </fill>
    </dxf>
    <dxf>
      <font>
        <color theme="0"/>
      </font>
    </dxf>
    <dxf>
      <fill>
        <patternFill>
          <bgColor rgb="FFFFC7CE"/>
        </patternFill>
      </fill>
    </dxf>
    <dxf>
      <font>
        <color theme="0"/>
      </font>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5</xdr:row>
          <xdr:rowOff>28575</xdr:rowOff>
        </xdr:from>
        <xdr:to>
          <xdr:col>8</xdr:col>
          <xdr:colOff>276225</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0</xdr:rowOff>
        </xdr:from>
        <xdr:to>
          <xdr:col>8</xdr:col>
          <xdr:colOff>295275</xdr:colOff>
          <xdr:row>8</xdr:row>
          <xdr:rowOff>47625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2</xdr:row>
          <xdr:rowOff>57150</xdr:rowOff>
        </xdr:from>
        <xdr:to>
          <xdr:col>11</xdr:col>
          <xdr:colOff>1238250</xdr:colOff>
          <xdr:row>3</xdr:row>
          <xdr:rowOff>161925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14</xdr:row>
          <xdr:rowOff>19050</xdr:rowOff>
        </xdr:from>
        <xdr:to>
          <xdr:col>11</xdr:col>
          <xdr:colOff>1276350</xdr:colOff>
          <xdr:row>15</xdr:row>
          <xdr:rowOff>133350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24</xdr:row>
          <xdr:rowOff>28575</xdr:rowOff>
        </xdr:from>
        <xdr:to>
          <xdr:col>11</xdr:col>
          <xdr:colOff>1247775</xdr:colOff>
          <xdr:row>25</xdr:row>
          <xdr:rowOff>133350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xdr:row>
          <xdr:rowOff>57150</xdr:rowOff>
        </xdr:from>
        <xdr:to>
          <xdr:col>23</xdr:col>
          <xdr:colOff>1238250</xdr:colOff>
          <xdr:row>3</xdr:row>
          <xdr:rowOff>161925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14</xdr:row>
          <xdr:rowOff>19050</xdr:rowOff>
        </xdr:from>
        <xdr:to>
          <xdr:col>23</xdr:col>
          <xdr:colOff>1276350</xdr:colOff>
          <xdr:row>15</xdr:row>
          <xdr:rowOff>133350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24</xdr:row>
          <xdr:rowOff>28575</xdr:rowOff>
        </xdr:from>
        <xdr:to>
          <xdr:col>23</xdr:col>
          <xdr:colOff>1247775</xdr:colOff>
          <xdr:row>25</xdr:row>
          <xdr:rowOff>133350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35</xdr:row>
          <xdr:rowOff>19050</xdr:rowOff>
        </xdr:from>
        <xdr:to>
          <xdr:col>23</xdr:col>
          <xdr:colOff>1238250</xdr:colOff>
          <xdr:row>36</xdr:row>
          <xdr:rowOff>123825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xdr:row>
          <xdr:rowOff>57150</xdr:rowOff>
        </xdr:from>
        <xdr:to>
          <xdr:col>35</xdr:col>
          <xdr:colOff>1238250</xdr:colOff>
          <xdr:row>3</xdr:row>
          <xdr:rowOff>161925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14</xdr:row>
          <xdr:rowOff>19050</xdr:rowOff>
        </xdr:from>
        <xdr:to>
          <xdr:col>35</xdr:col>
          <xdr:colOff>1276350</xdr:colOff>
          <xdr:row>15</xdr:row>
          <xdr:rowOff>133350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24</xdr:row>
          <xdr:rowOff>28575</xdr:rowOff>
        </xdr:from>
        <xdr:to>
          <xdr:col>35</xdr:col>
          <xdr:colOff>1247775</xdr:colOff>
          <xdr:row>25</xdr:row>
          <xdr:rowOff>133350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35</xdr:row>
          <xdr:rowOff>19050</xdr:rowOff>
        </xdr:from>
        <xdr:to>
          <xdr:col>35</xdr:col>
          <xdr:colOff>1238250</xdr:colOff>
          <xdr:row>36</xdr:row>
          <xdr:rowOff>123825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xdr:row>
          <xdr:rowOff>57150</xdr:rowOff>
        </xdr:from>
        <xdr:to>
          <xdr:col>47</xdr:col>
          <xdr:colOff>1238250</xdr:colOff>
          <xdr:row>3</xdr:row>
          <xdr:rowOff>161925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14</xdr:row>
          <xdr:rowOff>19050</xdr:rowOff>
        </xdr:from>
        <xdr:to>
          <xdr:col>47</xdr:col>
          <xdr:colOff>1276350</xdr:colOff>
          <xdr:row>15</xdr:row>
          <xdr:rowOff>133350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9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24</xdr:row>
          <xdr:rowOff>28575</xdr:rowOff>
        </xdr:from>
        <xdr:to>
          <xdr:col>47</xdr:col>
          <xdr:colOff>1247775</xdr:colOff>
          <xdr:row>25</xdr:row>
          <xdr:rowOff>133350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900-00001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35</xdr:row>
          <xdr:rowOff>19050</xdr:rowOff>
        </xdr:from>
        <xdr:to>
          <xdr:col>47</xdr:col>
          <xdr:colOff>1238250</xdr:colOff>
          <xdr:row>36</xdr:row>
          <xdr:rowOff>123825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9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xdr:row>
          <xdr:rowOff>57150</xdr:rowOff>
        </xdr:from>
        <xdr:to>
          <xdr:col>59</xdr:col>
          <xdr:colOff>1238250</xdr:colOff>
          <xdr:row>3</xdr:row>
          <xdr:rowOff>161925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9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14</xdr:row>
          <xdr:rowOff>19050</xdr:rowOff>
        </xdr:from>
        <xdr:to>
          <xdr:col>59</xdr:col>
          <xdr:colOff>1276350</xdr:colOff>
          <xdr:row>15</xdr:row>
          <xdr:rowOff>133350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9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24</xdr:row>
          <xdr:rowOff>28575</xdr:rowOff>
        </xdr:from>
        <xdr:to>
          <xdr:col>59</xdr:col>
          <xdr:colOff>1247775</xdr:colOff>
          <xdr:row>25</xdr:row>
          <xdr:rowOff>133350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35</xdr:row>
          <xdr:rowOff>19050</xdr:rowOff>
        </xdr:from>
        <xdr:to>
          <xdr:col>59</xdr:col>
          <xdr:colOff>1238250</xdr:colOff>
          <xdr:row>36</xdr:row>
          <xdr:rowOff>123825</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900-00001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35</xdr:row>
          <xdr:rowOff>19050</xdr:rowOff>
        </xdr:from>
        <xdr:to>
          <xdr:col>11</xdr:col>
          <xdr:colOff>1266825</xdr:colOff>
          <xdr:row>36</xdr:row>
          <xdr:rowOff>123825</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900-00001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46</xdr:row>
          <xdr:rowOff>28575</xdr:rowOff>
        </xdr:from>
        <xdr:to>
          <xdr:col>11</xdr:col>
          <xdr:colOff>1257300</xdr:colOff>
          <xdr:row>47</xdr:row>
          <xdr:rowOff>133350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900-00001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46</xdr:row>
          <xdr:rowOff>0</xdr:rowOff>
        </xdr:from>
        <xdr:to>
          <xdr:col>23</xdr:col>
          <xdr:colOff>1276350</xdr:colOff>
          <xdr:row>47</xdr:row>
          <xdr:rowOff>104775</xdr:rowOff>
        </xdr:to>
        <xdr:sp macro="" textlink="">
          <xdr:nvSpPr>
            <xdr:cNvPr id="8216" name="Button 24" hidden="1">
              <a:extLst>
                <a:ext uri="{63B3BB69-23CF-44E3-9099-C40C66FF867C}">
                  <a14:compatExt spid="_x0000_s8216"/>
                </a:ext>
                <a:ext uri="{FF2B5EF4-FFF2-40B4-BE49-F238E27FC236}">
                  <a16:creationId xmlns:a16="http://schemas.microsoft.com/office/drawing/2014/main" id="{00000000-0008-0000-0900-00001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46</xdr:row>
          <xdr:rowOff>19050</xdr:rowOff>
        </xdr:from>
        <xdr:to>
          <xdr:col>35</xdr:col>
          <xdr:colOff>1238250</xdr:colOff>
          <xdr:row>47</xdr:row>
          <xdr:rowOff>123825</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0900-00001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38100</xdr:colOff>
          <xdr:row>46</xdr:row>
          <xdr:rowOff>19050</xdr:rowOff>
        </xdr:from>
        <xdr:to>
          <xdr:col>47</xdr:col>
          <xdr:colOff>1266825</xdr:colOff>
          <xdr:row>47</xdr:row>
          <xdr:rowOff>133350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0900-00001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46</xdr:row>
          <xdr:rowOff>38100</xdr:rowOff>
        </xdr:from>
        <xdr:to>
          <xdr:col>59</xdr:col>
          <xdr:colOff>1257300</xdr:colOff>
          <xdr:row>47</xdr:row>
          <xdr:rowOff>142875</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0900-00001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0-routes"/>
      <sheetName val="m-0-distances"/>
      <sheetName val="m-0-units"/>
      <sheetName val="m-0-sumDists"/>
      <sheetName val="m-0-sumUnits"/>
      <sheetName val="m-0-times"/>
      <sheetName val="m-0-deliveries"/>
      <sheetName val="m-1-routes"/>
      <sheetName val="m-1-distances"/>
      <sheetName val="m-1-units"/>
      <sheetName val="m-1-sumDists"/>
      <sheetName val="m-1-sumUnits"/>
      <sheetName val="m-1-times"/>
      <sheetName val="m-1-deliveries"/>
      <sheetName val="m-2-routes"/>
      <sheetName val="m-2-distances"/>
      <sheetName val="m-2-units"/>
      <sheetName val="m-2-sumDists"/>
      <sheetName val="m-2-sumUnits"/>
      <sheetName val="m-2-times"/>
      <sheetName val="m-2-deliveries"/>
      <sheetName val="m-3-routes"/>
      <sheetName val="m-3-distances"/>
      <sheetName val="m-3-units"/>
      <sheetName val="m-3-sumDists"/>
      <sheetName val="m-3-sumUnits"/>
      <sheetName val="m-3-times"/>
      <sheetName val="m-3-deliveries"/>
      <sheetName val="m-4-routes"/>
      <sheetName val="m-4-distances"/>
      <sheetName val="m-4-units"/>
      <sheetName val="m-4-sumDists"/>
      <sheetName val="m-4-sumUnits"/>
      <sheetName val="m-4-times"/>
      <sheetName val="m-4-deliveries"/>
      <sheetName val="m-5-routes"/>
      <sheetName val="m-5-distances"/>
      <sheetName val="m-5-units"/>
      <sheetName val="m-5-sumDists"/>
      <sheetName val="m-5-sumUnits"/>
      <sheetName val="m-5-times"/>
      <sheetName val="m-5-deliveries"/>
      <sheetName val="m-6-routes"/>
      <sheetName val="m-6-distances"/>
      <sheetName val="m-6-units"/>
      <sheetName val="m-6-sumDists"/>
      <sheetName val="m-6-sumUnits"/>
      <sheetName val="m-6-times"/>
      <sheetName val="m-6-deliveries"/>
      <sheetName val="m-7-routes"/>
      <sheetName val="m-7-distances"/>
      <sheetName val="m-7-units"/>
      <sheetName val="m-7-sumDists"/>
      <sheetName val="m-7-sumUnits"/>
      <sheetName val="m-7-times"/>
      <sheetName val="m-7-deliveries"/>
      <sheetName val="m-8-routes"/>
      <sheetName val="m-8-distances"/>
      <sheetName val="m-8-units"/>
      <sheetName val="m-8-sumDists"/>
      <sheetName val="m-8-sumUnits"/>
      <sheetName val="m-8-times"/>
      <sheetName val="m-8-deliveries"/>
      <sheetName val="m-9-routes"/>
      <sheetName val="m-9-distances"/>
      <sheetName val="m-9-units"/>
      <sheetName val="m-9-sumDists"/>
      <sheetName val="m-9-sumUnits"/>
      <sheetName val="m-9-times"/>
      <sheetName val="m-9-deliveries"/>
      <sheetName val="t-0-routes"/>
      <sheetName val="t-0-distances"/>
      <sheetName val="t-0-units"/>
      <sheetName val="t-0-sumDists"/>
      <sheetName val="t-0-sumUnits"/>
      <sheetName val="t-0-times"/>
      <sheetName val="t-0-deliveries"/>
      <sheetName val="t-1-routes"/>
      <sheetName val="t-1-distances"/>
      <sheetName val="t-1-units"/>
      <sheetName val="t-1-sumDists"/>
      <sheetName val="t-1-sumUnits"/>
      <sheetName val="t-1-times"/>
      <sheetName val="t-1-deliveries"/>
      <sheetName val="t-2-routes"/>
      <sheetName val="t-2-distances"/>
      <sheetName val="t-2-units"/>
      <sheetName val="t-2-sumDists"/>
      <sheetName val="t-2-sumUnits"/>
      <sheetName val="t-2-times"/>
      <sheetName val="t-2-deliveries"/>
      <sheetName val="t-3-routes"/>
      <sheetName val="t-3-distances"/>
      <sheetName val="t-3-units"/>
      <sheetName val="t-3-sumDists"/>
      <sheetName val="t-3-sumUnits"/>
      <sheetName val="t-3-times"/>
      <sheetName val="t-3-deliveries"/>
      <sheetName val="t-4-routes"/>
      <sheetName val="t-4-distances"/>
      <sheetName val="t-4-units"/>
      <sheetName val="t-4-sumDists"/>
      <sheetName val="t-4-sumUnits"/>
      <sheetName val="t-4-times"/>
      <sheetName val="t-4-deliveries"/>
      <sheetName val="t-5-routes"/>
      <sheetName val="t-5-distances"/>
      <sheetName val="t-5-units"/>
      <sheetName val="t-5-sumDists"/>
      <sheetName val="t-5-sumUnits"/>
      <sheetName val="t-5-times"/>
      <sheetName val="t-5-deliveries"/>
      <sheetName val="t-6-routes"/>
      <sheetName val="t-6-distances"/>
      <sheetName val="t-6-units"/>
      <sheetName val="t-6-sumDists"/>
      <sheetName val="t-6-sumUnits"/>
      <sheetName val="t-6-times"/>
      <sheetName val="t-6-deliveries"/>
      <sheetName val="t-7-routes"/>
      <sheetName val="t-7-distances"/>
      <sheetName val="t-7-units"/>
      <sheetName val="t-7-sumDists"/>
      <sheetName val="t-7-sumUnits"/>
      <sheetName val="t-7-times"/>
      <sheetName val="t-7-deliveries"/>
      <sheetName val="t-8-routes"/>
      <sheetName val="t-8-distances"/>
      <sheetName val="t-8-units"/>
      <sheetName val="t-8-sumDists"/>
      <sheetName val="t-8-sumUnits"/>
      <sheetName val="t-8-times"/>
      <sheetName val="t-8-deliveries"/>
      <sheetName val="t-9-routes"/>
      <sheetName val="t-9-distances"/>
      <sheetName val="t-9-units"/>
      <sheetName val="t-9-sumDists"/>
      <sheetName val="t-9-sumUnits"/>
      <sheetName val="t-9-times"/>
      <sheetName val="t-9-deliveries"/>
      <sheetName val="w-0-routes"/>
      <sheetName val="w-0-distances"/>
      <sheetName val="w-0-units"/>
      <sheetName val="w-0-sumDists"/>
      <sheetName val="w-0-sumUnits"/>
      <sheetName val="w-0-times"/>
      <sheetName val="w-0-deliveries"/>
      <sheetName val="w-1-routes"/>
      <sheetName val="w-1-distances"/>
      <sheetName val="w-1-units"/>
      <sheetName val="w-1-sumDists"/>
      <sheetName val="w-1-sumUnits"/>
      <sheetName val="w-1-times"/>
      <sheetName val="w-1-deliveries"/>
      <sheetName val="w-2-routes"/>
      <sheetName val="w-2-distances"/>
      <sheetName val="w-2-units"/>
      <sheetName val="w-2-sumDists"/>
      <sheetName val="w-2-sumUnits"/>
      <sheetName val="w-2-times"/>
      <sheetName val="w-2-deliveries"/>
      <sheetName val="w-3-routes"/>
      <sheetName val="w-3-distances"/>
      <sheetName val="w-3-units"/>
      <sheetName val="w-3-sumDists"/>
      <sheetName val="w-3-sumUnits"/>
      <sheetName val="w-3-times"/>
      <sheetName val="w-3-deliveries"/>
      <sheetName val="w-4-routes"/>
      <sheetName val="w-4-distances"/>
      <sheetName val="w-4-units"/>
      <sheetName val="w-4-sumDists"/>
      <sheetName val="w-4-sumUnits"/>
      <sheetName val="w-4-times"/>
      <sheetName val="w-4-deliveries"/>
      <sheetName val="w-5-routes"/>
      <sheetName val="w-5-distances"/>
      <sheetName val="w-5-units"/>
      <sheetName val="w-5-sumDists"/>
      <sheetName val="w-5-sumUnits"/>
      <sheetName val="w-5-times"/>
      <sheetName val="w-5-deliveries"/>
      <sheetName val="w-6-routes"/>
      <sheetName val="w-6-distances"/>
      <sheetName val="w-6-units"/>
      <sheetName val="w-6-sumDists"/>
      <sheetName val="w-6-sumUnits"/>
      <sheetName val="w-6-times"/>
      <sheetName val="w-6-deliveries"/>
      <sheetName val="w-7-routes"/>
      <sheetName val="w-7-distances"/>
      <sheetName val="w-7-units"/>
      <sheetName val="w-7-sumDists"/>
      <sheetName val="w-7-sumUnits"/>
      <sheetName val="w-7-times"/>
      <sheetName val="w-7-deliveries"/>
      <sheetName val="w-8-routes"/>
      <sheetName val="w-8-distances"/>
      <sheetName val="w-8-units"/>
      <sheetName val="w-8-sumDists"/>
      <sheetName val="w-8-sumUnits"/>
      <sheetName val="w-8-times"/>
      <sheetName val="w-8-deliveries"/>
      <sheetName val="w-9-routes"/>
      <sheetName val="w-9-distances"/>
      <sheetName val="w-9-units"/>
      <sheetName val="w-9-sumDists"/>
      <sheetName val="w-9-sumUnits"/>
      <sheetName val="w-9-times"/>
      <sheetName val="w-9-deliveries"/>
      <sheetName val="th-0-routes"/>
      <sheetName val="th-0-distances"/>
      <sheetName val="th-0-units"/>
      <sheetName val="th-0-sumDists"/>
      <sheetName val="th-0-sumUnits"/>
      <sheetName val="th-0-times"/>
      <sheetName val="th-0-deliveries"/>
      <sheetName val="th-1-routes"/>
      <sheetName val="th-1-distances"/>
      <sheetName val="th-1-units"/>
      <sheetName val="th-1-sumDists"/>
      <sheetName val="th-1-sumUnits"/>
      <sheetName val="th-1-times"/>
      <sheetName val="th-1-deliveries"/>
      <sheetName val="th-2-routes"/>
      <sheetName val="th-2-distances"/>
      <sheetName val="th-2-units"/>
      <sheetName val="th-2-sumDists"/>
      <sheetName val="th-2-sumUnits"/>
      <sheetName val="th-2-times"/>
      <sheetName val="th-2-deliveries"/>
      <sheetName val="th-3-routes"/>
      <sheetName val="th-3-distances"/>
      <sheetName val="th-3-units"/>
      <sheetName val="th-3-sumDists"/>
      <sheetName val="th-3-sumUnits"/>
      <sheetName val="th-3-times"/>
      <sheetName val="th-3-deliveries"/>
      <sheetName val="th-4-routes"/>
      <sheetName val="th-4-distances"/>
      <sheetName val="th-4-units"/>
      <sheetName val="th-4-sumDists"/>
      <sheetName val="th-4-sumUnits"/>
      <sheetName val="th-4-times"/>
      <sheetName val="th-4-deliveries"/>
      <sheetName val="th-5-routes"/>
      <sheetName val="th-5-distances"/>
      <sheetName val="th-5-units"/>
      <sheetName val="th-5-sumDists"/>
      <sheetName val="th-5-sumUnits"/>
      <sheetName val="th-5-times"/>
      <sheetName val="th-5-deliveries"/>
      <sheetName val="th-6-routes"/>
      <sheetName val="th-6-distances"/>
      <sheetName val="th-6-units"/>
      <sheetName val="th-6-sumDists"/>
      <sheetName val="th-6-sumUnits"/>
      <sheetName val="th-6-times"/>
      <sheetName val="th-6-deliveries"/>
      <sheetName val="th-7-routes"/>
      <sheetName val="th-7-distances"/>
      <sheetName val="th-7-units"/>
      <sheetName val="th-7-sumDists"/>
      <sheetName val="th-7-sumUnits"/>
      <sheetName val="th-7-times"/>
      <sheetName val="th-7-deliveries"/>
      <sheetName val="th-8-routes"/>
      <sheetName val="th-8-distances"/>
      <sheetName val="th-8-units"/>
      <sheetName val="th-8-sumDists"/>
      <sheetName val="th-8-sumUnits"/>
      <sheetName val="th-8-times"/>
      <sheetName val="th-8-deliveries"/>
      <sheetName val="th-9-routes"/>
      <sheetName val="th-9-distances"/>
      <sheetName val="th-9-units"/>
      <sheetName val="th-9-sumDists"/>
      <sheetName val="th-9-sumUnits"/>
      <sheetName val="th-9-times"/>
      <sheetName val="th-9-deliveries"/>
      <sheetName val="f-0-routes"/>
      <sheetName val="f-0-distances"/>
      <sheetName val="f-0-units"/>
      <sheetName val="f-0-sumDists"/>
      <sheetName val="f-0-sumUnits"/>
      <sheetName val="f-0-times"/>
      <sheetName val="f-0-deliveries"/>
      <sheetName val="f-1-routes"/>
      <sheetName val="f-1-distances"/>
      <sheetName val="f-1-units"/>
      <sheetName val="f-1-sumDists"/>
      <sheetName val="f-1-sumUnits"/>
      <sheetName val="f-1-times"/>
      <sheetName val="f-1-deliveries"/>
      <sheetName val="f-2-routes"/>
      <sheetName val="f-2-distances"/>
      <sheetName val="f-2-units"/>
      <sheetName val="f-2-sumDists"/>
      <sheetName val="f-2-sumUnits"/>
      <sheetName val="f-2-times"/>
      <sheetName val="f-2-deliveries"/>
      <sheetName val="f-3-routes"/>
      <sheetName val="f-3-distances"/>
      <sheetName val="f-3-units"/>
      <sheetName val="f-3-sumDists"/>
      <sheetName val="f-3-sumUnits"/>
      <sheetName val="f-3-times"/>
      <sheetName val="f-3-deliveries"/>
      <sheetName val="f-4-routes"/>
      <sheetName val="f-4-distances"/>
      <sheetName val="f-4-units"/>
      <sheetName val="f-4-sumDists"/>
      <sheetName val="f-4-sumUnits"/>
      <sheetName val="f-4-times"/>
      <sheetName val="f-4-deliveries"/>
      <sheetName val="f-5-routes"/>
      <sheetName val="f-5-distances"/>
      <sheetName val="f-5-units"/>
      <sheetName val="f-5-sumDists"/>
      <sheetName val="f-5-sumUnits"/>
      <sheetName val="f-5-times"/>
      <sheetName val="f-5-deliveries"/>
      <sheetName val="f-6-routes"/>
      <sheetName val="f-6-distances"/>
      <sheetName val="f-6-units"/>
      <sheetName val="f-6-sumDists"/>
      <sheetName val="f-6-sumUnits"/>
      <sheetName val="f-6-times"/>
      <sheetName val="f-6-deliveries"/>
      <sheetName val="f-7-routes"/>
      <sheetName val="f-7-distances"/>
      <sheetName val="f-7-units"/>
      <sheetName val="f-7-sumDists"/>
      <sheetName val="f-7-sumUnits"/>
      <sheetName val="f-7-times"/>
      <sheetName val="f-7-deliveries"/>
      <sheetName val="f-8-routes"/>
      <sheetName val="f-8-distances"/>
      <sheetName val="f-8-units"/>
      <sheetName val="f-8-sumDists"/>
      <sheetName val="f-8-sumUnits"/>
      <sheetName val="f-8-times"/>
      <sheetName val="f-8-deliveries"/>
      <sheetName val="f-9-routes"/>
      <sheetName val="f-9-distances"/>
      <sheetName val="f-9-units"/>
      <sheetName val="f-9-sumDists"/>
      <sheetName val="f-9-sumUnits"/>
      <sheetName val="f-9-times"/>
      <sheetName val="f-9-deliveries"/>
    </sheetNames>
    <sheetDataSet>
      <sheetData sheetId="0">
        <row r="2">
          <cell r="B2">
            <v>1</v>
          </cell>
          <cell r="C2">
            <v>15</v>
          </cell>
        </row>
        <row r="3">
          <cell r="B3">
            <v>15</v>
          </cell>
          <cell r="C3">
            <v>20</v>
          </cell>
        </row>
        <row r="4">
          <cell r="B4">
            <v>20</v>
          </cell>
          <cell r="C4">
            <v>1</v>
          </cell>
        </row>
      </sheetData>
      <sheetData sheetId="1">
        <row r="2">
          <cell r="B2">
            <v>36</v>
          </cell>
        </row>
        <row r="3">
          <cell r="B3">
            <v>50</v>
          </cell>
        </row>
        <row r="4">
          <cell r="B4">
            <v>38</v>
          </cell>
        </row>
      </sheetData>
      <sheetData sheetId="2">
        <row r="2">
          <cell r="B2">
            <v>40</v>
          </cell>
        </row>
        <row r="3">
          <cell r="B3">
            <v>40</v>
          </cell>
        </row>
        <row r="4">
          <cell r="B4">
            <v>0</v>
          </cell>
        </row>
      </sheetData>
      <sheetData sheetId="3">
        <row r="2">
          <cell r="B2">
            <v>36</v>
          </cell>
        </row>
        <row r="3">
          <cell r="B3">
            <v>86</v>
          </cell>
        </row>
        <row r="4">
          <cell r="B4">
            <v>124</v>
          </cell>
        </row>
      </sheetData>
      <sheetData sheetId="4">
        <row r="2">
          <cell r="B2">
            <v>40</v>
          </cell>
        </row>
        <row r="3">
          <cell r="B3">
            <v>80</v>
          </cell>
        </row>
        <row r="4">
          <cell r="B4">
            <v>80</v>
          </cell>
        </row>
      </sheetData>
      <sheetData sheetId="5">
        <row r="2">
          <cell r="B2">
            <v>1.3836111111111109</v>
          </cell>
        </row>
        <row r="3">
          <cell r="B3">
            <v>3.1633333333333331</v>
          </cell>
        </row>
        <row r="4">
          <cell r="B4">
            <v>5.2905555555555557</v>
          </cell>
        </row>
      </sheetData>
      <sheetData sheetId="6">
        <row r="2">
          <cell r="B2">
            <v>0</v>
          </cell>
        </row>
        <row r="3">
          <cell r="B3">
            <v>0</v>
          </cell>
        </row>
        <row r="4">
          <cell r="B4">
            <v>0</v>
          </cell>
        </row>
      </sheetData>
      <sheetData sheetId="7">
        <row r="2">
          <cell r="B2">
            <v>1</v>
          </cell>
          <cell r="C2">
            <v>7</v>
          </cell>
        </row>
        <row r="3">
          <cell r="B3">
            <v>7</v>
          </cell>
          <cell r="C3">
            <v>10</v>
          </cell>
        </row>
        <row r="4">
          <cell r="B4">
            <v>10</v>
          </cell>
          <cell r="C4">
            <v>1</v>
          </cell>
        </row>
      </sheetData>
      <sheetData sheetId="8">
        <row r="2">
          <cell r="B2">
            <v>46</v>
          </cell>
        </row>
        <row r="3">
          <cell r="B3">
            <v>80</v>
          </cell>
        </row>
        <row r="4">
          <cell r="B4">
            <v>70</v>
          </cell>
        </row>
      </sheetData>
      <sheetData sheetId="9">
        <row r="2">
          <cell r="B2">
            <v>40</v>
          </cell>
        </row>
        <row r="3">
          <cell r="B3">
            <v>40</v>
          </cell>
        </row>
        <row r="4">
          <cell r="B4">
            <v>0</v>
          </cell>
        </row>
      </sheetData>
      <sheetData sheetId="10">
        <row r="2">
          <cell r="B2">
            <v>46</v>
          </cell>
        </row>
        <row r="3">
          <cell r="B3">
            <v>126</v>
          </cell>
        </row>
        <row r="4">
          <cell r="B4">
            <v>196</v>
          </cell>
        </row>
      </sheetData>
      <sheetData sheetId="11">
        <row r="2">
          <cell r="B2">
            <v>40</v>
          </cell>
        </row>
        <row r="3">
          <cell r="B3">
            <v>80</v>
          </cell>
        </row>
        <row r="4">
          <cell r="B4">
            <v>80</v>
          </cell>
        </row>
      </sheetData>
      <sheetData sheetId="12">
        <row r="2">
          <cell r="B2">
            <v>1.638055555555556</v>
          </cell>
        </row>
        <row r="3">
          <cell r="B3">
            <v>4.0144444444444449</v>
          </cell>
        </row>
        <row r="4">
          <cell r="B4">
            <v>6.7250000000000014</v>
          </cell>
        </row>
      </sheetData>
      <sheetData sheetId="13">
        <row r="2">
          <cell r="B2">
            <v>0</v>
          </cell>
        </row>
        <row r="3">
          <cell r="B3">
            <v>0</v>
          </cell>
        </row>
        <row r="4">
          <cell r="B4">
            <v>0</v>
          </cell>
        </row>
      </sheetData>
      <sheetData sheetId="14">
        <row r="2">
          <cell r="B2">
            <v>1</v>
          </cell>
          <cell r="C2">
            <v>6</v>
          </cell>
        </row>
        <row r="3">
          <cell r="B3">
            <v>6</v>
          </cell>
          <cell r="C3">
            <v>19</v>
          </cell>
        </row>
        <row r="4">
          <cell r="B4">
            <v>19</v>
          </cell>
          <cell r="C4">
            <v>1</v>
          </cell>
        </row>
      </sheetData>
      <sheetData sheetId="15">
        <row r="2">
          <cell r="B2">
            <v>116</v>
          </cell>
        </row>
        <row r="3">
          <cell r="B3">
            <v>177</v>
          </cell>
        </row>
        <row r="4">
          <cell r="B4">
            <v>144</v>
          </cell>
        </row>
      </sheetData>
      <sheetData sheetId="16">
        <row r="2">
          <cell r="B2">
            <v>40</v>
          </cell>
        </row>
        <row r="3">
          <cell r="B3">
            <v>40</v>
          </cell>
        </row>
        <row r="4">
          <cell r="B4">
            <v>0</v>
          </cell>
        </row>
      </sheetData>
      <sheetData sheetId="17">
        <row r="2">
          <cell r="B2">
            <v>116</v>
          </cell>
        </row>
        <row r="3">
          <cell r="B3">
            <v>293</v>
          </cell>
        </row>
        <row r="4">
          <cell r="B4">
            <v>437</v>
          </cell>
        </row>
      </sheetData>
      <sheetData sheetId="18">
        <row r="2">
          <cell r="B2">
            <v>40</v>
          </cell>
        </row>
        <row r="3">
          <cell r="B3">
            <v>80</v>
          </cell>
        </row>
        <row r="4">
          <cell r="B4">
            <v>80</v>
          </cell>
        </row>
      </sheetData>
      <sheetData sheetId="19">
        <row r="2">
          <cell r="B2">
            <v>2.641111111111111</v>
          </cell>
        </row>
        <row r="3">
          <cell r="B3">
            <v>6.4874999999999998</v>
          </cell>
        </row>
        <row r="4">
          <cell r="B4">
            <v>10.64361111111111</v>
          </cell>
        </row>
      </sheetData>
      <sheetData sheetId="20">
        <row r="2">
          <cell r="B2">
            <v>0</v>
          </cell>
        </row>
        <row r="3">
          <cell r="B3">
            <v>0</v>
          </cell>
        </row>
        <row r="4">
          <cell r="B4">
            <v>0</v>
          </cell>
        </row>
      </sheetData>
      <sheetData sheetId="21">
        <row r="2">
          <cell r="B2">
            <v>1</v>
          </cell>
          <cell r="C2">
            <v>16</v>
          </cell>
        </row>
        <row r="3">
          <cell r="B3">
            <v>16</v>
          </cell>
          <cell r="C3">
            <v>22</v>
          </cell>
        </row>
        <row r="4">
          <cell r="B4">
            <v>22</v>
          </cell>
          <cell r="C4">
            <v>1</v>
          </cell>
        </row>
      </sheetData>
      <sheetData sheetId="22">
        <row r="2">
          <cell r="B2">
            <v>121</v>
          </cell>
        </row>
        <row r="3">
          <cell r="B3">
            <v>2</v>
          </cell>
        </row>
        <row r="4">
          <cell r="B4">
            <v>122</v>
          </cell>
        </row>
      </sheetData>
      <sheetData sheetId="23">
        <row r="2">
          <cell r="B2">
            <v>40</v>
          </cell>
        </row>
        <row r="3">
          <cell r="B3">
            <v>40</v>
          </cell>
        </row>
        <row r="4">
          <cell r="B4">
            <v>0</v>
          </cell>
        </row>
      </sheetData>
      <sheetData sheetId="24">
        <row r="2">
          <cell r="B2">
            <v>121</v>
          </cell>
        </row>
        <row r="3">
          <cell r="B3">
            <v>123</v>
          </cell>
        </row>
        <row r="4">
          <cell r="B4">
            <v>245</v>
          </cell>
        </row>
      </sheetData>
      <sheetData sheetId="25">
        <row r="2">
          <cell r="B2">
            <v>40</v>
          </cell>
        </row>
        <row r="3">
          <cell r="B3">
            <v>80</v>
          </cell>
        </row>
        <row r="4">
          <cell r="B4">
            <v>80</v>
          </cell>
        </row>
      </sheetData>
      <sheetData sheetId="26">
        <row r="2">
          <cell r="B2">
            <v>2.9741666666666671</v>
          </cell>
        </row>
        <row r="3">
          <cell r="B3">
            <v>3.8366666666666669</v>
          </cell>
        </row>
        <row r="4">
          <cell r="B4">
            <v>7.5925000000000002</v>
          </cell>
        </row>
      </sheetData>
      <sheetData sheetId="27">
        <row r="2">
          <cell r="B2">
            <v>0</v>
          </cell>
        </row>
        <row r="3">
          <cell r="B3">
            <v>0</v>
          </cell>
        </row>
        <row r="4">
          <cell r="B4">
            <v>0</v>
          </cell>
        </row>
      </sheetData>
      <sheetData sheetId="28">
        <row r="2">
          <cell r="B2">
            <v>0</v>
          </cell>
        </row>
        <row r="3">
          <cell r="B3">
            <v>0</v>
          </cell>
        </row>
      </sheetData>
      <sheetData sheetId="29">
        <row r="2">
          <cell r="B2">
            <v>0</v>
          </cell>
        </row>
        <row r="3">
          <cell r="B3">
            <v>0</v>
          </cell>
        </row>
      </sheetData>
      <sheetData sheetId="30">
        <row r="2">
          <cell r="B2">
            <v>0</v>
          </cell>
        </row>
        <row r="3">
          <cell r="B3">
            <v>0</v>
          </cell>
        </row>
      </sheetData>
      <sheetData sheetId="31">
        <row r="2">
          <cell r="B2">
            <v>0</v>
          </cell>
        </row>
      </sheetData>
      <sheetData sheetId="32">
        <row r="2">
          <cell r="B2">
            <v>0</v>
          </cell>
        </row>
        <row r="3">
          <cell r="B3">
            <v>0</v>
          </cell>
        </row>
      </sheetData>
      <sheetData sheetId="33">
        <row r="2">
          <cell r="B2">
            <v>0</v>
          </cell>
        </row>
        <row r="3">
          <cell r="B3">
            <v>0</v>
          </cell>
        </row>
      </sheetData>
      <sheetData sheetId="34">
        <row r="2">
          <cell r="B2">
            <v>0</v>
          </cell>
        </row>
        <row r="3">
          <cell r="B3">
            <v>0</v>
          </cell>
        </row>
      </sheetData>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ow r="2">
          <cell r="B2">
            <v>1</v>
          </cell>
          <cell r="C2">
            <v>14</v>
          </cell>
        </row>
        <row r="3">
          <cell r="B3">
            <v>14</v>
          </cell>
          <cell r="C3">
            <v>13</v>
          </cell>
        </row>
        <row r="4">
          <cell r="B4">
            <v>13</v>
          </cell>
          <cell r="C4">
            <v>1</v>
          </cell>
        </row>
      </sheetData>
      <sheetData sheetId="71">
        <row r="2">
          <cell r="B2">
            <v>169</v>
          </cell>
        </row>
        <row r="3">
          <cell r="B3">
            <v>55</v>
          </cell>
        </row>
        <row r="4">
          <cell r="B4">
            <v>217</v>
          </cell>
        </row>
      </sheetData>
      <sheetData sheetId="72">
        <row r="2">
          <cell r="B2">
            <v>40</v>
          </cell>
        </row>
        <row r="3">
          <cell r="B3">
            <v>40</v>
          </cell>
        </row>
        <row r="4">
          <cell r="B4">
            <v>0</v>
          </cell>
        </row>
      </sheetData>
      <sheetData sheetId="73">
        <row r="2">
          <cell r="B2">
            <v>169</v>
          </cell>
        </row>
        <row r="3">
          <cell r="B3">
            <v>224</v>
          </cell>
        </row>
        <row r="4">
          <cell r="B4">
            <v>441</v>
          </cell>
        </row>
      </sheetData>
      <sheetData sheetId="74">
        <row r="2">
          <cell r="B2">
            <v>40</v>
          </cell>
        </row>
        <row r="3">
          <cell r="B3">
            <v>80</v>
          </cell>
        </row>
        <row r="4">
          <cell r="B4">
            <v>80</v>
          </cell>
        </row>
      </sheetData>
      <sheetData sheetId="75">
        <row r="2">
          <cell r="B2">
            <v>3.6733333333333329</v>
          </cell>
        </row>
        <row r="3">
          <cell r="B3">
            <v>5.3213888888888894</v>
          </cell>
        </row>
        <row r="4">
          <cell r="B4">
            <v>10.326111111111111</v>
          </cell>
        </row>
      </sheetData>
      <sheetData sheetId="76">
        <row r="2">
          <cell r="B2">
            <v>0</v>
          </cell>
        </row>
        <row r="3">
          <cell r="B3">
            <v>0</v>
          </cell>
        </row>
        <row r="4">
          <cell r="B4">
            <v>0</v>
          </cell>
        </row>
      </sheetData>
      <sheetData sheetId="77">
        <row r="2">
          <cell r="B2">
            <v>1</v>
          </cell>
          <cell r="C2">
            <v>18</v>
          </cell>
        </row>
        <row r="3">
          <cell r="B3">
            <v>18</v>
          </cell>
          <cell r="C3">
            <v>2</v>
          </cell>
        </row>
        <row r="4">
          <cell r="B4">
            <v>2</v>
          </cell>
          <cell r="C4">
            <v>1</v>
          </cell>
        </row>
      </sheetData>
      <sheetData sheetId="78">
        <row r="2">
          <cell r="B2">
            <v>220</v>
          </cell>
        </row>
        <row r="3">
          <cell r="B3">
            <v>83</v>
          </cell>
        </row>
        <row r="4">
          <cell r="B4">
            <v>290</v>
          </cell>
        </row>
      </sheetData>
      <sheetData sheetId="79">
        <row r="2">
          <cell r="B2">
            <v>40</v>
          </cell>
        </row>
        <row r="3">
          <cell r="B3">
            <v>40</v>
          </cell>
        </row>
        <row r="4">
          <cell r="B4">
            <v>0</v>
          </cell>
        </row>
      </sheetData>
      <sheetData sheetId="80">
        <row r="2">
          <cell r="B2">
            <v>220</v>
          </cell>
        </row>
        <row r="3">
          <cell r="B3">
            <v>303</v>
          </cell>
        </row>
        <row r="4">
          <cell r="B4">
            <v>593</v>
          </cell>
        </row>
      </sheetData>
      <sheetData sheetId="81">
        <row r="2">
          <cell r="B2">
            <v>40</v>
          </cell>
        </row>
        <row r="3">
          <cell r="B3">
            <v>80</v>
          </cell>
        </row>
        <row r="4">
          <cell r="B4">
            <v>80</v>
          </cell>
        </row>
      </sheetData>
      <sheetData sheetId="82">
        <row r="2">
          <cell r="B2">
            <v>4.713055555555556</v>
          </cell>
        </row>
        <row r="3">
          <cell r="B3">
            <v>6.9075000000000006</v>
          </cell>
        </row>
        <row r="4">
          <cell r="B4">
            <v>13.50722222222222</v>
          </cell>
        </row>
      </sheetData>
      <sheetData sheetId="83">
        <row r="2">
          <cell r="B2">
            <v>0</v>
          </cell>
        </row>
        <row r="3">
          <cell r="B3">
            <v>0</v>
          </cell>
        </row>
        <row r="4">
          <cell r="B4">
            <v>0</v>
          </cell>
        </row>
      </sheetData>
      <sheetData sheetId="84">
        <row r="2">
          <cell r="B2">
            <v>1</v>
          </cell>
          <cell r="C2">
            <v>21</v>
          </cell>
        </row>
        <row r="3">
          <cell r="B3">
            <v>21</v>
          </cell>
          <cell r="C3">
            <v>12</v>
          </cell>
        </row>
        <row r="4">
          <cell r="B4">
            <v>12</v>
          </cell>
          <cell r="C4">
            <v>1</v>
          </cell>
        </row>
      </sheetData>
      <sheetData sheetId="85">
        <row r="2">
          <cell r="B2">
            <v>279</v>
          </cell>
        </row>
        <row r="3">
          <cell r="B3">
            <v>50</v>
          </cell>
        </row>
        <row r="4">
          <cell r="B4">
            <v>318</v>
          </cell>
        </row>
      </sheetData>
      <sheetData sheetId="86">
        <row r="2">
          <cell r="B2">
            <v>40</v>
          </cell>
        </row>
        <row r="3">
          <cell r="B3">
            <v>40</v>
          </cell>
        </row>
        <row r="4">
          <cell r="B4">
            <v>0</v>
          </cell>
        </row>
      </sheetData>
      <sheetData sheetId="87">
        <row r="2">
          <cell r="B2">
            <v>279</v>
          </cell>
        </row>
        <row r="3">
          <cell r="B3">
            <v>329</v>
          </cell>
        </row>
        <row r="4">
          <cell r="B4">
            <v>647</v>
          </cell>
        </row>
      </sheetData>
      <sheetData sheetId="88">
        <row r="2">
          <cell r="B2">
            <v>40</v>
          </cell>
        </row>
        <row r="3">
          <cell r="B3">
            <v>80</v>
          </cell>
        </row>
        <row r="4">
          <cell r="B4">
            <v>80</v>
          </cell>
        </row>
      </sheetData>
      <sheetData sheetId="89">
        <row r="2">
          <cell r="B2">
            <v>5.2166666666666668</v>
          </cell>
        </row>
        <row r="3">
          <cell r="B3">
            <v>6.9130555555555553</v>
          </cell>
        </row>
        <row r="4">
          <cell r="B4">
            <v>13.480277777777779</v>
          </cell>
        </row>
      </sheetData>
      <sheetData sheetId="90">
        <row r="2">
          <cell r="B2">
            <v>0</v>
          </cell>
        </row>
        <row r="3">
          <cell r="B3">
            <v>0</v>
          </cell>
        </row>
        <row r="4">
          <cell r="B4">
            <v>0</v>
          </cell>
        </row>
      </sheetData>
      <sheetData sheetId="91">
        <row r="2">
          <cell r="B2">
            <v>1</v>
          </cell>
          <cell r="C2">
            <v>4</v>
          </cell>
        </row>
        <row r="3">
          <cell r="B3">
            <v>4</v>
          </cell>
          <cell r="C3">
            <v>5</v>
          </cell>
        </row>
      </sheetData>
      <sheetData sheetId="92">
        <row r="2">
          <cell r="B2">
            <v>284</v>
          </cell>
        </row>
        <row r="3">
          <cell r="B3">
            <v>36</v>
          </cell>
        </row>
      </sheetData>
      <sheetData sheetId="93">
        <row r="2">
          <cell r="B2">
            <v>40</v>
          </cell>
        </row>
        <row r="3">
          <cell r="B3">
            <v>40</v>
          </cell>
        </row>
      </sheetData>
      <sheetData sheetId="94">
        <row r="2">
          <cell r="B2">
            <v>284</v>
          </cell>
        </row>
        <row r="3">
          <cell r="B3">
            <v>320</v>
          </cell>
        </row>
      </sheetData>
      <sheetData sheetId="95">
        <row r="2">
          <cell r="B2">
            <v>40</v>
          </cell>
        </row>
        <row r="3">
          <cell r="B3">
            <v>80</v>
          </cell>
        </row>
      </sheetData>
      <sheetData sheetId="96">
        <row r="2">
          <cell r="B2">
            <v>5.8802777777777777</v>
          </cell>
        </row>
        <row r="3">
          <cell r="B3">
            <v>7.3591666666666669</v>
          </cell>
        </row>
      </sheetData>
      <sheetData sheetId="97">
        <row r="2">
          <cell r="B2">
            <v>0</v>
          </cell>
        </row>
        <row r="3">
          <cell r="B3">
            <v>0</v>
          </cell>
        </row>
      </sheetData>
      <sheetData sheetId="98">
        <row r="2">
          <cell r="B2">
            <v>0</v>
          </cell>
        </row>
        <row r="3">
          <cell r="B3">
            <v>0</v>
          </cell>
        </row>
      </sheetData>
      <sheetData sheetId="99">
        <row r="2">
          <cell r="B2">
            <v>0</v>
          </cell>
        </row>
        <row r="3">
          <cell r="B3">
            <v>0</v>
          </cell>
        </row>
      </sheetData>
      <sheetData sheetId="100">
        <row r="2">
          <cell r="B2">
            <v>0</v>
          </cell>
        </row>
        <row r="3">
          <cell r="B3">
            <v>0</v>
          </cell>
        </row>
      </sheetData>
      <sheetData sheetId="101">
        <row r="2">
          <cell r="B2">
            <v>0</v>
          </cell>
        </row>
      </sheetData>
      <sheetData sheetId="102">
        <row r="2">
          <cell r="B2">
            <v>0</v>
          </cell>
        </row>
        <row r="3">
          <cell r="B3">
            <v>0</v>
          </cell>
        </row>
      </sheetData>
      <sheetData sheetId="103">
        <row r="2">
          <cell r="B2">
            <v>0</v>
          </cell>
        </row>
        <row r="3">
          <cell r="B3">
            <v>0</v>
          </cell>
        </row>
      </sheetData>
      <sheetData sheetId="104">
        <row r="2">
          <cell r="B2">
            <v>0</v>
          </cell>
        </row>
        <row r="3">
          <cell r="B3">
            <v>0</v>
          </cell>
        </row>
      </sheetData>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ow r="2">
          <cell r="B2">
            <v>1</v>
          </cell>
          <cell r="C2">
            <v>9</v>
          </cell>
        </row>
        <row r="3">
          <cell r="B3">
            <v>9</v>
          </cell>
          <cell r="C3">
            <v>3</v>
          </cell>
        </row>
      </sheetData>
      <sheetData sheetId="141">
        <row r="2">
          <cell r="B2">
            <v>306</v>
          </cell>
        </row>
        <row r="3">
          <cell r="B3">
            <v>180</v>
          </cell>
        </row>
      </sheetData>
      <sheetData sheetId="142">
        <row r="2">
          <cell r="B2">
            <v>40</v>
          </cell>
        </row>
        <row r="3">
          <cell r="B3">
            <v>40</v>
          </cell>
        </row>
      </sheetData>
      <sheetData sheetId="143">
        <row r="2">
          <cell r="B2">
            <v>306</v>
          </cell>
        </row>
        <row r="3">
          <cell r="B3">
            <v>486</v>
          </cell>
        </row>
      </sheetData>
      <sheetData sheetId="144">
        <row r="2">
          <cell r="B2">
            <v>40</v>
          </cell>
        </row>
        <row r="3">
          <cell r="B3">
            <v>80</v>
          </cell>
        </row>
      </sheetData>
      <sheetData sheetId="145">
        <row r="2">
          <cell r="B2">
            <v>5.2555555555555564</v>
          </cell>
        </row>
        <row r="3">
          <cell r="B3">
            <v>8.8947222222222226</v>
          </cell>
        </row>
      </sheetData>
      <sheetData sheetId="146">
        <row r="2">
          <cell r="B2">
            <v>0</v>
          </cell>
        </row>
        <row r="3">
          <cell r="B3">
            <v>0</v>
          </cell>
        </row>
      </sheetData>
      <sheetData sheetId="147">
        <row r="2">
          <cell r="B2">
            <v>1</v>
          </cell>
          <cell r="C2">
            <v>8</v>
          </cell>
        </row>
        <row r="3">
          <cell r="B3">
            <v>8</v>
          </cell>
          <cell r="C3">
            <v>11</v>
          </cell>
        </row>
      </sheetData>
      <sheetData sheetId="148">
        <row r="2">
          <cell r="B2">
            <v>440</v>
          </cell>
        </row>
        <row r="3">
          <cell r="B3">
            <v>37</v>
          </cell>
        </row>
      </sheetData>
      <sheetData sheetId="149">
        <row r="2">
          <cell r="B2">
            <v>40</v>
          </cell>
        </row>
        <row r="3">
          <cell r="B3">
            <v>40</v>
          </cell>
        </row>
      </sheetData>
      <sheetData sheetId="150">
        <row r="2">
          <cell r="B2">
            <v>440</v>
          </cell>
        </row>
        <row r="3">
          <cell r="B3">
            <v>477</v>
          </cell>
        </row>
      </sheetData>
      <sheetData sheetId="151">
        <row r="2">
          <cell r="B2">
            <v>40</v>
          </cell>
        </row>
        <row r="3">
          <cell r="B3">
            <v>80</v>
          </cell>
        </row>
      </sheetData>
      <sheetData sheetId="152">
        <row r="2">
          <cell r="B2">
            <v>7.98</v>
          </cell>
        </row>
        <row r="3">
          <cell r="B3">
            <v>9.4216666666666669</v>
          </cell>
        </row>
      </sheetData>
      <sheetData sheetId="153">
        <row r="2">
          <cell r="B2">
            <v>0</v>
          </cell>
        </row>
        <row r="3">
          <cell r="B3">
            <v>0</v>
          </cell>
        </row>
      </sheetData>
      <sheetData sheetId="154">
        <row r="2">
          <cell r="B2">
            <v>1</v>
          </cell>
          <cell r="C2">
            <v>17</v>
          </cell>
        </row>
      </sheetData>
      <sheetData sheetId="155">
        <row r="2">
          <cell r="B2">
            <v>530</v>
          </cell>
        </row>
      </sheetData>
      <sheetData sheetId="156">
        <row r="2">
          <cell r="B2">
            <v>40</v>
          </cell>
        </row>
      </sheetData>
      <sheetData sheetId="157">
        <row r="2">
          <cell r="B2">
            <v>530</v>
          </cell>
        </row>
      </sheetData>
      <sheetData sheetId="158">
        <row r="2">
          <cell r="B2">
            <v>40</v>
          </cell>
        </row>
      </sheetData>
      <sheetData sheetId="159">
        <row r="2">
          <cell r="B2">
            <v>8.3236111111111111</v>
          </cell>
        </row>
      </sheetData>
      <sheetData sheetId="160">
        <row r="2">
          <cell r="B2">
            <v>0</v>
          </cell>
        </row>
      </sheetData>
      <sheetData sheetId="161">
        <row r="2">
          <cell r="B2">
            <v>5</v>
          </cell>
          <cell r="C2">
            <v>1</v>
          </cell>
        </row>
      </sheetData>
      <sheetData sheetId="162">
        <row r="2">
          <cell r="B2">
            <v>310</v>
          </cell>
        </row>
      </sheetData>
      <sheetData sheetId="163">
        <row r="2">
          <cell r="B2">
            <v>0</v>
          </cell>
        </row>
      </sheetData>
      <sheetData sheetId="164">
        <row r="2">
          <cell r="B2">
            <v>310</v>
          </cell>
        </row>
      </sheetData>
      <sheetData sheetId="165">
        <row r="2">
          <cell r="B2">
            <v>80</v>
          </cell>
        </row>
      </sheetData>
      <sheetData sheetId="166">
        <row r="2">
          <cell r="B2">
            <v>7.0780555555555562</v>
          </cell>
        </row>
      </sheetData>
      <sheetData sheetId="167">
        <row r="2">
          <cell r="B2">
            <v>0</v>
          </cell>
        </row>
      </sheetData>
      <sheetData sheetId="168">
        <row r="2">
          <cell r="B2">
            <v>0</v>
          </cell>
        </row>
        <row r="3">
          <cell r="B3">
            <v>0</v>
          </cell>
        </row>
      </sheetData>
      <sheetData sheetId="169">
        <row r="2">
          <cell r="B2">
            <v>0</v>
          </cell>
        </row>
        <row r="3">
          <cell r="B3">
            <v>0</v>
          </cell>
        </row>
      </sheetData>
      <sheetData sheetId="170">
        <row r="2">
          <cell r="B2">
            <v>0</v>
          </cell>
        </row>
        <row r="3">
          <cell r="B3">
            <v>0</v>
          </cell>
        </row>
      </sheetData>
      <sheetData sheetId="171">
        <row r="2">
          <cell r="B2">
            <v>0</v>
          </cell>
        </row>
      </sheetData>
      <sheetData sheetId="172">
        <row r="2">
          <cell r="B2">
            <v>0</v>
          </cell>
        </row>
        <row r="3">
          <cell r="B3">
            <v>0</v>
          </cell>
        </row>
      </sheetData>
      <sheetData sheetId="173">
        <row r="2">
          <cell r="B2">
            <v>0</v>
          </cell>
        </row>
        <row r="3">
          <cell r="B3">
            <v>0</v>
          </cell>
        </row>
      </sheetData>
      <sheetData sheetId="174">
        <row r="2">
          <cell r="B2">
            <v>0</v>
          </cell>
        </row>
        <row r="3">
          <cell r="B3">
            <v>0</v>
          </cell>
        </row>
      </sheetData>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row r="2">
          <cell r="B2">
            <v>3</v>
          </cell>
          <cell r="C2">
            <v>1</v>
          </cell>
        </row>
      </sheetData>
      <sheetData sheetId="211">
        <row r="2">
          <cell r="B2">
            <v>403</v>
          </cell>
        </row>
      </sheetData>
      <sheetData sheetId="212">
        <row r="2">
          <cell r="B2">
            <v>0</v>
          </cell>
        </row>
      </sheetData>
      <sheetData sheetId="213">
        <row r="2">
          <cell r="B2">
            <v>403</v>
          </cell>
        </row>
      </sheetData>
      <sheetData sheetId="214">
        <row r="2">
          <cell r="B2">
            <v>80</v>
          </cell>
        </row>
      </sheetData>
      <sheetData sheetId="215">
        <row r="2">
          <cell r="B2">
            <v>7.265833333333334</v>
          </cell>
        </row>
      </sheetData>
      <sheetData sheetId="216">
        <row r="2">
          <cell r="B2">
            <v>0</v>
          </cell>
        </row>
      </sheetData>
      <sheetData sheetId="217">
        <row r="2">
          <cell r="B2">
            <v>11</v>
          </cell>
          <cell r="C2">
            <v>1</v>
          </cell>
        </row>
      </sheetData>
      <sheetData sheetId="218">
        <row r="2">
          <cell r="B2">
            <v>456</v>
          </cell>
        </row>
      </sheetData>
      <sheetData sheetId="219">
        <row r="2">
          <cell r="B2">
            <v>0</v>
          </cell>
        </row>
      </sheetData>
      <sheetData sheetId="220">
        <row r="2">
          <cell r="B2">
            <v>456</v>
          </cell>
        </row>
      </sheetData>
      <sheetData sheetId="221">
        <row r="2">
          <cell r="B2">
            <v>80</v>
          </cell>
        </row>
      </sheetData>
      <sheetData sheetId="222">
        <row r="2">
          <cell r="B2">
            <v>8.7149999999999999</v>
          </cell>
        </row>
      </sheetData>
      <sheetData sheetId="223">
        <row r="2">
          <cell r="B2">
            <v>0</v>
          </cell>
        </row>
      </sheetData>
      <sheetData sheetId="224">
        <row r="2">
          <cell r="B2">
            <v>17</v>
          </cell>
          <cell r="C2">
            <v>1</v>
          </cell>
        </row>
      </sheetData>
      <sheetData sheetId="225">
        <row r="2">
          <cell r="B2">
            <v>530</v>
          </cell>
        </row>
      </sheetData>
      <sheetData sheetId="226">
        <row r="2">
          <cell r="B2">
            <v>0</v>
          </cell>
        </row>
      </sheetData>
      <sheetData sheetId="227">
        <row r="2">
          <cell r="B2">
            <v>530</v>
          </cell>
        </row>
      </sheetData>
      <sheetData sheetId="228">
        <row r="2">
          <cell r="B2">
            <v>40</v>
          </cell>
        </row>
      </sheetData>
      <sheetData sheetId="229">
        <row r="2">
          <cell r="B2">
            <v>8.33</v>
          </cell>
        </row>
      </sheetData>
      <sheetData sheetId="230">
        <row r="2">
          <cell r="B2">
            <v>0</v>
          </cell>
        </row>
      </sheetData>
      <sheetData sheetId="231">
        <row r="2">
          <cell r="B2">
            <v>1</v>
          </cell>
          <cell r="C2">
            <v>1</v>
          </cell>
        </row>
      </sheetData>
      <sheetData sheetId="232">
        <row r="2">
          <cell r="B2">
            <v>0</v>
          </cell>
        </row>
      </sheetData>
      <sheetData sheetId="233">
        <row r="2">
          <cell r="B2">
            <v>0</v>
          </cell>
        </row>
      </sheetData>
      <sheetData sheetId="234">
        <row r="2">
          <cell r="B2">
            <v>0</v>
          </cell>
        </row>
      </sheetData>
      <sheetData sheetId="235">
        <row r="2">
          <cell r="B2">
            <v>0</v>
          </cell>
        </row>
      </sheetData>
      <sheetData sheetId="236">
        <row r="2">
          <cell r="B2">
            <v>8.3333333333333329E-2</v>
          </cell>
        </row>
      </sheetData>
      <sheetData sheetId="237">
        <row r="2">
          <cell r="B2">
            <v>0</v>
          </cell>
        </row>
      </sheetData>
      <sheetData sheetId="238">
        <row r="2">
          <cell r="B2">
            <v>0</v>
          </cell>
        </row>
        <row r="3">
          <cell r="B3">
            <v>0</v>
          </cell>
        </row>
      </sheetData>
      <sheetData sheetId="239">
        <row r="2">
          <cell r="B2">
            <v>0</v>
          </cell>
        </row>
        <row r="3">
          <cell r="B3">
            <v>0</v>
          </cell>
        </row>
      </sheetData>
      <sheetData sheetId="240">
        <row r="2">
          <cell r="B2">
            <v>0</v>
          </cell>
        </row>
        <row r="3">
          <cell r="B3">
            <v>0</v>
          </cell>
        </row>
      </sheetData>
      <sheetData sheetId="241">
        <row r="2">
          <cell r="B2">
            <v>0</v>
          </cell>
        </row>
      </sheetData>
      <sheetData sheetId="242">
        <row r="2">
          <cell r="B2">
            <v>0</v>
          </cell>
        </row>
        <row r="3">
          <cell r="B3">
            <v>0</v>
          </cell>
        </row>
      </sheetData>
      <sheetData sheetId="243">
        <row r="2">
          <cell r="B2">
            <v>0</v>
          </cell>
        </row>
        <row r="3">
          <cell r="B3">
            <v>0</v>
          </cell>
        </row>
      </sheetData>
      <sheetData sheetId="244">
        <row r="2">
          <cell r="B2">
            <v>0</v>
          </cell>
        </row>
        <row r="3">
          <cell r="B3">
            <v>0</v>
          </cell>
        </row>
      </sheetData>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ow r="2">
          <cell r="B2">
            <v>1</v>
          </cell>
          <cell r="C2">
            <v>1</v>
          </cell>
        </row>
      </sheetData>
      <sheetData sheetId="281">
        <row r="2">
          <cell r="B2">
            <v>0</v>
          </cell>
        </row>
      </sheetData>
      <sheetData sheetId="282">
        <row r="2">
          <cell r="B2">
            <v>0</v>
          </cell>
        </row>
      </sheetData>
      <sheetData sheetId="283">
        <row r="2">
          <cell r="B2">
            <v>0</v>
          </cell>
        </row>
      </sheetData>
      <sheetData sheetId="284">
        <row r="2">
          <cell r="B2">
            <v>0</v>
          </cell>
        </row>
      </sheetData>
      <sheetData sheetId="285">
        <row r="2">
          <cell r="B2">
            <v>8.3333333333333329E-2</v>
          </cell>
        </row>
      </sheetData>
      <sheetData sheetId="286">
        <row r="2">
          <cell r="B2">
            <v>0</v>
          </cell>
        </row>
      </sheetData>
      <sheetData sheetId="287">
        <row r="2">
          <cell r="B2">
            <v>1</v>
          </cell>
          <cell r="C2">
            <v>1</v>
          </cell>
        </row>
      </sheetData>
      <sheetData sheetId="288">
        <row r="2">
          <cell r="B2">
            <v>0</v>
          </cell>
        </row>
      </sheetData>
      <sheetData sheetId="289">
        <row r="2">
          <cell r="B2">
            <v>0</v>
          </cell>
        </row>
      </sheetData>
      <sheetData sheetId="290">
        <row r="2">
          <cell r="B2">
            <v>0</v>
          </cell>
        </row>
      </sheetData>
      <sheetData sheetId="291">
        <row r="2">
          <cell r="B2">
            <v>0</v>
          </cell>
        </row>
      </sheetData>
      <sheetData sheetId="292">
        <row r="2">
          <cell r="B2">
            <v>8.3333333333333329E-2</v>
          </cell>
        </row>
      </sheetData>
      <sheetData sheetId="293">
        <row r="2">
          <cell r="B2">
            <v>0</v>
          </cell>
        </row>
      </sheetData>
      <sheetData sheetId="294">
        <row r="2">
          <cell r="B2">
            <v>1</v>
          </cell>
          <cell r="C2">
            <v>1</v>
          </cell>
        </row>
      </sheetData>
      <sheetData sheetId="295">
        <row r="2">
          <cell r="B2">
            <v>0</v>
          </cell>
        </row>
      </sheetData>
      <sheetData sheetId="296">
        <row r="2">
          <cell r="B2">
            <v>0</v>
          </cell>
        </row>
      </sheetData>
      <sheetData sheetId="297">
        <row r="2">
          <cell r="B2">
            <v>0</v>
          </cell>
        </row>
      </sheetData>
      <sheetData sheetId="298">
        <row r="2">
          <cell r="B2">
            <v>0</v>
          </cell>
        </row>
      </sheetData>
      <sheetData sheetId="299">
        <row r="2">
          <cell r="B2">
            <v>8.3333333333333329E-2</v>
          </cell>
        </row>
      </sheetData>
      <sheetData sheetId="300">
        <row r="2">
          <cell r="B2">
            <v>0</v>
          </cell>
        </row>
      </sheetData>
      <sheetData sheetId="301">
        <row r="2">
          <cell r="B2">
            <v>1</v>
          </cell>
          <cell r="C2">
            <v>1</v>
          </cell>
        </row>
      </sheetData>
      <sheetData sheetId="302">
        <row r="2">
          <cell r="B2">
            <v>0</v>
          </cell>
        </row>
      </sheetData>
      <sheetData sheetId="303">
        <row r="2">
          <cell r="B2">
            <v>0</v>
          </cell>
        </row>
      </sheetData>
      <sheetData sheetId="304">
        <row r="2">
          <cell r="B2">
            <v>0</v>
          </cell>
        </row>
      </sheetData>
      <sheetData sheetId="305">
        <row r="2">
          <cell r="B2">
            <v>0</v>
          </cell>
        </row>
      </sheetData>
      <sheetData sheetId="306">
        <row r="2">
          <cell r="B2">
            <v>8.3333333333333329E-2</v>
          </cell>
        </row>
      </sheetData>
      <sheetData sheetId="307">
        <row r="2">
          <cell r="B2">
            <v>0</v>
          </cell>
        </row>
      </sheetData>
      <sheetData sheetId="308">
        <row r="2">
          <cell r="B2">
            <v>0</v>
          </cell>
        </row>
        <row r="3">
          <cell r="B3">
            <v>0</v>
          </cell>
        </row>
      </sheetData>
      <sheetData sheetId="309">
        <row r="2">
          <cell r="B2">
            <v>0</v>
          </cell>
        </row>
        <row r="3">
          <cell r="B3">
            <v>0</v>
          </cell>
        </row>
      </sheetData>
      <sheetData sheetId="310">
        <row r="2">
          <cell r="B2">
            <v>0</v>
          </cell>
        </row>
        <row r="3">
          <cell r="B3">
            <v>0</v>
          </cell>
        </row>
      </sheetData>
      <sheetData sheetId="311">
        <row r="2">
          <cell r="B2">
            <v>0</v>
          </cell>
        </row>
      </sheetData>
      <sheetData sheetId="312">
        <row r="2">
          <cell r="B2">
            <v>0</v>
          </cell>
        </row>
        <row r="3">
          <cell r="B3">
            <v>0</v>
          </cell>
        </row>
      </sheetData>
      <sheetData sheetId="313">
        <row r="2">
          <cell r="B2">
            <v>0</v>
          </cell>
        </row>
        <row r="3">
          <cell r="B3">
            <v>0</v>
          </cell>
        </row>
      </sheetData>
      <sheetData sheetId="314">
        <row r="2">
          <cell r="B2">
            <v>0</v>
          </cell>
        </row>
        <row r="3">
          <cell r="B3">
            <v>0</v>
          </cell>
        </row>
      </sheetData>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21</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66" dataDxfId="64" headerRowBorderDxfId="65" tableBorderDxfId="63" totalsRowBorderDxfId="62">
  <autoFilter ref="A1:M5664" xr:uid="{ED3E4153-7E58-4E25-A22C-B92B1BF70490}">
    <filterColumn colId="6">
      <filters>
        <filter val="FTI"/>
      </filters>
    </filterColumn>
  </autoFilter>
  <tableColumns count="13">
    <tableColumn id="2" xr3:uid="{7A5A49BC-512F-4E98-9501-3DAE82973B2B}" name="Account Name" dataDxfId="61"/>
    <tableColumn id="12" xr3:uid="{BBA839F2-C9E5-49C4-9264-99F1F380CC6F}" name="Monday" dataDxfId="60"/>
    <tableColumn id="13" xr3:uid="{3252179E-6924-49CD-BABF-1735C36CE107}" name="Tuesday" dataDxfId="59"/>
    <tableColumn id="5" xr3:uid="{18F4C585-E87E-4BFE-9FA2-6995803098AA}" name="Wednesday" dataDxfId="58"/>
    <tableColumn id="6" xr3:uid="{C5413C4C-C293-408A-B492-D551B0470411}" name="Thursday" dataDxfId="57"/>
    <tableColumn id="4" xr3:uid="{3597F941-4914-4428-B9E6-ACD0A678C0D1}" name="Friday" dataDxfId="56"/>
    <tableColumn id="3" xr3:uid="{7E39AE04-3BFB-404E-908B-0F97326D1790}" name="Primary Plant" dataDxfId="55"/>
    <tableColumn id="7" xr3:uid="{960D1E20-B173-4C63-BB00-D6E39B2CFBA3}" name="Distance" dataDxfId="54"/>
    <tableColumn id="8" xr3:uid="{E468EB51-A44C-4807-871F-5CBE9499E993}" name="Billing Street" dataDxfId="53"/>
    <tableColumn id="9" xr3:uid="{29E00EC3-2433-40A9-A395-AC6C37C1E33A}" name="Billing City" dataDxfId="52"/>
    <tableColumn id="10" xr3:uid="{1AB2EB92-4E82-4DF6-BBA9-2610EAB2B1FA}" name="Billing State/Province" dataDxfId="51"/>
    <tableColumn id="11" xr3:uid="{EA89260E-D0AD-417A-BF47-DCC219A01E59}" name="Billing Zip/Postal Code" dataDxfId="50"/>
    <tableColumn id="1" xr3:uid="{1D0E711E-3D50-4771-88D8-8CC0103AD810}" name="Column1" dataDxfId="49">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ctrlProp" Target="../ctrlProps/ctrlProp3.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vmlDrawing" Target="../drawings/vmlDrawing2.v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workbookViewId="0">
      <selection activeCell="F5" sqref="F5"/>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30.9520514, -85.5124188</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34.1840976, -90.5618376</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16193</v>
      </c>
      <c r="D138" s="1"/>
      <c r="E138" s="1"/>
      <c r="F138" s="1" t="str" cm="1">
        <f t="array" ref="F138">GetCoordinates(M138)</f>
        <v>34.4519676, -86.9396020</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6"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workbookViewId="0"/>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16194</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16198</v>
      </c>
      <c r="Z2" s="11"/>
      <c r="AA2" s="11"/>
      <c r="AB2" s="11"/>
      <c r="AC2" s="11"/>
      <c r="AD2" s="11"/>
      <c r="AE2" s="11"/>
      <c r="AF2" s="11"/>
      <c r="AG2" s="11"/>
    </row>
    <row r="3" spans="1:33" x14ac:dyDescent="0.25">
      <c r="A3" s="10">
        <v>32.389564499999999</v>
      </c>
      <c r="B3" s="10" t="s">
        <v>16194</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MAX(unit_entry!C2, unit_entry!D2)+1</f>
        <v>1</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MAX(unit_entry!C3, unit_entry!D3)+1</f>
        <v>41</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MAX(unit_entry!C4, unit_entry!D4)+1</f>
        <v>41</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390</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MAX(unit_entry!C5, unit_entry!D5)+1</f>
        <v>41</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f>MAX(unit_entry!C6, unit_entry!D6)+1</f>
        <v>41</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MAX(unit_entry!C7, unit_entry!D7)+1</f>
        <v>41</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MAX(unit_entry!C8, unit_entry!D8)+1</f>
        <v>41</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MAX(unit_entry!C9, unit_entry!D9)+1</f>
        <v>41</v>
      </c>
    </row>
    <row r="11" spans="1:33" x14ac:dyDescent="0.25">
      <c r="A11" s="10">
        <v>30.285323099999999</v>
      </c>
      <c r="B11" s="10" t="s">
        <v>16155</v>
      </c>
      <c r="C11" cm="1">
        <f t="array" ref="C11">TRAVELDISTANCE($B11, C$2, $A$1)</f>
        <v>306</v>
      </c>
      <c r="D11" cm="1">
        <f t="array" ref="D11">TRAVELDISTANCE($B11, D$2, $A$1)</f>
        <v>563</v>
      </c>
      <c r="E11" cm="1">
        <f t="array" ref="E11">TRAVELDISTANCE($B11, E$2, $A$1)</f>
        <v>180</v>
      </c>
      <c r="F11" cm="1">
        <f t="array" ref="F11">TRAVELDISTANCE($B11, F$2, $A$1)</f>
        <v>580</v>
      </c>
      <c r="G11" cm="1">
        <f t="array" ref="G11">TRAVELDISTANCE($B11, G$2, $A$1)</f>
        <v>635</v>
      </c>
      <c r="H11" cm="1">
        <f t="array" ref="H11">TRAVELDISTANCE($B11, H$2, $A$1)</f>
        <v>198</v>
      </c>
      <c r="I11" cm="1">
        <f t="array" ref="I11">TRAVELDISTANCE($B11, I$2, $A$1)</f>
        <v>270</v>
      </c>
      <c r="J11" cm="1">
        <f t="array" ref="J11">TRAVELDISTANCE($B11, J$2, $A$1)</f>
        <v>732</v>
      </c>
      <c r="K11" cm="1">
        <f t="array" ref="K11">TRAVELDISTANCE($B11, K$2, $A$1)</f>
        <v>0</v>
      </c>
      <c r="L11" cm="1">
        <f t="array" ref="L11">TRAVELDISTANCE($B11, L$2, $A$1)</f>
        <v>359</v>
      </c>
      <c r="M11" cm="1">
        <f t="array" ref="M11">TRAVELDISTANCE($B11, M$2, $A$1)</f>
        <v>757</v>
      </c>
      <c r="N11" cm="1">
        <f t="array" ref="N11">TRAVELDISTANCE($B11, N$2, $A$1)</f>
        <v>619</v>
      </c>
      <c r="O11" cm="1">
        <f t="array" ref="O11">TRAVELDISTANCE($B11, O$2, $A$1)</f>
        <v>502</v>
      </c>
      <c r="P11" cm="1">
        <f t="array" ref="P11">TRAVELDISTANCE($B11, P$2, $A$1)</f>
        <v>426</v>
      </c>
      <c r="Q11" cm="1">
        <f t="array" ref="Q11">TRAVELDISTANCE($B11, Q$2, $A$1)</f>
        <v>327</v>
      </c>
      <c r="R11" cm="1">
        <f t="array" ref="R11">TRAVELDISTANCE($B11, R$2, $A$1)</f>
        <v>386</v>
      </c>
      <c r="S11" cm="1">
        <f t="array" ref="S11">TRAVELDISTANCE($B11, S$2, $A$1)</f>
        <v>277</v>
      </c>
      <c r="T11" cm="1">
        <f t="array" ref="T11">TRAVELDISTANCE($B11, T$2, $A$1)</f>
        <v>479</v>
      </c>
      <c r="U11" cm="1">
        <f t="array" ref="U11">TRAVELDISTANCE($B11, U$2, $A$1)</f>
        <v>346</v>
      </c>
      <c r="V11" cm="1">
        <f t="array" ref="V11">TRAVELDISTANCE($B11, V$2, $A$1)</f>
        <v>329</v>
      </c>
      <c r="W11" cm="1">
        <f t="array" ref="W11">TRAVELDISTANCE($B11, W$2, $A$1)</f>
        <v>579</v>
      </c>
      <c r="X11" cm="1">
        <f t="array" ref="X11">TRAVELDISTANCE($B11, X$2, $A$1)</f>
        <v>380</v>
      </c>
      <c r="Y11">
        <f>MAX(unit_entry!C10, unit_entry!D10)+1</f>
        <v>41</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MAX(unit_entry!C11, unit_entry!D11)+1</f>
        <v>41</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294</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MAX(unit_entry!C12, unit_entry!D12)+1</f>
        <v>41</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225</v>
      </c>
      <c r="K14" cm="1">
        <f t="array" ref="K14">TRAVELDISTANCE($B14, K$2, $A$1)</f>
        <v>619</v>
      </c>
      <c r="L14" cm="1">
        <f t="array" ref="L14">TRAVELDISTANCE($B14, L$2, $A$1)</f>
        <v>248</v>
      </c>
      <c r="M14" cm="1">
        <f t="array" ref="M14">TRAVELDISTANCE($B14, M$2, $A$1)</f>
        <v>187</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MAX(unit_entry!C13, unit_entry!D13)+1</f>
        <v>41</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MAX(unit_entry!C14, unit_entry!D14)+1</f>
        <v>41</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MAX(unit_entry!C15, unit_entry!D15)+1</f>
        <v>41</v>
      </c>
    </row>
    <row r="17" spans="1:25"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MAX(unit_entry!C16, unit_entry!D16)+1</f>
        <v>41</v>
      </c>
    </row>
    <row r="18" spans="1:25"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235</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142</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MAX(unit_entry!C17, unit_entry!D17)+1</f>
        <v>41</v>
      </c>
    </row>
    <row r="19" spans="1:25"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MAX(unit_entry!C18, unit_entry!D18)+1</f>
        <v>41</v>
      </c>
    </row>
    <row r="20" spans="1:25"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MAX(unit_entry!C19, unit_entry!D19)+1</f>
        <v>41</v>
      </c>
    </row>
    <row r="21" spans="1:25"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MAX(unit_entry!C20, unit_entry!D20)+1</f>
        <v>41</v>
      </c>
    </row>
    <row r="22" spans="1:25"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MAX(unit_entry!C21, unit_entry!D21)+1</f>
        <v>41</v>
      </c>
    </row>
    <row r="23" spans="1:25"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116</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MAX(unit_entry!C22, unit_entry!D22)+1</f>
        <v>41</v>
      </c>
    </row>
    <row r="24" spans="1:25" x14ac:dyDescent="0.25">
      <c r="A24" s="10">
        <v>30.785589000000002</v>
      </c>
      <c r="B24" s="10" t="s">
        <v>16198</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MAX(unit_entry!C23, unit_entry!D23)+1</f>
        <v>41</v>
      </c>
    </row>
    <row r="25" spans="1:25" x14ac:dyDescent="0.25">
      <c r="A25" s="10"/>
      <c r="B25" s="10"/>
      <c r="C25" cm="1">
        <f t="array" ref="C25:X25">TRANSPOSE(Y3:Y24)</f>
        <v>1</v>
      </c>
      <c r="D25">
        <v>41</v>
      </c>
      <c r="E25">
        <v>41</v>
      </c>
      <c r="F25">
        <v>41</v>
      </c>
      <c r="G25">
        <v>41</v>
      </c>
      <c r="H25">
        <v>41</v>
      </c>
      <c r="I25">
        <v>41</v>
      </c>
      <c r="J25">
        <v>41</v>
      </c>
      <c r="K25">
        <v>41</v>
      </c>
      <c r="L25">
        <v>41</v>
      </c>
      <c r="M25">
        <v>41</v>
      </c>
      <c r="N25">
        <v>41</v>
      </c>
      <c r="O25">
        <v>41</v>
      </c>
      <c r="P25">
        <v>41</v>
      </c>
      <c r="Q25">
        <v>41</v>
      </c>
      <c r="R25">
        <v>41</v>
      </c>
      <c r="S25">
        <v>41</v>
      </c>
      <c r="T25">
        <v>41</v>
      </c>
      <c r="U25">
        <v>41</v>
      </c>
      <c r="V25">
        <v>41</v>
      </c>
      <c r="W25">
        <v>41</v>
      </c>
      <c r="X25">
        <v>41</v>
      </c>
    </row>
    <row r="26" spans="1:25" x14ac:dyDescent="0.25">
      <c r="C26">
        <f>C3/C$25</f>
        <v>0</v>
      </c>
      <c r="D26">
        <f>D3/D$25</f>
        <v>7.0731707317073171</v>
      </c>
      <c r="E26">
        <f t="shared" ref="E26:X26" si="0">E3/E$25</f>
        <v>9.8536585365853657</v>
      </c>
      <c r="F26">
        <f t="shared" si="0"/>
        <v>6.9268292682926829</v>
      </c>
      <c r="G26">
        <f t="shared" si="0"/>
        <v>7.5365853658536581</v>
      </c>
      <c r="H26">
        <f t="shared" si="0"/>
        <v>2.8292682926829267</v>
      </c>
      <c r="I26">
        <f t="shared" si="0"/>
        <v>1.1219512195121952</v>
      </c>
      <c r="J26">
        <f t="shared" si="0"/>
        <v>10.731707317073171</v>
      </c>
      <c r="K26">
        <f t="shared" si="0"/>
        <v>7.4634146341463419</v>
      </c>
      <c r="L26">
        <f t="shared" si="0"/>
        <v>1.7317073170731707</v>
      </c>
      <c r="M26">
        <f t="shared" si="0"/>
        <v>11.146341463414634</v>
      </c>
      <c r="N26">
        <f t="shared" si="0"/>
        <v>7.7804878048780486</v>
      </c>
      <c r="O26">
        <f t="shared" si="0"/>
        <v>5.3170731707317076</v>
      </c>
      <c r="P26">
        <f t="shared" si="0"/>
        <v>4.1219512195121952</v>
      </c>
      <c r="Q26">
        <f t="shared" si="0"/>
        <v>0.87804878048780488</v>
      </c>
      <c r="R26">
        <f t="shared" si="0"/>
        <v>2.9512195121951219</v>
      </c>
      <c r="S26">
        <f t="shared" si="0"/>
        <v>12.926829268292684</v>
      </c>
      <c r="T26">
        <f t="shared" si="0"/>
        <v>5.3658536585365857</v>
      </c>
      <c r="U26">
        <f t="shared" si="0"/>
        <v>3.4878048780487805</v>
      </c>
      <c r="V26">
        <f t="shared" si="0"/>
        <v>0.92682926829268297</v>
      </c>
      <c r="W26">
        <f t="shared" si="0"/>
        <v>6.8048780487804876</v>
      </c>
      <c r="X26">
        <f t="shared" si="0"/>
        <v>3.024390243902439</v>
      </c>
    </row>
    <row r="27" spans="1:25" x14ac:dyDescent="0.25">
      <c r="C27">
        <f t="shared" ref="C27:D47" si="1">C4/C$25</f>
        <v>290</v>
      </c>
      <c r="D27">
        <f t="shared" si="1"/>
        <v>0</v>
      </c>
      <c r="E27">
        <f t="shared" ref="E27:X27" si="2">E4/E$25</f>
        <v>16.390243902439025</v>
      </c>
      <c r="F27">
        <f t="shared" si="2"/>
        <v>0.80487804878048785</v>
      </c>
      <c r="G27">
        <f t="shared" si="2"/>
        <v>1.4390243902439024</v>
      </c>
      <c r="H27">
        <f t="shared" si="2"/>
        <v>9.0243902439024382</v>
      </c>
      <c r="I27">
        <f t="shared" si="2"/>
        <v>7.5121951219512191</v>
      </c>
      <c r="J27">
        <f t="shared" si="2"/>
        <v>3.2682926829268291</v>
      </c>
      <c r="K27">
        <f t="shared" si="2"/>
        <v>14</v>
      </c>
      <c r="L27">
        <f t="shared" si="2"/>
        <v>5.6585365853658534</v>
      </c>
      <c r="M27">
        <f t="shared" si="2"/>
        <v>3.5609756097560976</v>
      </c>
      <c r="N27">
        <f t="shared" si="2"/>
        <v>2.6585365853658538</v>
      </c>
      <c r="O27">
        <f t="shared" si="2"/>
        <v>3.6829268292682928</v>
      </c>
      <c r="P27">
        <f t="shared" si="2"/>
        <v>3.5121951219512195</v>
      </c>
      <c r="Q27">
        <f t="shared" si="2"/>
        <v>7.9268292682926829</v>
      </c>
      <c r="R27">
        <f t="shared" si="2"/>
        <v>4.4878048780487809</v>
      </c>
      <c r="S27">
        <f t="shared" si="2"/>
        <v>19.463414634146343</v>
      </c>
      <c r="T27">
        <f t="shared" si="2"/>
        <v>2</v>
      </c>
      <c r="U27">
        <f t="shared" si="2"/>
        <v>5.6097560975609753</v>
      </c>
      <c r="V27">
        <f t="shared" si="2"/>
        <v>6.2926829268292686</v>
      </c>
      <c r="W27">
        <f t="shared" si="2"/>
        <v>3.8292682926829267</v>
      </c>
      <c r="X27">
        <f t="shared" si="2"/>
        <v>4.4878048780487809</v>
      </c>
    </row>
    <row r="28" spans="1:25" x14ac:dyDescent="0.25">
      <c r="C28">
        <f t="shared" si="1"/>
        <v>403</v>
      </c>
      <c r="D28">
        <f t="shared" si="1"/>
        <v>16.121951219512194</v>
      </c>
      <c r="E28">
        <f t="shared" ref="E28:X28" si="3">E5/E$25</f>
        <v>0</v>
      </c>
      <c r="F28">
        <f t="shared" si="3"/>
        <v>16.512195121951219</v>
      </c>
      <c r="G28">
        <f t="shared" si="3"/>
        <v>17.878048780487806</v>
      </c>
      <c r="H28">
        <f t="shared" si="3"/>
        <v>7.1951219512195124</v>
      </c>
      <c r="I28">
        <f t="shared" si="3"/>
        <v>8.9512195121951219</v>
      </c>
      <c r="J28">
        <f t="shared" si="3"/>
        <v>20.219512195121951</v>
      </c>
      <c r="K28">
        <f t="shared" si="3"/>
        <v>4.3414634146341466</v>
      </c>
      <c r="L28">
        <f t="shared" si="3"/>
        <v>11.121951219512194</v>
      </c>
      <c r="M28">
        <f t="shared" si="3"/>
        <v>20.829268292682926</v>
      </c>
      <c r="N28">
        <f t="shared" si="3"/>
        <v>17.487804878048781</v>
      </c>
      <c r="O28">
        <f t="shared" si="3"/>
        <v>14.634146341463415</v>
      </c>
      <c r="P28">
        <f t="shared" si="3"/>
        <v>12.780487804878049</v>
      </c>
      <c r="Q28">
        <f t="shared" si="3"/>
        <v>10.365853658536585</v>
      </c>
      <c r="R28">
        <f t="shared" si="3"/>
        <v>11.780487804878049</v>
      </c>
      <c r="S28">
        <f t="shared" si="3"/>
        <v>3.6829268292682928</v>
      </c>
      <c r="T28">
        <f t="shared" si="3"/>
        <v>14.048780487804878</v>
      </c>
      <c r="U28">
        <f t="shared" si="3"/>
        <v>10.829268292682928</v>
      </c>
      <c r="V28">
        <f t="shared" si="3"/>
        <v>10.414634146341463</v>
      </c>
      <c r="W28">
        <f t="shared" si="3"/>
        <v>16.487804878048781</v>
      </c>
      <c r="X28">
        <f t="shared" si="3"/>
        <v>11.634146341463415</v>
      </c>
    </row>
    <row r="29" spans="1:25" x14ac:dyDescent="0.25">
      <c r="C29">
        <f t="shared" si="1"/>
        <v>284</v>
      </c>
      <c r="D29">
        <f t="shared" si="1"/>
        <v>0.78048780487804881</v>
      </c>
      <c r="E29">
        <f t="shared" ref="E29:X29" si="4">E6/E$25</f>
        <v>16.536585365853657</v>
      </c>
      <c r="F29">
        <f t="shared" si="4"/>
        <v>0</v>
      </c>
      <c r="G29">
        <f t="shared" si="4"/>
        <v>0.87804878048780488</v>
      </c>
      <c r="H29">
        <f t="shared" si="4"/>
        <v>9.5121951219512191</v>
      </c>
      <c r="I29">
        <f t="shared" si="4"/>
        <v>7.4878048780487809</v>
      </c>
      <c r="J29">
        <f t="shared" si="4"/>
        <v>3.1463414634146343</v>
      </c>
      <c r="K29">
        <f t="shared" si="4"/>
        <v>14.146341463414634</v>
      </c>
      <c r="L29">
        <f t="shared" si="4"/>
        <v>5.4878048780487809</v>
      </c>
      <c r="M29">
        <f t="shared" si="4"/>
        <v>3.4634146341463414</v>
      </c>
      <c r="N29">
        <f t="shared" si="4"/>
        <v>3.5121951219512195</v>
      </c>
      <c r="O29">
        <f t="shared" si="4"/>
        <v>4.1219512195121952</v>
      </c>
      <c r="P29">
        <f t="shared" si="4"/>
        <v>3.9512195121951219</v>
      </c>
      <c r="Q29">
        <f t="shared" si="4"/>
        <v>7.3658536585365857</v>
      </c>
      <c r="R29">
        <f t="shared" si="4"/>
        <v>4.9268292682926829</v>
      </c>
      <c r="S29">
        <f t="shared" si="4"/>
        <v>19.609756097560975</v>
      </c>
      <c r="T29">
        <f t="shared" si="4"/>
        <v>2.5121951219512195</v>
      </c>
      <c r="U29">
        <f t="shared" si="4"/>
        <v>6.0487804878048781</v>
      </c>
      <c r="V29">
        <f t="shared" si="4"/>
        <v>6.1463414634146343</v>
      </c>
      <c r="W29">
        <f t="shared" si="4"/>
        <v>4.6829268292682924</v>
      </c>
      <c r="X29">
        <f t="shared" si="4"/>
        <v>4.9268292682926829</v>
      </c>
    </row>
    <row r="30" spans="1:25" x14ac:dyDescent="0.25">
      <c r="C30">
        <f t="shared" si="1"/>
        <v>310</v>
      </c>
      <c r="D30">
        <f t="shared" si="1"/>
        <v>1.4146341463414633</v>
      </c>
      <c r="E30">
        <f t="shared" ref="E30:X30" si="5">E7/E$25</f>
        <v>17.902439024390244</v>
      </c>
      <c r="F30">
        <f t="shared" si="5"/>
        <v>0.87804878048780488</v>
      </c>
      <c r="G30">
        <f t="shared" si="5"/>
        <v>0</v>
      </c>
      <c r="H30">
        <f t="shared" si="5"/>
        <v>10.902439024390244</v>
      </c>
      <c r="I30">
        <f t="shared" si="5"/>
        <v>8.1463414634146343</v>
      </c>
      <c r="J30">
        <f t="shared" si="5"/>
        <v>2.4146341463414633</v>
      </c>
      <c r="K30">
        <f t="shared" si="5"/>
        <v>15.512195121951219</v>
      </c>
      <c r="L30">
        <f t="shared" si="5"/>
        <v>6.1463414634146343</v>
      </c>
      <c r="M30">
        <f t="shared" si="5"/>
        <v>2.7317073170731709</v>
      </c>
      <c r="N30">
        <f t="shared" si="5"/>
        <v>4.3414634146341466</v>
      </c>
      <c r="O30">
        <f t="shared" si="5"/>
        <v>5.1707317073170733</v>
      </c>
      <c r="P30">
        <f t="shared" si="5"/>
        <v>5</v>
      </c>
      <c r="Q30">
        <f t="shared" si="5"/>
        <v>7.5609756097560972</v>
      </c>
      <c r="R30">
        <f t="shared" si="5"/>
        <v>5.7317073170731705</v>
      </c>
      <c r="S30">
        <f t="shared" si="5"/>
        <v>20.975609756097562</v>
      </c>
      <c r="T30">
        <f t="shared" si="5"/>
        <v>3.4878048780487805</v>
      </c>
      <c r="U30">
        <f t="shared" si="5"/>
        <v>6.8536585365853657</v>
      </c>
      <c r="V30">
        <f t="shared" si="5"/>
        <v>6.7804878048780486</v>
      </c>
      <c r="W30">
        <f t="shared" si="5"/>
        <v>5.5121951219512191</v>
      </c>
      <c r="X30">
        <f t="shared" si="5"/>
        <v>5.7560975609756095</v>
      </c>
    </row>
    <row r="31" spans="1:25" x14ac:dyDescent="0.25">
      <c r="C31">
        <f t="shared" si="1"/>
        <v>116</v>
      </c>
      <c r="D31">
        <f t="shared" si="1"/>
        <v>9.0487804878048781</v>
      </c>
      <c r="E31">
        <f t="shared" ref="E31:X31" si="6">E8/E$25</f>
        <v>7.2195121951219514</v>
      </c>
      <c r="F31">
        <f t="shared" si="6"/>
        <v>9.2682926829268286</v>
      </c>
      <c r="G31">
        <f t="shared" si="6"/>
        <v>10.853658536585366</v>
      </c>
      <c r="H31">
        <f t="shared" si="6"/>
        <v>0</v>
      </c>
      <c r="I31">
        <f t="shared" si="6"/>
        <v>1.9512195121951219</v>
      </c>
      <c r="J31">
        <f t="shared" si="6"/>
        <v>12.219512195121951</v>
      </c>
      <c r="K31">
        <f t="shared" si="6"/>
        <v>4.8292682926829267</v>
      </c>
      <c r="L31">
        <f t="shared" si="6"/>
        <v>3.7073170731707319</v>
      </c>
      <c r="M31">
        <f t="shared" si="6"/>
        <v>12.731707317073171</v>
      </c>
      <c r="N31">
        <f t="shared" si="6"/>
        <v>9.3902439024390247</v>
      </c>
      <c r="O31">
        <f t="shared" si="6"/>
        <v>6.9024390243902438</v>
      </c>
      <c r="P31">
        <f t="shared" si="6"/>
        <v>5.7073170731707314</v>
      </c>
      <c r="Q31">
        <f t="shared" si="6"/>
        <v>3.3658536585365852</v>
      </c>
      <c r="R31">
        <f t="shared" si="6"/>
        <v>4.4390243902439028</v>
      </c>
      <c r="S31">
        <f t="shared" si="6"/>
        <v>10.292682926829269</v>
      </c>
      <c r="T31">
        <f t="shared" si="6"/>
        <v>6.975609756097561</v>
      </c>
      <c r="U31">
        <f t="shared" si="6"/>
        <v>4.3170731707317076</v>
      </c>
      <c r="V31">
        <f t="shared" si="6"/>
        <v>3.4146341463414633</v>
      </c>
      <c r="W31">
        <f t="shared" si="6"/>
        <v>8.3902439024390247</v>
      </c>
      <c r="X31">
        <f t="shared" si="6"/>
        <v>4.5853658536585362</v>
      </c>
    </row>
    <row r="32" spans="1:25" x14ac:dyDescent="0.25">
      <c r="C32">
        <f t="shared" si="1"/>
        <v>46</v>
      </c>
      <c r="D32">
        <f t="shared" si="1"/>
        <v>7.5121951219512191</v>
      </c>
      <c r="E32">
        <f t="shared" ref="E32:X32" si="7">E9/E$25</f>
        <v>8.9756097560975618</v>
      </c>
      <c r="F32">
        <f t="shared" si="7"/>
        <v>7.6097560975609753</v>
      </c>
      <c r="G32">
        <f t="shared" si="7"/>
        <v>8.2439024390243905</v>
      </c>
      <c r="H32">
        <f t="shared" si="7"/>
        <v>1.975609756097561</v>
      </c>
      <c r="I32">
        <f t="shared" si="7"/>
        <v>0</v>
      </c>
      <c r="J32">
        <f t="shared" si="7"/>
        <v>10.682926829268293</v>
      </c>
      <c r="K32">
        <f t="shared" si="7"/>
        <v>6.5853658536585362</v>
      </c>
      <c r="L32">
        <f t="shared" si="7"/>
        <v>1.9512195121951219</v>
      </c>
      <c r="M32">
        <f t="shared" si="7"/>
        <v>11.195121951219512</v>
      </c>
      <c r="N32">
        <f t="shared" si="7"/>
        <v>7.8536585365853657</v>
      </c>
      <c r="O32">
        <f t="shared" si="7"/>
        <v>5.3658536585365857</v>
      </c>
      <c r="P32">
        <f t="shared" si="7"/>
        <v>4.1707317073170733</v>
      </c>
      <c r="Q32">
        <f t="shared" si="7"/>
        <v>1.8536585365853659</v>
      </c>
      <c r="R32">
        <f t="shared" si="7"/>
        <v>2.9268292682926829</v>
      </c>
      <c r="S32">
        <f t="shared" si="7"/>
        <v>12.048780487804878</v>
      </c>
      <c r="T32">
        <f t="shared" si="7"/>
        <v>5.4634146341463419</v>
      </c>
      <c r="U32">
        <f t="shared" si="7"/>
        <v>3.4634146341463414</v>
      </c>
      <c r="V32">
        <f t="shared" si="7"/>
        <v>1.5121951219512195</v>
      </c>
      <c r="W32">
        <f t="shared" si="7"/>
        <v>6.8536585365853657</v>
      </c>
      <c r="X32">
        <f t="shared" si="7"/>
        <v>3.0487804878048781</v>
      </c>
    </row>
    <row r="33" spans="3:24" x14ac:dyDescent="0.25">
      <c r="C33">
        <f t="shared" si="1"/>
        <v>440</v>
      </c>
      <c r="D33">
        <f t="shared" si="1"/>
        <v>3.2195121951219514</v>
      </c>
      <c r="E33">
        <f t="shared" ref="E33:X33" si="8">E10/E$25</f>
        <v>20.317073170731707</v>
      </c>
      <c r="F33">
        <f t="shared" si="8"/>
        <v>3.1463414634146343</v>
      </c>
      <c r="G33">
        <f t="shared" si="8"/>
        <v>2.4146341463414633</v>
      </c>
      <c r="H33">
        <f t="shared" si="8"/>
        <v>12.195121951219512</v>
      </c>
      <c r="I33">
        <f t="shared" si="8"/>
        <v>10.682926829268293</v>
      </c>
      <c r="J33">
        <f t="shared" si="8"/>
        <v>0</v>
      </c>
      <c r="K33">
        <f t="shared" si="8"/>
        <v>17.926829268292682</v>
      </c>
      <c r="L33">
        <f t="shared" si="8"/>
        <v>8.8292682926829276</v>
      </c>
      <c r="M33">
        <f t="shared" si="8"/>
        <v>0.90243902439024393</v>
      </c>
      <c r="N33">
        <f t="shared" si="8"/>
        <v>5.4878048780487809</v>
      </c>
      <c r="O33">
        <f t="shared" si="8"/>
        <v>6.8780487804878048</v>
      </c>
      <c r="P33">
        <f t="shared" si="8"/>
        <v>6.6829268292682924</v>
      </c>
      <c r="Q33">
        <f t="shared" si="8"/>
        <v>9.9512195121951219</v>
      </c>
      <c r="R33">
        <f t="shared" si="8"/>
        <v>7.6585365853658534</v>
      </c>
      <c r="S33">
        <f t="shared" si="8"/>
        <v>23.390243902439025</v>
      </c>
      <c r="T33">
        <f t="shared" si="8"/>
        <v>5.1707317073170733</v>
      </c>
      <c r="U33">
        <f t="shared" si="8"/>
        <v>8.7804878048780495</v>
      </c>
      <c r="V33">
        <f t="shared" si="8"/>
        <v>9.463414634146341</v>
      </c>
      <c r="W33">
        <f t="shared" si="8"/>
        <v>6.6341463414634143</v>
      </c>
      <c r="X33">
        <f t="shared" si="8"/>
        <v>7.6585365853658534</v>
      </c>
    </row>
    <row r="34" spans="3:24" x14ac:dyDescent="0.25">
      <c r="C34">
        <f t="shared" si="1"/>
        <v>306</v>
      </c>
      <c r="D34">
        <f t="shared" si="1"/>
        <v>13.731707317073171</v>
      </c>
      <c r="E34">
        <f t="shared" ref="E34:X34" si="9">E11/E$25</f>
        <v>4.3902439024390247</v>
      </c>
      <c r="F34">
        <f t="shared" si="9"/>
        <v>14.146341463414634</v>
      </c>
      <c r="G34">
        <f t="shared" si="9"/>
        <v>15.487804878048781</v>
      </c>
      <c r="H34">
        <f t="shared" si="9"/>
        <v>4.8292682926829267</v>
      </c>
      <c r="I34">
        <f t="shared" si="9"/>
        <v>6.5853658536585362</v>
      </c>
      <c r="J34">
        <f t="shared" si="9"/>
        <v>17.853658536585368</v>
      </c>
      <c r="K34">
        <f t="shared" si="9"/>
        <v>0</v>
      </c>
      <c r="L34">
        <f t="shared" si="9"/>
        <v>8.7560975609756095</v>
      </c>
      <c r="M34">
        <f t="shared" si="9"/>
        <v>18.463414634146343</v>
      </c>
      <c r="N34">
        <f t="shared" si="9"/>
        <v>15.097560975609756</v>
      </c>
      <c r="O34">
        <f t="shared" si="9"/>
        <v>12.24390243902439</v>
      </c>
      <c r="P34">
        <f t="shared" si="9"/>
        <v>10.390243902439025</v>
      </c>
      <c r="Q34">
        <f t="shared" si="9"/>
        <v>7.975609756097561</v>
      </c>
      <c r="R34">
        <f t="shared" si="9"/>
        <v>9.4146341463414629</v>
      </c>
      <c r="S34">
        <f t="shared" si="9"/>
        <v>6.7560975609756095</v>
      </c>
      <c r="T34">
        <f t="shared" si="9"/>
        <v>11.682926829268293</v>
      </c>
      <c r="U34">
        <f t="shared" si="9"/>
        <v>8.4390243902439028</v>
      </c>
      <c r="V34">
        <f t="shared" si="9"/>
        <v>8.0243902439024382</v>
      </c>
      <c r="W34">
        <f t="shared" si="9"/>
        <v>14.121951219512194</v>
      </c>
      <c r="X34">
        <f t="shared" si="9"/>
        <v>9.2682926829268286</v>
      </c>
    </row>
    <row r="35" spans="3:24" x14ac:dyDescent="0.25">
      <c r="C35">
        <f t="shared" si="1"/>
        <v>70</v>
      </c>
      <c r="D35">
        <f t="shared" si="1"/>
        <v>5.6829268292682924</v>
      </c>
      <c r="E35">
        <f t="shared" ref="E35:X35" si="10">E12/E$25</f>
        <v>11.146341463414634</v>
      </c>
      <c r="F35">
        <f t="shared" si="10"/>
        <v>5.4878048780487809</v>
      </c>
      <c r="G35">
        <f t="shared" si="10"/>
        <v>6.1219512195121952</v>
      </c>
      <c r="H35">
        <f t="shared" si="10"/>
        <v>3.7073170731707319</v>
      </c>
      <c r="I35">
        <f t="shared" si="10"/>
        <v>1.9512195121951219</v>
      </c>
      <c r="J35">
        <f t="shared" si="10"/>
        <v>8.8536585365853657</v>
      </c>
      <c r="K35">
        <f t="shared" si="10"/>
        <v>8.7560975609756095</v>
      </c>
      <c r="L35">
        <f t="shared" si="10"/>
        <v>0</v>
      </c>
      <c r="M35">
        <f t="shared" si="10"/>
        <v>9.4146341463414629</v>
      </c>
      <c r="N35">
        <f t="shared" si="10"/>
        <v>6.0487804878048781</v>
      </c>
      <c r="O35">
        <f t="shared" si="10"/>
        <v>3.5853658536585367</v>
      </c>
      <c r="P35">
        <f t="shared" si="10"/>
        <v>2.3902439024390243</v>
      </c>
      <c r="Q35">
        <f t="shared" si="10"/>
        <v>2.0487804878048781</v>
      </c>
      <c r="R35">
        <f t="shared" si="10"/>
        <v>1.2195121951219512</v>
      </c>
      <c r="S35">
        <f t="shared" si="10"/>
        <v>14.219512195121951</v>
      </c>
      <c r="T35">
        <f t="shared" si="10"/>
        <v>3.6341463414634148</v>
      </c>
      <c r="U35">
        <f t="shared" si="10"/>
        <v>2.3902439024390243</v>
      </c>
      <c r="V35">
        <f t="shared" si="10"/>
        <v>0.80487804878048785</v>
      </c>
      <c r="W35">
        <f t="shared" si="10"/>
        <v>5.0731707317073171</v>
      </c>
      <c r="X35">
        <f t="shared" si="10"/>
        <v>1.2926829268292683</v>
      </c>
    </row>
    <row r="36" spans="3:24" x14ac:dyDescent="0.25">
      <c r="C36">
        <f t="shared" si="1"/>
        <v>456</v>
      </c>
      <c r="D36">
        <f t="shared" si="1"/>
        <v>3.5365853658536586</v>
      </c>
      <c r="E36">
        <f t="shared" ref="E36:X36" si="11">E13/E$25</f>
        <v>20.829268292682926</v>
      </c>
      <c r="F36">
        <f t="shared" si="11"/>
        <v>3.4634146341463414</v>
      </c>
      <c r="G36">
        <f t="shared" si="11"/>
        <v>2.7317073170731709</v>
      </c>
      <c r="H36">
        <f t="shared" si="11"/>
        <v>12.75609756097561</v>
      </c>
      <c r="I36">
        <f t="shared" si="11"/>
        <v>11.219512195121951</v>
      </c>
      <c r="J36">
        <f t="shared" si="11"/>
        <v>0.90243902439024393</v>
      </c>
      <c r="K36">
        <f t="shared" si="11"/>
        <v>18.439024390243901</v>
      </c>
      <c r="L36">
        <f t="shared" si="11"/>
        <v>9.4146341463414629</v>
      </c>
      <c r="M36">
        <f t="shared" si="11"/>
        <v>0</v>
      </c>
      <c r="N36">
        <f t="shared" si="11"/>
        <v>4.5609756097560972</v>
      </c>
      <c r="O36">
        <f t="shared" si="11"/>
        <v>6.3658536585365857</v>
      </c>
      <c r="P36">
        <f t="shared" si="11"/>
        <v>7.1707317073170733</v>
      </c>
      <c r="Q36">
        <f t="shared" si="11"/>
        <v>10.292682926829269</v>
      </c>
      <c r="R36">
        <f t="shared" si="11"/>
        <v>8.1951219512195124</v>
      </c>
      <c r="S36">
        <f t="shared" si="11"/>
        <v>23.902439024390244</v>
      </c>
      <c r="T36">
        <f t="shared" si="11"/>
        <v>5.4878048780487809</v>
      </c>
      <c r="U36">
        <f t="shared" si="11"/>
        <v>9.3170731707317067</v>
      </c>
      <c r="V36">
        <f t="shared" si="11"/>
        <v>10.219512195121951</v>
      </c>
      <c r="W36">
        <f t="shared" si="11"/>
        <v>5.7073170731707314</v>
      </c>
      <c r="X36">
        <f t="shared" si="11"/>
        <v>8.1951219512195124</v>
      </c>
    </row>
    <row r="37" spans="3:24" x14ac:dyDescent="0.25">
      <c r="C37">
        <f t="shared" si="1"/>
        <v>318</v>
      </c>
      <c r="D37">
        <f t="shared" si="1"/>
        <v>2.6585365853658538</v>
      </c>
      <c r="E37">
        <f t="shared" ref="E37:X37" si="12">E14/E$25</f>
        <v>17.487804878048781</v>
      </c>
      <c r="F37">
        <f t="shared" si="12"/>
        <v>3.5121951219512195</v>
      </c>
      <c r="G37">
        <f t="shared" si="12"/>
        <v>4.3414634146341466</v>
      </c>
      <c r="H37">
        <f t="shared" si="12"/>
        <v>9.3902439024390247</v>
      </c>
      <c r="I37">
        <f t="shared" si="12"/>
        <v>7.8536585365853657</v>
      </c>
      <c r="J37">
        <f t="shared" si="12"/>
        <v>5.4878048780487809</v>
      </c>
      <c r="K37">
        <f t="shared" si="12"/>
        <v>15.097560975609756</v>
      </c>
      <c r="L37">
        <f t="shared" si="12"/>
        <v>6.0487804878048781</v>
      </c>
      <c r="M37">
        <f t="shared" si="12"/>
        <v>4.5609756097560972</v>
      </c>
      <c r="N37">
        <f t="shared" si="12"/>
        <v>0</v>
      </c>
      <c r="O37">
        <f t="shared" si="12"/>
        <v>3</v>
      </c>
      <c r="P37">
        <f t="shared" si="12"/>
        <v>3.8048780487804876</v>
      </c>
      <c r="Q37">
        <f t="shared" si="12"/>
        <v>8.2195121951219505</v>
      </c>
      <c r="R37">
        <f t="shared" si="12"/>
        <v>4.8536585365853657</v>
      </c>
      <c r="S37">
        <f t="shared" si="12"/>
        <v>20.560975609756099</v>
      </c>
      <c r="T37">
        <f t="shared" si="12"/>
        <v>2.4634146341463414</v>
      </c>
      <c r="U37">
        <f t="shared" si="12"/>
        <v>5.975609756097561</v>
      </c>
      <c r="V37">
        <f t="shared" si="12"/>
        <v>6.8780487804878048</v>
      </c>
      <c r="W37">
        <f t="shared" si="12"/>
        <v>1.2195121951219512</v>
      </c>
      <c r="X37">
        <f t="shared" si="12"/>
        <v>4.8292682926829267</v>
      </c>
    </row>
    <row r="38" spans="3:24" x14ac:dyDescent="0.25">
      <c r="C38">
        <f t="shared" si="1"/>
        <v>217</v>
      </c>
      <c r="D38">
        <f t="shared" si="1"/>
        <v>3.7073170731707319</v>
      </c>
      <c r="E38">
        <f t="shared" ref="E38:X38" si="13">E15/E$25</f>
        <v>14.634146341463415</v>
      </c>
      <c r="F38">
        <f t="shared" si="13"/>
        <v>4.1219512195121952</v>
      </c>
      <c r="G38">
        <f t="shared" si="13"/>
        <v>5.1707317073170733</v>
      </c>
      <c r="H38">
        <f t="shared" si="13"/>
        <v>6.9268292682926829</v>
      </c>
      <c r="I38">
        <f t="shared" si="13"/>
        <v>5.3902439024390247</v>
      </c>
      <c r="J38">
        <f t="shared" si="13"/>
        <v>6.8536585365853657</v>
      </c>
      <c r="K38">
        <f t="shared" si="13"/>
        <v>12.24390243902439</v>
      </c>
      <c r="L38">
        <f t="shared" si="13"/>
        <v>3.5853658536585367</v>
      </c>
      <c r="M38">
        <f t="shared" si="13"/>
        <v>6.3658536585365857</v>
      </c>
      <c r="N38">
        <f t="shared" si="13"/>
        <v>3</v>
      </c>
      <c r="O38">
        <f t="shared" si="13"/>
        <v>0</v>
      </c>
      <c r="P38">
        <f t="shared" si="13"/>
        <v>1.3414634146341464</v>
      </c>
      <c r="Q38">
        <f t="shared" si="13"/>
        <v>5.7560975609756095</v>
      </c>
      <c r="R38">
        <f t="shared" si="13"/>
        <v>2.3902439024390243</v>
      </c>
      <c r="S38">
        <f t="shared" si="13"/>
        <v>17.707317073170731</v>
      </c>
      <c r="T38">
        <f t="shared" si="13"/>
        <v>1.6585365853658536</v>
      </c>
      <c r="U38">
        <f t="shared" si="13"/>
        <v>3.5121951219512195</v>
      </c>
      <c r="V38">
        <f t="shared" si="13"/>
        <v>4.4146341463414638</v>
      </c>
      <c r="W38">
        <f t="shared" si="13"/>
        <v>2.024390243902439</v>
      </c>
      <c r="X38">
        <f t="shared" si="13"/>
        <v>2.3658536585365852</v>
      </c>
    </row>
    <row r="39" spans="3:24" x14ac:dyDescent="0.25">
      <c r="C39">
        <f t="shared" si="1"/>
        <v>168</v>
      </c>
      <c r="D39">
        <f t="shared" si="1"/>
        <v>3.5365853658536586</v>
      </c>
      <c r="E39">
        <f t="shared" ref="E39:X39" si="14">E16/E$25</f>
        <v>13.073170731707316</v>
      </c>
      <c r="F39">
        <f t="shared" si="14"/>
        <v>3.975609756097561</v>
      </c>
      <c r="G39">
        <f t="shared" si="14"/>
        <v>5.024390243902439</v>
      </c>
      <c r="H39">
        <f t="shared" si="14"/>
        <v>5.7073170731707314</v>
      </c>
      <c r="I39">
        <f t="shared" si="14"/>
        <v>4.1951219512195124</v>
      </c>
      <c r="J39">
        <f t="shared" si="14"/>
        <v>6.7073170731707314</v>
      </c>
      <c r="K39">
        <f t="shared" si="14"/>
        <v>10.682926829268293</v>
      </c>
      <c r="L39">
        <f t="shared" si="14"/>
        <v>2.3902439024390243</v>
      </c>
      <c r="M39">
        <f t="shared" si="14"/>
        <v>7.1707317073170733</v>
      </c>
      <c r="N39">
        <f t="shared" si="14"/>
        <v>3.8048780487804876</v>
      </c>
      <c r="O39">
        <f t="shared" si="14"/>
        <v>1.3414634146341464</v>
      </c>
      <c r="P39">
        <f t="shared" si="14"/>
        <v>0</v>
      </c>
      <c r="Q39">
        <f t="shared" si="14"/>
        <v>4.5609756097560972</v>
      </c>
      <c r="R39">
        <f t="shared" si="14"/>
        <v>1.1707317073170731</v>
      </c>
      <c r="S39">
        <f t="shared" si="14"/>
        <v>16.146341463414632</v>
      </c>
      <c r="T39">
        <f t="shared" si="14"/>
        <v>1.4878048780487805</v>
      </c>
      <c r="U39">
        <f t="shared" si="14"/>
        <v>2.2926829268292681</v>
      </c>
      <c r="V39">
        <f t="shared" si="14"/>
        <v>3.1951219512195124</v>
      </c>
      <c r="W39">
        <f t="shared" si="14"/>
        <v>2.8292682926829267</v>
      </c>
      <c r="X39">
        <f t="shared" si="14"/>
        <v>1.1463414634146341</v>
      </c>
    </row>
    <row r="40" spans="3:24" x14ac:dyDescent="0.25">
      <c r="C40">
        <f t="shared" si="1"/>
        <v>32</v>
      </c>
      <c r="D40">
        <f t="shared" si="1"/>
        <v>7.9024390243902438</v>
      </c>
      <c r="E40">
        <f t="shared" ref="E40:X40" si="15">E17/E$25</f>
        <v>10.365853658536585</v>
      </c>
      <c r="F40">
        <f t="shared" si="15"/>
        <v>7.2439024390243905</v>
      </c>
      <c r="G40">
        <f t="shared" si="15"/>
        <v>7.5365853658536581</v>
      </c>
      <c r="H40">
        <f t="shared" si="15"/>
        <v>3.3658536585365852</v>
      </c>
      <c r="I40">
        <f t="shared" si="15"/>
        <v>1.8536585365853659</v>
      </c>
      <c r="J40">
        <f t="shared" si="15"/>
        <v>9.8780487804878057</v>
      </c>
      <c r="K40">
        <f t="shared" si="15"/>
        <v>7.975609756097561</v>
      </c>
      <c r="L40">
        <f t="shared" si="15"/>
        <v>2.0487804878048781</v>
      </c>
      <c r="M40">
        <f t="shared" si="15"/>
        <v>10.268292682926829</v>
      </c>
      <c r="N40">
        <f t="shared" si="15"/>
        <v>8.2195121951219505</v>
      </c>
      <c r="O40">
        <f t="shared" si="15"/>
        <v>5.7560975609756095</v>
      </c>
      <c r="P40">
        <f t="shared" si="15"/>
        <v>4.5609756097560972</v>
      </c>
      <c r="Q40">
        <f t="shared" si="15"/>
        <v>0</v>
      </c>
      <c r="R40">
        <f t="shared" si="15"/>
        <v>3.4390243902439024</v>
      </c>
      <c r="S40">
        <f t="shared" si="15"/>
        <v>13.439024390243903</v>
      </c>
      <c r="T40">
        <f t="shared" si="15"/>
        <v>5.7804878048780486</v>
      </c>
      <c r="U40">
        <f t="shared" si="15"/>
        <v>4.5609756097560972</v>
      </c>
      <c r="V40">
        <f t="shared" si="15"/>
        <v>1.2195121951219512</v>
      </c>
      <c r="W40">
        <f t="shared" si="15"/>
        <v>7.2439024390243905</v>
      </c>
      <c r="X40">
        <f t="shared" si="15"/>
        <v>3.4634146341463414</v>
      </c>
    </row>
    <row r="41" spans="3:24" x14ac:dyDescent="0.25">
      <c r="C41">
        <f t="shared" si="1"/>
        <v>120</v>
      </c>
      <c r="D41">
        <f t="shared" si="1"/>
        <v>4.5121951219512191</v>
      </c>
      <c r="E41">
        <f t="shared" ref="E41:X41" si="16">E18/E$25</f>
        <v>11.902439024390244</v>
      </c>
      <c r="F41">
        <f t="shared" si="16"/>
        <v>4.9512195121951219</v>
      </c>
      <c r="G41">
        <f t="shared" si="16"/>
        <v>5.7317073170731705</v>
      </c>
      <c r="H41">
        <f t="shared" si="16"/>
        <v>4.5609756097560972</v>
      </c>
      <c r="I41">
        <f t="shared" si="16"/>
        <v>3.024390243902439</v>
      </c>
      <c r="J41">
        <f t="shared" si="16"/>
        <v>7.6829268292682924</v>
      </c>
      <c r="K41">
        <f t="shared" si="16"/>
        <v>9.5121951219512191</v>
      </c>
      <c r="L41">
        <f t="shared" si="16"/>
        <v>1.2195121951219512</v>
      </c>
      <c r="M41">
        <f t="shared" si="16"/>
        <v>8.2195121951219505</v>
      </c>
      <c r="N41">
        <f t="shared" si="16"/>
        <v>4.8536585365853657</v>
      </c>
      <c r="O41">
        <f t="shared" si="16"/>
        <v>2.3902439024390243</v>
      </c>
      <c r="P41">
        <f t="shared" si="16"/>
        <v>1.1707317073170731</v>
      </c>
      <c r="Q41">
        <f t="shared" si="16"/>
        <v>3.4634146341463414</v>
      </c>
      <c r="R41">
        <f t="shared" si="16"/>
        <v>0</v>
      </c>
      <c r="S41">
        <f t="shared" si="16"/>
        <v>14.975609756097562</v>
      </c>
      <c r="T41">
        <f t="shared" si="16"/>
        <v>2.4634146341463414</v>
      </c>
      <c r="U41">
        <f t="shared" si="16"/>
        <v>1.1463414634146341</v>
      </c>
      <c r="V41">
        <f t="shared" si="16"/>
        <v>2.024390243902439</v>
      </c>
      <c r="W41">
        <f t="shared" si="16"/>
        <v>3.8780487804878048</v>
      </c>
      <c r="X41">
        <f t="shared" si="16"/>
        <v>4.878048780487805E-2</v>
      </c>
    </row>
    <row r="42" spans="3:24" x14ac:dyDescent="0.25">
      <c r="C42">
        <f t="shared" si="1"/>
        <v>530</v>
      </c>
      <c r="D42">
        <f t="shared" si="1"/>
        <v>19.219512195121951</v>
      </c>
      <c r="E42">
        <f t="shared" ref="E42:X42" si="17">E19/E$25</f>
        <v>3.7073170731707319</v>
      </c>
      <c r="F42">
        <f t="shared" si="17"/>
        <v>19.609756097560975</v>
      </c>
      <c r="G42">
        <f t="shared" si="17"/>
        <v>20.975609756097562</v>
      </c>
      <c r="H42">
        <f t="shared" si="17"/>
        <v>10.292682926829269</v>
      </c>
      <c r="I42">
        <f t="shared" si="17"/>
        <v>12.048780487804878</v>
      </c>
      <c r="J42">
        <f t="shared" si="17"/>
        <v>23.317073170731707</v>
      </c>
      <c r="K42">
        <f t="shared" si="17"/>
        <v>6.7073170731707314</v>
      </c>
      <c r="L42">
        <f t="shared" si="17"/>
        <v>14.219512195121951</v>
      </c>
      <c r="M42">
        <f t="shared" si="17"/>
        <v>23.926829268292682</v>
      </c>
      <c r="N42">
        <f t="shared" si="17"/>
        <v>20.585365853658537</v>
      </c>
      <c r="O42">
        <f t="shared" si="17"/>
        <v>17.73170731707317</v>
      </c>
      <c r="P42">
        <f t="shared" si="17"/>
        <v>15.878048780487806</v>
      </c>
      <c r="Q42">
        <f t="shared" si="17"/>
        <v>13.463414634146341</v>
      </c>
      <c r="R42">
        <f t="shared" si="17"/>
        <v>14.878048780487806</v>
      </c>
      <c r="S42">
        <f t="shared" si="17"/>
        <v>0</v>
      </c>
      <c r="T42">
        <f t="shared" si="17"/>
        <v>17.146341463414632</v>
      </c>
      <c r="U42">
        <f t="shared" si="17"/>
        <v>13.926829268292684</v>
      </c>
      <c r="V42">
        <f t="shared" si="17"/>
        <v>13.512195121951219</v>
      </c>
      <c r="W42">
        <f t="shared" si="17"/>
        <v>19.585365853658537</v>
      </c>
      <c r="X42">
        <f t="shared" si="17"/>
        <v>14.75609756097561</v>
      </c>
    </row>
    <row r="43" spans="3:24" x14ac:dyDescent="0.25">
      <c r="C43">
        <f t="shared" si="1"/>
        <v>219</v>
      </c>
      <c r="D43">
        <f t="shared" si="1"/>
        <v>2.024390243902439</v>
      </c>
      <c r="E43">
        <f t="shared" ref="E43:X43" si="18">E20/E$25</f>
        <v>14.341463414634147</v>
      </c>
      <c r="F43">
        <f t="shared" si="18"/>
        <v>2.5121951219512195</v>
      </c>
      <c r="G43">
        <f t="shared" si="18"/>
        <v>3.4878048780487805</v>
      </c>
      <c r="H43">
        <f t="shared" si="18"/>
        <v>7</v>
      </c>
      <c r="I43">
        <f t="shared" si="18"/>
        <v>5.4634146341463419</v>
      </c>
      <c r="J43">
        <f t="shared" si="18"/>
        <v>5.1951219512195124</v>
      </c>
      <c r="K43">
        <f t="shared" si="18"/>
        <v>11.951219512195122</v>
      </c>
      <c r="L43">
        <f t="shared" si="18"/>
        <v>3.6341463414634148</v>
      </c>
      <c r="M43">
        <f t="shared" si="18"/>
        <v>5.4878048780487809</v>
      </c>
      <c r="N43">
        <f t="shared" si="18"/>
        <v>2.4634146341463414</v>
      </c>
      <c r="O43">
        <f t="shared" si="18"/>
        <v>1.6829268292682926</v>
      </c>
      <c r="P43">
        <f t="shared" si="18"/>
        <v>1.4878048780487805</v>
      </c>
      <c r="Q43">
        <f t="shared" si="18"/>
        <v>5.7804878048780486</v>
      </c>
      <c r="R43">
        <f t="shared" si="18"/>
        <v>2.4634146341463414</v>
      </c>
      <c r="S43">
        <f t="shared" si="18"/>
        <v>17.414634146341463</v>
      </c>
      <c r="T43">
        <f t="shared" si="18"/>
        <v>0</v>
      </c>
      <c r="U43">
        <f t="shared" si="18"/>
        <v>3.5853658536585367</v>
      </c>
      <c r="V43">
        <f t="shared" si="18"/>
        <v>4.4390243902439028</v>
      </c>
      <c r="W43">
        <f t="shared" si="18"/>
        <v>2.975609756097561</v>
      </c>
      <c r="X43">
        <f t="shared" si="18"/>
        <v>2.4634146341463414</v>
      </c>
    </row>
    <row r="44" spans="3:24" x14ac:dyDescent="0.25">
      <c r="C44">
        <f t="shared" si="1"/>
        <v>144</v>
      </c>
      <c r="D44">
        <f t="shared" si="1"/>
        <v>5.6341463414634143</v>
      </c>
      <c r="E44">
        <f t="shared" ref="E44:X44" si="19">E21/E$25</f>
        <v>10.829268292682928</v>
      </c>
      <c r="F44">
        <f t="shared" si="19"/>
        <v>6.0731707317073171</v>
      </c>
      <c r="G44">
        <f t="shared" si="19"/>
        <v>6.8536585365853657</v>
      </c>
      <c r="H44">
        <f t="shared" si="19"/>
        <v>4.3170731707317076</v>
      </c>
      <c r="I44">
        <f t="shared" si="19"/>
        <v>3.4146341463414633</v>
      </c>
      <c r="J44">
        <f t="shared" si="19"/>
        <v>8.8048780487804876</v>
      </c>
      <c r="K44">
        <f t="shared" si="19"/>
        <v>8.463414634146341</v>
      </c>
      <c r="L44">
        <f t="shared" si="19"/>
        <v>2.4146341463414633</v>
      </c>
      <c r="M44">
        <f t="shared" si="19"/>
        <v>9.3170731707317067</v>
      </c>
      <c r="N44">
        <f t="shared" si="19"/>
        <v>5.975609756097561</v>
      </c>
      <c r="O44">
        <f t="shared" si="19"/>
        <v>3.5121951219512195</v>
      </c>
      <c r="P44">
        <f t="shared" si="19"/>
        <v>2.2926829268292681</v>
      </c>
      <c r="Q44">
        <f t="shared" si="19"/>
        <v>4.5609756097560972</v>
      </c>
      <c r="R44">
        <f t="shared" si="19"/>
        <v>1.1463414634146341</v>
      </c>
      <c r="S44">
        <f t="shared" si="19"/>
        <v>13.902439024390244</v>
      </c>
      <c r="T44">
        <f t="shared" si="19"/>
        <v>3.5853658536585367</v>
      </c>
      <c r="U44">
        <f t="shared" si="19"/>
        <v>0</v>
      </c>
      <c r="V44">
        <f t="shared" si="19"/>
        <v>2.7073170731707319</v>
      </c>
      <c r="W44">
        <f t="shared" si="19"/>
        <v>4.975609756097561</v>
      </c>
      <c r="X44">
        <f t="shared" si="19"/>
        <v>1.1707317073170731</v>
      </c>
    </row>
    <row r="45" spans="3:24" x14ac:dyDescent="0.25">
      <c r="C45">
        <f t="shared" si="1"/>
        <v>38</v>
      </c>
      <c r="D45">
        <f t="shared" si="1"/>
        <v>6.2926829268292686</v>
      </c>
      <c r="E45">
        <f t="shared" ref="E45:X45" si="20">E22/E$25</f>
        <v>10.414634146341463</v>
      </c>
      <c r="F45">
        <f t="shared" si="20"/>
        <v>6.1463414634146343</v>
      </c>
      <c r="G45">
        <f t="shared" si="20"/>
        <v>6.7560975609756095</v>
      </c>
      <c r="H45">
        <f t="shared" si="20"/>
        <v>3.4146341463414633</v>
      </c>
      <c r="I45">
        <f t="shared" si="20"/>
        <v>1.3902439024390243</v>
      </c>
      <c r="J45">
        <f t="shared" si="20"/>
        <v>9.4878048780487809</v>
      </c>
      <c r="K45">
        <f t="shared" si="20"/>
        <v>8.0243902439024382</v>
      </c>
      <c r="L45">
        <f t="shared" si="20"/>
        <v>0.85365853658536583</v>
      </c>
      <c r="M45">
        <f t="shared" si="20"/>
        <v>10.268292682926829</v>
      </c>
      <c r="N45">
        <f t="shared" si="20"/>
        <v>6.9268292682926829</v>
      </c>
      <c r="O45">
        <f t="shared" si="20"/>
        <v>4.4390243902439028</v>
      </c>
      <c r="P45">
        <f t="shared" si="20"/>
        <v>3.2439024390243905</v>
      </c>
      <c r="Q45">
        <f t="shared" si="20"/>
        <v>1.2195121951219512</v>
      </c>
      <c r="R45">
        <f t="shared" si="20"/>
        <v>2.0731707317073171</v>
      </c>
      <c r="S45">
        <f t="shared" si="20"/>
        <v>13.487804878048781</v>
      </c>
      <c r="T45">
        <f t="shared" si="20"/>
        <v>4.4878048780487809</v>
      </c>
      <c r="U45">
        <f t="shared" si="20"/>
        <v>2.7560975609756095</v>
      </c>
      <c r="V45">
        <f t="shared" si="20"/>
        <v>0</v>
      </c>
      <c r="W45">
        <f t="shared" si="20"/>
        <v>5.9268292682926829</v>
      </c>
      <c r="X45">
        <f t="shared" si="20"/>
        <v>2.1463414634146343</v>
      </c>
    </row>
    <row r="46" spans="3:24" x14ac:dyDescent="0.25">
      <c r="C46">
        <f t="shared" si="1"/>
        <v>278</v>
      </c>
      <c r="D46">
        <f t="shared" si="1"/>
        <v>3.8536585365853657</v>
      </c>
      <c r="E46">
        <f t="shared" ref="E46:X46" si="21">E23/E$25</f>
        <v>16.512195121951219</v>
      </c>
      <c r="F46">
        <f t="shared" si="21"/>
        <v>4.7073170731707314</v>
      </c>
      <c r="G46">
        <f t="shared" si="21"/>
        <v>5.5121951219512191</v>
      </c>
      <c r="H46">
        <f t="shared" si="21"/>
        <v>8.4146341463414629</v>
      </c>
      <c r="I46">
        <f t="shared" si="21"/>
        <v>6.8780487804878048</v>
      </c>
      <c r="J46">
        <f t="shared" si="21"/>
        <v>6.6341463414634143</v>
      </c>
      <c r="K46">
        <f t="shared" si="21"/>
        <v>14.121951219512194</v>
      </c>
      <c r="L46">
        <f t="shared" si="21"/>
        <v>5.0731707317073171</v>
      </c>
      <c r="M46">
        <f t="shared" si="21"/>
        <v>5.7073170731707314</v>
      </c>
      <c r="N46">
        <f t="shared" si="21"/>
        <v>1.2195121951219512</v>
      </c>
      <c r="O46">
        <f t="shared" si="21"/>
        <v>2.024390243902439</v>
      </c>
      <c r="P46">
        <f t="shared" si="21"/>
        <v>2.8292682926829267</v>
      </c>
      <c r="Q46">
        <f t="shared" si="21"/>
        <v>7.2439024390243905</v>
      </c>
      <c r="R46">
        <f t="shared" si="21"/>
        <v>3.8780487804878048</v>
      </c>
      <c r="S46">
        <f t="shared" si="21"/>
        <v>19.560975609756099</v>
      </c>
      <c r="T46">
        <f t="shared" si="21"/>
        <v>2.975609756097561</v>
      </c>
      <c r="U46">
        <f t="shared" si="21"/>
        <v>4.975609756097561</v>
      </c>
      <c r="V46">
        <f t="shared" si="21"/>
        <v>5.8780487804878048</v>
      </c>
      <c r="W46">
        <f t="shared" si="21"/>
        <v>0</v>
      </c>
      <c r="X46">
        <f t="shared" si="21"/>
        <v>3.8536585365853657</v>
      </c>
    </row>
    <row r="47" spans="3:24" x14ac:dyDescent="0.25">
      <c r="C47">
        <f t="shared" si="1"/>
        <v>122</v>
      </c>
      <c r="D47">
        <f t="shared" si="1"/>
        <v>4.5121951219512191</v>
      </c>
      <c r="E47">
        <f t="shared" ref="E47:X47" si="22">E24/E$25</f>
        <v>11.951219512195122</v>
      </c>
      <c r="F47">
        <f t="shared" si="22"/>
        <v>4.9512195121951219</v>
      </c>
      <c r="G47">
        <f t="shared" si="22"/>
        <v>5.7560975609756095</v>
      </c>
      <c r="H47">
        <f t="shared" si="22"/>
        <v>4.5853658536585362</v>
      </c>
      <c r="I47">
        <f t="shared" si="22"/>
        <v>3.0731707317073171</v>
      </c>
      <c r="J47">
        <f t="shared" si="22"/>
        <v>7.6829268292682924</v>
      </c>
      <c r="K47">
        <f t="shared" si="22"/>
        <v>9.5609756097560972</v>
      </c>
      <c r="L47">
        <f t="shared" si="22"/>
        <v>1.2682926829268293</v>
      </c>
      <c r="M47">
        <f t="shared" si="22"/>
        <v>8.1951219512195124</v>
      </c>
      <c r="N47">
        <f t="shared" si="22"/>
        <v>4.8536585365853657</v>
      </c>
      <c r="O47">
        <f t="shared" si="22"/>
        <v>2.3658536585365852</v>
      </c>
      <c r="P47">
        <f t="shared" si="22"/>
        <v>1.1707317073170731</v>
      </c>
      <c r="Q47">
        <f t="shared" si="22"/>
        <v>3.4634146341463414</v>
      </c>
      <c r="R47">
        <f t="shared" si="22"/>
        <v>4.878048780487805E-2</v>
      </c>
      <c r="S47">
        <f t="shared" si="22"/>
        <v>15.024390243902438</v>
      </c>
      <c r="T47">
        <f t="shared" si="22"/>
        <v>2.4634146341463414</v>
      </c>
      <c r="U47">
        <f t="shared" si="22"/>
        <v>1.1707317073170731</v>
      </c>
      <c r="V47">
        <f t="shared" si="22"/>
        <v>2.0731707317073171</v>
      </c>
      <c r="W47">
        <f t="shared" si="22"/>
        <v>3.8536585365853657</v>
      </c>
      <c r="X47">
        <f t="shared" si="22"/>
        <v>0</v>
      </c>
    </row>
    <row r="49" spans="1:24" x14ac:dyDescent="0.25">
      <c r="C49" t="str">
        <f>_xlfn.TEXTJOIN(" ", TRUE, C27:C47,D28:D47,E29:E47,F30:F47,G31:G47,H32:H47,I33:I47,J34:J47,K35:K47,L36:L47,M37:M47,N38:N47,O39:O47,P40:P47,Q41:Q47,R42:R47,S43:S47,T44:T47,U45:U47,V46:V47,W47)</f>
        <v>290 403 284 310 116 46 440 306 70 456 318 217 168 32 120 530 219 144 38 278 122 16.1219512195122 0.780487804878049 1.41463414634146 9.04878048780488 7.51219512195122 3.21951219512195 13.7317073170732 5.68292682926829 3.53658536585366 2.65853658536585 3.70731707317073 3.53658536585366 7.90243902439024 4.51219512195122 19.219512195122 2.02439024390244 5.63414634146341 6.29268292682927 3.85365853658537 4.51219512195122 16.5365853658537 17.9024390243902 7.21951219512195 8.97560975609756 20.3170731707317 4.39024390243902 11.1463414634146 20.8292682926829 17.4878048780488 14.6341463414634 13.0731707317073 10.3658536585366 11.9024390243902 3.70731707317073 14.3414634146341 10.8292682926829 10.4146341463415 16.5121951219512 11.9512195121951 0.878048780487805 9.26829268292683 7.60975609756098 3.14634146341463 14.1463414634146 5.48780487804878 3.46341463414634 3.51219512195122 4.1219512195122 3.97560975609756 7.24390243902439 4.95121951219512 19.609756097561 2.51219512195122 6.07317073170732 6.14634146341463 4.70731707317073 4.95121951219512 10.8536585365854 8.24390243902439 2.41463414634146 15.4878048780488 6.1219512195122 2.73170731707317 4.34146341463415 5.17073170731707 5.02439024390244 7.53658536585366 5.73170731707317 20.9756097560976 3.48780487804878 6.85365853658537 6.75609756097561 5.51219512195122 5.75609756097561 1.97560975609756 12.1951219512195 4.82926829268293 3.70731707317073 12.7560975609756 9.39024390243902 6.92682926829268 5.70731707317073 3.36585365853659 4.5609756097561 10.2926829268293 7 4.31707317073171 3.41463414634146 8.41463414634146 4.58536585365854 10.6829268292683 6.58536585365854 1.95121951219512 11.219512195122 7.85365853658537 5.39024390243902 4.19512195121951 1.85365853658537 3.02439024390244 12.0487804878049 5.46341463414634 3.41463414634146 1.39024390243902 6.8780487804878 3.07317073170732 17.8536585365854 8.85365853658537 0.902439024390244 5.48780487804878 6.85365853658537 6.70731707317073 9.87804878048781 7.68292682926829 23.3170731707317 5.19512195121951 8.80487804878049 9.48780487804878 6.63414634146341 7.68292682926829 8.75609756097561 18.4390243902439 15.0975609756098 12.2439024390244 10.6829268292683 7.97560975609756 9.51219512195122 6.70731707317073 11.9512195121951 8.46341463414634 8.02439024390244 14.1219512195122 9.5609756097561 9.41463414634146 6.04878048780488 3.58536585365854 2.39024390243902 2.04878048780488 1.21951219512195 14.219512195122 3.63414634146341 2.41463414634146 0.853658536585366 5.07317073170732 1.26829268292683 4.5609756097561 6.36585365853659 7.17073170731707 10.2682926829268 8.21951219512195 23.9268292682927 5.48780487804878 9.31707317073171 10.2682926829268 5.70731707317073 8.19512195121951 3 3.80487804878049 8.21951219512195 4.85365853658537 20.5853658536585 2.46341463414634 5.97560975609756 6.92682926829268 1.21951219512195 4.85365853658537 1.34146341463415 5.75609756097561 2.39024390243902 17.7317073170732 1.68292682926829 3.51219512195122 4.4390243902439 2.02439024390244 2.36585365853659 4.5609756097561 1.17073170731707 15.8780487804878 1.48780487804878 2.29268292682927 3.24390243902439 2.82926829268293 1.17073170731707 3.46341463414634 13.4634146341463 5.78048780487805 4.5609756097561 1.21951219512195 7.24390243902439 3.46341463414634 14.8780487804878 2.46341463414634 1.14634146341463 2.07317073170732 3.8780487804878 0.0487804878048781 17.4146341463415 13.9024390243902 13.4878048780488 19.5609756097561 15.0243902439024 3.58536585365854 4.48780487804878 2.97560975609756 2.46341463414634 2.75609756097561 4.97560975609756 1.17073170731707 5.8780487804878 2.07317073170732 3.85365853658537</v>
      </c>
    </row>
    <row r="50" spans="1:24" x14ac:dyDescent="0.25">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25">
      <c r="B51" t="str">
        <f>_xlfn.TEXTJOIN(" ", TRUE, C53:C74)</f>
        <v>0 5.18388888888889 5.825 5.16166666666667 5.67972222222222 1.91527777777778 0.882777777777778 7.2425 4.50055555555556 1.29416666666667 7.29333333333333 5.14111111111111 3.58638888888889 2.92083333333333 0.615833333333333 2.22277777777778 7.53277777777778 3.95194444444444 2.73805555555556 0.710555555555556 4.47166666666667</v>
      </c>
    </row>
    <row r="53" spans="1:24" x14ac:dyDescent="0.25">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58 371 308 132 563 233 145 109 152 145 324 185 788 83 231 258 158 185 678 734 296 368 833 180 457 854 717 600 536 425 488 152 588 444 427 677 490 36 380 312 129 580 225 142 144 169 163 297 203 804 103 249 252 193 203 445 338 99 635 251 112 178 212 206 309 235 860 143 281 277 226 236 81 500 198 152 523 385 284 234 138 187 422 287 177 140 345 188 438 270 80 460 322 221 172 76 124 494 224 140 57 282 126 732 363 37 225 281 275 405 315 956 213 361 389 272 315 359 756 619 502 438 327 390 275 490 347 329 579 392 386 248 147 98 84 50 583 149 99 35 208 52 187 261 294 421 337 981 225 382 421 234 336 123 156 337 199 844 101 245 284 50 199 55 236 98 727 69 144 182 83 97 187 48 651 61 94 133 116 48 142 552 237 187 50 297 142 610 101 47 85 159 2 714 570 553 802 616 147 184 122 101 113 204 48 241 85 158</v>
      </c>
    </row>
    <row r="54" spans="1:24" x14ac:dyDescent="0.25">
      <c r="A54" s="10">
        <v>33.467741500000002</v>
      </c>
      <c r="B54">
        <v>-88.789126199999998</v>
      </c>
      <c r="C54" cm="1">
        <f t="array" ref="C54">traveltime($B3, C$2, $A$1)/3600</f>
        <v>0</v>
      </c>
      <c r="D54" cm="1">
        <f t="array" ref="D54">traveltime($B3, D$2, $A$1)/3600</f>
        <v>5.1933333333333334</v>
      </c>
      <c r="E54" cm="1">
        <f t="array" ref="E54">traveltime($B3, E$2, $A$1)/3600</f>
        <v>5.839722222222222</v>
      </c>
      <c r="F54" cm="1">
        <f t="array" ref="F54">traveltime($B3, F$2, $A$1)/3600</f>
        <v>5.13</v>
      </c>
      <c r="G54" cm="1">
        <f t="array" ref="G54">traveltime($B3, G$2, $A$1)/3600</f>
        <v>5.641111111111111</v>
      </c>
      <c r="H54" cm="1">
        <f t="array" ref="H54">traveltime($B3, H$2, $A$1)/3600</f>
        <v>1.8888888888888888</v>
      </c>
      <c r="I54" cm="1">
        <f t="array" ref="I54">traveltime($B3, I$2, $A$1)/3600</f>
        <v>0.88888888888888884</v>
      </c>
      <c r="J54" cm="1">
        <f t="array" ref="J54">traveltime($B3, J$2, $A$1)/3600</f>
        <v>7.2247222222222218</v>
      </c>
      <c r="K54" cm="1">
        <f t="array" ref="K54">traveltime($B3, K$2, $A$1)/3600</f>
        <v>4.4763888888888888</v>
      </c>
      <c r="L54" cm="1">
        <f t="array" ref="L54">traveltime($B3, L$2, $A$1)/3600</f>
        <v>1.2977777777777777</v>
      </c>
      <c r="M54" cm="1">
        <f t="array" ref="M54">traveltime($B3, M$2, $A$1)/3600</f>
        <v>7.2922222222222226</v>
      </c>
      <c r="N54" cm="1">
        <f t="array" ref="N54">traveltime($B3, N$2, $A$1)/3600</f>
        <v>5.1622222222222218</v>
      </c>
      <c r="O54" cm="1">
        <f t="array" ref="O54">traveltime($B3, O$2, $A$1)/3600</f>
        <v>3.5777777777777779</v>
      </c>
      <c r="P54" cm="1">
        <f t="array" ref="P54">traveltime($B3, P$2, $A$1)/3600</f>
        <v>2.9227777777777777</v>
      </c>
      <c r="Q54" cm="1">
        <f t="array" ref="Q54">traveltime($B3, Q$2, $A$1)/3600</f>
        <v>0.63833333333333331</v>
      </c>
      <c r="R54" cm="1">
        <f t="array" ref="R54">traveltime($B3, R$2, $A$1)/3600</f>
        <v>2.2250000000000001</v>
      </c>
      <c r="S54" cm="1">
        <f t="array" ref="S54">traveltime($B3, S$2, $A$1)/3600</f>
        <v>7.5241666666666669</v>
      </c>
      <c r="T54" cm="1">
        <f t="array" ref="T54">traveltime($B3, T$2, $A$1)/3600</f>
        <v>3.9630555555555556</v>
      </c>
      <c r="U54" cm="1">
        <f t="array" ref="U54">traveltime($B3, U$2, $A$1)/3600</f>
        <v>2.7194444444444446</v>
      </c>
      <c r="V54" cm="1">
        <f t="array" ref="V54">traveltime($B3, V$2, $A$1)/3600</f>
        <v>0.7122222222222222</v>
      </c>
      <c r="W54" cm="1">
        <f t="array" ref="W54">traveltime($B3, W$2, $A$1)/3600</f>
        <v>4.4638888888888886</v>
      </c>
      <c r="X54" cm="1">
        <f t="array" ref="X54">traveltime($B3, X$2, $A$1)/3600</f>
        <v>2.3069444444444445</v>
      </c>
    </row>
    <row r="55" spans="1:24" x14ac:dyDescent="0.25">
      <c r="A55" s="10">
        <v>28.104897000000001</v>
      </c>
      <c r="B55">
        <v>-81.631729000000007</v>
      </c>
      <c r="C55" cm="1">
        <f t="array" ref="C55">traveltime($B4, C$2, $A$1)/3600</f>
        <v>5.1838888888888892</v>
      </c>
      <c r="D55" cm="1">
        <f t="array" ref="D55">traveltime($B4, D$2, $A$1)/3600</f>
        <v>0</v>
      </c>
      <c r="E55" cm="1">
        <f t="array" ref="E55">traveltime($B4, E$2, $A$1)/3600</f>
        <v>10.665555555555555</v>
      </c>
      <c r="F55" cm="1">
        <f t="array" ref="F55">traveltime($B4, F$2, $A$1)/3600</f>
        <v>0.6580555555555555</v>
      </c>
      <c r="G55" cm="1">
        <f t="array" ref="G55">traveltime($B4, G$2, $A$1)/3600</f>
        <v>1.1997222222222221</v>
      </c>
      <c r="H55" cm="1">
        <f t="array" ref="H55">traveltime($B4, H$2, $A$1)/3600</f>
        <v>6.451944444444444</v>
      </c>
      <c r="I55" cm="1">
        <f t="array" ref="I55">traveltime($B4, I$2, $A$1)/3600</f>
        <v>5.4144444444444444</v>
      </c>
      <c r="J55" cm="1">
        <f t="array" ref="J55">traveltime($B4, J$2, $A$1)/3600</f>
        <v>2.2827777777777776</v>
      </c>
      <c r="K55" cm="1">
        <f t="array" ref="K55">traveltime($B4, K$2, $A$1)/3600</f>
        <v>9.3025000000000002</v>
      </c>
      <c r="L55" cm="1">
        <f t="array" ref="L55">traveltime($B4, L$2, $A$1)/3600</f>
        <v>4</v>
      </c>
      <c r="M55" cm="1">
        <f t="array" ref="M55">traveltime($B4, M$2, $A$1)/3600</f>
        <v>2.4911111111111111</v>
      </c>
      <c r="N55" cm="1">
        <f t="array" ref="N55">traveltime($B4, N$2, $A$1)/3600</f>
        <v>2.0919444444444446</v>
      </c>
      <c r="O55" cm="1">
        <f t="array" ref="O55">traveltime($B4, O$2, $A$1)/3600</f>
        <v>2.3647222222222224</v>
      </c>
      <c r="P55" cm="1">
        <f t="array" ref="P55">traveltime($B4, P$2, $A$1)/3600</f>
        <v>2.4952777777777779</v>
      </c>
      <c r="Q55" cm="1">
        <f t="array" ref="Q55">traveltime($B4, Q$2, $A$1)/3600</f>
        <v>5.0147222222222219</v>
      </c>
      <c r="R55" cm="1">
        <f t="array" ref="R55">traveltime($B4, R$2, $A$1)/3600</f>
        <v>3.1469444444444443</v>
      </c>
      <c r="S55" cm="1">
        <f t="array" ref="S55">traveltime($B4, S$2, $A$1)/3600</f>
        <v>12.35</v>
      </c>
      <c r="T55" cm="1">
        <f t="array" ref="T55">traveltime($B4, T$2, $A$1)/3600</f>
        <v>1.3980555555555556</v>
      </c>
      <c r="U55" cm="1">
        <f t="array" ref="U55">traveltime($B4, U$2, $A$1)/3600</f>
        <v>3.7911111111111113</v>
      </c>
      <c r="V55" cm="1">
        <f t="array" ref="V55">traveltime($B4, V$2, $A$1)/3600</f>
        <v>4.5616666666666665</v>
      </c>
      <c r="W55" cm="1">
        <f t="array" ref="W55">traveltime($B4, W$2, $A$1)/3600</f>
        <v>2.9602777777777778</v>
      </c>
      <c r="X55" cm="1">
        <f t="array" ref="X55">traveltime($B4, X$2, $A$1)/3600</f>
        <v>3.1769444444444446</v>
      </c>
    </row>
    <row r="56" spans="1:24" x14ac:dyDescent="0.25">
      <c r="A56" s="10">
        <v>33.122567799999999</v>
      </c>
      <c r="B56">
        <v>-89.053504399999994</v>
      </c>
      <c r="C56" cm="1">
        <f t="array" ref="C56">traveltime($B5, C$2, $A$1)/3600</f>
        <v>5.8250000000000002</v>
      </c>
      <c r="D56" cm="1">
        <f t="array" ref="D56">traveltime($B5, D$2, $A$1)/3600</f>
        <v>10.678333333333333</v>
      </c>
      <c r="E56" cm="1">
        <f t="array" ref="E56">traveltime($B5, E$2, $A$1)/3600</f>
        <v>0</v>
      </c>
      <c r="F56" cm="1">
        <f t="array" ref="F56">traveltime($B5, F$2, $A$1)/3600</f>
        <v>10.773888888888889</v>
      </c>
      <c r="G56" cm="1">
        <f t="array" ref="G56">traveltime($B5, G$2, $A$1)/3600</f>
        <v>11.125277777777777</v>
      </c>
      <c r="H56" cm="1">
        <f t="array" ref="H56">traveltime($B5, H$2, $A$1)/3600</f>
        <v>4.3491666666666671</v>
      </c>
      <c r="I56" cm="1">
        <f t="array" ref="I56">traveltime($B5, I$2, $A$1)/3600</f>
        <v>5.3233333333333333</v>
      </c>
      <c r="J56" cm="1">
        <f t="array" ref="J56">traveltime($B5, J$2, $A$1)/3600</f>
        <v>12.647777777777778</v>
      </c>
      <c r="K56" cm="1">
        <f t="array" ref="K56">traveltime($B5, K$2, $A$1)/3600</f>
        <v>2.7813888888888889</v>
      </c>
      <c r="L56" cm="1">
        <f t="array" ref="L56">traveltime($B5, L$2, $A$1)/3600</f>
        <v>6.884722222222222</v>
      </c>
      <c r="M56" cm="1">
        <f t="array" ref="M56">traveltime($B5, M$2, $A$1)/3600</f>
        <v>12.5275</v>
      </c>
      <c r="N56" cm="1">
        <f t="array" ref="N56">traveltime($B5, N$2, $A$1)/3600</f>
        <v>10.397500000000001</v>
      </c>
      <c r="O56" cm="1">
        <f t="array" ref="O56">traveltime($B5, O$2, $A$1)/3600</f>
        <v>8.5852777777777778</v>
      </c>
      <c r="P56" cm="1">
        <f t="array" ref="P56">traveltime($B5, P$2, $A$1)/3600</f>
        <v>8.2694444444444439</v>
      </c>
      <c r="Q56" cm="1">
        <f t="array" ref="Q56">traveltime($B5, Q$2, $A$1)/3600</f>
        <v>6.0613888888888887</v>
      </c>
      <c r="R56" cm="1">
        <f t="array" ref="R56">traveltime($B5, R$2, $A$1)/3600</f>
        <v>7.6002777777777775</v>
      </c>
      <c r="S56" cm="1">
        <f t="array" ref="S56">traveltime($B5, S$2, $A$1)/3600</f>
        <v>2.5019444444444443</v>
      </c>
      <c r="T56" cm="1">
        <f t="array" ref="T56">traveltime($B5, T$2, $A$1)/3600</f>
        <v>9.3072222222222223</v>
      </c>
      <c r="U56" cm="1">
        <f t="array" ref="U56">traveltime($B5, U$2, $A$1)/3600</f>
        <v>6.9749999999999996</v>
      </c>
      <c r="V56" cm="1">
        <f t="array" ref="V56">traveltime($B5, V$2, $A$1)/3600</f>
        <v>6.3274999999999997</v>
      </c>
      <c r="W56" cm="1">
        <f t="array" ref="W56">traveltime($B5, W$2, $A$1)/3600</f>
        <v>9.6991666666666667</v>
      </c>
      <c r="X56" cm="1">
        <f t="array" ref="X56">traveltime($B5, X$2, $A$1)/3600</f>
        <v>7.6222222222222218</v>
      </c>
    </row>
    <row r="57" spans="1:24" x14ac:dyDescent="0.25">
      <c r="A57" s="10">
        <v>33.058843500000002</v>
      </c>
      <c r="B57">
        <v>-89.590316700000002</v>
      </c>
      <c r="C57" cm="1">
        <f t="array" ref="C57">traveltime($B6, C$2, $A$1)/3600</f>
        <v>5.1616666666666671</v>
      </c>
      <c r="D57" cm="1">
        <f t="array" ref="D57">traveltime($B6, D$2, $A$1)/3600</f>
        <v>0.61750000000000005</v>
      </c>
      <c r="E57" cm="1">
        <f t="array" ref="E57">traveltime($B6, E$2, $A$1)/3600</f>
        <v>10.828333333333333</v>
      </c>
      <c r="F57" cm="1">
        <f t="array" ref="F57">traveltime($B6, F$2, $A$1)/3600</f>
        <v>0</v>
      </c>
      <c r="G57" cm="1">
        <f t="array" ref="G57">traveltime($B6, G$2, $A$1)/3600</f>
        <v>0.72805555555555557</v>
      </c>
      <c r="H57" cm="1">
        <f t="array" ref="H57">traveltime($B6, H$2, $A$1)/3600</f>
        <v>6.8777777777777782</v>
      </c>
      <c r="I57" cm="1">
        <f t="array" ref="I57">traveltime($B6, I$2, $A$1)/3600</f>
        <v>5.6869444444444444</v>
      </c>
      <c r="J57" cm="1">
        <f t="array" ref="J57">traveltime($B6, J$2, $A$1)/3600</f>
        <v>2.4119444444444444</v>
      </c>
      <c r="K57" cm="1">
        <f t="array" ref="K57">traveltime($B6, K$2, $A$1)/3600</f>
        <v>9.4652777777777786</v>
      </c>
      <c r="L57" cm="1">
        <f t="array" ref="L57">traveltime($B6, L$2, $A$1)/3600</f>
        <v>4.1177777777777775</v>
      </c>
      <c r="M57" cm="1">
        <f t="array" ref="M57">traveltime($B6, M$2, $A$1)/3600</f>
        <v>2.6202777777777779</v>
      </c>
      <c r="N57" cm="1">
        <f t="array" ref="N57">traveltime($B6, N$2, $A$1)/3600</f>
        <v>2.6469444444444443</v>
      </c>
      <c r="O57" cm="1">
        <f t="array" ref="O57">traveltime($B6, O$2, $A$1)/3600</f>
        <v>2.8444444444444446</v>
      </c>
      <c r="P57" cm="1">
        <f t="array" ref="P57">traveltime($B6, P$2, $A$1)/3600</f>
        <v>2.9747222222222223</v>
      </c>
      <c r="Q57" cm="1">
        <f t="array" ref="Q57">traveltime($B6, Q$2, $A$1)/3600</f>
        <v>4.9294444444444441</v>
      </c>
      <c r="R57" cm="1">
        <f t="array" ref="R57">traveltime($B6, R$2, $A$1)/3600</f>
        <v>3.6263888888888891</v>
      </c>
      <c r="S57" cm="1">
        <f t="array" ref="S57">traveltime($B6, S$2, $A$1)/3600</f>
        <v>12.512777777777778</v>
      </c>
      <c r="T57" cm="1">
        <f t="array" ref="T57">traveltime($B6, T$2, $A$1)/3600</f>
        <v>1.8927777777777777</v>
      </c>
      <c r="U57" cm="1">
        <f t="array" ref="U57">traveltime($B6, U$2, $A$1)/3600</f>
        <v>4.2705555555555552</v>
      </c>
      <c r="V57" cm="1">
        <f t="array" ref="V57">traveltime($B6, V$2, $A$1)/3600</f>
        <v>4.5394444444444444</v>
      </c>
      <c r="W57" cm="1">
        <f t="array" ref="W57">traveltime($B6, W$2, $A$1)/3600</f>
        <v>3.5152777777777779</v>
      </c>
      <c r="X57" cm="1">
        <f t="array" ref="X57">traveltime($B6, X$2, $A$1)/3600</f>
        <v>3.6563888888888889</v>
      </c>
    </row>
    <row r="58" spans="1:24" x14ac:dyDescent="0.25">
      <c r="A58" s="10">
        <v>30.6307191</v>
      </c>
      <c r="B58">
        <v>-84.414681400000006</v>
      </c>
      <c r="C58" cm="1">
        <f t="array" ref="C58">traveltime($B7, C$2, $A$1)/3600</f>
        <v>5.6797222222222219</v>
      </c>
      <c r="D58" cm="1">
        <f t="array" ref="D58">traveltime($B7, D$2, $A$1)/3600</f>
        <v>1.1722222222222223</v>
      </c>
      <c r="E58" cm="1">
        <f t="array" ref="E58">traveltime($B7, E$2, $A$1)/3600</f>
        <v>11.168611111111112</v>
      </c>
      <c r="F58" cm="1">
        <f t="array" ref="F58">traveltime($B7, F$2, $A$1)/3600</f>
        <v>0.73750000000000004</v>
      </c>
      <c r="G58" cm="1">
        <f t="array" ref="G58">traveltime($B7, G$2, $A$1)/3600</f>
        <v>0</v>
      </c>
      <c r="H58" cm="1">
        <f t="array" ref="H58">traveltime($B7, H$2, $A$1)/3600</f>
        <v>7.2177777777777781</v>
      </c>
      <c r="I58" cm="1">
        <f t="array" ref="I58">traveltime($B7, I$2, $A$1)/3600</f>
        <v>6.2050000000000001</v>
      </c>
      <c r="J58" cm="1">
        <f t="array" ref="J58">traveltime($B7, J$2, $A$1)/3600</f>
        <v>1.8841666666666668</v>
      </c>
      <c r="K58" cm="1">
        <f t="array" ref="K58">traveltime($B7, K$2, $A$1)/3600</f>
        <v>9.8052777777777784</v>
      </c>
      <c r="L58" cm="1">
        <f t="array" ref="L58">traveltime($B7, L$2, $A$1)/3600</f>
        <v>4.6358333333333333</v>
      </c>
      <c r="M58" cm="1">
        <f t="array" ref="M58">traveltime($B7, M$2, $A$1)/3600</f>
        <v>2.0924999999999998</v>
      </c>
      <c r="N58" cm="1">
        <f t="array" ref="N58">traveltime($B7, N$2, $A$1)/3600</f>
        <v>3.1366666666666667</v>
      </c>
      <c r="O58" cm="1">
        <f t="array" ref="O58">traveltime($B7, O$2, $A$1)/3600</f>
        <v>3.4741666666666666</v>
      </c>
      <c r="P58" cm="1">
        <f t="array" ref="P58">traveltime($B7, P$2, $A$1)/3600</f>
        <v>3.6047222222222222</v>
      </c>
      <c r="Q58" cm="1">
        <f t="array" ref="Q58">traveltime($B7, Q$2, $A$1)/3600</f>
        <v>5.1819444444444445</v>
      </c>
      <c r="R58" cm="1">
        <f t="array" ref="R58">traveltime($B7, R$2, $A$1)/3600</f>
        <v>4.1955555555555559</v>
      </c>
      <c r="S58" cm="1">
        <f t="array" ref="S58">traveltime($B7, S$2, $A$1)/3600</f>
        <v>12.853055555555555</v>
      </c>
      <c r="T58" cm="1">
        <f t="array" ref="T58">traveltime($B7, T$2, $A$1)/3600</f>
        <v>2.5074999999999998</v>
      </c>
      <c r="U58" cm="1">
        <f t="array" ref="U58">traveltime($B7, U$2, $A$1)/3600</f>
        <v>4.839722222222222</v>
      </c>
      <c r="V58" cm="1">
        <f t="array" ref="V58">traveltime($B7, V$2, $A$1)/3600</f>
        <v>5.0575000000000001</v>
      </c>
      <c r="W58" cm="1">
        <f t="array" ref="W58">traveltime($B7, W$2, $A$1)/3600</f>
        <v>3.9619444444444443</v>
      </c>
      <c r="X58" cm="1">
        <f t="array" ref="X58">traveltime($B7, X$2, $A$1)/3600</f>
        <v>4.237222222222222</v>
      </c>
    </row>
    <row r="59" spans="1:24" x14ac:dyDescent="0.25">
      <c r="A59" s="10">
        <v>30.9518734</v>
      </c>
      <c r="B59">
        <v>-85.512515699999994</v>
      </c>
      <c r="C59" cm="1">
        <f t="array" ref="C59">traveltime($B8, C$2, $A$1)/3600</f>
        <v>1.9152777777777779</v>
      </c>
      <c r="D59" cm="1">
        <f t="array" ref="D59">traveltime($B8, D$2, $A$1)/3600</f>
        <v>6.4927777777777775</v>
      </c>
      <c r="E59" cm="1">
        <f t="array" ref="E59">traveltime($B8, E$2, $A$1)/3600</f>
        <v>4.3944444444444448</v>
      </c>
      <c r="F59" cm="1">
        <f t="array" ref="F59">traveltime($B8, F$2, $A$1)/3600</f>
        <v>6.8808333333333334</v>
      </c>
      <c r="G59" cm="1">
        <f t="array" ref="G59">traveltime($B8, G$2, $A$1)/3600</f>
        <v>7.2152777777777777</v>
      </c>
      <c r="H59" cm="1">
        <f t="array" ref="H59">traveltime($B8, H$2, $A$1)/3600</f>
        <v>0</v>
      </c>
      <c r="I59" cm="1">
        <f t="array" ref="I59">traveltime($B8, I$2, $A$1)/3600</f>
        <v>1.4133333333333333</v>
      </c>
      <c r="J59" cm="1">
        <f t="array" ref="J59">traveltime($B8, J$2, $A$1)/3600</f>
        <v>8.656944444444445</v>
      </c>
      <c r="K59" cm="1">
        <f t="array" ref="K59">traveltime($B8, K$2, $A$1)/3600</f>
        <v>3.0313888888888889</v>
      </c>
      <c r="L59" cm="1">
        <f t="array" ref="L59">traveltime($B8, L$2, $A$1)/3600</f>
        <v>2.8647222222222224</v>
      </c>
      <c r="M59" cm="1">
        <f t="array" ref="M59">traveltime($B8, M$2, $A$1)/3600</f>
        <v>8.4533333333333331</v>
      </c>
      <c r="N59" cm="1">
        <f t="array" ref="N59">traveltime($B8, N$2, $A$1)/3600</f>
        <v>6.3233333333333333</v>
      </c>
      <c r="O59" cm="1">
        <f t="array" ref="O59">traveltime($B8, O$2, $A$1)/3600</f>
        <v>4.7388888888888889</v>
      </c>
      <c r="P59" cm="1">
        <f t="array" ref="P59">traveltime($B8, P$2, $A$1)/3600</f>
        <v>4.0838888888888887</v>
      </c>
      <c r="Q59" cm="1">
        <f t="array" ref="Q59">traveltime($B8, Q$2, $A$1)/3600</f>
        <v>2.1516666666666668</v>
      </c>
      <c r="R59" cm="1">
        <f t="array" ref="R59">traveltime($B8, R$2, $A$1)/3600</f>
        <v>3.3552777777777778</v>
      </c>
      <c r="S59" cm="1">
        <f t="array" ref="S59">traveltime($B8, S$2, $A$1)/3600</f>
        <v>6.0788888888888888</v>
      </c>
      <c r="T59" cm="1">
        <f t="array" ref="T59">traveltime($B8, T$2, $A$1)/3600</f>
        <v>5.121666666666667</v>
      </c>
      <c r="U59" cm="1">
        <f t="array" ref="U59">traveltime($B8, U$2, $A$1)/3600</f>
        <v>3.1033333333333335</v>
      </c>
      <c r="V59" cm="1">
        <f t="array" ref="V59">traveltime($B8, V$2, $A$1)/3600</f>
        <v>2.4175</v>
      </c>
      <c r="W59" cm="1">
        <f t="array" ref="W59">traveltime($B8, W$2, $A$1)/3600</f>
        <v>5.625</v>
      </c>
      <c r="X59" cm="1">
        <f t="array" ref="X59">traveltime($B8, X$2, $A$1)/3600</f>
        <v>3.4366666666666665</v>
      </c>
    </row>
    <row r="60" spans="1:24" x14ac:dyDescent="0.25">
      <c r="A60" s="10">
        <v>33.744002299999998</v>
      </c>
      <c r="B60">
        <v>-90.7248187</v>
      </c>
      <c r="C60" cm="1">
        <f t="array" ref="C60">traveltime($B9, C$2, $A$1)/3600</f>
        <v>0.88277777777777777</v>
      </c>
      <c r="D60" cm="1">
        <f t="array" ref="D60">traveltime($B9, D$2, $A$1)/3600</f>
        <v>5.4702777777777776</v>
      </c>
      <c r="E60" cm="1">
        <f t="array" ref="E60">traveltime($B9, E$2, $A$1)/3600</f>
        <v>5.3611111111111107</v>
      </c>
      <c r="F60" cm="1">
        <f t="array" ref="F60">traveltime($B9, F$2, $A$1)/3600</f>
        <v>5.6508333333333329</v>
      </c>
      <c r="G60" cm="1">
        <f t="array" ref="G60">traveltime($B9, G$2, $A$1)/3600</f>
        <v>6.161944444444444</v>
      </c>
      <c r="H60" cm="1">
        <f t="array" ref="H60">traveltime($B9, H$2, $A$1)/3600</f>
        <v>1.4105555555555556</v>
      </c>
      <c r="I60" cm="1">
        <f t="array" ref="I60">traveltime($B9, I$2, $A$1)/3600</f>
        <v>0</v>
      </c>
      <c r="J60" cm="1">
        <f t="array" ref="J60">traveltime($B9, J$2, $A$1)/3600</f>
        <v>7.6344444444444441</v>
      </c>
      <c r="K60" cm="1">
        <f t="array" ref="K60">traveltime($B9, K$2, $A$1)/3600</f>
        <v>3.9980555555555557</v>
      </c>
      <c r="L60" cm="1">
        <f t="array" ref="L60">traveltime($B9, L$2, $A$1)/3600</f>
        <v>1.6266666666666667</v>
      </c>
      <c r="M60" cm="1">
        <f t="array" ref="M60">traveltime($B9, M$2, $A$1)/3600</f>
        <v>7.4308333333333332</v>
      </c>
      <c r="N60" cm="1">
        <f t="array" ref="N60">traveltime($B9, N$2, $A$1)/3600</f>
        <v>5.3008333333333333</v>
      </c>
      <c r="O60" cm="1">
        <f t="array" ref="O60">traveltime($B9, O$2, $A$1)/3600</f>
        <v>3.716388888888889</v>
      </c>
      <c r="P60" cm="1">
        <f t="array" ref="P60">traveltime($B9, P$2, $A$1)/3600</f>
        <v>3.0613888888888887</v>
      </c>
      <c r="Q60" cm="1">
        <f t="array" ref="Q60">traveltime($B9, Q$2, $A$1)/3600</f>
        <v>1.2722222222222221</v>
      </c>
      <c r="R60" cm="1">
        <f t="array" ref="R60">traveltime($B9, R$2, $A$1)/3600</f>
        <v>2.3327777777777778</v>
      </c>
      <c r="S60" cm="1">
        <f t="array" ref="S60">traveltime($B9, S$2, $A$1)/3600</f>
        <v>7.0455555555555556</v>
      </c>
      <c r="T60" cm="1">
        <f t="array" ref="T60">traveltime($B9, T$2, $A$1)/3600</f>
        <v>4.0991666666666671</v>
      </c>
      <c r="U60" cm="1">
        <f t="array" ref="U60">traveltime($B9, U$2, $A$1)/3600</f>
        <v>2.5558333333333332</v>
      </c>
      <c r="V60" cm="1">
        <f t="array" ref="V60">traveltime($B9, V$2, $A$1)/3600</f>
        <v>1.2044444444444444</v>
      </c>
      <c r="W60" cm="1">
        <f t="array" ref="W60">traveltime($B9, W$2, $A$1)/3600</f>
        <v>4.6025</v>
      </c>
      <c r="X60" cm="1">
        <f t="array" ref="X60">traveltime($B9, X$2, $A$1)/3600</f>
        <v>2.4141666666666666</v>
      </c>
    </row>
    <row r="61" spans="1:24" x14ac:dyDescent="0.25">
      <c r="A61" s="10">
        <v>30.285323099999999</v>
      </c>
      <c r="B61">
        <v>-81.405823999999996</v>
      </c>
      <c r="C61" cm="1">
        <f t="array" ref="C61">traveltime($B10, C$2, $A$1)/3600</f>
        <v>7.2424999999999997</v>
      </c>
      <c r="D61" cm="1">
        <f t="array" ref="D61">traveltime($B10, D$2, $A$1)/3600</f>
        <v>2.2549999999999999</v>
      </c>
      <c r="E61" cm="1">
        <f t="array" ref="E61">traveltime($B10, E$2, $A$1)/3600</f>
        <v>12.685555555555556</v>
      </c>
      <c r="F61" cm="1">
        <f t="array" ref="F61">traveltime($B10, F$2, $A$1)/3600</f>
        <v>2.4080555555555554</v>
      </c>
      <c r="G61" cm="1">
        <f t="array" ref="G61">traveltime($B10, G$2, $A$1)/3600</f>
        <v>1.8602777777777777</v>
      </c>
      <c r="H61" cm="1">
        <f t="array" ref="H61">traveltime($B10, H$2, $A$1)/3600</f>
        <v>8.6361111111111111</v>
      </c>
      <c r="I61" cm="1">
        <f t="array" ref="I61">traveltime($B10, I$2, $A$1)/3600</f>
        <v>7.5986111111111114</v>
      </c>
      <c r="J61" cm="1">
        <f t="array" ref="J61">traveltime($B10, J$2, $A$1)/3600</f>
        <v>0</v>
      </c>
      <c r="K61" cm="1">
        <f t="array" ref="K61">traveltime($B10, K$2, $A$1)/3600</f>
        <v>11.322222222222223</v>
      </c>
      <c r="L61" cm="1">
        <f t="array" ref="L61">traveltime($B10, L$2, $A$1)/3600</f>
        <v>6.184166666666667</v>
      </c>
      <c r="M61" cm="1">
        <f t="array" ref="M61">traveltime($B10, M$2, $A$1)/3600</f>
        <v>0.69111111111111112</v>
      </c>
      <c r="N61" cm="1">
        <f t="array" ref="N61">traveltime($B10, N$2, $A$1)/3600</f>
        <v>3.7136111111111112</v>
      </c>
      <c r="O61" cm="1">
        <f t="array" ref="O61">traveltime($B10, O$2, $A$1)/3600</f>
        <v>4.5488888888888885</v>
      </c>
      <c r="P61" cm="1">
        <f t="array" ref="P61">traveltime($B10, P$2, $A$1)/3600</f>
        <v>4.6794444444444441</v>
      </c>
      <c r="Q61" cm="1">
        <f t="array" ref="Q61">traveltime($B10, Q$2, $A$1)/3600</f>
        <v>6.6988888888888889</v>
      </c>
      <c r="R61" cm="1">
        <f t="array" ref="R61">traveltime($B10, R$2, $A$1)/3600</f>
        <v>5.3311111111111114</v>
      </c>
      <c r="S61" cm="1">
        <f t="array" ref="S61">traveltime($B10, S$2, $A$1)/3600</f>
        <v>14.37</v>
      </c>
      <c r="T61" cm="1">
        <f t="array" ref="T61">traveltime($B10, T$2, $A$1)/3600</f>
        <v>3.5822222222222222</v>
      </c>
      <c r="U61" cm="1">
        <f t="array" ref="U61">traveltime($B10, U$2, $A$1)/3600</f>
        <v>5.9752777777777775</v>
      </c>
      <c r="V61" cm="1">
        <f t="array" ref="V61">traveltime($B10, V$2, $A$1)/3600</f>
        <v>6.7461111111111114</v>
      </c>
      <c r="W61" cm="1">
        <f t="array" ref="W61">traveltime($B10, W$2, $A$1)/3600</f>
        <v>4.5388888888888888</v>
      </c>
      <c r="X61" cm="1">
        <f t="array" ref="X61">traveltime($B10, X$2, $A$1)/3600</f>
        <v>5.3611111111111107</v>
      </c>
    </row>
    <row r="62" spans="1:24" x14ac:dyDescent="0.25">
      <c r="A62" s="10">
        <v>31.7140272</v>
      </c>
      <c r="B62">
        <v>-86.264325299999996</v>
      </c>
      <c r="C62" cm="1">
        <f t="array" ref="C62">traveltime($B11, C$2, $A$1)/3600</f>
        <v>4.5005555555555556</v>
      </c>
      <c r="D62" cm="1">
        <f t="array" ref="D62">traveltime($B11, D$2, $A$1)/3600</f>
        <v>9.3588888888888881</v>
      </c>
      <c r="E62" cm="1">
        <f t="array" ref="E62">traveltime($B11, E$2, $A$1)/3600</f>
        <v>2.8363888888888891</v>
      </c>
      <c r="F62" cm="1">
        <f t="array" ref="F62">traveltime($B11, F$2, $A$1)/3600</f>
        <v>9.4491666666666667</v>
      </c>
      <c r="G62" cm="1">
        <f t="array" ref="G62">traveltime($B11, G$2, $A$1)/3600</f>
        <v>9.8005555555555564</v>
      </c>
      <c r="H62" cm="1">
        <f t="array" ref="H62">traveltime($B11, H$2, $A$1)/3600</f>
        <v>3.0247222222222221</v>
      </c>
      <c r="I62" cm="1">
        <f t="array" ref="I62">traveltime($B11, I$2, $A$1)/3600</f>
        <v>3.9988888888888887</v>
      </c>
      <c r="J62" cm="1">
        <f t="array" ref="J62">traveltime($B11, J$2, $A$1)/3600</f>
        <v>11.323055555555555</v>
      </c>
      <c r="K62" cm="1">
        <f t="array" ref="K62">traveltime($B11, K$2, $A$1)/3600</f>
        <v>0</v>
      </c>
      <c r="L62" cm="1">
        <f t="array" ref="L62">traveltime($B11, L$2, $A$1)/3600</f>
        <v>5.56</v>
      </c>
      <c r="M62" cm="1">
        <f t="array" ref="M62">traveltime($B11, M$2, $A$1)/3600</f>
        <v>11.207777777777778</v>
      </c>
      <c r="N62" cm="1">
        <f t="array" ref="N62">traveltime($B11, N$2, $A$1)/3600</f>
        <v>9.0777777777777775</v>
      </c>
      <c r="O62" cm="1">
        <f t="array" ref="O62">traveltime($B11, O$2, $A$1)/3600</f>
        <v>7.2655555555555553</v>
      </c>
      <c r="P62" cm="1">
        <f t="array" ref="P62">traveltime($B11, P$2, $A$1)/3600</f>
        <v>6.95</v>
      </c>
      <c r="Q62" cm="1">
        <f t="array" ref="Q62">traveltime($B11, Q$2, $A$1)/3600</f>
        <v>4.7369444444444442</v>
      </c>
      <c r="R62" cm="1">
        <f t="array" ref="R62">traveltime($B11, R$2, $A$1)/3600</f>
        <v>6.275555555555556</v>
      </c>
      <c r="S62" cm="1">
        <f t="array" ref="S62">traveltime($B11, S$2, $A$1)/3600</f>
        <v>3.9866666666666668</v>
      </c>
      <c r="T62" cm="1">
        <f t="array" ref="T62">traveltime($B11, T$2, $A$1)/3600</f>
        <v>7.9877777777777776</v>
      </c>
      <c r="U62" cm="1">
        <f t="array" ref="U62">traveltime($B11, U$2, $A$1)/3600</f>
        <v>5.6555555555555559</v>
      </c>
      <c r="V62" cm="1">
        <f t="array" ref="V62">traveltime($B11, V$2, $A$1)/3600</f>
        <v>5.0027777777777782</v>
      </c>
      <c r="W62" cm="1">
        <f t="array" ref="W62">traveltime($B11, W$2, $A$1)/3600</f>
        <v>8.3794444444444451</v>
      </c>
      <c r="X62" cm="1">
        <f t="array" ref="X62">traveltime($B11, X$2, $A$1)/3600</f>
        <v>6.302777777777778</v>
      </c>
    </row>
    <row r="63" spans="1:24" x14ac:dyDescent="0.25">
      <c r="A63" s="10">
        <v>34.2001086</v>
      </c>
      <c r="B63">
        <v>-90.570932299999996</v>
      </c>
      <c r="C63" cm="1">
        <f t="array" ref="C63">traveltime($B12, C$2, $A$1)/3600</f>
        <v>1.2941666666666667</v>
      </c>
      <c r="D63" cm="1">
        <f t="array" ref="D63">traveltime($B12, D$2, $A$1)/3600</f>
        <v>4.0472222222222225</v>
      </c>
      <c r="E63" cm="1">
        <f t="array" ref="E63">traveltime($B12, E$2, $A$1)/3600</f>
        <v>6.8933333333333335</v>
      </c>
      <c r="F63" cm="1">
        <f t="array" ref="F63">traveltime($B12, F$2, $A$1)/3600</f>
        <v>4.1094444444444447</v>
      </c>
      <c r="G63" cm="1">
        <f t="array" ref="G63">traveltime($B12, G$2, $A$1)/3600</f>
        <v>4.6205555555555557</v>
      </c>
      <c r="H63" cm="1">
        <f t="array" ref="H63">traveltime($B12, H$2, $A$1)/3600</f>
        <v>2.8863888888888889</v>
      </c>
      <c r="I63" cm="1">
        <f t="array" ref="I63">traveltime($B12, I$2, $A$1)/3600</f>
        <v>1.5986111111111112</v>
      </c>
      <c r="J63" cm="1">
        <f t="array" ref="J63">traveltime($B12, J$2, $A$1)/3600</f>
        <v>6.2113888888888891</v>
      </c>
      <c r="K63" cm="1">
        <f t="array" ref="K63">traveltime($B12, K$2, $A$1)/3600</f>
        <v>5.5302777777777781</v>
      </c>
      <c r="L63" cm="1">
        <f t="array" ref="L63">traveltime($B12, L$2, $A$1)/3600</f>
        <v>0</v>
      </c>
      <c r="M63" cm="1">
        <f t="array" ref="M63">traveltime($B12, M$2, $A$1)/3600</f>
        <v>6.0052777777777777</v>
      </c>
      <c r="N63" cm="1">
        <f t="array" ref="N63">traveltime($B12, N$2, $A$1)/3600</f>
        <v>3.8752777777777778</v>
      </c>
      <c r="O63" cm="1">
        <f t="array" ref="O63">traveltime($B12, O$2, $A$1)/3600</f>
        <v>2.2908333333333335</v>
      </c>
      <c r="P63" cm="1">
        <f t="array" ref="P63">traveltime($B12, P$2, $A$1)/3600</f>
        <v>1.6358333333333333</v>
      </c>
      <c r="Q63" cm="1">
        <f t="array" ref="Q63">traveltime($B12, Q$2, $A$1)/3600</f>
        <v>1.6672222222222222</v>
      </c>
      <c r="R63" cm="1">
        <f t="array" ref="R63">traveltime($B12, R$2, $A$1)/3600</f>
        <v>0.93805555555555553</v>
      </c>
      <c r="S63" cm="1">
        <f t="array" ref="S63">traveltime($B12, S$2, $A$1)/3600</f>
        <v>8.5777777777777775</v>
      </c>
      <c r="T63" cm="1">
        <f t="array" ref="T63">traveltime($B12, T$2, $A$1)/3600</f>
        <v>2.6761111111111111</v>
      </c>
      <c r="U63" cm="1">
        <f t="array" ref="U63">traveltime($B12, U$2, $A$1)/3600</f>
        <v>1.6225000000000001</v>
      </c>
      <c r="V63" cm="1">
        <f t="array" ref="V63">traveltime($B12, V$2, $A$1)/3600</f>
        <v>0.65500000000000003</v>
      </c>
      <c r="W63" cm="1">
        <f t="array" ref="W63">traveltime($B12, W$2, $A$1)/3600</f>
        <v>3.1769444444444446</v>
      </c>
      <c r="X63" cm="1">
        <f t="array" ref="X63">traveltime($B12, X$2, $A$1)/3600</f>
        <v>1.02</v>
      </c>
    </row>
    <row r="64" spans="1:24" x14ac:dyDescent="0.25">
      <c r="A64" s="10">
        <v>34.479812299999999</v>
      </c>
      <c r="B64">
        <v>-87.734037200000003</v>
      </c>
      <c r="C64" cm="1">
        <f t="array" ref="C64">traveltime($B13, C$2, $A$1)/3600</f>
        <v>7.293333333333333</v>
      </c>
      <c r="D64" cm="1">
        <f t="array" ref="D64">traveltime($B13, D$2, $A$1)/3600</f>
        <v>2.464722222222222</v>
      </c>
      <c r="E64" cm="1">
        <f t="array" ref="E64">traveltime($B13, E$2, $A$1)/3600</f>
        <v>12.533611111111112</v>
      </c>
      <c r="F64" cm="1">
        <f t="array" ref="F64">traveltime($B13, F$2, $A$1)/3600</f>
        <v>2.617777777777778</v>
      </c>
      <c r="G64" cm="1">
        <f t="array" ref="G64">traveltime($B13, G$2, $A$1)/3600</f>
        <v>2.0699999999999998</v>
      </c>
      <c r="H64" cm="1">
        <f t="array" ref="H64">traveltime($B13, H$2, $A$1)/3600</f>
        <v>8.4436111111111103</v>
      </c>
      <c r="I64" cm="1">
        <f t="array" ref="I64">traveltime($B13, I$2, $A$1)/3600</f>
        <v>7.4061111111111115</v>
      </c>
      <c r="J64" cm="1">
        <f t="array" ref="J64">traveltime($B13, J$2, $A$1)/3600</f>
        <v>0.68083333333333329</v>
      </c>
      <c r="K64" cm="1">
        <f t="array" ref="K64">traveltime($B13, K$2, $A$1)/3600</f>
        <v>11.175833333333333</v>
      </c>
      <c r="L64" cm="1">
        <f t="array" ref="L64">traveltime($B13, L$2, $A$1)/3600</f>
        <v>6.0088888888888885</v>
      </c>
      <c r="M64" cm="1">
        <f t="array" ref="M64">traveltime($B13, M$2, $A$1)/3600</f>
        <v>0</v>
      </c>
      <c r="N64" cm="1">
        <f t="array" ref="N64">traveltime($B13, N$2, $A$1)/3600</f>
        <v>3.1280555555555556</v>
      </c>
      <c r="O64" cm="1">
        <f t="array" ref="O64">traveltime($B13, O$2, $A$1)/3600</f>
        <v>4.0805555555555557</v>
      </c>
      <c r="P64" cm="1">
        <f t="array" ref="P64">traveltime($B13, P$2, $A$1)/3600</f>
        <v>4.6050000000000004</v>
      </c>
      <c r="Q64" cm="1">
        <f t="array" ref="Q64">traveltime($B13, Q$2, $A$1)/3600</f>
        <v>7.2336111111111112</v>
      </c>
      <c r="R64" cm="1">
        <f t="array" ref="R64">traveltime($B13, R$2, $A$1)/3600</f>
        <v>5.1386111111111115</v>
      </c>
      <c r="S64" cm="1">
        <f t="array" ref="S64">traveltime($B13, S$2, $A$1)/3600</f>
        <v>14.218055555555555</v>
      </c>
      <c r="T64" cm="1">
        <f t="array" ref="T64">traveltime($B13, T$2, $A$1)/3600</f>
        <v>3.7919444444444443</v>
      </c>
      <c r="U64" cm="1">
        <f t="array" ref="U64">traveltime($B13, U$2, $A$1)/3600</f>
        <v>5.7827777777777776</v>
      </c>
      <c r="V64" cm="1">
        <f t="array" ref="V64">traveltime($B13, V$2, $A$1)/3600</f>
        <v>6.6544444444444446</v>
      </c>
      <c r="W64" cm="1">
        <f t="array" ref="W64">traveltime($B13, W$2, $A$1)/3600</f>
        <v>3.9533333333333331</v>
      </c>
      <c r="X64" cm="1">
        <f t="array" ref="X64">traveltime($B13, X$2, $A$1)/3600</f>
        <v>5.1444444444444448</v>
      </c>
    </row>
    <row r="65" spans="1:24" x14ac:dyDescent="0.25">
      <c r="A65" s="10">
        <v>33.582915399999997</v>
      </c>
      <c r="B65">
        <v>-86.632741999999993</v>
      </c>
      <c r="C65" cm="1">
        <f t="array" ref="C65">traveltime($B14, C$2, $A$1)/3600</f>
        <v>5.141111111111111</v>
      </c>
      <c r="D65" cm="1">
        <f t="array" ref="D65">traveltime($B14, D$2, $A$1)/3600</f>
        <v>2.0763888888888888</v>
      </c>
      <c r="E65" cm="1">
        <f t="array" ref="E65">traveltime($B14, E$2, $A$1)/3600</f>
        <v>10.381388888888889</v>
      </c>
      <c r="F65" cm="1">
        <f t="array" ref="F65">traveltime($B14, F$2, $A$1)/3600</f>
        <v>2.6158333333333332</v>
      </c>
      <c r="G65" cm="1">
        <f t="array" ref="G65">traveltime($B14, G$2, $A$1)/3600</f>
        <v>3.1358333333333333</v>
      </c>
      <c r="H65" cm="1">
        <f t="array" ref="H65">traveltime($B14, H$2, $A$1)/3600</f>
        <v>6.2913888888888891</v>
      </c>
      <c r="I65" cm="1">
        <f t="array" ref="I65">traveltime($B14, I$2, $A$1)/3600</f>
        <v>5.2538888888888886</v>
      </c>
      <c r="J65" cm="1">
        <f t="array" ref="J65">traveltime($B14, J$2, $A$1)/3600</f>
        <v>3.7116666666666664</v>
      </c>
      <c r="K65" cm="1">
        <f t="array" ref="K65">traveltime($B14, K$2, $A$1)/3600</f>
        <v>9.0236111111111104</v>
      </c>
      <c r="L65" cm="1">
        <f t="array" ref="L65">traveltime($B14, L$2, $A$1)/3600</f>
        <v>3.8566666666666665</v>
      </c>
      <c r="M65" cm="1">
        <f t="array" ref="M65">traveltime($B14, M$2, $A$1)/3600</f>
        <v>3.1258333333333335</v>
      </c>
      <c r="N65" cm="1">
        <f t="array" ref="N65">traveltime($B14, N$2, $A$1)/3600</f>
        <v>0</v>
      </c>
      <c r="O65" cm="1">
        <f t="array" ref="O65">traveltime($B14, O$2, $A$1)/3600</f>
        <v>1.9283333333333332</v>
      </c>
      <c r="P65" cm="1">
        <f t="array" ref="P65">traveltime($B14, P$2, $A$1)/3600</f>
        <v>2.4527777777777779</v>
      </c>
      <c r="Q65" cm="1">
        <f t="array" ref="Q65">traveltime($B14, Q$2, $A$1)/3600</f>
        <v>5.2391666666666667</v>
      </c>
      <c r="R65" cm="1">
        <f t="array" ref="R65">traveltime($B14, R$2, $A$1)/3600</f>
        <v>2.986388888888889</v>
      </c>
      <c r="S65" cm="1">
        <f t="array" ref="S65">traveltime($B14, S$2, $A$1)/3600</f>
        <v>12.065833333333334</v>
      </c>
      <c r="T65" cm="1">
        <f t="array" ref="T65">traveltime($B14, T$2, $A$1)/3600</f>
        <v>1.9927777777777778</v>
      </c>
      <c r="U65" cm="1">
        <f t="array" ref="U65">traveltime($B14, U$2, $A$1)/3600</f>
        <v>3.6305555555555555</v>
      </c>
      <c r="V65" cm="1">
        <f t="array" ref="V65">traveltime($B14, V$2, $A$1)/3600</f>
        <v>4.5022222222222226</v>
      </c>
      <c r="W65" cm="1">
        <f t="array" ref="W65">traveltime($B14, W$2, $A$1)/3600</f>
        <v>0.91972222222222222</v>
      </c>
      <c r="X65" cm="1">
        <f t="array" ref="X65">traveltime($B14, X$2, $A$1)/3600</f>
        <v>2.9922222222222223</v>
      </c>
    </row>
    <row r="66" spans="1:24" x14ac:dyDescent="0.25">
      <c r="A66" s="10">
        <v>32.905346600000001</v>
      </c>
      <c r="B66">
        <v>-86.708576699999995</v>
      </c>
      <c r="C66" cm="1">
        <f t="array" ref="C66">traveltime($B15, C$2, $A$1)/3600</f>
        <v>3.5863888888888891</v>
      </c>
      <c r="D66" cm="1">
        <f t="array" ref="D66">traveltime($B15, D$2, $A$1)/3600</f>
        <v>2.3888888888888888</v>
      </c>
      <c r="E66" cm="1">
        <f t="array" ref="E66">traveltime($B15, E$2, $A$1)/3600</f>
        <v>8.6077777777777786</v>
      </c>
      <c r="F66" cm="1">
        <f t="array" ref="F66">traveltime($B15, F$2, $A$1)/3600</f>
        <v>2.8483333333333332</v>
      </c>
      <c r="G66" cm="1">
        <f t="array" ref="G66">traveltime($B15, G$2, $A$1)/3600</f>
        <v>3.47</v>
      </c>
      <c r="H66" cm="1">
        <f t="array" ref="H66">traveltime($B15, H$2, $A$1)/3600</f>
        <v>4.7369444444444442</v>
      </c>
      <c r="I66" cm="1">
        <f t="array" ref="I66">traveltime($B15, I$2, $A$1)/3600</f>
        <v>3.6994444444444445</v>
      </c>
      <c r="J66" cm="1">
        <f t="array" ref="J66">traveltime($B15, J$2, $A$1)/3600</f>
        <v>4.5530555555555559</v>
      </c>
      <c r="K66" cm="1">
        <f t="array" ref="K66">traveltime($B15, K$2, $A$1)/3600</f>
        <v>7.25</v>
      </c>
      <c r="L66" cm="1">
        <f t="array" ref="L66">traveltime($B15, L$2, $A$1)/3600</f>
        <v>2.3019444444444446</v>
      </c>
      <c r="M66" cm="1">
        <f t="array" ref="M66">traveltime($B15, M$2, $A$1)/3600</f>
        <v>4.0933333333333337</v>
      </c>
      <c r="N66" cm="1">
        <f t="array" ref="N66">traveltime($B15, N$2, $A$1)/3600</f>
        <v>1.9633333333333334</v>
      </c>
      <c r="O66" cm="1">
        <f t="array" ref="O66">traveltime($B15, O$2, $A$1)/3600</f>
        <v>0</v>
      </c>
      <c r="P66" cm="1">
        <f t="array" ref="P66">traveltime($B15, P$2, $A$1)/3600</f>
        <v>0.89805555555555561</v>
      </c>
      <c r="Q66" cm="1">
        <f t="array" ref="Q66">traveltime($B15, Q$2, $A$1)/3600</f>
        <v>3.6847222222222222</v>
      </c>
      <c r="R66" cm="1">
        <f t="array" ref="R66">traveltime($B15, R$2, $A$1)/3600</f>
        <v>1.4319444444444445</v>
      </c>
      <c r="S66" cm="1">
        <f t="array" ref="S66">traveltime($B15, S$2, $A$1)/3600</f>
        <v>10.292222222222222</v>
      </c>
      <c r="T66" cm="1">
        <f t="array" ref="T66">traveltime($B15, T$2, $A$1)/3600</f>
        <v>1.03</v>
      </c>
      <c r="U66" cm="1">
        <f t="array" ref="U66">traveltime($B15, U$2, $A$1)/3600</f>
        <v>2.076111111111111</v>
      </c>
      <c r="V66" cm="1">
        <f t="array" ref="V66">traveltime($B15, V$2, $A$1)/3600</f>
        <v>2.9474999999999998</v>
      </c>
      <c r="W66" cm="1">
        <f t="array" ref="W66">traveltime($B15, W$2, $A$1)/3600</f>
        <v>1.2649999999999999</v>
      </c>
      <c r="X66" cm="1">
        <f t="array" ref="X66">traveltime($B15, X$2, $A$1)/3600</f>
        <v>1.4375</v>
      </c>
    </row>
    <row r="67" spans="1:24" x14ac:dyDescent="0.25">
      <c r="A67" s="10">
        <v>30.721412999999998</v>
      </c>
      <c r="B67">
        <v>-86.566215499999998</v>
      </c>
      <c r="C67" cm="1">
        <f t="array" ref="C67">traveltime($B16, C$2, $A$1)/3600</f>
        <v>2.9208333333333334</v>
      </c>
      <c r="D67" cm="1">
        <f t="array" ref="D67">traveltime($B16, D$2, $A$1)/3600</f>
        <v>2.5291666666666668</v>
      </c>
      <c r="E67" cm="1">
        <f t="array" ref="E67">traveltime($B16, E$2, $A$1)/3600</f>
        <v>8.2850000000000001</v>
      </c>
      <c r="F67" cm="1">
        <f t="array" ref="F67">traveltime($B16, F$2, $A$1)/3600</f>
        <v>2.9886111111111111</v>
      </c>
      <c r="G67" cm="1">
        <f t="array" ref="G67">traveltime($B16, G$2, $A$1)/3600</f>
        <v>3.6102777777777777</v>
      </c>
      <c r="H67" cm="1">
        <f t="array" ref="H67">traveltime($B16, H$2, $A$1)/3600</f>
        <v>4.0713888888888885</v>
      </c>
      <c r="I67" cm="1">
        <f t="array" ref="I67">traveltime($B16, I$2, $A$1)/3600</f>
        <v>3.0338888888888889</v>
      </c>
      <c r="J67" cm="1">
        <f t="array" ref="J67">traveltime($B16, J$2, $A$1)/3600</f>
        <v>4.6933333333333334</v>
      </c>
      <c r="K67" cm="1">
        <f t="array" ref="K67">traveltime($B16, K$2, $A$1)/3600</f>
        <v>6.9219444444444447</v>
      </c>
      <c r="L67" cm="1">
        <f t="array" ref="L67">traveltime($B16, L$2, $A$1)/3600</f>
        <v>1.6363888888888889</v>
      </c>
      <c r="M67" cm="1">
        <f t="array" ref="M67">traveltime($B16, M$2, $A$1)/3600</f>
        <v>4.6124999999999998</v>
      </c>
      <c r="N67" cm="1">
        <f t="array" ref="N67">traveltime($B16, N$2, $A$1)/3600</f>
        <v>2.4824999999999999</v>
      </c>
      <c r="O67" cm="1">
        <f t="array" ref="O67">traveltime($B16, O$2, $A$1)/3600</f>
        <v>0.89777777777777779</v>
      </c>
      <c r="P67" cm="1">
        <f t="array" ref="P67">traveltime($B16, P$2, $A$1)/3600</f>
        <v>0</v>
      </c>
      <c r="Q67" cm="1">
        <f t="array" ref="Q67">traveltime($B16, Q$2, $A$1)/3600</f>
        <v>3.0191666666666666</v>
      </c>
      <c r="R67" cm="1">
        <f t="array" ref="R67">traveltime($B16, R$2, $A$1)/3600</f>
        <v>0.7663888888888889</v>
      </c>
      <c r="S67" cm="1">
        <f t="array" ref="S67">traveltime($B16, S$2, $A$1)/3600</f>
        <v>9.969444444444445</v>
      </c>
      <c r="T67" cm="1">
        <f t="array" ref="T67">traveltime($B16, T$2, $A$1)/3600</f>
        <v>1.1580555555555556</v>
      </c>
      <c r="U67" cm="1">
        <f t="array" ref="U67">traveltime($B16, U$2, $A$1)/3600</f>
        <v>1.4105555555555556</v>
      </c>
      <c r="V67" cm="1">
        <f t="array" ref="V67">traveltime($B16, V$2, $A$1)/3600</f>
        <v>2.2819444444444446</v>
      </c>
      <c r="W67" cm="1">
        <f t="array" ref="W67">traveltime($B16, W$2, $A$1)/3600</f>
        <v>1.7841666666666667</v>
      </c>
      <c r="X67" cm="1">
        <f t="array" ref="X67">traveltime($B16, X$2, $A$1)/3600</f>
        <v>0.77194444444444443</v>
      </c>
    </row>
    <row r="68" spans="1:24" x14ac:dyDescent="0.25">
      <c r="A68" s="10">
        <v>32.361873799999998</v>
      </c>
      <c r="B68">
        <v>-86.299616</v>
      </c>
      <c r="C68" cm="1">
        <f t="array" ref="C68">traveltime($B17, C$2, $A$1)/3600</f>
        <v>0.61583333333333334</v>
      </c>
      <c r="D68" cm="1">
        <f t="array" ref="D68">traveltime($B17, D$2, $A$1)/3600</f>
        <v>5.0186111111111114</v>
      </c>
      <c r="E68" cm="1">
        <f t="array" ref="E68">traveltime($B17, E$2, $A$1)/3600</f>
        <v>6.0588888888888892</v>
      </c>
      <c r="F68" cm="1">
        <f t="array" ref="F68">traveltime($B17, F$2, $A$1)/3600</f>
        <v>4.8766666666666669</v>
      </c>
      <c r="G68" cm="1">
        <f t="array" ref="G68">traveltime($B17, G$2, $A$1)/3600</f>
        <v>5.1594444444444445</v>
      </c>
      <c r="H68" cm="1">
        <f t="array" ref="H68">traveltime($B17, H$2, $A$1)/3600</f>
        <v>2.1080555555555556</v>
      </c>
      <c r="I68" cm="1">
        <f t="array" ref="I68">traveltime($B17, I$2, $A$1)/3600</f>
        <v>1.2438888888888888</v>
      </c>
      <c r="J68" cm="1">
        <f t="array" ref="J68">traveltime($B17, J$2, $A$1)/3600</f>
        <v>6.6819444444444445</v>
      </c>
      <c r="K68" cm="1">
        <f t="array" ref="K68">traveltime($B17, K$2, $A$1)/3600</f>
        <v>4.6958333333333337</v>
      </c>
      <c r="L68" cm="1">
        <f t="array" ref="L68">traveltime($B17, L$2, $A$1)/3600</f>
        <v>1.6358333333333333</v>
      </c>
      <c r="M68" cm="1">
        <f t="array" ref="M68">traveltime($B17, M$2, $A$1)/3600</f>
        <v>7.2219444444444445</v>
      </c>
      <c r="N68" cm="1">
        <f t="array" ref="N68">traveltime($B17, N$2, $A$1)/3600</f>
        <v>5.2461111111111114</v>
      </c>
      <c r="O68" cm="1">
        <f t="array" ref="O68">traveltime($B17, O$2, $A$1)/3600</f>
        <v>3.6616666666666666</v>
      </c>
      <c r="P68" cm="1">
        <f t="array" ref="P68">traveltime($B17, P$2, $A$1)/3600</f>
        <v>3.0066666666666668</v>
      </c>
      <c r="Q68" cm="1">
        <f t="array" ref="Q68">traveltime($B17, Q$2, $A$1)/3600</f>
        <v>0</v>
      </c>
      <c r="R68" cm="1">
        <f t="array" ref="R68">traveltime($B17, R$2, $A$1)/3600</f>
        <v>2.3491666666666666</v>
      </c>
      <c r="S68" cm="1">
        <f t="array" ref="S68">traveltime($B17, S$2, $A$1)/3600</f>
        <v>7.7433333333333332</v>
      </c>
      <c r="T68" cm="1">
        <f t="array" ref="T68">traveltime($B17, T$2, $A$1)/3600</f>
        <v>4.0511111111111111</v>
      </c>
      <c r="U68" cm="1">
        <f t="array" ref="U68">traveltime($B17, U$2, $A$1)/3600</f>
        <v>2.9933333333333332</v>
      </c>
      <c r="V68" cm="1">
        <f t="array" ref="V68">traveltime($B17, V$2, $A$1)/3600</f>
        <v>1.0302777777777778</v>
      </c>
      <c r="W68" cm="1">
        <f t="array" ref="W68">traveltime($B17, W$2, $A$1)/3600</f>
        <v>4.5477777777777781</v>
      </c>
      <c r="X68" cm="1">
        <f t="array" ref="X68">traveltime($B17, X$2, $A$1)/3600</f>
        <v>2.3908333333333331</v>
      </c>
    </row>
    <row r="69" spans="1:24" x14ac:dyDescent="0.25">
      <c r="A69" s="10">
        <v>26.849594799999998</v>
      </c>
      <c r="B69">
        <v>-80.058398100000005</v>
      </c>
      <c r="C69" cm="1">
        <f t="array" ref="C69">traveltime($B18, C$2, $A$1)/3600</f>
        <v>2.222777777777778</v>
      </c>
      <c r="D69" cm="1">
        <f t="array" ref="D69">traveltime($B18, D$2, $A$1)/3600</f>
        <v>3.1883333333333335</v>
      </c>
      <c r="E69" cm="1">
        <f t="array" ref="E69">traveltime($B18, E$2, $A$1)/3600</f>
        <v>7.576944444444444</v>
      </c>
      <c r="F69" cm="1">
        <f t="array" ref="F69">traveltime($B18, F$2, $A$1)/3600</f>
        <v>3.6477777777777778</v>
      </c>
      <c r="G69" cm="1">
        <f t="array" ref="G69">traveltime($B18, G$2, $A$1)/3600</f>
        <v>4.1922222222222221</v>
      </c>
      <c r="H69" cm="1">
        <f t="array" ref="H69">traveltime($B18, H$2, $A$1)/3600</f>
        <v>3.3633333333333333</v>
      </c>
      <c r="I69" cm="1">
        <f t="array" ref="I69">traveltime($B18, I$2, $A$1)/3600</f>
        <v>2.3258333333333332</v>
      </c>
      <c r="J69" cm="1">
        <f t="array" ref="J69">traveltime($B18, J$2, $A$1)/3600</f>
        <v>5.3525</v>
      </c>
      <c r="K69" cm="1">
        <f t="array" ref="K69">traveltime($B18, K$2, $A$1)/3600</f>
        <v>6.2138888888888886</v>
      </c>
      <c r="L69" cm="1">
        <f t="array" ref="L69">traveltime($B18, L$2, $A$1)/3600</f>
        <v>0.93833333333333335</v>
      </c>
      <c r="M69" cm="1">
        <f t="array" ref="M69">traveltime($B18, M$2, $A$1)/3600</f>
        <v>5.1488888888888891</v>
      </c>
      <c r="N69" cm="1">
        <f t="array" ref="N69">traveltime($B18, N$2, $A$1)/3600</f>
        <v>3.0188888888888887</v>
      </c>
      <c r="O69" cm="1">
        <f t="array" ref="O69">traveltime($B18, O$2, $A$1)/3600</f>
        <v>1.4344444444444444</v>
      </c>
      <c r="P69" cm="1">
        <f t="array" ref="P69">traveltime($B18, P$2, $A$1)/3600</f>
        <v>0.7794444444444445</v>
      </c>
      <c r="Q69" cm="1">
        <f t="array" ref="Q69">traveltime($B18, Q$2, $A$1)/3600</f>
        <v>2.3811111111111112</v>
      </c>
      <c r="R69" cm="1">
        <f t="array" ref="R69">traveltime($B18, R$2, $A$1)/3600</f>
        <v>0</v>
      </c>
      <c r="S69" cm="1">
        <f t="array" ref="S69">traveltime($B18, S$2, $A$1)/3600</f>
        <v>9.261388888888888</v>
      </c>
      <c r="T69" cm="1">
        <f t="array" ref="T69">traveltime($B18, T$2, $A$1)/3600</f>
        <v>1.8172222222222223</v>
      </c>
      <c r="U69" cm="1">
        <f t="array" ref="U69">traveltime($B18, U$2, $A$1)/3600</f>
        <v>0.70250000000000001</v>
      </c>
      <c r="V69" cm="1">
        <f t="array" ref="V69">traveltime($B18, V$2, $A$1)/3600</f>
        <v>1.5838888888888889</v>
      </c>
      <c r="W69" cm="1">
        <f t="array" ref="W69">traveltime($B18, W$2, $A$1)/3600</f>
        <v>2.3205555555555555</v>
      </c>
      <c r="X69" cm="1">
        <f t="array" ref="X69">traveltime($B18, X$2, $A$1)/3600</f>
        <v>0.11333333333333333</v>
      </c>
    </row>
    <row r="70" spans="1:24" x14ac:dyDescent="0.25">
      <c r="A70" s="10">
        <v>33.179634399999998</v>
      </c>
      <c r="B70">
        <v>-87.553105099999996</v>
      </c>
      <c r="C70" cm="1">
        <f t="array" ref="C70">traveltime($B19, C$2, $A$1)/3600</f>
        <v>7.5327777777777776</v>
      </c>
      <c r="D70" cm="1">
        <f t="array" ref="D70">traveltime($B19, D$2, $A$1)/3600</f>
        <v>12.386111111111111</v>
      </c>
      <c r="E70" cm="1">
        <f t="array" ref="E70">traveltime($B19, E$2, $A$1)/3600</f>
        <v>2.5177777777777779</v>
      </c>
      <c r="F70" cm="1">
        <f t="array" ref="F70">traveltime($B19, F$2, $A$1)/3600</f>
        <v>12.481666666666667</v>
      </c>
      <c r="G70" cm="1">
        <f t="array" ref="G70">traveltime($B19, G$2, $A$1)/3600</f>
        <v>12.833055555555555</v>
      </c>
      <c r="H70" cm="1">
        <f t="array" ref="H70">traveltime($B19, H$2, $A$1)/3600</f>
        <v>6.0569444444444445</v>
      </c>
      <c r="I70" cm="1">
        <f t="array" ref="I70">traveltime($B19, I$2, $A$1)/3600</f>
        <v>7.0311111111111115</v>
      </c>
      <c r="J70" cm="1">
        <f t="array" ref="J70">traveltime($B19, J$2, $A$1)/3600</f>
        <v>14.355555555555556</v>
      </c>
      <c r="K70" cm="1">
        <f t="array" ref="K70">traveltime($B19, K$2, $A$1)/3600</f>
        <v>3.9505555555555554</v>
      </c>
      <c r="L70" cm="1">
        <f t="array" ref="L70">traveltime($B19, L$2, $A$1)/3600</f>
        <v>8.5924999999999994</v>
      </c>
      <c r="M70" cm="1">
        <f t="array" ref="M70">traveltime($B19, M$2, $A$1)/3600</f>
        <v>14.235277777777778</v>
      </c>
      <c r="N70" cm="1">
        <f t="array" ref="N70">traveltime($B19, N$2, $A$1)/3600</f>
        <v>12.105277777777777</v>
      </c>
      <c r="O70" cm="1">
        <f t="array" ref="O70">traveltime($B19, O$2, $A$1)/3600</f>
        <v>10.293055555555556</v>
      </c>
      <c r="P70" cm="1">
        <f t="array" ref="P70">traveltime($B19, P$2, $A$1)/3600</f>
        <v>9.9772222222222222</v>
      </c>
      <c r="Q70" cm="1">
        <f t="array" ref="Q70">traveltime($B19, Q$2, $A$1)/3600</f>
        <v>7.769166666666667</v>
      </c>
      <c r="R70" cm="1">
        <f t="array" ref="R70">traveltime($B19, R$2, $A$1)/3600</f>
        <v>9.3080555555555549</v>
      </c>
      <c r="S70" cm="1">
        <f t="array" ref="S70">traveltime($B19, S$2, $A$1)/3600</f>
        <v>0</v>
      </c>
      <c r="T70" cm="1">
        <f t="array" ref="T70">traveltime($B19, T$2, $A$1)/3600</f>
        <v>11.015000000000001</v>
      </c>
      <c r="U70" cm="1">
        <f t="array" ref="U70">traveltime($B19, U$2, $A$1)/3600</f>
        <v>8.6827777777777779</v>
      </c>
      <c r="V70" cm="1">
        <f t="array" ref="V70">traveltime($B19, V$2, $A$1)/3600</f>
        <v>8.0352777777777771</v>
      </c>
      <c r="W70" cm="1">
        <f t="array" ref="W70">traveltime($B19, W$2, $A$1)/3600</f>
        <v>11.406944444444445</v>
      </c>
      <c r="X70" cm="1">
        <f t="array" ref="X70">traveltime($B19, X$2, $A$1)/3600</f>
        <v>9.33</v>
      </c>
    </row>
    <row r="71" spans="1:24" x14ac:dyDescent="0.25">
      <c r="A71" s="10">
        <v>32.482779600000001</v>
      </c>
      <c r="B71">
        <v>-85.559615899999997</v>
      </c>
      <c r="C71" cm="1">
        <f t="array" ref="C71">traveltime($B20, C$2, $A$1)/3600</f>
        <v>3.9519444444444445</v>
      </c>
      <c r="D71" cm="1">
        <f t="array" ref="D71">traveltime($B20, D$2, $A$1)/3600</f>
        <v>1.4452777777777779</v>
      </c>
      <c r="E71" cm="1">
        <f t="array" ref="E71">traveltime($B20, E$2, $A$1)/3600</f>
        <v>9.3330555555555552</v>
      </c>
      <c r="F71" cm="1">
        <f t="array" ref="F71">traveltime($B20, F$2, $A$1)/3600</f>
        <v>1.9013888888888888</v>
      </c>
      <c r="G71" cm="1">
        <f t="array" ref="G71">traveltime($B20, G$2, $A$1)/3600</f>
        <v>2.526388888888889</v>
      </c>
      <c r="H71" cm="1">
        <f t="array" ref="H71">traveltime($B20, H$2, $A$1)/3600</f>
        <v>5.1194444444444445</v>
      </c>
      <c r="I71" cm="1">
        <f t="array" ref="I71">traveltime($B20, I$2, $A$1)/3600</f>
        <v>4.0819444444444448</v>
      </c>
      <c r="J71" cm="1">
        <f t="array" ref="J71">traveltime($B20, J$2, $A$1)/3600</f>
        <v>3.6091666666666669</v>
      </c>
      <c r="K71" cm="1">
        <f t="array" ref="K71">traveltime($B20, K$2, $A$1)/3600</f>
        <v>7.97</v>
      </c>
      <c r="L71" cm="1">
        <f t="array" ref="L71">traveltime($B20, L$2, $A$1)/3600</f>
        <v>2.6675</v>
      </c>
      <c r="M71" cm="1">
        <f t="array" ref="M71">traveltime($B20, M$2, $A$1)/3600</f>
        <v>3.8174999999999999</v>
      </c>
      <c r="N71" cm="1">
        <f t="array" ref="N71">traveltime($B20, N$2, $A$1)/3600</f>
        <v>2.0027777777777778</v>
      </c>
      <c r="O71" cm="1">
        <f t="array" ref="O71">traveltime($B20, O$2, $A$1)/3600</f>
        <v>1.0508333333333333</v>
      </c>
      <c r="P71" cm="1">
        <f t="array" ref="P71">traveltime($B20, P$2, $A$1)/3600</f>
        <v>1.1627777777777777</v>
      </c>
      <c r="Q71" cm="1">
        <f t="array" ref="Q71">traveltime($B20, Q$2, $A$1)/3600</f>
        <v>4.0597222222222218</v>
      </c>
      <c r="R71" cm="1">
        <f t="array" ref="R71">traveltime($B20, R$2, $A$1)/3600</f>
        <v>1.8144444444444445</v>
      </c>
      <c r="S71" cm="1">
        <f t="array" ref="S71">traveltime($B20, S$2, $A$1)/3600</f>
        <v>11.0175</v>
      </c>
      <c r="T71" cm="1">
        <f t="array" ref="T71">traveltime($B20, T$2, $A$1)/3600</f>
        <v>0</v>
      </c>
      <c r="U71" cm="1">
        <f t="array" ref="U71">traveltime($B20, U$2, $A$1)/3600</f>
        <v>2.4586111111111113</v>
      </c>
      <c r="V71" cm="1">
        <f t="array" ref="V71">traveltime($B20, V$2, $A$1)/3600</f>
        <v>3.3130555555555556</v>
      </c>
      <c r="W71" cm="1">
        <f t="array" ref="W71">traveltime($B20, W$2, $A$1)/3600</f>
        <v>1.8274999999999999</v>
      </c>
      <c r="X71" cm="1">
        <f t="array" ref="X71">traveltime($B20, X$2, $A$1)/3600</f>
        <v>1.8444444444444446</v>
      </c>
    </row>
    <row r="72" spans="1:24" x14ac:dyDescent="0.25">
      <c r="A72" s="10">
        <v>31.269835799999999</v>
      </c>
      <c r="B72">
        <v>-86.243357599999996</v>
      </c>
      <c r="C72" cm="1">
        <f t="array" ref="C72">traveltime($B21, C$2, $A$1)/3600</f>
        <v>2.7380555555555555</v>
      </c>
      <c r="D72" cm="1">
        <f t="array" ref="D72">traveltime($B21, D$2, $A$1)/3600</f>
        <v>3.8216666666666668</v>
      </c>
      <c r="E72" cm="1">
        <f t="array" ref="E72">traveltime($B21, E$2, $A$1)/3600</f>
        <v>6.9847222222222225</v>
      </c>
      <c r="F72" cm="1">
        <f t="array" ref="F72">traveltime($B21, F$2, $A$1)/3600</f>
        <v>4.2811111111111115</v>
      </c>
      <c r="G72" cm="1">
        <f t="array" ref="G72">traveltime($B21, G$2, $A$1)/3600</f>
        <v>4.8255555555555558</v>
      </c>
      <c r="H72" cm="1">
        <f t="array" ref="H72">traveltime($B21, H$2, $A$1)/3600</f>
        <v>3.0930555555555554</v>
      </c>
      <c r="I72" cm="1">
        <f t="array" ref="I72">traveltime($B21, I$2, $A$1)/3600</f>
        <v>2.5644444444444443</v>
      </c>
      <c r="J72" cm="1">
        <f t="array" ref="J72">traveltime($B21, J$2, $A$1)/3600</f>
        <v>5.9858333333333329</v>
      </c>
      <c r="K72" cm="1">
        <f t="array" ref="K72">traveltime($B21, K$2, $A$1)/3600</f>
        <v>5.6269444444444447</v>
      </c>
      <c r="L72" cm="1">
        <f t="array" ref="L72">traveltime($B21, L$2, $A$1)/3600</f>
        <v>1.6319444444444444</v>
      </c>
      <c r="M72" cm="1">
        <f t="array" ref="M72">traveltime($B21, M$2, $A$1)/3600</f>
        <v>5.7822222222222219</v>
      </c>
      <c r="N72" cm="1">
        <f t="array" ref="N72">traveltime($B21, N$2, $A$1)/3600</f>
        <v>3.652222222222222</v>
      </c>
      <c r="O72" cm="1">
        <f t="array" ref="O72">traveltime($B21, O$2, $A$1)/3600</f>
        <v>2.0677777777777777</v>
      </c>
      <c r="P72" cm="1">
        <f t="array" ref="P72">traveltime($B21, P$2, $A$1)/3600</f>
        <v>1.4127777777777777</v>
      </c>
      <c r="Q72" cm="1">
        <f t="array" ref="Q72">traveltime($B21, Q$2, $A$1)/3600</f>
        <v>3.0144444444444445</v>
      </c>
      <c r="R72" cm="1">
        <f t="array" ref="R72">traveltime($B21, R$2, $A$1)/3600</f>
        <v>0.70861111111111108</v>
      </c>
      <c r="S72" cm="1">
        <f t="array" ref="S72">traveltime($B21, S$2, $A$1)/3600</f>
        <v>8.6691666666666674</v>
      </c>
      <c r="T72" cm="1">
        <f t="array" ref="T72">traveltime($B21, T$2, $A$1)/3600</f>
        <v>2.4505555555555554</v>
      </c>
      <c r="U72" cm="1">
        <f t="array" ref="U72">traveltime($B21, U$2, $A$1)/3600</f>
        <v>0</v>
      </c>
      <c r="V72" cm="1">
        <f t="array" ref="V72">traveltime($B21, V$2, $A$1)/3600</f>
        <v>2.153888888888889</v>
      </c>
      <c r="W72" cm="1">
        <f t="array" ref="W72">traveltime($B21, W$2, $A$1)/3600</f>
        <v>2.9538888888888888</v>
      </c>
      <c r="X72" cm="1">
        <f t="array" ref="X72">traveltime($B21, X$2, $A$1)/3600</f>
        <v>0.76555555555555554</v>
      </c>
    </row>
    <row r="73" spans="1:24" x14ac:dyDescent="0.25">
      <c r="A73" s="10">
        <v>34.4348071</v>
      </c>
      <c r="B73">
        <v>-86.932986200000002</v>
      </c>
      <c r="C73" cm="1">
        <f t="array" ref="C73">traveltime($B22, C$2, $A$1)/3600</f>
        <v>0.71055555555555561</v>
      </c>
      <c r="D73" cm="1">
        <f t="array" ref="D73">traveltime($B22, D$2, $A$1)/3600</f>
        <v>4.5588888888888892</v>
      </c>
      <c r="E73" cm="1">
        <f t="array" ref="E73">traveltime($B22, E$2, $A$1)/3600</f>
        <v>6.3463888888888889</v>
      </c>
      <c r="F73" cm="1">
        <f t="array" ref="F73">traveltime($B22, F$2, $A$1)/3600</f>
        <v>4.4955555555555557</v>
      </c>
      <c r="G73" cm="1">
        <f t="array" ref="G73">traveltime($B22, G$2, $A$1)/3600</f>
        <v>5.0066666666666668</v>
      </c>
      <c r="H73" cm="1">
        <f t="array" ref="H73">traveltime($B22, H$2, $A$1)/3600</f>
        <v>2.3958333333333335</v>
      </c>
      <c r="I73" cm="1">
        <f t="array" ref="I73">traveltime($B22, I$2, $A$1)/3600</f>
        <v>1.2047222222222222</v>
      </c>
      <c r="J73" cm="1">
        <f t="array" ref="J73">traveltime($B22, J$2, $A$1)/3600</f>
        <v>6.7155555555555555</v>
      </c>
      <c r="K73" cm="1">
        <f t="array" ref="K73">traveltime($B22, K$2, $A$1)/3600</f>
        <v>4.9833333333333334</v>
      </c>
      <c r="L73" cm="1">
        <f t="array" ref="L73">traveltime($B22, L$2, $A$1)/3600</f>
        <v>0.66666666666666663</v>
      </c>
      <c r="M73" cm="1">
        <f t="array" ref="M73">traveltime($B22, M$2, $A$1)/3600</f>
        <v>6.6613888888888892</v>
      </c>
      <c r="N73" cm="1">
        <f t="array" ref="N73">traveltime($B22, N$2, $A$1)/3600</f>
        <v>4.5313888888888885</v>
      </c>
      <c r="O73" cm="1">
        <f t="array" ref="O73">traveltime($B22, O$2, $A$1)/3600</f>
        <v>2.9469444444444446</v>
      </c>
      <c r="P73" cm="1">
        <f t="array" ref="P73">traveltime($B22, P$2, $A$1)/3600</f>
        <v>2.2919444444444443</v>
      </c>
      <c r="Q73" cm="1">
        <f t="array" ref="Q73">traveltime($B22, Q$2, $A$1)/3600</f>
        <v>1.0566666666666666</v>
      </c>
      <c r="R73" cm="1">
        <f t="array" ref="R73">traveltime($B22, R$2, $A$1)/3600</f>
        <v>1.5941666666666667</v>
      </c>
      <c r="S73" cm="1">
        <f t="array" ref="S73">traveltime($B22, S$2, $A$1)/3600</f>
        <v>8.0308333333333337</v>
      </c>
      <c r="T73" cm="1">
        <f t="array" ref="T73">traveltime($B22, T$2, $A$1)/3600</f>
        <v>3.3322222222222222</v>
      </c>
      <c r="U73" cm="1">
        <f t="array" ref="U73">traveltime($B22, U$2, $A$1)/3600</f>
        <v>2.1463888888888887</v>
      </c>
      <c r="V73" cm="1">
        <f t="array" ref="V73">traveltime($B22, V$2, $A$1)/3600</f>
        <v>0</v>
      </c>
      <c r="W73" cm="1">
        <f t="array" ref="W73">traveltime($B22, W$2, $A$1)/3600</f>
        <v>3.8330555555555557</v>
      </c>
      <c r="X73" cm="1">
        <f t="array" ref="X73">traveltime($B22, X$2, $A$1)/3600</f>
        <v>1.6761111111111111</v>
      </c>
    </row>
    <row r="74" spans="1:24" x14ac:dyDescent="0.25">
      <c r="A74" s="10">
        <v>32.389564499999999</v>
      </c>
      <c r="B74">
        <v>-86.305086900000006</v>
      </c>
      <c r="C74" cm="1">
        <f t="array" ref="C74">traveltime($B23, C$2, $A$1)/3600</f>
        <v>4.4716666666666667</v>
      </c>
      <c r="D74" cm="1">
        <f t="array" ref="D74">traveltime($B23, D$2, $A$1)/3600</f>
        <v>2.9719444444444445</v>
      </c>
      <c r="E74" cm="1">
        <f t="array" ref="E74">traveltime($B23, E$2, $A$1)/3600</f>
        <v>9.7119444444444447</v>
      </c>
      <c r="F74" cm="1">
        <f t="array" ref="F74">traveltime($B23, F$2, $A$1)/3600</f>
        <v>3.5113888888888889</v>
      </c>
      <c r="G74" cm="1">
        <f t="array" ref="G74">traveltime($B23, G$2, $A$1)/3600</f>
        <v>3.9797222222222222</v>
      </c>
      <c r="H74" cm="1">
        <f t="array" ref="H74">traveltime($B23, H$2, $A$1)/3600</f>
        <v>5.6219444444444449</v>
      </c>
      <c r="I74" cm="1">
        <f t="array" ref="I74">traveltime($B23, I$2, $A$1)/3600</f>
        <v>4.5844444444444443</v>
      </c>
      <c r="J74" cm="1">
        <f t="array" ref="J74">traveltime($B23, J$2, $A$1)/3600</f>
        <v>4.5555555555555554</v>
      </c>
      <c r="K74" cm="1">
        <f t="array" ref="K74">traveltime($B23, K$2, $A$1)/3600</f>
        <v>8.3541666666666661</v>
      </c>
      <c r="L74" cm="1">
        <f t="array" ref="L74">traveltime($B23, L$2, $A$1)/3600</f>
        <v>3.1872222222222222</v>
      </c>
      <c r="M74" cm="1">
        <f t="array" ref="M74">traveltime($B23, M$2, $A$1)/3600</f>
        <v>3.9697222222222224</v>
      </c>
      <c r="N74" cm="1">
        <f t="array" ref="N74">traveltime($B23, N$2, $A$1)/3600</f>
        <v>0.94638888888888884</v>
      </c>
      <c r="O74" cm="1">
        <f t="array" ref="O74">traveltime($B23, O$2, $A$1)/3600</f>
        <v>1.2588888888888889</v>
      </c>
      <c r="P74" cm="1">
        <f t="array" ref="P74">traveltime($B23, P$2, $A$1)/3600</f>
        <v>1.7833333333333334</v>
      </c>
      <c r="Q74" cm="1">
        <f t="array" ref="Q74">traveltime($B23, Q$2, $A$1)/3600</f>
        <v>4.5697222222222225</v>
      </c>
      <c r="R74" cm="1">
        <f t="array" ref="R74">traveltime($B23, R$2, $A$1)/3600</f>
        <v>2.3169444444444443</v>
      </c>
      <c r="S74" cm="1">
        <f t="array" ref="S74">traveltime($B23, S$2, $A$1)/3600</f>
        <v>11.39638888888889</v>
      </c>
      <c r="T74" cm="1">
        <f t="array" ref="T74">traveltime($B23, T$2, $A$1)/3600</f>
        <v>1.8066666666666666</v>
      </c>
      <c r="U74" cm="1">
        <f t="array" ref="U74">traveltime($B23, U$2, $A$1)/3600</f>
        <v>2.9611111111111112</v>
      </c>
      <c r="V74" cm="1">
        <f t="array" ref="V74">traveltime($B23, V$2, $A$1)/3600</f>
        <v>3.8327777777777778</v>
      </c>
      <c r="W74" cm="1">
        <f t="array" ref="W74">traveltime($B23, W$2, $A$1)/3600</f>
        <v>0</v>
      </c>
      <c r="X74" cm="1">
        <f t="array" ref="X74">traveltime($B23, X$2, $A$1)/3600</f>
        <v>2.3227777777777776</v>
      </c>
    </row>
    <row r="75" spans="1:24" x14ac:dyDescent="0.25">
      <c r="C75" cm="1">
        <f t="array" ref="C75">traveltime($B24, C$2, $A$1)/3600</f>
        <v>2.3380555555555556</v>
      </c>
      <c r="D75" cm="1">
        <f t="array" ref="D75">traveltime($B24, D$2, $A$1)/3600</f>
        <v>3.2080555555555557</v>
      </c>
      <c r="E75" cm="1">
        <f t="array" ref="E75">traveltime($B24, E$2, $A$1)/3600</f>
        <v>7.6630555555555553</v>
      </c>
      <c r="F75" cm="1">
        <f t="array" ref="F75">traveltime($B24, F$2, $A$1)/3600</f>
        <v>3.6675</v>
      </c>
      <c r="G75" cm="1">
        <f t="array" ref="G75">traveltime($B24, G$2, $A$1)/3600</f>
        <v>4.2319444444444443</v>
      </c>
      <c r="H75" cm="1">
        <f t="array" ref="H75">traveltime($B24, H$2, $A$1)/3600</f>
        <v>3.4494444444444445</v>
      </c>
      <c r="I75" cm="1">
        <f t="array" ref="I75">traveltime($B24, I$2, $A$1)/3600</f>
        <v>2.4119444444444444</v>
      </c>
      <c r="J75" cm="1">
        <f t="array" ref="J75">traveltime($B24, J$2, $A$1)/3600</f>
        <v>5.3722222222222218</v>
      </c>
      <c r="K75" cm="1">
        <f t="array" ref="K75">traveltime($B24, K$2, $A$1)/3600</f>
        <v>6.3</v>
      </c>
      <c r="L75" cm="1">
        <f t="array" ref="L75">traveltime($B24, L$2, $A$1)/3600</f>
        <v>1.0536111111111111</v>
      </c>
      <c r="M75" cm="1">
        <f t="array" ref="M75">traveltime($B24, M$2, $A$1)/3600</f>
        <v>5.1672222222222226</v>
      </c>
      <c r="N75" cm="1">
        <f t="array" ref="N75">traveltime($B24, N$2, $A$1)/3600</f>
        <v>3.0372222222222223</v>
      </c>
      <c r="O75" cm="1">
        <f t="array" ref="O75">traveltime($B24, O$2, $A$1)/3600</f>
        <v>1.4524999999999999</v>
      </c>
      <c r="P75" cm="1">
        <f t="array" ref="P75">traveltime($B24, P$2, $A$1)/3600</f>
        <v>0.79777777777777781</v>
      </c>
      <c r="Q75" cm="1">
        <f t="array" ref="Q75">traveltime($B24, Q$2, $A$1)/3600</f>
        <v>2.4208333333333334</v>
      </c>
      <c r="R75" cm="1">
        <f t="array" ref="R75">traveltime($B24, R$2, $A$1)/3600</f>
        <v>0.11527777777777778</v>
      </c>
      <c r="S75" cm="1">
        <f t="array" ref="S75">traveltime($B24, S$2, $A$1)/3600</f>
        <v>9.3475000000000001</v>
      </c>
      <c r="T75" cm="1">
        <f t="array" ref="T75">traveltime($B24, T$2, $A$1)/3600</f>
        <v>1.8369444444444445</v>
      </c>
      <c r="U75" cm="1">
        <f t="array" ref="U75">traveltime($B24, U$2, $A$1)/3600</f>
        <v>0.78861111111111115</v>
      </c>
      <c r="V75" cm="1">
        <f t="array" ref="V75">traveltime($B24, V$2, $A$1)/3600</f>
        <v>1.6991666666666667</v>
      </c>
      <c r="W75" cm="1">
        <f t="array" ref="W75">traveltime($B24, W$2, $A$1)/3600</f>
        <v>2.338888888888889</v>
      </c>
      <c r="X75" cm="1">
        <f t="array" ref="X75">traveltime($B24, X$2, $A$1)/3600</f>
        <v>0</v>
      </c>
    </row>
    <row r="76" spans="1:24" x14ac:dyDescent="0.25">
      <c r="F76" s="10"/>
    </row>
    <row r="77" spans="1:24" x14ac:dyDescent="0.25">
      <c r="F77" s="10"/>
    </row>
    <row r="78" spans="1:24" x14ac:dyDescent="0.25">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C749-4174-40B6-B9B5-EF05FED481E3}">
  <sheetPr codeName="Sheet13"/>
  <dimension ref="A1:X24"/>
  <sheetViews>
    <sheetView workbookViewId="0">
      <selection activeCell="M21" sqref="M21"/>
    </sheetView>
  </sheetViews>
  <sheetFormatPr defaultRowHeight="15" x14ac:dyDescent="0.25"/>
  <sheetData>
    <row r="1" spans="1:24" x14ac:dyDescent="0.25">
      <c r="A1" s="10" t="s">
        <v>16148</v>
      </c>
      <c r="B1" t="str" cm="1">
        <f t="array" aca="1" ref="B1:X1" ca="1">TRANSPOSE(OFFSET(unit_entry!$B$2, 0, 0, COUNTA(unit_entry!$B:$B), 1))</f>
        <v>4509 State Hwy 83 North, Defuniak Springs, FL, 32433</v>
      </c>
      <c r="C1" t="str">
        <f ca="1"/>
        <v>605 Mississippi 182, Starkville, MS, 39759</v>
      </c>
      <c r="D1" t="str">
        <f ca="1"/>
        <v>116 Terrace Dr, Haines City, FL, 33844</v>
      </c>
      <c r="E1" t="str">
        <f ca="1"/>
        <v>118 South Columbus Avenue, Louisville, MS, 39339</v>
      </c>
      <c r="F1" t="str">
        <f ca="1"/>
        <v>124 W Washington, Kosciusko, MS, 39090</v>
      </c>
      <c r="G1" t="str">
        <f ca="1"/>
        <v>711 N Main St., Havana, FL, 32333</v>
      </c>
      <c r="H1" t="str">
        <f ca="1"/>
        <v>5282 Peanut Rd., Graceville, FL, 32440</v>
      </c>
      <c r="I1" t="str">
        <f ca="1"/>
        <v xml:space="preserve">, Cleveland, MS, </v>
      </c>
      <c r="J1" t="str">
        <f ca="1"/>
        <v>1460 Shetter Avenue, Jacksonville Beach, FL, 32250</v>
      </c>
      <c r="K1" t="str">
        <f ca="1"/>
        <v>65 6th Street, Luverne, AL, 36049</v>
      </c>
      <c r="L1" t="str">
        <f ca="1"/>
        <v>240 Hicks Street, Clarksdale, MS, 38614</v>
      </c>
      <c r="M1" t="str">
        <f ca="1"/>
        <v>475 Walnut Gate Rd, Russellville, AL, 35654</v>
      </c>
      <c r="N1" t="str">
        <f ca="1"/>
        <v>2656 Queenstown Road, Birmingham, AL, 35210</v>
      </c>
      <c r="O1" t="str">
        <f ca="1"/>
        <v>19953 US-31 AL, Thorsby, AL, 35171</v>
      </c>
      <c r="P1" t="str">
        <f ca="1"/>
        <v>120 John King Rd, Crestview, FL, 32539</v>
      </c>
      <c r="Q1" t="str">
        <f ca="1"/>
        <v>1251 South Decatur St, Montgomery, AL, 36101</v>
      </c>
      <c r="R1" t="str">
        <f ca="1"/>
        <v>11780 US Hwy 1 Suite 208N, Palm Beach Gardens, FL, 33408</v>
      </c>
      <c r="S1" t="str">
        <f ca="1"/>
        <v>3435 Eric Cir E, Tuscaloosa, AL, 35401</v>
      </c>
      <c r="T1" t="str">
        <f ca="1"/>
        <v>2134 Highway 29 South, Brewton, AL, 36426</v>
      </c>
      <c r="U1" t="str">
        <f ca="1"/>
        <v>104 Adams Road, Opp, AL, 36467</v>
      </c>
      <c r="V1" t="str">
        <f ca="1"/>
        <v>1010 Sparkman Street, Hartselle, AL, 35640</v>
      </c>
      <c r="W1" t="str">
        <f ca="1"/>
        <v>100 Waits Dr, Andalusia, AL, 36421</v>
      </c>
      <c r="X1">
        <f ca="1"/>
        <v>0</v>
      </c>
    </row>
    <row r="2" spans="1:24" x14ac:dyDescent="0.25">
      <c r="A2" t="str" cm="1">
        <f t="array" aca="1" ref="A2:A24" ca="1">OFFSET(unit_entry!$B$2, 0, 0, COUNTA(unit_entry!$B:$B), 1)</f>
        <v>4509 State Hwy 83 North, Defuniak Springs, FL, 32433</v>
      </c>
    </row>
    <row r="3" spans="1:24" x14ac:dyDescent="0.25">
      <c r="A3" t="str">
        <f ca="1"/>
        <v>605 Mississippi 182, Starkville, MS, 39759</v>
      </c>
    </row>
    <row r="4" spans="1:24" x14ac:dyDescent="0.25">
      <c r="A4" t="str">
        <f ca="1"/>
        <v>116 Terrace Dr, Haines City, FL, 33844</v>
      </c>
    </row>
    <row r="5" spans="1:24" x14ac:dyDescent="0.25">
      <c r="A5" t="str">
        <f ca="1"/>
        <v>118 South Columbus Avenue, Louisville, MS, 39339</v>
      </c>
    </row>
    <row r="6" spans="1:24" x14ac:dyDescent="0.25">
      <c r="A6" t="str">
        <f ca="1"/>
        <v>124 W Washington, Kosciusko, MS, 39090</v>
      </c>
    </row>
    <row r="7" spans="1:24" x14ac:dyDescent="0.25">
      <c r="A7" t="str">
        <f ca="1"/>
        <v>711 N Main St., Havana, FL, 32333</v>
      </c>
    </row>
    <row r="8" spans="1:24" x14ac:dyDescent="0.25">
      <c r="A8" t="str">
        <f ca="1"/>
        <v>5282 Peanut Rd., Graceville, FL, 32440</v>
      </c>
    </row>
    <row r="9" spans="1:24" x14ac:dyDescent="0.25">
      <c r="A9" t="str">
        <f ca="1"/>
        <v xml:space="preserve">, Cleveland, MS, </v>
      </c>
    </row>
    <row r="10" spans="1:24" x14ac:dyDescent="0.25">
      <c r="A10" t="str">
        <f ca="1"/>
        <v>1460 Shetter Avenue, Jacksonville Beach, FL, 32250</v>
      </c>
    </row>
    <row r="11" spans="1:24" x14ac:dyDescent="0.25">
      <c r="A11" t="str">
        <f ca="1"/>
        <v>65 6th Street, Luverne, AL, 36049</v>
      </c>
    </row>
    <row r="12" spans="1:24" x14ac:dyDescent="0.25">
      <c r="A12" t="str">
        <f ca="1"/>
        <v>240 Hicks Street, Clarksdale, MS, 38614</v>
      </c>
    </row>
    <row r="13" spans="1:24" x14ac:dyDescent="0.25">
      <c r="A13" t="str">
        <f ca="1"/>
        <v>475 Walnut Gate Rd, Russellville, AL, 35654</v>
      </c>
    </row>
    <row r="14" spans="1:24" x14ac:dyDescent="0.25">
      <c r="A14" t="str">
        <f ca="1"/>
        <v>2656 Queenstown Road, Birmingham, AL, 35210</v>
      </c>
    </row>
    <row r="15" spans="1:24" x14ac:dyDescent="0.25">
      <c r="A15" t="str">
        <f ca="1"/>
        <v>19953 US-31 AL, Thorsby, AL, 35171</v>
      </c>
    </row>
    <row r="16" spans="1:24" x14ac:dyDescent="0.25">
      <c r="A16" t="str">
        <f ca="1"/>
        <v>120 John King Rd, Crestview, FL, 32539</v>
      </c>
    </row>
    <row r="17" spans="1:1" x14ac:dyDescent="0.25">
      <c r="A17" t="str">
        <f ca="1"/>
        <v>1251 South Decatur St, Montgomery, AL, 36101</v>
      </c>
    </row>
    <row r="18" spans="1:1" x14ac:dyDescent="0.25">
      <c r="A18" t="str">
        <f ca="1"/>
        <v>11780 US Hwy 1 Suite 208N, Palm Beach Gardens, FL, 33408</v>
      </c>
    </row>
    <row r="19" spans="1:1" x14ac:dyDescent="0.25">
      <c r="A19" t="str">
        <f ca="1"/>
        <v>3435 Eric Cir E, Tuscaloosa, AL, 35401</v>
      </c>
    </row>
    <row r="20" spans="1:1" x14ac:dyDescent="0.25">
      <c r="A20" t="str">
        <f ca="1"/>
        <v>2134 Highway 29 South, Brewton, AL, 36426</v>
      </c>
    </row>
    <row r="21" spans="1:1" x14ac:dyDescent="0.25">
      <c r="A21" t="str">
        <f ca="1"/>
        <v>104 Adams Road, Opp, AL, 36467</v>
      </c>
    </row>
    <row r="22" spans="1:1" x14ac:dyDescent="0.25">
      <c r="A22" t="str">
        <f ca="1"/>
        <v>1010 Sparkman Street, Hartselle, AL, 35640</v>
      </c>
    </row>
    <row r="23" spans="1:1" x14ac:dyDescent="0.25">
      <c r="A23" t="str">
        <f ca="1"/>
        <v>100 Waits Dr, Andalusia, AL, 36421</v>
      </c>
    </row>
    <row r="24" spans="1:1" x14ac:dyDescent="0.25">
      <c r="A24">
        <f ca="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sheetPr codeName="Sheet10"/>
  <dimension ref="A1:V23"/>
  <sheetViews>
    <sheetView workbookViewId="0">
      <selection activeCell="F18" sqref="F18"/>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25">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25">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25">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25">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25">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25">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25">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25">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25">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25">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25">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25">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25">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25">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25">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25">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25">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25">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25">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25">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25">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G8" sqref="G8"/>
    </sheetView>
  </sheetViews>
  <sheetFormatPr defaultRowHeight="15" x14ac:dyDescent="0.25"/>
  <sheetData>
    <row r="1" spans="1:10" x14ac:dyDescent="0.25">
      <c r="A1">
        <v>2.7079</v>
      </c>
      <c r="G1">
        <v>0</v>
      </c>
      <c r="J1" t="s">
        <v>16171</v>
      </c>
    </row>
    <row r="2" spans="1:10" x14ac:dyDescent="0.25">
      <c r="A2">
        <v>6.3402000000000003</v>
      </c>
      <c r="G2">
        <v>0</v>
      </c>
      <c r="J2" t="s">
        <v>16172</v>
      </c>
    </row>
    <row r="3" spans="1:10" x14ac:dyDescent="0.25">
      <c r="A3">
        <v>2.8445</v>
      </c>
      <c r="G3">
        <v>0</v>
      </c>
      <c r="J3" t="s">
        <v>16173</v>
      </c>
    </row>
    <row r="4" spans="1:10" x14ac:dyDescent="0.25">
      <c r="A4">
        <v>3.3527</v>
      </c>
      <c r="G4">
        <v>0</v>
      </c>
      <c r="J4" t="s">
        <v>16174</v>
      </c>
    </row>
    <row r="5" spans="1:10" x14ac:dyDescent="0.25">
      <c r="A5">
        <v>2.5821000000000001</v>
      </c>
      <c r="G5">
        <v>0</v>
      </c>
      <c r="J5" t="s">
        <v>16175</v>
      </c>
    </row>
    <row r="6" spans="1:10" x14ac:dyDescent="0.25">
      <c r="A6">
        <v>1.6416999999999999</v>
      </c>
      <c r="G6">
        <v>0</v>
      </c>
      <c r="J6" t="s">
        <v>16176</v>
      </c>
    </row>
    <row r="7" spans="1:10" x14ac:dyDescent="0.25">
      <c r="A7">
        <v>4.6226000000000003</v>
      </c>
      <c r="G7">
        <v>0</v>
      </c>
      <c r="J7" t="s">
        <v>16177</v>
      </c>
    </row>
    <row r="8" spans="1:10" x14ac:dyDescent="0.25">
      <c r="A8">
        <v>5.3319999999999999</v>
      </c>
      <c r="G8">
        <v>0</v>
      </c>
      <c r="J8" t="s">
        <v>16178</v>
      </c>
    </row>
    <row r="9" spans="1:10" x14ac:dyDescent="0.25">
      <c r="A9">
        <v>0.67679999999999996</v>
      </c>
      <c r="G9">
        <v>0</v>
      </c>
      <c r="J9" t="s">
        <v>16179</v>
      </c>
    </row>
    <row r="10" spans="1:10" x14ac:dyDescent="0.25">
      <c r="A10">
        <v>4.6341999999999999</v>
      </c>
      <c r="G10">
        <v>0</v>
      </c>
      <c r="J10" t="s">
        <v>16180</v>
      </c>
    </row>
    <row r="11" spans="1:10" x14ac:dyDescent="0.25">
      <c r="A11">
        <v>2.532</v>
      </c>
      <c r="G11">
        <v>0</v>
      </c>
      <c r="J11" t="s">
        <v>16181</v>
      </c>
    </row>
    <row r="12" spans="1:10" x14ac:dyDescent="0.25">
      <c r="A12">
        <v>1.2375</v>
      </c>
      <c r="G12">
        <v>0</v>
      </c>
      <c r="J12" t="s">
        <v>16182</v>
      </c>
    </row>
    <row r="13" spans="1:10" x14ac:dyDescent="0.25">
      <c r="A13">
        <v>0.65490000000000004</v>
      </c>
      <c r="G13">
        <v>1</v>
      </c>
      <c r="J13" t="s">
        <v>16183</v>
      </c>
    </row>
    <row r="14" spans="1:10" x14ac:dyDescent="0.25">
      <c r="A14">
        <v>1.6884999999999999</v>
      </c>
      <c r="G14">
        <v>0</v>
      </c>
      <c r="J14" t="s">
        <v>16184</v>
      </c>
    </row>
    <row r="15" spans="1:10" x14ac:dyDescent="0.25">
      <c r="A15">
        <v>2.8199999999999999E-2</v>
      </c>
      <c r="G15">
        <v>1</v>
      </c>
      <c r="J15" t="s">
        <v>16185</v>
      </c>
    </row>
    <row r="16" spans="1:10" x14ac:dyDescent="0.25">
      <c r="A16">
        <v>8.3493999999999993</v>
      </c>
      <c r="G16">
        <v>0</v>
      </c>
      <c r="J16" t="s">
        <v>16186</v>
      </c>
    </row>
    <row r="17" spans="1:10" x14ac:dyDescent="0.25">
      <c r="A17">
        <v>1.4771000000000001</v>
      </c>
      <c r="G17">
        <v>0</v>
      </c>
      <c r="J17" t="s">
        <v>16187</v>
      </c>
    </row>
    <row r="18" spans="1:10" x14ac:dyDescent="0.25">
      <c r="A18">
        <v>0.75129999999999997</v>
      </c>
      <c r="G18">
        <v>0</v>
      </c>
      <c r="J18" t="s">
        <v>16188</v>
      </c>
    </row>
    <row r="19" spans="1:10" x14ac:dyDescent="0.25">
      <c r="A19">
        <v>1.1214</v>
      </c>
      <c r="G19">
        <v>0</v>
      </c>
      <c r="J19" t="s">
        <v>16189</v>
      </c>
    </row>
    <row r="20" spans="1:10" x14ac:dyDescent="0.25">
      <c r="A20">
        <v>2.1395</v>
      </c>
      <c r="G20">
        <v>0</v>
      </c>
      <c r="J20" t="s">
        <v>16190</v>
      </c>
    </row>
    <row r="21" spans="1:10" x14ac:dyDescent="0.25">
      <c r="A21">
        <v>8.9436</v>
      </c>
      <c r="G21">
        <v>0</v>
      </c>
      <c r="J21" t="s">
        <v>16191</v>
      </c>
    </row>
    <row r="22" spans="1:10" ht="15.75" x14ac:dyDescent="0.25">
      <c r="A22">
        <v>0.43480000000000002</v>
      </c>
      <c r="G22">
        <v>0</v>
      </c>
      <c r="J22" s="12" t="s">
        <v>16192</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50"/>
  <sheetViews>
    <sheetView workbookViewId="0">
      <selection activeCell="B1" sqref="B1"/>
    </sheetView>
  </sheetViews>
  <sheetFormatPr defaultRowHeight="15" x14ac:dyDescent="0.25"/>
  <sheetData>
    <row r="1" spans="1:2" x14ac:dyDescent="0.25">
      <c r="A1">
        <v>1</v>
      </c>
      <c r="B1" t="str">
        <f>unit_entry!B2</f>
        <v>4509 State Hwy 83 North, Defuniak Springs, FL, 32433</v>
      </c>
    </row>
    <row r="2" spans="1:2" x14ac:dyDescent="0.25">
      <c r="A2">
        <v>2</v>
      </c>
      <c r="B2" t="str">
        <f>unit_entry!B3</f>
        <v>605 Mississippi 182, Starkville, MS, 39759</v>
      </c>
    </row>
    <row r="3" spans="1:2" x14ac:dyDescent="0.25">
      <c r="A3">
        <v>3</v>
      </c>
      <c r="B3" t="str">
        <f>unit_entry!B4</f>
        <v>116 Terrace Dr, Haines City, FL, 33844</v>
      </c>
    </row>
    <row r="4" spans="1:2" x14ac:dyDescent="0.25">
      <c r="A4">
        <v>4</v>
      </c>
      <c r="B4" t="str">
        <f>unit_entry!B5</f>
        <v>118 South Columbus Avenue, Louisville, MS, 39339</v>
      </c>
    </row>
    <row r="5" spans="1:2" x14ac:dyDescent="0.25">
      <c r="A5">
        <v>5</v>
      </c>
      <c r="B5" t="str">
        <f>unit_entry!B6</f>
        <v>124 W Washington, Kosciusko, MS, 39090</v>
      </c>
    </row>
    <row r="6" spans="1:2" x14ac:dyDescent="0.25">
      <c r="A6">
        <v>6</v>
      </c>
      <c r="B6" t="str">
        <f>unit_entry!B7</f>
        <v>711 N Main St., Havana, FL, 32333</v>
      </c>
    </row>
    <row r="7" spans="1:2" x14ac:dyDescent="0.25">
      <c r="A7">
        <v>7</v>
      </c>
      <c r="B7" t="str">
        <f>unit_entry!B8</f>
        <v>5282 Peanut Rd., Graceville, FL, 32440</v>
      </c>
    </row>
    <row r="8" spans="1:2" x14ac:dyDescent="0.25">
      <c r="A8">
        <v>8</v>
      </c>
      <c r="B8" t="str">
        <f>unit_entry!B9</f>
        <v xml:space="preserve">, Cleveland, MS, </v>
      </c>
    </row>
    <row r="9" spans="1:2" x14ac:dyDescent="0.25">
      <c r="A9">
        <v>9</v>
      </c>
      <c r="B9" t="str">
        <f>unit_entry!B10</f>
        <v>1460 Shetter Avenue, Jacksonville Beach, FL, 32250</v>
      </c>
    </row>
    <row r="10" spans="1:2" x14ac:dyDescent="0.25">
      <c r="A10">
        <v>10</v>
      </c>
      <c r="B10" t="str">
        <f>unit_entry!B11</f>
        <v>65 6th Street, Luverne, AL, 36049</v>
      </c>
    </row>
    <row r="11" spans="1:2" x14ac:dyDescent="0.25">
      <c r="A11">
        <v>11</v>
      </c>
      <c r="B11" t="str">
        <f>unit_entry!B12</f>
        <v>240 Hicks Street, Clarksdale, MS, 38614</v>
      </c>
    </row>
    <row r="12" spans="1:2" x14ac:dyDescent="0.25">
      <c r="A12">
        <v>12</v>
      </c>
      <c r="B12" t="str">
        <f>unit_entry!B13</f>
        <v>475 Walnut Gate Rd, Russellville, AL, 35654</v>
      </c>
    </row>
    <row r="13" spans="1:2" x14ac:dyDescent="0.25">
      <c r="A13">
        <v>13</v>
      </c>
      <c r="B13" t="str">
        <f>unit_entry!B14</f>
        <v>2656 Queenstown Road, Birmingham, AL, 35210</v>
      </c>
    </row>
    <row r="14" spans="1:2" x14ac:dyDescent="0.25">
      <c r="A14">
        <v>14</v>
      </c>
      <c r="B14" t="str">
        <f>unit_entry!B15</f>
        <v>19953 US-31 AL, Thorsby, AL, 35171</v>
      </c>
    </row>
    <row r="15" spans="1:2" x14ac:dyDescent="0.25">
      <c r="A15">
        <v>15</v>
      </c>
      <c r="B15" t="str">
        <f>unit_entry!B16</f>
        <v>120 John King Rd, Crestview, FL, 32539</v>
      </c>
    </row>
    <row r="16" spans="1:2" x14ac:dyDescent="0.25">
      <c r="A16">
        <v>16</v>
      </c>
      <c r="B16" t="str">
        <f>unit_entry!B17</f>
        <v>1251 South Decatur St, Montgomery, AL, 36101</v>
      </c>
    </row>
    <row r="17" spans="1:2" x14ac:dyDescent="0.25">
      <c r="A17">
        <v>17</v>
      </c>
      <c r="B17" t="str">
        <f>unit_entry!B18</f>
        <v>11780 US Hwy 1 Suite 208N, Palm Beach Gardens, FL, 33408</v>
      </c>
    </row>
    <row r="18" spans="1:2" x14ac:dyDescent="0.25">
      <c r="A18">
        <v>18</v>
      </c>
      <c r="B18" t="str">
        <f>unit_entry!B19</f>
        <v>3435 Eric Cir E, Tuscaloosa, AL, 35401</v>
      </c>
    </row>
    <row r="19" spans="1:2" x14ac:dyDescent="0.25">
      <c r="A19">
        <v>19</v>
      </c>
      <c r="B19" t="str">
        <f>unit_entry!B20</f>
        <v>2134 Highway 29 South, Brewton, AL, 36426</v>
      </c>
    </row>
    <row r="20" spans="1:2" x14ac:dyDescent="0.25">
      <c r="A20">
        <v>20</v>
      </c>
      <c r="B20" t="str">
        <f>unit_entry!B21</f>
        <v>104 Adams Road, Opp, AL, 36467</v>
      </c>
    </row>
    <row r="21" spans="1:2" x14ac:dyDescent="0.25">
      <c r="A21">
        <v>21</v>
      </c>
      <c r="B21" t="str">
        <f>unit_entry!B22</f>
        <v>1010 Sparkman Street, Hartselle, AL, 35640</v>
      </c>
    </row>
    <row r="22" spans="1:2" x14ac:dyDescent="0.25">
      <c r="A22">
        <v>22</v>
      </c>
      <c r="B22" t="str">
        <f>unit_entry!B23</f>
        <v>100 Waits Dr, Andalusia, AL, 36421</v>
      </c>
    </row>
    <row r="23" spans="1:2" x14ac:dyDescent="0.25">
      <c r="A23">
        <v>23</v>
      </c>
      <c r="B23">
        <f>unit_entry!B24</f>
        <v>0</v>
      </c>
    </row>
    <row r="24" spans="1:2" x14ac:dyDescent="0.25">
      <c r="A24">
        <v>24</v>
      </c>
      <c r="B24">
        <f>unit_entry!B25</f>
        <v>0</v>
      </c>
    </row>
    <row r="25" spans="1:2" x14ac:dyDescent="0.25">
      <c r="A25">
        <v>25</v>
      </c>
      <c r="B25">
        <f>unit_entry!B26</f>
        <v>0</v>
      </c>
    </row>
    <row r="26" spans="1:2" x14ac:dyDescent="0.25">
      <c r="A26">
        <v>26</v>
      </c>
      <c r="B26">
        <f>unit_entry!B27</f>
        <v>0</v>
      </c>
    </row>
    <row r="27" spans="1:2" x14ac:dyDescent="0.25">
      <c r="A27">
        <v>27</v>
      </c>
      <c r="B27">
        <f>unit_entry!B28</f>
        <v>0</v>
      </c>
    </row>
    <row r="28" spans="1:2" x14ac:dyDescent="0.25">
      <c r="A28">
        <v>28</v>
      </c>
      <c r="B28">
        <f>unit_entry!B29</f>
        <v>0</v>
      </c>
    </row>
    <row r="29" spans="1:2" x14ac:dyDescent="0.25">
      <c r="A29">
        <v>29</v>
      </c>
      <c r="B29">
        <f>unit_entry!B30</f>
        <v>0</v>
      </c>
    </row>
    <row r="30" spans="1:2" x14ac:dyDescent="0.25">
      <c r="A30">
        <v>30</v>
      </c>
      <c r="B30">
        <f>unit_entry!B31</f>
        <v>0</v>
      </c>
    </row>
    <row r="31" spans="1:2" x14ac:dyDescent="0.25">
      <c r="A31">
        <v>31</v>
      </c>
      <c r="B31">
        <f>unit_entry!B32</f>
        <v>0</v>
      </c>
    </row>
    <row r="32" spans="1:2" x14ac:dyDescent="0.25">
      <c r="A32">
        <v>32</v>
      </c>
      <c r="B32">
        <f>unit_entry!B33</f>
        <v>0</v>
      </c>
    </row>
    <row r="33" spans="1:2" x14ac:dyDescent="0.25">
      <c r="A33">
        <v>33</v>
      </c>
      <c r="B33">
        <f>unit_entry!B34</f>
        <v>0</v>
      </c>
    </row>
    <row r="34" spans="1:2" x14ac:dyDescent="0.25">
      <c r="A34">
        <v>34</v>
      </c>
      <c r="B34">
        <f>unit_entry!B35</f>
        <v>0</v>
      </c>
    </row>
    <row r="35" spans="1:2" x14ac:dyDescent="0.25">
      <c r="A35">
        <v>35</v>
      </c>
      <c r="B35">
        <f>unit_entry!B36</f>
        <v>0</v>
      </c>
    </row>
    <row r="36" spans="1:2" x14ac:dyDescent="0.25">
      <c r="A36">
        <v>36</v>
      </c>
      <c r="B36">
        <f>unit_entry!B37</f>
        <v>0</v>
      </c>
    </row>
    <row r="37" spans="1:2" x14ac:dyDescent="0.25">
      <c r="A37">
        <v>37</v>
      </c>
      <c r="B37">
        <f>unit_entry!B38</f>
        <v>0</v>
      </c>
    </row>
    <row r="38" spans="1:2" x14ac:dyDescent="0.25">
      <c r="A38">
        <v>38</v>
      </c>
      <c r="B38">
        <f>unit_entry!B39</f>
        <v>0</v>
      </c>
    </row>
    <row r="39" spans="1:2" x14ac:dyDescent="0.25">
      <c r="A39">
        <v>39</v>
      </c>
      <c r="B39">
        <f>unit_entry!B40</f>
        <v>0</v>
      </c>
    </row>
    <row r="40" spans="1:2" x14ac:dyDescent="0.25">
      <c r="A40">
        <v>40</v>
      </c>
      <c r="B40">
        <f>unit_entry!B41</f>
        <v>0</v>
      </c>
    </row>
    <row r="41" spans="1:2" x14ac:dyDescent="0.25">
      <c r="A41">
        <v>41</v>
      </c>
      <c r="B41">
        <f>unit_entry!B42</f>
        <v>0</v>
      </c>
    </row>
    <row r="42" spans="1:2" x14ac:dyDescent="0.25">
      <c r="A42">
        <v>42</v>
      </c>
      <c r="B42">
        <f>unit_entry!B43</f>
        <v>0</v>
      </c>
    </row>
    <row r="43" spans="1:2" x14ac:dyDescent="0.25">
      <c r="A43">
        <v>43</v>
      </c>
      <c r="B43">
        <f>unit_entry!B44</f>
        <v>0</v>
      </c>
    </row>
    <row r="44" spans="1:2" x14ac:dyDescent="0.25">
      <c r="A44">
        <v>44</v>
      </c>
      <c r="B44">
        <f>unit_entry!B45</f>
        <v>0</v>
      </c>
    </row>
    <row r="45" spans="1:2" x14ac:dyDescent="0.25">
      <c r="A45">
        <v>45</v>
      </c>
      <c r="B45">
        <f>unit_entry!B46</f>
        <v>0</v>
      </c>
    </row>
    <row r="46" spans="1:2" x14ac:dyDescent="0.25">
      <c r="A46">
        <v>46</v>
      </c>
      <c r="B46">
        <f>unit_entry!B47</f>
        <v>0</v>
      </c>
    </row>
    <row r="47" spans="1:2" x14ac:dyDescent="0.25">
      <c r="A47">
        <v>47</v>
      </c>
      <c r="B47">
        <f>unit_entry!B48</f>
        <v>0</v>
      </c>
    </row>
    <row r="48" spans="1:2" x14ac:dyDescent="0.25">
      <c r="A48">
        <v>48</v>
      </c>
      <c r="B48">
        <f>unit_entry!B49</f>
        <v>0</v>
      </c>
    </row>
    <row r="49" spans="1:2" x14ac:dyDescent="0.25">
      <c r="A49">
        <v>49</v>
      </c>
      <c r="B49">
        <f>unit_entry!B50</f>
        <v>0</v>
      </c>
    </row>
    <row r="50" spans="1:2" x14ac:dyDescent="0.25">
      <c r="A50">
        <v>50</v>
      </c>
      <c r="B50">
        <f>unit_entry!B51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W23"/>
  <sheetViews>
    <sheetView workbookViewId="0">
      <selection activeCell="T9" sqref="T9"/>
    </sheetView>
  </sheetViews>
  <sheetFormatPr defaultRowHeight="15" x14ac:dyDescent="0.25"/>
  <sheetData>
    <row r="1" spans="1:23"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v>
      </c>
    </row>
    <row r="2" spans="1:23" x14ac:dyDescent="0.25">
      <c r="A2">
        <f>Sheet1!C26</f>
        <v>0</v>
      </c>
      <c r="B2">
        <f>Sheet1!D26</f>
        <v>7.0731707317073171</v>
      </c>
      <c r="C2">
        <f>Sheet1!E26</f>
        <v>9.8536585365853657</v>
      </c>
      <c r="D2">
        <f>Sheet1!F26</f>
        <v>6.9268292682926829</v>
      </c>
      <c r="E2">
        <f>Sheet1!G26</f>
        <v>7.5365853658536581</v>
      </c>
      <c r="F2">
        <f>Sheet1!H26</f>
        <v>2.8292682926829267</v>
      </c>
      <c r="G2">
        <f>Sheet1!I26</f>
        <v>1.1219512195121952</v>
      </c>
      <c r="H2">
        <f>Sheet1!J26</f>
        <v>10.731707317073171</v>
      </c>
      <c r="I2">
        <f>Sheet1!K26</f>
        <v>7.4634146341463419</v>
      </c>
      <c r="J2">
        <f>Sheet1!L26</f>
        <v>1.7317073170731707</v>
      </c>
      <c r="K2">
        <f>Sheet1!M26</f>
        <v>11.146341463414634</v>
      </c>
      <c r="L2">
        <f>Sheet1!N26</f>
        <v>7.7804878048780486</v>
      </c>
      <c r="M2">
        <f>Sheet1!O26</f>
        <v>5.3170731707317076</v>
      </c>
      <c r="N2">
        <f>Sheet1!P26</f>
        <v>4.1219512195121952</v>
      </c>
      <c r="O2">
        <f>Sheet1!Q26</f>
        <v>0.87804878048780488</v>
      </c>
      <c r="P2">
        <f>Sheet1!R26</f>
        <v>2.9512195121951219</v>
      </c>
      <c r="Q2">
        <f>Sheet1!S26</f>
        <v>12.926829268292684</v>
      </c>
      <c r="R2">
        <f>Sheet1!T26</f>
        <v>5.3658536585365857</v>
      </c>
      <c r="S2">
        <f>Sheet1!U26</f>
        <v>3.4878048780487805</v>
      </c>
      <c r="T2">
        <f>Sheet1!V26</f>
        <v>0.92682926829268297</v>
      </c>
      <c r="U2">
        <f>Sheet1!W26</f>
        <v>6.8048780487804876</v>
      </c>
      <c r="V2">
        <f>Sheet1!X26</f>
        <v>3.024390243902439</v>
      </c>
    </row>
    <row r="3" spans="1:23" x14ac:dyDescent="0.25">
      <c r="A3">
        <f>Sheet1!C27</f>
        <v>290</v>
      </c>
      <c r="B3">
        <f>Sheet1!D27</f>
        <v>0</v>
      </c>
      <c r="C3">
        <f>Sheet1!E27</f>
        <v>16.390243902439025</v>
      </c>
      <c r="D3">
        <f>Sheet1!F27</f>
        <v>0.80487804878048785</v>
      </c>
      <c r="E3">
        <f>Sheet1!G27</f>
        <v>1.4390243902439024</v>
      </c>
      <c r="F3">
        <f>Sheet1!H27</f>
        <v>9.0243902439024382</v>
      </c>
      <c r="G3">
        <f>Sheet1!I27</f>
        <v>7.5121951219512191</v>
      </c>
      <c r="H3">
        <f>Sheet1!J27</f>
        <v>3.2682926829268291</v>
      </c>
      <c r="I3">
        <f>Sheet1!K27</f>
        <v>14</v>
      </c>
      <c r="J3">
        <f>Sheet1!L27</f>
        <v>5.6585365853658534</v>
      </c>
      <c r="K3">
        <f>Sheet1!M27</f>
        <v>3.5609756097560976</v>
      </c>
      <c r="L3">
        <f>Sheet1!N27</f>
        <v>2.6585365853658538</v>
      </c>
      <c r="M3">
        <f>Sheet1!O27</f>
        <v>3.6829268292682928</v>
      </c>
      <c r="N3">
        <f>Sheet1!P27</f>
        <v>3.5121951219512195</v>
      </c>
      <c r="O3">
        <f>Sheet1!Q27</f>
        <v>7.9268292682926829</v>
      </c>
      <c r="P3">
        <f>Sheet1!R27</f>
        <v>4.4878048780487809</v>
      </c>
      <c r="Q3">
        <f>Sheet1!S27</f>
        <v>19.463414634146343</v>
      </c>
      <c r="R3">
        <f>Sheet1!T27</f>
        <v>2</v>
      </c>
      <c r="S3">
        <f>Sheet1!U27</f>
        <v>5.6097560975609753</v>
      </c>
      <c r="T3">
        <f>Sheet1!V27</f>
        <v>6.2926829268292686</v>
      </c>
      <c r="U3">
        <f>Sheet1!W27</f>
        <v>3.8292682926829267</v>
      </c>
      <c r="V3">
        <f>Sheet1!X27</f>
        <v>4.4878048780487809</v>
      </c>
    </row>
    <row r="4" spans="1:23" x14ac:dyDescent="0.25">
      <c r="A4">
        <f>Sheet1!C28</f>
        <v>403</v>
      </c>
      <c r="B4">
        <f>Sheet1!D28</f>
        <v>16.121951219512194</v>
      </c>
      <c r="C4">
        <f>Sheet1!E28</f>
        <v>0</v>
      </c>
      <c r="D4">
        <f>Sheet1!F28</f>
        <v>16.512195121951219</v>
      </c>
      <c r="E4">
        <f>Sheet1!G28</f>
        <v>17.878048780487806</v>
      </c>
      <c r="F4">
        <f>Sheet1!H28</f>
        <v>7.1951219512195124</v>
      </c>
      <c r="G4">
        <f>Sheet1!I28</f>
        <v>8.9512195121951219</v>
      </c>
      <c r="H4">
        <f>Sheet1!J28</f>
        <v>20.219512195121951</v>
      </c>
      <c r="I4">
        <f>Sheet1!K28</f>
        <v>4.3414634146341466</v>
      </c>
      <c r="J4">
        <f>Sheet1!L28</f>
        <v>11.121951219512194</v>
      </c>
      <c r="K4">
        <f>Sheet1!M28</f>
        <v>20.829268292682926</v>
      </c>
      <c r="L4">
        <f>Sheet1!N28</f>
        <v>17.487804878048781</v>
      </c>
      <c r="M4">
        <f>Sheet1!O28</f>
        <v>14.634146341463415</v>
      </c>
      <c r="N4">
        <f>Sheet1!P28</f>
        <v>12.780487804878049</v>
      </c>
      <c r="O4">
        <f>Sheet1!Q28</f>
        <v>10.365853658536585</v>
      </c>
      <c r="P4">
        <f>Sheet1!R28</f>
        <v>11.780487804878049</v>
      </c>
      <c r="Q4">
        <f>Sheet1!S28</f>
        <v>3.6829268292682928</v>
      </c>
      <c r="R4">
        <f>Sheet1!T28</f>
        <v>14.048780487804878</v>
      </c>
      <c r="S4">
        <f>Sheet1!U28</f>
        <v>10.829268292682928</v>
      </c>
      <c r="T4">
        <f>Sheet1!V28</f>
        <v>10.414634146341463</v>
      </c>
      <c r="U4">
        <f>Sheet1!W28</f>
        <v>16.487804878048781</v>
      </c>
      <c r="V4">
        <f>Sheet1!X28</f>
        <v>11.634146341463415</v>
      </c>
    </row>
    <row r="5" spans="1:23" x14ac:dyDescent="0.25">
      <c r="A5">
        <f>Sheet1!C29</f>
        <v>284</v>
      </c>
      <c r="B5">
        <f>Sheet1!D29</f>
        <v>0.78048780487804881</v>
      </c>
      <c r="C5">
        <f>Sheet1!E29</f>
        <v>16.536585365853657</v>
      </c>
      <c r="D5">
        <f>Sheet1!F29</f>
        <v>0</v>
      </c>
      <c r="E5">
        <f>Sheet1!G29</f>
        <v>0.87804878048780488</v>
      </c>
      <c r="F5">
        <f>Sheet1!H29</f>
        <v>9.5121951219512191</v>
      </c>
      <c r="G5">
        <f>Sheet1!I29</f>
        <v>7.4878048780487809</v>
      </c>
      <c r="H5">
        <f>Sheet1!J29</f>
        <v>3.1463414634146343</v>
      </c>
      <c r="I5">
        <f>Sheet1!K29</f>
        <v>14.146341463414634</v>
      </c>
      <c r="J5">
        <f>Sheet1!L29</f>
        <v>5.4878048780487809</v>
      </c>
      <c r="K5">
        <f>Sheet1!M29</f>
        <v>3.4634146341463414</v>
      </c>
      <c r="L5">
        <f>Sheet1!N29</f>
        <v>3.5121951219512195</v>
      </c>
      <c r="M5">
        <f>Sheet1!O29</f>
        <v>4.1219512195121952</v>
      </c>
      <c r="N5">
        <f>Sheet1!P29</f>
        <v>3.9512195121951219</v>
      </c>
      <c r="O5">
        <f>Sheet1!Q29</f>
        <v>7.3658536585365857</v>
      </c>
      <c r="P5">
        <f>Sheet1!R29</f>
        <v>4.9268292682926829</v>
      </c>
      <c r="Q5">
        <f>Sheet1!S29</f>
        <v>19.609756097560975</v>
      </c>
      <c r="R5">
        <f>Sheet1!T29</f>
        <v>2.5121951219512195</v>
      </c>
      <c r="S5">
        <f>Sheet1!U29</f>
        <v>6.0487804878048781</v>
      </c>
      <c r="T5">
        <f>Sheet1!V29</f>
        <v>6.1463414634146343</v>
      </c>
      <c r="U5">
        <f>Sheet1!W29</f>
        <v>4.6829268292682924</v>
      </c>
      <c r="V5">
        <f>Sheet1!X29</f>
        <v>4.9268292682926829</v>
      </c>
    </row>
    <row r="6" spans="1:23" x14ac:dyDescent="0.25">
      <c r="A6">
        <f>Sheet1!C30</f>
        <v>310</v>
      </c>
      <c r="B6">
        <f>Sheet1!D30</f>
        <v>1.4146341463414633</v>
      </c>
      <c r="C6">
        <f>Sheet1!E30</f>
        <v>17.902439024390244</v>
      </c>
      <c r="D6">
        <f>Sheet1!F30</f>
        <v>0.87804878048780488</v>
      </c>
      <c r="E6">
        <f>Sheet1!G30</f>
        <v>0</v>
      </c>
      <c r="F6">
        <f>Sheet1!H30</f>
        <v>10.902439024390244</v>
      </c>
      <c r="G6">
        <f>Sheet1!I30</f>
        <v>8.1463414634146343</v>
      </c>
      <c r="H6">
        <f>Sheet1!J30</f>
        <v>2.4146341463414633</v>
      </c>
      <c r="I6">
        <f>Sheet1!K30</f>
        <v>15.512195121951219</v>
      </c>
      <c r="J6">
        <f>Sheet1!L30</f>
        <v>6.1463414634146343</v>
      </c>
      <c r="K6">
        <f>Sheet1!M30</f>
        <v>2.7317073170731709</v>
      </c>
      <c r="L6">
        <f>Sheet1!N30</f>
        <v>4.3414634146341466</v>
      </c>
      <c r="M6">
        <f>Sheet1!O30</f>
        <v>5.1707317073170733</v>
      </c>
      <c r="N6">
        <f>Sheet1!P30</f>
        <v>5</v>
      </c>
      <c r="O6">
        <f>Sheet1!Q30</f>
        <v>7.5609756097560972</v>
      </c>
      <c r="P6">
        <f>Sheet1!R30</f>
        <v>5.7317073170731705</v>
      </c>
      <c r="Q6">
        <f>Sheet1!S30</f>
        <v>20.975609756097562</v>
      </c>
      <c r="R6">
        <f>Sheet1!T30</f>
        <v>3.4878048780487805</v>
      </c>
      <c r="S6">
        <f>Sheet1!U30</f>
        <v>6.8536585365853657</v>
      </c>
      <c r="T6">
        <f>Sheet1!V30</f>
        <v>6.7804878048780486</v>
      </c>
      <c r="U6">
        <f>Sheet1!W30</f>
        <v>5.5121951219512191</v>
      </c>
      <c r="V6">
        <f>Sheet1!X30</f>
        <v>5.7560975609756095</v>
      </c>
    </row>
    <row r="7" spans="1:23" x14ac:dyDescent="0.25">
      <c r="A7">
        <f>Sheet1!C31</f>
        <v>116</v>
      </c>
      <c r="B7">
        <f>Sheet1!D31</f>
        <v>9.0487804878048781</v>
      </c>
      <c r="C7">
        <f>Sheet1!E31</f>
        <v>7.2195121951219514</v>
      </c>
      <c r="D7">
        <f>Sheet1!F31</f>
        <v>9.2682926829268286</v>
      </c>
      <c r="E7">
        <f>Sheet1!G31</f>
        <v>10.853658536585366</v>
      </c>
      <c r="F7">
        <f>Sheet1!H31</f>
        <v>0</v>
      </c>
      <c r="G7">
        <f>Sheet1!I31</f>
        <v>1.9512195121951219</v>
      </c>
      <c r="H7">
        <f>Sheet1!J31</f>
        <v>12.219512195121951</v>
      </c>
      <c r="I7">
        <f>Sheet1!K31</f>
        <v>4.8292682926829267</v>
      </c>
      <c r="J7">
        <f>Sheet1!L31</f>
        <v>3.7073170731707319</v>
      </c>
      <c r="K7">
        <f>Sheet1!M31</f>
        <v>12.731707317073171</v>
      </c>
      <c r="L7">
        <f>Sheet1!N31</f>
        <v>9.3902439024390247</v>
      </c>
      <c r="M7">
        <f>Sheet1!O31</f>
        <v>6.9024390243902438</v>
      </c>
      <c r="N7">
        <f>Sheet1!P31</f>
        <v>5.7073170731707314</v>
      </c>
      <c r="O7">
        <f>Sheet1!Q31</f>
        <v>3.3658536585365852</v>
      </c>
      <c r="P7">
        <f>Sheet1!R31</f>
        <v>4.4390243902439028</v>
      </c>
      <c r="Q7">
        <f>Sheet1!S31</f>
        <v>10.292682926829269</v>
      </c>
      <c r="R7">
        <f>Sheet1!T31</f>
        <v>6.975609756097561</v>
      </c>
      <c r="S7">
        <f>Sheet1!U31</f>
        <v>4.3170731707317076</v>
      </c>
      <c r="T7">
        <f>Sheet1!V31</f>
        <v>3.4146341463414633</v>
      </c>
      <c r="U7">
        <f>Sheet1!W31</f>
        <v>8.3902439024390247</v>
      </c>
      <c r="V7">
        <f>Sheet1!X31</f>
        <v>4.5853658536585362</v>
      </c>
    </row>
    <row r="8" spans="1:23" x14ac:dyDescent="0.25">
      <c r="A8">
        <f>Sheet1!C32</f>
        <v>46</v>
      </c>
      <c r="B8">
        <f>Sheet1!D32</f>
        <v>7.5121951219512191</v>
      </c>
      <c r="C8">
        <f>Sheet1!E32</f>
        <v>8.9756097560975618</v>
      </c>
      <c r="D8">
        <f>Sheet1!F32</f>
        <v>7.6097560975609753</v>
      </c>
      <c r="E8">
        <f>Sheet1!G32</f>
        <v>8.2439024390243905</v>
      </c>
      <c r="F8">
        <f>Sheet1!H32</f>
        <v>1.975609756097561</v>
      </c>
      <c r="G8">
        <f>Sheet1!I32</f>
        <v>0</v>
      </c>
      <c r="H8">
        <f>Sheet1!J32</f>
        <v>10.682926829268293</v>
      </c>
      <c r="I8">
        <f>Sheet1!K32</f>
        <v>6.5853658536585362</v>
      </c>
      <c r="J8">
        <f>Sheet1!L32</f>
        <v>1.9512195121951219</v>
      </c>
      <c r="K8">
        <f>Sheet1!M32</f>
        <v>11.195121951219512</v>
      </c>
      <c r="L8">
        <f>Sheet1!N32</f>
        <v>7.8536585365853657</v>
      </c>
      <c r="M8">
        <f>Sheet1!O32</f>
        <v>5.3658536585365857</v>
      </c>
      <c r="N8">
        <f>Sheet1!P32</f>
        <v>4.1707317073170733</v>
      </c>
      <c r="O8">
        <f>Sheet1!Q32</f>
        <v>1.8536585365853659</v>
      </c>
      <c r="P8">
        <f>Sheet1!R32</f>
        <v>2.9268292682926829</v>
      </c>
      <c r="Q8">
        <f>Sheet1!S32</f>
        <v>12.048780487804878</v>
      </c>
      <c r="R8">
        <f>Sheet1!T32</f>
        <v>5.4634146341463419</v>
      </c>
      <c r="S8">
        <f>Sheet1!U32</f>
        <v>3.4634146341463414</v>
      </c>
      <c r="T8">
        <f>Sheet1!V32</f>
        <v>1.5121951219512195</v>
      </c>
      <c r="U8">
        <f>Sheet1!W32</f>
        <v>6.8536585365853657</v>
      </c>
      <c r="V8">
        <f>Sheet1!X32</f>
        <v>3.0487804878048781</v>
      </c>
    </row>
    <row r="9" spans="1:23" x14ac:dyDescent="0.25">
      <c r="A9">
        <f>Sheet1!C33</f>
        <v>440</v>
      </c>
      <c r="B9">
        <f>Sheet1!D33</f>
        <v>3.2195121951219514</v>
      </c>
      <c r="C9">
        <f>Sheet1!E33</f>
        <v>20.317073170731707</v>
      </c>
      <c r="D9">
        <f>Sheet1!F33</f>
        <v>3.1463414634146343</v>
      </c>
      <c r="E9">
        <f>Sheet1!G33</f>
        <v>2.4146341463414633</v>
      </c>
      <c r="F9">
        <f>Sheet1!H33</f>
        <v>12.195121951219512</v>
      </c>
      <c r="G9">
        <f>Sheet1!I33</f>
        <v>10.682926829268293</v>
      </c>
      <c r="H9">
        <f>Sheet1!J33</f>
        <v>0</v>
      </c>
      <c r="I9">
        <f>Sheet1!K33</f>
        <v>17.926829268292682</v>
      </c>
      <c r="J9">
        <f>Sheet1!L33</f>
        <v>8.8292682926829276</v>
      </c>
      <c r="K9">
        <f>Sheet1!M33</f>
        <v>0.90243902439024393</v>
      </c>
      <c r="L9">
        <f>Sheet1!N33</f>
        <v>5.4878048780487809</v>
      </c>
      <c r="M9">
        <f>Sheet1!O33</f>
        <v>6.8780487804878048</v>
      </c>
      <c r="N9">
        <f>Sheet1!P33</f>
        <v>6.6829268292682924</v>
      </c>
      <c r="O9">
        <f>Sheet1!Q33</f>
        <v>9.9512195121951219</v>
      </c>
      <c r="P9">
        <f>Sheet1!R33</f>
        <v>7.6585365853658534</v>
      </c>
      <c r="Q9">
        <f>Sheet1!S33</f>
        <v>23.390243902439025</v>
      </c>
      <c r="R9">
        <f>Sheet1!T33</f>
        <v>5.1707317073170733</v>
      </c>
      <c r="S9">
        <f>Sheet1!U33</f>
        <v>8.7804878048780495</v>
      </c>
      <c r="T9">
        <f>Sheet1!V33</f>
        <v>9.463414634146341</v>
      </c>
      <c r="U9">
        <f>Sheet1!W33</f>
        <v>6.6341463414634143</v>
      </c>
      <c r="V9">
        <f>Sheet1!X33</f>
        <v>7.6585365853658534</v>
      </c>
    </row>
    <row r="10" spans="1:23" x14ac:dyDescent="0.25">
      <c r="A10">
        <f>Sheet1!C34</f>
        <v>306</v>
      </c>
      <c r="B10">
        <f>Sheet1!D34</f>
        <v>13.731707317073171</v>
      </c>
      <c r="C10">
        <f>Sheet1!E34</f>
        <v>4.3902439024390247</v>
      </c>
      <c r="D10">
        <f>Sheet1!F34</f>
        <v>14.146341463414634</v>
      </c>
      <c r="E10">
        <f>Sheet1!G34</f>
        <v>15.487804878048781</v>
      </c>
      <c r="F10">
        <f>Sheet1!H34</f>
        <v>4.8292682926829267</v>
      </c>
      <c r="G10">
        <f>Sheet1!I34</f>
        <v>6.5853658536585362</v>
      </c>
      <c r="H10">
        <f>Sheet1!J34</f>
        <v>17.853658536585368</v>
      </c>
      <c r="I10">
        <f>Sheet1!K34</f>
        <v>0</v>
      </c>
      <c r="J10">
        <f>Sheet1!L34</f>
        <v>8.7560975609756095</v>
      </c>
      <c r="K10">
        <f>Sheet1!M34</f>
        <v>18.463414634146343</v>
      </c>
      <c r="L10">
        <f>Sheet1!N34</f>
        <v>15.097560975609756</v>
      </c>
      <c r="M10">
        <f>Sheet1!O34</f>
        <v>12.24390243902439</v>
      </c>
      <c r="N10">
        <f>Sheet1!P34</f>
        <v>10.390243902439025</v>
      </c>
      <c r="O10">
        <f>Sheet1!Q34</f>
        <v>7.975609756097561</v>
      </c>
      <c r="P10">
        <f>Sheet1!R34</f>
        <v>9.4146341463414629</v>
      </c>
      <c r="Q10">
        <f>Sheet1!S34</f>
        <v>6.7560975609756095</v>
      </c>
      <c r="R10">
        <f>Sheet1!T34</f>
        <v>11.682926829268293</v>
      </c>
      <c r="S10">
        <f>Sheet1!U34</f>
        <v>8.4390243902439028</v>
      </c>
      <c r="T10">
        <f>Sheet1!V34</f>
        <v>8.0243902439024382</v>
      </c>
      <c r="U10">
        <f>Sheet1!W34</f>
        <v>14.121951219512194</v>
      </c>
      <c r="V10">
        <f>Sheet1!X34</f>
        <v>9.2682926829268286</v>
      </c>
    </row>
    <row r="11" spans="1:23" x14ac:dyDescent="0.25">
      <c r="A11">
        <f>Sheet1!C35</f>
        <v>70</v>
      </c>
      <c r="B11">
        <f>Sheet1!D35</f>
        <v>5.6829268292682924</v>
      </c>
      <c r="C11">
        <f>Sheet1!E35</f>
        <v>11.146341463414634</v>
      </c>
      <c r="D11">
        <f>Sheet1!F35</f>
        <v>5.4878048780487809</v>
      </c>
      <c r="E11">
        <f>Sheet1!G35</f>
        <v>6.1219512195121952</v>
      </c>
      <c r="F11">
        <f>Sheet1!H35</f>
        <v>3.7073170731707319</v>
      </c>
      <c r="G11">
        <f>Sheet1!I35</f>
        <v>1.9512195121951219</v>
      </c>
      <c r="H11">
        <f>Sheet1!J35</f>
        <v>8.8536585365853657</v>
      </c>
      <c r="I11">
        <f>Sheet1!K35</f>
        <v>8.7560975609756095</v>
      </c>
      <c r="J11">
        <f>Sheet1!L35</f>
        <v>0</v>
      </c>
      <c r="K11">
        <f>Sheet1!M35</f>
        <v>9.4146341463414629</v>
      </c>
      <c r="L11">
        <f>Sheet1!N35</f>
        <v>6.0487804878048781</v>
      </c>
      <c r="M11">
        <f>Sheet1!O35</f>
        <v>3.5853658536585367</v>
      </c>
      <c r="N11">
        <f>Sheet1!P35</f>
        <v>2.3902439024390243</v>
      </c>
      <c r="O11">
        <f>Sheet1!Q35</f>
        <v>2.0487804878048781</v>
      </c>
      <c r="P11">
        <f>Sheet1!R35</f>
        <v>1.2195121951219512</v>
      </c>
      <c r="Q11">
        <f>Sheet1!S35</f>
        <v>14.219512195121951</v>
      </c>
      <c r="R11">
        <f>Sheet1!T35</f>
        <v>3.6341463414634148</v>
      </c>
      <c r="S11">
        <f>Sheet1!U35</f>
        <v>2.3902439024390243</v>
      </c>
      <c r="T11">
        <f>Sheet1!V35</f>
        <v>0.80487804878048785</v>
      </c>
      <c r="U11">
        <f>Sheet1!W35</f>
        <v>5.0731707317073171</v>
      </c>
      <c r="V11">
        <f>Sheet1!X35</f>
        <v>1.2926829268292683</v>
      </c>
    </row>
    <row r="12" spans="1:23" x14ac:dyDescent="0.25">
      <c r="A12">
        <f>Sheet1!C36</f>
        <v>456</v>
      </c>
      <c r="B12">
        <f>Sheet1!D36</f>
        <v>3.5365853658536586</v>
      </c>
      <c r="C12">
        <f>Sheet1!E36</f>
        <v>20.829268292682926</v>
      </c>
      <c r="D12">
        <f>Sheet1!F36</f>
        <v>3.4634146341463414</v>
      </c>
      <c r="E12">
        <f>Sheet1!G36</f>
        <v>2.7317073170731709</v>
      </c>
      <c r="F12">
        <f>Sheet1!H36</f>
        <v>12.75609756097561</v>
      </c>
      <c r="G12">
        <f>Sheet1!I36</f>
        <v>11.219512195121951</v>
      </c>
      <c r="H12">
        <f>Sheet1!J36</f>
        <v>0.90243902439024393</v>
      </c>
      <c r="I12">
        <f>Sheet1!K36</f>
        <v>18.439024390243901</v>
      </c>
      <c r="J12">
        <f>Sheet1!L36</f>
        <v>9.4146341463414629</v>
      </c>
      <c r="K12">
        <f>Sheet1!M36</f>
        <v>0</v>
      </c>
      <c r="L12">
        <f>Sheet1!N36</f>
        <v>4.5609756097560972</v>
      </c>
      <c r="M12">
        <f>Sheet1!O36</f>
        <v>6.3658536585365857</v>
      </c>
      <c r="N12">
        <f>Sheet1!P36</f>
        <v>7.1707317073170733</v>
      </c>
      <c r="O12">
        <f>Sheet1!Q36</f>
        <v>10.292682926829269</v>
      </c>
      <c r="P12">
        <f>Sheet1!R36</f>
        <v>8.1951219512195124</v>
      </c>
      <c r="Q12">
        <f>Sheet1!S36</f>
        <v>23.902439024390244</v>
      </c>
      <c r="R12">
        <f>Sheet1!T36</f>
        <v>5.4878048780487809</v>
      </c>
      <c r="S12">
        <f>Sheet1!U36</f>
        <v>9.3170731707317067</v>
      </c>
      <c r="T12">
        <f>Sheet1!V36</f>
        <v>10.219512195121951</v>
      </c>
      <c r="U12">
        <f>Sheet1!W36</f>
        <v>5.7073170731707314</v>
      </c>
      <c r="V12">
        <f>Sheet1!X36</f>
        <v>8.1951219512195124</v>
      </c>
    </row>
    <row r="13" spans="1:23" x14ac:dyDescent="0.25">
      <c r="A13">
        <f>Sheet1!C37</f>
        <v>318</v>
      </c>
      <c r="B13">
        <f>Sheet1!D37</f>
        <v>2.6585365853658538</v>
      </c>
      <c r="C13">
        <f>Sheet1!E37</f>
        <v>17.487804878048781</v>
      </c>
      <c r="D13">
        <f>Sheet1!F37</f>
        <v>3.5121951219512195</v>
      </c>
      <c r="E13">
        <f>Sheet1!G37</f>
        <v>4.3414634146341466</v>
      </c>
      <c r="F13">
        <f>Sheet1!H37</f>
        <v>9.3902439024390247</v>
      </c>
      <c r="G13">
        <f>Sheet1!I37</f>
        <v>7.8536585365853657</v>
      </c>
      <c r="H13">
        <f>Sheet1!J37</f>
        <v>5.4878048780487809</v>
      </c>
      <c r="I13">
        <f>Sheet1!K37</f>
        <v>15.097560975609756</v>
      </c>
      <c r="J13">
        <f>Sheet1!L37</f>
        <v>6.0487804878048781</v>
      </c>
      <c r="K13">
        <f>Sheet1!M37</f>
        <v>4.5609756097560972</v>
      </c>
      <c r="L13">
        <f>Sheet1!N37</f>
        <v>0</v>
      </c>
      <c r="M13">
        <f>Sheet1!O37</f>
        <v>3</v>
      </c>
      <c r="N13">
        <f>Sheet1!P37</f>
        <v>3.8048780487804876</v>
      </c>
      <c r="O13">
        <f>Sheet1!Q37</f>
        <v>8.2195121951219505</v>
      </c>
      <c r="P13">
        <f>Sheet1!R37</f>
        <v>4.8536585365853657</v>
      </c>
      <c r="Q13">
        <f>Sheet1!S37</f>
        <v>20.560975609756099</v>
      </c>
      <c r="R13">
        <f>Sheet1!T37</f>
        <v>2.4634146341463414</v>
      </c>
      <c r="S13">
        <f>Sheet1!U37</f>
        <v>5.975609756097561</v>
      </c>
      <c r="T13">
        <f>Sheet1!V37</f>
        <v>6.8780487804878048</v>
      </c>
      <c r="U13">
        <f>Sheet1!W37</f>
        <v>1.2195121951219512</v>
      </c>
      <c r="V13">
        <f>Sheet1!X37</f>
        <v>4.8292682926829267</v>
      </c>
    </row>
    <row r="14" spans="1:23" x14ac:dyDescent="0.25">
      <c r="A14">
        <f>Sheet1!C38</f>
        <v>217</v>
      </c>
      <c r="B14">
        <f>Sheet1!D38</f>
        <v>3.7073170731707319</v>
      </c>
      <c r="C14">
        <f>Sheet1!E38</f>
        <v>14.634146341463415</v>
      </c>
      <c r="D14">
        <f>Sheet1!F38</f>
        <v>4.1219512195121952</v>
      </c>
      <c r="E14">
        <f>Sheet1!G38</f>
        <v>5.1707317073170733</v>
      </c>
      <c r="F14">
        <f>Sheet1!H38</f>
        <v>6.9268292682926829</v>
      </c>
      <c r="G14">
        <f>Sheet1!I38</f>
        <v>5.3902439024390247</v>
      </c>
      <c r="H14">
        <f>Sheet1!J38</f>
        <v>6.8536585365853657</v>
      </c>
      <c r="I14">
        <f>Sheet1!K38</f>
        <v>12.24390243902439</v>
      </c>
      <c r="J14">
        <f>Sheet1!L38</f>
        <v>3.5853658536585367</v>
      </c>
      <c r="K14">
        <f>Sheet1!M38</f>
        <v>6.3658536585365857</v>
      </c>
      <c r="L14">
        <f>Sheet1!N38</f>
        <v>3</v>
      </c>
      <c r="M14">
        <f>Sheet1!O38</f>
        <v>0</v>
      </c>
      <c r="N14">
        <f>Sheet1!P38</f>
        <v>1.3414634146341464</v>
      </c>
      <c r="O14">
        <f>Sheet1!Q38</f>
        <v>5.7560975609756095</v>
      </c>
      <c r="P14">
        <f>Sheet1!R38</f>
        <v>2.3902439024390243</v>
      </c>
      <c r="Q14">
        <f>Sheet1!S38</f>
        <v>17.707317073170731</v>
      </c>
      <c r="R14">
        <f>Sheet1!T38</f>
        <v>1.6585365853658536</v>
      </c>
      <c r="S14">
        <f>Sheet1!U38</f>
        <v>3.5121951219512195</v>
      </c>
      <c r="T14">
        <f>Sheet1!V38</f>
        <v>4.4146341463414638</v>
      </c>
      <c r="U14">
        <f>Sheet1!W38</f>
        <v>2.024390243902439</v>
      </c>
      <c r="V14">
        <f>Sheet1!X38</f>
        <v>2.3658536585365852</v>
      </c>
    </row>
    <row r="15" spans="1:23" x14ac:dyDescent="0.25">
      <c r="A15">
        <f>Sheet1!C39</f>
        <v>168</v>
      </c>
      <c r="B15">
        <f>Sheet1!D39</f>
        <v>3.5365853658536586</v>
      </c>
      <c r="C15">
        <f>Sheet1!E39</f>
        <v>13.073170731707316</v>
      </c>
      <c r="D15">
        <f>Sheet1!F39</f>
        <v>3.975609756097561</v>
      </c>
      <c r="E15">
        <f>Sheet1!G39</f>
        <v>5.024390243902439</v>
      </c>
      <c r="F15">
        <f>Sheet1!H39</f>
        <v>5.7073170731707314</v>
      </c>
      <c r="G15">
        <f>Sheet1!I39</f>
        <v>4.1951219512195124</v>
      </c>
      <c r="H15">
        <f>Sheet1!J39</f>
        <v>6.7073170731707314</v>
      </c>
      <c r="I15">
        <f>Sheet1!K39</f>
        <v>10.682926829268293</v>
      </c>
      <c r="J15">
        <f>Sheet1!L39</f>
        <v>2.3902439024390243</v>
      </c>
      <c r="K15">
        <f>Sheet1!M39</f>
        <v>7.1707317073170733</v>
      </c>
      <c r="L15">
        <f>Sheet1!N39</f>
        <v>3.8048780487804876</v>
      </c>
      <c r="M15">
        <f>Sheet1!O39</f>
        <v>1.3414634146341464</v>
      </c>
      <c r="N15">
        <f>Sheet1!P39</f>
        <v>0</v>
      </c>
      <c r="O15">
        <f>Sheet1!Q39</f>
        <v>4.5609756097560972</v>
      </c>
      <c r="P15">
        <f>Sheet1!R39</f>
        <v>1.1707317073170731</v>
      </c>
      <c r="Q15">
        <f>Sheet1!S39</f>
        <v>16.146341463414632</v>
      </c>
      <c r="R15">
        <f>Sheet1!T39</f>
        <v>1.4878048780487805</v>
      </c>
      <c r="S15">
        <f>Sheet1!U39</f>
        <v>2.2926829268292681</v>
      </c>
      <c r="T15">
        <f>Sheet1!V39</f>
        <v>3.1951219512195124</v>
      </c>
      <c r="U15">
        <f>Sheet1!W39</f>
        <v>2.8292682926829267</v>
      </c>
      <c r="V15">
        <f>Sheet1!X39</f>
        <v>1.1463414634146341</v>
      </c>
    </row>
    <row r="16" spans="1:23" x14ac:dyDescent="0.25">
      <c r="A16">
        <f>Sheet1!C40</f>
        <v>32</v>
      </c>
      <c r="B16">
        <f>Sheet1!D40</f>
        <v>7.9024390243902438</v>
      </c>
      <c r="C16">
        <f>Sheet1!E40</f>
        <v>10.365853658536585</v>
      </c>
      <c r="D16">
        <f>Sheet1!F40</f>
        <v>7.2439024390243905</v>
      </c>
      <c r="E16">
        <f>Sheet1!G40</f>
        <v>7.5365853658536581</v>
      </c>
      <c r="F16">
        <f>Sheet1!H40</f>
        <v>3.3658536585365852</v>
      </c>
      <c r="G16">
        <f>Sheet1!I40</f>
        <v>1.8536585365853659</v>
      </c>
      <c r="H16">
        <f>Sheet1!J40</f>
        <v>9.8780487804878057</v>
      </c>
      <c r="I16">
        <f>Sheet1!K40</f>
        <v>7.975609756097561</v>
      </c>
      <c r="J16">
        <f>Sheet1!L40</f>
        <v>2.0487804878048781</v>
      </c>
      <c r="K16">
        <f>Sheet1!M40</f>
        <v>10.268292682926829</v>
      </c>
      <c r="L16">
        <f>Sheet1!N40</f>
        <v>8.2195121951219505</v>
      </c>
      <c r="M16">
        <f>Sheet1!O40</f>
        <v>5.7560975609756095</v>
      </c>
      <c r="N16">
        <f>Sheet1!P40</f>
        <v>4.5609756097560972</v>
      </c>
      <c r="O16">
        <f>Sheet1!Q40</f>
        <v>0</v>
      </c>
      <c r="P16">
        <f>Sheet1!R40</f>
        <v>3.4390243902439024</v>
      </c>
      <c r="Q16">
        <f>Sheet1!S40</f>
        <v>13.439024390243903</v>
      </c>
      <c r="R16">
        <f>Sheet1!T40</f>
        <v>5.7804878048780486</v>
      </c>
      <c r="S16">
        <f>Sheet1!U40</f>
        <v>4.5609756097560972</v>
      </c>
      <c r="T16">
        <f>Sheet1!V40</f>
        <v>1.2195121951219512</v>
      </c>
      <c r="U16">
        <f>Sheet1!W40</f>
        <v>7.2439024390243905</v>
      </c>
      <c r="V16">
        <f>Sheet1!X40</f>
        <v>3.4634146341463414</v>
      </c>
    </row>
    <row r="17" spans="1:22" x14ac:dyDescent="0.25">
      <c r="A17">
        <f>Sheet1!C41</f>
        <v>120</v>
      </c>
      <c r="B17">
        <f>Sheet1!D41</f>
        <v>4.5121951219512191</v>
      </c>
      <c r="C17">
        <f>Sheet1!E41</f>
        <v>11.902439024390244</v>
      </c>
      <c r="D17">
        <f>Sheet1!F41</f>
        <v>4.9512195121951219</v>
      </c>
      <c r="E17">
        <f>Sheet1!G41</f>
        <v>5.7317073170731705</v>
      </c>
      <c r="F17">
        <f>Sheet1!H41</f>
        <v>4.5609756097560972</v>
      </c>
      <c r="G17">
        <f>Sheet1!I41</f>
        <v>3.024390243902439</v>
      </c>
      <c r="H17">
        <f>Sheet1!J41</f>
        <v>7.6829268292682924</v>
      </c>
      <c r="I17">
        <f>Sheet1!K41</f>
        <v>9.5121951219512191</v>
      </c>
      <c r="J17">
        <f>Sheet1!L41</f>
        <v>1.2195121951219512</v>
      </c>
      <c r="K17">
        <f>Sheet1!M41</f>
        <v>8.2195121951219505</v>
      </c>
      <c r="L17">
        <f>Sheet1!N41</f>
        <v>4.8536585365853657</v>
      </c>
      <c r="M17">
        <f>Sheet1!O41</f>
        <v>2.3902439024390243</v>
      </c>
      <c r="N17">
        <f>Sheet1!P41</f>
        <v>1.1707317073170731</v>
      </c>
      <c r="O17">
        <f>Sheet1!Q41</f>
        <v>3.4634146341463414</v>
      </c>
      <c r="P17">
        <f>Sheet1!R41</f>
        <v>0</v>
      </c>
      <c r="Q17">
        <f>Sheet1!S41</f>
        <v>14.975609756097562</v>
      </c>
      <c r="R17">
        <f>Sheet1!T41</f>
        <v>2.4634146341463414</v>
      </c>
      <c r="S17">
        <f>Sheet1!U41</f>
        <v>1.1463414634146341</v>
      </c>
      <c r="T17">
        <f>Sheet1!V41</f>
        <v>2.024390243902439</v>
      </c>
      <c r="U17">
        <f>Sheet1!W41</f>
        <v>3.8780487804878048</v>
      </c>
      <c r="V17">
        <f>Sheet1!X41</f>
        <v>4.878048780487805E-2</v>
      </c>
    </row>
    <row r="18" spans="1:22" x14ac:dyDescent="0.25">
      <c r="A18">
        <f>Sheet1!C42</f>
        <v>530</v>
      </c>
      <c r="B18">
        <f>Sheet1!D42</f>
        <v>19.219512195121951</v>
      </c>
      <c r="C18">
        <f>Sheet1!E42</f>
        <v>3.7073170731707319</v>
      </c>
      <c r="D18">
        <f>Sheet1!F42</f>
        <v>19.609756097560975</v>
      </c>
      <c r="E18">
        <f>Sheet1!G42</f>
        <v>20.975609756097562</v>
      </c>
      <c r="F18">
        <f>Sheet1!H42</f>
        <v>10.292682926829269</v>
      </c>
      <c r="G18">
        <f>Sheet1!I42</f>
        <v>12.048780487804878</v>
      </c>
      <c r="H18">
        <f>Sheet1!J42</f>
        <v>23.317073170731707</v>
      </c>
      <c r="I18">
        <f>Sheet1!K42</f>
        <v>6.7073170731707314</v>
      </c>
      <c r="J18">
        <f>Sheet1!L42</f>
        <v>14.219512195121951</v>
      </c>
      <c r="K18">
        <f>Sheet1!M42</f>
        <v>23.926829268292682</v>
      </c>
      <c r="L18">
        <f>Sheet1!N42</f>
        <v>20.585365853658537</v>
      </c>
      <c r="M18">
        <f>Sheet1!O42</f>
        <v>17.73170731707317</v>
      </c>
      <c r="N18">
        <f>Sheet1!P42</f>
        <v>15.878048780487806</v>
      </c>
      <c r="O18">
        <f>Sheet1!Q42</f>
        <v>13.463414634146341</v>
      </c>
      <c r="P18">
        <f>Sheet1!R42</f>
        <v>14.878048780487806</v>
      </c>
      <c r="Q18">
        <f>Sheet1!S42</f>
        <v>0</v>
      </c>
      <c r="R18">
        <f>Sheet1!T42</f>
        <v>17.146341463414632</v>
      </c>
      <c r="S18">
        <f>Sheet1!U42</f>
        <v>13.926829268292684</v>
      </c>
      <c r="T18">
        <f>Sheet1!V42</f>
        <v>13.512195121951219</v>
      </c>
      <c r="U18">
        <f>Sheet1!W42</f>
        <v>19.585365853658537</v>
      </c>
      <c r="V18">
        <f>Sheet1!X42</f>
        <v>14.75609756097561</v>
      </c>
    </row>
    <row r="19" spans="1:22" x14ac:dyDescent="0.25">
      <c r="A19">
        <f>Sheet1!C43</f>
        <v>219</v>
      </c>
      <c r="B19">
        <f>Sheet1!D43</f>
        <v>2.024390243902439</v>
      </c>
      <c r="C19">
        <f>Sheet1!E43</f>
        <v>14.341463414634147</v>
      </c>
      <c r="D19">
        <f>Sheet1!F43</f>
        <v>2.5121951219512195</v>
      </c>
      <c r="E19">
        <f>Sheet1!G43</f>
        <v>3.4878048780487805</v>
      </c>
      <c r="F19">
        <f>Sheet1!H43</f>
        <v>7</v>
      </c>
      <c r="G19">
        <f>Sheet1!I43</f>
        <v>5.4634146341463419</v>
      </c>
      <c r="H19">
        <f>Sheet1!J43</f>
        <v>5.1951219512195124</v>
      </c>
      <c r="I19">
        <f>Sheet1!K43</f>
        <v>11.951219512195122</v>
      </c>
      <c r="J19">
        <f>Sheet1!L43</f>
        <v>3.6341463414634148</v>
      </c>
      <c r="K19">
        <f>Sheet1!M43</f>
        <v>5.4878048780487809</v>
      </c>
      <c r="L19">
        <f>Sheet1!N43</f>
        <v>2.4634146341463414</v>
      </c>
      <c r="M19">
        <f>Sheet1!O43</f>
        <v>1.6829268292682926</v>
      </c>
      <c r="N19">
        <f>Sheet1!P43</f>
        <v>1.4878048780487805</v>
      </c>
      <c r="O19">
        <f>Sheet1!Q43</f>
        <v>5.7804878048780486</v>
      </c>
      <c r="P19">
        <f>Sheet1!R43</f>
        <v>2.4634146341463414</v>
      </c>
      <c r="Q19">
        <f>Sheet1!S43</f>
        <v>17.414634146341463</v>
      </c>
      <c r="R19">
        <f>Sheet1!T43</f>
        <v>0</v>
      </c>
      <c r="S19">
        <f>Sheet1!U43</f>
        <v>3.5853658536585367</v>
      </c>
      <c r="T19">
        <f>Sheet1!V43</f>
        <v>4.4390243902439028</v>
      </c>
      <c r="U19">
        <f>Sheet1!W43</f>
        <v>2.975609756097561</v>
      </c>
      <c r="V19">
        <f>Sheet1!X43</f>
        <v>2.4634146341463414</v>
      </c>
    </row>
    <row r="20" spans="1:22" x14ac:dyDescent="0.25">
      <c r="A20">
        <f>Sheet1!C44</f>
        <v>144</v>
      </c>
      <c r="B20">
        <f>Sheet1!D44</f>
        <v>5.6341463414634143</v>
      </c>
      <c r="C20">
        <f>Sheet1!E44</f>
        <v>10.829268292682928</v>
      </c>
      <c r="D20">
        <f>Sheet1!F44</f>
        <v>6.0731707317073171</v>
      </c>
      <c r="E20">
        <f>Sheet1!G44</f>
        <v>6.8536585365853657</v>
      </c>
      <c r="F20">
        <f>Sheet1!H44</f>
        <v>4.3170731707317076</v>
      </c>
      <c r="G20">
        <f>Sheet1!I44</f>
        <v>3.4146341463414633</v>
      </c>
      <c r="H20">
        <f>Sheet1!J44</f>
        <v>8.8048780487804876</v>
      </c>
      <c r="I20">
        <f>Sheet1!K44</f>
        <v>8.463414634146341</v>
      </c>
      <c r="J20">
        <f>Sheet1!L44</f>
        <v>2.4146341463414633</v>
      </c>
      <c r="K20">
        <f>Sheet1!M44</f>
        <v>9.3170731707317067</v>
      </c>
      <c r="L20">
        <f>Sheet1!N44</f>
        <v>5.975609756097561</v>
      </c>
      <c r="M20">
        <f>Sheet1!O44</f>
        <v>3.5121951219512195</v>
      </c>
      <c r="N20">
        <f>Sheet1!P44</f>
        <v>2.2926829268292681</v>
      </c>
      <c r="O20">
        <f>Sheet1!Q44</f>
        <v>4.5609756097560972</v>
      </c>
      <c r="P20">
        <f>Sheet1!R44</f>
        <v>1.1463414634146341</v>
      </c>
      <c r="Q20">
        <f>Sheet1!S44</f>
        <v>13.902439024390244</v>
      </c>
      <c r="R20">
        <f>Sheet1!T44</f>
        <v>3.5853658536585367</v>
      </c>
      <c r="S20">
        <f>Sheet1!U44</f>
        <v>0</v>
      </c>
      <c r="T20">
        <f>Sheet1!V44</f>
        <v>2.7073170731707319</v>
      </c>
      <c r="U20">
        <f>Sheet1!W44</f>
        <v>4.975609756097561</v>
      </c>
      <c r="V20">
        <f>Sheet1!X44</f>
        <v>1.1707317073170731</v>
      </c>
    </row>
    <row r="21" spans="1:22" x14ac:dyDescent="0.25">
      <c r="A21">
        <f>Sheet1!C45</f>
        <v>38</v>
      </c>
      <c r="B21">
        <f>Sheet1!D45</f>
        <v>6.2926829268292686</v>
      </c>
      <c r="C21">
        <f>Sheet1!E45</f>
        <v>10.414634146341463</v>
      </c>
      <c r="D21">
        <f>Sheet1!F45</f>
        <v>6.1463414634146343</v>
      </c>
      <c r="E21">
        <f>Sheet1!G45</f>
        <v>6.7560975609756095</v>
      </c>
      <c r="F21">
        <f>Sheet1!H45</f>
        <v>3.4146341463414633</v>
      </c>
      <c r="G21">
        <f>Sheet1!I45</f>
        <v>1.3902439024390243</v>
      </c>
      <c r="H21">
        <f>Sheet1!J45</f>
        <v>9.4878048780487809</v>
      </c>
      <c r="I21">
        <f>Sheet1!K45</f>
        <v>8.0243902439024382</v>
      </c>
      <c r="J21">
        <f>Sheet1!L45</f>
        <v>0.85365853658536583</v>
      </c>
      <c r="K21">
        <f>Sheet1!M45</f>
        <v>10.268292682926829</v>
      </c>
      <c r="L21">
        <f>Sheet1!N45</f>
        <v>6.9268292682926829</v>
      </c>
      <c r="M21">
        <f>Sheet1!O45</f>
        <v>4.4390243902439028</v>
      </c>
      <c r="N21">
        <f>Sheet1!P45</f>
        <v>3.2439024390243905</v>
      </c>
      <c r="O21">
        <f>Sheet1!Q45</f>
        <v>1.2195121951219512</v>
      </c>
      <c r="P21">
        <f>Sheet1!R45</f>
        <v>2.0731707317073171</v>
      </c>
      <c r="Q21">
        <f>Sheet1!S45</f>
        <v>13.487804878048781</v>
      </c>
      <c r="R21">
        <f>Sheet1!T45</f>
        <v>4.4878048780487809</v>
      </c>
      <c r="S21">
        <f>Sheet1!U45</f>
        <v>2.7560975609756095</v>
      </c>
      <c r="T21">
        <f>Sheet1!V45</f>
        <v>0</v>
      </c>
      <c r="U21">
        <f>Sheet1!W45</f>
        <v>5.9268292682926829</v>
      </c>
      <c r="V21">
        <f>Sheet1!X45</f>
        <v>2.1463414634146343</v>
      </c>
    </row>
    <row r="22" spans="1:22" x14ac:dyDescent="0.25">
      <c r="A22">
        <f>Sheet1!C46</f>
        <v>278</v>
      </c>
      <c r="B22">
        <f>Sheet1!D46</f>
        <v>3.8536585365853657</v>
      </c>
      <c r="C22">
        <f>Sheet1!E46</f>
        <v>16.512195121951219</v>
      </c>
      <c r="D22">
        <f>Sheet1!F46</f>
        <v>4.7073170731707314</v>
      </c>
      <c r="E22">
        <f>Sheet1!G46</f>
        <v>5.5121951219512191</v>
      </c>
      <c r="F22">
        <f>Sheet1!H46</f>
        <v>8.4146341463414629</v>
      </c>
      <c r="G22">
        <f>Sheet1!I46</f>
        <v>6.8780487804878048</v>
      </c>
      <c r="H22">
        <f>Sheet1!J46</f>
        <v>6.6341463414634143</v>
      </c>
      <c r="I22">
        <f>Sheet1!K46</f>
        <v>14.121951219512194</v>
      </c>
      <c r="J22">
        <f>Sheet1!L46</f>
        <v>5.0731707317073171</v>
      </c>
      <c r="K22">
        <f>Sheet1!M46</f>
        <v>5.7073170731707314</v>
      </c>
      <c r="L22">
        <f>Sheet1!N46</f>
        <v>1.2195121951219512</v>
      </c>
      <c r="M22">
        <f>Sheet1!O46</f>
        <v>2.024390243902439</v>
      </c>
      <c r="N22">
        <f>Sheet1!P46</f>
        <v>2.8292682926829267</v>
      </c>
      <c r="O22">
        <f>Sheet1!Q46</f>
        <v>7.2439024390243905</v>
      </c>
      <c r="P22">
        <f>Sheet1!R46</f>
        <v>3.8780487804878048</v>
      </c>
      <c r="Q22">
        <f>Sheet1!S46</f>
        <v>19.560975609756099</v>
      </c>
      <c r="R22">
        <f>Sheet1!T46</f>
        <v>2.975609756097561</v>
      </c>
      <c r="S22">
        <f>Sheet1!U46</f>
        <v>4.975609756097561</v>
      </c>
      <c r="T22">
        <f>Sheet1!V46</f>
        <v>5.8780487804878048</v>
      </c>
      <c r="U22">
        <f>Sheet1!W46</f>
        <v>0</v>
      </c>
      <c r="V22">
        <f>Sheet1!X46</f>
        <v>3.8536585365853657</v>
      </c>
    </row>
    <row r="23" spans="1:22" x14ac:dyDescent="0.25">
      <c r="A23">
        <f>Sheet1!C47</f>
        <v>122</v>
      </c>
      <c r="B23">
        <f>Sheet1!D47</f>
        <v>4.5121951219512191</v>
      </c>
      <c r="C23">
        <f>Sheet1!E47</f>
        <v>11.951219512195122</v>
      </c>
      <c r="D23">
        <f>Sheet1!F47</f>
        <v>4.9512195121951219</v>
      </c>
      <c r="E23">
        <f>Sheet1!G47</f>
        <v>5.7560975609756095</v>
      </c>
      <c r="F23">
        <f>Sheet1!H47</f>
        <v>4.5853658536585362</v>
      </c>
      <c r="G23">
        <f>Sheet1!I47</f>
        <v>3.0731707317073171</v>
      </c>
      <c r="H23">
        <f>Sheet1!J47</f>
        <v>7.6829268292682924</v>
      </c>
      <c r="I23">
        <f>Sheet1!K47</f>
        <v>9.5609756097560972</v>
      </c>
      <c r="J23">
        <f>Sheet1!L47</f>
        <v>1.2682926829268293</v>
      </c>
      <c r="K23">
        <f>Sheet1!M47</f>
        <v>8.1951219512195124</v>
      </c>
      <c r="L23">
        <f>Sheet1!N47</f>
        <v>4.8536585365853657</v>
      </c>
      <c r="M23">
        <f>Sheet1!O47</f>
        <v>2.3658536585365852</v>
      </c>
      <c r="N23">
        <f>Sheet1!P47</f>
        <v>1.1707317073170731</v>
      </c>
      <c r="O23">
        <f>Sheet1!Q47</f>
        <v>3.4634146341463414</v>
      </c>
      <c r="P23">
        <f>Sheet1!R47</f>
        <v>4.878048780487805E-2</v>
      </c>
      <c r="Q23">
        <f>Sheet1!S47</f>
        <v>15.024390243902438</v>
      </c>
      <c r="R23">
        <f>Sheet1!T47</f>
        <v>2.4634146341463414</v>
      </c>
      <c r="S23">
        <f>Sheet1!U47</f>
        <v>1.1707317073170731</v>
      </c>
      <c r="T23">
        <f>Sheet1!V47</f>
        <v>2.0731707317073171</v>
      </c>
      <c r="U23">
        <f>Sheet1!W47</f>
        <v>3.8536585365853657</v>
      </c>
      <c r="V23">
        <f>Sheet1!X47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25">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I23"/>
  <sheetViews>
    <sheetView tabSelected="1" workbookViewId="0">
      <selection activeCell="F23" sqref="F23"/>
    </sheetView>
  </sheetViews>
  <sheetFormatPr defaultRowHeight="15" x14ac:dyDescent="0.25"/>
  <cols>
    <col min="2" max="2" width="53.42578125" bestFit="1" customWidth="1"/>
    <col min="3" max="3" width="15.42578125" bestFit="1" customWidth="1"/>
    <col min="4" max="4" width="17.7109375" bestFit="1" customWidth="1"/>
    <col min="5" max="5" width="14.28515625" customWidth="1"/>
    <col min="6" max="6" width="22" bestFit="1" customWidth="1"/>
    <col min="7" max="7" width="18.42578125" bestFit="1" customWidth="1"/>
  </cols>
  <sheetData>
    <row r="1" spans="1:9" ht="18.75" x14ac:dyDescent="0.3">
      <c r="A1" s="13" t="s">
        <v>2309</v>
      </c>
      <c r="B1" s="13" t="s">
        <v>16195</v>
      </c>
      <c r="C1" s="13" t="s">
        <v>16223</v>
      </c>
      <c r="D1" s="13" t="s">
        <v>16224</v>
      </c>
      <c r="E1" s="13" t="s">
        <v>16226</v>
      </c>
      <c r="F1" s="13" t="s">
        <v>16196</v>
      </c>
      <c r="G1" s="13" t="s">
        <v>16197</v>
      </c>
    </row>
    <row r="2" spans="1:9" x14ac:dyDescent="0.25">
      <c r="A2">
        <v>1</v>
      </c>
      <c r="B2" t="s">
        <v>16193</v>
      </c>
      <c r="C2">
        <v>0</v>
      </c>
      <c r="D2">
        <v>0</v>
      </c>
      <c r="E2" t="s">
        <v>16227</v>
      </c>
      <c r="F2">
        <v>4</v>
      </c>
      <c r="G2">
        <v>80</v>
      </c>
    </row>
    <row r="3" spans="1:9" x14ac:dyDescent="0.25">
      <c r="A3">
        <v>2</v>
      </c>
      <c r="B3" t="s">
        <v>16172</v>
      </c>
      <c r="C3">
        <v>40</v>
      </c>
      <c r="D3">
        <v>0</v>
      </c>
      <c r="E3" t="s">
        <v>16227</v>
      </c>
    </row>
    <row r="4" spans="1:9" x14ac:dyDescent="0.25">
      <c r="A4">
        <v>3</v>
      </c>
      <c r="B4" t="s">
        <v>16173</v>
      </c>
      <c r="C4" s="34">
        <v>40</v>
      </c>
      <c r="D4" s="34">
        <v>0</v>
      </c>
      <c r="E4" s="34" t="s">
        <v>16227</v>
      </c>
    </row>
    <row r="5" spans="1:9" x14ac:dyDescent="0.25">
      <c r="A5">
        <v>4</v>
      </c>
      <c r="B5" t="s">
        <v>16174</v>
      </c>
      <c r="C5" s="34">
        <v>40</v>
      </c>
      <c r="D5" s="34">
        <v>0</v>
      </c>
      <c r="E5" s="34" t="s">
        <v>16227</v>
      </c>
    </row>
    <row r="6" spans="1:9" x14ac:dyDescent="0.25">
      <c r="A6">
        <v>5</v>
      </c>
      <c r="B6" t="s">
        <v>16175</v>
      </c>
      <c r="C6" s="34">
        <v>40</v>
      </c>
      <c r="D6" s="34">
        <v>0</v>
      </c>
      <c r="E6" s="34" t="s">
        <v>16227</v>
      </c>
    </row>
    <row r="7" spans="1:9" x14ac:dyDescent="0.25">
      <c r="A7">
        <v>6</v>
      </c>
      <c r="B7" t="s">
        <v>16176</v>
      </c>
      <c r="C7" s="34">
        <v>40</v>
      </c>
      <c r="D7" s="34">
        <v>0</v>
      </c>
      <c r="E7" s="34" t="s">
        <v>16227</v>
      </c>
    </row>
    <row r="8" spans="1:9" x14ac:dyDescent="0.25">
      <c r="A8">
        <v>7</v>
      </c>
      <c r="B8" t="s">
        <v>16177</v>
      </c>
      <c r="C8" s="34">
        <v>40</v>
      </c>
      <c r="D8" s="34">
        <v>0</v>
      </c>
      <c r="E8" s="34" t="s">
        <v>16227</v>
      </c>
    </row>
    <row r="9" spans="1:9" x14ac:dyDescent="0.25">
      <c r="A9">
        <v>8</v>
      </c>
      <c r="B9" t="s">
        <v>16178</v>
      </c>
      <c r="C9" s="34">
        <v>40</v>
      </c>
      <c r="D9" s="34">
        <v>0</v>
      </c>
      <c r="E9" s="34" t="s">
        <v>16227</v>
      </c>
    </row>
    <row r="10" spans="1:9" x14ac:dyDescent="0.25">
      <c r="A10">
        <v>9</v>
      </c>
      <c r="B10" t="s">
        <v>16179</v>
      </c>
      <c r="C10" s="34">
        <v>40</v>
      </c>
      <c r="D10" s="34">
        <v>0</v>
      </c>
      <c r="E10" s="34" t="s">
        <v>16227</v>
      </c>
      <c r="H10" t="s">
        <v>16238</v>
      </c>
      <c r="I10" t="s">
        <v>16138</v>
      </c>
    </row>
    <row r="11" spans="1:9" x14ac:dyDescent="0.25">
      <c r="A11">
        <v>10</v>
      </c>
      <c r="B11" t="s">
        <v>16180</v>
      </c>
      <c r="C11" s="34">
        <v>40</v>
      </c>
      <c r="D11" s="34">
        <v>0</v>
      </c>
      <c r="E11" s="34" t="s">
        <v>16227</v>
      </c>
      <c r="H11" t="s">
        <v>16237</v>
      </c>
      <c r="I11" t="s">
        <v>16139</v>
      </c>
    </row>
    <row r="12" spans="1:9" x14ac:dyDescent="0.25">
      <c r="A12">
        <v>11</v>
      </c>
      <c r="B12" t="s">
        <v>16181</v>
      </c>
      <c r="C12" s="34">
        <v>40</v>
      </c>
      <c r="D12" s="34">
        <v>0</v>
      </c>
      <c r="E12" s="34" t="s">
        <v>16227</v>
      </c>
      <c r="H12" t="s">
        <v>16228</v>
      </c>
      <c r="I12" t="s">
        <v>16140</v>
      </c>
    </row>
    <row r="13" spans="1:9" x14ac:dyDescent="0.25">
      <c r="A13">
        <v>12</v>
      </c>
      <c r="B13" t="s">
        <v>16182</v>
      </c>
      <c r="C13" s="34">
        <v>40</v>
      </c>
      <c r="D13" s="34">
        <v>0</v>
      </c>
      <c r="E13" s="34" t="s">
        <v>16227</v>
      </c>
      <c r="H13" t="s">
        <v>16239</v>
      </c>
      <c r="I13" t="s">
        <v>16141</v>
      </c>
    </row>
    <row r="14" spans="1:9" x14ac:dyDescent="0.25">
      <c r="A14">
        <v>13</v>
      </c>
      <c r="B14" t="s">
        <v>16183</v>
      </c>
      <c r="C14" s="34">
        <v>40</v>
      </c>
      <c r="D14" s="34">
        <v>0</v>
      </c>
      <c r="E14" s="34" t="s">
        <v>16227</v>
      </c>
      <c r="H14" t="s">
        <v>16240</v>
      </c>
      <c r="I14" t="s">
        <v>16142</v>
      </c>
    </row>
    <row r="15" spans="1:9" ht="18" customHeight="1" x14ac:dyDescent="0.25">
      <c r="A15">
        <v>14</v>
      </c>
      <c r="B15" t="s">
        <v>16184</v>
      </c>
      <c r="C15" s="34">
        <v>40</v>
      </c>
      <c r="D15" s="34">
        <v>0</v>
      </c>
      <c r="E15" s="34" t="s">
        <v>16227</v>
      </c>
    </row>
    <row r="16" spans="1:9" x14ac:dyDescent="0.25">
      <c r="A16">
        <v>15</v>
      </c>
      <c r="B16" t="s">
        <v>16185</v>
      </c>
      <c r="C16" s="34">
        <v>40</v>
      </c>
      <c r="D16" s="34">
        <v>0</v>
      </c>
      <c r="E16" s="34" t="s">
        <v>16228</v>
      </c>
    </row>
    <row r="17" spans="1:5" x14ac:dyDescent="0.25">
      <c r="A17">
        <v>16</v>
      </c>
      <c r="B17" t="s">
        <v>16186</v>
      </c>
      <c r="C17" s="34">
        <v>40</v>
      </c>
      <c r="D17" s="34">
        <v>0</v>
      </c>
      <c r="E17" s="34" t="s">
        <v>16227</v>
      </c>
    </row>
    <row r="18" spans="1:5" x14ac:dyDescent="0.25">
      <c r="A18">
        <v>17</v>
      </c>
      <c r="B18" t="s">
        <v>16187</v>
      </c>
      <c r="C18" s="34">
        <v>40</v>
      </c>
      <c r="D18" s="34">
        <v>0</v>
      </c>
      <c r="E18" s="34" t="s">
        <v>16227</v>
      </c>
    </row>
    <row r="19" spans="1:5" x14ac:dyDescent="0.25">
      <c r="A19">
        <v>18</v>
      </c>
      <c r="B19" t="s">
        <v>16188</v>
      </c>
      <c r="C19" s="34">
        <v>40</v>
      </c>
      <c r="D19" s="34">
        <v>0</v>
      </c>
      <c r="E19" s="34" t="s">
        <v>16227</v>
      </c>
    </row>
    <row r="20" spans="1:5" x14ac:dyDescent="0.25">
      <c r="A20">
        <v>19</v>
      </c>
      <c r="B20" t="s">
        <v>16189</v>
      </c>
      <c r="C20" s="34">
        <v>40</v>
      </c>
      <c r="D20" s="34">
        <v>0</v>
      </c>
      <c r="E20" s="34" t="s">
        <v>16227</v>
      </c>
    </row>
    <row r="21" spans="1:5" x14ac:dyDescent="0.25">
      <c r="A21">
        <v>20</v>
      </c>
      <c r="B21" t="s">
        <v>16190</v>
      </c>
      <c r="C21" s="34">
        <v>40</v>
      </c>
      <c r="D21" s="34">
        <v>0</v>
      </c>
      <c r="E21" s="34" t="s">
        <v>16228</v>
      </c>
    </row>
    <row r="22" spans="1:5" x14ac:dyDescent="0.25">
      <c r="A22">
        <v>21</v>
      </c>
      <c r="B22" t="s">
        <v>16191</v>
      </c>
      <c r="C22" s="34">
        <v>40</v>
      </c>
      <c r="D22" s="34">
        <v>0</v>
      </c>
      <c r="E22" s="34" t="s">
        <v>16227</v>
      </c>
    </row>
    <row r="23" spans="1:5" x14ac:dyDescent="0.25">
      <c r="A23">
        <v>22</v>
      </c>
      <c r="B23" t="s">
        <v>16192</v>
      </c>
      <c r="C23" s="34">
        <v>40</v>
      </c>
      <c r="D23" s="34">
        <v>0</v>
      </c>
      <c r="E23" s="34" t="s">
        <v>16227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7</xdr:col>
                    <xdr:colOff>38100</xdr:colOff>
                    <xdr:row>5</xdr:row>
                    <xdr:rowOff>28575</xdr:rowOff>
                  </from>
                  <to>
                    <xdr:col>8</xdr:col>
                    <xdr:colOff>276225</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7</xdr:col>
                    <xdr:colOff>19050</xdr:colOff>
                    <xdr:row>7</xdr:row>
                    <xdr:rowOff>0</xdr:rowOff>
                  </from>
                  <to>
                    <xdr:col>8</xdr:col>
                    <xdr:colOff>295275</xdr:colOff>
                    <xdr:row>8</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U70"/>
  <sheetViews>
    <sheetView workbookViewId="0">
      <selection activeCell="K22" sqref="K22"/>
    </sheetView>
  </sheetViews>
  <sheetFormatPr defaultRowHeight="15" x14ac:dyDescent="0.25"/>
  <cols>
    <col min="4" max="4" width="13.5703125" bestFit="1" customWidth="1"/>
    <col min="5" max="5" width="12.28515625" bestFit="1" customWidth="1"/>
    <col min="6" max="6" width="12.28515625" customWidth="1"/>
    <col min="7" max="7" width="10.42578125" bestFit="1" customWidth="1"/>
    <col min="8" max="8" width="13.42578125" style="15" bestFit="1" customWidth="1"/>
    <col min="9" max="9" width="14.28515625" style="15" bestFit="1" customWidth="1"/>
    <col min="10" max="10" width="13.42578125" style="15" customWidth="1"/>
    <col min="11" max="11" width="50.42578125" bestFit="1" customWidth="1"/>
    <col min="15" max="15" width="12.7109375" bestFit="1" customWidth="1"/>
    <col min="16" max="16" width="11.28515625" bestFit="1" customWidth="1"/>
    <col min="17" max="17" width="11.28515625" customWidth="1"/>
    <col min="18" max="18" width="9.85546875" bestFit="1" customWidth="1"/>
    <col min="19" max="19" width="9.5703125" bestFit="1" customWidth="1"/>
    <col min="20" max="20" width="11.140625" bestFit="1" customWidth="1"/>
    <col min="21" max="21" width="50.42578125" bestFit="1" customWidth="1"/>
    <col min="25" max="25" width="12.7109375" bestFit="1" customWidth="1"/>
    <col min="26" max="26" width="11.28515625" bestFit="1" customWidth="1"/>
    <col min="27" max="27" width="11.28515625" customWidth="1"/>
    <col min="28" max="28" width="9.85546875" bestFit="1" customWidth="1"/>
    <col min="29" max="29" width="9.5703125" bestFit="1" customWidth="1"/>
    <col min="30" max="30" width="11.140625" bestFit="1" customWidth="1"/>
    <col min="31" max="31" width="50.42578125" bestFit="1" customWidth="1"/>
    <col min="35" max="35" width="12.7109375" bestFit="1" customWidth="1"/>
    <col min="36" max="36" width="11.28515625" bestFit="1" customWidth="1"/>
    <col min="37" max="37" width="11.28515625" customWidth="1"/>
    <col min="38" max="38" width="9.85546875" bestFit="1" customWidth="1"/>
    <col min="39" max="39" width="9.5703125" bestFit="1" customWidth="1"/>
    <col min="40" max="40" width="11.140625" bestFit="1" customWidth="1"/>
    <col min="41" max="41" width="50.42578125" bestFit="1" customWidth="1"/>
    <col min="42" max="42" width="8.7109375" customWidth="1"/>
    <col min="45" max="45" width="12.7109375" bestFit="1" customWidth="1"/>
    <col min="46" max="46" width="11.28515625" bestFit="1" customWidth="1"/>
    <col min="47" max="47" width="11.28515625" customWidth="1"/>
    <col min="48" max="48" width="9.85546875" bestFit="1" customWidth="1"/>
    <col min="49" max="49" width="9.5703125" bestFit="1" customWidth="1"/>
    <col min="50" max="50" width="11.140625" bestFit="1" customWidth="1"/>
    <col min="51" max="51" width="50.42578125" bestFit="1" customWidth="1"/>
  </cols>
  <sheetData>
    <row r="1" spans="1:41" x14ac:dyDescent="0.25">
      <c r="A1" s="28" t="s">
        <v>16138</v>
      </c>
      <c r="B1" s="28"/>
      <c r="C1" s="28"/>
      <c r="D1" s="28"/>
      <c r="E1" s="28"/>
      <c r="F1" s="28"/>
      <c r="G1" s="28"/>
      <c r="H1" s="28"/>
      <c r="I1" s="28"/>
      <c r="J1" s="28"/>
      <c r="K1" s="28"/>
      <c r="L1" s="28" t="s">
        <v>16140</v>
      </c>
      <c r="M1" s="28"/>
      <c r="N1" s="28"/>
      <c r="O1" s="28"/>
      <c r="P1" s="28"/>
      <c r="Q1" s="28"/>
      <c r="R1" s="28"/>
      <c r="S1" s="28"/>
      <c r="T1" s="28"/>
      <c r="U1" s="28"/>
      <c r="V1" s="28" t="s">
        <v>16141</v>
      </c>
      <c r="W1" s="28"/>
      <c r="X1" s="28"/>
      <c r="Y1" s="28"/>
      <c r="Z1" s="28"/>
      <c r="AA1" s="28"/>
      <c r="AB1" s="28"/>
      <c r="AC1" s="28"/>
      <c r="AD1" s="28"/>
      <c r="AE1" s="28"/>
      <c r="AF1" s="28" t="s">
        <v>16142</v>
      </c>
      <c r="AG1" s="28"/>
      <c r="AH1" s="28"/>
      <c r="AI1" s="28"/>
      <c r="AJ1" s="28"/>
      <c r="AK1" s="28"/>
      <c r="AL1" s="28"/>
      <c r="AM1" s="28"/>
      <c r="AN1" s="28"/>
      <c r="AO1" s="28"/>
    </row>
    <row r="2" spans="1:41" x14ac:dyDescent="0.25">
      <c r="A2" s="11" t="s">
        <v>16168</v>
      </c>
      <c r="B2" s="11" t="s">
        <v>16169</v>
      </c>
      <c r="C2" s="11" t="s">
        <v>2</v>
      </c>
      <c r="D2" s="11" t="s">
        <v>16199</v>
      </c>
      <c r="E2" s="11" t="s">
        <v>16223</v>
      </c>
      <c r="F2" s="11" t="s">
        <v>16225</v>
      </c>
      <c r="G2" s="11" t="s">
        <v>16201</v>
      </c>
      <c r="H2" s="14" t="s">
        <v>16200</v>
      </c>
      <c r="I2" s="14" t="s">
        <v>16233</v>
      </c>
      <c r="J2" s="14" t="s">
        <v>16222</v>
      </c>
      <c r="K2" s="11" t="s">
        <v>16170</v>
      </c>
      <c r="L2" s="11" t="s">
        <v>16168</v>
      </c>
      <c r="M2" s="11" t="s">
        <v>16169</v>
      </c>
      <c r="N2" s="11" t="s">
        <v>2</v>
      </c>
      <c r="O2" s="11" t="s">
        <v>16199</v>
      </c>
      <c r="P2" s="11" t="s">
        <v>16223</v>
      </c>
      <c r="Q2" s="11" t="s">
        <v>16225</v>
      </c>
      <c r="R2" s="11" t="s">
        <v>16201</v>
      </c>
      <c r="S2" s="14" t="s">
        <v>16200</v>
      </c>
      <c r="T2" s="14" t="s">
        <v>16222</v>
      </c>
      <c r="U2" s="11" t="s">
        <v>16170</v>
      </c>
      <c r="V2" s="11" t="s">
        <v>16168</v>
      </c>
      <c r="W2" s="11" t="s">
        <v>16169</v>
      </c>
      <c r="X2" s="11" t="s">
        <v>2</v>
      </c>
      <c r="Y2" s="11" t="s">
        <v>16199</v>
      </c>
      <c r="Z2" s="11" t="s">
        <v>16223</v>
      </c>
      <c r="AA2" s="11" t="s">
        <v>16225</v>
      </c>
      <c r="AB2" s="11" t="s">
        <v>16201</v>
      </c>
      <c r="AC2" s="14" t="s">
        <v>16200</v>
      </c>
      <c r="AD2" s="14" t="s">
        <v>16222</v>
      </c>
      <c r="AE2" s="11" t="s">
        <v>16170</v>
      </c>
      <c r="AF2" s="11" t="s">
        <v>16168</v>
      </c>
      <c r="AG2" s="11" t="s">
        <v>16169</v>
      </c>
      <c r="AH2" s="11" t="s">
        <v>2</v>
      </c>
      <c r="AI2" s="11" t="s">
        <v>16199</v>
      </c>
      <c r="AJ2" s="11" t="s">
        <v>16223</v>
      </c>
      <c r="AK2" s="11" t="s">
        <v>16225</v>
      </c>
      <c r="AL2" s="11" t="s">
        <v>16201</v>
      </c>
      <c r="AM2" s="14" t="s">
        <v>16200</v>
      </c>
      <c r="AN2" s="14" t="s">
        <v>16222</v>
      </c>
      <c r="AO2" s="11" t="s">
        <v>16170</v>
      </c>
    </row>
    <row r="3" spans="1:41" x14ac:dyDescent="0.25">
      <c r="A3" s="29" t="s">
        <v>16230</v>
      </c>
      <c r="B3" s="29"/>
      <c r="C3" s="29"/>
      <c r="D3" s="29"/>
      <c r="E3" s="29"/>
      <c r="F3" s="29"/>
      <c r="G3" s="29"/>
      <c r="H3" s="29"/>
      <c r="I3" s="29"/>
      <c r="J3" s="29"/>
      <c r="K3" s="29"/>
      <c r="L3" s="11"/>
      <c r="M3" s="11"/>
      <c r="N3" s="11"/>
      <c r="O3" s="11"/>
      <c r="P3" s="11"/>
      <c r="Q3" s="11"/>
      <c r="R3" s="11"/>
      <c r="S3" s="14"/>
      <c r="T3" s="14"/>
      <c r="U3" s="11"/>
      <c r="V3" s="11"/>
      <c r="W3" s="11"/>
      <c r="X3" s="11"/>
      <c r="Y3" s="11"/>
      <c r="Z3" s="11"/>
      <c r="AA3" s="11"/>
      <c r="AB3" s="11"/>
      <c r="AC3" s="14"/>
      <c r="AD3" s="14"/>
      <c r="AE3" s="11"/>
      <c r="AF3" s="11"/>
      <c r="AG3" s="11"/>
      <c r="AH3" s="11"/>
      <c r="AI3" s="11"/>
      <c r="AJ3" s="11"/>
      <c r="AK3" s="11"/>
      <c r="AL3" s="11"/>
      <c r="AM3" s="14"/>
      <c r="AN3" s="14"/>
      <c r="AO3" s="11"/>
    </row>
    <row r="4" spans="1:41" x14ac:dyDescent="0.25">
      <c r="A4">
        <f>'[1]m-0-routes'!$B2</f>
        <v>1</v>
      </c>
      <c r="B4">
        <f>'[1]m-0-routes'!$C2</f>
        <v>15</v>
      </c>
      <c r="C4">
        <f>'[1]m-0-distances'!B2</f>
        <v>36</v>
      </c>
      <c r="D4">
        <f>'[1]m-0-sumDists'!B2</f>
        <v>36</v>
      </c>
      <c r="E4">
        <f>'[1]m-0-units'!B2</f>
        <v>40</v>
      </c>
      <c r="F4">
        <f>'[1]m-0-deliveries'!B2</f>
        <v>0</v>
      </c>
      <c r="G4">
        <f>'[1]m-0-sumUnits'!B2</f>
        <v>40</v>
      </c>
      <c r="H4" s="15">
        <f>E4/C4</f>
        <v>1.1111111111111112</v>
      </c>
      <c r="I4" s="15">
        <f>G4/D4</f>
        <v>1.1111111111111112</v>
      </c>
      <c r="J4" s="15">
        <f>'[1]m-0-times'!B2</f>
        <v>1.3836111111111109</v>
      </c>
      <c r="K4" t="str">
        <f>IFERROR(_xlfn.XLOOKUP(B4, addresses!A$1:A$22, addresses!B$1:B$22), "")</f>
        <v>120 John King Rd, Crestview, FL, 32539</v>
      </c>
      <c r="L4" t="e">
        <f>#REF!</f>
        <v>#REF!</v>
      </c>
      <c r="M4" t="e">
        <f>#REF!</f>
        <v>#REF!</v>
      </c>
      <c r="N4" t="e">
        <f>#REF!</f>
        <v>#REF!</v>
      </c>
      <c r="O4" t="e">
        <f>#REF!</f>
        <v>#REF!</v>
      </c>
      <c r="P4" t="e">
        <f>#REF!</f>
        <v>#REF!</v>
      </c>
      <c r="Q4" t="e">
        <f>#REF!</f>
        <v>#REF!</v>
      </c>
      <c r="R4" t="e">
        <f>#REF!</f>
        <v>#REF!</v>
      </c>
      <c r="S4" s="15" t="e">
        <f>P4/N4</f>
        <v>#REF!</v>
      </c>
      <c r="T4" s="15" t="e">
        <f>#REF!</f>
        <v>#REF!</v>
      </c>
      <c r="U4" t="e" cm="1">
        <f t="array" ref="U4">INDEX(addresses!B$1:B$22, M4)</f>
        <v>#REF!</v>
      </c>
      <c r="V4" t="e">
        <f>#REF!</f>
        <v>#REF!</v>
      </c>
      <c r="W4" t="e">
        <f>#REF!</f>
        <v>#REF!</v>
      </c>
      <c r="X4" t="e">
        <f>#REF!</f>
        <v>#REF!</v>
      </c>
      <c r="Y4" t="e">
        <f>#REF!</f>
        <v>#REF!</v>
      </c>
      <c r="Z4" t="e">
        <f>#REF!</f>
        <v>#REF!</v>
      </c>
      <c r="AA4" t="e">
        <f>#REF!</f>
        <v>#REF!</v>
      </c>
      <c r="AB4" t="e">
        <f>#REF!</f>
        <v>#REF!</v>
      </c>
      <c r="AC4" s="15" t="e">
        <f>Z4/X4</f>
        <v>#REF!</v>
      </c>
      <c r="AD4" s="15" t="e">
        <f>#REF!</f>
        <v>#REF!</v>
      </c>
      <c r="AE4" t="e" cm="1">
        <f t="array" ref="AE4">INDEX(addresses!B$1:B$22, W4)</f>
        <v>#REF!</v>
      </c>
      <c r="AF4" t="e">
        <f>#REF!</f>
        <v>#REF!</v>
      </c>
      <c r="AG4" t="e">
        <f>#REF!</f>
        <v>#REF!</v>
      </c>
      <c r="AH4" t="e">
        <f>#REF!</f>
        <v>#REF!</v>
      </c>
      <c r="AI4" t="e">
        <f>#REF!</f>
        <v>#REF!</v>
      </c>
      <c r="AJ4" t="e">
        <f>#REF!</f>
        <v>#REF!</v>
      </c>
      <c r="AK4" t="e">
        <f>#REF!</f>
        <v>#REF!</v>
      </c>
      <c r="AL4" t="e">
        <f>#REF!</f>
        <v>#REF!</v>
      </c>
      <c r="AM4" s="15" t="e">
        <f>AJ4/AH4</f>
        <v>#REF!</v>
      </c>
      <c r="AN4" s="15" t="e">
        <f>#REF!</f>
        <v>#REF!</v>
      </c>
      <c r="AO4" t="e" cm="1">
        <f t="array" ref="AO4">INDEX(addresses!B$1:B$22, AG4)</f>
        <v>#REF!</v>
      </c>
    </row>
    <row r="5" spans="1:41" x14ac:dyDescent="0.25">
      <c r="A5">
        <f>'[1]m-0-routes'!$B3</f>
        <v>15</v>
      </c>
      <c r="B5">
        <f>'[1]m-0-routes'!$C3</f>
        <v>20</v>
      </c>
      <c r="C5">
        <f>'[1]m-0-distances'!B3</f>
        <v>50</v>
      </c>
      <c r="D5">
        <f>'[1]m-0-sumDists'!B3</f>
        <v>86</v>
      </c>
      <c r="E5">
        <f>'[1]m-0-units'!B3</f>
        <v>40</v>
      </c>
      <c r="F5">
        <f>'[1]m-0-deliveries'!B3</f>
        <v>0</v>
      </c>
      <c r="G5">
        <f>'[1]m-0-sumUnits'!B3</f>
        <v>80</v>
      </c>
      <c r="H5" s="15">
        <f t="shared" ref="H5:H17" si="0">E5/C5</f>
        <v>0.8</v>
      </c>
      <c r="I5" s="15">
        <f t="shared" ref="I5:I28" si="1">G5/D5</f>
        <v>0.93023255813953487</v>
      </c>
      <c r="J5" s="15">
        <f>'[1]m-0-times'!B3</f>
        <v>3.1633333333333331</v>
      </c>
      <c r="K5" t="str">
        <f>IFERROR(_xlfn.XLOOKUP(B5, addresses!A$1:A$22, addresses!B$1:B$22), "")</f>
        <v>104 Adams Road, Opp, AL, 36467</v>
      </c>
      <c r="L5" t="e">
        <f>#REF!</f>
        <v>#REF!</v>
      </c>
      <c r="M5" t="e">
        <f>#REF!</f>
        <v>#REF!</v>
      </c>
      <c r="N5" t="e">
        <f>#REF!</f>
        <v>#REF!</v>
      </c>
      <c r="O5" t="e">
        <f>#REF!</f>
        <v>#REF!</v>
      </c>
      <c r="P5" t="e">
        <f>#REF!</f>
        <v>#REF!</v>
      </c>
      <c r="Q5" t="e">
        <f>#REF!</f>
        <v>#REF!</v>
      </c>
      <c r="R5" t="e">
        <f>#REF!</f>
        <v>#REF!</v>
      </c>
      <c r="S5" s="15" t="e">
        <f t="shared" ref="S5:S17" si="2">P5/N5</f>
        <v>#REF!</v>
      </c>
      <c r="T5" s="15" t="e">
        <f>#REF!</f>
        <v>#REF!</v>
      </c>
      <c r="U5" t="e" cm="1">
        <f t="array" ref="U5">INDEX(addresses!B$1:B$22, M5)</f>
        <v>#REF!</v>
      </c>
      <c r="V5" t="e">
        <f>#REF!</f>
        <v>#REF!</v>
      </c>
      <c r="W5" t="e">
        <f>#REF!</f>
        <v>#REF!</v>
      </c>
      <c r="X5" t="e">
        <f>#REF!</f>
        <v>#REF!</v>
      </c>
      <c r="Y5" t="e">
        <f>#REF!</f>
        <v>#REF!</v>
      </c>
      <c r="Z5" t="e">
        <f>#REF!</f>
        <v>#REF!</v>
      </c>
      <c r="AA5" t="e">
        <f>#REF!</f>
        <v>#REF!</v>
      </c>
      <c r="AB5" t="e">
        <f>#REF!</f>
        <v>#REF!</v>
      </c>
      <c r="AC5" s="15" t="e">
        <f t="shared" ref="AC5:AC17" si="3">Z5/X5</f>
        <v>#REF!</v>
      </c>
      <c r="AD5" s="15" t="e">
        <f>#REF!</f>
        <v>#REF!</v>
      </c>
      <c r="AE5" t="e" cm="1">
        <f t="array" ref="AE5">INDEX(addresses!B$1:B$22, W5)</f>
        <v>#REF!</v>
      </c>
      <c r="AF5" t="e">
        <f>#REF!</f>
        <v>#REF!</v>
      </c>
      <c r="AG5" t="e">
        <f>#REF!</f>
        <v>#REF!</v>
      </c>
      <c r="AH5" t="e">
        <f>#REF!</f>
        <v>#REF!</v>
      </c>
      <c r="AI5" t="e">
        <f>#REF!</f>
        <v>#REF!</v>
      </c>
      <c r="AJ5" t="e">
        <f>#REF!</f>
        <v>#REF!</v>
      </c>
      <c r="AK5" t="e">
        <f>#REF!</f>
        <v>#REF!</v>
      </c>
      <c r="AL5" t="e">
        <f>#REF!</f>
        <v>#REF!</v>
      </c>
      <c r="AM5" s="15" t="e">
        <f t="shared" ref="AM5:AM17" si="4">AJ5/AH5</f>
        <v>#REF!</v>
      </c>
      <c r="AN5" s="15" t="e">
        <f>#REF!</f>
        <v>#REF!</v>
      </c>
      <c r="AO5" t="e" cm="1">
        <f t="array" ref="AO5">INDEX(addresses!B$1:B$22, AG5)</f>
        <v>#REF!</v>
      </c>
    </row>
    <row r="6" spans="1:41" x14ac:dyDescent="0.25">
      <c r="A6">
        <f>'[1]m-0-routes'!$B4</f>
        <v>20</v>
      </c>
      <c r="B6">
        <f>'[1]m-0-routes'!$C4</f>
        <v>1</v>
      </c>
      <c r="C6">
        <f>'[1]m-0-distances'!B4</f>
        <v>38</v>
      </c>
      <c r="D6">
        <f>'[1]m-0-sumDists'!B4</f>
        <v>124</v>
      </c>
      <c r="E6">
        <f>'[1]m-0-units'!B4</f>
        <v>0</v>
      </c>
      <c r="F6">
        <f>'[1]m-0-deliveries'!B4</f>
        <v>0</v>
      </c>
      <c r="G6">
        <f>'[1]m-0-sumUnits'!B4</f>
        <v>80</v>
      </c>
      <c r="H6" s="15">
        <f t="shared" si="0"/>
        <v>0</v>
      </c>
      <c r="I6" s="15">
        <f t="shared" si="1"/>
        <v>0.64516129032258063</v>
      </c>
      <c r="J6" s="15">
        <f>'[1]m-0-times'!B4</f>
        <v>5.2905555555555557</v>
      </c>
      <c r="K6" t="str">
        <f>IFERROR(_xlfn.XLOOKUP(B6, addresses!A$1:A$22, addresses!B$1:B$22), "")</f>
        <v>4509 State Hwy 83 North, Defuniak Springs, FL, 32433</v>
      </c>
      <c r="L6" t="e">
        <f>#REF!</f>
        <v>#REF!</v>
      </c>
      <c r="M6" t="e">
        <f>#REF!</f>
        <v>#REF!</v>
      </c>
      <c r="N6" t="e">
        <f>#REF!</f>
        <v>#REF!</v>
      </c>
      <c r="O6" t="e">
        <f>#REF!</f>
        <v>#REF!</v>
      </c>
      <c r="P6" t="e">
        <f>#REF!</f>
        <v>#REF!</v>
      </c>
      <c r="Q6" t="e">
        <f>#REF!</f>
        <v>#REF!</v>
      </c>
      <c r="R6" t="e">
        <f>#REF!</f>
        <v>#REF!</v>
      </c>
      <c r="S6" s="15" t="e">
        <f t="shared" si="2"/>
        <v>#REF!</v>
      </c>
      <c r="T6" s="15" t="e">
        <f>#REF!</f>
        <v>#REF!</v>
      </c>
      <c r="U6" t="e" cm="1">
        <f t="array" ref="U6">INDEX(addresses!B$1:B$22, M6)</f>
        <v>#REF!</v>
      </c>
      <c r="V6" t="e">
        <f>#REF!</f>
        <v>#REF!</v>
      </c>
      <c r="W6" t="e">
        <f>#REF!</f>
        <v>#REF!</v>
      </c>
      <c r="X6" t="e">
        <f>#REF!</f>
        <v>#REF!</v>
      </c>
      <c r="Y6" t="e">
        <f>#REF!</f>
        <v>#REF!</v>
      </c>
      <c r="Z6" t="e">
        <f>#REF!</f>
        <v>#REF!</v>
      </c>
      <c r="AA6" t="e">
        <f>#REF!</f>
        <v>#REF!</v>
      </c>
      <c r="AB6" t="e">
        <f>#REF!</f>
        <v>#REF!</v>
      </c>
      <c r="AC6" s="15" t="e">
        <f t="shared" si="3"/>
        <v>#REF!</v>
      </c>
      <c r="AD6" s="15" t="e">
        <f>#REF!</f>
        <v>#REF!</v>
      </c>
      <c r="AE6" t="e" cm="1">
        <f t="array" ref="AE6">INDEX(addresses!B$1:B$22, W6)</f>
        <v>#REF!</v>
      </c>
      <c r="AF6" t="e">
        <f>#REF!</f>
        <v>#REF!</v>
      </c>
      <c r="AG6" t="e">
        <f>#REF!</f>
        <v>#REF!</v>
      </c>
      <c r="AH6" t="e">
        <f>#REF!</f>
        <v>#REF!</v>
      </c>
      <c r="AI6" t="e">
        <f>#REF!</f>
        <v>#REF!</v>
      </c>
      <c r="AJ6" t="e">
        <f>#REF!</f>
        <v>#REF!</v>
      </c>
      <c r="AK6" t="e">
        <f>#REF!</f>
        <v>#REF!</v>
      </c>
      <c r="AL6" t="e">
        <f>#REF!</f>
        <v>#REF!</v>
      </c>
      <c r="AM6" s="15" t="e">
        <f t="shared" si="4"/>
        <v>#REF!</v>
      </c>
      <c r="AN6" s="15" t="e">
        <f>#REF!</f>
        <v>#REF!</v>
      </c>
      <c r="AO6" t="e" cm="1">
        <f t="array" ref="AO6">INDEX(addresses!B$1:B$22, AG6)</f>
        <v>#REF!</v>
      </c>
    </row>
    <row r="7" spans="1:41" x14ac:dyDescent="0.25">
      <c r="A7">
        <f>'[1]m-0-routes'!$B5</f>
        <v>0</v>
      </c>
      <c r="B7">
        <f>'[1]m-0-routes'!$C5</f>
        <v>0</v>
      </c>
      <c r="C7">
        <f>'[1]m-0-distances'!B5</f>
        <v>0</v>
      </c>
      <c r="D7">
        <f>'[1]m-0-sumDists'!B5</f>
        <v>0</v>
      </c>
      <c r="E7">
        <f>'[1]m-0-units'!B5</f>
        <v>0</v>
      </c>
      <c r="F7">
        <f>'[1]m-0-deliveries'!B5</f>
        <v>0</v>
      </c>
      <c r="G7">
        <f>'[1]m-0-sumUnits'!B5</f>
        <v>0</v>
      </c>
      <c r="H7" s="15" t="e">
        <f t="shared" si="0"/>
        <v>#DIV/0!</v>
      </c>
      <c r="I7" s="15" t="e">
        <f t="shared" si="1"/>
        <v>#DIV/0!</v>
      </c>
      <c r="J7" s="15">
        <f>'[1]m-0-times'!B5</f>
        <v>0</v>
      </c>
      <c r="K7" t="str">
        <f>IFERROR(_xlfn.XLOOKUP(B7, addresses!A$1:A$22, addresses!B$1:B$22), "")</f>
        <v/>
      </c>
      <c r="L7" t="e">
        <f>#REF!</f>
        <v>#REF!</v>
      </c>
      <c r="M7" t="e">
        <f>#REF!</f>
        <v>#REF!</v>
      </c>
      <c r="N7" t="e">
        <f>#REF!</f>
        <v>#REF!</v>
      </c>
      <c r="O7" t="e">
        <f>#REF!</f>
        <v>#REF!</v>
      </c>
      <c r="P7" t="e">
        <f>#REF!</f>
        <v>#REF!</v>
      </c>
      <c r="Q7" t="e">
        <f>#REF!</f>
        <v>#REF!</v>
      </c>
      <c r="R7" t="e">
        <f>#REF!</f>
        <v>#REF!</v>
      </c>
      <c r="S7" s="15" t="e">
        <f t="shared" si="2"/>
        <v>#REF!</v>
      </c>
      <c r="T7" s="15" t="e">
        <f>#REF!</f>
        <v>#REF!</v>
      </c>
      <c r="U7" t="e" cm="1">
        <f t="array" ref="U7">INDEX(addresses!B$1:B$22, M7)</f>
        <v>#REF!</v>
      </c>
      <c r="V7" t="e">
        <f>#REF!</f>
        <v>#REF!</v>
      </c>
      <c r="W7" t="e">
        <f>#REF!</f>
        <v>#REF!</v>
      </c>
      <c r="X7" t="e">
        <f>#REF!</f>
        <v>#REF!</v>
      </c>
      <c r="Y7" t="e">
        <f>#REF!</f>
        <v>#REF!</v>
      </c>
      <c r="Z7" t="e">
        <f>#REF!</f>
        <v>#REF!</v>
      </c>
      <c r="AA7" t="e">
        <f>#REF!</f>
        <v>#REF!</v>
      </c>
      <c r="AB7" t="e">
        <f>#REF!</f>
        <v>#REF!</v>
      </c>
      <c r="AC7" s="15" t="e">
        <f t="shared" si="3"/>
        <v>#REF!</v>
      </c>
      <c r="AD7" s="15" t="e">
        <f>#REF!</f>
        <v>#REF!</v>
      </c>
      <c r="AE7" t="e" cm="1">
        <f t="array" ref="AE7">INDEX(addresses!B$1:B$22, W7)</f>
        <v>#REF!</v>
      </c>
      <c r="AF7" t="e">
        <f>#REF!</f>
        <v>#REF!</v>
      </c>
      <c r="AG7" t="e">
        <f>#REF!</f>
        <v>#REF!</v>
      </c>
      <c r="AH7" t="e">
        <f>#REF!</f>
        <v>#REF!</v>
      </c>
      <c r="AI7" t="e">
        <f>#REF!</f>
        <v>#REF!</v>
      </c>
      <c r="AJ7" t="e">
        <f>#REF!</f>
        <v>#REF!</v>
      </c>
      <c r="AK7" t="e">
        <f>#REF!</f>
        <v>#REF!</v>
      </c>
      <c r="AL7" t="e">
        <f>#REF!</f>
        <v>#REF!</v>
      </c>
      <c r="AM7" s="15" t="e">
        <f t="shared" si="4"/>
        <v>#REF!</v>
      </c>
      <c r="AN7" s="15" t="e">
        <f>#REF!</f>
        <v>#REF!</v>
      </c>
      <c r="AO7" t="e" cm="1">
        <f t="array" ref="AO7">INDEX(addresses!B$1:B$22, AG7)</f>
        <v>#REF!</v>
      </c>
    </row>
    <row r="8" spans="1:41" x14ac:dyDescent="0.25">
      <c r="A8">
        <f>'[1]m-0-routes'!$B6</f>
        <v>0</v>
      </c>
      <c r="B8">
        <f>'[1]m-0-routes'!$C6</f>
        <v>0</v>
      </c>
      <c r="C8">
        <f>'[1]m-0-distances'!B6</f>
        <v>0</v>
      </c>
      <c r="D8">
        <f>'[1]m-0-sumDists'!B6</f>
        <v>0</v>
      </c>
      <c r="E8">
        <f>'[1]m-0-units'!B6</f>
        <v>0</v>
      </c>
      <c r="F8">
        <f>'[1]m-0-deliveries'!B6</f>
        <v>0</v>
      </c>
      <c r="G8">
        <f>'[1]m-0-sumUnits'!B6</f>
        <v>0</v>
      </c>
      <c r="H8" s="15" t="e">
        <f t="shared" ref="H8:H13" si="5">E8/C8</f>
        <v>#DIV/0!</v>
      </c>
      <c r="I8" s="15" t="e">
        <f t="shared" ref="I8:I13" si="6">G8/D8</f>
        <v>#DIV/0!</v>
      </c>
      <c r="J8" s="15">
        <f>'[1]m-0-times'!B6</f>
        <v>0</v>
      </c>
      <c r="K8" t="str">
        <f>IFERROR(_xlfn.XLOOKUP(B8, addresses!A$1:A$22, addresses!B$1:B$22), "")</f>
        <v/>
      </c>
      <c r="S8" s="15"/>
      <c r="T8" s="15"/>
      <c r="AC8" s="15"/>
      <c r="AD8" s="15"/>
      <c r="AM8" s="15"/>
      <c r="AN8" s="15"/>
    </row>
    <row r="9" spans="1:41" x14ac:dyDescent="0.25">
      <c r="A9">
        <f>'[1]m-0-routes'!$B7</f>
        <v>0</v>
      </c>
      <c r="B9">
        <f>'[1]m-0-routes'!$C7</f>
        <v>0</v>
      </c>
      <c r="C9">
        <f>'[1]m-0-distances'!B7</f>
        <v>0</v>
      </c>
      <c r="D9">
        <f>'[1]m-0-sumDists'!B7</f>
        <v>0</v>
      </c>
      <c r="E9">
        <f>'[1]m-0-units'!B7</f>
        <v>0</v>
      </c>
      <c r="F9">
        <f>'[1]m-0-deliveries'!B7</f>
        <v>0</v>
      </c>
      <c r="G9">
        <f>'[1]m-0-sumUnits'!B7</f>
        <v>0</v>
      </c>
      <c r="H9" s="15" t="e">
        <f t="shared" si="5"/>
        <v>#DIV/0!</v>
      </c>
      <c r="I9" s="15" t="e">
        <f t="shared" si="6"/>
        <v>#DIV/0!</v>
      </c>
      <c r="J9" s="15">
        <f>'[1]m-0-times'!B7</f>
        <v>0</v>
      </c>
      <c r="K9" t="str">
        <f>IFERROR(_xlfn.XLOOKUP(B9, addresses!A$1:A$22, addresses!B$1:B$22), "")</f>
        <v/>
      </c>
      <c r="S9" s="15"/>
      <c r="T9" s="15"/>
      <c r="AC9" s="15"/>
      <c r="AD9" s="15"/>
      <c r="AM9" s="15"/>
      <c r="AN9" s="15"/>
    </row>
    <row r="10" spans="1:41" x14ac:dyDescent="0.25">
      <c r="A10">
        <f>'[1]m-0-routes'!$B8</f>
        <v>0</v>
      </c>
      <c r="B10">
        <f>'[1]m-0-routes'!$C8</f>
        <v>0</v>
      </c>
      <c r="C10">
        <f>'[1]m-0-distances'!B8</f>
        <v>0</v>
      </c>
      <c r="D10">
        <f>'[1]m-0-sumDists'!B8</f>
        <v>0</v>
      </c>
      <c r="E10">
        <f>'[1]m-0-units'!B8</f>
        <v>0</v>
      </c>
      <c r="F10">
        <f>'[1]m-0-deliveries'!B8</f>
        <v>0</v>
      </c>
      <c r="G10">
        <f>'[1]m-0-sumUnits'!B8</f>
        <v>0</v>
      </c>
      <c r="H10" s="15" t="e">
        <f t="shared" si="5"/>
        <v>#DIV/0!</v>
      </c>
      <c r="I10" s="15" t="e">
        <f t="shared" si="6"/>
        <v>#DIV/0!</v>
      </c>
      <c r="J10" s="15">
        <f>'[1]m-0-times'!B8</f>
        <v>0</v>
      </c>
      <c r="K10" t="str">
        <f>IFERROR(_xlfn.XLOOKUP(B10, addresses!A$1:A$22, addresses!B$1:B$22), "")</f>
        <v/>
      </c>
      <c r="S10" s="15"/>
      <c r="T10" s="15"/>
      <c r="AC10" s="15"/>
      <c r="AD10" s="15"/>
      <c r="AM10" s="15"/>
      <c r="AN10" s="15"/>
    </row>
    <row r="11" spans="1:41" x14ac:dyDescent="0.25">
      <c r="A11">
        <f>'[1]m-0-routes'!$B9</f>
        <v>0</v>
      </c>
      <c r="B11">
        <f>'[1]m-0-routes'!$C9</f>
        <v>0</v>
      </c>
      <c r="C11">
        <f>'[1]m-0-distances'!B9</f>
        <v>0</v>
      </c>
      <c r="D11">
        <f>'[1]m-0-sumDists'!B9</f>
        <v>0</v>
      </c>
      <c r="E11">
        <f>'[1]m-0-units'!B9</f>
        <v>0</v>
      </c>
      <c r="F11">
        <f>'[1]m-0-deliveries'!B9</f>
        <v>0</v>
      </c>
      <c r="G11">
        <f>'[1]m-0-sumUnits'!B9</f>
        <v>0</v>
      </c>
      <c r="H11" s="15" t="e">
        <f t="shared" si="5"/>
        <v>#DIV/0!</v>
      </c>
      <c r="I11" s="15" t="e">
        <f t="shared" si="6"/>
        <v>#DIV/0!</v>
      </c>
      <c r="J11" s="15">
        <f>'[1]m-0-times'!B9</f>
        <v>0</v>
      </c>
      <c r="K11" t="str">
        <f>IFERROR(_xlfn.XLOOKUP(B11, addresses!A$1:A$22, addresses!B$1:B$22), "")</f>
        <v/>
      </c>
      <c r="S11" s="15"/>
      <c r="T11" s="15"/>
      <c r="AC11" s="15"/>
      <c r="AD11" s="15"/>
      <c r="AM11" s="15"/>
      <c r="AN11" s="15"/>
    </row>
    <row r="12" spans="1:41" x14ac:dyDescent="0.25">
      <c r="A12">
        <f>'[1]m-0-routes'!$B10</f>
        <v>0</v>
      </c>
      <c r="B12">
        <f>'[1]m-0-routes'!$C10</f>
        <v>0</v>
      </c>
      <c r="C12">
        <f>'[1]m-0-distances'!B10</f>
        <v>0</v>
      </c>
      <c r="D12">
        <f>'[1]m-0-sumDists'!B10</f>
        <v>0</v>
      </c>
      <c r="E12">
        <f>'[1]m-0-units'!B10</f>
        <v>0</v>
      </c>
      <c r="F12">
        <f>'[1]m-0-deliveries'!B10</f>
        <v>0</v>
      </c>
      <c r="G12">
        <f>'[1]m-0-sumUnits'!B10</f>
        <v>0</v>
      </c>
      <c r="H12" s="15" t="e">
        <f t="shared" si="5"/>
        <v>#DIV/0!</v>
      </c>
      <c r="I12" s="15" t="e">
        <f t="shared" si="6"/>
        <v>#DIV/0!</v>
      </c>
      <c r="J12" s="15">
        <f>'[1]m-0-times'!B10</f>
        <v>0</v>
      </c>
      <c r="K12" t="str">
        <f>IFERROR(_xlfn.XLOOKUP(B12, addresses!A$1:A$22, addresses!B$1:B$22), "")</f>
        <v/>
      </c>
      <c r="S12" s="15"/>
      <c r="T12" s="15"/>
      <c r="AC12" s="15"/>
      <c r="AD12" s="15"/>
      <c r="AM12" s="15"/>
      <c r="AN12" s="15"/>
    </row>
    <row r="13" spans="1:41" x14ac:dyDescent="0.25">
      <c r="A13">
        <f>'[1]m-0-routes'!$B11</f>
        <v>0</v>
      </c>
      <c r="B13">
        <f>'[1]m-0-routes'!$C11</f>
        <v>0</v>
      </c>
      <c r="C13">
        <f>'[1]m-0-distances'!B11</f>
        <v>0</v>
      </c>
      <c r="D13">
        <f>'[1]m-0-sumDists'!B11</f>
        <v>0</v>
      </c>
      <c r="E13">
        <f>'[1]m-0-units'!B11</f>
        <v>0</v>
      </c>
      <c r="F13">
        <f>'[1]m-0-deliveries'!B11</f>
        <v>0</v>
      </c>
      <c r="G13">
        <f>'[1]m-0-sumUnits'!B11</f>
        <v>0</v>
      </c>
      <c r="H13" s="15" t="e">
        <f t="shared" si="5"/>
        <v>#DIV/0!</v>
      </c>
      <c r="I13" s="15" t="e">
        <f t="shared" si="6"/>
        <v>#DIV/0!</v>
      </c>
      <c r="J13" s="15">
        <f>'[1]m-0-times'!B11</f>
        <v>0</v>
      </c>
      <c r="K13" t="str">
        <f>IFERROR(_xlfn.XLOOKUP(B13, addresses!A$1:A$22, addresses!B$1:B$22), "")</f>
        <v/>
      </c>
      <c r="S13" s="15"/>
      <c r="T13" s="15"/>
      <c r="AC13" s="15"/>
      <c r="AD13" s="15"/>
      <c r="AM13" s="15"/>
      <c r="AN13" s="15"/>
    </row>
    <row r="14" spans="1:41" x14ac:dyDescent="0.25">
      <c r="A14" s="30" t="s">
        <v>16231</v>
      </c>
      <c r="B14" s="28"/>
      <c r="C14" s="28"/>
      <c r="D14" s="28"/>
      <c r="E14" s="28"/>
      <c r="F14" s="28"/>
      <c r="G14" s="28"/>
      <c r="H14" s="28"/>
      <c r="I14" s="28"/>
      <c r="J14" s="28"/>
      <c r="K14" s="28"/>
      <c r="S14" s="15"/>
      <c r="T14" s="15"/>
      <c r="AC14" s="15"/>
      <c r="AD14" s="15"/>
      <c r="AM14" s="15"/>
      <c r="AN14" s="15"/>
    </row>
    <row r="15" spans="1:41" x14ac:dyDescent="0.25">
      <c r="A15">
        <f>'[1]m-1-routes'!B2</f>
        <v>1</v>
      </c>
      <c r="B15">
        <f>'[1]m-1-routes'!C2</f>
        <v>7</v>
      </c>
      <c r="C15">
        <f>'[1]m-1-distances'!B2</f>
        <v>46</v>
      </c>
      <c r="D15">
        <f>'[1]m-1-sumDists'!B2</f>
        <v>46</v>
      </c>
      <c r="E15">
        <f>'[1]m-1-units'!B2</f>
        <v>40</v>
      </c>
      <c r="F15">
        <f>'[1]m-1-deliveries'!B2</f>
        <v>0</v>
      </c>
      <c r="G15">
        <f>'[1]m-1-sumUnits'!B2</f>
        <v>40</v>
      </c>
      <c r="H15" s="15">
        <f t="shared" si="0"/>
        <v>0.86956521739130432</v>
      </c>
      <c r="I15" s="15">
        <f t="shared" si="1"/>
        <v>0.86956521739130432</v>
      </c>
      <c r="J15" s="15">
        <f>'[1]m-1-times'!B2</f>
        <v>1.638055555555556</v>
      </c>
      <c r="K15" t="str">
        <f>IFERROR(_xlfn.XLOOKUP(B15,addresses!A$1:A$22,addresses!B$1:B$22),"")</f>
        <v>5282 Peanut Rd., Graceville, FL, 32440</v>
      </c>
      <c r="L15" t="e">
        <f>#REF!</f>
        <v>#REF!</v>
      </c>
      <c r="M15" t="e">
        <f>#REF!</f>
        <v>#REF!</v>
      </c>
      <c r="N15" t="e">
        <f>#REF!</f>
        <v>#REF!</v>
      </c>
      <c r="O15" t="e">
        <f>#REF!</f>
        <v>#REF!</v>
      </c>
      <c r="P15" t="e">
        <f>#REF!</f>
        <v>#REF!</v>
      </c>
      <c r="Q15" t="e">
        <f>#REF!</f>
        <v>#REF!</v>
      </c>
      <c r="R15" t="e">
        <f>#REF!</f>
        <v>#REF!</v>
      </c>
      <c r="S15" s="15" t="e">
        <f t="shared" si="2"/>
        <v>#REF!</v>
      </c>
      <c r="T15" s="15" t="e">
        <f>#REF!</f>
        <v>#REF!</v>
      </c>
      <c r="U15" t="e" cm="1">
        <f t="array" ref="U15">INDEX(addresses!B$1:B$22, M15)</f>
        <v>#REF!</v>
      </c>
      <c r="V15" t="e">
        <f>#REF!</f>
        <v>#REF!</v>
      </c>
      <c r="W15" t="e">
        <f>#REF!</f>
        <v>#REF!</v>
      </c>
      <c r="X15" t="e">
        <f>#REF!</f>
        <v>#REF!</v>
      </c>
      <c r="Y15" t="e">
        <f>#REF!</f>
        <v>#REF!</v>
      </c>
      <c r="Z15" t="e">
        <f>#REF!</f>
        <v>#REF!</v>
      </c>
      <c r="AA15" t="e">
        <f>#REF!</f>
        <v>#REF!</v>
      </c>
      <c r="AB15" t="e">
        <f>#REF!</f>
        <v>#REF!</v>
      </c>
      <c r="AC15" s="15" t="e">
        <f t="shared" si="3"/>
        <v>#REF!</v>
      </c>
      <c r="AD15" s="15" t="e">
        <f>#REF!</f>
        <v>#REF!</v>
      </c>
      <c r="AE15" t="e" cm="1">
        <f t="array" ref="AE15">INDEX(addresses!B$1:B$22, W15)</f>
        <v>#REF!</v>
      </c>
      <c r="AF15" t="e">
        <f>#REF!</f>
        <v>#REF!</v>
      </c>
      <c r="AG15" t="e">
        <f>#REF!</f>
        <v>#REF!</v>
      </c>
      <c r="AH15" t="e">
        <f>#REF!</f>
        <v>#REF!</v>
      </c>
      <c r="AI15" t="e">
        <f>#REF!</f>
        <v>#REF!</v>
      </c>
      <c r="AJ15" t="e">
        <f>#REF!</f>
        <v>#REF!</v>
      </c>
      <c r="AK15" t="e">
        <f>#REF!</f>
        <v>#REF!</v>
      </c>
      <c r="AL15" t="e">
        <f>#REF!</f>
        <v>#REF!</v>
      </c>
      <c r="AM15" s="15" t="e">
        <f t="shared" si="4"/>
        <v>#REF!</v>
      </c>
      <c r="AN15" s="15" t="e">
        <f>#REF!</f>
        <v>#REF!</v>
      </c>
      <c r="AO15" t="e" cm="1">
        <f t="array" ref="AO15">INDEX(addresses!B$1:B$22, AG15)</f>
        <v>#REF!</v>
      </c>
    </row>
    <row r="16" spans="1:41" x14ac:dyDescent="0.25">
      <c r="A16">
        <f>'[1]m-1-routes'!B3</f>
        <v>7</v>
      </c>
      <c r="B16">
        <f>'[1]m-1-routes'!C3</f>
        <v>10</v>
      </c>
      <c r="C16">
        <f>'[1]m-1-distances'!B3</f>
        <v>80</v>
      </c>
      <c r="D16">
        <f>'[1]m-1-sumDists'!B3</f>
        <v>126</v>
      </c>
      <c r="E16">
        <f>'[1]m-1-units'!B3</f>
        <v>40</v>
      </c>
      <c r="F16">
        <f>'[1]m-1-deliveries'!B3</f>
        <v>0</v>
      </c>
      <c r="G16">
        <f>'[1]m-1-sumUnits'!B3</f>
        <v>80</v>
      </c>
      <c r="H16" s="15">
        <f t="shared" si="0"/>
        <v>0.5</v>
      </c>
      <c r="I16" s="15">
        <f t="shared" si="1"/>
        <v>0.63492063492063489</v>
      </c>
      <c r="J16" s="15">
        <f>'[1]m-1-times'!B3</f>
        <v>4.0144444444444449</v>
      </c>
      <c r="K16" t="str">
        <f>IFERROR(_xlfn.XLOOKUP(B16,addresses!A$1:A$22,addresses!B$1:B$22),"")</f>
        <v>65 6th Street, Luverne, AL, 36049</v>
      </c>
      <c r="L16" t="e">
        <f>#REF!</f>
        <v>#REF!</v>
      </c>
      <c r="M16" t="e">
        <f>#REF!</f>
        <v>#REF!</v>
      </c>
      <c r="N16" t="e">
        <f>#REF!</f>
        <v>#REF!</v>
      </c>
      <c r="O16" t="e">
        <f>#REF!</f>
        <v>#REF!</v>
      </c>
      <c r="P16" t="e">
        <f>#REF!</f>
        <v>#REF!</v>
      </c>
      <c r="Q16" t="e">
        <f>#REF!</f>
        <v>#REF!</v>
      </c>
      <c r="R16" t="e">
        <f>#REF!</f>
        <v>#REF!</v>
      </c>
      <c r="S16" s="15" t="e">
        <f t="shared" si="2"/>
        <v>#REF!</v>
      </c>
      <c r="T16" s="15" t="e">
        <f>#REF!</f>
        <v>#REF!</v>
      </c>
      <c r="U16" t="e" cm="1">
        <f t="array" ref="U16">INDEX(addresses!B$1:B$22, M16)</f>
        <v>#REF!</v>
      </c>
      <c r="V16" t="e">
        <f>#REF!</f>
        <v>#REF!</v>
      </c>
      <c r="W16" t="e">
        <f>#REF!</f>
        <v>#REF!</v>
      </c>
      <c r="X16" t="e">
        <f>#REF!</f>
        <v>#REF!</v>
      </c>
      <c r="Y16" t="e">
        <f>#REF!</f>
        <v>#REF!</v>
      </c>
      <c r="Z16" t="e">
        <f>#REF!</f>
        <v>#REF!</v>
      </c>
      <c r="AA16" t="e">
        <f>#REF!</f>
        <v>#REF!</v>
      </c>
      <c r="AB16" t="e">
        <f>#REF!</f>
        <v>#REF!</v>
      </c>
      <c r="AC16" s="15" t="e">
        <f t="shared" si="3"/>
        <v>#REF!</v>
      </c>
      <c r="AD16" s="15" t="e">
        <f>#REF!</f>
        <v>#REF!</v>
      </c>
      <c r="AE16" t="e" cm="1">
        <f t="array" ref="AE16">INDEX(addresses!B$1:B$22, W16)</f>
        <v>#REF!</v>
      </c>
      <c r="AF16" t="e">
        <f>#REF!</f>
        <v>#REF!</v>
      </c>
      <c r="AG16" t="e">
        <f>#REF!</f>
        <v>#REF!</v>
      </c>
      <c r="AH16" t="e">
        <f>#REF!</f>
        <v>#REF!</v>
      </c>
      <c r="AI16" t="e">
        <f>#REF!</f>
        <v>#REF!</v>
      </c>
      <c r="AJ16" t="e">
        <f>#REF!</f>
        <v>#REF!</v>
      </c>
      <c r="AK16" t="e">
        <f>#REF!</f>
        <v>#REF!</v>
      </c>
      <c r="AL16" t="e">
        <f>#REF!</f>
        <v>#REF!</v>
      </c>
      <c r="AM16" s="15" t="e">
        <f t="shared" si="4"/>
        <v>#REF!</v>
      </c>
      <c r="AN16" s="15" t="e">
        <f>#REF!</f>
        <v>#REF!</v>
      </c>
      <c r="AO16" t="e" cm="1">
        <f t="array" ref="AO16">INDEX(addresses!B$1:B$22, AG16)</f>
        <v>#REF!</v>
      </c>
    </row>
    <row r="17" spans="1:41" x14ac:dyDescent="0.25">
      <c r="A17">
        <f>'[1]m-1-routes'!B4</f>
        <v>10</v>
      </c>
      <c r="B17">
        <f>'[1]m-1-routes'!C4</f>
        <v>1</v>
      </c>
      <c r="C17">
        <f>'[1]m-1-distances'!B4</f>
        <v>70</v>
      </c>
      <c r="D17">
        <f>'[1]m-1-sumDists'!B4</f>
        <v>196</v>
      </c>
      <c r="E17">
        <f>'[1]m-1-units'!B4</f>
        <v>0</v>
      </c>
      <c r="F17">
        <f>'[1]m-1-deliveries'!B4</f>
        <v>0</v>
      </c>
      <c r="G17">
        <f>'[1]m-1-sumUnits'!B4</f>
        <v>80</v>
      </c>
      <c r="H17" s="15">
        <f t="shared" si="0"/>
        <v>0</v>
      </c>
      <c r="I17" s="15">
        <f t="shared" si="1"/>
        <v>0.40816326530612246</v>
      </c>
      <c r="J17" s="15">
        <f>'[1]m-1-times'!B4</f>
        <v>6.7250000000000014</v>
      </c>
      <c r="K17" t="str">
        <f>IFERROR(_xlfn.XLOOKUP(B17,addresses!A$1:A$22,addresses!B$1:B$22),"")</f>
        <v>4509 State Hwy 83 North, Defuniak Springs, FL, 32433</v>
      </c>
      <c r="L17" t="e">
        <f>#REF!</f>
        <v>#REF!</v>
      </c>
      <c r="M17" t="e">
        <f>#REF!</f>
        <v>#REF!</v>
      </c>
      <c r="N17" t="e">
        <f>#REF!</f>
        <v>#REF!</v>
      </c>
      <c r="O17" t="e">
        <f>#REF!</f>
        <v>#REF!</v>
      </c>
      <c r="P17" t="e">
        <f>#REF!</f>
        <v>#REF!</v>
      </c>
      <c r="Q17" t="e">
        <f>#REF!</f>
        <v>#REF!</v>
      </c>
      <c r="R17" t="e">
        <f>#REF!</f>
        <v>#REF!</v>
      </c>
      <c r="S17" s="15" t="e">
        <f t="shared" si="2"/>
        <v>#REF!</v>
      </c>
      <c r="T17" s="15" t="e">
        <f>#REF!</f>
        <v>#REF!</v>
      </c>
      <c r="U17" t="e" cm="1">
        <f t="array" ref="U17">INDEX(addresses!B$1:B$22, M17)</f>
        <v>#REF!</v>
      </c>
      <c r="V17" t="e">
        <f>#REF!</f>
        <v>#REF!</v>
      </c>
      <c r="W17" t="e">
        <f>#REF!</f>
        <v>#REF!</v>
      </c>
      <c r="X17" t="e">
        <f>#REF!</f>
        <v>#REF!</v>
      </c>
      <c r="Y17" t="e">
        <f>#REF!</f>
        <v>#REF!</v>
      </c>
      <c r="Z17" t="e">
        <f>#REF!</f>
        <v>#REF!</v>
      </c>
      <c r="AA17" t="e">
        <f>#REF!</f>
        <v>#REF!</v>
      </c>
      <c r="AB17" t="e">
        <f>#REF!</f>
        <v>#REF!</v>
      </c>
      <c r="AC17" s="15" t="e">
        <f t="shared" si="3"/>
        <v>#REF!</v>
      </c>
      <c r="AD17" s="15" t="e">
        <f>#REF!</f>
        <v>#REF!</v>
      </c>
      <c r="AE17" t="e" cm="1">
        <f t="array" ref="AE17">INDEX(addresses!B$1:B$22, W17)</f>
        <v>#REF!</v>
      </c>
      <c r="AF17" t="e">
        <f>#REF!</f>
        <v>#REF!</v>
      </c>
      <c r="AG17" t="e">
        <f>#REF!</f>
        <v>#REF!</v>
      </c>
      <c r="AH17" t="e">
        <f>#REF!</f>
        <v>#REF!</v>
      </c>
      <c r="AI17" t="e">
        <f>#REF!</f>
        <v>#REF!</v>
      </c>
      <c r="AJ17" t="e">
        <f>#REF!</f>
        <v>#REF!</v>
      </c>
      <c r="AK17" t="e">
        <f>#REF!</f>
        <v>#REF!</v>
      </c>
      <c r="AL17" t="e">
        <f>#REF!</f>
        <v>#REF!</v>
      </c>
      <c r="AM17" s="15" t="e">
        <f t="shared" si="4"/>
        <v>#REF!</v>
      </c>
      <c r="AN17" s="15" t="e">
        <f>#REF!</f>
        <v>#REF!</v>
      </c>
      <c r="AO17" t="e" cm="1">
        <f t="array" ref="AO17">INDEX(addresses!B$1:B$22, AG17)</f>
        <v>#REF!</v>
      </c>
    </row>
    <row r="18" spans="1:41" x14ac:dyDescent="0.25">
      <c r="A18">
        <f>'[1]m-1-routes'!B5</f>
        <v>0</v>
      </c>
      <c r="B18">
        <f>'[1]m-1-routes'!C5</f>
        <v>0</v>
      </c>
      <c r="C18">
        <f>'[1]m-1-distances'!B5</f>
        <v>0</v>
      </c>
      <c r="D18">
        <f>'[1]m-1-sumDists'!B5</f>
        <v>0</v>
      </c>
      <c r="E18">
        <f>'[1]m-1-units'!B5</f>
        <v>0</v>
      </c>
      <c r="F18">
        <f>'[1]m-1-deliveries'!B5</f>
        <v>0</v>
      </c>
      <c r="G18">
        <f>'[1]m-1-sumUnits'!B5</f>
        <v>0</v>
      </c>
      <c r="H18" s="15" t="e">
        <f>E18/C18</f>
        <v>#DIV/0!</v>
      </c>
      <c r="I18" s="15" t="e">
        <f t="shared" si="1"/>
        <v>#DIV/0!</v>
      </c>
      <c r="J18" s="15">
        <f>'[1]m-1-times'!B5</f>
        <v>0</v>
      </c>
      <c r="K18" t="str">
        <f>IFERROR(_xlfn.XLOOKUP(B18,addresses!A$1:A$22,addresses!B$1:B$22),"")</f>
        <v/>
      </c>
      <c r="L18" t="e">
        <f>#REF!</f>
        <v>#REF!</v>
      </c>
      <c r="M18" t="e">
        <f>#REF!</f>
        <v>#REF!</v>
      </c>
      <c r="N18" t="e">
        <f>#REF!</f>
        <v>#REF!</v>
      </c>
      <c r="O18" t="e">
        <f>#REF!</f>
        <v>#REF!</v>
      </c>
      <c r="P18" t="e">
        <f>#REF!</f>
        <v>#REF!</v>
      </c>
      <c r="Q18" t="e">
        <f>#REF!</f>
        <v>#REF!</v>
      </c>
      <c r="R18" t="e">
        <f>#REF!</f>
        <v>#REF!</v>
      </c>
      <c r="S18" s="15" t="e">
        <f>P18/N18</f>
        <v>#REF!</v>
      </c>
      <c r="T18" s="15" t="e">
        <f>#REF!</f>
        <v>#REF!</v>
      </c>
      <c r="U18" t="e" cm="1">
        <f t="array" ref="U18">INDEX(addresses!B$1:B$22, M18)</f>
        <v>#REF!</v>
      </c>
      <c r="V18" t="e">
        <f>#REF!</f>
        <v>#REF!</v>
      </c>
      <c r="W18" t="e">
        <f>#REF!</f>
        <v>#REF!</v>
      </c>
      <c r="X18" t="e">
        <f>#REF!</f>
        <v>#REF!</v>
      </c>
      <c r="Y18" t="e">
        <f>#REF!</f>
        <v>#REF!</v>
      </c>
      <c r="Z18" t="e">
        <f>#REF!</f>
        <v>#REF!</v>
      </c>
      <c r="AA18" t="e">
        <f>#REF!</f>
        <v>#REF!</v>
      </c>
      <c r="AB18" t="e">
        <f>#REF!</f>
        <v>#REF!</v>
      </c>
      <c r="AC18" s="15" t="e">
        <f>Z18/X18</f>
        <v>#REF!</v>
      </c>
      <c r="AD18" s="15" t="e">
        <f>#REF!</f>
        <v>#REF!</v>
      </c>
      <c r="AE18" t="e" cm="1">
        <f t="array" ref="AE18">INDEX(addresses!B$1:B$22, W18)</f>
        <v>#REF!</v>
      </c>
      <c r="AF18" t="e">
        <f>#REF!</f>
        <v>#REF!</v>
      </c>
      <c r="AG18" t="e">
        <f>#REF!</f>
        <v>#REF!</v>
      </c>
      <c r="AH18" t="e">
        <f>#REF!</f>
        <v>#REF!</v>
      </c>
      <c r="AI18" t="e">
        <f>#REF!</f>
        <v>#REF!</v>
      </c>
      <c r="AJ18" t="e">
        <f>#REF!</f>
        <v>#REF!</v>
      </c>
      <c r="AK18" t="e">
        <f>#REF!</f>
        <v>#REF!</v>
      </c>
      <c r="AL18" t="e">
        <f>#REF!</f>
        <v>#REF!</v>
      </c>
      <c r="AM18" s="15" t="e">
        <f>AJ18/AH18</f>
        <v>#REF!</v>
      </c>
      <c r="AN18" s="15" t="e">
        <f>#REF!</f>
        <v>#REF!</v>
      </c>
      <c r="AO18" t="e" cm="1">
        <f t="array" ref="AO18">INDEX(addresses!B$1:B$22, AG18)</f>
        <v>#REF!</v>
      </c>
    </row>
    <row r="19" spans="1:41" x14ac:dyDescent="0.25">
      <c r="A19">
        <f>'[1]m-1-routes'!B6</f>
        <v>0</v>
      </c>
      <c r="B19">
        <f>'[1]m-1-routes'!C6</f>
        <v>0</v>
      </c>
      <c r="C19">
        <f>'[1]m-1-distances'!B6</f>
        <v>0</v>
      </c>
      <c r="D19">
        <f>'[1]m-1-sumDists'!B6</f>
        <v>0</v>
      </c>
      <c r="E19">
        <f>'[1]m-1-units'!B6</f>
        <v>0</v>
      </c>
      <c r="F19">
        <f>'[1]m-1-deliveries'!B6</f>
        <v>0</v>
      </c>
      <c r="G19">
        <f>'[1]m-1-sumUnits'!B6</f>
        <v>0</v>
      </c>
      <c r="H19" s="15" t="e">
        <f t="shared" ref="H19:H24" si="7">E19/C19</f>
        <v>#DIV/0!</v>
      </c>
      <c r="I19" s="15" t="e">
        <f t="shared" ref="I19:I24" si="8">G19/D19</f>
        <v>#DIV/0!</v>
      </c>
      <c r="J19" s="15">
        <f>'[1]m-1-times'!B6</f>
        <v>0</v>
      </c>
      <c r="K19" t="str">
        <f>IFERROR(_xlfn.XLOOKUP(B19,addresses!A$1:A$22,addresses!B$1:B$22),"")</f>
        <v/>
      </c>
      <c r="S19" s="15"/>
      <c r="T19" s="15"/>
      <c r="AC19" s="15"/>
      <c r="AD19" s="15"/>
      <c r="AM19" s="15"/>
      <c r="AN19" s="15"/>
    </row>
    <row r="20" spans="1:41" x14ac:dyDescent="0.25">
      <c r="A20">
        <f>'[1]m-1-routes'!B7</f>
        <v>0</v>
      </c>
      <c r="B20">
        <f>'[1]m-1-routes'!C7</f>
        <v>0</v>
      </c>
      <c r="C20">
        <f>'[1]m-1-distances'!B7</f>
        <v>0</v>
      </c>
      <c r="D20">
        <f>'[1]m-1-sumDists'!B7</f>
        <v>0</v>
      </c>
      <c r="E20">
        <f>'[1]m-1-units'!B7</f>
        <v>0</v>
      </c>
      <c r="F20">
        <f>'[1]m-1-deliveries'!B7</f>
        <v>0</v>
      </c>
      <c r="G20">
        <f>'[1]m-1-sumUnits'!B7</f>
        <v>0</v>
      </c>
      <c r="H20" s="15" t="e">
        <f t="shared" si="7"/>
        <v>#DIV/0!</v>
      </c>
      <c r="I20" s="15" t="e">
        <f t="shared" si="8"/>
        <v>#DIV/0!</v>
      </c>
      <c r="J20" s="15">
        <f>'[1]m-1-times'!B7</f>
        <v>0</v>
      </c>
      <c r="K20" t="str">
        <f>IFERROR(_xlfn.XLOOKUP(B20,addresses!A$1:A$22,addresses!B$1:B$22),"")</f>
        <v/>
      </c>
      <c r="S20" s="15"/>
      <c r="T20" s="15"/>
      <c r="AC20" s="15"/>
      <c r="AD20" s="15"/>
      <c r="AM20" s="15"/>
      <c r="AN20" s="15"/>
    </row>
    <row r="21" spans="1:41" x14ac:dyDescent="0.25">
      <c r="A21">
        <f>'[1]m-1-routes'!B8</f>
        <v>0</v>
      </c>
      <c r="B21">
        <f>'[1]m-1-routes'!C8</f>
        <v>0</v>
      </c>
      <c r="C21">
        <f>'[1]m-1-distances'!B8</f>
        <v>0</v>
      </c>
      <c r="D21">
        <f>'[1]m-1-sumDists'!B8</f>
        <v>0</v>
      </c>
      <c r="E21">
        <f>'[1]m-1-units'!B8</f>
        <v>0</v>
      </c>
      <c r="F21">
        <f>'[1]m-1-deliveries'!B8</f>
        <v>0</v>
      </c>
      <c r="G21">
        <f>'[1]m-1-sumUnits'!B8</f>
        <v>0</v>
      </c>
      <c r="H21" s="15" t="e">
        <f t="shared" si="7"/>
        <v>#DIV/0!</v>
      </c>
      <c r="I21" s="15" t="e">
        <f t="shared" si="8"/>
        <v>#DIV/0!</v>
      </c>
      <c r="J21" s="15">
        <f>'[1]m-1-times'!B8</f>
        <v>0</v>
      </c>
      <c r="K21" t="str">
        <f>IFERROR(_xlfn.XLOOKUP(B21,addresses!A$1:A$22,addresses!B$1:B$22),"")</f>
        <v/>
      </c>
      <c r="S21" s="15"/>
      <c r="T21" s="15"/>
      <c r="AC21" s="15"/>
      <c r="AD21" s="15"/>
      <c r="AM21" s="15"/>
      <c r="AN21" s="15"/>
    </row>
    <row r="22" spans="1:41" x14ac:dyDescent="0.25">
      <c r="A22">
        <f>'[1]m-1-routes'!B9</f>
        <v>0</v>
      </c>
      <c r="B22">
        <f>'[1]m-1-routes'!C9</f>
        <v>0</v>
      </c>
      <c r="C22">
        <f>'[1]m-1-distances'!B9</f>
        <v>0</v>
      </c>
      <c r="D22">
        <f>'[1]m-1-sumDists'!B9</f>
        <v>0</v>
      </c>
      <c r="E22">
        <f>'[1]m-1-units'!B9</f>
        <v>0</v>
      </c>
      <c r="F22">
        <f>'[1]m-1-deliveries'!B9</f>
        <v>0</v>
      </c>
      <c r="G22">
        <f>'[1]m-1-sumUnits'!B9</f>
        <v>0</v>
      </c>
      <c r="H22" s="15" t="e">
        <f t="shared" si="7"/>
        <v>#DIV/0!</v>
      </c>
      <c r="I22" s="15" t="e">
        <f t="shared" si="8"/>
        <v>#DIV/0!</v>
      </c>
      <c r="J22" s="15">
        <f>'[1]m-1-times'!B9</f>
        <v>0</v>
      </c>
      <c r="K22" t="str">
        <f>IFERROR(_xlfn.XLOOKUP(B22,addresses!A$1:A$22,addresses!B$1:B$22),"")</f>
        <v/>
      </c>
      <c r="S22" s="15"/>
      <c r="T22" s="15"/>
      <c r="AC22" s="15"/>
      <c r="AD22" s="15"/>
      <c r="AM22" s="15"/>
      <c r="AN22" s="15"/>
    </row>
    <row r="23" spans="1:41" x14ac:dyDescent="0.25">
      <c r="A23">
        <f>'[1]m-1-routes'!B10</f>
        <v>0</v>
      </c>
      <c r="B23">
        <f>'[1]m-1-routes'!C10</f>
        <v>0</v>
      </c>
      <c r="C23">
        <f>'[1]m-1-distances'!B10</f>
        <v>0</v>
      </c>
      <c r="D23">
        <f>'[1]m-1-sumDists'!B10</f>
        <v>0</v>
      </c>
      <c r="E23">
        <f>'[1]m-1-units'!B10</f>
        <v>0</v>
      </c>
      <c r="F23">
        <f>'[1]m-1-deliveries'!B10</f>
        <v>0</v>
      </c>
      <c r="G23">
        <f>'[1]m-1-sumUnits'!B10</f>
        <v>0</v>
      </c>
      <c r="H23" s="15" t="e">
        <f t="shared" si="7"/>
        <v>#DIV/0!</v>
      </c>
      <c r="I23" s="15" t="e">
        <f t="shared" si="8"/>
        <v>#DIV/0!</v>
      </c>
      <c r="J23" s="15">
        <f>'[1]m-1-times'!B10</f>
        <v>0</v>
      </c>
      <c r="K23" t="str">
        <f>IFERROR(_xlfn.XLOOKUP(B23,addresses!A$1:A$22,addresses!B$1:B$22),"")</f>
        <v/>
      </c>
      <c r="S23" s="15"/>
      <c r="T23" s="15"/>
      <c r="AC23" s="15"/>
      <c r="AD23" s="15"/>
      <c r="AM23" s="15"/>
      <c r="AN23" s="15"/>
    </row>
    <row r="24" spans="1:41" x14ac:dyDescent="0.25">
      <c r="A24">
        <f>'[1]m-1-routes'!B11</f>
        <v>0</v>
      </c>
      <c r="B24">
        <f>'[1]m-1-routes'!C11</f>
        <v>0</v>
      </c>
      <c r="C24">
        <f>'[1]m-1-distances'!B11</f>
        <v>0</v>
      </c>
      <c r="D24">
        <f>'[1]m-1-sumDists'!B11</f>
        <v>0</v>
      </c>
      <c r="E24">
        <f>'[1]m-1-units'!B11</f>
        <v>0</v>
      </c>
      <c r="F24">
        <f>'[1]m-1-deliveries'!B11</f>
        <v>0</v>
      </c>
      <c r="G24">
        <f>'[1]m-1-sumUnits'!B11</f>
        <v>0</v>
      </c>
      <c r="H24" s="15" t="e">
        <f t="shared" si="7"/>
        <v>#DIV/0!</v>
      </c>
      <c r="I24" s="15" t="e">
        <f t="shared" si="8"/>
        <v>#DIV/0!</v>
      </c>
      <c r="J24" s="15">
        <f>'[1]m-1-times'!B11</f>
        <v>0</v>
      </c>
      <c r="K24" t="str">
        <f>IFERROR(_xlfn.XLOOKUP(B24,addresses!A$1:A$22,addresses!B$1:B$22),"")</f>
        <v/>
      </c>
      <c r="S24" s="15"/>
      <c r="T24" s="15"/>
      <c r="AC24" s="15"/>
      <c r="AD24" s="15"/>
      <c r="AM24" s="15"/>
      <c r="AN24" s="15"/>
    </row>
    <row r="25" spans="1:41" x14ac:dyDescent="0.25">
      <c r="A25" s="30" t="s">
        <v>16232</v>
      </c>
      <c r="B25" s="30"/>
      <c r="C25" s="30"/>
      <c r="D25" s="30"/>
      <c r="E25" s="30"/>
      <c r="F25" s="30"/>
      <c r="G25" s="30"/>
      <c r="H25" s="30"/>
      <c r="I25" s="30"/>
      <c r="J25" s="30"/>
      <c r="K25" s="30"/>
      <c r="S25" s="15"/>
      <c r="T25" s="15"/>
      <c r="AC25" s="15"/>
      <c r="AD25" s="15"/>
      <c r="AM25" s="15"/>
      <c r="AN25" s="15"/>
    </row>
    <row r="26" spans="1:41" x14ac:dyDescent="0.25">
      <c r="A26">
        <f>'[1]m-3-routes'!B2</f>
        <v>1</v>
      </c>
      <c r="B26">
        <f>'[1]m-3-routes'!C2</f>
        <v>16</v>
      </c>
      <c r="C26">
        <f>'[1]m-3-distances'!B2</f>
        <v>121</v>
      </c>
      <c r="D26">
        <f>'[1]m-3-sumDists'!B2</f>
        <v>121</v>
      </c>
      <c r="E26">
        <f>'[1]m-3-units'!B2</f>
        <v>40</v>
      </c>
      <c r="F26">
        <f>'[1]m-3-deliveries'!B2</f>
        <v>0</v>
      </c>
      <c r="G26">
        <f>'[1]m-3-sumUnits'!B2</f>
        <v>40</v>
      </c>
      <c r="H26" s="15">
        <f t="shared" ref="H26:H28" si="9">E26/C26</f>
        <v>0.33057851239669422</v>
      </c>
      <c r="I26" s="15">
        <f t="shared" si="1"/>
        <v>0.33057851239669422</v>
      </c>
      <c r="J26" s="15">
        <f>'[1]m-3-times'!B2</f>
        <v>2.9741666666666671</v>
      </c>
      <c r="K26" t="str">
        <f>IFERROR(_xlfn.XLOOKUP(B26, addresses!A$1:A$22, addresses!B$1:B$22), "")</f>
        <v>1251 South Decatur St, Montgomery, AL, 36101</v>
      </c>
      <c r="L26" t="e">
        <f>#REF!</f>
        <v>#REF!</v>
      </c>
      <c r="M26" t="e">
        <f>#REF!</f>
        <v>#REF!</v>
      </c>
      <c r="N26" t="e">
        <f>#REF!</f>
        <v>#REF!</v>
      </c>
      <c r="O26" t="e">
        <f>#REF!</f>
        <v>#REF!</v>
      </c>
      <c r="P26" t="e">
        <f>#REF!</f>
        <v>#REF!</v>
      </c>
      <c r="Q26" t="e">
        <f>#REF!</f>
        <v>#REF!</v>
      </c>
      <c r="R26" t="e">
        <f>#REF!</f>
        <v>#REF!</v>
      </c>
      <c r="S26" s="15" t="e">
        <f t="shared" ref="S26:S29" si="10">P26/N26</f>
        <v>#REF!</v>
      </c>
      <c r="T26" s="15" t="e">
        <f>#REF!</f>
        <v>#REF!</v>
      </c>
      <c r="U26" t="e" cm="1">
        <f t="array" ref="U26">INDEX(addresses!B$1:B$22, M26)</f>
        <v>#REF!</v>
      </c>
      <c r="V26" t="e">
        <f>#REF!</f>
        <v>#REF!</v>
      </c>
      <c r="W26" t="e">
        <f>#REF!</f>
        <v>#REF!</v>
      </c>
      <c r="X26" t="e">
        <f>#REF!</f>
        <v>#REF!</v>
      </c>
      <c r="Y26" t="e">
        <f>#REF!</f>
        <v>#REF!</v>
      </c>
      <c r="Z26" t="e">
        <f>#REF!</f>
        <v>#REF!</v>
      </c>
      <c r="AA26" t="e">
        <f>#REF!</f>
        <v>#REF!</v>
      </c>
      <c r="AB26" t="e">
        <f>#REF!</f>
        <v>#REF!</v>
      </c>
      <c r="AC26" s="15" t="e">
        <f t="shared" ref="AC26:AC29" si="11">Z26/X26</f>
        <v>#REF!</v>
      </c>
      <c r="AD26" s="15" t="e">
        <f>#REF!</f>
        <v>#REF!</v>
      </c>
      <c r="AE26" t="e" cm="1">
        <f t="array" ref="AE26">INDEX(addresses!B$1:B$22, W26)</f>
        <v>#REF!</v>
      </c>
      <c r="AF26" t="e">
        <f>#REF!</f>
        <v>#REF!</v>
      </c>
      <c r="AG26" t="e">
        <f>#REF!</f>
        <v>#REF!</v>
      </c>
      <c r="AH26" t="e">
        <f>#REF!</f>
        <v>#REF!</v>
      </c>
      <c r="AI26" t="e">
        <f>#REF!</f>
        <v>#REF!</v>
      </c>
      <c r="AJ26" t="e">
        <f>#REF!</f>
        <v>#REF!</v>
      </c>
      <c r="AK26" t="e">
        <f>#REF!</f>
        <v>#REF!</v>
      </c>
      <c r="AL26" t="e">
        <f>#REF!</f>
        <v>#REF!</v>
      </c>
      <c r="AM26" s="15" t="e">
        <f t="shared" ref="AM26:AM29" si="12">AJ26/AH26</f>
        <v>#REF!</v>
      </c>
      <c r="AN26" s="15" t="e">
        <f>#REF!</f>
        <v>#REF!</v>
      </c>
      <c r="AO26" t="e" cm="1">
        <f t="array" ref="AO26">INDEX(addresses!B$1:B$22, AG26)</f>
        <v>#REF!</v>
      </c>
    </row>
    <row r="27" spans="1:41" x14ac:dyDescent="0.25">
      <c r="A27">
        <f>'[1]m-3-routes'!B3</f>
        <v>16</v>
      </c>
      <c r="B27">
        <f>'[1]m-3-routes'!C3</f>
        <v>22</v>
      </c>
      <c r="C27">
        <f>'[1]m-3-distances'!B3</f>
        <v>2</v>
      </c>
      <c r="D27">
        <f>'[1]m-3-sumDists'!B3</f>
        <v>123</v>
      </c>
      <c r="E27">
        <f>'[1]m-3-units'!B3</f>
        <v>40</v>
      </c>
      <c r="F27">
        <f>'[1]m-3-deliveries'!B3</f>
        <v>0</v>
      </c>
      <c r="G27">
        <f>'[1]m-3-sumUnits'!B3</f>
        <v>80</v>
      </c>
      <c r="H27" s="15">
        <f t="shared" si="9"/>
        <v>20</v>
      </c>
      <c r="I27" s="15">
        <f t="shared" si="1"/>
        <v>0.65040650406504064</v>
      </c>
      <c r="J27" s="15">
        <f>'[1]m-3-times'!B3</f>
        <v>3.8366666666666669</v>
      </c>
      <c r="K27" t="str">
        <f>IFERROR(_xlfn.XLOOKUP(B27, addresses!A$1:A$22, addresses!B$1:B$22), "")</f>
        <v>100 Waits Dr, Andalusia, AL, 36421</v>
      </c>
      <c r="L27" t="e">
        <f>#REF!</f>
        <v>#REF!</v>
      </c>
      <c r="M27" t="e">
        <f>#REF!</f>
        <v>#REF!</v>
      </c>
      <c r="N27" t="e">
        <f>#REF!</f>
        <v>#REF!</v>
      </c>
      <c r="O27" t="e">
        <f>#REF!</f>
        <v>#REF!</v>
      </c>
      <c r="P27" t="e">
        <f>#REF!</f>
        <v>#REF!</v>
      </c>
      <c r="Q27" t="e">
        <f>#REF!</f>
        <v>#REF!</v>
      </c>
      <c r="R27" t="e">
        <f>#REF!</f>
        <v>#REF!</v>
      </c>
      <c r="S27" s="15" t="e">
        <f t="shared" si="10"/>
        <v>#REF!</v>
      </c>
      <c r="T27" s="15" t="e">
        <f>#REF!</f>
        <v>#REF!</v>
      </c>
      <c r="U27" t="e" cm="1">
        <f t="array" ref="U27">INDEX(addresses!B$1:B$22, M27)</f>
        <v>#REF!</v>
      </c>
      <c r="V27" t="e">
        <f>#REF!</f>
        <v>#REF!</v>
      </c>
      <c r="W27" t="e">
        <f>#REF!</f>
        <v>#REF!</v>
      </c>
      <c r="X27" t="e">
        <f>#REF!</f>
        <v>#REF!</v>
      </c>
      <c r="Y27" t="e">
        <f>#REF!</f>
        <v>#REF!</v>
      </c>
      <c r="Z27" t="e">
        <f>#REF!</f>
        <v>#REF!</v>
      </c>
      <c r="AA27" t="e">
        <f>#REF!</f>
        <v>#REF!</v>
      </c>
      <c r="AB27" t="e">
        <f>#REF!</f>
        <v>#REF!</v>
      </c>
      <c r="AC27" s="15" t="e">
        <f t="shared" si="11"/>
        <v>#REF!</v>
      </c>
      <c r="AD27" s="15" t="e">
        <f>#REF!</f>
        <v>#REF!</v>
      </c>
      <c r="AE27" t="e" cm="1">
        <f t="array" ref="AE27">INDEX(addresses!B$1:B$22, W27)</f>
        <v>#REF!</v>
      </c>
      <c r="AF27" t="e">
        <f>#REF!</f>
        <v>#REF!</v>
      </c>
      <c r="AG27" t="e">
        <f>#REF!</f>
        <v>#REF!</v>
      </c>
      <c r="AH27" t="e">
        <f>#REF!</f>
        <v>#REF!</v>
      </c>
      <c r="AI27" t="e">
        <f>#REF!</f>
        <v>#REF!</v>
      </c>
      <c r="AJ27" t="e">
        <f>#REF!</f>
        <v>#REF!</v>
      </c>
      <c r="AK27" t="e">
        <f>#REF!</f>
        <v>#REF!</v>
      </c>
      <c r="AL27" t="e">
        <f>#REF!</f>
        <v>#REF!</v>
      </c>
      <c r="AM27" s="15" t="e">
        <f t="shared" si="12"/>
        <v>#REF!</v>
      </c>
      <c r="AN27" s="15" t="e">
        <f>#REF!</f>
        <v>#REF!</v>
      </c>
      <c r="AO27" t="e" cm="1">
        <f t="array" ref="AO27">INDEX(addresses!B$1:B$22, AG27)</f>
        <v>#REF!</v>
      </c>
    </row>
    <row r="28" spans="1:41" x14ac:dyDescent="0.25">
      <c r="A28">
        <f>'[1]m-3-routes'!B4</f>
        <v>22</v>
      </c>
      <c r="B28">
        <f>'[1]m-3-routes'!C4</f>
        <v>1</v>
      </c>
      <c r="C28">
        <f>'[1]m-3-distances'!B4</f>
        <v>122</v>
      </c>
      <c r="D28">
        <f>'[1]m-3-sumDists'!B4</f>
        <v>245</v>
      </c>
      <c r="E28">
        <f>'[1]m-3-units'!B4</f>
        <v>0</v>
      </c>
      <c r="F28">
        <f>'[1]m-3-deliveries'!B4</f>
        <v>0</v>
      </c>
      <c r="G28">
        <f>'[1]m-3-sumUnits'!B4</f>
        <v>80</v>
      </c>
      <c r="H28" s="15">
        <f t="shared" si="9"/>
        <v>0</v>
      </c>
      <c r="I28" s="15">
        <f t="shared" si="1"/>
        <v>0.32653061224489793</v>
      </c>
      <c r="J28" s="15">
        <f>'[1]m-3-times'!B4</f>
        <v>7.5925000000000002</v>
      </c>
      <c r="K28" t="str">
        <f>IFERROR(_xlfn.XLOOKUP(B28, addresses!A$1:A$22, addresses!B$1:B$22), "")</f>
        <v>4509 State Hwy 83 North, Defuniak Springs, FL, 32433</v>
      </c>
      <c r="L28" t="e">
        <f>#REF!</f>
        <v>#REF!</v>
      </c>
      <c r="M28" t="e">
        <f>#REF!</f>
        <v>#REF!</v>
      </c>
      <c r="N28" t="e">
        <f>#REF!</f>
        <v>#REF!</v>
      </c>
      <c r="O28" t="e">
        <f>#REF!</f>
        <v>#REF!</v>
      </c>
      <c r="P28" t="e">
        <f>#REF!</f>
        <v>#REF!</v>
      </c>
      <c r="Q28" t="e">
        <f>#REF!</f>
        <v>#REF!</v>
      </c>
      <c r="R28" t="e">
        <f>#REF!</f>
        <v>#REF!</v>
      </c>
      <c r="S28" s="15" t="e">
        <f t="shared" si="10"/>
        <v>#REF!</v>
      </c>
      <c r="T28" s="15" t="e">
        <f>#REF!</f>
        <v>#REF!</v>
      </c>
      <c r="U28" t="e" cm="1">
        <f t="array" ref="U28">INDEX(addresses!B$1:B$22, M28)</f>
        <v>#REF!</v>
      </c>
      <c r="V28" t="e">
        <f>#REF!</f>
        <v>#REF!</v>
      </c>
      <c r="W28" t="e">
        <f>#REF!</f>
        <v>#REF!</v>
      </c>
      <c r="X28" t="e">
        <f>#REF!</f>
        <v>#REF!</v>
      </c>
      <c r="Y28" t="e">
        <f>#REF!</f>
        <v>#REF!</v>
      </c>
      <c r="Z28" t="e">
        <f>#REF!</f>
        <v>#REF!</v>
      </c>
      <c r="AA28" t="e">
        <f>#REF!</f>
        <v>#REF!</v>
      </c>
      <c r="AB28" t="e">
        <f>#REF!</f>
        <v>#REF!</v>
      </c>
      <c r="AC28" s="15" t="e">
        <f t="shared" si="11"/>
        <v>#REF!</v>
      </c>
      <c r="AD28" s="15" t="e">
        <f>#REF!</f>
        <v>#REF!</v>
      </c>
      <c r="AE28" t="e" cm="1">
        <f t="array" ref="AE28">INDEX(addresses!B$1:B$22, W28)</f>
        <v>#REF!</v>
      </c>
      <c r="AF28" t="e">
        <f>#REF!</f>
        <v>#REF!</v>
      </c>
      <c r="AG28" t="e">
        <f>#REF!</f>
        <v>#REF!</v>
      </c>
      <c r="AH28" t="e">
        <f>#REF!</f>
        <v>#REF!</v>
      </c>
      <c r="AI28" t="e">
        <f>#REF!</f>
        <v>#REF!</v>
      </c>
      <c r="AJ28" t="e">
        <f>#REF!</f>
        <v>#REF!</v>
      </c>
      <c r="AK28" t="e">
        <f>#REF!</f>
        <v>#REF!</v>
      </c>
      <c r="AL28" t="e">
        <f>#REF!</f>
        <v>#REF!</v>
      </c>
      <c r="AM28" s="15" t="e">
        <f t="shared" si="12"/>
        <v>#REF!</v>
      </c>
      <c r="AN28" s="15" t="e">
        <f>#REF!</f>
        <v>#REF!</v>
      </c>
      <c r="AO28" t="e" cm="1">
        <f t="array" ref="AO28">INDEX(addresses!B$1:B$22, AG28)</f>
        <v>#REF!</v>
      </c>
    </row>
    <row r="29" spans="1:41" x14ac:dyDescent="0.25">
      <c r="A29">
        <f>'[1]m-3-routes'!B5</f>
        <v>0</v>
      </c>
      <c r="B29">
        <f>'[1]m-3-routes'!C5</f>
        <v>0</v>
      </c>
      <c r="C29">
        <f>'[1]m-3-distances'!B5</f>
        <v>0</v>
      </c>
      <c r="D29">
        <f>'[1]m-3-sumDists'!B5</f>
        <v>0</v>
      </c>
      <c r="E29">
        <f>'[1]m-3-units'!B5</f>
        <v>0</v>
      </c>
      <c r="F29">
        <f>'[1]m-3-deliveries'!B5</f>
        <v>0</v>
      </c>
      <c r="G29">
        <f>'[1]m-3-sumUnits'!B5</f>
        <v>0</v>
      </c>
      <c r="H29" s="15" t="e">
        <f t="shared" ref="H29:H35" si="13">E29/C29</f>
        <v>#DIV/0!</v>
      </c>
      <c r="I29" s="15" t="e">
        <f t="shared" ref="I29:I35" si="14">G29/D29</f>
        <v>#DIV/0!</v>
      </c>
      <c r="J29" s="15">
        <f>'[1]m-3-times'!B5</f>
        <v>0</v>
      </c>
      <c r="K29" t="str">
        <f>IFERROR(_xlfn.XLOOKUP(B29, addresses!A$1:A$22, addresses!B$1:B$22), "")</f>
        <v/>
      </c>
      <c r="L29" t="e">
        <f>#REF!</f>
        <v>#REF!</v>
      </c>
      <c r="M29" t="e">
        <f>#REF!</f>
        <v>#REF!</v>
      </c>
      <c r="N29" t="e">
        <f>#REF!</f>
        <v>#REF!</v>
      </c>
      <c r="O29" t="e">
        <f>#REF!</f>
        <v>#REF!</v>
      </c>
      <c r="P29" t="e">
        <f>#REF!</f>
        <v>#REF!</v>
      </c>
      <c r="Q29" t="e">
        <f>#REF!</f>
        <v>#REF!</v>
      </c>
      <c r="R29" t="e">
        <f>#REF!</f>
        <v>#REF!</v>
      </c>
      <c r="S29" s="15" t="e">
        <f t="shared" si="10"/>
        <v>#REF!</v>
      </c>
      <c r="T29" s="15" t="e">
        <f>#REF!</f>
        <v>#REF!</v>
      </c>
      <c r="U29" t="e" cm="1">
        <f t="array" ref="U29">INDEX(addresses!B$1:B$22, M29)</f>
        <v>#REF!</v>
      </c>
      <c r="V29" t="e">
        <f>#REF!</f>
        <v>#REF!</v>
      </c>
      <c r="W29" t="e">
        <f>#REF!</f>
        <v>#REF!</v>
      </c>
      <c r="X29" t="e">
        <f>#REF!</f>
        <v>#REF!</v>
      </c>
      <c r="Y29" t="e">
        <f>#REF!</f>
        <v>#REF!</v>
      </c>
      <c r="Z29" t="e">
        <f>#REF!</f>
        <v>#REF!</v>
      </c>
      <c r="AA29" t="e">
        <f>#REF!</f>
        <v>#REF!</v>
      </c>
      <c r="AB29" t="e">
        <f>#REF!</f>
        <v>#REF!</v>
      </c>
      <c r="AC29" s="15" t="e">
        <f t="shared" si="11"/>
        <v>#REF!</v>
      </c>
      <c r="AD29" s="15" t="e">
        <f>#REF!</f>
        <v>#REF!</v>
      </c>
      <c r="AE29" t="e" cm="1">
        <f t="array" ref="AE29">INDEX(addresses!B$1:B$22, W29)</f>
        <v>#REF!</v>
      </c>
      <c r="AF29" t="e">
        <f>#REF!</f>
        <v>#REF!</v>
      </c>
      <c r="AG29" t="e">
        <f>#REF!</f>
        <v>#REF!</v>
      </c>
      <c r="AH29" t="e">
        <f>#REF!</f>
        <v>#REF!</v>
      </c>
      <c r="AI29" t="e">
        <f>#REF!</f>
        <v>#REF!</v>
      </c>
      <c r="AJ29" t="e">
        <f>#REF!</f>
        <v>#REF!</v>
      </c>
      <c r="AK29" t="e">
        <f>#REF!</f>
        <v>#REF!</v>
      </c>
      <c r="AL29" t="e">
        <f>#REF!</f>
        <v>#REF!</v>
      </c>
      <c r="AM29" s="15" t="e">
        <f t="shared" si="12"/>
        <v>#REF!</v>
      </c>
      <c r="AN29" s="15" t="e">
        <f>#REF!</f>
        <v>#REF!</v>
      </c>
      <c r="AO29" t="e" cm="1">
        <f t="array" ref="AO29">INDEX(addresses!B$1:B$22, AG29)</f>
        <v>#REF!</v>
      </c>
    </row>
    <row r="30" spans="1:41" x14ac:dyDescent="0.25">
      <c r="A30">
        <f>'[1]m-3-routes'!B6</f>
        <v>0</v>
      </c>
      <c r="B30">
        <f>'[1]m-3-routes'!C6</f>
        <v>0</v>
      </c>
      <c r="C30">
        <f>'[1]m-3-distances'!B6</f>
        <v>0</v>
      </c>
      <c r="D30">
        <f>'[1]m-3-sumDists'!B6</f>
        <v>0</v>
      </c>
      <c r="E30">
        <f>'[1]m-3-units'!B6</f>
        <v>0</v>
      </c>
      <c r="F30">
        <f>'[1]m-3-deliveries'!B6</f>
        <v>0</v>
      </c>
      <c r="G30">
        <f>'[1]m-3-sumUnits'!B6</f>
        <v>0</v>
      </c>
      <c r="H30" s="15" t="e">
        <f t="shared" si="13"/>
        <v>#DIV/0!</v>
      </c>
      <c r="I30" s="15" t="e">
        <f t="shared" si="14"/>
        <v>#DIV/0!</v>
      </c>
      <c r="J30" s="15">
        <f>'[1]m-3-times'!B6</f>
        <v>0</v>
      </c>
      <c r="K30" t="str">
        <f>IFERROR(_xlfn.XLOOKUP(B30, addresses!A$1:A$22, addresses!B$1:B$22), "")</f>
        <v/>
      </c>
      <c r="M30" t="e">
        <f>#REF!</f>
        <v>#REF!</v>
      </c>
      <c r="N30" t="e">
        <f>#REF!</f>
        <v>#REF!</v>
      </c>
      <c r="O30" t="e">
        <f>#REF!</f>
        <v>#REF!</v>
      </c>
      <c r="P30" t="e">
        <f>#REF!</f>
        <v>#REF!</v>
      </c>
      <c r="Q30" t="e">
        <f>#REF!</f>
        <v>#REF!</v>
      </c>
      <c r="R30" t="e">
        <f>#REF!</f>
        <v>#REF!</v>
      </c>
      <c r="T30" s="15" t="e">
        <f>#REF!</f>
        <v>#REF!</v>
      </c>
      <c r="U30" t="e" cm="1">
        <f t="array" ref="U30">INDEX(addresses!B$1:B$22, M30)</f>
        <v>#REF!</v>
      </c>
      <c r="X30" t="e">
        <f>#REF!</f>
        <v>#REF!</v>
      </c>
      <c r="Y30" t="e">
        <f>#REF!</f>
        <v>#REF!</v>
      </c>
      <c r="Z30" t="e">
        <f>#REF!</f>
        <v>#REF!</v>
      </c>
      <c r="AA30" t="e">
        <f>#REF!</f>
        <v>#REF!</v>
      </c>
      <c r="AB30" t="e">
        <f>#REF!</f>
        <v>#REF!</v>
      </c>
      <c r="AK30" t="e">
        <f>#REF!</f>
        <v>#REF!</v>
      </c>
    </row>
    <row r="31" spans="1:41" x14ac:dyDescent="0.25">
      <c r="A31">
        <f>'[1]m-3-routes'!B7</f>
        <v>0</v>
      </c>
      <c r="B31">
        <f>'[1]m-3-routes'!C7</f>
        <v>0</v>
      </c>
      <c r="C31">
        <f>'[1]m-3-distances'!B7</f>
        <v>0</v>
      </c>
      <c r="D31">
        <f>'[1]m-3-sumDists'!B7</f>
        <v>0</v>
      </c>
      <c r="E31">
        <f>'[1]m-3-units'!B7</f>
        <v>0</v>
      </c>
      <c r="F31">
        <f>'[1]m-3-deliveries'!B7</f>
        <v>0</v>
      </c>
      <c r="G31">
        <f>'[1]m-3-sumUnits'!B7</f>
        <v>0</v>
      </c>
      <c r="H31" s="15" t="e">
        <f t="shared" si="13"/>
        <v>#DIV/0!</v>
      </c>
      <c r="I31" s="15" t="e">
        <f t="shared" si="14"/>
        <v>#DIV/0!</v>
      </c>
      <c r="J31" s="15">
        <f>'[1]m-3-times'!B7</f>
        <v>0</v>
      </c>
      <c r="K31" t="str">
        <f>IFERROR(_xlfn.XLOOKUP(B31, addresses!A$1:A$22, addresses!B$1:B$22), "")</f>
        <v/>
      </c>
      <c r="N31" t="e">
        <f>#REF!</f>
        <v>#REF!</v>
      </c>
      <c r="O31" t="e">
        <f>#REF!</f>
        <v>#REF!</v>
      </c>
      <c r="P31" t="e">
        <f>#REF!</f>
        <v>#REF!</v>
      </c>
      <c r="Q31" t="e">
        <f>#REF!</f>
        <v>#REF!</v>
      </c>
      <c r="R31" t="e">
        <f>#REF!</f>
        <v>#REF!</v>
      </c>
      <c r="T31" s="15" t="e">
        <f>#REF!</f>
        <v>#REF!</v>
      </c>
      <c r="U31" t="e" cm="1" vm="1">
        <f t="array" aca="1" ref="U31" ca="1">INDEX(addresses!B$1:B$22, M31)</f>
        <v>#VALUE!</v>
      </c>
      <c r="X31" t="e">
        <f>#REF!</f>
        <v>#REF!</v>
      </c>
      <c r="AA31" t="e">
        <f>#REF!</f>
        <v>#REF!</v>
      </c>
      <c r="AK31" t="e">
        <f>#REF!</f>
        <v>#REF!</v>
      </c>
    </row>
    <row r="32" spans="1:41" x14ac:dyDescent="0.25">
      <c r="A32">
        <f>'[1]m-3-routes'!B8</f>
        <v>0</v>
      </c>
      <c r="B32">
        <f>'[1]m-3-routes'!C8</f>
        <v>0</v>
      </c>
      <c r="C32">
        <f>'[1]m-3-distances'!B8</f>
        <v>0</v>
      </c>
      <c r="D32">
        <f>'[1]m-3-sumDists'!B8</f>
        <v>0</v>
      </c>
      <c r="E32">
        <f>'[1]m-3-units'!B8</f>
        <v>0</v>
      </c>
      <c r="F32">
        <f>'[1]m-3-deliveries'!B8</f>
        <v>0</v>
      </c>
      <c r="G32">
        <f>'[1]m-3-sumUnits'!B8</f>
        <v>0</v>
      </c>
      <c r="H32" s="15" t="e">
        <f t="shared" si="13"/>
        <v>#DIV/0!</v>
      </c>
      <c r="I32" s="15" t="e">
        <f t="shared" si="14"/>
        <v>#DIV/0!</v>
      </c>
      <c r="J32" s="15">
        <f>'[1]m-3-times'!B8</f>
        <v>0</v>
      </c>
      <c r="K32" t="str">
        <f>IFERROR(_xlfn.XLOOKUP(B32, addresses!A$1:A$22, addresses!B$1:B$22), "")</f>
        <v/>
      </c>
      <c r="N32" t="e">
        <f>#REF!</f>
        <v>#REF!</v>
      </c>
      <c r="O32" t="e">
        <f>#REF!</f>
        <v>#REF!</v>
      </c>
      <c r="P32" t="e">
        <f>#REF!</f>
        <v>#REF!</v>
      </c>
      <c r="Q32" t="e">
        <f>#REF!</f>
        <v>#REF!</v>
      </c>
      <c r="R32" t="e">
        <f>#REF!</f>
        <v>#REF!</v>
      </c>
      <c r="T32" s="15" t="e">
        <f>#REF!</f>
        <v>#REF!</v>
      </c>
      <c r="U32" t="e" cm="1" vm="1">
        <f t="array" aca="1" ref="U32" ca="1">INDEX(addresses!B$1:B$22, M32)</f>
        <v>#VALUE!</v>
      </c>
      <c r="X32" t="e">
        <f>#REF!</f>
        <v>#REF!</v>
      </c>
      <c r="AA32" t="e">
        <f>#REF!</f>
        <v>#REF!</v>
      </c>
      <c r="AK32" t="e">
        <f>#REF!</f>
        <v>#REF!</v>
      </c>
    </row>
    <row r="33" spans="1:47" x14ac:dyDescent="0.25">
      <c r="A33">
        <f>'[1]m-3-routes'!B9</f>
        <v>0</v>
      </c>
      <c r="B33">
        <f>'[1]m-3-routes'!C9</f>
        <v>0</v>
      </c>
      <c r="C33">
        <f>'[1]m-3-distances'!B9</f>
        <v>0</v>
      </c>
      <c r="D33">
        <f>'[1]m-3-sumDists'!B9</f>
        <v>0</v>
      </c>
      <c r="E33">
        <f>'[1]m-3-units'!B9</f>
        <v>0</v>
      </c>
      <c r="F33">
        <f>'[1]m-3-deliveries'!B9</f>
        <v>0</v>
      </c>
      <c r="G33">
        <f>'[1]m-3-sumUnits'!B9</f>
        <v>0</v>
      </c>
      <c r="H33" s="15" t="e">
        <f t="shared" si="13"/>
        <v>#DIV/0!</v>
      </c>
      <c r="I33" s="15" t="e">
        <f t="shared" si="14"/>
        <v>#DIV/0!</v>
      </c>
      <c r="J33" s="15">
        <f>'[1]m-3-times'!B9</f>
        <v>0</v>
      </c>
      <c r="K33" t="str">
        <f>IFERROR(_xlfn.XLOOKUP(B33, addresses!A$1:A$22, addresses!B$1:B$22), "")</f>
        <v/>
      </c>
      <c r="N33" t="e">
        <f>#REF!</f>
        <v>#REF!</v>
      </c>
      <c r="O33" t="e">
        <f>#REF!</f>
        <v>#REF!</v>
      </c>
      <c r="P33" t="e">
        <f>#REF!</f>
        <v>#REF!</v>
      </c>
      <c r="Q33" t="e">
        <f>#REF!</f>
        <v>#REF!</v>
      </c>
      <c r="R33" t="e">
        <f>#REF!</f>
        <v>#REF!</v>
      </c>
      <c r="T33" s="15" t="e">
        <f>#REF!</f>
        <v>#REF!</v>
      </c>
      <c r="U33" t="e" cm="1" vm="1">
        <f t="array" aca="1" ref="U33" ca="1">INDEX(addresses!B$1:B$22, M33)</f>
        <v>#VALUE!</v>
      </c>
      <c r="X33" t="e">
        <f>#REF!</f>
        <v>#REF!</v>
      </c>
      <c r="AA33" t="e">
        <f>#REF!</f>
        <v>#REF!</v>
      </c>
      <c r="AK33" t="e">
        <f>#REF!</f>
        <v>#REF!</v>
      </c>
    </row>
    <row r="34" spans="1:47" x14ac:dyDescent="0.25">
      <c r="A34">
        <f>'[1]m-3-routes'!B10</f>
        <v>0</v>
      </c>
      <c r="B34">
        <f>'[1]m-3-routes'!C10</f>
        <v>0</v>
      </c>
      <c r="C34">
        <f>'[1]m-3-distances'!B10</f>
        <v>0</v>
      </c>
      <c r="D34">
        <f>'[1]m-3-sumDists'!B10</f>
        <v>0</v>
      </c>
      <c r="E34">
        <f>'[1]m-3-units'!B10</f>
        <v>0</v>
      </c>
      <c r="F34">
        <f>'[1]m-3-deliveries'!B10</f>
        <v>0</v>
      </c>
      <c r="G34">
        <f>'[1]m-3-sumUnits'!B10</f>
        <v>0</v>
      </c>
      <c r="H34" s="15" t="e">
        <f t="shared" si="13"/>
        <v>#DIV/0!</v>
      </c>
      <c r="I34" s="15" t="e">
        <f t="shared" si="14"/>
        <v>#DIV/0!</v>
      </c>
      <c r="J34" s="15">
        <f>'[1]m-3-times'!B10</f>
        <v>0</v>
      </c>
      <c r="K34" t="str">
        <f>IFERROR(_xlfn.XLOOKUP(B34, addresses!A$1:A$22, addresses!B$1:B$22), "")</f>
        <v/>
      </c>
      <c r="Q34" t="e">
        <f>#REF!</f>
        <v>#REF!</v>
      </c>
      <c r="T34" s="15" t="e">
        <f>#REF!</f>
        <v>#REF!</v>
      </c>
      <c r="U34" t="e" cm="1" vm="1">
        <f t="array" aca="1" ref="U34" ca="1">INDEX(addresses!B$1:B$22, M34)</f>
        <v>#VALUE!</v>
      </c>
      <c r="AA34" t="e">
        <f>#REF!</f>
        <v>#REF!</v>
      </c>
      <c r="AK34" t="e">
        <f>#REF!</f>
        <v>#REF!</v>
      </c>
    </row>
    <row r="35" spans="1:47" x14ac:dyDescent="0.25">
      <c r="A35">
        <f>'[1]m-3-routes'!B11</f>
        <v>0</v>
      </c>
      <c r="B35">
        <f>'[1]m-3-routes'!C11</f>
        <v>0</v>
      </c>
      <c r="C35">
        <f>'[1]m-3-distances'!B11</f>
        <v>0</v>
      </c>
      <c r="D35">
        <f>'[1]m-3-sumDists'!B11</f>
        <v>0</v>
      </c>
      <c r="E35">
        <f>'[1]m-3-units'!B11</f>
        <v>0</v>
      </c>
      <c r="F35">
        <f>'[1]m-3-deliveries'!B11</f>
        <v>0</v>
      </c>
      <c r="G35">
        <f>'[1]m-3-sumUnits'!B11</f>
        <v>0</v>
      </c>
      <c r="H35" s="15" t="e">
        <f t="shared" si="13"/>
        <v>#DIV/0!</v>
      </c>
      <c r="I35" s="15" t="e">
        <f t="shared" si="14"/>
        <v>#DIV/0!</v>
      </c>
      <c r="J35" s="15">
        <f>'[1]m-3-times'!B11</f>
        <v>0</v>
      </c>
      <c r="K35" t="str">
        <f>IFERROR(_xlfn.XLOOKUP(B35, addresses!A$1:A$22, addresses!B$1:B$22), "")</f>
        <v/>
      </c>
      <c r="Q35" t="e">
        <f>#REF!</f>
        <v>#REF!</v>
      </c>
      <c r="U35" t="e" cm="1" vm="1">
        <f t="array" aca="1" ref="U35" ca="1">INDEX(addresses!B$1:B$22, M35)</f>
        <v>#VALUE!</v>
      </c>
      <c r="AA35" t="e">
        <f>#REF!</f>
        <v>#REF!</v>
      </c>
      <c r="AK35" t="e">
        <f>#REF!</f>
        <v>#REF!</v>
      </c>
    </row>
    <row r="36" spans="1:47" x14ac:dyDescent="0.25">
      <c r="A36" s="30" t="s">
        <v>16234</v>
      </c>
      <c r="B36" s="30"/>
      <c r="C36" s="30"/>
      <c r="D36" s="30"/>
      <c r="E36" s="30"/>
      <c r="F36" s="30"/>
      <c r="G36" s="30"/>
      <c r="H36" s="30"/>
      <c r="I36" s="30"/>
      <c r="J36" s="30"/>
      <c r="K36" s="30"/>
      <c r="Q36" t="e">
        <f>#REF!</f>
        <v>#REF!</v>
      </c>
      <c r="U36" t="str" cm="1">
        <f t="array" ref="U36:U57">INDEX(addresses!B$1:B$22, M36)</f>
        <v>4509 State Hwy 83 North, Defuniak Springs, FL, 32433</v>
      </c>
      <c r="AA36" t="e">
        <f>#REF!</f>
        <v>#REF!</v>
      </c>
      <c r="AK36" t="e">
        <f>#REF!</f>
        <v>#REF!</v>
      </c>
    </row>
    <row r="37" spans="1:47" x14ac:dyDescent="0.25">
      <c r="U37" t="str">
        <v>605 Mississippi 182, Starkville, MS, 39759</v>
      </c>
      <c r="AA37" t="e">
        <f>#REF!</f>
        <v>#REF!</v>
      </c>
      <c r="AE37" t="e" cm="1" vm="1">
        <f t="array" aca="1" ref="AE37" ca="1">INDEX(addresses!B$1:B$22, W37)</f>
        <v>#VALUE!</v>
      </c>
      <c r="AK37" t="e">
        <f>#REF!</f>
        <v>#REF!</v>
      </c>
      <c r="AU37" t="e">
        <f>#REF!</f>
        <v>#REF!</v>
      </c>
    </row>
    <row r="38" spans="1:47" x14ac:dyDescent="0.25">
      <c r="U38" t="str">
        <v>116 Terrace Dr, Haines City, FL, 33844</v>
      </c>
      <c r="AA38" t="e">
        <f>#REF!</f>
        <v>#REF!</v>
      </c>
      <c r="AE38" t="e" cm="1" vm="1">
        <f t="array" aca="1" ref="AE38" ca="1">INDEX(addresses!B$1:B$22, W38)</f>
        <v>#VALUE!</v>
      </c>
      <c r="AK38" t="e">
        <f>#REF!</f>
        <v>#REF!</v>
      </c>
      <c r="AU38" t="e">
        <f>#REF!</f>
        <v>#REF!</v>
      </c>
    </row>
    <row r="39" spans="1:47" x14ac:dyDescent="0.25">
      <c r="U39" t="str">
        <v>118 South Columbus Avenue, Louisville, MS, 39339</v>
      </c>
      <c r="AA39" t="e">
        <f>#REF!</f>
        <v>#REF!</v>
      </c>
      <c r="AE39" t="e" cm="1" vm="1">
        <f t="array" aca="1" ref="AE39" ca="1">INDEX(addresses!B$1:B$22, W39)</f>
        <v>#VALUE!</v>
      </c>
      <c r="AK39" t="e">
        <f>#REF!</f>
        <v>#REF!</v>
      </c>
      <c r="AU39" t="e">
        <f>#REF!</f>
        <v>#REF!</v>
      </c>
    </row>
    <row r="40" spans="1:47" x14ac:dyDescent="0.25">
      <c r="U40" t="str">
        <v>124 W Washington, Kosciusko, MS, 39090</v>
      </c>
      <c r="AA40" t="e">
        <f>#REF!</f>
        <v>#REF!</v>
      </c>
      <c r="AE40" t="e" cm="1" vm="1">
        <f t="array" aca="1" ref="AE40" ca="1">INDEX(addresses!B$1:B$22, W40)</f>
        <v>#VALUE!</v>
      </c>
      <c r="AK40" t="e">
        <f>#REF!</f>
        <v>#REF!</v>
      </c>
      <c r="AU40" t="e">
        <f>#REF!</f>
        <v>#REF!</v>
      </c>
    </row>
    <row r="41" spans="1:47" x14ac:dyDescent="0.25">
      <c r="U41" t="str">
        <v>711 N Main St., Havana, FL, 32333</v>
      </c>
      <c r="AA41" t="e">
        <f>#REF!</f>
        <v>#REF!</v>
      </c>
      <c r="AE41" t="e" cm="1" vm="1">
        <f t="array" aca="1" ref="AE41" ca="1">INDEX(addresses!B$1:B$22, W41)</f>
        <v>#VALUE!</v>
      </c>
      <c r="AK41" t="e">
        <f>#REF!</f>
        <v>#REF!</v>
      </c>
      <c r="AU41" t="e">
        <f>#REF!</f>
        <v>#REF!</v>
      </c>
    </row>
    <row r="42" spans="1:47" x14ac:dyDescent="0.25">
      <c r="U42" t="str">
        <v>5282 Peanut Rd., Graceville, FL, 32440</v>
      </c>
      <c r="AA42" t="e">
        <f>#REF!</f>
        <v>#REF!</v>
      </c>
      <c r="AE42" t="e" cm="1" vm="1">
        <f t="array" aca="1" ref="AE42" ca="1">INDEX(addresses!B$1:B$22, W42)</f>
        <v>#VALUE!</v>
      </c>
      <c r="AK42" t="e">
        <f>#REF!</f>
        <v>#REF!</v>
      </c>
      <c r="AU42" t="e">
        <f>#REF!</f>
        <v>#REF!</v>
      </c>
    </row>
    <row r="43" spans="1:47" x14ac:dyDescent="0.25">
      <c r="U43" t="str">
        <v xml:space="preserve">, Cleveland, MS, </v>
      </c>
      <c r="AA43" t="e">
        <f>#REF!</f>
        <v>#REF!</v>
      </c>
      <c r="AE43" t="e" cm="1" vm="1">
        <f t="array" aca="1" ref="AE43" ca="1">INDEX(addresses!B$1:B$22, W43)</f>
        <v>#VALUE!</v>
      </c>
      <c r="AK43" t="e">
        <f>#REF!</f>
        <v>#REF!</v>
      </c>
      <c r="AU43" t="e">
        <f>#REF!</f>
        <v>#REF!</v>
      </c>
    </row>
    <row r="44" spans="1:47" x14ac:dyDescent="0.25">
      <c r="U44" t="str">
        <v>1460 Shetter Avenue, Jacksonville Beach, FL, 32250</v>
      </c>
      <c r="AA44" t="e">
        <f>#REF!</f>
        <v>#REF!</v>
      </c>
      <c r="AE44" t="e" cm="1" vm="1">
        <f t="array" aca="1" ref="AE44" ca="1">INDEX(addresses!B$1:B$22, W44)</f>
        <v>#VALUE!</v>
      </c>
      <c r="AK44" t="e">
        <f>#REF!</f>
        <v>#REF!</v>
      </c>
    </row>
    <row r="45" spans="1:47" x14ac:dyDescent="0.25">
      <c r="U45" t="str">
        <v>65 6th Street, Luverne, AL, 36049</v>
      </c>
      <c r="AA45" t="e">
        <f>#REF!</f>
        <v>#REF!</v>
      </c>
      <c r="AE45" t="e" cm="1" vm="1">
        <f t="array" aca="1" ref="AE45" ca="1">INDEX(addresses!B$1:B$22, W45)</f>
        <v>#VALUE!</v>
      </c>
      <c r="AK45" t="e">
        <f>#REF!</f>
        <v>#REF!</v>
      </c>
    </row>
    <row r="46" spans="1:47" x14ac:dyDescent="0.25">
      <c r="U46" t="str">
        <v>240 Hicks Street, Clarksdale, MS, 38614</v>
      </c>
      <c r="AA46" t="e">
        <f>#REF!</f>
        <v>#REF!</v>
      </c>
      <c r="AE46" t="e" cm="1" vm="1">
        <f t="array" aca="1" ref="AE46" ca="1">INDEX(addresses!B$1:B$22, W46)</f>
        <v>#VALUE!</v>
      </c>
      <c r="AK46" t="e">
        <f>#REF!</f>
        <v>#REF!</v>
      </c>
    </row>
    <row r="47" spans="1:47" x14ac:dyDescent="0.25">
      <c r="U47" t="str">
        <v>475 Walnut Gate Rd, Russellville, AL, 35654</v>
      </c>
      <c r="AA47" t="e">
        <f>#REF!</f>
        <v>#REF!</v>
      </c>
      <c r="AE47" t="e" cm="1" vm="1">
        <f t="array" aca="1" ref="AE47" ca="1">INDEX(addresses!B$1:B$22, W47)</f>
        <v>#VALUE!</v>
      </c>
      <c r="AK47" t="e">
        <f>#REF!</f>
        <v>#REF!</v>
      </c>
    </row>
    <row r="48" spans="1:47" x14ac:dyDescent="0.25">
      <c r="U48" t="str">
        <v>2656 Queenstown Road, Birmingham, AL, 35210</v>
      </c>
      <c r="AA48" t="e">
        <f>#REF!</f>
        <v>#REF!</v>
      </c>
      <c r="AE48" t="e" cm="1" vm="1">
        <f t="array" aca="1" ref="AE48" ca="1">INDEX(addresses!B$1:B$22, W48)</f>
        <v>#VALUE!</v>
      </c>
      <c r="AK48" t="e">
        <f>#REF!</f>
        <v>#REF!</v>
      </c>
    </row>
    <row r="49" spans="21:31" x14ac:dyDescent="0.25">
      <c r="U49" t="str">
        <v>19953 US-31 AL, Thorsby, AL, 35171</v>
      </c>
      <c r="AE49" t="str" cm="1">
        <f t="array" ref="AE49:AE70">INDEX(addresses!B$1:B$22, W49)</f>
        <v>4509 State Hwy 83 North, Defuniak Springs, FL, 32433</v>
      </c>
    </row>
    <row r="50" spans="21:31" x14ac:dyDescent="0.25">
      <c r="U50" t="str">
        <v>120 John King Rd, Crestview, FL, 32539</v>
      </c>
      <c r="AE50" t="str">
        <v>605 Mississippi 182, Starkville, MS, 39759</v>
      </c>
    </row>
    <row r="51" spans="21:31" x14ac:dyDescent="0.25">
      <c r="U51" t="str">
        <v>1251 South Decatur St, Montgomery, AL, 36101</v>
      </c>
      <c r="AE51" t="str">
        <v>116 Terrace Dr, Haines City, FL, 33844</v>
      </c>
    </row>
    <row r="52" spans="21:31" x14ac:dyDescent="0.25">
      <c r="U52" t="str">
        <v>11780 US Hwy 1 Suite 208N, Palm Beach Gardens, FL, 33408</v>
      </c>
      <c r="AE52" t="str">
        <v>118 South Columbus Avenue, Louisville, MS, 39339</v>
      </c>
    </row>
    <row r="53" spans="21:31" x14ac:dyDescent="0.25">
      <c r="U53" t="str">
        <v>3435 Eric Cir E, Tuscaloosa, AL, 35401</v>
      </c>
      <c r="AE53" t="str">
        <v>124 W Washington, Kosciusko, MS, 39090</v>
      </c>
    </row>
    <row r="54" spans="21:31" x14ac:dyDescent="0.25">
      <c r="U54" t="str">
        <v>2134 Highway 29 South, Brewton, AL, 36426</v>
      </c>
      <c r="AE54" t="str">
        <v>711 N Main St., Havana, FL, 32333</v>
      </c>
    </row>
    <row r="55" spans="21:31" x14ac:dyDescent="0.25">
      <c r="U55" t="str">
        <v>104 Adams Road, Opp, AL, 36467</v>
      </c>
      <c r="AE55" t="str">
        <v>5282 Peanut Rd., Graceville, FL, 32440</v>
      </c>
    </row>
    <row r="56" spans="21:31" x14ac:dyDescent="0.25">
      <c r="U56" t="str">
        <v>1010 Sparkman Street, Hartselle, AL, 35640</v>
      </c>
      <c r="AE56" t="str">
        <v xml:space="preserve">, Cleveland, MS, </v>
      </c>
    </row>
    <row r="57" spans="21:31" x14ac:dyDescent="0.25">
      <c r="U57" t="str">
        <v>100 Waits Dr, Andalusia, AL, 36421</v>
      </c>
      <c r="AE57" t="str">
        <v>1460 Shetter Avenue, Jacksonville Beach, FL, 32250</v>
      </c>
    </row>
    <row r="58" spans="21:31" x14ac:dyDescent="0.25">
      <c r="AE58" t="str">
        <v>65 6th Street, Luverne, AL, 36049</v>
      </c>
    </row>
    <row r="59" spans="21:31" x14ac:dyDescent="0.25">
      <c r="AE59" t="str">
        <v>240 Hicks Street, Clarksdale, MS, 38614</v>
      </c>
    </row>
    <row r="60" spans="21:31" x14ac:dyDescent="0.25">
      <c r="AE60" t="str">
        <v>475 Walnut Gate Rd, Russellville, AL, 35654</v>
      </c>
    </row>
    <row r="61" spans="21:31" x14ac:dyDescent="0.25">
      <c r="AE61" t="str">
        <v>2656 Queenstown Road, Birmingham, AL, 35210</v>
      </c>
    </row>
    <row r="62" spans="21:31" x14ac:dyDescent="0.25">
      <c r="AE62" t="str">
        <v>19953 US-31 AL, Thorsby, AL, 35171</v>
      </c>
    </row>
    <row r="63" spans="21:31" x14ac:dyDescent="0.25">
      <c r="AE63" t="str">
        <v>120 John King Rd, Crestview, FL, 32539</v>
      </c>
    </row>
    <row r="64" spans="21:31" x14ac:dyDescent="0.25">
      <c r="AE64" t="str">
        <v>1251 South Decatur St, Montgomery, AL, 36101</v>
      </c>
    </row>
    <row r="65" spans="31:31" x14ac:dyDescent="0.25">
      <c r="AE65" t="str">
        <v>11780 US Hwy 1 Suite 208N, Palm Beach Gardens, FL, 33408</v>
      </c>
    </row>
    <row r="66" spans="31:31" x14ac:dyDescent="0.25">
      <c r="AE66" t="str">
        <v>3435 Eric Cir E, Tuscaloosa, AL, 35401</v>
      </c>
    </row>
    <row r="67" spans="31:31" x14ac:dyDescent="0.25">
      <c r="AE67" t="str">
        <v>2134 Highway 29 South, Brewton, AL, 36426</v>
      </c>
    </row>
    <row r="68" spans="31:31" x14ac:dyDescent="0.25">
      <c r="AE68" t="str">
        <v>104 Adams Road, Opp, AL, 36467</v>
      </c>
    </row>
    <row r="69" spans="31:31" x14ac:dyDescent="0.25">
      <c r="AE69" t="str">
        <v>1010 Sparkman Street, Hartselle, AL, 35640</v>
      </c>
    </row>
    <row r="70" spans="31:31" x14ac:dyDescent="0.25">
      <c r="AE70" t="str">
        <v>100 Waits Dr, Andalusia, AL, 36421</v>
      </c>
    </row>
  </sheetData>
  <mergeCells count="8">
    <mergeCell ref="AF1:AO1"/>
    <mergeCell ref="A3:K3"/>
    <mergeCell ref="A14:K14"/>
    <mergeCell ref="A25:K25"/>
    <mergeCell ref="A36:K36"/>
    <mergeCell ref="A1:K1"/>
    <mergeCell ref="L1:U1"/>
    <mergeCell ref="V1:AE1"/>
  </mergeCells>
  <conditionalFormatting sqref="L4:L29 V4:V29 AF4:AF29 A1:A1048576">
    <cfRule type="cellIs" dxfId="48" priority="30" operator="equal">
      <formula>1</formula>
    </cfRule>
  </conditionalFormatting>
  <conditionalFormatting sqref="L1:U1048576">
    <cfRule type="expression" dxfId="47" priority="23">
      <formula>$L1=0</formula>
    </cfRule>
  </conditionalFormatting>
  <conditionalFormatting sqref="L2:L3">
    <cfRule type="cellIs" dxfId="46" priority="21" operator="equal">
      <formula>1</formula>
    </cfRule>
  </conditionalFormatting>
  <conditionalFormatting sqref="V1:AE1048576">
    <cfRule type="expression" dxfId="45" priority="16">
      <formula>$V1=0</formula>
    </cfRule>
  </conditionalFormatting>
  <conditionalFormatting sqref="V2:V3">
    <cfRule type="cellIs" dxfId="44" priority="14" operator="equal">
      <formula>1</formula>
    </cfRule>
  </conditionalFormatting>
  <conditionalFormatting sqref="AF2:AF3">
    <cfRule type="cellIs" dxfId="43" priority="8" operator="equal">
      <formula>1</formula>
    </cfRule>
  </conditionalFormatting>
  <conditionalFormatting sqref="AF1:AO1048576">
    <cfRule type="expression" dxfId="42" priority="3">
      <formula>$AF1=0</formula>
    </cfRule>
  </conditionalFormatting>
  <conditionalFormatting sqref="AP37:AY1048576">
    <cfRule type="expression" dxfId="41" priority="2">
      <formula>$AP37=0</formula>
    </cfRule>
  </conditionalFormatting>
  <conditionalFormatting sqref="A1:K2 A3 A14 A16:A25 A37:K1048576 A36 A4:K13 A15:K24 A26:K35">
    <cfRule type="expression" dxfId="40" priority="1">
      <formula>$A1=0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194E-001C-498A-9B08-30A362E7A6F0}">
  <sheetPr codeName="Sheet12"/>
  <dimension ref="A1:BH57"/>
  <sheetViews>
    <sheetView zoomScale="80" zoomScaleNormal="80" workbookViewId="0">
      <selection activeCell="K18" sqref="K18"/>
    </sheetView>
  </sheetViews>
  <sheetFormatPr defaultRowHeight="15" x14ac:dyDescent="0.25"/>
  <cols>
    <col min="4" max="4" width="12.7109375" bestFit="1" customWidth="1"/>
    <col min="5" max="5" width="10.85546875" bestFit="1" customWidth="1"/>
    <col min="7" max="7" width="9.85546875" bestFit="1" customWidth="1"/>
    <col min="8" max="8" width="9.5703125" bestFit="1" customWidth="1"/>
    <col min="9" max="9" width="14.28515625" bestFit="1" customWidth="1"/>
    <col min="10" max="10" width="11.140625" bestFit="1" customWidth="1"/>
    <col min="11" max="11" width="45" bestFit="1" customWidth="1"/>
    <col min="12" max="12" width="18.85546875" customWidth="1"/>
    <col min="16" max="16" width="12.7109375" bestFit="1" customWidth="1"/>
    <col min="17" max="17" width="10.85546875" bestFit="1" customWidth="1"/>
    <col min="19" max="19" width="9.85546875" bestFit="1" customWidth="1"/>
    <col min="20" max="20" width="9.5703125" bestFit="1" customWidth="1"/>
    <col min="21" max="21" width="14.28515625" bestFit="1" customWidth="1"/>
    <col min="22" max="22" width="11.140625" bestFit="1" customWidth="1"/>
    <col min="23" max="23" width="45" bestFit="1" customWidth="1"/>
    <col min="24" max="24" width="18.85546875" customWidth="1"/>
    <col min="28" max="28" width="12.7109375" bestFit="1" customWidth="1"/>
    <col min="29" max="29" width="10.85546875" bestFit="1" customWidth="1"/>
    <col min="31" max="31" width="9.85546875" bestFit="1" customWidth="1"/>
    <col min="32" max="32" width="9.5703125" bestFit="1" customWidth="1"/>
    <col min="33" max="33" width="14.28515625" bestFit="1" customWidth="1"/>
    <col min="34" max="34" width="11.140625" bestFit="1" customWidth="1"/>
    <col min="35" max="35" width="45" bestFit="1" customWidth="1"/>
    <col min="36" max="36" width="18.85546875" customWidth="1"/>
    <col min="40" max="40" width="12.7109375" bestFit="1" customWidth="1"/>
    <col min="41" max="41" width="10.85546875" bestFit="1" customWidth="1"/>
    <col min="43" max="43" width="9.85546875" bestFit="1" customWidth="1"/>
    <col min="44" max="44" width="9.5703125" bestFit="1" customWidth="1"/>
    <col min="45" max="45" width="14.28515625" bestFit="1" customWidth="1"/>
    <col min="46" max="46" width="11.140625" bestFit="1" customWidth="1"/>
    <col min="47" max="47" width="45" bestFit="1" customWidth="1"/>
    <col min="48" max="48" width="18.85546875" customWidth="1"/>
    <col min="52" max="52" width="12.7109375" bestFit="1" customWidth="1"/>
    <col min="53" max="53" width="10.85546875" bestFit="1" customWidth="1"/>
    <col min="55" max="55" width="9.85546875" bestFit="1" customWidth="1"/>
    <col min="56" max="56" width="9.5703125" bestFit="1" customWidth="1"/>
    <col min="57" max="57" width="14.28515625" bestFit="1" customWidth="1"/>
    <col min="58" max="58" width="11.140625" bestFit="1" customWidth="1"/>
    <col min="59" max="59" width="45" bestFit="1" customWidth="1"/>
    <col min="60" max="60" width="18.85546875" customWidth="1"/>
  </cols>
  <sheetData>
    <row r="1" spans="1:60" ht="18.75" x14ac:dyDescent="0.3">
      <c r="A1" s="32" t="s">
        <v>16138</v>
      </c>
      <c r="B1" s="32"/>
      <c r="C1" s="32"/>
      <c r="D1" s="32"/>
      <c r="E1" s="32"/>
      <c r="F1" s="32"/>
      <c r="G1" s="32"/>
      <c r="H1" s="32"/>
      <c r="I1" s="32"/>
      <c r="J1" s="32"/>
      <c r="K1" s="32"/>
      <c r="L1" s="16"/>
      <c r="M1" s="32" t="s">
        <v>16139</v>
      </c>
      <c r="N1" s="32"/>
      <c r="O1" s="32"/>
      <c r="P1" s="32"/>
      <c r="Q1" s="32"/>
      <c r="R1" s="32"/>
      <c r="S1" s="32"/>
      <c r="T1" s="32"/>
      <c r="U1" s="32"/>
      <c r="V1" s="32"/>
      <c r="W1" s="32"/>
      <c r="X1" s="19"/>
      <c r="Y1" s="32" t="s">
        <v>16140</v>
      </c>
      <c r="Z1" s="32"/>
      <c r="AA1" s="32"/>
      <c r="AB1" s="32"/>
      <c r="AC1" s="32"/>
      <c r="AD1" s="32"/>
      <c r="AE1" s="32"/>
      <c r="AF1" s="32"/>
      <c r="AG1" s="32"/>
      <c r="AH1" s="32"/>
      <c r="AI1" s="32"/>
      <c r="AJ1" s="19"/>
      <c r="AK1" s="32" t="s">
        <v>16141</v>
      </c>
      <c r="AL1" s="32"/>
      <c r="AM1" s="32"/>
      <c r="AN1" s="32"/>
      <c r="AO1" s="32"/>
      <c r="AP1" s="32"/>
      <c r="AQ1" s="32"/>
      <c r="AR1" s="32"/>
      <c r="AS1" s="32"/>
      <c r="AT1" s="32"/>
      <c r="AU1" s="32"/>
      <c r="AV1" s="19"/>
      <c r="AW1" s="32" t="s">
        <v>16142</v>
      </c>
      <c r="AX1" s="32"/>
      <c r="AY1" s="32"/>
      <c r="AZ1" s="32"/>
      <c r="BA1" s="32"/>
      <c r="BB1" s="32"/>
      <c r="BC1" s="32"/>
      <c r="BD1" s="32"/>
      <c r="BE1" s="32"/>
      <c r="BF1" s="32"/>
      <c r="BG1" s="32"/>
      <c r="BH1" s="19"/>
    </row>
    <row r="2" spans="1:60" s="27" customFormat="1" ht="30" x14ac:dyDescent="0.25">
      <c r="A2" s="25" t="s">
        <v>16168</v>
      </c>
      <c r="B2" s="25" t="s">
        <v>16169</v>
      </c>
      <c r="C2" s="25" t="s">
        <v>2</v>
      </c>
      <c r="D2" s="25" t="s">
        <v>16199</v>
      </c>
      <c r="E2" s="25" t="s">
        <v>16223</v>
      </c>
      <c r="F2" s="25" t="s">
        <v>16225</v>
      </c>
      <c r="G2" s="25" t="s">
        <v>16201</v>
      </c>
      <c r="H2" s="26" t="s">
        <v>16200</v>
      </c>
      <c r="I2" s="26" t="s">
        <v>16233</v>
      </c>
      <c r="J2" s="26" t="s">
        <v>16222</v>
      </c>
      <c r="K2" s="25" t="s">
        <v>16170</v>
      </c>
      <c r="L2" s="25" t="s">
        <v>16235</v>
      </c>
      <c r="M2" s="25" t="s">
        <v>16168</v>
      </c>
      <c r="N2" s="25" t="s">
        <v>16169</v>
      </c>
      <c r="O2" s="25" t="s">
        <v>2</v>
      </c>
      <c r="P2" s="25" t="s">
        <v>16199</v>
      </c>
      <c r="Q2" s="25" t="s">
        <v>16223</v>
      </c>
      <c r="R2" s="25" t="s">
        <v>16225</v>
      </c>
      <c r="S2" s="25" t="s">
        <v>16201</v>
      </c>
      <c r="T2" s="26" t="s">
        <v>16200</v>
      </c>
      <c r="U2" s="26" t="s">
        <v>16233</v>
      </c>
      <c r="V2" s="26" t="s">
        <v>16222</v>
      </c>
      <c r="W2" s="25" t="s">
        <v>16170</v>
      </c>
      <c r="X2" s="25" t="s">
        <v>16235</v>
      </c>
      <c r="Y2" s="25" t="s">
        <v>16168</v>
      </c>
      <c r="Z2" s="25" t="s">
        <v>16169</v>
      </c>
      <c r="AA2" s="25" t="s">
        <v>2</v>
      </c>
      <c r="AB2" s="25" t="s">
        <v>16199</v>
      </c>
      <c r="AC2" s="25" t="s">
        <v>16223</v>
      </c>
      <c r="AD2" s="25" t="s">
        <v>16225</v>
      </c>
      <c r="AE2" s="25" t="s">
        <v>16201</v>
      </c>
      <c r="AF2" s="26" t="s">
        <v>16200</v>
      </c>
      <c r="AG2" s="26" t="s">
        <v>16233</v>
      </c>
      <c r="AH2" s="26" t="s">
        <v>16222</v>
      </c>
      <c r="AI2" s="25" t="s">
        <v>16170</v>
      </c>
      <c r="AJ2" s="25" t="s">
        <v>16235</v>
      </c>
      <c r="AK2" s="25" t="s">
        <v>16168</v>
      </c>
      <c r="AL2" s="25" t="s">
        <v>16169</v>
      </c>
      <c r="AM2" s="25" t="s">
        <v>2</v>
      </c>
      <c r="AN2" s="25" t="s">
        <v>16199</v>
      </c>
      <c r="AO2" s="25" t="s">
        <v>16223</v>
      </c>
      <c r="AP2" s="25" t="s">
        <v>16225</v>
      </c>
      <c r="AQ2" s="25" t="s">
        <v>16201</v>
      </c>
      <c r="AR2" s="26" t="s">
        <v>16200</v>
      </c>
      <c r="AS2" s="26" t="s">
        <v>16233</v>
      </c>
      <c r="AT2" s="26" t="s">
        <v>16222</v>
      </c>
      <c r="AU2" s="25" t="s">
        <v>16170</v>
      </c>
      <c r="AV2" s="25" t="s">
        <v>16235</v>
      </c>
      <c r="AW2" s="25" t="s">
        <v>16168</v>
      </c>
      <c r="AX2" s="25" t="s">
        <v>16169</v>
      </c>
      <c r="AY2" s="25" t="s">
        <v>2</v>
      </c>
      <c r="AZ2" s="25" t="s">
        <v>16199</v>
      </c>
      <c r="BA2" s="25" t="s">
        <v>16223</v>
      </c>
      <c r="BB2" s="25" t="s">
        <v>16225</v>
      </c>
      <c r="BC2" s="25" t="s">
        <v>16201</v>
      </c>
      <c r="BD2" s="26" t="s">
        <v>16200</v>
      </c>
      <c r="BE2" s="26" t="s">
        <v>16233</v>
      </c>
      <c r="BF2" s="26" t="s">
        <v>16222</v>
      </c>
      <c r="BG2" s="25" t="s">
        <v>16170</v>
      </c>
      <c r="BH2" s="25" t="s">
        <v>16235</v>
      </c>
    </row>
    <row r="3" spans="1:60" x14ac:dyDescent="0.25">
      <c r="A3" s="29" t="s">
        <v>16230</v>
      </c>
      <c r="B3" s="29"/>
      <c r="C3" s="29"/>
      <c r="D3" s="29"/>
      <c r="E3" s="29"/>
      <c r="F3" s="29"/>
      <c r="G3" s="29"/>
      <c r="H3" s="29"/>
      <c r="I3" s="29"/>
      <c r="J3" s="29"/>
      <c r="K3" s="22" t="str">
        <f>IFERROR(_xlfn.XLOOKUP(A4, addresses!A$1:A$22, addresses!B$1:B$22), "")</f>
        <v>4509 State Hwy 83 North, Defuniak Springs, FL, 32433</v>
      </c>
      <c r="L3" s="18"/>
      <c r="M3" s="29" t="s">
        <v>16230</v>
      </c>
      <c r="N3" s="29"/>
      <c r="O3" s="29"/>
      <c r="P3" s="29"/>
      <c r="Q3" s="29"/>
      <c r="R3" s="29"/>
      <c r="S3" s="29"/>
      <c r="T3" s="29"/>
      <c r="U3" s="29"/>
      <c r="V3" s="29"/>
      <c r="W3" s="22" t="str">
        <f>IFERROR(_xlfn.XLOOKUP(M4, addresses!$A$1:$A$22, addresses!$B$1:$B$22), "")</f>
        <v>4509 State Hwy 83 North, Defuniak Springs, FL, 32433</v>
      </c>
      <c r="X3" s="20"/>
      <c r="Y3" s="29" t="s">
        <v>16230</v>
      </c>
      <c r="Z3" s="29"/>
      <c r="AA3" s="29"/>
      <c r="AB3" s="29"/>
      <c r="AC3" s="29"/>
      <c r="AD3" s="29"/>
      <c r="AE3" s="29"/>
      <c r="AF3" s="29"/>
      <c r="AG3" s="29"/>
      <c r="AH3" s="29"/>
      <c r="AI3" s="22" t="str">
        <f>IFERROR(_xlfn.XLOOKUP(Y4, addresses!$A$1:$A$22, addresses!$B$1:$B$22), "")</f>
        <v>4509 State Hwy 83 North, Defuniak Springs, FL, 32433</v>
      </c>
      <c r="AJ3" s="20"/>
      <c r="AK3" s="29" t="s">
        <v>16230</v>
      </c>
      <c r="AL3" s="29"/>
      <c r="AM3" s="29"/>
      <c r="AN3" s="29"/>
      <c r="AO3" s="29"/>
      <c r="AP3" s="29"/>
      <c r="AQ3" s="29"/>
      <c r="AR3" s="29"/>
      <c r="AS3" s="29"/>
      <c r="AT3" s="29"/>
      <c r="AU3" s="22" t="str">
        <f>IFERROR(_xlfn.XLOOKUP(AK4, addresses!$A$1:$A$22, addresses!$B$1:$B$22), "")</f>
        <v>116 Terrace Dr, Haines City, FL, 33844</v>
      </c>
      <c r="AV3" s="20"/>
      <c r="AW3" s="29" t="s">
        <v>16230</v>
      </c>
      <c r="AX3" s="29"/>
      <c r="AY3" s="29"/>
      <c r="AZ3" s="29"/>
      <c r="BA3" s="29"/>
      <c r="BB3" s="29"/>
      <c r="BC3" s="29"/>
      <c r="BD3" s="29"/>
      <c r="BE3" s="29"/>
      <c r="BF3" s="29"/>
      <c r="BG3" s="22" t="str">
        <f>IFERROR(_xlfn.XLOOKUP(AW4, addresses!$A$1:$A$22, addresses!$B$1:$B$22), "")</f>
        <v>4509 State Hwy 83 North, Defuniak Springs, FL, 32433</v>
      </c>
      <c r="BH3" s="20"/>
    </row>
    <row r="4" spans="1:60" x14ac:dyDescent="0.25">
      <c r="A4">
        <f>IFERROR('[1]m-0-routes'!$B2, "")</f>
        <v>1</v>
      </c>
      <c r="B4">
        <f>IFERROR('[1]m-0-routes'!$C2, "")</f>
        <v>15</v>
      </c>
      <c r="C4">
        <f>IFERROR('[1]m-0-distances'!B2, "")</f>
        <v>36</v>
      </c>
      <c r="D4">
        <f>IFERROR('[1]m-0-sumDists'!B2, "")</f>
        <v>36</v>
      </c>
      <c r="E4">
        <f>IFERROR('[1]m-0-units'!B2, "")</f>
        <v>40</v>
      </c>
      <c r="F4">
        <f>IFERROR('[1]m-0-deliveries'!B2, "")</f>
        <v>0</v>
      </c>
      <c r="G4">
        <f>IFERROR('[1]m-0-sumUnits'!B2, "")</f>
        <v>40</v>
      </c>
      <c r="H4" s="15">
        <f>IFERROR(E4/C4, "")</f>
        <v>1.1111111111111112</v>
      </c>
      <c r="I4" s="15">
        <f>IFERROR(G4/D4, "")</f>
        <v>1.1111111111111112</v>
      </c>
      <c r="J4" s="15">
        <f>IFERROR('[1]m-0-times'!B2, "")</f>
        <v>1.3836111111111109</v>
      </c>
      <c r="K4" t="str">
        <f>IFERROR(_xlfn.XLOOKUP(B4, addresses!A$1:A$22, addresses!B$1:B$22), "")</f>
        <v>120 John King Rd, Crestview, FL, 32539</v>
      </c>
      <c r="M4">
        <f>IFERROR('[1]t-0-routes'!$B$2, "")</f>
        <v>1</v>
      </c>
      <c r="N4">
        <f>IFERROR('[1]t-0-routes'!$C$2, "")</f>
        <v>14</v>
      </c>
      <c r="O4">
        <f>IFERROR('[1]t-0-distances'!$B$2, "")</f>
        <v>169</v>
      </c>
      <c r="P4">
        <f>IFERROR('[1]t-0-sumDists'!$B$2, "")</f>
        <v>169</v>
      </c>
      <c r="Q4">
        <f>IFERROR('[1]t-0-units'!$B$2, "")</f>
        <v>40</v>
      </c>
      <c r="R4">
        <f>IFERROR('[1]t-0-deliveries'!$B$2, "")</f>
        <v>0</v>
      </c>
      <c r="S4">
        <f>IFERROR('[1]t-0-sumUnits'!$B$2, "")</f>
        <v>40</v>
      </c>
      <c r="T4" s="15">
        <f>IFERROR(Q4/O4, "")</f>
        <v>0.23668639053254437</v>
      </c>
      <c r="U4" s="15">
        <f>IFERROR(S4/P4, "")</f>
        <v>0.23668639053254437</v>
      </c>
      <c r="V4" s="15">
        <f>IFERROR('[1]t-0-times'!$B$2, "")</f>
        <v>3.6733333333333329</v>
      </c>
      <c r="W4" t="str">
        <f>IFERROR(_xlfn.XLOOKUP(N4, addresses!$A$1:$A$22, addresses!$B$1:$B$22), "")</f>
        <v>19953 US-31 AL, Thorsby, AL, 35171</v>
      </c>
      <c r="Y4">
        <f>IFERROR('[1]w-0-routes'!$B$2, "")</f>
        <v>1</v>
      </c>
      <c r="Z4">
        <f>IFERROR('[1]w-0-routes'!$C$2, "")</f>
        <v>9</v>
      </c>
      <c r="AA4">
        <f>IFERROR('[1]w-0-distances'!$B$2, "")</f>
        <v>306</v>
      </c>
      <c r="AB4">
        <f>IFERROR('[1]w-0-sumDists'!$B$2, "")</f>
        <v>306</v>
      </c>
      <c r="AC4">
        <f>IFERROR('[1]w-0-units'!$B$2, "")</f>
        <v>40</v>
      </c>
      <c r="AD4">
        <f>IFERROR('[1]w-0-deliveries'!$B$2, "")</f>
        <v>0</v>
      </c>
      <c r="AE4">
        <f>IFERROR('[1]w-0-sumUnits'!$B$2, "")</f>
        <v>40</v>
      </c>
      <c r="AF4" s="15">
        <f>IFERROR(AC4/AA4, "")</f>
        <v>0.13071895424836602</v>
      </c>
      <c r="AG4" s="15">
        <f>IFERROR(AE4/AB4, "")</f>
        <v>0.13071895424836602</v>
      </c>
      <c r="AH4" s="15">
        <f>IFERROR('[1]w-0-times'!$B$2, "")</f>
        <v>5.2555555555555564</v>
      </c>
      <c r="AI4" t="str">
        <f>IFERROR(_xlfn.XLOOKUP(Z4, addresses!$A$1:$A$22, addresses!$B$1:$B$22), "")</f>
        <v>1460 Shetter Avenue, Jacksonville Beach, FL, 32250</v>
      </c>
      <c r="AK4">
        <f>IFERROR('[1]th-0-routes'!$B$2, "")</f>
        <v>3</v>
      </c>
      <c r="AL4">
        <f>IFERROR('[1]th-0-routes'!$C$2, "")</f>
        <v>1</v>
      </c>
      <c r="AM4">
        <f>IFERROR('[1]th-0-distances'!$B$2, "")</f>
        <v>403</v>
      </c>
      <c r="AN4">
        <f>IFERROR('[1]th-0-sumDists'!$B$2, "")</f>
        <v>403</v>
      </c>
      <c r="AO4">
        <f>IFERROR('[1]th-0-units'!$B$2, "")</f>
        <v>0</v>
      </c>
      <c r="AP4">
        <f>IFERROR('[1]th-0-deliveries'!$B$2, "")</f>
        <v>0</v>
      </c>
      <c r="AQ4">
        <f>IFERROR('[1]th-0-sumUnits'!$B$2, "")</f>
        <v>80</v>
      </c>
      <c r="AR4" s="15">
        <f>IFERROR(AO4/AM4, "")</f>
        <v>0</v>
      </c>
      <c r="AS4" s="15">
        <f>IFERROR(AQ4/AN4, "")</f>
        <v>0.19851116625310175</v>
      </c>
      <c r="AT4" s="15">
        <f>IFERROR('[1]th-0-times'!$B$2, "")</f>
        <v>7.265833333333334</v>
      </c>
      <c r="AU4" t="str">
        <f>IFERROR(_xlfn.XLOOKUP(AL4, addresses!$A$1:$A$22, addresses!$B$1:$B$22), "")</f>
        <v>4509 State Hwy 83 North, Defuniak Springs, FL, 32433</v>
      </c>
      <c r="AW4">
        <f>IFERROR('[1]f-0-routes'!$B$2, "")</f>
        <v>1</v>
      </c>
      <c r="AX4">
        <f>IFERROR('[1]f-0-routes'!$C$2, "")</f>
        <v>1</v>
      </c>
      <c r="AY4">
        <f>IFERROR('[1]f-0-distances'!$B$2, "")</f>
        <v>0</v>
      </c>
      <c r="AZ4">
        <f>IFERROR('[1]f-0-sumDists'!$B$2, "")</f>
        <v>0</v>
      </c>
      <c r="BA4">
        <f>IFERROR('[1]f-0-units'!$B$2, "")</f>
        <v>0</v>
      </c>
      <c r="BB4">
        <f>IFERROR('[1]f-0-deliveries'!$B$2, "")</f>
        <v>0</v>
      </c>
      <c r="BC4">
        <f>IFERROR('[1]f-0-sumUnits'!$B$2, "")</f>
        <v>0</v>
      </c>
      <c r="BD4" s="15" t="str">
        <f>IFERROR(BA4/AY4, "")</f>
        <v/>
      </c>
      <c r="BE4" s="15" t="str">
        <f>IFERROR(BC4/AZ4, "")</f>
        <v/>
      </c>
      <c r="BF4" s="15">
        <f>IFERROR('[1]f-0-times'!$B$2, "")</f>
        <v>8.3333333333333329E-2</v>
      </c>
      <c r="BG4" t="str">
        <f>IFERROR(_xlfn.XLOOKUP(AX4, addresses!$A$1:$A$22, addresses!$B$1:$B$22), "")</f>
        <v>4509 State Hwy 83 North, Defuniak Springs, FL, 32433</v>
      </c>
    </row>
    <row r="5" spans="1:60" x14ac:dyDescent="0.25">
      <c r="A5">
        <f>IFERROR('[1]m-0-routes'!$B3, "")</f>
        <v>15</v>
      </c>
      <c r="B5">
        <f>IFERROR('[1]m-0-routes'!$C3, "")</f>
        <v>20</v>
      </c>
      <c r="C5">
        <f>IFERROR('[1]m-0-distances'!B3, "")</f>
        <v>50</v>
      </c>
      <c r="D5">
        <f>IFERROR('[1]m-0-sumDists'!B3, "")</f>
        <v>86</v>
      </c>
      <c r="E5">
        <f>IFERROR('[1]m-0-units'!B3, "")</f>
        <v>40</v>
      </c>
      <c r="F5">
        <f>IFERROR('[1]m-0-deliveries'!B3, "")</f>
        <v>0</v>
      </c>
      <c r="G5">
        <f>IFERROR('[1]m-0-sumUnits'!B3, "")</f>
        <v>80</v>
      </c>
      <c r="H5" s="15">
        <f t="shared" ref="H5:H13" si="0">IFERROR(E5/C5, "")</f>
        <v>0.8</v>
      </c>
      <c r="I5" s="15">
        <f t="shared" ref="I5:I13" si="1">IFERROR(G5/D5, "")</f>
        <v>0.93023255813953487</v>
      </c>
      <c r="J5" s="15">
        <f>IFERROR('[1]m-0-times'!B3, "")</f>
        <v>3.1633333333333331</v>
      </c>
      <c r="K5" t="str">
        <f>IFERROR(_xlfn.XLOOKUP(B5, addresses!A$1:A$22, addresses!B$1:B$22), "")</f>
        <v>104 Adams Road, Opp, AL, 36467</v>
      </c>
      <c r="M5">
        <f>IFERROR('[1]t-0-routes'!$B$3, "")</f>
        <v>14</v>
      </c>
      <c r="N5">
        <f>IFERROR('[1]t-0-routes'!$C$3, "")</f>
        <v>13</v>
      </c>
      <c r="O5">
        <f>IFERROR('[1]t-0-distances'!$B$3, "")</f>
        <v>55</v>
      </c>
      <c r="P5">
        <f>IFERROR('[1]t-0-sumDists'!$B$3, "")</f>
        <v>224</v>
      </c>
      <c r="Q5">
        <f>IFERROR('[1]t-0-units'!$B$3, "")</f>
        <v>40</v>
      </c>
      <c r="R5">
        <f>IFERROR('[1]t-0-deliveries'!$B$3, "")</f>
        <v>0</v>
      </c>
      <c r="S5">
        <f>IFERROR('[1]t-0-sumUnits'!$B$3, "")</f>
        <v>80</v>
      </c>
      <c r="T5" s="15">
        <f t="shared" ref="T5:T13" si="2">IFERROR(Q5/O5, "")</f>
        <v>0.72727272727272729</v>
      </c>
      <c r="U5" s="15">
        <f t="shared" ref="U5:U13" si="3">IFERROR(S5/P5, "")</f>
        <v>0.35714285714285715</v>
      </c>
      <c r="V5" s="15">
        <f>IFERROR('[1]t-0-times'!$B$3, "")</f>
        <v>5.3213888888888894</v>
      </c>
      <c r="W5" t="str">
        <f>IFERROR(_xlfn.XLOOKUP(N5, addresses!$A$1:$A$22, addresses!$B$1:$B$22), "")</f>
        <v>2656 Queenstown Road, Birmingham, AL, 35210</v>
      </c>
      <c r="Y5">
        <f>IFERROR('[1]w-0-routes'!$B$3, "")</f>
        <v>9</v>
      </c>
      <c r="Z5">
        <f>IFERROR('[1]w-0-routes'!$C$3, "")</f>
        <v>3</v>
      </c>
      <c r="AA5">
        <f>IFERROR('[1]w-0-distances'!$B$3, "")</f>
        <v>180</v>
      </c>
      <c r="AB5">
        <f>IFERROR('[1]w-0-sumDists'!$B$3, "")</f>
        <v>486</v>
      </c>
      <c r="AC5">
        <f>IFERROR('[1]w-0-units'!$B$3, "")</f>
        <v>40</v>
      </c>
      <c r="AD5">
        <f>IFERROR('[1]w-0-deliveries'!$B$3, "")</f>
        <v>0</v>
      </c>
      <c r="AE5">
        <f>IFERROR('[1]w-0-sumUnits'!$B$3, "")</f>
        <v>80</v>
      </c>
      <c r="AF5" s="15">
        <f t="shared" ref="AF5:AF13" si="4">IFERROR(AC5/AA5, "")</f>
        <v>0.22222222222222221</v>
      </c>
      <c r="AG5" s="15">
        <f t="shared" ref="AG5:AG13" si="5">IFERROR(AE5/AB5, "")</f>
        <v>0.16460905349794239</v>
      </c>
      <c r="AH5" s="15">
        <f>IFERROR('[1]w-0-times'!$B$3, "")</f>
        <v>8.8947222222222226</v>
      </c>
      <c r="AI5" t="str">
        <f>IFERROR(_xlfn.XLOOKUP(Z5, addresses!$A$1:$A$22, addresses!$B$1:$B$22), "")</f>
        <v>116 Terrace Dr, Haines City, FL, 33844</v>
      </c>
      <c r="AK5">
        <f>IFERROR('[1]th-0-routes'!$B$3, "")</f>
        <v>0</v>
      </c>
      <c r="AL5">
        <f>IFERROR('[1]th-0-routes'!$C$3, "")</f>
        <v>0</v>
      </c>
      <c r="AM5">
        <f>IFERROR('[1]th-0-distances'!$B$3, "")</f>
        <v>0</v>
      </c>
      <c r="AN5">
        <f>IFERROR('[1]th-0-sumDists'!$B$3, "")</f>
        <v>0</v>
      </c>
      <c r="AO5">
        <f>IFERROR('[1]th-0-units'!$B$3, "")</f>
        <v>0</v>
      </c>
      <c r="AP5">
        <f>IFERROR('[1]th-0-deliveries'!$B$3, "")</f>
        <v>0</v>
      </c>
      <c r="AQ5">
        <f>IFERROR('[1]th-0-sumUnits'!$B$3, "")</f>
        <v>0</v>
      </c>
      <c r="AR5" s="15" t="str">
        <f t="shared" ref="AR5:AR13" si="6">IFERROR(AO5/AM5, "")</f>
        <v/>
      </c>
      <c r="AS5" s="15" t="str">
        <f t="shared" ref="AS5:AS13" si="7">IFERROR(AQ5/AN5, "")</f>
        <v/>
      </c>
      <c r="AT5" s="15">
        <f>IFERROR('[1]th-0-times'!$B$3, "")</f>
        <v>0</v>
      </c>
      <c r="AU5" t="str">
        <f>IFERROR(_xlfn.XLOOKUP(AL5, addresses!$A$1:$A$22, addresses!$B$1:$B$22), "")</f>
        <v/>
      </c>
      <c r="AW5">
        <f>IFERROR('[1]f-0-routes'!$B$3, "")</f>
        <v>0</v>
      </c>
      <c r="AX5">
        <f>IFERROR('[1]f-0-routes'!$C$3, "")</f>
        <v>0</v>
      </c>
      <c r="AY5">
        <f>IFERROR('[1]f-0-distances'!$B$3, "")</f>
        <v>0</v>
      </c>
      <c r="AZ5">
        <f>IFERROR('[1]f-0-sumDists'!$B$3, "")</f>
        <v>0</v>
      </c>
      <c r="BA5">
        <f>IFERROR('[1]f-0-units'!$B$3, "")</f>
        <v>0</v>
      </c>
      <c r="BB5">
        <f>IFERROR('[1]f-0-deliveries'!$B$3, "")</f>
        <v>0</v>
      </c>
      <c r="BC5">
        <f>IFERROR('[1]f-0-sumUnits'!$B$3, "")</f>
        <v>0</v>
      </c>
      <c r="BD5" s="15" t="str">
        <f t="shared" ref="BD5:BD13" si="8">IFERROR(BA5/AY5, "")</f>
        <v/>
      </c>
      <c r="BE5" s="15" t="str">
        <f t="shared" ref="BE5:BE13" si="9">IFERROR(BC5/AZ5, "")</f>
        <v/>
      </c>
      <c r="BF5" s="15">
        <f>IFERROR('[1]f-0-times'!$B$3, "")</f>
        <v>0</v>
      </c>
      <c r="BG5" t="str">
        <f>IFERROR(_xlfn.XLOOKUP(AX5, addresses!$A$1:$A$22, addresses!$B$1:$B$22), "")</f>
        <v/>
      </c>
    </row>
    <row r="6" spans="1:60" x14ac:dyDescent="0.25">
      <c r="A6">
        <f>IFERROR('[1]m-0-routes'!$B4, "")</f>
        <v>20</v>
      </c>
      <c r="B6">
        <f>IFERROR('[1]m-0-routes'!$C4, "")</f>
        <v>1</v>
      </c>
      <c r="C6">
        <f>IFERROR('[1]m-0-distances'!B4, "")</f>
        <v>38</v>
      </c>
      <c r="D6">
        <f>IFERROR('[1]m-0-sumDists'!B4, "")</f>
        <v>124</v>
      </c>
      <c r="E6">
        <f>IFERROR('[1]m-0-units'!B4, "")</f>
        <v>0</v>
      </c>
      <c r="F6">
        <f>IFERROR('[1]m-0-deliveries'!B4, "")</f>
        <v>0</v>
      </c>
      <c r="G6">
        <f>IFERROR('[1]m-0-sumUnits'!B4, "")</f>
        <v>80</v>
      </c>
      <c r="H6" s="15">
        <f t="shared" si="0"/>
        <v>0</v>
      </c>
      <c r="I6" s="15">
        <f t="shared" si="1"/>
        <v>0.64516129032258063</v>
      </c>
      <c r="J6" s="15">
        <f>IFERROR('[1]m-0-times'!B4, "")</f>
        <v>5.2905555555555557</v>
      </c>
      <c r="K6" t="str">
        <f>IFERROR(_xlfn.XLOOKUP(B6, addresses!A$1:A$22, addresses!B$1:B$22), "")</f>
        <v>4509 State Hwy 83 North, Defuniak Springs, FL, 32433</v>
      </c>
      <c r="M6">
        <f>IFERROR('[1]t-0-routes'!$B$4, "")</f>
        <v>13</v>
      </c>
      <c r="N6">
        <f>IFERROR('[1]t-0-routes'!$C$4, "")</f>
        <v>1</v>
      </c>
      <c r="O6">
        <f>IFERROR('[1]t-0-distances'!$B$4, "")</f>
        <v>217</v>
      </c>
      <c r="P6">
        <f>IFERROR('[1]t-0-sumDists'!$B$4, "")</f>
        <v>441</v>
      </c>
      <c r="Q6">
        <f>IFERROR('[1]t-0-units'!$B$4, "")</f>
        <v>0</v>
      </c>
      <c r="R6">
        <f>IFERROR('[1]t-0-deliveries'!$B$4, "")</f>
        <v>0</v>
      </c>
      <c r="S6">
        <f>IFERROR('[1]t-0-sumUnits'!$B$4, "")</f>
        <v>80</v>
      </c>
      <c r="T6" s="15">
        <f t="shared" si="2"/>
        <v>0</v>
      </c>
      <c r="U6" s="15">
        <f t="shared" si="3"/>
        <v>0.18140589569160998</v>
      </c>
      <c r="V6" s="15">
        <f>IFERROR('[1]t-0-times'!$B$4, "")</f>
        <v>10.326111111111111</v>
      </c>
      <c r="W6" t="str">
        <f>IFERROR(_xlfn.XLOOKUP(N6, addresses!$A$1:$A$22, addresses!$B$1:$B$22), "")</f>
        <v>4509 State Hwy 83 North, Defuniak Springs, FL, 32433</v>
      </c>
      <c r="Y6">
        <f>IFERROR('[1]w-0-routes'!$B$4, "")</f>
        <v>0</v>
      </c>
      <c r="Z6">
        <f>IFERROR('[1]w-0-routes'!$C$4, "")</f>
        <v>0</v>
      </c>
      <c r="AA6">
        <f>IFERROR('[1]w-0-distances'!$B$4, "")</f>
        <v>0</v>
      </c>
      <c r="AB6">
        <f>IFERROR('[1]w-0-sumDists'!$B$4, "")</f>
        <v>0</v>
      </c>
      <c r="AC6">
        <f>IFERROR('[1]w-0-units'!$B$4, "")</f>
        <v>0</v>
      </c>
      <c r="AD6">
        <f>IFERROR('[1]w-0-deliveries'!$B$4, "")</f>
        <v>0</v>
      </c>
      <c r="AE6">
        <f>IFERROR('[1]w-0-sumUnits'!$B$4, "")</f>
        <v>0</v>
      </c>
      <c r="AF6" s="15" t="str">
        <f t="shared" si="4"/>
        <v/>
      </c>
      <c r="AG6" s="15" t="str">
        <f t="shared" si="5"/>
        <v/>
      </c>
      <c r="AH6" s="15">
        <f>IFERROR('[1]w-0-times'!$B$4, "")</f>
        <v>0</v>
      </c>
      <c r="AI6" t="str">
        <f>IFERROR(_xlfn.XLOOKUP(Z6, addresses!$A$1:$A$22, addresses!$B$1:$B$22), "")</f>
        <v/>
      </c>
      <c r="AK6">
        <f>IFERROR('[1]th-0-routes'!$B$4, "")</f>
        <v>0</v>
      </c>
      <c r="AL6">
        <f>IFERROR('[1]th-0-routes'!$C$4, "")</f>
        <v>0</v>
      </c>
      <c r="AM6">
        <f>IFERROR('[1]th-0-distances'!$B$4, "")</f>
        <v>0</v>
      </c>
      <c r="AN6">
        <f>IFERROR('[1]th-0-sumDists'!$B$4, "")</f>
        <v>0</v>
      </c>
      <c r="AO6">
        <f>IFERROR('[1]th-0-units'!$B$4, "")</f>
        <v>0</v>
      </c>
      <c r="AP6">
        <f>IFERROR('[1]th-0-deliveries'!$B$4, "")</f>
        <v>0</v>
      </c>
      <c r="AQ6">
        <f>IFERROR('[1]th-0-sumUnits'!$B$4, "")</f>
        <v>0</v>
      </c>
      <c r="AR6" s="15" t="str">
        <f t="shared" si="6"/>
        <v/>
      </c>
      <c r="AS6" s="15" t="str">
        <f t="shared" si="7"/>
        <v/>
      </c>
      <c r="AT6" s="15">
        <f>IFERROR('[1]th-0-times'!$B$4, "")</f>
        <v>0</v>
      </c>
      <c r="AU6" t="str">
        <f>IFERROR(_xlfn.XLOOKUP(AL6, addresses!$A$1:$A$22, addresses!$B$1:$B$22), "")</f>
        <v/>
      </c>
      <c r="AW6">
        <f>IFERROR('[1]f-0-routes'!$B$4, "")</f>
        <v>0</v>
      </c>
      <c r="AX6">
        <f>IFERROR('[1]f-0-routes'!$C$4, "")</f>
        <v>0</v>
      </c>
      <c r="AY6">
        <f>IFERROR('[1]f-0-distances'!$B$4, "")</f>
        <v>0</v>
      </c>
      <c r="AZ6">
        <f>IFERROR('[1]f-0-sumDists'!$B$4, "")</f>
        <v>0</v>
      </c>
      <c r="BA6">
        <f>IFERROR('[1]f-0-units'!$B$4, "")</f>
        <v>0</v>
      </c>
      <c r="BB6">
        <f>IFERROR('[1]f-0-deliveries'!$B$4, "")</f>
        <v>0</v>
      </c>
      <c r="BC6">
        <f>IFERROR('[1]f-0-sumUnits'!$B$4, "")</f>
        <v>0</v>
      </c>
      <c r="BD6" s="15" t="str">
        <f t="shared" si="8"/>
        <v/>
      </c>
      <c r="BE6" s="15" t="str">
        <f t="shared" si="9"/>
        <v/>
      </c>
      <c r="BF6" s="15">
        <f>IFERROR('[1]f-0-times'!$B$4, "")</f>
        <v>0</v>
      </c>
      <c r="BG6" t="str">
        <f>IFERROR(_xlfn.XLOOKUP(AX6, addresses!$A$1:$A$22, addresses!$B$1:$B$22), "")</f>
        <v/>
      </c>
    </row>
    <row r="7" spans="1:60" x14ac:dyDescent="0.25">
      <c r="A7">
        <f>IFERROR('[1]m-0-routes'!$B5, "")</f>
        <v>0</v>
      </c>
      <c r="B7">
        <f>IFERROR('[1]m-0-routes'!$C5, "")</f>
        <v>0</v>
      </c>
      <c r="C7">
        <f>IFERROR('[1]m-0-distances'!B5, "")</f>
        <v>0</v>
      </c>
      <c r="D7">
        <f>IFERROR('[1]m-0-sumDists'!B5, "")</f>
        <v>0</v>
      </c>
      <c r="E7">
        <f>IFERROR('[1]m-0-units'!B5, "")</f>
        <v>0</v>
      </c>
      <c r="F7">
        <f>IFERROR('[1]m-0-deliveries'!B5, "")</f>
        <v>0</v>
      </c>
      <c r="G7">
        <f>IFERROR('[1]m-0-sumUnits'!B5, "")</f>
        <v>0</v>
      </c>
      <c r="H7" s="15" t="str">
        <f t="shared" si="0"/>
        <v/>
      </c>
      <c r="I7" s="15" t="str">
        <f t="shared" si="1"/>
        <v/>
      </c>
      <c r="J7" s="15">
        <f>IFERROR('[1]m-0-times'!B5, "")</f>
        <v>0</v>
      </c>
      <c r="K7" t="str">
        <f>IFERROR(_xlfn.XLOOKUP(B7, addresses!A$1:A$22, addresses!B$1:B$22), "")</f>
        <v/>
      </c>
      <c r="M7">
        <f>IFERROR('[1]t-0-routes'!$B$5, "")</f>
        <v>0</v>
      </c>
      <c r="N7">
        <f>IFERROR('[1]t-0-routes'!$C$5, "")</f>
        <v>0</v>
      </c>
      <c r="O7">
        <f>IFERROR('[1]t-0-distances'!$B$5, "")</f>
        <v>0</v>
      </c>
      <c r="P7">
        <f>IFERROR('[1]t-0-sumDists'!$B$5, "")</f>
        <v>0</v>
      </c>
      <c r="Q7">
        <f>IFERROR('[1]t-0-units'!$B$5, "")</f>
        <v>0</v>
      </c>
      <c r="R7">
        <f>IFERROR('[1]t-0-deliveries'!$B$5, "")</f>
        <v>0</v>
      </c>
      <c r="S7">
        <f>IFERROR('[1]t-0-sumUnits'!$B$5, "")</f>
        <v>0</v>
      </c>
      <c r="T7" s="15" t="str">
        <f t="shared" si="2"/>
        <v/>
      </c>
      <c r="U7" s="15" t="str">
        <f t="shared" si="3"/>
        <v/>
      </c>
      <c r="V7" s="15">
        <f>IFERROR('[1]t-0-times'!$B$5, "")</f>
        <v>0</v>
      </c>
      <c r="W7" t="str">
        <f>IFERROR(_xlfn.XLOOKUP(N7, addresses!$A$1:$A$22, addresses!$B$1:$B$22), "")</f>
        <v/>
      </c>
      <c r="Y7">
        <f>IFERROR('[1]w-0-routes'!$B$5, "")</f>
        <v>0</v>
      </c>
      <c r="Z7">
        <f>IFERROR('[1]w-0-routes'!$C$5, "")</f>
        <v>0</v>
      </c>
      <c r="AA7">
        <f>IFERROR('[1]w-0-distances'!$B$5, "")</f>
        <v>0</v>
      </c>
      <c r="AB7">
        <f>IFERROR('[1]w-0-sumDists'!$B$5, "")</f>
        <v>0</v>
      </c>
      <c r="AC7">
        <f>IFERROR('[1]w-0-units'!$B$5, "")</f>
        <v>0</v>
      </c>
      <c r="AD7">
        <f>IFERROR('[1]w-0-deliveries'!$B$5, "")</f>
        <v>0</v>
      </c>
      <c r="AE7">
        <f>IFERROR('[1]w-0-sumUnits'!$B$5, "")</f>
        <v>0</v>
      </c>
      <c r="AF7" s="15" t="str">
        <f t="shared" si="4"/>
        <v/>
      </c>
      <c r="AG7" s="15" t="str">
        <f t="shared" si="5"/>
        <v/>
      </c>
      <c r="AH7" s="15">
        <f>IFERROR('[1]w-0-times'!$B$5, "")</f>
        <v>0</v>
      </c>
      <c r="AI7" t="str">
        <f>IFERROR(_xlfn.XLOOKUP(Z7, addresses!$A$1:$A$22, addresses!$B$1:$B$22), "")</f>
        <v/>
      </c>
      <c r="AK7">
        <f>IFERROR('[1]th-0-routes'!$B$5, "")</f>
        <v>0</v>
      </c>
      <c r="AL7">
        <f>IFERROR('[1]th-0-routes'!$C$5, "")</f>
        <v>0</v>
      </c>
      <c r="AM7">
        <f>IFERROR('[1]th-0-distances'!$B$5, "")</f>
        <v>0</v>
      </c>
      <c r="AN7">
        <f>IFERROR('[1]th-0-sumDists'!$B$5, "")</f>
        <v>0</v>
      </c>
      <c r="AO7">
        <f>IFERROR('[1]th-0-units'!$B$5, "")</f>
        <v>0</v>
      </c>
      <c r="AP7">
        <f>IFERROR('[1]th-0-deliveries'!$B$5, "")</f>
        <v>0</v>
      </c>
      <c r="AQ7">
        <f>IFERROR('[1]th-0-sumUnits'!$B$5, "")</f>
        <v>0</v>
      </c>
      <c r="AR7" s="15" t="str">
        <f t="shared" si="6"/>
        <v/>
      </c>
      <c r="AS7" s="15" t="str">
        <f t="shared" si="7"/>
        <v/>
      </c>
      <c r="AT7" s="15">
        <f>IFERROR('[1]th-0-times'!$B$5, "")</f>
        <v>0</v>
      </c>
      <c r="AU7" t="str">
        <f>IFERROR(_xlfn.XLOOKUP(AL7, addresses!$A$1:$A$22, addresses!$B$1:$B$22), "")</f>
        <v/>
      </c>
      <c r="AW7">
        <f>IFERROR('[1]f-0-routes'!$B$5, "")</f>
        <v>0</v>
      </c>
      <c r="AX7">
        <f>IFERROR('[1]f-0-routes'!$C$5, "")</f>
        <v>0</v>
      </c>
      <c r="AY7">
        <f>IFERROR('[1]f-0-distances'!$B$5, "")</f>
        <v>0</v>
      </c>
      <c r="AZ7">
        <f>IFERROR('[1]f-0-sumDists'!$B$5, "")</f>
        <v>0</v>
      </c>
      <c r="BA7">
        <f>IFERROR('[1]f-0-units'!$B$5, "")</f>
        <v>0</v>
      </c>
      <c r="BB7">
        <f>IFERROR('[1]f-0-deliveries'!$B$5, "")</f>
        <v>0</v>
      </c>
      <c r="BC7">
        <f>IFERROR('[1]f-0-sumUnits'!$B$5, "")</f>
        <v>0</v>
      </c>
      <c r="BD7" s="15" t="str">
        <f t="shared" si="8"/>
        <v/>
      </c>
      <c r="BE7" s="15" t="str">
        <f t="shared" si="9"/>
        <v/>
      </c>
      <c r="BF7" s="15">
        <f>IFERROR('[1]f-0-times'!$B$5, "")</f>
        <v>0</v>
      </c>
      <c r="BG7" t="str">
        <f>IFERROR(_xlfn.XLOOKUP(AX7, addresses!$A$1:$A$22, addresses!$B$1:$B$22), "")</f>
        <v/>
      </c>
    </row>
    <row r="8" spans="1:60" x14ac:dyDescent="0.25">
      <c r="A8">
        <f>IFERROR('[1]m-0-routes'!$B6, "")</f>
        <v>0</v>
      </c>
      <c r="B8">
        <f>IFERROR('[1]m-0-routes'!$C6, "")</f>
        <v>0</v>
      </c>
      <c r="C8">
        <f>IFERROR('[1]m-0-distances'!B6, "")</f>
        <v>0</v>
      </c>
      <c r="D8">
        <f>IFERROR('[1]m-0-sumDists'!B6, "")</f>
        <v>0</v>
      </c>
      <c r="E8">
        <f>IFERROR('[1]m-0-units'!B6, "")</f>
        <v>0</v>
      </c>
      <c r="F8">
        <f>IFERROR('[1]m-0-deliveries'!B6, "")</f>
        <v>0</v>
      </c>
      <c r="G8">
        <f>IFERROR('[1]m-0-sumUnits'!B6, "")</f>
        <v>0</v>
      </c>
      <c r="H8" s="15" t="str">
        <f t="shared" si="0"/>
        <v/>
      </c>
      <c r="I8" s="15" t="str">
        <f t="shared" si="1"/>
        <v/>
      </c>
      <c r="J8" s="15">
        <f>IFERROR('[1]m-0-times'!B6, "")</f>
        <v>0</v>
      </c>
      <c r="K8" t="str">
        <f>IFERROR(_xlfn.XLOOKUP(B8, addresses!A$1:A$22, addresses!B$1:B$22), "")</f>
        <v/>
      </c>
      <c r="M8">
        <f>IFERROR('[1]t-0-routes'!$B$6, "")</f>
        <v>0</v>
      </c>
      <c r="N8">
        <f>IFERROR('[1]t-0-routes'!$C$6, "")</f>
        <v>0</v>
      </c>
      <c r="O8">
        <f>IFERROR('[1]t-0-distances'!$B$6, "")</f>
        <v>0</v>
      </c>
      <c r="P8">
        <f>IFERROR('[1]t-0-sumDists'!$B$6, "")</f>
        <v>0</v>
      </c>
      <c r="Q8">
        <f>IFERROR('[1]t-0-units'!$B$6, "")</f>
        <v>0</v>
      </c>
      <c r="R8">
        <f>IFERROR('[1]t-0-deliveries'!$B$6, "")</f>
        <v>0</v>
      </c>
      <c r="S8">
        <f>IFERROR('[1]t-0-sumUnits'!$B$6, "")</f>
        <v>0</v>
      </c>
      <c r="T8" s="15" t="str">
        <f t="shared" si="2"/>
        <v/>
      </c>
      <c r="U8" s="15" t="str">
        <f t="shared" si="3"/>
        <v/>
      </c>
      <c r="V8" s="15">
        <f>IFERROR('[1]t-0-times'!$B$6, "")</f>
        <v>0</v>
      </c>
      <c r="W8" t="str">
        <f>IFERROR(_xlfn.XLOOKUP(N8, addresses!$A$1:$A$22, addresses!$B$1:$B$22), "")</f>
        <v/>
      </c>
      <c r="Y8">
        <f>IFERROR('[1]w-0-routes'!$B$6, "")</f>
        <v>0</v>
      </c>
      <c r="Z8">
        <f>IFERROR('[1]w-0-routes'!$C$6, "")</f>
        <v>0</v>
      </c>
      <c r="AA8">
        <f>IFERROR('[1]w-0-distances'!$B$6, "")</f>
        <v>0</v>
      </c>
      <c r="AB8">
        <f>IFERROR('[1]w-0-sumDists'!$B$6, "")</f>
        <v>0</v>
      </c>
      <c r="AC8">
        <f>IFERROR('[1]w-0-units'!$B$6, "")</f>
        <v>0</v>
      </c>
      <c r="AD8">
        <f>IFERROR('[1]w-0-deliveries'!$B$6, "")</f>
        <v>0</v>
      </c>
      <c r="AE8">
        <f>IFERROR('[1]w-0-sumUnits'!$B$6, "")</f>
        <v>0</v>
      </c>
      <c r="AF8" s="15" t="str">
        <f t="shared" si="4"/>
        <v/>
      </c>
      <c r="AG8" s="15" t="str">
        <f t="shared" si="5"/>
        <v/>
      </c>
      <c r="AH8" s="15">
        <f>IFERROR('[1]w-0-times'!$B$6, "")</f>
        <v>0</v>
      </c>
      <c r="AI8" t="str">
        <f>IFERROR(_xlfn.XLOOKUP(Z8, addresses!$A$1:$A$22, addresses!$B$1:$B$22), "")</f>
        <v/>
      </c>
      <c r="AK8">
        <f>IFERROR('[1]th-0-routes'!$B$6, "")</f>
        <v>0</v>
      </c>
      <c r="AL8">
        <f>IFERROR('[1]th-0-routes'!$C$6, "")</f>
        <v>0</v>
      </c>
      <c r="AM8">
        <f>IFERROR('[1]th-0-distances'!$B$6, "")</f>
        <v>0</v>
      </c>
      <c r="AN8">
        <f>IFERROR('[1]th-0-sumDists'!$B$6, "")</f>
        <v>0</v>
      </c>
      <c r="AO8">
        <f>IFERROR('[1]th-0-units'!$B$6, "")</f>
        <v>0</v>
      </c>
      <c r="AP8">
        <f>IFERROR('[1]th-0-deliveries'!$B$6, "")</f>
        <v>0</v>
      </c>
      <c r="AQ8">
        <f>IFERROR('[1]th-0-sumUnits'!$B$6, "")</f>
        <v>0</v>
      </c>
      <c r="AR8" s="15" t="str">
        <f t="shared" si="6"/>
        <v/>
      </c>
      <c r="AS8" s="15" t="str">
        <f t="shared" si="7"/>
        <v/>
      </c>
      <c r="AT8" s="15">
        <f>IFERROR('[1]th-0-times'!$B$6, "")</f>
        <v>0</v>
      </c>
      <c r="AU8" t="str">
        <f>IFERROR(_xlfn.XLOOKUP(AL8, addresses!$A$1:$A$22, addresses!$B$1:$B$22), "")</f>
        <v/>
      </c>
      <c r="AW8">
        <f>IFERROR('[1]f-0-routes'!$B$6, "")</f>
        <v>0</v>
      </c>
      <c r="AX8">
        <f>IFERROR('[1]f-0-routes'!$C$6, "")</f>
        <v>0</v>
      </c>
      <c r="AY8">
        <f>IFERROR('[1]f-0-distances'!$B$6, "")</f>
        <v>0</v>
      </c>
      <c r="AZ8">
        <f>IFERROR('[1]f-0-sumDists'!$B$6, "")</f>
        <v>0</v>
      </c>
      <c r="BA8">
        <f>IFERROR('[1]f-0-units'!$B$6, "")</f>
        <v>0</v>
      </c>
      <c r="BB8">
        <f>IFERROR('[1]f-0-deliveries'!$B$6, "")</f>
        <v>0</v>
      </c>
      <c r="BC8">
        <f>IFERROR('[1]f-0-sumUnits'!$B$6, "")</f>
        <v>0</v>
      </c>
      <c r="BD8" s="15" t="str">
        <f t="shared" si="8"/>
        <v/>
      </c>
      <c r="BE8" s="15" t="str">
        <f t="shared" si="9"/>
        <v/>
      </c>
      <c r="BF8" s="15">
        <f>IFERROR('[1]f-0-times'!$B$6, "")</f>
        <v>0</v>
      </c>
      <c r="BG8" t="str">
        <f>IFERROR(_xlfn.XLOOKUP(AX8, addresses!$A$1:$A$22, addresses!$B$1:$B$22), "")</f>
        <v/>
      </c>
    </row>
    <row r="9" spans="1:60" x14ac:dyDescent="0.25">
      <c r="A9">
        <f>IFERROR('[1]m-0-routes'!$B7, B8)</f>
        <v>0</v>
      </c>
      <c r="B9">
        <f>IFERROR('[1]m-0-routes'!$C7, "")</f>
        <v>0</v>
      </c>
      <c r="C9">
        <f>IFERROR('[1]m-0-distances'!B7, "")</f>
        <v>0</v>
      </c>
      <c r="D9">
        <f>IFERROR('[1]m-0-sumDists'!B7, "")</f>
        <v>0</v>
      </c>
      <c r="E9">
        <f>IFERROR('[1]m-0-units'!B7, "")</f>
        <v>0</v>
      </c>
      <c r="F9">
        <f>IFERROR('[1]m-0-deliveries'!B7, "")</f>
        <v>0</v>
      </c>
      <c r="G9">
        <f>IFERROR('[1]m-0-sumUnits'!B7, "")</f>
        <v>0</v>
      </c>
      <c r="H9" s="15" t="str">
        <f t="shared" si="0"/>
        <v/>
      </c>
      <c r="I9" s="15" t="str">
        <f t="shared" si="1"/>
        <v/>
      </c>
      <c r="J9" s="15">
        <f>IFERROR('[1]m-0-times'!B7, "")</f>
        <v>0</v>
      </c>
      <c r="K9" t="str">
        <f>IFERROR(_xlfn.XLOOKUP(B9, addresses!A$1:A$22, addresses!B$1:B$22), "")</f>
        <v/>
      </c>
      <c r="M9">
        <f>IFERROR('[1]t-0-routes'!$B$7, "")</f>
        <v>0</v>
      </c>
      <c r="N9">
        <f>IFERROR('[1]t-0-routes'!$C$7, "")</f>
        <v>0</v>
      </c>
      <c r="O9">
        <f>IFERROR('[1]t-0-distances'!$B$7, "")</f>
        <v>0</v>
      </c>
      <c r="P9">
        <f>IFERROR('[1]t-0-sumDists'!$B$7, "")</f>
        <v>0</v>
      </c>
      <c r="Q9">
        <f>IFERROR('[1]t-0-units'!$B$7, "")</f>
        <v>0</v>
      </c>
      <c r="R9">
        <f>IFERROR('[1]t-0-deliveries'!$B$7, "")</f>
        <v>0</v>
      </c>
      <c r="S9">
        <f>IFERROR('[1]t-0-sumUnits'!$B$7, "")</f>
        <v>0</v>
      </c>
      <c r="T9" s="15" t="str">
        <f t="shared" si="2"/>
        <v/>
      </c>
      <c r="U9" s="15" t="str">
        <f t="shared" si="3"/>
        <v/>
      </c>
      <c r="V9" s="15">
        <f>IFERROR('[1]t-0-times'!$B$7, "")</f>
        <v>0</v>
      </c>
      <c r="W9" t="str">
        <f>IFERROR(_xlfn.XLOOKUP(N9, addresses!$A$1:$A$22, addresses!$B$1:$B$22), "")</f>
        <v/>
      </c>
      <c r="Y9">
        <f>IFERROR('[1]w-0-routes'!$B$7, "")</f>
        <v>0</v>
      </c>
      <c r="Z9">
        <f>IFERROR('[1]w-0-routes'!$C$7, "")</f>
        <v>0</v>
      </c>
      <c r="AA9">
        <f>IFERROR('[1]w-0-distances'!$B$7, "")</f>
        <v>0</v>
      </c>
      <c r="AB9">
        <f>IFERROR('[1]w-0-sumDists'!$B$7, "")</f>
        <v>0</v>
      </c>
      <c r="AC9">
        <f>IFERROR('[1]w-0-units'!$B$7, "")</f>
        <v>0</v>
      </c>
      <c r="AD9">
        <f>IFERROR('[1]w-0-deliveries'!$B$7, "")</f>
        <v>0</v>
      </c>
      <c r="AE9">
        <f>IFERROR('[1]w-0-sumUnits'!$B$7, "")</f>
        <v>0</v>
      </c>
      <c r="AF9" s="15" t="str">
        <f t="shared" si="4"/>
        <v/>
      </c>
      <c r="AG9" s="15" t="str">
        <f t="shared" si="5"/>
        <v/>
      </c>
      <c r="AH9" s="15">
        <f>IFERROR('[1]w-0-times'!$B$7, "")</f>
        <v>0</v>
      </c>
      <c r="AI9" t="str">
        <f>IFERROR(_xlfn.XLOOKUP(Z9, addresses!$A$1:$A$22, addresses!$B$1:$B$22), "")</f>
        <v/>
      </c>
      <c r="AK9">
        <f>IFERROR('[1]th-0-routes'!$B$7, "")</f>
        <v>0</v>
      </c>
      <c r="AL9">
        <f>IFERROR('[1]th-0-routes'!$C$7, "")</f>
        <v>0</v>
      </c>
      <c r="AM9">
        <f>IFERROR('[1]th-0-distances'!$B$7, "")</f>
        <v>0</v>
      </c>
      <c r="AN9">
        <f>IFERROR('[1]th-0-sumDists'!$B$7, "")</f>
        <v>0</v>
      </c>
      <c r="AO9">
        <f>IFERROR('[1]th-0-units'!$B$7, "")</f>
        <v>0</v>
      </c>
      <c r="AP9">
        <f>IFERROR('[1]th-0-deliveries'!$B$7, "")</f>
        <v>0</v>
      </c>
      <c r="AQ9">
        <f>IFERROR('[1]th-0-sumUnits'!$B$7, "")</f>
        <v>0</v>
      </c>
      <c r="AR9" s="15" t="str">
        <f t="shared" si="6"/>
        <v/>
      </c>
      <c r="AS9" s="15" t="str">
        <f t="shared" si="7"/>
        <v/>
      </c>
      <c r="AT9" s="15">
        <f>IFERROR('[1]th-0-times'!$B$7, "")</f>
        <v>0</v>
      </c>
      <c r="AU9" t="str">
        <f>IFERROR(_xlfn.XLOOKUP(AL9, addresses!$A$1:$A$22, addresses!$B$1:$B$22), "")</f>
        <v/>
      </c>
      <c r="AW9">
        <f>IFERROR('[1]f-0-routes'!$B$7, "")</f>
        <v>0</v>
      </c>
      <c r="AX9">
        <f>IFERROR('[1]f-0-routes'!$C$7, "")</f>
        <v>0</v>
      </c>
      <c r="AY9">
        <f>IFERROR('[1]f-0-distances'!$B$7, "")</f>
        <v>0</v>
      </c>
      <c r="AZ9">
        <f>IFERROR('[1]f-0-sumDists'!$B$7, "")</f>
        <v>0</v>
      </c>
      <c r="BA9">
        <f>IFERROR('[1]f-0-units'!$B$7, "")</f>
        <v>0</v>
      </c>
      <c r="BB9">
        <f>IFERROR('[1]f-0-deliveries'!$B$7, "")</f>
        <v>0</v>
      </c>
      <c r="BC9">
        <f>IFERROR('[1]f-0-sumUnits'!$B$7, "")</f>
        <v>0</v>
      </c>
      <c r="BD9" s="15" t="str">
        <f t="shared" si="8"/>
        <v/>
      </c>
      <c r="BE9" s="15" t="str">
        <f t="shared" si="9"/>
        <v/>
      </c>
      <c r="BF9" s="15">
        <f>IFERROR('[1]f-0-times'!$B$7, "")</f>
        <v>0</v>
      </c>
      <c r="BG9" t="str">
        <f>IFERROR(_xlfn.XLOOKUP(AX9, addresses!$A$1:$A$22, addresses!$B$1:$B$22), "")</f>
        <v/>
      </c>
    </row>
    <row r="10" spans="1:60" x14ac:dyDescent="0.25">
      <c r="A10">
        <f>IFERROR('[1]m-0-routes'!$B8, B9)</f>
        <v>0</v>
      </c>
      <c r="B10">
        <f>IFERROR('[1]m-0-routes'!$C8, "")</f>
        <v>0</v>
      </c>
      <c r="C10">
        <f>IFERROR('[1]m-0-distances'!B8, "")</f>
        <v>0</v>
      </c>
      <c r="D10">
        <f>IFERROR('[1]m-0-sumDists'!B8, "")</f>
        <v>0</v>
      </c>
      <c r="E10">
        <f>IFERROR('[1]m-0-units'!B8, "")</f>
        <v>0</v>
      </c>
      <c r="F10">
        <f>IFERROR('[1]m-0-deliveries'!B8, "")</f>
        <v>0</v>
      </c>
      <c r="G10">
        <f>IFERROR('[1]m-0-sumUnits'!B8, "")</f>
        <v>0</v>
      </c>
      <c r="H10" s="15" t="str">
        <f t="shared" si="0"/>
        <v/>
      </c>
      <c r="I10" s="15" t="str">
        <f t="shared" si="1"/>
        <v/>
      </c>
      <c r="J10" s="15">
        <f>IFERROR('[1]m-0-times'!B8, "")</f>
        <v>0</v>
      </c>
      <c r="K10" t="str">
        <f>IFERROR(_xlfn.XLOOKUP(B10, addresses!A$1:A$22, addresses!B$1:B$22), "")</f>
        <v/>
      </c>
      <c r="M10">
        <f>IFERROR('[1]t-0-routes'!$B$8, "")</f>
        <v>0</v>
      </c>
      <c r="N10">
        <f>IFERROR('[1]t-0-routes'!$C$8, "")</f>
        <v>0</v>
      </c>
      <c r="O10">
        <f>IFERROR('[1]t-0-distances'!$B$8, "")</f>
        <v>0</v>
      </c>
      <c r="P10">
        <f>IFERROR('[1]t-0-sumDists'!$B$8, "")</f>
        <v>0</v>
      </c>
      <c r="Q10">
        <f>IFERROR('[1]t-0-units'!$B$8, "")</f>
        <v>0</v>
      </c>
      <c r="R10">
        <f>IFERROR('[1]t-0-deliveries'!$B$8, "")</f>
        <v>0</v>
      </c>
      <c r="S10">
        <f>IFERROR('[1]t-0-sumUnits'!$B$8, "")</f>
        <v>0</v>
      </c>
      <c r="T10" s="15" t="str">
        <f t="shared" si="2"/>
        <v/>
      </c>
      <c r="U10" s="15" t="str">
        <f t="shared" si="3"/>
        <v/>
      </c>
      <c r="V10" s="15">
        <f>IFERROR('[1]t-0-times'!$B$8, "")</f>
        <v>0</v>
      </c>
      <c r="W10" t="str">
        <f>IFERROR(_xlfn.XLOOKUP(N10, addresses!$A$1:$A$22, addresses!$B$1:$B$22), "")</f>
        <v/>
      </c>
      <c r="Y10">
        <f>IFERROR('[1]w-0-routes'!$B$8, "")</f>
        <v>0</v>
      </c>
      <c r="Z10">
        <f>IFERROR('[1]w-0-routes'!$C$8, "")</f>
        <v>0</v>
      </c>
      <c r="AA10">
        <f>IFERROR('[1]w-0-distances'!$B$8, "")</f>
        <v>0</v>
      </c>
      <c r="AB10">
        <f>IFERROR('[1]w-0-sumDists'!$B$8, "")</f>
        <v>0</v>
      </c>
      <c r="AC10">
        <f>IFERROR('[1]w-0-units'!$B$8, "")</f>
        <v>0</v>
      </c>
      <c r="AD10">
        <f>IFERROR('[1]w-0-deliveries'!$B$8, "")</f>
        <v>0</v>
      </c>
      <c r="AE10">
        <f>IFERROR('[1]w-0-sumUnits'!$B$8, "")</f>
        <v>0</v>
      </c>
      <c r="AF10" s="15" t="str">
        <f t="shared" si="4"/>
        <v/>
      </c>
      <c r="AG10" s="15" t="str">
        <f t="shared" si="5"/>
        <v/>
      </c>
      <c r="AH10" s="15">
        <f>IFERROR('[1]w-0-times'!$B$8, "")</f>
        <v>0</v>
      </c>
      <c r="AI10" t="str">
        <f>IFERROR(_xlfn.XLOOKUP(Z10, addresses!$A$1:$A$22, addresses!$B$1:$B$22), "")</f>
        <v/>
      </c>
      <c r="AK10">
        <f>IFERROR('[1]th-0-routes'!$B$8, "")</f>
        <v>0</v>
      </c>
      <c r="AL10">
        <f>IFERROR('[1]th-0-routes'!$C$8, "")</f>
        <v>0</v>
      </c>
      <c r="AM10">
        <f>IFERROR('[1]th-0-distances'!$B$8, "")</f>
        <v>0</v>
      </c>
      <c r="AN10">
        <f>IFERROR('[1]th-0-sumDists'!$B$8, "")</f>
        <v>0</v>
      </c>
      <c r="AO10">
        <f>IFERROR('[1]th-0-units'!$B$8, "")</f>
        <v>0</v>
      </c>
      <c r="AP10">
        <f>IFERROR('[1]th-0-deliveries'!$B$8, "")</f>
        <v>0</v>
      </c>
      <c r="AQ10">
        <f>IFERROR('[1]th-0-sumUnits'!$B$8, "")</f>
        <v>0</v>
      </c>
      <c r="AR10" s="15" t="str">
        <f t="shared" si="6"/>
        <v/>
      </c>
      <c r="AS10" s="15" t="str">
        <f t="shared" si="7"/>
        <v/>
      </c>
      <c r="AT10" s="15">
        <f>IFERROR('[1]th-0-times'!$B$8, "")</f>
        <v>0</v>
      </c>
      <c r="AU10" t="str">
        <f>IFERROR(_xlfn.XLOOKUP(AL10, addresses!$A$1:$A$22, addresses!$B$1:$B$22), "")</f>
        <v/>
      </c>
      <c r="AW10">
        <f>IFERROR('[1]f-0-routes'!$B$8, "")</f>
        <v>0</v>
      </c>
      <c r="AX10">
        <f>IFERROR('[1]f-0-routes'!$C$8, "")</f>
        <v>0</v>
      </c>
      <c r="AY10">
        <f>IFERROR('[1]f-0-distances'!$B$8, "")</f>
        <v>0</v>
      </c>
      <c r="AZ10">
        <f>IFERROR('[1]f-0-sumDists'!$B$8, "")</f>
        <v>0</v>
      </c>
      <c r="BA10">
        <f>IFERROR('[1]f-0-units'!$B$8, "")</f>
        <v>0</v>
      </c>
      <c r="BB10">
        <f>IFERROR('[1]f-0-deliveries'!$B$8, "")</f>
        <v>0</v>
      </c>
      <c r="BC10">
        <f>IFERROR('[1]f-0-sumUnits'!$B$8, "")</f>
        <v>0</v>
      </c>
      <c r="BD10" s="15" t="str">
        <f t="shared" si="8"/>
        <v/>
      </c>
      <c r="BE10" s="15" t="str">
        <f t="shared" si="9"/>
        <v/>
      </c>
      <c r="BF10" s="15">
        <f>IFERROR('[1]f-0-times'!$B$8, "")</f>
        <v>0</v>
      </c>
      <c r="BG10" t="str">
        <f>IFERROR(_xlfn.XLOOKUP(AX10, addresses!$A$1:$A$22, addresses!$B$1:$B$22), "")</f>
        <v/>
      </c>
    </row>
    <row r="11" spans="1:60" x14ac:dyDescent="0.25">
      <c r="A11">
        <f>IFERROR('[1]m-0-routes'!$B9, B10)</f>
        <v>0</v>
      </c>
      <c r="B11">
        <f>IFERROR('[1]m-0-routes'!$C9, "")</f>
        <v>0</v>
      </c>
      <c r="C11">
        <f>IFERROR('[1]m-0-distances'!B9, "")</f>
        <v>0</v>
      </c>
      <c r="D11">
        <f>IFERROR('[1]m-0-sumDists'!B9, "")</f>
        <v>0</v>
      </c>
      <c r="E11">
        <f>IFERROR('[1]m-0-units'!B9, "")</f>
        <v>0</v>
      </c>
      <c r="F11">
        <f>IFERROR('[1]m-0-deliveries'!B9, "")</f>
        <v>0</v>
      </c>
      <c r="G11">
        <f>IFERROR('[1]m-0-sumUnits'!B9, "")</f>
        <v>0</v>
      </c>
      <c r="H11" s="15" t="str">
        <f t="shared" si="0"/>
        <v/>
      </c>
      <c r="I11" s="15" t="str">
        <f t="shared" si="1"/>
        <v/>
      </c>
      <c r="J11" s="15">
        <f>IFERROR('[1]m-0-times'!B9, "")</f>
        <v>0</v>
      </c>
      <c r="K11" t="str">
        <f>IFERROR(_xlfn.XLOOKUP(B11, addresses!A$1:A$22, addresses!B$1:B$22), "")</f>
        <v/>
      </c>
      <c r="M11">
        <f>IFERROR('[1]t-0-routes'!$B$9, "")</f>
        <v>0</v>
      </c>
      <c r="N11">
        <f>IFERROR('[1]t-0-routes'!$C$9, "")</f>
        <v>0</v>
      </c>
      <c r="O11">
        <f>IFERROR('[1]t-0-distances'!$B$9, "")</f>
        <v>0</v>
      </c>
      <c r="P11">
        <f>IFERROR('[1]t-0-sumDists'!$B$9, "")</f>
        <v>0</v>
      </c>
      <c r="Q11">
        <f>IFERROR('[1]t-0-units'!$B$9, "")</f>
        <v>0</v>
      </c>
      <c r="R11">
        <f>IFERROR('[1]t-0-deliveries'!$B$9, "")</f>
        <v>0</v>
      </c>
      <c r="S11">
        <f>IFERROR('[1]t-0-sumUnits'!$B$9, "")</f>
        <v>0</v>
      </c>
      <c r="T11" s="15" t="str">
        <f t="shared" si="2"/>
        <v/>
      </c>
      <c r="U11" s="15" t="str">
        <f t="shared" si="3"/>
        <v/>
      </c>
      <c r="V11" s="15">
        <f>IFERROR('[1]t-0-times'!$B$9, "")</f>
        <v>0</v>
      </c>
      <c r="W11" t="str">
        <f>IFERROR(_xlfn.XLOOKUP(N11, addresses!$A$1:$A$22, addresses!$B$1:$B$22), "")</f>
        <v/>
      </c>
      <c r="Y11">
        <f>IFERROR('[1]w-0-routes'!$B$9, "")</f>
        <v>0</v>
      </c>
      <c r="Z11">
        <f>IFERROR('[1]w-0-routes'!$C$9, "")</f>
        <v>0</v>
      </c>
      <c r="AA11">
        <f>IFERROR('[1]w-0-distances'!$B$9, "")</f>
        <v>0</v>
      </c>
      <c r="AB11">
        <f>IFERROR('[1]w-0-sumDists'!$B$9, "")</f>
        <v>0</v>
      </c>
      <c r="AC11">
        <f>IFERROR('[1]w-0-units'!$B$9, "")</f>
        <v>0</v>
      </c>
      <c r="AD11">
        <f>IFERROR('[1]w-0-deliveries'!$B$9, "")</f>
        <v>0</v>
      </c>
      <c r="AE11">
        <f>IFERROR('[1]w-0-sumUnits'!$B$9, "")</f>
        <v>0</v>
      </c>
      <c r="AF11" s="15" t="str">
        <f t="shared" si="4"/>
        <v/>
      </c>
      <c r="AG11" s="15" t="str">
        <f t="shared" si="5"/>
        <v/>
      </c>
      <c r="AH11" s="15">
        <f>IFERROR('[1]w-0-times'!$B$9, "")</f>
        <v>0</v>
      </c>
      <c r="AI11" t="str">
        <f>IFERROR(_xlfn.XLOOKUP(Z11, addresses!$A$1:$A$22, addresses!$B$1:$B$22), "")</f>
        <v/>
      </c>
      <c r="AK11">
        <f>IFERROR('[1]th-0-routes'!$B$9, "")</f>
        <v>0</v>
      </c>
      <c r="AL11">
        <f>IFERROR('[1]th-0-routes'!$C$9, "")</f>
        <v>0</v>
      </c>
      <c r="AM11">
        <f>IFERROR('[1]th-0-distances'!$B$9, "")</f>
        <v>0</v>
      </c>
      <c r="AN11">
        <f>IFERROR('[1]th-0-sumDists'!$B$9, "")</f>
        <v>0</v>
      </c>
      <c r="AO11">
        <f>IFERROR('[1]th-0-units'!$B$9, "")</f>
        <v>0</v>
      </c>
      <c r="AP11">
        <f>IFERROR('[1]th-0-deliveries'!$B$9, "")</f>
        <v>0</v>
      </c>
      <c r="AQ11">
        <f>IFERROR('[1]th-0-sumUnits'!$B$9, "")</f>
        <v>0</v>
      </c>
      <c r="AR11" s="15" t="str">
        <f t="shared" si="6"/>
        <v/>
      </c>
      <c r="AS11" s="15" t="str">
        <f t="shared" si="7"/>
        <v/>
      </c>
      <c r="AT11" s="15">
        <f>IFERROR('[1]th-0-times'!$B$9, "")</f>
        <v>0</v>
      </c>
      <c r="AU11" t="str">
        <f>IFERROR(_xlfn.XLOOKUP(AL11, addresses!$A$1:$A$22, addresses!$B$1:$B$22), "")</f>
        <v/>
      </c>
      <c r="AW11">
        <f>IFERROR('[1]f-0-routes'!$B$9, "")</f>
        <v>0</v>
      </c>
      <c r="AX11">
        <f>IFERROR('[1]f-0-routes'!$C$9, "")</f>
        <v>0</v>
      </c>
      <c r="AY11">
        <f>IFERROR('[1]f-0-distances'!$B$9, "")</f>
        <v>0</v>
      </c>
      <c r="AZ11">
        <f>IFERROR('[1]f-0-sumDists'!$B$9, "")</f>
        <v>0</v>
      </c>
      <c r="BA11">
        <f>IFERROR('[1]f-0-units'!$B$9, "")</f>
        <v>0</v>
      </c>
      <c r="BB11">
        <f>IFERROR('[1]f-0-deliveries'!$B$9, "")</f>
        <v>0</v>
      </c>
      <c r="BC11">
        <f>IFERROR('[1]f-0-sumUnits'!$B$9, "")</f>
        <v>0</v>
      </c>
      <c r="BD11" s="15" t="str">
        <f t="shared" si="8"/>
        <v/>
      </c>
      <c r="BE11" s="15" t="str">
        <f t="shared" si="9"/>
        <v/>
      </c>
      <c r="BF11" s="15">
        <f>IFERROR('[1]f-0-times'!$B$9, "")</f>
        <v>0</v>
      </c>
      <c r="BG11" t="str">
        <f>IFERROR(_xlfn.XLOOKUP(AX11, addresses!$A$1:$A$22, addresses!$B$1:$B$22), "")</f>
        <v/>
      </c>
    </row>
    <row r="12" spans="1:60" x14ac:dyDescent="0.25">
      <c r="A12">
        <f>IFERROR('[1]m-0-routes'!$B10, B11)</f>
        <v>0</v>
      </c>
      <c r="B12">
        <f>IFERROR('[1]m-0-routes'!$C10, "")</f>
        <v>0</v>
      </c>
      <c r="C12">
        <f>IFERROR('[1]m-0-distances'!B10, "")</f>
        <v>0</v>
      </c>
      <c r="D12">
        <f>IFERROR('[1]m-0-sumDists'!B10, "")</f>
        <v>0</v>
      </c>
      <c r="E12">
        <f>IFERROR('[1]m-0-units'!B10, "")</f>
        <v>0</v>
      </c>
      <c r="F12">
        <f>IFERROR('[1]m-0-deliveries'!B10, "")</f>
        <v>0</v>
      </c>
      <c r="G12">
        <f>IFERROR('[1]m-0-sumUnits'!B10, "")</f>
        <v>0</v>
      </c>
      <c r="H12" s="15" t="str">
        <f t="shared" si="0"/>
        <v/>
      </c>
      <c r="I12" s="15" t="str">
        <f t="shared" si="1"/>
        <v/>
      </c>
      <c r="J12" s="15">
        <f>IFERROR('[1]m-0-times'!B10, "")</f>
        <v>0</v>
      </c>
      <c r="K12" t="str">
        <f>IFERROR(_xlfn.XLOOKUP(B12, addresses!A$1:A$22, addresses!B$1:B$22), "")</f>
        <v/>
      </c>
      <c r="M12">
        <f>IFERROR('[1]t-0-routes'!$B$10, "")</f>
        <v>0</v>
      </c>
      <c r="N12">
        <f>IFERROR('[1]t-0-routes'!$C$10, "")</f>
        <v>0</v>
      </c>
      <c r="O12">
        <f>IFERROR('[1]t-0-distances'!$B$10, "")</f>
        <v>0</v>
      </c>
      <c r="P12">
        <f>IFERROR('[1]t-0-sumDists'!$B$10, "")</f>
        <v>0</v>
      </c>
      <c r="Q12">
        <f>IFERROR('[1]t-0-units'!$B$10, "")</f>
        <v>0</v>
      </c>
      <c r="R12">
        <f>IFERROR('[1]t-0-deliveries'!$B$10, "")</f>
        <v>0</v>
      </c>
      <c r="S12">
        <f>IFERROR('[1]t-0-sumUnits'!$B$10, "")</f>
        <v>0</v>
      </c>
      <c r="T12" s="15" t="str">
        <f t="shared" si="2"/>
        <v/>
      </c>
      <c r="U12" s="15" t="str">
        <f t="shared" si="3"/>
        <v/>
      </c>
      <c r="V12" s="15">
        <f>IFERROR('[1]t-0-times'!$B$10, "")</f>
        <v>0</v>
      </c>
      <c r="W12" t="str">
        <f>IFERROR(_xlfn.XLOOKUP(N12, addresses!$A$1:$A$22, addresses!$B$1:$B$22), "")</f>
        <v/>
      </c>
      <c r="Y12">
        <f>IFERROR('[1]w-0-routes'!$B$10, "")</f>
        <v>0</v>
      </c>
      <c r="Z12">
        <f>IFERROR('[1]w-0-routes'!$C$10, "")</f>
        <v>0</v>
      </c>
      <c r="AA12">
        <f>IFERROR('[1]w-0-distances'!$B$10, "")</f>
        <v>0</v>
      </c>
      <c r="AB12">
        <f>IFERROR('[1]w-0-sumDists'!$B$10, "")</f>
        <v>0</v>
      </c>
      <c r="AC12">
        <f>IFERROR('[1]w-0-units'!$B$10, "")</f>
        <v>0</v>
      </c>
      <c r="AD12">
        <f>IFERROR('[1]w-0-deliveries'!$B$10, "")</f>
        <v>0</v>
      </c>
      <c r="AE12">
        <f>IFERROR('[1]w-0-sumUnits'!$B$10, "")</f>
        <v>0</v>
      </c>
      <c r="AF12" s="15" t="str">
        <f t="shared" si="4"/>
        <v/>
      </c>
      <c r="AG12" s="15" t="str">
        <f t="shared" si="5"/>
        <v/>
      </c>
      <c r="AH12" s="15">
        <f>IFERROR('[1]w-0-times'!$B$10, "")</f>
        <v>0</v>
      </c>
      <c r="AI12" t="str">
        <f>IFERROR(_xlfn.XLOOKUP(Z12, addresses!$A$1:$A$22, addresses!$B$1:$B$22), "")</f>
        <v/>
      </c>
      <c r="AK12">
        <f>IFERROR('[1]th-0-routes'!$B$10, "")</f>
        <v>0</v>
      </c>
      <c r="AL12">
        <f>IFERROR('[1]th-0-routes'!$C$10, "")</f>
        <v>0</v>
      </c>
      <c r="AM12">
        <f>IFERROR('[1]th-0-distances'!$B$10, "")</f>
        <v>0</v>
      </c>
      <c r="AN12">
        <f>IFERROR('[1]th-0-sumDists'!$B$10, "")</f>
        <v>0</v>
      </c>
      <c r="AO12">
        <f>IFERROR('[1]th-0-units'!$B$10, "")</f>
        <v>0</v>
      </c>
      <c r="AP12">
        <f>IFERROR('[1]th-0-deliveries'!$B$10, "")</f>
        <v>0</v>
      </c>
      <c r="AQ12">
        <f>IFERROR('[1]th-0-sumUnits'!$B$10, "")</f>
        <v>0</v>
      </c>
      <c r="AR12" s="15" t="str">
        <f t="shared" si="6"/>
        <v/>
      </c>
      <c r="AS12" s="15" t="str">
        <f t="shared" si="7"/>
        <v/>
      </c>
      <c r="AT12" s="15">
        <f>IFERROR('[1]th-0-times'!$B$10, "")</f>
        <v>0</v>
      </c>
      <c r="AU12" t="str">
        <f>IFERROR(_xlfn.XLOOKUP(AL12, addresses!$A$1:$A$22, addresses!$B$1:$B$22), "")</f>
        <v/>
      </c>
      <c r="AW12">
        <f>IFERROR('[1]f-0-routes'!$B$10, "")</f>
        <v>0</v>
      </c>
      <c r="AX12">
        <f>IFERROR('[1]f-0-routes'!$C$10, "")</f>
        <v>0</v>
      </c>
      <c r="AY12">
        <f>IFERROR('[1]f-0-distances'!$B$10, "")</f>
        <v>0</v>
      </c>
      <c r="AZ12">
        <f>IFERROR('[1]f-0-sumDists'!$B$10, "")</f>
        <v>0</v>
      </c>
      <c r="BA12">
        <f>IFERROR('[1]f-0-units'!$B$10, "")</f>
        <v>0</v>
      </c>
      <c r="BB12">
        <f>IFERROR('[1]f-0-deliveries'!$B$10, "")</f>
        <v>0</v>
      </c>
      <c r="BC12">
        <f>IFERROR('[1]f-0-sumUnits'!$B$10, "")</f>
        <v>0</v>
      </c>
      <c r="BD12" s="15" t="str">
        <f t="shared" si="8"/>
        <v/>
      </c>
      <c r="BE12" s="15" t="str">
        <f t="shared" si="9"/>
        <v/>
      </c>
      <c r="BF12" s="15">
        <f>IFERROR('[1]f-0-times'!$B$10, "")</f>
        <v>0</v>
      </c>
      <c r="BG12" t="str">
        <f>IFERROR(_xlfn.XLOOKUP(AX12, addresses!$A$1:$A$22, addresses!$B$1:$B$22), "")</f>
        <v/>
      </c>
    </row>
    <row r="13" spans="1:60" x14ac:dyDescent="0.25">
      <c r="A13">
        <f>IFERROR('[1]m-0-routes'!$B11, B12)</f>
        <v>0</v>
      </c>
      <c r="B13">
        <f>IFERROR('[1]m-0-routes'!$C11, "")</f>
        <v>0</v>
      </c>
      <c r="C13">
        <f>IFERROR('[1]m-0-distances'!B11, "")</f>
        <v>0</v>
      </c>
      <c r="D13">
        <f>IFERROR('[1]m-0-sumDists'!B11, "")</f>
        <v>0</v>
      </c>
      <c r="E13">
        <f>IFERROR('[1]m-0-units'!B11, "")</f>
        <v>0</v>
      </c>
      <c r="F13">
        <f>IFERROR('[1]m-0-deliveries'!B11, "")</f>
        <v>0</v>
      </c>
      <c r="G13">
        <f>IFERROR('[1]m-0-sumUnits'!B11, "")</f>
        <v>0</v>
      </c>
      <c r="H13" s="15" t="str">
        <f t="shared" si="0"/>
        <v/>
      </c>
      <c r="I13" s="15" t="str">
        <f t="shared" si="1"/>
        <v/>
      </c>
      <c r="J13" s="15">
        <f>IFERROR('[1]m-0-times'!B11, "")</f>
        <v>0</v>
      </c>
      <c r="K13" t="str">
        <f>IFERROR(_xlfn.XLOOKUP(B13, addresses!A$1:A$22, addresses!B$1:B$22), "")</f>
        <v/>
      </c>
      <c r="M13">
        <f>IFERROR('[1]t-0-routes'!$B11, "")</f>
        <v>0</v>
      </c>
      <c r="N13">
        <f>IFERROR('[1]t-0-routes'!$C11, "")</f>
        <v>0</v>
      </c>
      <c r="O13">
        <f>IFERROR('[1]t-0-distances'!$B11, "")</f>
        <v>0</v>
      </c>
      <c r="P13">
        <f>IFERROR('[1]t-0-sumDists'!$B11, "")</f>
        <v>0</v>
      </c>
      <c r="Q13">
        <f>IFERROR('[1]t-0-units'!$B11, "")</f>
        <v>0</v>
      </c>
      <c r="R13">
        <f>IFERROR('[1]t-0-deliveries'!$B11, "")</f>
        <v>0</v>
      </c>
      <c r="S13">
        <f>IFERROR('[1]t-0-sumUnits'!$B11, "")</f>
        <v>0</v>
      </c>
      <c r="T13" s="15" t="str">
        <f t="shared" si="2"/>
        <v/>
      </c>
      <c r="U13" s="15" t="str">
        <f t="shared" si="3"/>
        <v/>
      </c>
      <c r="V13" s="15">
        <f>IFERROR('[1]t-0-times'!$B$11, "")</f>
        <v>0</v>
      </c>
      <c r="W13" t="str">
        <f>IFERROR(_xlfn.XLOOKUP(N13, addresses!$A$1:$A$22, addresses!$B$1:$B$22), "")</f>
        <v/>
      </c>
      <c r="Y13">
        <f>IFERROR('[1]w-0-routes'!$B11, "")</f>
        <v>0</v>
      </c>
      <c r="Z13">
        <f>IFERROR('[1]w-0-routes'!$C11, "")</f>
        <v>0</v>
      </c>
      <c r="AA13">
        <f>IFERROR('[1]w-0-distances'!$B11, "")</f>
        <v>0</v>
      </c>
      <c r="AB13">
        <f>IFERROR('[1]w-0-sumDists'!$B11, "")</f>
        <v>0</v>
      </c>
      <c r="AC13">
        <f>IFERROR('[1]w-0-units'!$B11, "")</f>
        <v>0</v>
      </c>
      <c r="AD13">
        <f>IFERROR('[1]w-0-deliveries'!$B11, "")</f>
        <v>0</v>
      </c>
      <c r="AE13">
        <f>IFERROR('[1]w-0-sumUnits'!$B11, "")</f>
        <v>0</v>
      </c>
      <c r="AF13" s="15" t="str">
        <f t="shared" si="4"/>
        <v/>
      </c>
      <c r="AG13" s="15" t="str">
        <f t="shared" si="5"/>
        <v/>
      </c>
      <c r="AH13" s="15">
        <f>IFERROR('[1]w-0-times'!$B$11, "")</f>
        <v>0</v>
      </c>
      <c r="AI13" t="str">
        <f>IFERROR(_xlfn.XLOOKUP(Z13, addresses!$A$1:$A$22, addresses!$B$1:$B$22), "")</f>
        <v/>
      </c>
      <c r="AK13">
        <f>IFERROR('[1]th-0-routes'!$B11, "")</f>
        <v>0</v>
      </c>
      <c r="AL13">
        <f>IFERROR('[1]th-0-routes'!$C11, "")</f>
        <v>0</v>
      </c>
      <c r="AM13">
        <f>IFERROR('[1]th-0-distances'!$B11, "")</f>
        <v>0</v>
      </c>
      <c r="AN13">
        <f>IFERROR('[1]th-0-sumDists'!$B11, "")</f>
        <v>0</v>
      </c>
      <c r="AO13">
        <f>IFERROR('[1]th-0-units'!$B11, "")</f>
        <v>0</v>
      </c>
      <c r="AP13">
        <f>IFERROR('[1]th-0-deliveries'!$B11, "")</f>
        <v>0</v>
      </c>
      <c r="AQ13">
        <f>IFERROR('[1]th-0-sumUnits'!$B11, "")</f>
        <v>0</v>
      </c>
      <c r="AR13" s="15" t="str">
        <f t="shared" si="6"/>
        <v/>
      </c>
      <c r="AS13" s="15" t="str">
        <f t="shared" si="7"/>
        <v/>
      </c>
      <c r="AT13" s="15">
        <f>IFERROR('[1]th-0-times'!$B$11, "")</f>
        <v>0</v>
      </c>
      <c r="AU13" t="str">
        <f>IFERROR(_xlfn.XLOOKUP(AL13, addresses!$A$1:$A$22, addresses!$B$1:$B$22), "")</f>
        <v/>
      </c>
      <c r="AW13">
        <f>IFERROR('[1]f-0-routes'!$B11, "")</f>
        <v>0</v>
      </c>
      <c r="AX13">
        <f>IFERROR('[1]f-0-routes'!$C11, "")</f>
        <v>0</v>
      </c>
      <c r="AY13">
        <f>IFERROR('[1]f-0-distances'!$B11, "")</f>
        <v>0</v>
      </c>
      <c r="AZ13">
        <f>IFERROR('[1]f-0-sumDists'!$B11, "")</f>
        <v>0</v>
      </c>
      <c r="BA13">
        <f>IFERROR('[1]f-0-units'!$B11, "")</f>
        <v>0</v>
      </c>
      <c r="BB13">
        <f>IFERROR('[1]f-0-deliveries'!$B11, "")</f>
        <v>0</v>
      </c>
      <c r="BC13">
        <f>IFERROR('[1]f-0-sumUnits'!$B11, "")</f>
        <v>0</v>
      </c>
      <c r="BD13" s="15" t="str">
        <f t="shared" si="8"/>
        <v/>
      </c>
      <c r="BE13" s="15" t="str">
        <f t="shared" si="9"/>
        <v/>
      </c>
      <c r="BF13" s="15">
        <f>IFERROR('[1]f-0-times'!$B$11, "")</f>
        <v>0</v>
      </c>
      <c r="BG13" t="str">
        <f>IFERROR(_xlfn.XLOOKUP(AX13, addresses!$A$1:$A$22, addresses!$B$1:$B$22), "")</f>
        <v/>
      </c>
    </row>
    <row r="14" spans="1:60" x14ac:dyDescent="0.25">
      <c r="A14" s="30" t="s">
        <v>16231</v>
      </c>
      <c r="B14" s="30"/>
      <c r="C14" s="30"/>
      <c r="D14" s="30"/>
      <c r="E14" s="30"/>
      <c r="F14" s="30"/>
      <c r="G14" s="30"/>
      <c r="H14" s="30"/>
      <c r="I14" s="30"/>
      <c r="J14" s="30"/>
      <c r="K14" s="23" t="str">
        <f>IFERROR(_xlfn.XLOOKUP(A15, addresses!A$1:A$22, addresses!B$1:B$22), "")</f>
        <v>4509 State Hwy 83 North, Defuniak Springs, FL, 32433</v>
      </c>
      <c r="L14" s="16"/>
      <c r="M14" s="30" t="s">
        <v>16231</v>
      </c>
      <c r="N14" s="30"/>
      <c r="O14" s="30"/>
      <c r="P14" s="30"/>
      <c r="Q14" s="30"/>
      <c r="R14" s="30"/>
      <c r="S14" s="30"/>
      <c r="T14" s="30"/>
      <c r="U14" s="30"/>
      <c r="V14" s="30"/>
      <c r="W14" s="22" t="str">
        <f>IFERROR(_xlfn.XLOOKUP(M15, addresses!$A$1:$A$22, addresses!$B$1:$B$22), "")</f>
        <v>4509 State Hwy 83 North, Defuniak Springs, FL, 32433</v>
      </c>
      <c r="X14" s="19"/>
      <c r="Y14" s="30" t="s">
        <v>16231</v>
      </c>
      <c r="Z14" s="30"/>
      <c r="AA14" s="30"/>
      <c r="AB14" s="30"/>
      <c r="AC14" s="30"/>
      <c r="AD14" s="30"/>
      <c r="AE14" s="30"/>
      <c r="AF14" s="30"/>
      <c r="AG14" s="30"/>
      <c r="AH14" s="30"/>
      <c r="AI14" s="22" t="str">
        <f>IFERROR(_xlfn.XLOOKUP(Y15, addresses!$A$1:$A$22, addresses!$B$1:$B$22), "")</f>
        <v>4509 State Hwy 83 North, Defuniak Springs, FL, 32433</v>
      </c>
      <c r="AJ14" s="19"/>
      <c r="AK14" s="30" t="s">
        <v>16231</v>
      </c>
      <c r="AL14" s="30"/>
      <c r="AM14" s="30"/>
      <c r="AN14" s="30"/>
      <c r="AO14" s="30"/>
      <c r="AP14" s="30"/>
      <c r="AQ14" s="30"/>
      <c r="AR14" s="30"/>
      <c r="AS14" s="30"/>
      <c r="AT14" s="30"/>
      <c r="AU14" s="22" t="str">
        <f>IFERROR(_xlfn.XLOOKUP(AK15, addresses!$A$1:$A$22, addresses!$B$1:$B$22), "")</f>
        <v>240 Hicks Street, Clarksdale, MS, 38614</v>
      </c>
      <c r="AV14" s="19"/>
      <c r="AW14" s="30" t="s">
        <v>16231</v>
      </c>
      <c r="AX14" s="30"/>
      <c r="AY14" s="30"/>
      <c r="AZ14" s="30"/>
      <c r="BA14" s="30"/>
      <c r="BB14" s="30"/>
      <c r="BC14" s="30"/>
      <c r="BD14" s="30"/>
      <c r="BE14" s="30"/>
      <c r="BF14" s="30"/>
      <c r="BG14" s="22" t="str">
        <f>IFERROR(_xlfn.XLOOKUP(AW15, addresses!$A$1:$A$22, addresses!$B$1:$B$22), "")</f>
        <v>4509 State Hwy 83 North, Defuniak Springs, FL, 32433</v>
      </c>
      <c r="BH14" s="19"/>
    </row>
    <row r="15" spans="1:60" x14ac:dyDescent="0.25">
      <c r="A15">
        <f>IFERROR('[1]m-1-routes'!$B2, "")</f>
        <v>1</v>
      </c>
      <c r="B15">
        <f>IFERROR('[1]m-1-routes'!$C2, "")</f>
        <v>7</v>
      </c>
      <c r="C15">
        <f>IFERROR('[1]m-1-distances'!B2, "")</f>
        <v>46</v>
      </c>
      <c r="D15">
        <f>IFERROR('[1]m-1-sumDists'!B2, "")</f>
        <v>46</v>
      </c>
      <c r="E15">
        <f>IFERROR('[1]m-1-units'!B2, "")</f>
        <v>40</v>
      </c>
      <c r="F15">
        <f>IFERROR('[1]m-1-deliveries'!B2, "")</f>
        <v>0</v>
      </c>
      <c r="G15">
        <f>IFERROR('[1]m-1-sumUnits'!B2, "")</f>
        <v>40</v>
      </c>
      <c r="H15" s="15">
        <f>IFERROR(E15/C15, "")</f>
        <v>0.86956521739130432</v>
      </c>
      <c r="I15" s="15">
        <f>IFERROR(G15/D15, "")</f>
        <v>0.86956521739130432</v>
      </c>
      <c r="J15" s="15">
        <f>IFERROR('[1]m-1-times'!B2, "")</f>
        <v>1.638055555555556</v>
      </c>
      <c r="K15" t="str">
        <f>IFERROR(_xlfn.XLOOKUP(B15, addresses!A$1:A$22, addresses!B$1:B$22), "")</f>
        <v>5282 Peanut Rd., Graceville, FL, 32440</v>
      </c>
      <c r="M15">
        <f>IFERROR('[1]t-1-routes'!$B$2, "")</f>
        <v>1</v>
      </c>
      <c r="N15">
        <f>IFERROR('[1]t-1-routes'!$C$2, "")</f>
        <v>18</v>
      </c>
      <c r="O15">
        <f>IFERROR('[1]t-1-distances'!$B$2, "")</f>
        <v>220</v>
      </c>
      <c r="P15">
        <f>IFERROR('[1]t-1-sumDists'!$B$2, "")</f>
        <v>220</v>
      </c>
      <c r="Q15">
        <f>IFERROR('[1]t-1-units'!$B$2, "")</f>
        <v>40</v>
      </c>
      <c r="R15">
        <f>IFERROR('[1]t-1-deliveries'!$B$2, "")</f>
        <v>0</v>
      </c>
      <c r="S15">
        <f>IFERROR('[1]t-1-sumUnits'!$B$2, "")</f>
        <v>40</v>
      </c>
      <c r="T15" s="15">
        <f>IFERROR(Q15/O15, "")</f>
        <v>0.18181818181818182</v>
      </c>
      <c r="U15" s="15">
        <f>IFERROR(S15/P15, "")</f>
        <v>0.18181818181818182</v>
      </c>
      <c r="V15" s="15">
        <f>IFERROR('[1]t-1-times'!$B$2, "")</f>
        <v>4.713055555555556</v>
      </c>
      <c r="W15" t="str">
        <f>IFERROR(_xlfn.XLOOKUP(N15, addresses!$A$1:$A$22, addresses!$B$1:$B$22), "")</f>
        <v>3435 Eric Cir E, Tuscaloosa, AL, 35401</v>
      </c>
      <c r="Y15">
        <f>IFERROR('[1]w-1-routes'!$B$2, "")</f>
        <v>1</v>
      </c>
      <c r="Z15">
        <f>IFERROR('[1]w-1-routes'!$C$2, "")</f>
        <v>8</v>
      </c>
      <c r="AA15">
        <f>IFERROR('[1]w-1-distances'!$B$2, "")</f>
        <v>440</v>
      </c>
      <c r="AB15">
        <f>IFERROR('[1]w-1-sumDists'!$B$2, "")</f>
        <v>440</v>
      </c>
      <c r="AC15">
        <f>IFERROR('[1]w-1-units'!$B$2, "")</f>
        <v>40</v>
      </c>
      <c r="AD15">
        <f>IFERROR('[1]w-1-deliveries'!$B$2, "")</f>
        <v>0</v>
      </c>
      <c r="AE15">
        <f>IFERROR('[1]w-1-sumUnits'!$B$2, "")</f>
        <v>40</v>
      </c>
      <c r="AF15" s="15">
        <f>IFERROR(AC15/AA15, "")</f>
        <v>9.0909090909090912E-2</v>
      </c>
      <c r="AG15" s="15">
        <f>IFERROR(AE15/AB15, "")</f>
        <v>9.0909090909090912E-2</v>
      </c>
      <c r="AH15" s="15">
        <f>IFERROR('[1]w-1-times'!$B$2, "")</f>
        <v>7.98</v>
      </c>
      <c r="AI15" t="str">
        <f>IFERROR(_xlfn.XLOOKUP(Z15, addresses!$A$1:$A$22, addresses!$B$1:$B$22), "")</f>
        <v xml:space="preserve">, Cleveland, MS, </v>
      </c>
      <c r="AK15">
        <f>IFERROR('[1]th-1-routes'!$B$2, "")</f>
        <v>11</v>
      </c>
      <c r="AL15">
        <f>IFERROR('[1]th-1-routes'!$C$2, "")</f>
        <v>1</v>
      </c>
      <c r="AM15">
        <f>IFERROR('[1]th-1-distances'!$B$2, "")</f>
        <v>456</v>
      </c>
      <c r="AN15">
        <f>IFERROR('[1]th-1-sumDists'!$B$2, "")</f>
        <v>456</v>
      </c>
      <c r="AO15">
        <f>IFERROR('[1]th-1-units'!$B$2, "")</f>
        <v>0</v>
      </c>
      <c r="AP15">
        <f>IFERROR('[1]th-1-deliveries'!$B$2, "")</f>
        <v>0</v>
      </c>
      <c r="AQ15">
        <f>IFERROR('[1]th-1-sumUnits'!$B$2, "")</f>
        <v>80</v>
      </c>
      <c r="AR15" s="15">
        <f>IFERROR(AO15/AM15, "")</f>
        <v>0</v>
      </c>
      <c r="AS15" s="15">
        <f>IFERROR(AQ15/AN15, "")</f>
        <v>0.17543859649122806</v>
      </c>
      <c r="AT15" s="15">
        <f>IFERROR('[1]th-1-times'!$B$2, "")</f>
        <v>8.7149999999999999</v>
      </c>
      <c r="AU15" t="str">
        <f>IFERROR(_xlfn.XLOOKUP(AL15, addresses!$A$1:$A$22, addresses!$B$1:$B$22), "")</f>
        <v>4509 State Hwy 83 North, Defuniak Springs, FL, 32433</v>
      </c>
      <c r="AW15">
        <f>IFERROR('[1]f-1-routes'!$B$2, "")</f>
        <v>1</v>
      </c>
      <c r="AX15">
        <f>IFERROR('[1]f-1-routes'!$C$2, "")</f>
        <v>1</v>
      </c>
      <c r="AY15">
        <f>IFERROR('[1]f-1-distances'!$B$2, "")</f>
        <v>0</v>
      </c>
      <c r="AZ15">
        <f>IFERROR('[1]f-1-sumDists'!$B$2, "")</f>
        <v>0</v>
      </c>
      <c r="BA15">
        <f>IFERROR('[1]f-1-units'!$B$2, "")</f>
        <v>0</v>
      </c>
      <c r="BB15">
        <f>IFERROR('[1]f-1-deliveries'!$B$2, "")</f>
        <v>0</v>
      </c>
      <c r="BC15">
        <f>IFERROR('[1]f-1-sumUnits'!$B$2, "")</f>
        <v>0</v>
      </c>
      <c r="BD15" s="15" t="str">
        <f>IFERROR(BA15/AY15, "")</f>
        <v/>
      </c>
      <c r="BE15" s="15" t="str">
        <f>IFERROR(BC15/AZ15, "")</f>
        <v/>
      </c>
      <c r="BF15" s="15">
        <f>IFERROR('[1]f-1-times'!$B$2, "")</f>
        <v>8.3333333333333329E-2</v>
      </c>
      <c r="BG15" t="str">
        <f>IFERROR(_xlfn.XLOOKUP(AX15, addresses!$A$1:$A$22, addresses!$B$1:$B$22), "")</f>
        <v>4509 State Hwy 83 North, Defuniak Springs, FL, 32433</v>
      </c>
    </row>
    <row r="16" spans="1:60" x14ac:dyDescent="0.25">
      <c r="A16">
        <f>IFERROR('[1]m-1-routes'!$B3, "")</f>
        <v>7</v>
      </c>
      <c r="B16">
        <f>IFERROR('[1]m-1-routes'!$C3, "")</f>
        <v>10</v>
      </c>
      <c r="C16">
        <f>IFERROR('[1]m-1-distances'!B3, "")</f>
        <v>80</v>
      </c>
      <c r="D16">
        <f>IFERROR('[1]m-1-sumDists'!B3, "")</f>
        <v>126</v>
      </c>
      <c r="E16">
        <f>IFERROR('[1]m-1-units'!B3, "")</f>
        <v>40</v>
      </c>
      <c r="F16">
        <f>IFERROR('[1]m-1-deliveries'!B3, "")</f>
        <v>0</v>
      </c>
      <c r="G16">
        <f>IFERROR('[1]m-1-sumUnits'!B3, "")</f>
        <v>80</v>
      </c>
      <c r="H16" s="15">
        <f t="shared" ref="H16:H24" si="10">IFERROR(E16/C16, "")</f>
        <v>0.5</v>
      </c>
      <c r="I16" s="15">
        <f t="shared" ref="I16:I24" si="11">IFERROR(G16/D16, "")</f>
        <v>0.63492063492063489</v>
      </c>
      <c r="J16" s="15">
        <f>IFERROR('[1]m-1-times'!B3, "")</f>
        <v>4.0144444444444449</v>
      </c>
      <c r="K16" t="str">
        <f>IFERROR(_xlfn.XLOOKUP(B16, addresses!A$1:A$22, addresses!B$1:B$22), "")</f>
        <v>65 6th Street, Luverne, AL, 36049</v>
      </c>
      <c r="M16">
        <f>IFERROR('[1]t-1-routes'!$B$3, "")</f>
        <v>18</v>
      </c>
      <c r="N16">
        <f>IFERROR('[1]t-1-routes'!$C$3, "")</f>
        <v>2</v>
      </c>
      <c r="O16">
        <f>IFERROR('[1]t-1-distances'!$B$3, "")</f>
        <v>83</v>
      </c>
      <c r="P16">
        <f>IFERROR('[1]t-1-sumDists'!$B$3, "")</f>
        <v>303</v>
      </c>
      <c r="Q16">
        <f>IFERROR('[1]t-1-units'!$B$3, "")</f>
        <v>40</v>
      </c>
      <c r="R16">
        <f>IFERROR('[1]t-1-deliveries'!$B$3, "")</f>
        <v>0</v>
      </c>
      <c r="S16">
        <f>IFERROR('[1]t-1-sumUnits'!$B$3, "")</f>
        <v>80</v>
      </c>
      <c r="T16" s="15">
        <f t="shared" ref="T16:T24" si="12">IFERROR(Q16/O16, "")</f>
        <v>0.48192771084337349</v>
      </c>
      <c r="U16" s="15">
        <f t="shared" ref="U16:U24" si="13">IFERROR(S16/P16, "")</f>
        <v>0.264026402640264</v>
      </c>
      <c r="V16" s="15">
        <f>IFERROR('[1]t-1-times'!$B$3, "")</f>
        <v>6.9075000000000006</v>
      </c>
      <c r="W16" t="str">
        <f>IFERROR(_xlfn.XLOOKUP(N16, addresses!$A$1:$A$22, addresses!$B$1:$B$22), "")</f>
        <v>605 Mississippi 182, Starkville, MS, 39759</v>
      </c>
      <c r="Y16">
        <f>IFERROR('[1]w-1-routes'!$B$3, "")</f>
        <v>8</v>
      </c>
      <c r="Z16">
        <f>IFERROR('[1]w-1-routes'!$C$3, "")</f>
        <v>11</v>
      </c>
      <c r="AA16">
        <f>IFERROR('[1]w-1-distances'!$B$3, "")</f>
        <v>37</v>
      </c>
      <c r="AB16">
        <f>IFERROR('[1]w-1-sumDists'!$B$3, "")</f>
        <v>477</v>
      </c>
      <c r="AC16">
        <f>IFERROR('[1]w-1-units'!$B$3, "")</f>
        <v>40</v>
      </c>
      <c r="AD16">
        <f>IFERROR('[1]w-1-deliveries'!$B$3, "")</f>
        <v>0</v>
      </c>
      <c r="AE16">
        <f>IFERROR('[1]w-1-sumUnits'!$B$3, "")</f>
        <v>80</v>
      </c>
      <c r="AF16" s="15">
        <f t="shared" ref="AF16:AF24" si="14">IFERROR(AC16/AA16, "")</f>
        <v>1.0810810810810811</v>
      </c>
      <c r="AG16" s="15">
        <f t="shared" ref="AG16:AG24" si="15">IFERROR(AE16/AB16, "")</f>
        <v>0.16771488469601678</v>
      </c>
      <c r="AH16" s="15">
        <f>IFERROR('[1]w-1-times'!$B$3, "")</f>
        <v>9.4216666666666669</v>
      </c>
      <c r="AI16" t="str">
        <f>IFERROR(_xlfn.XLOOKUP(Z16, addresses!$A$1:$A$22, addresses!$B$1:$B$22), "")</f>
        <v>240 Hicks Street, Clarksdale, MS, 38614</v>
      </c>
      <c r="AK16">
        <f>IFERROR('[1]th-1-routes'!$B$3, "")</f>
        <v>0</v>
      </c>
      <c r="AL16">
        <f>IFERROR('[1]th-1-routes'!$C$3, "")</f>
        <v>0</v>
      </c>
      <c r="AM16">
        <f>IFERROR('[1]th-1-distances'!$B$3, "")</f>
        <v>0</v>
      </c>
      <c r="AN16">
        <f>IFERROR('[1]th-1-sumDists'!$B$3, "")</f>
        <v>0</v>
      </c>
      <c r="AO16">
        <f>IFERROR('[1]th-1-units'!$B$3, "")</f>
        <v>0</v>
      </c>
      <c r="AP16">
        <f>IFERROR('[1]th-1-deliveries'!$B$3, "")</f>
        <v>0</v>
      </c>
      <c r="AQ16">
        <f>IFERROR('[1]th-1-sumUnits'!$B$3, "")</f>
        <v>0</v>
      </c>
      <c r="AR16" s="15" t="str">
        <f t="shared" ref="AR16:AR24" si="16">IFERROR(AO16/AM16, "")</f>
        <v/>
      </c>
      <c r="AS16" s="15" t="str">
        <f t="shared" ref="AS16:AS24" si="17">IFERROR(AQ16/AN16, "")</f>
        <v/>
      </c>
      <c r="AT16" s="15">
        <f>IFERROR('[1]th-1-times'!$B$3, "")</f>
        <v>0</v>
      </c>
      <c r="AU16" t="str">
        <f>IFERROR(_xlfn.XLOOKUP(AL16, addresses!$A$1:$A$22, addresses!$B$1:$B$22), "")</f>
        <v/>
      </c>
      <c r="AW16">
        <f>IFERROR('[1]f-1-routes'!$B$3, "")</f>
        <v>0</v>
      </c>
      <c r="AX16">
        <f>IFERROR('[1]f-1-routes'!$C$3, "")</f>
        <v>0</v>
      </c>
      <c r="AY16">
        <f>IFERROR('[1]f-1-distances'!$B$3, "")</f>
        <v>0</v>
      </c>
      <c r="AZ16">
        <f>IFERROR('[1]f-1-sumDists'!$B$3, "")</f>
        <v>0</v>
      </c>
      <c r="BA16">
        <f>IFERROR('[1]f-1-units'!$B$3, "")</f>
        <v>0</v>
      </c>
      <c r="BB16">
        <f>IFERROR('[1]f-1-deliveries'!$B$3, "")</f>
        <v>0</v>
      </c>
      <c r="BC16">
        <f>IFERROR('[1]f-1-sumUnits'!$B$3, "")</f>
        <v>0</v>
      </c>
      <c r="BD16" s="15" t="str">
        <f t="shared" ref="BD16:BD24" si="18">IFERROR(BA16/AY16, "")</f>
        <v/>
      </c>
      <c r="BE16" s="15" t="str">
        <f t="shared" ref="BE16:BE24" si="19">IFERROR(BC16/AZ16, "")</f>
        <v/>
      </c>
      <c r="BF16" s="15">
        <f>IFERROR('[1]f-1-times'!$B$3, "")</f>
        <v>0</v>
      </c>
      <c r="BG16" t="str">
        <f>IFERROR(_xlfn.XLOOKUP(AX16, addresses!$A$1:$A$22, addresses!$B$1:$B$22), "")</f>
        <v/>
      </c>
    </row>
    <row r="17" spans="1:60" x14ac:dyDescent="0.25">
      <c r="A17">
        <f>IFERROR('[1]m-1-routes'!$B4, "")</f>
        <v>10</v>
      </c>
      <c r="B17">
        <f>IFERROR('[1]m-1-routes'!$C4, "")</f>
        <v>1</v>
      </c>
      <c r="C17">
        <f>IFERROR('[1]m-1-distances'!B4, "")</f>
        <v>70</v>
      </c>
      <c r="D17">
        <f>IFERROR('[1]m-1-sumDists'!B4, "")</f>
        <v>196</v>
      </c>
      <c r="E17">
        <f>IFERROR('[1]m-1-units'!B4, "")</f>
        <v>0</v>
      </c>
      <c r="F17">
        <f>IFERROR('[1]m-1-deliveries'!B4, "")</f>
        <v>0</v>
      </c>
      <c r="G17">
        <f>IFERROR('[1]m-1-sumUnits'!B4, "")</f>
        <v>80</v>
      </c>
      <c r="H17" s="15">
        <f t="shared" si="10"/>
        <v>0</v>
      </c>
      <c r="I17" s="15">
        <f t="shared" si="11"/>
        <v>0.40816326530612246</v>
      </c>
      <c r="J17" s="15">
        <f>IFERROR('[1]m-1-times'!B4, "")</f>
        <v>6.7250000000000014</v>
      </c>
      <c r="K17" t="str">
        <f>IFERROR(_xlfn.XLOOKUP(B17, addresses!A$1:A$22, addresses!B$1:B$22), "")</f>
        <v>4509 State Hwy 83 North, Defuniak Springs, FL, 32433</v>
      </c>
      <c r="M17">
        <f>IFERROR('[1]t-1-routes'!$B$4, "")</f>
        <v>2</v>
      </c>
      <c r="N17">
        <f>IFERROR('[1]t-1-routes'!$C$4, "")</f>
        <v>1</v>
      </c>
      <c r="O17">
        <f>IFERROR('[1]t-1-distances'!$B$4, "")</f>
        <v>290</v>
      </c>
      <c r="P17">
        <f>IFERROR('[1]t-1-sumDists'!$B$4, "")</f>
        <v>593</v>
      </c>
      <c r="Q17">
        <f>IFERROR('[1]t-1-units'!$B$4, "")</f>
        <v>0</v>
      </c>
      <c r="R17">
        <f>IFERROR('[1]t-1-deliveries'!$B$4, "")</f>
        <v>0</v>
      </c>
      <c r="S17">
        <f>IFERROR('[1]t-1-sumUnits'!$B$4, "")</f>
        <v>80</v>
      </c>
      <c r="T17" s="15">
        <f t="shared" si="12"/>
        <v>0</v>
      </c>
      <c r="U17" s="15">
        <f t="shared" si="13"/>
        <v>0.13490725126475547</v>
      </c>
      <c r="V17" s="15">
        <f>IFERROR('[1]t-1-times'!$B$4, "")</f>
        <v>13.50722222222222</v>
      </c>
      <c r="W17" t="str">
        <f>IFERROR(_xlfn.XLOOKUP(N17, addresses!$A$1:$A$22, addresses!$B$1:$B$22), "")</f>
        <v>4509 State Hwy 83 North, Defuniak Springs, FL, 32433</v>
      </c>
      <c r="Y17">
        <f>IFERROR('[1]w-1-routes'!$B$4, "")</f>
        <v>0</v>
      </c>
      <c r="Z17">
        <f>IFERROR('[1]w-1-routes'!$C$4, "")</f>
        <v>0</v>
      </c>
      <c r="AA17">
        <f>IFERROR('[1]w-1-distances'!$B$4, "")</f>
        <v>0</v>
      </c>
      <c r="AB17">
        <f>IFERROR('[1]w-1-sumDists'!$B$4, "")</f>
        <v>0</v>
      </c>
      <c r="AC17">
        <f>IFERROR('[1]w-1-units'!$B$4, "")</f>
        <v>0</v>
      </c>
      <c r="AD17">
        <f>IFERROR('[1]w-1-deliveries'!$B$4, "")</f>
        <v>0</v>
      </c>
      <c r="AE17">
        <f>IFERROR('[1]w-1-sumUnits'!$B$4, "")</f>
        <v>0</v>
      </c>
      <c r="AF17" s="15" t="str">
        <f t="shared" si="14"/>
        <v/>
      </c>
      <c r="AG17" s="15" t="str">
        <f t="shared" si="15"/>
        <v/>
      </c>
      <c r="AH17" s="15">
        <f>IFERROR('[1]w-1-times'!$B$4, "")</f>
        <v>0</v>
      </c>
      <c r="AI17" t="str">
        <f>IFERROR(_xlfn.XLOOKUP(Z17, addresses!$A$1:$A$22, addresses!$B$1:$B$22), "")</f>
        <v/>
      </c>
      <c r="AK17">
        <f>IFERROR('[1]th-1-routes'!$B$4, "")</f>
        <v>0</v>
      </c>
      <c r="AL17">
        <f>IFERROR('[1]th-1-routes'!$C$4, "")</f>
        <v>0</v>
      </c>
      <c r="AM17">
        <f>IFERROR('[1]th-1-distances'!$B$4, "")</f>
        <v>0</v>
      </c>
      <c r="AN17">
        <f>IFERROR('[1]th-1-sumDists'!$B$4, "")</f>
        <v>0</v>
      </c>
      <c r="AO17">
        <f>IFERROR('[1]th-1-units'!$B$4, "")</f>
        <v>0</v>
      </c>
      <c r="AP17">
        <f>IFERROR('[1]th-1-deliveries'!$B$4, "")</f>
        <v>0</v>
      </c>
      <c r="AQ17">
        <f>IFERROR('[1]th-1-sumUnits'!$B$4, "")</f>
        <v>0</v>
      </c>
      <c r="AR17" s="15" t="str">
        <f t="shared" si="16"/>
        <v/>
      </c>
      <c r="AS17" s="15" t="str">
        <f t="shared" si="17"/>
        <v/>
      </c>
      <c r="AT17" s="15">
        <f>IFERROR('[1]th-1-times'!$B$4, "")</f>
        <v>0</v>
      </c>
      <c r="AU17" t="str">
        <f>IFERROR(_xlfn.XLOOKUP(AL17, addresses!$A$1:$A$22, addresses!$B$1:$B$22), "")</f>
        <v/>
      </c>
      <c r="AW17">
        <f>IFERROR('[1]f-1-routes'!$B$4, "")</f>
        <v>0</v>
      </c>
      <c r="AX17">
        <f>IFERROR('[1]f-1-routes'!$C$4, "")</f>
        <v>0</v>
      </c>
      <c r="AY17">
        <f>IFERROR('[1]f-1-distances'!$B$4, "")</f>
        <v>0</v>
      </c>
      <c r="AZ17">
        <f>IFERROR('[1]f-1-sumDists'!$B$4, "")</f>
        <v>0</v>
      </c>
      <c r="BA17">
        <f>IFERROR('[1]f-1-units'!$B$4, "")</f>
        <v>0</v>
      </c>
      <c r="BB17">
        <f>IFERROR('[1]f-1-deliveries'!$B$4, "")</f>
        <v>0</v>
      </c>
      <c r="BC17">
        <f>IFERROR('[1]f-1-sumUnits'!$B$4, "")</f>
        <v>0</v>
      </c>
      <c r="BD17" s="15" t="str">
        <f t="shared" si="18"/>
        <v/>
      </c>
      <c r="BE17" s="15" t="str">
        <f t="shared" si="19"/>
        <v/>
      </c>
      <c r="BF17" s="15">
        <f>IFERROR('[1]f-1-times'!$B$4, "")</f>
        <v>0</v>
      </c>
      <c r="BG17" t="str">
        <f>IFERROR(_xlfn.XLOOKUP(AX17, addresses!$A$1:$A$22, addresses!$B$1:$B$22), "")</f>
        <v/>
      </c>
    </row>
    <row r="18" spans="1:60" x14ac:dyDescent="0.25">
      <c r="A18">
        <f>IFERROR('[1]m-1-routes'!$B5, "")</f>
        <v>0</v>
      </c>
      <c r="B18">
        <f>IFERROR('[1]m-1-routes'!$C5, "")</f>
        <v>0</v>
      </c>
      <c r="C18">
        <f>IFERROR('[1]m-1-distances'!B5, "")</f>
        <v>0</v>
      </c>
      <c r="D18">
        <f>IFERROR('[1]m-1-sumDists'!B5, "")</f>
        <v>0</v>
      </c>
      <c r="E18">
        <f>IFERROR('[1]m-1-units'!B5, "")</f>
        <v>0</v>
      </c>
      <c r="F18">
        <f>IFERROR('[1]m-1-deliveries'!B5, "")</f>
        <v>0</v>
      </c>
      <c r="G18">
        <f>IFERROR('[1]m-1-sumUnits'!B5, "")</f>
        <v>0</v>
      </c>
      <c r="H18" s="15" t="str">
        <f t="shared" si="10"/>
        <v/>
      </c>
      <c r="I18" s="15" t="str">
        <f t="shared" si="11"/>
        <v/>
      </c>
      <c r="J18" s="15">
        <f>IFERROR('[1]m-1-times'!B5, "")</f>
        <v>0</v>
      </c>
      <c r="K18" t="str">
        <f>IFERROR(_xlfn.XLOOKUP(B18, addresses!A$1:A$22, addresses!B$1:B$22), "")</f>
        <v/>
      </c>
      <c r="M18">
        <f>IFERROR('[1]t-1-routes'!$B$5, "")</f>
        <v>0</v>
      </c>
      <c r="N18">
        <f>IFERROR('[1]t-1-routes'!$C$5, "")</f>
        <v>0</v>
      </c>
      <c r="O18">
        <f>IFERROR('[1]t-1-distances'!$B$5, "")</f>
        <v>0</v>
      </c>
      <c r="P18">
        <f>IFERROR('[1]t-1-sumDists'!$B$5, "")</f>
        <v>0</v>
      </c>
      <c r="Q18">
        <f>IFERROR('[1]t-1-units'!$B$5, "")</f>
        <v>0</v>
      </c>
      <c r="R18">
        <f>IFERROR('[1]t-1-deliveries'!$B$5, "")</f>
        <v>0</v>
      </c>
      <c r="S18">
        <f>IFERROR('[1]t-1-sumUnits'!$B$5, "")</f>
        <v>0</v>
      </c>
      <c r="T18" s="15" t="str">
        <f t="shared" si="12"/>
        <v/>
      </c>
      <c r="U18" s="15" t="str">
        <f t="shared" si="13"/>
        <v/>
      </c>
      <c r="V18" s="15">
        <f>IFERROR('[1]t-1-times'!$B$5, "")</f>
        <v>0</v>
      </c>
      <c r="W18" t="str">
        <f>IFERROR(_xlfn.XLOOKUP(N18, addresses!$A$1:$A$22, addresses!$B$1:$B$22), "")</f>
        <v/>
      </c>
      <c r="Y18">
        <f>IFERROR('[1]w-1-routes'!$B$5, "")</f>
        <v>0</v>
      </c>
      <c r="Z18">
        <f>IFERROR('[1]w-1-routes'!$C$5, "")</f>
        <v>0</v>
      </c>
      <c r="AA18">
        <f>IFERROR('[1]w-1-distances'!$B$5, "")</f>
        <v>0</v>
      </c>
      <c r="AB18">
        <f>IFERROR('[1]w-1-sumDists'!$B$5, "")</f>
        <v>0</v>
      </c>
      <c r="AC18">
        <f>IFERROR('[1]w-1-units'!$B$5, "")</f>
        <v>0</v>
      </c>
      <c r="AD18">
        <f>IFERROR('[1]w-1-deliveries'!$B$5, "")</f>
        <v>0</v>
      </c>
      <c r="AE18">
        <f>IFERROR('[1]w-1-sumUnits'!$B$5, "")</f>
        <v>0</v>
      </c>
      <c r="AF18" s="15" t="str">
        <f t="shared" si="14"/>
        <v/>
      </c>
      <c r="AG18" s="15" t="str">
        <f t="shared" si="15"/>
        <v/>
      </c>
      <c r="AH18" s="15">
        <f>IFERROR('[1]w-1-times'!$B$5, "")</f>
        <v>0</v>
      </c>
      <c r="AI18" t="str">
        <f>IFERROR(_xlfn.XLOOKUP(Z18, addresses!$A$1:$A$22, addresses!$B$1:$B$22), "")</f>
        <v/>
      </c>
      <c r="AK18">
        <f>IFERROR('[1]th-1-routes'!$B$5, "")</f>
        <v>0</v>
      </c>
      <c r="AL18">
        <f>IFERROR('[1]th-1-routes'!$C$5, "")</f>
        <v>0</v>
      </c>
      <c r="AM18">
        <f>IFERROR('[1]th-1-distances'!$B$5, "")</f>
        <v>0</v>
      </c>
      <c r="AN18">
        <f>IFERROR('[1]th-1-sumDists'!$B$5, "")</f>
        <v>0</v>
      </c>
      <c r="AO18">
        <f>IFERROR('[1]th-1-units'!$B$5, "")</f>
        <v>0</v>
      </c>
      <c r="AP18">
        <f>IFERROR('[1]th-1-deliveries'!$B$5, "")</f>
        <v>0</v>
      </c>
      <c r="AQ18">
        <f>IFERROR('[1]th-1-sumUnits'!$B$5, "")</f>
        <v>0</v>
      </c>
      <c r="AR18" s="15" t="str">
        <f t="shared" si="16"/>
        <v/>
      </c>
      <c r="AS18" s="15" t="str">
        <f t="shared" si="17"/>
        <v/>
      </c>
      <c r="AT18" s="15">
        <f>IFERROR('[1]th-1-times'!$B$5, "")</f>
        <v>0</v>
      </c>
      <c r="AU18" t="str">
        <f>IFERROR(_xlfn.XLOOKUP(AL18, addresses!$A$1:$A$22, addresses!$B$1:$B$22), "")</f>
        <v/>
      </c>
      <c r="AW18">
        <f>IFERROR('[1]f-1-routes'!$B$5, "")</f>
        <v>0</v>
      </c>
      <c r="AX18">
        <f>IFERROR('[1]f-1-routes'!$C$5, "")</f>
        <v>0</v>
      </c>
      <c r="AY18">
        <f>IFERROR('[1]f-1-distances'!$B$5, "")</f>
        <v>0</v>
      </c>
      <c r="AZ18">
        <f>IFERROR('[1]f-1-sumDists'!$B$5, "")</f>
        <v>0</v>
      </c>
      <c r="BA18">
        <f>IFERROR('[1]f-1-units'!$B$5, "")</f>
        <v>0</v>
      </c>
      <c r="BB18">
        <f>IFERROR('[1]f-1-deliveries'!$B$5, "")</f>
        <v>0</v>
      </c>
      <c r="BC18">
        <f>IFERROR('[1]f-1-sumUnits'!$B$5, "")</f>
        <v>0</v>
      </c>
      <c r="BD18" s="15" t="str">
        <f t="shared" si="18"/>
        <v/>
      </c>
      <c r="BE18" s="15" t="str">
        <f t="shared" si="19"/>
        <v/>
      </c>
      <c r="BF18" s="15">
        <f>IFERROR('[1]f-1-times'!$B$5, "")</f>
        <v>0</v>
      </c>
      <c r="BG18" t="str">
        <f>IFERROR(_xlfn.XLOOKUP(AX18, addresses!$A$1:$A$22, addresses!$B$1:$B$22), "")</f>
        <v/>
      </c>
    </row>
    <row r="19" spans="1:60" x14ac:dyDescent="0.25">
      <c r="A19">
        <f>IFERROR('[1]m-1-routes'!$B6, "")</f>
        <v>0</v>
      </c>
      <c r="B19">
        <f>IFERROR('[1]m-1-routes'!$C6, "")</f>
        <v>0</v>
      </c>
      <c r="C19">
        <f>IFERROR('[1]m-1-distances'!B6, "")</f>
        <v>0</v>
      </c>
      <c r="D19">
        <f>IFERROR('[1]m-1-sumDists'!B6, "")</f>
        <v>0</v>
      </c>
      <c r="E19">
        <f>IFERROR('[1]m-1-units'!B6, "")</f>
        <v>0</v>
      </c>
      <c r="F19">
        <f>IFERROR('[1]m-1-deliveries'!B6, "")</f>
        <v>0</v>
      </c>
      <c r="G19">
        <f>IFERROR('[1]m-1-sumUnits'!B6, "")</f>
        <v>0</v>
      </c>
      <c r="H19" s="15" t="str">
        <f t="shared" si="10"/>
        <v/>
      </c>
      <c r="I19" s="15" t="str">
        <f t="shared" si="11"/>
        <v/>
      </c>
      <c r="J19" s="15">
        <f>IFERROR('[1]m-1-times'!B6, "")</f>
        <v>0</v>
      </c>
      <c r="K19" t="str">
        <f>IFERROR(_xlfn.XLOOKUP(B19, addresses!A$1:A$22, addresses!B$1:B$22), "")</f>
        <v/>
      </c>
      <c r="M19">
        <f>IFERROR('[1]t-1-routes'!$B$6, "")</f>
        <v>0</v>
      </c>
      <c r="N19">
        <f>IFERROR('[1]t-1-routes'!$C$6, "")</f>
        <v>0</v>
      </c>
      <c r="O19">
        <f>IFERROR('[1]t-1-distances'!$B$6, "")</f>
        <v>0</v>
      </c>
      <c r="P19">
        <f>IFERROR('[1]t-1-sumDists'!$B$6, "")</f>
        <v>0</v>
      </c>
      <c r="Q19">
        <f>IFERROR('[1]t-1-units'!$B$6, "")</f>
        <v>0</v>
      </c>
      <c r="R19">
        <f>IFERROR('[1]t-1-deliveries'!$B$6, "")</f>
        <v>0</v>
      </c>
      <c r="S19">
        <f>IFERROR('[1]t-1-sumUnits'!$B$6, "")</f>
        <v>0</v>
      </c>
      <c r="T19" s="15" t="str">
        <f t="shared" si="12"/>
        <v/>
      </c>
      <c r="U19" s="15" t="str">
        <f t="shared" si="13"/>
        <v/>
      </c>
      <c r="V19" s="15">
        <f>IFERROR('[1]t-1-times'!$B$6, "")</f>
        <v>0</v>
      </c>
      <c r="W19" t="str">
        <f>IFERROR(_xlfn.XLOOKUP(N19, addresses!$A$1:$A$22, addresses!$B$1:$B$22), "")</f>
        <v/>
      </c>
      <c r="Y19">
        <f>IFERROR('[1]w-1-routes'!$B$6, "")</f>
        <v>0</v>
      </c>
      <c r="Z19">
        <f>IFERROR('[1]w-1-routes'!$C$6, "")</f>
        <v>0</v>
      </c>
      <c r="AA19">
        <f>IFERROR('[1]w-1-distances'!$B$6, "")</f>
        <v>0</v>
      </c>
      <c r="AB19">
        <f>IFERROR('[1]w-1-sumDists'!$B$6, "")</f>
        <v>0</v>
      </c>
      <c r="AC19">
        <f>IFERROR('[1]w-1-units'!$B$6, "")</f>
        <v>0</v>
      </c>
      <c r="AD19">
        <f>IFERROR('[1]w-1-deliveries'!$B$6, "")</f>
        <v>0</v>
      </c>
      <c r="AE19">
        <f>IFERROR('[1]w-1-sumUnits'!$B$6, "")</f>
        <v>0</v>
      </c>
      <c r="AF19" s="15" t="str">
        <f t="shared" si="14"/>
        <v/>
      </c>
      <c r="AG19" s="15" t="str">
        <f t="shared" si="15"/>
        <v/>
      </c>
      <c r="AH19" s="15">
        <f>IFERROR('[1]w-1-times'!$B$6, "")</f>
        <v>0</v>
      </c>
      <c r="AI19" t="str">
        <f>IFERROR(_xlfn.XLOOKUP(Z19, addresses!$A$1:$A$22, addresses!$B$1:$B$22), "")</f>
        <v/>
      </c>
      <c r="AK19">
        <f>IFERROR('[1]th-1-routes'!$B$6, "")</f>
        <v>0</v>
      </c>
      <c r="AL19">
        <f>IFERROR('[1]th-1-routes'!$C$6, "")</f>
        <v>0</v>
      </c>
      <c r="AM19">
        <f>IFERROR('[1]th-1-distances'!$B$6, "")</f>
        <v>0</v>
      </c>
      <c r="AN19">
        <f>IFERROR('[1]th-1-sumDists'!$B$6, "")</f>
        <v>0</v>
      </c>
      <c r="AO19">
        <f>IFERROR('[1]th-1-units'!$B$6, "")</f>
        <v>0</v>
      </c>
      <c r="AP19">
        <f>IFERROR('[1]th-1-deliveries'!$B$6, "")</f>
        <v>0</v>
      </c>
      <c r="AQ19">
        <f>IFERROR('[1]th-1-sumUnits'!$B$6, "")</f>
        <v>0</v>
      </c>
      <c r="AR19" s="15" t="str">
        <f t="shared" si="16"/>
        <v/>
      </c>
      <c r="AS19" s="15" t="str">
        <f t="shared" si="17"/>
        <v/>
      </c>
      <c r="AT19" s="15">
        <f>IFERROR('[1]th-1-times'!$B$6, "")</f>
        <v>0</v>
      </c>
      <c r="AU19" t="str">
        <f>IFERROR(_xlfn.XLOOKUP(AL19, addresses!$A$1:$A$22, addresses!$B$1:$B$22), "")</f>
        <v/>
      </c>
      <c r="AW19">
        <f>IFERROR('[1]f-1-routes'!$B$6, "")</f>
        <v>0</v>
      </c>
      <c r="AX19">
        <f>IFERROR('[1]f-1-routes'!$C$6, "")</f>
        <v>0</v>
      </c>
      <c r="AY19">
        <f>IFERROR('[1]f-1-distances'!$B$6, "")</f>
        <v>0</v>
      </c>
      <c r="AZ19">
        <f>IFERROR('[1]f-1-sumDists'!$B$6, "")</f>
        <v>0</v>
      </c>
      <c r="BA19">
        <f>IFERROR('[1]f-1-units'!$B$6, "")</f>
        <v>0</v>
      </c>
      <c r="BB19">
        <f>IFERROR('[1]f-1-deliveries'!$B$6, "")</f>
        <v>0</v>
      </c>
      <c r="BC19">
        <f>IFERROR('[1]f-1-sumUnits'!$B$6, "")</f>
        <v>0</v>
      </c>
      <c r="BD19" s="15" t="str">
        <f t="shared" si="18"/>
        <v/>
      </c>
      <c r="BE19" s="15" t="str">
        <f t="shared" si="19"/>
        <v/>
      </c>
      <c r="BF19" s="15">
        <f>IFERROR('[1]f-1-times'!$B$6, "")</f>
        <v>0</v>
      </c>
      <c r="BG19" t="str">
        <f>IFERROR(_xlfn.XLOOKUP(AX19, addresses!$A$1:$A$22, addresses!$B$1:$B$22), "")</f>
        <v/>
      </c>
    </row>
    <row r="20" spans="1:60" x14ac:dyDescent="0.25">
      <c r="A20">
        <f>IFERROR('[1]m-1-routes'!$B7, "")</f>
        <v>0</v>
      </c>
      <c r="B20">
        <f>IFERROR('[1]m-1-routes'!$C7, "")</f>
        <v>0</v>
      </c>
      <c r="C20">
        <f>IFERROR('[1]m-1-distances'!B7, "")</f>
        <v>0</v>
      </c>
      <c r="D20">
        <f>IFERROR('[1]m-1-sumDists'!B7, "")</f>
        <v>0</v>
      </c>
      <c r="E20">
        <f>IFERROR('[1]m-1-units'!B7, "")</f>
        <v>0</v>
      </c>
      <c r="F20">
        <f>IFERROR('[1]m-1-deliveries'!B7, "")</f>
        <v>0</v>
      </c>
      <c r="G20">
        <f>IFERROR('[1]m-1-sumUnits'!B7, "")</f>
        <v>0</v>
      </c>
      <c r="H20" s="15" t="str">
        <f t="shared" si="10"/>
        <v/>
      </c>
      <c r="I20" s="15" t="str">
        <f t="shared" si="11"/>
        <v/>
      </c>
      <c r="J20" s="15">
        <f>IFERROR('[1]m-1-times'!B7, "")</f>
        <v>0</v>
      </c>
      <c r="K20" t="str">
        <f>IFERROR(_xlfn.XLOOKUP(B20, addresses!A$1:A$22, addresses!B$1:B$22), "")</f>
        <v/>
      </c>
      <c r="M20">
        <f>IFERROR('[1]t-1-routes'!$B$7, "")</f>
        <v>0</v>
      </c>
      <c r="N20">
        <f>IFERROR('[1]t-1-routes'!$C$7, "")</f>
        <v>0</v>
      </c>
      <c r="O20">
        <f>IFERROR('[1]t-1-distances'!$B$7, "")</f>
        <v>0</v>
      </c>
      <c r="P20">
        <f>IFERROR('[1]t-1-sumDists'!$B$7, "")</f>
        <v>0</v>
      </c>
      <c r="Q20">
        <f>IFERROR('[1]t-1-units'!$B$7, "")</f>
        <v>0</v>
      </c>
      <c r="R20">
        <f>IFERROR('[1]t-1-deliveries'!$B$7, "")</f>
        <v>0</v>
      </c>
      <c r="S20">
        <f>IFERROR('[1]t-1-sumUnits'!$B$7, "")</f>
        <v>0</v>
      </c>
      <c r="T20" s="15" t="str">
        <f t="shared" si="12"/>
        <v/>
      </c>
      <c r="U20" s="15" t="str">
        <f t="shared" si="13"/>
        <v/>
      </c>
      <c r="V20" s="15">
        <f>IFERROR('[1]t-1-times'!$B$7, "")</f>
        <v>0</v>
      </c>
      <c r="W20" t="str">
        <f>IFERROR(_xlfn.XLOOKUP(N20, addresses!$A$1:$A$22, addresses!$B$1:$B$22), "")</f>
        <v/>
      </c>
      <c r="Y20">
        <f>IFERROR('[1]w-1-routes'!$B$7, "")</f>
        <v>0</v>
      </c>
      <c r="Z20">
        <f>IFERROR('[1]w-1-routes'!$C$7, "")</f>
        <v>0</v>
      </c>
      <c r="AA20">
        <f>IFERROR('[1]w-1-distances'!$B$7, "")</f>
        <v>0</v>
      </c>
      <c r="AB20">
        <f>IFERROR('[1]w-1-sumDists'!$B$7, "")</f>
        <v>0</v>
      </c>
      <c r="AC20">
        <f>IFERROR('[1]w-1-units'!$B$7, "")</f>
        <v>0</v>
      </c>
      <c r="AD20">
        <f>IFERROR('[1]w-1-deliveries'!$B$7, "")</f>
        <v>0</v>
      </c>
      <c r="AE20">
        <f>IFERROR('[1]w-1-sumUnits'!$B$7, "")</f>
        <v>0</v>
      </c>
      <c r="AF20" s="15" t="str">
        <f t="shared" si="14"/>
        <v/>
      </c>
      <c r="AG20" s="15" t="str">
        <f t="shared" si="15"/>
        <v/>
      </c>
      <c r="AH20" s="15">
        <f>IFERROR('[1]w-1-times'!$B$7, "")</f>
        <v>0</v>
      </c>
      <c r="AI20" t="str">
        <f>IFERROR(_xlfn.XLOOKUP(Z20, addresses!$A$1:$A$22, addresses!$B$1:$B$22), "")</f>
        <v/>
      </c>
      <c r="AK20">
        <f>IFERROR('[1]th-1-routes'!$B$7, "")</f>
        <v>0</v>
      </c>
      <c r="AL20">
        <f>IFERROR('[1]th-1-routes'!$C$7, "")</f>
        <v>0</v>
      </c>
      <c r="AM20">
        <f>IFERROR('[1]th-1-distances'!$B$7, "")</f>
        <v>0</v>
      </c>
      <c r="AN20">
        <f>IFERROR('[1]th-1-sumDists'!$B$7, "")</f>
        <v>0</v>
      </c>
      <c r="AO20">
        <f>IFERROR('[1]th-1-units'!$B$7, "")</f>
        <v>0</v>
      </c>
      <c r="AP20">
        <f>IFERROR('[1]th-1-deliveries'!$B$7, "")</f>
        <v>0</v>
      </c>
      <c r="AQ20">
        <f>IFERROR('[1]th-1-sumUnits'!$B$7, "")</f>
        <v>0</v>
      </c>
      <c r="AR20" s="15" t="str">
        <f t="shared" si="16"/>
        <v/>
      </c>
      <c r="AS20" s="15" t="str">
        <f t="shared" si="17"/>
        <v/>
      </c>
      <c r="AT20" s="15">
        <f>IFERROR('[1]th-1-times'!$B$7, "")</f>
        <v>0</v>
      </c>
      <c r="AU20" t="str">
        <f>IFERROR(_xlfn.XLOOKUP(AL20, addresses!$A$1:$A$22, addresses!$B$1:$B$22), "")</f>
        <v/>
      </c>
      <c r="AW20">
        <f>IFERROR('[1]f-1-routes'!$B$7, "")</f>
        <v>0</v>
      </c>
      <c r="AX20">
        <f>IFERROR('[1]f-1-routes'!$C$7, "")</f>
        <v>0</v>
      </c>
      <c r="AY20">
        <f>IFERROR('[1]f-1-distances'!$B$7, "")</f>
        <v>0</v>
      </c>
      <c r="AZ20">
        <f>IFERROR('[1]f-1-sumDists'!$B$7, "")</f>
        <v>0</v>
      </c>
      <c r="BA20">
        <f>IFERROR('[1]f-1-units'!$B$7, "")</f>
        <v>0</v>
      </c>
      <c r="BB20">
        <f>IFERROR('[1]f-1-deliveries'!$B$7, "")</f>
        <v>0</v>
      </c>
      <c r="BC20">
        <f>IFERROR('[1]f-1-sumUnits'!$B$7, "")</f>
        <v>0</v>
      </c>
      <c r="BD20" s="15" t="str">
        <f t="shared" si="18"/>
        <v/>
      </c>
      <c r="BE20" s="15" t="str">
        <f t="shared" si="19"/>
        <v/>
      </c>
      <c r="BF20" s="15">
        <f>IFERROR('[1]f-1-times'!$B$7, "")</f>
        <v>0</v>
      </c>
      <c r="BG20" t="str">
        <f>IFERROR(_xlfn.XLOOKUP(AX20, addresses!$A$1:$A$22, addresses!$B$1:$B$22), "")</f>
        <v/>
      </c>
    </row>
    <row r="21" spans="1:60" x14ac:dyDescent="0.25">
      <c r="A21">
        <f>IFERROR('[1]m-1-routes'!$B8, "")</f>
        <v>0</v>
      </c>
      <c r="B21">
        <f>IFERROR('[1]m-1-routes'!$C8, "")</f>
        <v>0</v>
      </c>
      <c r="C21">
        <f>IFERROR('[1]m-1-distances'!B8, "")</f>
        <v>0</v>
      </c>
      <c r="D21">
        <f>IFERROR('[1]m-1-sumDists'!B8, "")</f>
        <v>0</v>
      </c>
      <c r="E21">
        <f>IFERROR('[1]m-1-units'!B8, "")</f>
        <v>0</v>
      </c>
      <c r="F21">
        <f>IFERROR('[1]m-1-deliveries'!B8, "")</f>
        <v>0</v>
      </c>
      <c r="G21">
        <f>IFERROR('[1]m-1-sumUnits'!B8, "")</f>
        <v>0</v>
      </c>
      <c r="H21" s="15" t="str">
        <f t="shared" si="10"/>
        <v/>
      </c>
      <c r="I21" s="15" t="str">
        <f t="shared" si="11"/>
        <v/>
      </c>
      <c r="J21" s="15">
        <f>IFERROR('[1]m-1-times'!B8, "")</f>
        <v>0</v>
      </c>
      <c r="K21" t="str">
        <f>IFERROR(_xlfn.XLOOKUP(B21, addresses!A$1:A$22, addresses!B$1:B$22), "")</f>
        <v/>
      </c>
      <c r="M21">
        <f>IFERROR('[1]t-1-routes'!$B$8, "")</f>
        <v>0</v>
      </c>
      <c r="N21">
        <f>IFERROR('[1]t-1-routes'!$C$8, "")</f>
        <v>0</v>
      </c>
      <c r="O21">
        <f>IFERROR('[1]t-1-distances'!$B$8, "")</f>
        <v>0</v>
      </c>
      <c r="P21">
        <f>IFERROR('[1]t-1-sumDists'!$B$8, "")</f>
        <v>0</v>
      </c>
      <c r="Q21">
        <f>IFERROR('[1]t-1-units'!$B$8, "")</f>
        <v>0</v>
      </c>
      <c r="R21">
        <f>IFERROR('[1]t-1-deliveries'!$B$8, "")</f>
        <v>0</v>
      </c>
      <c r="S21">
        <f>IFERROR('[1]t-1-sumUnits'!$B$8, "")</f>
        <v>0</v>
      </c>
      <c r="T21" s="15" t="str">
        <f t="shared" si="12"/>
        <v/>
      </c>
      <c r="U21" s="15" t="str">
        <f t="shared" si="13"/>
        <v/>
      </c>
      <c r="V21" s="15">
        <f>IFERROR('[1]t-1-times'!$B$8, "")</f>
        <v>0</v>
      </c>
      <c r="W21" t="str">
        <f>IFERROR(_xlfn.XLOOKUP(N21, addresses!$A$1:$A$22, addresses!$B$1:$B$22), "")</f>
        <v/>
      </c>
      <c r="Y21">
        <f>IFERROR('[1]w-1-routes'!$B$8, "")</f>
        <v>0</v>
      </c>
      <c r="Z21">
        <f>IFERROR('[1]w-1-routes'!$C$8, "")</f>
        <v>0</v>
      </c>
      <c r="AA21">
        <f>IFERROR('[1]w-1-distances'!$B$8, "")</f>
        <v>0</v>
      </c>
      <c r="AB21">
        <f>IFERROR('[1]w-1-sumDists'!$B$8, "")</f>
        <v>0</v>
      </c>
      <c r="AC21">
        <f>IFERROR('[1]w-1-units'!$B$8, "")</f>
        <v>0</v>
      </c>
      <c r="AD21">
        <f>IFERROR('[1]w-1-deliveries'!$B$8, "")</f>
        <v>0</v>
      </c>
      <c r="AE21">
        <f>IFERROR('[1]w-1-sumUnits'!$B$8, "")</f>
        <v>0</v>
      </c>
      <c r="AF21" s="15" t="str">
        <f t="shared" si="14"/>
        <v/>
      </c>
      <c r="AG21" s="15" t="str">
        <f t="shared" si="15"/>
        <v/>
      </c>
      <c r="AH21" s="15">
        <f>IFERROR('[1]w-1-times'!$B$8, "")</f>
        <v>0</v>
      </c>
      <c r="AI21" t="str">
        <f>IFERROR(_xlfn.XLOOKUP(Z21, addresses!$A$1:$A$22, addresses!$B$1:$B$22), "")</f>
        <v/>
      </c>
      <c r="AK21">
        <f>IFERROR('[1]th-1-routes'!$B$8, "")</f>
        <v>0</v>
      </c>
      <c r="AL21">
        <f>IFERROR('[1]th-1-routes'!$C$8, "")</f>
        <v>0</v>
      </c>
      <c r="AM21">
        <f>IFERROR('[1]th-1-distances'!$B$8, "")</f>
        <v>0</v>
      </c>
      <c r="AN21">
        <f>IFERROR('[1]th-1-sumDists'!$B$8, "")</f>
        <v>0</v>
      </c>
      <c r="AO21">
        <f>IFERROR('[1]th-1-units'!$B$8, "")</f>
        <v>0</v>
      </c>
      <c r="AP21">
        <f>IFERROR('[1]th-1-deliveries'!$B$8, "")</f>
        <v>0</v>
      </c>
      <c r="AQ21">
        <f>IFERROR('[1]th-1-sumUnits'!$B$8, "")</f>
        <v>0</v>
      </c>
      <c r="AR21" s="15" t="str">
        <f t="shared" si="16"/>
        <v/>
      </c>
      <c r="AS21" s="15" t="str">
        <f t="shared" si="17"/>
        <v/>
      </c>
      <c r="AT21" s="15">
        <f>IFERROR('[1]th-1-times'!$B$8, "")</f>
        <v>0</v>
      </c>
      <c r="AU21" t="str">
        <f>IFERROR(_xlfn.XLOOKUP(AL21, addresses!$A$1:$A$22, addresses!$B$1:$B$22), "")</f>
        <v/>
      </c>
      <c r="AW21">
        <f>IFERROR('[1]f-1-routes'!$B$8, "")</f>
        <v>0</v>
      </c>
      <c r="AX21">
        <f>IFERROR('[1]f-1-routes'!$C$8, "")</f>
        <v>0</v>
      </c>
      <c r="AY21">
        <f>IFERROR('[1]f-1-distances'!$B$8, "")</f>
        <v>0</v>
      </c>
      <c r="AZ21">
        <f>IFERROR('[1]f-1-sumDists'!$B$8, "")</f>
        <v>0</v>
      </c>
      <c r="BA21">
        <f>IFERROR('[1]f-1-units'!$B$8, "")</f>
        <v>0</v>
      </c>
      <c r="BB21">
        <f>IFERROR('[1]f-1-deliveries'!$B$8, "")</f>
        <v>0</v>
      </c>
      <c r="BC21">
        <f>IFERROR('[1]f-1-sumUnits'!$B$8, "")</f>
        <v>0</v>
      </c>
      <c r="BD21" s="15" t="str">
        <f t="shared" si="18"/>
        <v/>
      </c>
      <c r="BE21" s="15" t="str">
        <f t="shared" si="19"/>
        <v/>
      </c>
      <c r="BF21" s="15">
        <f>IFERROR('[1]f-1-times'!$B$8, "")</f>
        <v>0</v>
      </c>
      <c r="BG21" t="str">
        <f>IFERROR(_xlfn.XLOOKUP(AX21, addresses!$A$1:$A$22, addresses!$B$1:$B$22), "")</f>
        <v/>
      </c>
    </row>
    <row r="22" spans="1:60" x14ac:dyDescent="0.25">
      <c r="A22">
        <f>IFERROR('[1]m-1-routes'!$B9, "")</f>
        <v>0</v>
      </c>
      <c r="B22">
        <f>IFERROR('[1]m-1-routes'!$C9, "")</f>
        <v>0</v>
      </c>
      <c r="C22">
        <f>IFERROR('[1]m-1-distances'!B9, "")</f>
        <v>0</v>
      </c>
      <c r="D22">
        <f>IFERROR('[1]m-1-sumDists'!B9, "")</f>
        <v>0</v>
      </c>
      <c r="E22">
        <f>IFERROR('[1]m-1-units'!B9, "")</f>
        <v>0</v>
      </c>
      <c r="F22">
        <f>IFERROR('[1]m-1-deliveries'!B9, "")</f>
        <v>0</v>
      </c>
      <c r="G22">
        <f>IFERROR('[1]m-1-sumUnits'!B9, "")</f>
        <v>0</v>
      </c>
      <c r="H22" s="15" t="str">
        <f t="shared" si="10"/>
        <v/>
      </c>
      <c r="I22" s="15" t="str">
        <f t="shared" si="11"/>
        <v/>
      </c>
      <c r="J22" s="15">
        <f>IFERROR('[1]m-1-times'!B9, "")</f>
        <v>0</v>
      </c>
      <c r="K22" t="str">
        <f>IFERROR(_xlfn.XLOOKUP(B22, addresses!A$1:A$22, addresses!B$1:B$22), "")</f>
        <v/>
      </c>
      <c r="M22">
        <f>IFERROR('[1]t-1-routes'!$B$9, "")</f>
        <v>0</v>
      </c>
      <c r="N22">
        <f>IFERROR('[1]t-1-routes'!$C$9, "")</f>
        <v>0</v>
      </c>
      <c r="O22">
        <f>IFERROR('[1]t-1-distances'!$B$9, "")</f>
        <v>0</v>
      </c>
      <c r="P22">
        <f>IFERROR('[1]t-1-sumDists'!$B$9, "")</f>
        <v>0</v>
      </c>
      <c r="Q22">
        <f>IFERROR('[1]t-1-units'!$B$9, "")</f>
        <v>0</v>
      </c>
      <c r="R22">
        <f>IFERROR('[1]t-1-deliveries'!$B$9, "")</f>
        <v>0</v>
      </c>
      <c r="S22">
        <f>IFERROR('[1]t-1-sumUnits'!$B$9, "")</f>
        <v>0</v>
      </c>
      <c r="T22" s="15" t="str">
        <f t="shared" si="12"/>
        <v/>
      </c>
      <c r="U22" s="15" t="str">
        <f t="shared" si="13"/>
        <v/>
      </c>
      <c r="V22" s="15">
        <f>IFERROR('[1]t-1-times'!$B$9, "")</f>
        <v>0</v>
      </c>
      <c r="W22" t="str">
        <f>IFERROR(_xlfn.XLOOKUP(N22, addresses!$A$1:$A$22, addresses!$B$1:$B$22), "")</f>
        <v/>
      </c>
      <c r="Y22">
        <f>IFERROR('[1]w-1-routes'!$B$9, "")</f>
        <v>0</v>
      </c>
      <c r="Z22">
        <f>IFERROR('[1]w-1-routes'!$C$9, "")</f>
        <v>0</v>
      </c>
      <c r="AA22">
        <f>IFERROR('[1]w-1-distances'!$B$9, "")</f>
        <v>0</v>
      </c>
      <c r="AB22">
        <f>IFERROR('[1]w-1-sumDists'!$B$9, "")</f>
        <v>0</v>
      </c>
      <c r="AC22">
        <f>IFERROR('[1]w-1-units'!$B$9, "")</f>
        <v>0</v>
      </c>
      <c r="AD22">
        <f>IFERROR('[1]w-1-deliveries'!$B$9, "")</f>
        <v>0</v>
      </c>
      <c r="AE22">
        <f>IFERROR('[1]w-1-sumUnits'!$B$9, "")</f>
        <v>0</v>
      </c>
      <c r="AF22" s="15" t="str">
        <f t="shared" si="14"/>
        <v/>
      </c>
      <c r="AG22" s="15" t="str">
        <f t="shared" si="15"/>
        <v/>
      </c>
      <c r="AH22" s="15">
        <f>IFERROR('[1]w-1-times'!$B$9, "")</f>
        <v>0</v>
      </c>
      <c r="AI22" t="str">
        <f>IFERROR(_xlfn.XLOOKUP(Z22, addresses!$A$1:$A$22, addresses!$B$1:$B$22), "")</f>
        <v/>
      </c>
      <c r="AK22">
        <f>IFERROR('[1]th-1-routes'!$B$9, "")</f>
        <v>0</v>
      </c>
      <c r="AL22">
        <f>IFERROR('[1]th-1-routes'!$C$9, "")</f>
        <v>0</v>
      </c>
      <c r="AM22">
        <f>IFERROR('[1]th-1-distances'!$B$9, "")</f>
        <v>0</v>
      </c>
      <c r="AN22">
        <f>IFERROR('[1]th-1-sumDists'!$B$9, "")</f>
        <v>0</v>
      </c>
      <c r="AO22">
        <f>IFERROR('[1]th-1-units'!$B$9, "")</f>
        <v>0</v>
      </c>
      <c r="AP22">
        <f>IFERROR('[1]th-1-deliveries'!$B$9, "")</f>
        <v>0</v>
      </c>
      <c r="AQ22">
        <f>IFERROR('[1]th-1-sumUnits'!$B$9, "")</f>
        <v>0</v>
      </c>
      <c r="AR22" s="15" t="str">
        <f t="shared" si="16"/>
        <v/>
      </c>
      <c r="AS22" s="15" t="str">
        <f t="shared" si="17"/>
        <v/>
      </c>
      <c r="AT22" s="15">
        <f>IFERROR('[1]th-1-times'!$B$9, "")</f>
        <v>0</v>
      </c>
      <c r="AU22" t="str">
        <f>IFERROR(_xlfn.XLOOKUP(AL22, addresses!$A$1:$A$22, addresses!$B$1:$B$22), "")</f>
        <v/>
      </c>
      <c r="AW22">
        <f>IFERROR('[1]f-1-routes'!$B$9, "")</f>
        <v>0</v>
      </c>
      <c r="AX22">
        <f>IFERROR('[1]f-1-routes'!$C$9, "")</f>
        <v>0</v>
      </c>
      <c r="AY22">
        <f>IFERROR('[1]f-1-distances'!$B$9, "")</f>
        <v>0</v>
      </c>
      <c r="AZ22">
        <f>IFERROR('[1]f-1-sumDists'!$B$9, "")</f>
        <v>0</v>
      </c>
      <c r="BA22">
        <f>IFERROR('[1]f-1-units'!$B$9, "")</f>
        <v>0</v>
      </c>
      <c r="BB22">
        <f>IFERROR('[1]f-1-deliveries'!$B$9, "")</f>
        <v>0</v>
      </c>
      <c r="BC22">
        <f>IFERROR('[1]f-1-sumUnits'!$B$9, "")</f>
        <v>0</v>
      </c>
      <c r="BD22" s="15" t="str">
        <f t="shared" si="18"/>
        <v/>
      </c>
      <c r="BE22" s="15" t="str">
        <f t="shared" si="19"/>
        <v/>
      </c>
      <c r="BF22" s="15">
        <f>IFERROR('[1]f-1-times'!$B$9, "")</f>
        <v>0</v>
      </c>
      <c r="BG22" t="str">
        <f>IFERROR(_xlfn.XLOOKUP(AX22, addresses!$A$1:$A$22, addresses!$B$1:$B$22), "")</f>
        <v/>
      </c>
    </row>
    <row r="23" spans="1:60" x14ac:dyDescent="0.25">
      <c r="A23">
        <f>IFERROR('[1]m-1-routes'!$B10, "")</f>
        <v>0</v>
      </c>
      <c r="B23">
        <f>IFERROR('[1]m-1-routes'!$C10, "")</f>
        <v>0</v>
      </c>
      <c r="C23">
        <f>IFERROR('[1]m-1-distances'!B10, "")</f>
        <v>0</v>
      </c>
      <c r="D23">
        <f>IFERROR('[1]m-1-sumDists'!B10, "")</f>
        <v>0</v>
      </c>
      <c r="E23">
        <f>IFERROR('[1]m-1-units'!B10, "")</f>
        <v>0</v>
      </c>
      <c r="F23">
        <f>IFERROR('[1]m-1-deliveries'!B10, "")</f>
        <v>0</v>
      </c>
      <c r="G23">
        <f>IFERROR('[1]m-1-sumUnits'!B10, "")</f>
        <v>0</v>
      </c>
      <c r="H23" s="15" t="str">
        <f t="shared" si="10"/>
        <v/>
      </c>
      <c r="I23" s="15" t="str">
        <f t="shared" si="11"/>
        <v/>
      </c>
      <c r="J23" s="15">
        <f>IFERROR('[1]m-1-times'!B10, "")</f>
        <v>0</v>
      </c>
      <c r="K23" t="str">
        <f>IFERROR(_xlfn.XLOOKUP(B23, addresses!A$1:A$22, addresses!B$1:B$22), "")</f>
        <v/>
      </c>
      <c r="M23">
        <f>IFERROR('[1]t-1-routes'!$B$10, "")</f>
        <v>0</v>
      </c>
      <c r="N23">
        <f>IFERROR('[1]t-1-routes'!$C$10, "")</f>
        <v>0</v>
      </c>
      <c r="O23">
        <f>IFERROR('[1]t-1-distances'!$B$10, "")</f>
        <v>0</v>
      </c>
      <c r="P23">
        <f>IFERROR('[1]t-1-sumDists'!$B$10, "")</f>
        <v>0</v>
      </c>
      <c r="Q23">
        <f>IFERROR('[1]t-1-units'!$B$10, "")</f>
        <v>0</v>
      </c>
      <c r="R23">
        <f>IFERROR('[1]t-1-deliveries'!$B$10, "")</f>
        <v>0</v>
      </c>
      <c r="S23">
        <f>IFERROR('[1]t-1-sumUnits'!$B$10, "")</f>
        <v>0</v>
      </c>
      <c r="T23" s="15" t="str">
        <f t="shared" si="12"/>
        <v/>
      </c>
      <c r="U23" s="15" t="str">
        <f t="shared" si="13"/>
        <v/>
      </c>
      <c r="V23" s="15">
        <f>IFERROR('[1]t-1-times'!$B$10, "")</f>
        <v>0</v>
      </c>
      <c r="W23" t="str">
        <f>IFERROR(_xlfn.XLOOKUP(N23, addresses!$A$1:$A$22, addresses!$B$1:$B$22), "")</f>
        <v/>
      </c>
      <c r="Y23">
        <f>IFERROR('[1]w-1-routes'!$B$10, "")</f>
        <v>0</v>
      </c>
      <c r="Z23">
        <f>IFERROR('[1]w-1-routes'!$C$10, "")</f>
        <v>0</v>
      </c>
      <c r="AA23">
        <f>IFERROR('[1]w-1-distances'!$B$10, "")</f>
        <v>0</v>
      </c>
      <c r="AB23">
        <f>IFERROR('[1]w-1-sumDists'!$B$10, "")</f>
        <v>0</v>
      </c>
      <c r="AC23">
        <f>IFERROR('[1]w-1-units'!$B$10, "")</f>
        <v>0</v>
      </c>
      <c r="AD23">
        <f>IFERROR('[1]w-1-deliveries'!$B$10, "")</f>
        <v>0</v>
      </c>
      <c r="AE23">
        <f>IFERROR('[1]w-1-sumUnits'!$B$10, "")</f>
        <v>0</v>
      </c>
      <c r="AF23" s="15" t="str">
        <f t="shared" si="14"/>
        <v/>
      </c>
      <c r="AG23" s="15" t="str">
        <f t="shared" si="15"/>
        <v/>
      </c>
      <c r="AH23" s="15">
        <f>IFERROR('[1]w-1-times'!$B$10, "")</f>
        <v>0</v>
      </c>
      <c r="AI23" t="str">
        <f>IFERROR(_xlfn.XLOOKUP(Z23, addresses!$A$1:$A$22, addresses!$B$1:$B$22), "")</f>
        <v/>
      </c>
      <c r="AK23">
        <f>IFERROR('[1]th-1-routes'!$B$10, "")</f>
        <v>0</v>
      </c>
      <c r="AL23">
        <f>IFERROR('[1]th-1-routes'!$C$10, "")</f>
        <v>0</v>
      </c>
      <c r="AM23">
        <f>IFERROR('[1]th-1-distances'!$B$10, "")</f>
        <v>0</v>
      </c>
      <c r="AN23">
        <f>IFERROR('[1]th-1-sumDists'!$B$10, "")</f>
        <v>0</v>
      </c>
      <c r="AO23">
        <f>IFERROR('[1]th-1-units'!$B$10, "")</f>
        <v>0</v>
      </c>
      <c r="AP23">
        <f>IFERROR('[1]th-1-deliveries'!$B$10, "")</f>
        <v>0</v>
      </c>
      <c r="AQ23">
        <f>IFERROR('[1]th-1-sumUnits'!$B$10, "")</f>
        <v>0</v>
      </c>
      <c r="AR23" s="15" t="str">
        <f t="shared" si="16"/>
        <v/>
      </c>
      <c r="AS23" s="15" t="str">
        <f t="shared" si="17"/>
        <v/>
      </c>
      <c r="AT23" s="15">
        <f>IFERROR('[1]th-1-times'!$B$10, "")</f>
        <v>0</v>
      </c>
      <c r="AU23" t="str">
        <f>IFERROR(_xlfn.XLOOKUP(AL23, addresses!$A$1:$A$22, addresses!$B$1:$B$22), "")</f>
        <v/>
      </c>
      <c r="AW23">
        <f>IFERROR('[1]f-1-routes'!$B$10, "")</f>
        <v>0</v>
      </c>
      <c r="AX23">
        <f>IFERROR('[1]f-1-routes'!$C$10, "")</f>
        <v>0</v>
      </c>
      <c r="AY23">
        <f>IFERROR('[1]f-1-distances'!$B$10, "")</f>
        <v>0</v>
      </c>
      <c r="AZ23">
        <f>IFERROR('[1]f-1-sumDists'!$B$10, "")</f>
        <v>0</v>
      </c>
      <c r="BA23">
        <f>IFERROR('[1]f-1-units'!$B$10, "")</f>
        <v>0</v>
      </c>
      <c r="BB23">
        <f>IFERROR('[1]f-1-deliveries'!$B$10, "")</f>
        <v>0</v>
      </c>
      <c r="BC23">
        <f>IFERROR('[1]f-1-sumUnits'!$B$10, "")</f>
        <v>0</v>
      </c>
      <c r="BD23" s="15" t="str">
        <f t="shared" si="18"/>
        <v/>
      </c>
      <c r="BE23" s="15" t="str">
        <f t="shared" si="19"/>
        <v/>
      </c>
      <c r="BF23" s="15">
        <f>IFERROR('[1]f-1-times'!$B$10, "")</f>
        <v>0</v>
      </c>
      <c r="BG23" t="str">
        <f>IFERROR(_xlfn.XLOOKUP(AX23, addresses!$A$1:$A$22, addresses!$B$1:$B$22), "")</f>
        <v/>
      </c>
    </row>
    <row r="24" spans="1:60" x14ac:dyDescent="0.25">
      <c r="A24">
        <f>IFERROR('[1]m-1-routes'!$B11, "")</f>
        <v>0</v>
      </c>
      <c r="B24">
        <f>IFERROR('[1]m-1-routes'!$C11, "")</f>
        <v>0</v>
      </c>
      <c r="C24">
        <f>IFERROR('[1]m-1-distances'!B11, "")</f>
        <v>0</v>
      </c>
      <c r="D24">
        <f>IFERROR('[1]m-1-sumDists'!B11, "")</f>
        <v>0</v>
      </c>
      <c r="E24">
        <f>IFERROR('[1]m-1-units'!B11, "")</f>
        <v>0</v>
      </c>
      <c r="F24">
        <f>IFERROR('[1]m-1-deliveries'!B11, "")</f>
        <v>0</v>
      </c>
      <c r="G24">
        <f>IFERROR('[1]m-1-sumUnits'!B11, "")</f>
        <v>0</v>
      </c>
      <c r="H24" s="15" t="str">
        <f t="shared" si="10"/>
        <v/>
      </c>
      <c r="I24" s="15" t="str">
        <f t="shared" si="11"/>
        <v/>
      </c>
      <c r="J24" s="15">
        <f>IFERROR('[1]m-1-times'!B11, "")</f>
        <v>0</v>
      </c>
      <c r="K24" t="str">
        <f>IFERROR(_xlfn.XLOOKUP(B24, addresses!A$1:A$22, addresses!B$1:B$22), "")</f>
        <v/>
      </c>
      <c r="M24">
        <f>IFERROR('[1]t-1-routes'!$B22, "")</f>
        <v>0</v>
      </c>
      <c r="N24">
        <f>IFERROR('[1]t-1-routes'!$C22, "")</f>
        <v>0</v>
      </c>
      <c r="O24">
        <f>IFERROR('[1]t-1-distances'!$B22, "")</f>
        <v>0</v>
      </c>
      <c r="P24">
        <f>IFERROR('[1]t-1-sumDists'!$B22, "")</f>
        <v>0</v>
      </c>
      <c r="Q24">
        <f>IFERROR('[1]t-1-units'!$B22, "")</f>
        <v>0</v>
      </c>
      <c r="R24">
        <f>IFERROR('[1]t-1-deliveries'!$B22, "")</f>
        <v>0</v>
      </c>
      <c r="S24">
        <f>IFERROR('[1]t-1-sumUnits'!$B22, "")</f>
        <v>0</v>
      </c>
      <c r="T24" s="15" t="str">
        <f t="shared" si="12"/>
        <v/>
      </c>
      <c r="U24" s="15" t="str">
        <f t="shared" si="13"/>
        <v/>
      </c>
      <c r="V24" s="15">
        <f>IFERROR('[1]t-1-times'!$B$11, "")</f>
        <v>0</v>
      </c>
      <c r="W24" t="str">
        <f>IFERROR(_xlfn.XLOOKUP(N24, addresses!$A$1:$A$22, addresses!$B$1:$B$22), "")</f>
        <v/>
      </c>
      <c r="Y24">
        <f>IFERROR('[1]w-1-routes'!$B22, "")</f>
        <v>0</v>
      </c>
      <c r="Z24">
        <f>IFERROR('[1]w-1-routes'!$C22, "")</f>
        <v>0</v>
      </c>
      <c r="AA24">
        <f>IFERROR('[1]w-1-distances'!$B22, "")</f>
        <v>0</v>
      </c>
      <c r="AB24">
        <f>IFERROR('[1]w-1-sumDists'!$B22, "")</f>
        <v>0</v>
      </c>
      <c r="AC24">
        <f>IFERROR('[1]w-1-units'!$B22, "")</f>
        <v>0</v>
      </c>
      <c r="AD24">
        <f>IFERROR('[1]w-1-deliveries'!$B22, "")</f>
        <v>0</v>
      </c>
      <c r="AE24">
        <f>IFERROR('[1]w-1-sumUnits'!$B22, "")</f>
        <v>0</v>
      </c>
      <c r="AF24" s="15" t="str">
        <f t="shared" si="14"/>
        <v/>
      </c>
      <c r="AG24" s="15" t="str">
        <f t="shared" si="15"/>
        <v/>
      </c>
      <c r="AH24" s="15">
        <f>IFERROR('[1]w-1-times'!$B$11, "")</f>
        <v>0</v>
      </c>
      <c r="AI24" t="str">
        <f>IFERROR(_xlfn.XLOOKUP(Z24, addresses!$A$1:$A$22, addresses!$B$1:$B$22), "")</f>
        <v/>
      </c>
      <c r="AK24">
        <f>IFERROR('[1]th-1-routes'!$B22, "")</f>
        <v>0</v>
      </c>
      <c r="AL24">
        <f>IFERROR('[1]th-1-routes'!$C22, "")</f>
        <v>0</v>
      </c>
      <c r="AM24">
        <f>IFERROR('[1]th-1-distances'!$B22, "")</f>
        <v>0</v>
      </c>
      <c r="AN24">
        <f>IFERROR('[1]th-1-sumDists'!$B22, "")</f>
        <v>0</v>
      </c>
      <c r="AO24">
        <f>IFERROR('[1]th-1-units'!$B22, "")</f>
        <v>0</v>
      </c>
      <c r="AP24">
        <f>IFERROR('[1]th-1-deliveries'!$B22, "")</f>
        <v>0</v>
      </c>
      <c r="AQ24">
        <f>IFERROR('[1]th-1-sumUnits'!$B22, "")</f>
        <v>0</v>
      </c>
      <c r="AR24" s="15" t="str">
        <f t="shared" si="16"/>
        <v/>
      </c>
      <c r="AS24" s="15" t="str">
        <f t="shared" si="17"/>
        <v/>
      </c>
      <c r="AT24" s="15">
        <f>IFERROR('[1]th-1-times'!$B$11, "")</f>
        <v>0</v>
      </c>
      <c r="AU24" t="str">
        <f>IFERROR(_xlfn.XLOOKUP(AL24, addresses!$A$1:$A$22, addresses!$B$1:$B$22), "")</f>
        <v/>
      </c>
      <c r="AW24">
        <f>IFERROR('[1]f-1-routes'!$B22, "")</f>
        <v>0</v>
      </c>
      <c r="AX24">
        <f>IFERROR('[1]f-1-routes'!$C22, "")</f>
        <v>0</v>
      </c>
      <c r="AY24">
        <f>IFERROR('[1]f-1-distances'!$B22, "")</f>
        <v>0</v>
      </c>
      <c r="AZ24">
        <f>IFERROR('[1]f-1-sumDists'!$B22, "")</f>
        <v>0</v>
      </c>
      <c r="BA24">
        <f>IFERROR('[1]f-1-units'!$B22, "")</f>
        <v>0</v>
      </c>
      <c r="BB24">
        <f>IFERROR('[1]f-1-deliveries'!$B22, "")</f>
        <v>0</v>
      </c>
      <c r="BC24">
        <f>IFERROR('[1]f-1-sumUnits'!$B22, "")</f>
        <v>0</v>
      </c>
      <c r="BD24" s="15" t="str">
        <f t="shared" si="18"/>
        <v/>
      </c>
      <c r="BE24" s="15" t="str">
        <f t="shared" si="19"/>
        <v/>
      </c>
      <c r="BF24" s="15">
        <f>IFERROR('[1]f-1-times'!$B$11, "")</f>
        <v>0</v>
      </c>
      <c r="BG24" t="str">
        <f>IFERROR(_xlfn.XLOOKUP(AX24, addresses!$A$1:$A$22, addresses!$B$1:$B$22), "")</f>
        <v/>
      </c>
    </row>
    <row r="25" spans="1:60" x14ac:dyDescent="0.25">
      <c r="A25" s="30" t="s">
        <v>16232</v>
      </c>
      <c r="B25" s="30"/>
      <c r="C25" s="30"/>
      <c r="D25" s="30"/>
      <c r="E25" s="30"/>
      <c r="F25" s="30"/>
      <c r="G25" s="30"/>
      <c r="H25" s="30"/>
      <c r="I25" s="30"/>
      <c r="J25" s="30"/>
      <c r="K25" s="23" t="str">
        <f>IFERROR(_xlfn.XLOOKUP(A26, addresses!A$1:A$22, addresses!B$1:B$22), "")</f>
        <v>4509 State Hwy 83 North, Defuniak Springs, FL, 32433</v>
      </c>
      <c r="L25" s="17"/>
      <c r="M25" s="30" t="s">
        <v>16232</v>
      </c>
      <c r="N25" s="30"/>
      <c r="O25" s="30"/>
      <c r="P25" s="30"/>
      <c r="Q25" s="30"/>
      <c r="R25" s="30"/>
      <c r="S25" s="30"/>
      <c r="T25" s="30"/>
      <c r="U25" s="30"/>
      <c r="V25" s="30"/>
      <c r="W25" s="22" t="str">
        <f>IFERROR(_xlfn.XLOOKUP(M26, addresses!$A$1:$A$22, addresses!$B$1:$B$22), "")</f>
        <v>4509 State Hwy 83 North, Defuniak Springs, FL, 32433</v>
      </c>
      <c r="X25" s="21"/>
      <c r="Y25" s="30" t="s">
        <v>16232</v>
      </c>
      <c r="Z25" s="30"/>
      <c r="AA25" s="30"/>
      <c r="AB25" s="30"/>
      <c r="AC25" s="30"/>
      <c r="AD25" s="30"/>
      <c r="AE25" s="30"/>
      <c r="AF25" s="30"/>
      <c r="AG25" s="30"/>
      <c r="AH25" s="30"/>
      <c r="AI25" s="22" t="str">
        <f>IFERROR(_xlfn.XLOOKUP(Y26, addresses!$A$1:$A$22, addresses!$B$1:$B$22), "")</f>
        <v>4509 State Hwy 83 North, Defuniak Springs, FL, 32433</v>
      </c>
      <c r="AJ25" s="21"/>
      <c r="AK25" s="30" t="s">
        <v>16232</v>
      </c>
      <c r="AL25" s="30"/>
      <c r="AM25" s="30"/>
      <c r="AN25" s="30"/>
      <c r="AO25" s="30"/>
      <c r="AP25" s="30"/>
      <c r="AQ25" s="30"/>
      <c r="AR25" s="30"/>
      <c r="AS25" s="30"/>
      <c r="AT25" s="30"/>
      <c r="AU25" s="22" t="str">
        <f>IFERROR(_xlfn.XLOOKUP(AK26, addresses!$A$1:$A$22, addresses!$B$1:$B$22), "")</f>
        <v>11780 US Hwy 1 Suite 208N, Palm Beach Gardens, FL, 33408</v>
      </c>
      <c r="AV25" s="21"/>
      <c r="AW25" s="30" t="s">
        <v>16232</v>
      </c>
      <c r="AX25" s="30"/>
      <c r="AY25" s="30"/>
      <c r="AZ25" s="30"/>
      <c r="BA25" s="30"/>
      <c r="BB25" s="30"/>
      <c r="BC25" s="30"/>
      <c r="BD25" s="30"/>
      <c r="BE25" s="30"/>
      <c r="BF25" s="30"/>
      <c r="BG25" s="22" t="str">
        <f>IFERROR(_xlfn.XLOOKUP(AW26, addresses!$A$1:$A$22, addresses!$B$1:$B$22), "")</f>
        <v>4509 State Hwy 83 North, Defuniak Springs, FL, 32433</v>
      </c>
      <c r="BH25" s="21"/>
    </row>
    <row r="26" spans="1:60" x14ac:dyDescent="0.25">
      <c r="A26">
        <f>IFERROR('[1]m-2-routes'!$B2, "")</f>
        <v>1</v>
      </c>
      <c r="B26">
        <f>IFERROR('[1]m-2-routes'!$C2, "")</f>
        <v>6</v>
      </c>
      <c r="C26">
        <f>IFERROR('[1]m-2-distances'!B2, "")</f>
        <v>116</v>
      </c>
      <c r="D26">
        <f>IFERROR('[1]m-2-sumDists'!B2, "")</f>
        <v>116</v>
      </c>
      <c r="E26">
        <f>IFERROR('[1]m-2-units'!B2, "")</f>
        <v>40</v>
      </c>
      <c r="F26">
        <f>IFERROR('[1]m-2-deliveries'!B2, "")</f>
        <v>0</v>
      </c>
      <c r="G26">
        <f>IFERROR('[1]m-2-sumUnits'!B2, "")</f>
        <v>40</v>
      </c>
      <c r="H26" s="15">
        <f>IFERROR(E26/C26, "")</f>
        <v>0.34482758620689657</v>
      </c>
      <c r="I26" s="15">
        <f>IFERROR(G26/D26, "")</f>
        <v>0.34482758620689657</v>
      </c>
      <c r="J26" s="15">
        <f>IFERROR('[1]m-2-times'!B2, "")</f>
        <v>2.641111111111111</v>
      </c>
      <c r="K26" t="str">
        <f>IFERROR(_xlfn.XLOOKUP(B26, addresses!A$1:A$22, addresses!B$1:B$22), "")</f>
        <v>711 N Main St., Havana, FL, 32333</v>
      </c>
      <c r="M26">
        <f>IFERROR('[1]t-2-routes'!$B$2, "")</f>
        <v>1</v>
      </c>
      <c r="N26">
        <f>IFERROR('[1]t-2-routes'!$C$2, "")</f>
        <v>21</v>
      </c>
      <c r="O26">
        <f>IFERROR('[1]t-2-distances'!$B$2, "")</f>
        <v>279</v>
      </c>
      <c r="P26">
        <f>IFERROR('[1]t-2-sumDists'!$B$2, "")</f>
        <v>279</v>
      </c>
      <c r="Q26">
        <f>IFERROR('[1]t-2-units'!$B$2, "")</f>
        <v>40</v>
      </c>
      <c r="R26">
        <f>IFERROR('[1]t-2-deliveries'!$B$2, "")</f>
        <v>0</v>
      </c>
      <c r="S26">
        <f>IFERROR('[1]t-2-sumUnits'!$B$2, "")</f>
        <v>40</v>
      </c>
      <c r="T26" s="15">
        <f>IFERROR(Q26/O26, "")</f>
        <v>0.14336917562724014</v>
      </c>
      <c r="U26" s="15">
        <f>IFERROR(S26/P26, "")</f>
        <v>0.14336917562724014</v>
      </c>
      <c r="V26" s="15">
        <f>IFERROR('[1]t-2-times'!$B$2, "")</f>
        <v>5.2166666666666668</v>
      </c>
      <c r="W26" t="str">
        <f>IFERROR(_xlfn.XLOOKUP(N26, addresses!$A$1:$A$22, addresses!$B$1:$B$22), "")</f>
        <v>1010 Sparkman Street, Hartselle, AL, 35640</v>
      </c>
      <c r="Y26">
        <f>IFERROR('[1]w-2-routes'!$B$2, "")</f>
        <v>1</v>
      </c>
      <c r="Z26">
        <f>IFERROR('[1]w-2-routes'!$C$2, "")</f>
        <v>17</v>
      </c>
      <c r="AA26">
        <f>IFERROR('[1]w-2-distances'!$B$2, "")</f>
        <v>530</v>
      </c>
      <c r="AB26">
        <f>IFERROR('[1]w-2-sumDists'!$B$2, "")</f>
        <v>530</v>
      </c>
      <c r="AC26">
        <f>IFERROR('[1]w-2-units'!$B$2, "")</f>
        <v>40</v>
      </c>
      <c r="AD26">
        <f>IFERROR('[1]w-2-deliveries'!$B$2, "")</f>
        <v>0</v>
      </c>
      <c r="AE26">
        <f>IFERROR('[1]w-2-sumUnits'!$B$2, "")</f>
        <v>40</v>
      </c>
      <c r="AF26" s="15">
        <f>IFERROR(AC26/AA26, "")</f>
        <v>7.5471698113207544E-2</v>
      </c>
      <c r="AG26" s="15">
        <f>IFERROR(AE26/AB26, "")</f>
        <v>7.5471698113207544E-2</v>
      </c>
      <c r="AH26" s="15">
        <f>IFERROR('[1]w-2-times'!$B$2, "")</f>
        <v>8.3236111111111111</v>
      </c>
      <c r="AI26" t="str">
        <f>IFERROR(_xlfn.XLOOKUP(Z26, addresses!$A$1:$A$22, addresses!$B$1:$B$22), "")</f>
        <v>11780 US Hwy 1 Suite 208N, Palm Beach Gardens, FL, 33408</v>
      </c>
      <c r="AK26">
        <f>IFERROR('[1]th-2-routes'!$B$2, "")</f>
        <v>17</v>
      </c>
      <c r="AL26">
        <f>IFERROR('[1]th-2-routes'!$C$2, "")</f>
        <v>1</v>
      </c>
      <c r="AM26">
        <f>IFERROR('[1]th-2-distances'!$B$2, "")</f>
        <v>530</v>
      </c>
      <c r="AN26">
        <f>IFERROR('[1]th-2-sumDists'!$B$2, "")</f>
        <v>530</v>
      </c>
      <c r="AO26">
        <f>IFERROR('[1]th-2-units'!$B$2, "")</f>
        <v>0</v>
      </c>
      <c r="AP26">
        <f>IFERROR('[1]th-2-deliveries'!$B$2, "")</f>
        <v>0</v>
      </c>
      <c r="AQ26">
        <f>IFERROR('[1]th-2-sumUnits'!$B$2, "")</f>
        <v>40</v>
      </c>
      <c r="AR26" s="15">
        <f>IFERROR(AO26/AM26, "")</f>
        <v>0</v>
      </c>
      <c r="AS26" s="15">
        <f>IFERROR(AQ26/AN26, "")</f>
        <v>7.5471698113207544E-2</v>
      </c>
      <c r="AT26" s="15">
        <f>IFERROR('[1]th-2-times'!$B$2, "")</f>
        <v>8.33</v>
      </c>
      <c r="AU26" t="str">
        <f>IFERROR(_xlfn.XLOOKUP(AL26, addresses!$A$1:$A$22, addresses!$B$1:$B$22), "")</f>
        <v>4509 State Hwy 83 North, Defuniak Springs, FL, 32433</v>
      </c>
      <c r="AW26">
        <f>IFERROR('[1]f-2-routes'!$B$2, "")</f>
        <v>1</v>
      </c>
      <c r="AX26">
        <f>IFERROR('[1]f-2-routes'!$C$2, "")</f>
        <v>1</v>
      </c>
      <c r="AY26">
        <f>IFERROR('[1]f-2-distances'!$B$2, "")</f>
        <v>0</v>
      </c>
      <c r="AZ26">
        <f>IFERROR('[1]f-2-sumDists'!$B$2, "")</f>
        <v>0</v>
      </c>
      <c r="BA26">
        <f>IFERROR('[1]f-2-units'!$B$2, "")</f>
        <v>0</v>
      </c>
      <c r="BB26">
        <f>IFERROR('[1]f-2-deliveries'!$B$2, "")</f>
        <v>0</v>
      </c>
      <c r="BC26">
        <f>IFERROR('[1]f-2-sumUnits'!$B$2, "")</f>
        <v>0</v>
      </c>
      <c r="BD26" s="15" t="str">
        <f>IFERROR(BA26/AY26, "")</f>
        <v/>
      </c>
      <c r="BE26" s="15" t="str">
        <f>IFERROR(BC26/AZ26, "")</f>
        <v/>
      </c>
      <c r="BF26" s="15">
        <f>IFERROR('[1]f-2-times'!$B$2, "")</f>
        <v>8.3333333333333329E-2</v>
      </c>
      <c r="BG26" t="str">
        <f>IFERROR(_xlfn.XLOOKUP(AX26, addresses!$A$1:$A$22, addresses!$B$1:$B$22), "")</f>
        <v>4509 State Hwy 83 North, Defuniak Springs, FL, 32433</v>
      </c>
    </row>
    <row r="27" spans="1:60" x14ac:dyDescent="0.25">
      <c r="A27">
        <f>IFERROR('[1]m-2-routes'!$B3, "")</f>
        <v>6</v>
      </c>
      <c r="B27">
        <f>IFERROR('[1]m-2-routes'!$C3, "")</f>
        <v>19</v>
      </c>
      <c r="C27">
        <f>IFERROR('[1]m-2-distances'!B3, "")</f>
        <v>177</v>
      </c>
      <c r="D27">
        <f>IFERROR('[1]m-2-sumDists'!B3, "")</f>
        <v>293</v>
      </c>
      <c r="E27">
        <f>IFERROR('[1]m-2-units'!B3, "")</f>
        <v>40</v>
      </c>
      <c r="F27">
        <f>IFERROR('[1]m-2-deliveries'!B3, "")</f>
        <v>0</v>
      </c>
      <c r="G27">
        <f>IFERROR('[1]m-2-sumUnits'!B3, "")</f>
        <v>80</v>
      </c>
      <c r="H27" s="15">
        <f t="shared" ref="H27:H35" si="20">IFERROR(E27/C27, "")</f>
        <v>0.22598870056497175</v>
      </c>
      <c r="I27" s="15">
        <f t="shared" ref="I27:I35" si="21">IFERROR(G27/D27, "")</f>
        <v>0.27303754266211605</v>
      </c>
      <c r="J27" s="15">
        <f>IFERROR('[1]m-2-times'!B3, "")</f>
        <v>6.4874999999999998</v>
      </c>
      <c r="K27" t="str">
        <f>IFERROR(_xlfn.XLOOKUP(B27, addresses!A$1:A$22, addresses!B$1:B$22), "")</f>
        <v>2134 Highway 29 South, Brewton, AL, 36426</v>
      </c>
      <c r="M27">
        <f>IFERROR('[1]t-2-routes'!$B$3, "")</f>
        <v>21</v>
      </c>
      <c r="N27">
        <f>IFERROR('[1]t-2-routes'!$C$3, "")</f>
        <v>12</v>
      </c>
      <c r="O27">
        <f>IFERROR('[1]t-2-distances'!$B$3, "")</f>
        <v>50</v>
      </c>
      <c r="P27">
        <f>IFERROR('[1]t-2-sumDists'!$B$3, "")</f>
        <v>329</v>
      </c>
      <c r="Q27">
        <f>IFERROR('[1]t-2-units'!$B$3, "")</f>
        <v>40</v>
      </c>
      <c r="R27">
        <f>IFERROR('[1]t-2-deliveries'!$B$3, "")</f>
        <v>0</v>
      </c>
      <c r="S27">
        <f>IFERROR('[1]t-2-sumUnits'!$B$3, "")</f>
        <v>80</v>
      </c>
      <c r="T27" s="15">
        <f t="shared" ref="T27:T35" si="22">IFERROR(Q27/O27, "")</f>
        <v>0.8</v>
      </c>
      <c r="U27" s="15">
        <f t="shared" ref="U27:U35" si="23">IFERROR(S27/P27, "")</f>
        <v>0.24316109422492402</v>
      </c>
      <c r="V27" s="15">
        <f>IFERROR('[1]t-2-times'!$B$3, "")</f>
        <v>6.9130555555555553</v>
      </c>
      <c r="W27" t="str">
        <f>IFERROR(_xlfn.XLOOKUP(N27, addresses!$A$1:$A$22, addresses!$B$1:$B$22), "")</f>
        <v>475 Walnut Gate Rd, Russellville, AL, 35654</v>
      </c>
      <c r="Y27">
        <f>IFERROR('[1]w-2-routes'!$B$3, "")</f>
        <v>0</v>
      </c>
      <c r="Z27">
        <f>IFERROR('[1]w-2-routes'!$C$3, "")</f>
        <v>0</v>
      </c>
      <c r="AA27">
        <f>IFERROR('[1]w-2-distances'!$B$3, "")</f>
        <v>0</v>
      </c>
      <c r="AB27">
        <f>IFERROR('[1]w-2-sumDists'!$B$3, "")</f>
        <v>0</v>
      </c>
      <c r="AC27">
        <f>IFERROR('[1]w-2-units'!$B$3, "")</f>
        <v>0</v>
      </c>
      <c r="AD27">
        <f>IFERROR('[1]w-2-deliveries'!$B$3, "")</f>
        <v>0</v>
      </c>
      <c r="AE27">
        <f>IFERROR('[1]w-2-sumUnits'!$B$3, "")</f>
        <v>0</v>
      </c>
      <c r="AF27" s="15" t="str">
        <f t="shared" ref="AF27:AF35" si="24">IFERROR(AC27/AA27, "")</f>
        <v/>
      </c>
      <c r="AG27" s="15" t="str">
        <f t="shared" ref="AG27:AG35" si="25">IFERROR(AE27/AB27, "")</f>
        <v/>
      </c>
      <c r="AH27" s="15">
        <f>IFERROR('[1]w-2-times'!$B$3, "")</f>
        <v>0</v>
      </c>
      <c r="AI27" t="str">
        <f>IFERROR(_xlfn.XLOOKUP(Z27, addresses!$A$1:$A$22, addresses!$B$1:$B$22), "")</f>
        <v/>
      </c>
      <c r="AK27">
        <f>IFERROR('[1]th-2-routes'!$B$3, "")</f>
        <v>0</v>
      </c>
      <c r="AL27">
        <f>IFERROR('[1]th-2-routes'!$C$3, "")</f>
        <v>0</v>
      </c>
      <c r="AM27">
        <f>IFERROR('[1]th-2-distances'!$B$3, "")</f>
        <v>0</v>
      </c>
      <c r="AN27">
        <f>IFERROR('[1]th-2-sumDists'!$B$3, "")</f>
        <v>0</v>
      </c>
      <c r="AO27">
        <f>IFERROR('[1]th-2-units'!$B$3, "")</f>
        <v>0</v>
      </c>
      <c r="AP27">
        <f>IFERROR('[1]th-2-deliveries'!$B$3, "")</f>
        <v>0</v>
      </c>
      <c r="AQ27">
        <f>IFERROR('[1]th-2-sumUnits'!$B$3, "")</f>
        <v>0</v>
      </c>
      <c r="AR27" s="15" t="str">
        <f t="shared" ref="AR27:AR35" si="26">IFERROR(AO27/AM27, "")</f>
        <v/>
      </c>
      <c r="AS27" s="15" t="str">
        <f t="shared" ref="AS27:AS35" si="27">IFERROR(AQ27/AN27, "")</f>
        <v/>
      </c>
      <c r="AT27" s="15">
        <f>IFERROR('[1]th-2-times'!$B$3, "")</f>
        <v>0</v>
      </c>
      <c r="AU27" t="str">
        <f>IFERROR(_xlfn.XLOOKUP(AL27, addresses!$A$1:$A$22, addresses!$B$1:$B$22), "")</f>
        <v/>
      </c>
      <c r="AW27">
        <f>IFERROR('[1]f-2-routes'!$B$3, "")</f>
        <v>0</v>
      </c>
      <c r="AX27">
        <f>IFERROR('[1]f-2-routes'!$C$3, "")</f>
        <v>0</v>
      </c>
      <c r="AY27">
        <f>IFERROR('[1]f-2-distances'!$B$3, "")</f>
        <v>0</v>
      </c>
      <c r="AZ27">
        <f>IFERROR('[1]f-2-sumDists'!$B$3, "")</f>
        <v>0</v>
      </c>
      <c r="BA27">
        <f>IFERROR('[1]f-2-units'!$B$3, "")</f>
        <v>0</v>
      </c>
      <c r="BB27">
        <f>IFERROR('[1]f-2-deliveries'!$B$3, "")</f>
        <v>0</v>
      </c>
      <c r="BC27">
        <f>IFERROR('[1]f-2-sumUnits'!$B$3, "")</f>
        <v>0</v>
      </c>
      <c r="BD27" s="15" t="str">
        <f t="shared" ref="BD27:BD35" si="28">IFERROR(BA27/AY27, "")</f>
        <v/>
      </c>
      <c r="BE27" s="15" t="str">
        <f t="shared" ref="BE27:BE35" si="29">IFERROR(BC27/AZ27, "")</f>
        <v/>
      </c>
      <c r="BF27" s="15">
        <f>IFERROR('[1]f-2-times'!$B$3, "")</f>
        <v>0</v>
      </c>
      <c r="BG27" t="str">
        <f>IFERROR(_xlfn.XLOOKUP(AX27, addresses!$A$1:$A$22, addresses!$B$1:$B$22), "")</f>
        <v/>
      </c>
    </row>
    <row r="28" spans="1:60" x14ac:dyDescent="0.25">
      <c r="A28">
        <f>IFERROR('[1]m-2-routes'!$B4, "")</f>
        <v>19</v>
      </c>
      <c r="B28">
        <f>IFERROR('[1]m-2-routes'!$C4, "")</f>
        <v>1</v>
      </c>
      <c r="C28">
        <f>IFERROR('[1]m-2-distances'!B4, "")</f>
        <v>144</v>
      </c>
      <c r="D28">
        <f>IFERROR('[1]m-2-sumDists'!B4, "")</f>
        <v>437</v>
      </c>
      <c r="E28">
        <f>IFERROR('[1]m-2-units'!B4, "")</f>
        <v>0</v>
      </c>
      <c r="F28">
        <f>IFERROR('[1]m-2-deliveries'!B4, "")</f>
        <v>0</v>
      </c>
      <c r="G28">
        <f>IFERROR('[1]m-2-sumUnits'!B4, "")</f>
        <v>80</v>
      </c>
      <c r="H28" s="15">
        <f t="shared" si="20"/>
        <v>0</v>
      </c>
      <c r="I28" s="15">
        <f t="shared" si="21"/>
        <v>0.18306636155606407</v>
      </c>
      <c r="J28" s="15">
        <f>IFERROR('[1]m-2-times'!B4, "")</f>
        <v>10.64361111111111</v>
      </c>
      <c r="K28" t="str">
        <f>IFERROR(_xlfn.XLOOKUP(B28, addresses!A$1:A$22, addresses!B$1:B$22), "")</f>
        <v>4509 State Hwy 83 North, Defuniak Springs, FL, 32433</v>
      </c>
      <c r="M28">
        <f>IFERROR('[1]t-2-routes'!$B$4, "")</f>
        <v>12</v>
      </c>
      <c r="N28">
        <f>IFERROR('[1]t-2-routes'!$C$4, "")</f>
        <v>1</v>
      </c>
      <c r="O28">
        <f>IFERROR('[1]t-2-distances'!$B$4, "")</f>
        <v>318</v>
      </c>
      <c r="P28">
        <f>IFERROR('[1]t-2-sumDists'!$B$4, "")</f>
        <v>647</v>
      </c>
      <c r="Q28">
        <f>IFERROR('[1]t-2-units'!$B$4, "")</f>
        <v>0</v>
      </c>
      <c r="R28">
        <f>IFERROR('[1]t-2-deliveries'!$B$4, "")</f>
        <v>0</v>
      </c>
      <c r="S28">
        <f>IFERROR('[1]t-2-sumUnits'!$B$4, "")</f>
        <v>80</v>
      </c>
      <c r="T28" s="15">
        <f t="shared" si="22"/>
        <v>0</v>
      </c>
      <c r="U28" s="15">
        <f t="shared" si="23"/>
        <v>0.12364760432766615</v>
      </c>
      <c r="V28" s="15">
        <f>IFERROR('[1]t-2-times'!$B$4, "")</f>
        <v>13.480277777777779</v>
      </c>
      <c r="W28" t="str">
        <f>IFERROR(_xlfn.XLOOKUP(N28, addresses!$A$1:$A$22, addresses!$B$1:$B$22), "")</f>
        <v>4509 State Hwy 83 North, Defuniak Springs, FL, 32433</v>
      </c>
      <c r="Y28">
        <f>IFERROR('[1]w-2-routes'!$B$4, "")</f>
        <v>0</v>
      </c>
      <c r="Z28">
        <f>IFERROR('[1]w-2-routes'!$C$4, "")</f>
        <v>0</v>
      </c>
      <c r="AA28">
        <f>IFERROR('[1]w-2-distances'!$B$4, "")</f>
        <v>0</v>
      </c>
      <c r="AB28">
        <f>IFERROR('[1]w-2-sumDists'!$B$4, "")</f>
        <v>0</v>
      </c>
      <c r="AC28">
        <f>IFERROR('[1]w-2-units'!$B$4, "")</f>
        <v>0</v>
      </c>
      <c r="AD28">
        <f>IFERROR('[1]w-2-deliveries'!$B$4, "")</f>
        <v>0</v>
      </c>
      <c r="AE28">
        <f>IFERROR('[1]w-2-sumUnits'!$B$4, "")</f>
        <v>0</v>
      </c>
      <c r="AF28" s="15" t="str">
        <f t="shared" si="24"/>
        <v/>
      </c>
      <c r="AG28" s="15" t="str">
        <f t="shared" si="25"/>
        <v/>
      </c>
      <c r="AH28" s="15">
        <f>IFERROR('[1]w-2-times'!$B$4, "")</f>
        <v>0</v>
      </c>
      <c r="AI28" t="str">
        <f>IFERROR(_xlfn.XLOOKUP(Z28, addresses!$A$1:$A$22, addresses!$B$1:$B$22), "")</f>
        <v/>
      </c>
      <c r="AK28">
        <f>IFERROR('[1]th-2-routes'!$B$4, "")</f>
        <v>0</v>
      </c>
      <c r="AL28">
        <f>IFERROR('[1]th-2-routes'!$C$4, "")</f>
        <v>0</v>
      </c>
      <c r="AM28">
        <f>IFERROR('[1]th-2-distances'!$B$4, "")</f>
        <v>0</v>
      </c>
      <c r="AN28">
        <f>IFERROR('[1]th-2-sumDists'!$B$4, "")</f>
        <v>0</v>
      </c>
      <c r="AO28">
        <f>IFERROR('[1]th-2-units'!$B$4, "")</f>
        <v>0</v>
      </c>
      <c r="AP28">
        <f>IFERROR('[1]th-2-deliveries'!$B$4, "")</f>
        <v>0</v>
      </c>
      <c r="AQ28">
        <f>IFERROR('[1]th-2-sumUnits'!$B$4, "")</f>
        <v>0</v>
      </c>
      <c r="AR28" s="15" t="str">
        <f t="shared" si="26"/>
        <v/>
      </c>
      <c r="AS28" s="15" t="str">
        <f t="shared" si="27"/>
        <v/>
      </c>
      <c r="AT28" s="15">
        <f>IFERROR('[1]th-2-times'!$B$4, "")</f>
        <v>0</v>
      </c>
      <c r="AU28" t="str">
        <f>IFERROR(_xlfn.XLOOKUP(AL28, addresses!$A$1:$A$22, addresses!$B$1:$B$22), "")</f>
        <v/>
      </c>
      <c r="AW28">
        <f>IFERROR('[1]f-2-routes'!$B$4, "")</f>
        <v>0</v>
      </c>
      <c r="AX28">
        <f>IFERROR('[1]f-2-routes'!$C$4, "")</f>
        <v>0</v>
      </c>
      <c r="AY28">
        <f>IFERROR('[1]f-2-distances'!$B$4, "")</f>
        <v>0</v>
      </c>
      <c r="AZ28">
        <f>IFERROR('[1]f-2-sumDists'!$B$4, "")</f>
        <v>0</v>
      </c>
      <c r="BA28">
        <f>IFERROR('[1]f-2-units'!$B$4, "")</f>
        <v>0</v>
      </c>
      <c r="BB28">
        <f>IFERROR('[1]f-2-deliveries'!$B$4, "")</f>
        <v>0</v>
      </c>
      <c r="BC28">
        <f>IFERROR('[1]f-2-sumUnits'!$B$4, "")</f>
        <v>0</v>
      </c>
      <c r="BD28" s="15" t="str">
        <f t="shared" si="28"/>
        <v/>
      </c>
      <c r="BE28" s="15" t="str">
        <f t="shared" si="29"/>
        <v/>
      </c>
      <c r="BF28" s="15">
        <f>IFERROR('[1]f-2-times'!$B$4, "")</f>
        <v>0</v>
      </c>
      <c r="BG28" t="str">
        <f>IFERROR(_xlfn.XLOOKUP(AX28, addresses!$A$1:$A$22, addresses!$B$1:$B$22), "")</f>
        <v/>
      </c>
    </row>
    <row r="29" spans="1:60" x14ac:dyDescent="0.25">
      <c r="A29">
        <f>IFERROR('[1]m-2-routes'!$B5, "")</f>
        <v>0</v>
      </c>
      <c r="B29">
        <f>IFERROR('[1]m-2-routes'!$C5, "")</f>
        <v>0</v>
      </c>
      <c r="C29">
        <f>IFERROR('[1]m-2-distances'!B5, "")</f>
        <v>0</v>
      </c>
      <c r="D29">
        <f>IFERROR('[1]m-2-sumDists'!B5, "")</f>
        <v>0</v>
      </c>
      <c r="E29">
        <f>IFERROR('[1]m-2-units'!B5, "")</f>
        <v>0</v>
      </c>
      <c r="F29">
        <f>IFERROR('[1]m-2-deliveries'!B5, "")</f>
        <v>0</v>
      </c>
      <c r="G29">
        <f>IFERROR('[1]m-2-sumUnits'!B5, "")</f>
        <v>0</v>
      </c>
      <c r="H29" s="15" t="str">
        <f t="shared" si="20"/>
        <v/>
      </c>
      <c r="I29" s="15" t="str">
        <f t="shared" si="21"/>
        <v/>
      </c>
      <c r="J29" s="15">
        <f>IFERROR('[1]m-2-times'!B5, "")</f>
        <v>0</v>
      </c>
      <c r="K29" t="str">
        <f>IFERROR(_xlfn.XLOOKUP(B29, addresses!A$1:A$22, addresses!B$1:B$22), "")</f>
        <v/>
      </c>
      <c r="M29">
        <f>IFERROR('[1]t-2-routes'!$B$5, "")</f>
        <v>0</v>
      </c>
      <c r="N29">
        <f>IFERROR('[1]t-2-routes'!$C$5, "")</f>
        <v>0</v>
      </c>
      <c r="O29">
        <f>IFERROR('[1]t-2-distances'!$B$5, "")</f>
        <v>0</v>
      </c>
      <c r="P29">
        <f>IFERROR('[1]t-2-sumDists'!$B$5, "")</f>
        <v>0</v>
      </c>
      <c r="Q29">
        <f>IFERROR('[1]t-2-units'!$B$5, "")</f>
        <v>0</v>
      </c>
      <c r="R29">
        <f>IFERROR('[1]t-2-deliveries'!$B$5, "")</f>
        <v>0</v>
      </c>
      <c r="S29">
        <f>IFERROR('[1]t-2-sumUnits'!$B$5, "")</f>
        <v>0</v>
      </c>
      <c r="T29" s="15" t="str">
        <f t="shared" si="22"/>
        <v/>
      </c>
      <c r="U29" s="15" t="str">
        <f t="shared" si="23"/>
        <v/>
      </c>
      <c r="V29" s="15">
        <f>IFERROR('[1]t-2-times'!$B$5, "")</f>
        <v>0</v>
      </c>
      <c r="W29" t="str">
        <f>IFERROR(_xlfn.XLOOKUP(N29, addresses!$A$1:$A$22, addresses!$B$1:$B$22), "")</f>
        <v/>
      </c>
      <c r="Y29">
        <f>IFERROR('[1]w-2-routes'!$B$5, "")</f>
        <v>0</v>
      </c>
      <c r="Z29">
        <f>IFERROR('[1]w-2-routes'!$C$5, "")</f>
        <v>0</v>
      </c>
      <c r="AA29">
        <f>IFERROR('[1]w-2-distances'!$B$5, "")</f>
        <v>0</v>
      </c>
      <c r="AB29">
        <f>IFERROR('[1]w-2-sumDists'!$B$5, "")</f>
        <v>0</v>
      </c>
      <c r="AC29">
        <f>IFERROR('[1]w-2-units'!$B$5, "")</f>
        <v>0</v>
      </c>
      <c r="AD29">
        <f>IFERROR('[1]w-2-deliveries'!$B$5, "")</f>
        <v>0</v>
      </c>
      <c r="AE29">
        <f>IFERROR('[1]w-2-sumUnits'!$B$5, "")</f>
        <v>0</v>
      </c>
      <c r="AF29" s="15" t="str">
        <f t="shared" si="24"/>
        <v/>
      </c>
      <c r="AG29" s="15" t="str">
        <f t="shared" si="25"/>
        <v/>
      </c>
      <c r="AH29" s="15">
        <f>IFERROR('[1]w-2-times'!$B$5, "")</f>
        <v>0</v>
      </c>
      <c r="AI29" t="str">
        <f>IFERROR(_xlfn.XLOOKUP(Z29, addresses!$A$1:$A$22, addresses!$B$1:$B$22), "")</f>
        <v/>
      </c>
      <c r="AK29">
        <f>IFERROR('[1]th-2-routes'!$B$5, "")</f>
        <v>0</v>
      </c>
      <c r="AL29">
        <f>IFERROR('[1]th-2-routes'!$C$5, "")</f>
        <v>0</v>
      </c>
      <c r="AM29">
        <f>IFERROR('[1]th-2-distances'!$B$5, "")</f>
        <v>0</v>
      </c>
      <c r="AN29">
        <f>IFERROR('[1]th-2-sumDists'!$B$5, "")</f>
        <v>0</v>
      </c>
      <c r="AO29">
        <f>IFERROR('[1]th-2-units'!$B$5, "")</f>
        <v>0</v>
      </c>
      <c r="AP29">
        <f>IFERROR('[1]th-2-deliveries'!$B$5, "")</f>
        <v>0</v>
      </c>
      <c r="AQ29">
        <f>IFERROR('[1]th-2-sumUnits'!$B$5, "")</f>
        <v>0</v>
      </c>
      <c r="AR29" s="15" t="str">
        <f t="shared" si="26"/>
        <v/>
      </c>
      <c r="AS29" s="15" t="str">
        <f t="shared" si="27"/>
        <v/>
      </c>
      <c r="AT29" s="15">
        <f>IFERROR('[1]th-2-times'!$B$5, "")</f>
        <v>0</v>
      </c>
      <c r="AU29" t="str">
        <f>IFERROR(_xlfn.XLOOKUP(AL29, addresses!$A$1:$A$22, addresses!$B$1:$B$22), "")</f>
        <v/>
      </c>
      <c r="AW29">
        <f>IFERROR('[1]f-2-routes'!$B$5, "")</f>
        <v>0</v>
      </c>
      <c r="AX29">
        <f>IFERROR('[1]f-2-routes'!$C$5, "")</f>
        <v>0</v>
      </c>
      <c r="AY29">
        <f>IFERROR('[1]f-2-distances'!$B$5, "")</f>
        <v>0</v>
      </c>
      <c r="AZ29">
        <f>IFERROR('[1]f-2-sumDists'!$B$5, "")</f>
        <v>0</v>
      </c>
      <c r="BA29">
        <f>IFERROR('[1]f-2-units'!$B$5, "")</f>
        <v>0</v>
      </c>
      <c r="BB29">
        <f>IFERROR('[1]f-2-deliveries'!$B$5, "")</f>
        <v>0</v>
      </c>
      <c r="BC29">
        <f>IFERROR('[1]f-2-sumUnits'!$B$5, "")</f>
        <v>0</v>
      </c>
      <c r="BD29" s="15" t="str">
        <f t="shared" si="28"/>
        <v/>
      </c>
      <c r="BE29" s="15" t="str">
        <f t="shared" si="29"/>
        <v/>
      </c>
      <c r="BF29" s="15">
        <f>IFERROR('[1]f-2-times'!$B$5, "")</f>
        <v>0</v>
      </c>
      <c r="BG29" t="str">
        <f>IFERROR(_xlfn.XLOOKUP(AX29, addresses!$A$1:$A$22, addresses!$B$1:$B$22), "")</f>
        <v/>
      </c>
    </row>
    <row r="30" spans="1:60" x14ac:dyDescent="0.25">
      <c r="A30">
        <f>IFERROR('[1]m-2-routes'!$B6, "")</f>
        <v>0</v>
      </c>
      <c r="B30">
        <f>IFERROR('[1]m-2-routes'!$C6, "")</f>
        <v>0</v>
      </c>
      <c r="C30">
        <f>IFERROR('[1]m-2-distances'!B6, "")</f>
        <v>0</v>
      </c>
      <c r="D30">
        <f>IFERROR('[1]m-2-sumDists'!B6, "")</f>
        <v>0</v>
      </c>
      <c r="E30">
        <f>IFERROR('[1]m-2-units'!B6, "")</f>
        <v>0</v>
      </c>
      <c r="F30">
        <f>IFERROR('[1]m-2-deliveries'!B6, "")</f>
        <v>0</v>
      </c>
      <c r="G30">
        <f>IFERROR('[1]m-2-sumUnits'!B6, "")</f>
        <v>0</v>
      </c>
      <c r="H30" s="15" t="str">
        <f t="shared" si="20"/>
        <v/>
      </c>
      <c r="I30" s="15" t="str">
        <f t="shared" si="21"/>
        <v/>
      </c>
      <c r="J30" s="15">
        <f>IFERROR('[1]m-2-times'!B6, "")</f>
        <v>0</v>
      </c>
      <c r="K30" t="str">
        <f>IFERROR(_xlfn.XLOOKUP(B30, addresses!A$1:A$22, addresses!B$1:B$22), "")</f>
        <v/>
      </c>
      <c r="M30">
        <f>IFERROR('[1]t-2-routes'!$B$6, "")</f>
        <v>0</v>
      </c>
      <c r="N30">
        <f>IFERROR('[1]t-2-routes'!$C$6, "")</f>
        <v>0</v>
      </c>
      <c r="O30">
        <f>IFERROR('[1]t-2-distances'!$B$6, "")</f>
        <v>0</v>
      </c>
      <c r="P30">
        <f>IFERROR('[1]t-2-sumDists'!$B$6, "")</f>
        <v>0</v>
      </c>
      <c r="Q30">
        <f>IFERROR('[1]t-2-units'!$B$6, "")</f>
        <v>0</v>
      </c>
      <c r="R30">
        <f>IFERROR('[1]t-2-deliveries'!$B$6, "")</f>
        <v>0</v>
      </c>
      <c r="S30">
        <f>IFERROR('[1]t-2-sumUnits'!$B$6, "")</f>
        <v>0</v>
      </c>
      <c r="T30" s="15" t="str">
        <f t="shared" si="22"/>
        <v/>
      </c>
      <c r="U30" s="15" t="str">
        <f t="shared" si="23"/>
        <v/>
      </c>
      <c r="V30" s="15">
        <f>IFERROR('[1]t-2-times'!$B$6, "")</f>
        <v>0</v>
      </c>
      <c r="W30" t="str">
        <f>IFERROR(_xlfn.XLOOKUP(N30, addresses!$A$1:$A$22, addresses!$B$1:$B$22), "")</f>
        <v/>
      </c>
      <c r="Y30">
        <f>IFERROR('[1]w-2-routes'!$B$6, "")</f>
        <v>0</v>
      </c>
      <c r="Z30">
        <f>IFERROR('[1]w-2-routes'!$C$6, "")</f>
        <v>0</v>
      </c>
      <c r="AA30">
        <f>IFERROR('[1]w-2-distances'!$B$6, "")</f>
        <v>0</v>
      </c>
      <c r="AB30">
        <f>IFERROR('[1]w-2-sumDists'!$B$6, "")</f>
        <v>0</v>
      </c>
      <c r="AC30">
        <f>IFERROR('[1]w-2-units'!$B$6, "")</f>
        <v>0</v>
      </c>
      <c r="AD30">
        <f>IFERROR('[1]w-2-deliveries'!$B$6, "")</f>
        <v>0</v>
      </c>
      <c r="AE30">
        <f>IFERROR('[1]w-2-sumUnits'!$B$6, "")</f>
        <v>0</v>
      </c>
      <c r="AF30" s="15" t="str">
        <f t="shared" si="24"/>
        <v/>
      </c>
      <c r="AG30" s="15" t="str">
        <f t="shared" si="25"/>
        <v/>
      </c>
      <c r="AH30" s="15">
        <f>IFERROR('[1]w-2-times'!$B$6, "")</f>
        <v>0</v>
      </c>
      <c r="AI30" t="str">
        <f>IFERROR(_xlfn.XLOOKUP(Z30, addresses!$A$1:$A$22, addresses!$B$1:$B$22), "")</f>
        <v/>
      </c>
      <c r="AK30">
        <f>IFERROR('[1]th-2-routes'!$B$6, "")</f>
        <v>0</v>
      </c>
      <c r="AL30">
        <f>IFERROR('[1]th-2-routes'!$C$6, "")</f>
        <v>0</v>
      </c>
      <c r="AM30">
        <f>IFERROR('[1]th-2-distances'!$B$6, "")</f>
        <v>0</v>
      </c>
      <c r="AN30">
        <f>IFERROR('[1]th-2-sumDists'!$B$6, "")</f>
        <v>0</v>
      </c>
      <c r="AO30">
        <f>IFERROR('[1]th-2-units'!$B$6, "")</f>
        <v>0</v>
      </c>
      <c r="AP30">
        <f>IFERROR('[1]th-2-deliveries'!$B$6, "")</f>
        <v>0</v>
      </c>
      <c r="AQ30">
        <f>IFERROR('[1]th-2-sumUnits'!$B$6, "")</f>
        <v>0</v>
      </c>
      <c r="AR30" s="15" t="str">
        <f t="shared" si="26"/>
        <v/>
      </c>
      <c r="AS30" s="15" t="str">
        <f t="shared" si="27"/>
        <v/>
      </c>
      <c r="AT30" s="15">
        <f>IFERROR('[1]th-2-times'!$B$6, "")</f>
        <v>0</v>
      </c>
      <c r="AU30" t="str">
        <f>IFERROR(_xlfn.XLOOKUP(AL30, addresses!$A$1:$A$22, addresses!$B$1:$B$22), "")</f>
        <v/>
      </c>
      <c r="AW30">
        <f>IFERROR('[1]f-2-routes'!$B$6, "")</f>
        <v>0</v>
      </c>
      <c r="AX30">
        <f>IFERROR('[1]f-2-routes'!$C$6, "")</f>
        <v>0</v>
      </c>
      <c r="AY30">
        <f>IFERROR('[1]f-2-distances'!$B$6, "")</f>
        <v>0</v>
      </c>
      <c r="AZ30">
        <f>IFERROR('[1]f-2-sumDists'!$B$6, "")</f>
        <v>0</v>
      </c>
      <c r="BA30">
        <f>IFERROR('[1]f-2-units'!$B$6, "")</f>
        <v>0</v>
      </c>
      <c r="BB30">
        <f>IFERROR('[1]f-2-deliveries'!$B$6, "")</f>
        <v>0</v>
      </c>
      <c r="BC30">
        <f>IFERROR('[1]f-2-sumUnits'!$B$6, "")</f>
        <v>0</v>
      </c>
      <c r="BD30" s="15" t="str">
        <f t="shared" si="28"/>
        <v/>
      </c>
      <c r="BE30" s="15" t="str">
        <f t="shared" si="29"/>
        <v/>
      </c>
      <c r="BF30" s="15">
        <f>IFERROR('[1]f-2-times'!$B$6, "")</f>
        <v>0</v>
      </c>
      <c r="BG30" t="str">
        <f>IFERROR(_xlfn.XLOOKUP(AX30, addresses!$A$1:$A$22, addresses!$B$1:$B$22), "")</f>
        <v/>
      </c>
    </row>
    <row r="31" spans="1:60" x14ac:dyDescent="0.25">
      <c r="A31">
        <f>IFERROR('[1]m-2-routes'!$B7, "")</f>
        <v>0</v>
      </c>
      <c r="B31">
        <f>IFERROR('[1]m-2-routes'!$C7, "")</f>
        <v>0</v>
      </c>
      <c r="C31">
        <f>IFERROR('[1]m-2-distances'!B7, "")</f>
        <v>0</v>
      </c>
      <c r="D31">
        <f>IFERROR('[1]m-2-sumDists'!B7, "")</f>
        <v>0</v>
      </c>
      <c r="E31">
        <f>IFERROR('[1]m-2-units'!B7, "")</f>
        <v>0</v>
      </c>
      <c r="F31">
        <f>IFERROR('[1]m-2-deliveries'!B7, "")</f>
        <v>0</v>
      </c>
      <c r="G31">
        <f>IFERROR('[1]m-2-sumUnits'!B7, "")</f>
        <v>0</v>
      </c>
      <c r="H31" s="15" t="str">
        <f t="shared" si="20"/>
        <v/>
      </c>
      <c r="I31" s="15" t="str">
        <f t="shared" si="21"/>
        <v/>
      </c>
      <c r="J31" s="15">
        <f>IFERROR('[1]m-2-times'!B7, "")</f>
        <v>0</v>
      </c>
      <c r="K31" t="str">
        <f>IFERROR(_xlfn.XLOOKUP(B31, addresses!A$1:A$22, addresses!B$1:B$22), "")</f>
        <v/>
      </c>
      <c r="M31">
        <f>IFERROR('[1]t-2-routes'!$B$7, "")</f>
        <v>0</v>
      </c>
      <c r="N31">
        <f>IFERROR('[1]t-2-routes'!$C$7, "")</f>
        <v>0</v>
      </c>
      <c r="O31">
        <f>IFERROR('[1]t-2-distances'!$B$7, "")</f>
        <v>0</v>
      </c>
      <c r="P31">
        <f>IFERROR('[1]t-2-sumDists'!$B$7, "")</f>
        <v>0</v>
      </c>
      <c r="Q31">
        <f>IFERROR('[1]t-2-units'!$B$7, "")</f>
        <v>0</v>
      </c>
      <c r="R31">
        <f>IFERROR('[1]t-2-deliveries'!$B$7, "")</f>
        <v>0</v>
      </c>
      <c r="S31">
        <f>IFERROR('[1]t-2-sumUnits'!$B$7, "")</f>
        <v>0</v>
      </c>
      <c r="T31" s="15" t="str">
        <f t="shared" si="22"/>
        <v/>
      </c>
      <c r="U31" s="15" t="str">
        <f t="shared" si="23"/>
        <v/>
      </c>
      <c r="V31" s="15">
        <f>IFERROR('[1]t-2-times'!$B$7, "")</f>
        <v>0</v>
      </c>
      <c r="W31" t="str">
        <f>IFERROR(_xlfn.XLOOKUP(N31, addresses!$A$1:$A$22, addresses!$B$1:$B$22), "")</f>
        <v/>
      </c>
      <c r="Y31">
        <f>IFERROR('[1]w-2-routes'!$B$7, "")</f>
        <v>0</v>
      </c>
      <c r="Z31">
        <f>IFERROR('[1]w-2-routes'!$C$7, "")</f>
        <v>0</v>
      </c>
      <c r="AA31">
        <f>IFERROR('[1]w-2-distances'!$B$7, "")</f>
        <v>0</v>
      </c>
      <c r="AB31">
        <f>IFERROR('[1]w-2-sumDists'!$B$7, "")</f>
        <v>0</v>
      </c>
      <c r="AC31">
        <f>IFERROR('[1]w-2-units'!$B$7, "")</f>
        <v>0</v>
      </c>
      <c r="AD31">
        <f>IFERROR('[1]w-2-deliveries'!$B$7, "")</f>
        <v>0</v>
      </c>
      <c r="AE31">
        <f>IFERROR('[1]w-2-sumUnits'!$B$7, "")</f>
        <v>0</v>
      </c>
      <c r="AF31" s="15" t="str">
        <f t="shared" si="24"/>
        <v/>
      </c>
      <c r="AG31" s="15" t="str">
        <f t="shared" si="25"/>
        <v/>
      </c>
      <c r="AH31" s="15">
        <f>IFERROR('[1]w-2-times'!$B$7, "")</f>
        <v>0</v>
      </c>
      <c r="AI31" t="str">
        <f>IFERROR(_xlfn.XLOOKUP(Z31, addresses!$A$1:$A$22, addresses!$B$1:$B$22), "")</f>
        <v/>
      </c>
      <c r="AK31">
        <f>IFERROR('[1]th-2-routes'!$B$7, "")</f>
        <v>0</v>
      </c>
      <c r="AL31">
        <f>IFERROR('[1]th-2-routes'!$C$7, "")</f>
        <v>0</v>
      </c>
      <c r="AM31">
        <f>IFERROR('[1]th-2-distances'!$B$7, "")</f>
        <v>0</v>
      </c>
      <c r="AN31">
        <f>IFERROR('[1]th-2-sumDists'!$B$7, "")</f>
        <v>0</v>
      </c>
      <c r="AO31">
        <f>IFERROR('[1]th-2-units'!$B$7, "")</f>
        <v>0</v>
      </c>
      <c r="AP31">
        <f>IFERROR('[1]th-2-deliveries'!$B$7, "")</f>
        <v>0</v>
      </c>
      <c r="AQ31">
        <f>IFERROR('[1]th-2-sumUnits'!$B$7, "")</f>
        <v>0</v>
      </c>
      <c r="AR31" s="15" t="str">
        <f t="shared" si="26"/>
        <v/>
      </c>
      <c r="AS31" s="15" t="str">
        <f t="shared" si="27"/>
        <v/>
      </c>
      <c r="AT31" s="15">
        <f>IFERROR('[1]th-2-times'!$B$7, "")</f>
        <v>0</v>
      </c>
      <c r="AU31" t="str">
        <f>IFERROR(_xlfn.XLOOKUP(AL31, addresses!$A$1:$A$22, addresses!$B$1:$B$22), "")</f>
        <v/>
      </c>
      <c r="AW31">
        <f>IFERROR('[1]f-2-routes'!$B$7, "")</f>
        <v>0</v>
      </c>
      <c r="AX31">
        <f>IFERROR('[1]f-2-routes'!$C$7, "")</f>
        <v>0</v>
      </c>
      <c r="AY31">
        <f>IFERROR('[1]f-2-distances'!$B$7, "")</f>
        <v>0</v>
      </c>
      <c r="AZ31">
        <f>IFERROR('[1]f-2-sumDists'!$B$7, "")</f>
        <v>0</v>
      </c>
      <c r="BA31">
        <f>IFERROR('[1]f-2-units'!$B$7, "")</f>
        <v>0</v>
      </c>
      <c r="BB31">
        <f>IFERROR('[1]f-2-deliveries'!$B$7, "")</f>
        <v>0</v>
      </c>
      <c r="BC31">
        <f>IFERROR('[1]f-2-sumUnits'!$B$7, "")</f>
        <v>0</v>
      </c>
      <c r="BD31" s="15" t="str">
        <f t="shared" si="28"/>
        <v/>
      </c>
      <c r="BE31" s="15" t="str">
        <f t="shared" si="29"/>
        <v/>
      </c>
      <c r="BF31" s="15">
        <f>IFERROR('[1]f-2-times'!$B$7, "")</f>
        <v>0</v>
      </c>
      <c r="BG31" t="str">
        <f>IFERROR(_xlfn.XLOOKUP(AX31, addresses!$A$1:$A$22, addresses!$B$1:$B$22), "")</f>
        <v/>
      </c>
    </row>
    <row r="32" spans="1:60" x14ac:dyDescent="0.25">
      <c r="A32">
        <f>IFERROR('[1]m-2-routes'!$B8, "")</f>
        <v>0</v>
      </c>
      <c r="B32">
        <f>IFERROR('[1]m-2-routes'!$C8, "")</f>
        <v>0</v>
      </c>
      <c r="C32">
        <f>IFERROR('[1]m-2-distances'!B8, "")</f>
        <v>0</v>
      </c>
      <c r="D32">
        <f>IFERROR('[1]m-2-sumDists'!B8, "")</f>
        <v>0</v>
      </c>
      <c r="E32">
        <f>IFERROR('[1]m-2-units'!B8, "")</f>
        <v>0</v>
      </c>
      <c r="F32">
        <f>IFERROR('[1]m-2-deliveries'!B8, "")</f>
        <v>0</v>
      </c>
      <c r="G32">
        <f>IFERROR('[1]m-2-sumUnits'!B8, "")</f>
        <v>0</v>
      </c>
      <c r="H32" s="15" t="str">
        <f t="shared" si="20"/>
        <v/>
      </c>
      <c r="I32" s="15" t="str">
        <f t="shared" si="21"/>
        <v/>
      </c>
      <c r="J32" s="15">
        <f>IFERROR('[1]m-2-times'!B8, "")</f>
        <v>0</v>
      </c>
      <c r="K32" t="str">
        <f>IFERROR(_xlfn.XLOOKUP(B32, addresses!A$1:A$22, addresses!B$1:B$22), "")</f>
        <v/>
      </c>
      <c r="M32">
        <f>IFERROR('[1]t-2-routes'!$B$8, "")</f>
        <v>0</v>
      </c>
      <c r="N32">
        <f>IFERROR('[1]t-2-routes'!$C$8, "")</f>
        <v>0</v>
      </c>
      <c r="O32">
        <f>IFERROR('[1]t-2-distances'!$B$8, "")</f>
        <v>0</v>
      </c>
      <c r="P32">
        <f>IFERROR('[1]t-2-sumDists'!$B$8, "")</f>
        <v>0</v>
      </c>
      <c r="Q32">
        <f>IFERROR('[1]t-2-units'!$B$8, "")</f>
        <v>0</v>
      </c>
      <c r="R32">
        <f>IFERROR('[1]t-2-deliveries'!$B$8, "")</f>
        <v>0</v>
      </c>
      <c r="S32">
        <f>IFERROR('[1]t-2-sumUnits'!$B$8, "")</f>
        <v>0</v>
      </c>
      <c r="T32" s="15" t="str">
        <f t="shared" si="22"/>
        <v/>
      </c>
      <c r="U32" s="15" t="str">
        <f t="shared" si="23"/>
        <v/>
      </c>
      <c r="V32" s="15">
        <f>IFERROR('[1]t-2-times'!$B$8, "")</f>
        <v>0</v>
      </c>
      <c r="W32" t="str">
        <f>IFERROR(_xlfn.XLOOKUP(N32, addresses!$A$1:$A$22, addresses!$B$1:$B$22), "")</f>
        <v/>
      </c>
      <c r="Y32">
        <f>IFERROR('[1]w-2-routes'!$B$8, "")</f>
        <v>0</v>
      </c>
      <c r="Z32">
        <f>IFERROR('[1]w-2-routes'!$C$8, "")</f>
        <v>0</v>
      </c>
      <c r="AA32">
        <f>IFERROR('[1]w-2-distances'!$B$8, "")</f>
        <v>0</v>
      </c>
      <c r="AB32">
        <f>IFERROR('[1]w-2-sumDists'!$B$8, "")</f>
        <v>0</v>
      </c>
      <c r="AC32">
        <f>IFERROR('[1]w-2-units'!$B$8, "")</f>
        <v>0</v>
      </c>
      <c r="AD32">
        <f>IFERROR('[1]w-2-deliveries'!$B$8, "")</f>
        <v>0</v>
      </c>
      <c r="AE32">
        <f>IFERROR('[1]w-2-sumUnits'!$B$8, "")</f>
        <v>0</v>
      </c>
      <c r="AF32" s="15" t="str">
        <f t="shared" si="24"/>
        <v/>
      </c>
      <c r="AG32" s="15" t="str">
        <f t="shared" si="25"/>
        <v/>
      </c>
      <c r="AH32" s="15">
        <f>IFERROR('[1]w-2-times'!$B$8, "")</f>
        <v>0</v>
      </c>
      <c r="AI32" t="str">
        <f>IFERROR(_xlfn.XLOOKUP(Z32, addresses!$A$1:$A$22, addresses!$B$1:$B$22), "")</f>
        <v/>
      </c>
      <c r="AK32">
        <f>IFERROR('[1]th-2-routes'!$B$8, "")</f>
        <v>0</v>
      </c>
      <c r="AL32">
        <f>IFERROR('[1]th-2-routes'!$C$8, "")</f>
        <v>0</v>
      </c>
      <c r="AM32">
        <f>IFERROR('[1]th-2-distances'!$B$8, "")</f>
        <v>0</v>
      </c>
      <c r="AN32">
        <f>IFERROR('[1]th-2-sumDists'!$B$8, "")</f>
        <v>0</v>
      </c>
      <c r="AO32">
        <f>IFERROR('[1]th-2-units'!$B$8, "")</f>
        <v>0</v>
      </c>
      <c r="AP32">
        <f>IFERROR('[1]th-2-deliveries'!$B$8, "")</f>
        <v>0</v>
      </c>
      <c r="AQ32">
        <f>IFERROR('[1]th-2-sumUnits'!$B$8, "")</f>
        <v>0</v>
      </c>
      <c r="AR32" s="15" t="str">
        <f t="shared" si="26"/>
        <v/>
      </c>
      <c r="AS32" s="15" t="str">
        <f t="shared" si="27"/>
        <v/>
      </c>
      <c r="AT32" s="15">
        <f>IFERROR('[1]th-2-times'!$B$8, "")</f>
        <v>0</v>
      </c>
      <c r="AU32" t="str">
        <f>IFERROR(_xlfn.XLOOKUP(AL32, addresses!$A$1:$A$22, addresses!$B$1:$B$22), "")</f>
        <v/>
      </c>
      <c r="AW32">
        <f>IFERROR('[1]f-2-routes'!$B$8, "")</f>
        <v>0</v>
      </c>
      <c r="AX32">
        <f>IFERROR('[1]f-2-routes'!$C$8, "")</f>
        <v>0</v>
      </c>
      <c r="AY32">
        <f>IFERROR('[1]f-2-distances'!$B$8, "")</f>
        <v>0</v>
      </c>
      <c r="AZ32">
        <f>IFERROR('[1]f-2-sumDists'!$B$8, "")</f>
        <v>0</v>
      </c>
      <c r="BA32">
        <f>IFERROR('[1]f-2-units'!$B$8, "")</f>
        <v>0</v>
      </c>
      <c r="BB32">
        <f>IFERROR('[1]f-2-deliveries'!$B$8, "")</f>
        <v>0</v>
      </c>
      <c r="BC32">
        <f>IFERROR('[1]f-2-sumUnits'!$B$8, "")</f>
        <v>0</v>
      </c>
      <c r="BD32" s="15" t="str">
        <f t="shared" si="28"/>
        <v/>
      </c>
      <c r="BE32" s="15" t="str">
        <f t="shared" si="29"/>
        <v/>
      </c>
      <c r="BF32" s="15">
        <f>IFERROR('[1]f-2-times'!$B$8, "")</f>
        <v>0</v>
      </c>
      <c r="BG32" t="str">
        <f>IFERROR(_xlfn.XLOOKUP(AX32, addresses!$A$1:$A$22, addresses!$B$1:$B$22), "")</f>
        <v/>
      </c>
    </row>
    <row r="33" spans="1:60" x14ac:dyDescent="0.25">
      <c r="A33">
        <f>IFERROR('[1]m-2-routes'!$B9, "")</f>
        <v>0</v>
      </c>
      <c r="B33">
        <f>IFERROR('[1]m-2-routes'!$C9, "")</f>
        <v>0</v>
      </c>
      <c r="C33">
        <f>IFERROR('[1]m-2-distances'!B9, "")</f>
        <v>0</v>
      </c>
      <c r="D33">
        <f>IFERROR('[1]m-2-sumDists'!B9, "")</f>
        <v>0</v>
      </c>
      <c r="E33">
        <f>IFERROR('[1]m-2-units'!B9, "")</f>
        <v>0</v>
      </c>
      <c r="F33">
        <f>IFERROR('[1]m-2-deliveries'!B9, "")</f>
        <v>0</v>
      </c>
      <c r="G33">
        <f>IFERROR('[1]m-2-sumUnits'!B9, "")</f>
        <v>0</v>
      </c>
      <c r="H33" s="15" t="str">
        <f t="shared" si="20"/>
        <v/>
      </c>
      <c r="I33" s="15" t="str">
        <f t="shared" si="21"/>
        <v/>
      </c>
      <c r="J33" s="15">
        <f>IFERROR('[1]m-2-times'!B9, "")</f>
        <v>0</v>
      </c>
      <c r="K33" t="str">
        <f>IFERROR(_xlfn.XLOOKUP(B33, addresses!A$1:A$22, addresses!B$1:B$22), "")</f>
        <v/>
      </c>
      <c r="M33">
        <f>IFERROR('[1]t-2-routes'!$B$9, "")</f>
        <v>0</v>
      </c>
      <c r="N33">
        <f>IFERROR('[1]t-2-routes'!$C$9, "")</f>
        <v>0</v>
      </c>
      <c r="O33">
        <f>IFERROR('[1]t-2-distances'!$B$9, "")</f>
        <v>0</v>
      </c>
      <c r="P33">
        <f>IFERROR('[1]t-2-sumDists'!$B$9, "")</f>
        <v>0</v>
      </c>
      <c r="Q33">
        <f>IFERROR('[1]t-2-units'!$B$9, "")</f>
        <v>0</v>
      </c>
      <c r="R33">
        <f>IFERROR('[1]t-2-deliveries'!$B$9, "")</f>
        <v>0</v>
      </c>
      <c r="S33">
        <f>IFERROR('[1]t-2-sumUnits'!$B$9, "")</f>
        <v>0</v>
      </c>
      <c r="T33" s="15" t="str">
        <f t="shared" si="22"/>
        <v/>
      </c>
      <c r="U33" s="15" t="str">
        <f t="shared" si="23"/>
        <v/>
      </c>
      <c r="V33" s="15">
        <f>IFERROR('[1]t-2-times'!$B$9, "")</f>
        <v>0</v>
      </c>
      <c r="W33" t="str">
        <f>IFERROR(_xlfn.XLOOKUP(N33, addresses!$A$1:$A$22, addresses!$B$1:$B$22), "")</f>
        <v/>
      </c>
      <c r="Y33">
        <f>IFERROR('[1]w-2-routes'!$B$9, "")</f>
        <v>0</v>
      </c>
      <c r="Z33">
        <f>IFERROR('[1]w-2-routes'!$C$9, "")</f>
        <v>0</v>
      </c>
      <c r="AA33">
        <f>IFERROR('[1]w-2-distances'!$B$9, "")</f>
        <v>0</v>
      </c>
      <c r="AB33">
        <f>IFERROR('[1]w-2-sumDists'!$B$9, "")</f>
        <v>0</v>
      </c>
      <c r="AC33">
        <f>IFERROR('[1]w-2-units'!$B$9, "")</f>
        <v>0</v>
      </c>
      <c r="AD33">
        <f>IFERROR('[1]w-2-deliveries'!$B$9, "")</f>
        <v>0</v>
      </c>
      <c r="AE33">
        <f>IFERROR('[1]w-2-sumUnits'!$B$9, "")</f>
        <v>0</v>
      </c>
      <c r="AF33" s="15" t="str">
        <f t="shared" si="24"/>
        <v/>
      </c>
      <c r="AG33" s="15" t="str">
        <f t="shared" si="25"/>
        <v/>
      </c>
      <c r="AH33" s="15">
        <f>IFERROR('[1]w-2-times'!$B$9, "")</f>
        <v>0</v>
      </c>
      <c r="AI33" t="str">
        <f>IFERROR(_xlfn.XLOOKUP(Z33, addresses!$A$1:$A$22, addresses!$B$1:$B$22), "")</f>
        <v/>
      </c>
      <c r="AK33">
        <f>IFERROR('[1]th-2-routes'!$B$9, "")</f>
        <v>0</v>
      </c>
      <c r="AL33">
        <f>IFERROR('[1]th-2-routes'!$C$9, "")</f>
        <v>0</v>
      </c>
      <c r="AM33">
        <f>IFERROR('[1]th-2-distances'!$B$9, "")</f>
        <v>0</v>
      </c>
      <c r="AN33">
        <f>IFERROR('[1]th-2-sumDists'!$B$9, "")</f>
        <v>0</v>
      </c>
      <c r="AO33">
        <f>IFERROR('[1]th-2-units'!$B$9, "")</f>
        <v>0</v>
      </c>
      <c r="AP33">
        <f>IFERROR('[1]th-2-deliveries'!$B$9, "")</f>
        <v>0</v>
      </c>
      <c r="AQ33">
        <f>IFERROR('[1]th-2-sumUnits'!$B$9, "")</f>
        <v>0</v>
      </c>
      <c r="AR33" s="15" t="str">
        <f t="shared" si="26"/>
        <v/>
      </c>
      <c r="AS33" s="15" t="str">
        <f t="shared" si="27"/>
        <v/>
      </c>
      <c r="AT33" s="15">
        <f>IFERROR('[1]th-2-times'!$B$9, "")</f>
        <v>0</v>
      </c>
      <c r="AU33" t="str">
        <f>IFERROR(_xlfn.XLOOKUP(AL33, addresses!$A$1:$A$22, addresses!$B$1:$B$22), "")</f>
        <v/>
      </c>
      <c r="AW33">
        <f>IFERROR('[1]f-2-routes'!$B$9, "")</f>
        <v>0</v>
      </c>
      <c r="AX33">
        <f>IFERROR('[1]f-2-routes'!$C$9, "")</f>
        <v>0</v>
      </c>
      <c r="AY33">
        <f>IFERROR('[1]f-2-distances'!$B$9, "")</f>
        <v>0</v>
      </c>
      <c r="AZ33">
        <f>IFERROR('[1]f-2-sumDists'!$B$9, "")</f>
        <v>0</v>
      </c>
      <c r="BA33">
        <f>IFERROR('[1]f-2-units'!$B$9, "")</f>
        <v>0</v>
      </c>
      <c r="BB33">
        <f>IFERROR('[1]f-2-deliveries'!$B$9, "")</f>
        <v>0</v>
      </c>
      <c r="BC33">
        <f>IFERROR('[1]f-2-sumUnits'!$B$9, "")</f>
        <v>0</v>
      </c>
      <c r="BD33" s="15" t="str">
        <f t="shared" si="28"/>
        <v/>
      </c>
      <c r="BE33" s="15" t="str">
        <f t="shared" si="29"/>
        <v/>
      </c>
      <c r="BF33" s="15">
        <f>IFERROR('[1]f-2-times'!$B$9, "")</f>
        <v>0</v>
      </c>
      <c r="BG33" t="str">
        <f>IFERROR(_xlfn.XLOOKUP(AX33, addresses!$A$1:$A$22, addresses!$B$1:$B$22), "")</f>
        <v/>
      </c>
    </row>
    <row r="34" spans="1:60" x14ac:dyDescent="0.25">
      <c r="A34">
        <f>IFERROR('[1]m-2-routes'!$B10, "")</f>
        <v>0</v>
      </c>
      <c r="B34">
        <f>IFERROR('[1]m-2-routes'!$C10, "")</f>
        <v>0</v>
      </c>
      <c r="C34">
        <f>IFERROR('[1]m-2-distances'!B10, "")</f>
        <v>0</v>
      </c>
      <c r="D34">
        <f>IFERROR('[1]m-2-sumDists'!B10, "")</f>
        <v>0</v>
      </c>
      <c r="E34">
        <f>IFERROR('[1]m-2-units'!B10, "")</f>
        <v>0</v>
      </c>
      <c r="F34">
        <f>IFERROR('[1]m-2-deliveries'!B10, "")</f>
        <v>0</v>
      </c>
      <c r="G34">
        <f>IFERROR('[1]m-2-sumUnits'!B10, "")</f>
        <v>0</v>
      </c>
      <c r="H34" s="15" t="str">
        <f t="shared" si="20"/>
        <v/>
      </c>
      <c r="I34" s="15" t="str">
        <f t="shared" si="21"/>
        <v/>
      </c>
      <c r="J34" s="15">
        <f>IFERROR('[1]m-2-times'!B10, "")</f>
        <v>0</v>
      </c>
      <c r="K34" t="str">
        <f>IFERROR(_xlfn.XLOOKUP(B34, addresses!A$1:A$22, addresses!B$1:B$22), "")</f>
        <v/>
      </c>
      <c r="M34">
        <f>IFERROR('[1]t-2-routes'!$B$10, "")</f>
        <v>0</v>
      </c>
      <c r="N34">
        <f>IFERROR('[1]t-2-routes'!$C$10, "")</f>
        <v>0</v>
      </c>
      <c r="O34">
        <f>IFERROR('[1]t-2-distances'!$B$10, "")</f>
        <v>0</v>
      </c>
      <c r="P34">
        <f>IFERROR('[1]t-2-sumDists'!$B$10, "")</f>
        <v>0</v>
      </c>
      <c r="Q34">
        <f>IFERROR('[1]t-2-units'!$B$10, "")</f>
        <v>0</v>
      </c>
      <c r="R34">
        <f>IFERROR('[1]t-2-deliveries'!$B$10, "")</f>
        <v>0</v>
      </c>
      <c r="S34">
        <f>IFERROR('[1]t-2-sumUnits'!$B$10, "")</f>
        <v>0</v>
      </c>
      <c r="T34" s="15" t="str">
        <f t="shared" si="22"/>
        <v/>
      </c>
      <c r="U34" s="15" t="str">
        <f t="shared" si="23"/>
        <v/>
      </c>
      <c r="V34" s="15">
        <f>IFERROR('[1]t-2-times'!$B$10, "")</f>
        <v>0</v>
      </c>
      <c r="W34" t="str">
        <f>IFERROR(_xlfn.XLOOKUP(N34, addresses!$A$1:$A$22, addresses!$B$1:$B$22), "")</f>
        <v/>
      </c>
      <c r="Y34">
        <f>IFERROR('[1]w-2-routes'!$B$10, "")</f>
        <v>0</v>
      </c>
      <c r="Z34">
        <f>IFERROR('[1]w-2-routes'!$C$10, "")</f>
        <v>0</v>
      </c>
      <c r="AA34">
        <f>IFERROR('[1]w-2-distances'!$B$10, "")</f>
        <v>0</v>
      </c>
      <c r="AB34">
        <f>IFERROR('[1]w-2-sumDists'!$B$10, "")</f>
        <v>0</v>
      </c>
      <c r="AC34">
        <f>IFERROR('[1]w-2-units'!$B$10, "")</f>
        <v>0</v>
      </c>
      <c r="AD34">
        <f>IFERROR('[1]w-2-deliveries'!$B$10, "")</f>
        <v>0</v>
      </c>
      <c r="AE34">
        <f>IFERROR('[1]w-2-sumUnits'!$B$10, "")</f>
        <v>0</v>
      </c>
      <c r="AF34" s="15" t="str">
        <f t="shared" si="24"/>
        <v/>
      </c>
      <c r="AG34" s="15" t="str">
        <f t="shared" si="25"/>
        <v/>
      </c>
      <c r="AH34" s="15">
        <f>IFERROR('[1]w-2-times'!$B$10, "")</f>
        <v>0</v>
      </c>
      <c r="AI34" t="str">
        <f>IFERROR(_xlfn.XLOOKUP(Z34, addresses!$A$1:$A$22, addresses!$B$1:$B$22), "")</f>
        <v/>
      </c>
      <c r="AK34">
        <f>IFERROR('[1]th-2-routes'!$B$10, "")</f>
        <v>0</v>
      </c>
      <c r="AL34">
        <f>IFERROR('[1]th-2-routes'!$C$10, "")</f>
        <v>0</v>
      </c>
      <c r="AM34">
        <f>IFERROR('[1]th-2-distances'!$B$10, "")</f>
        <v>0</v>
      </c>
      <c r="AN34">
        <f>IFERROR('[1]th-2-sumDists'!$B$10, "")</f>
        <v>0</v>
      </c>
      <c r="AO34">
        <f>IFERROR('[1]th-2-units'!$B$10, "")</f>
        <v>0</v>
      </c>
      <c r="AP34">
        <f>IFERROR('[1]th-2-deliveries'!$B$10, "")</f>
        <v>0</v>
      </c>
      <c r="AQ34">
        <f>IFERROR('[1]th-2-sumUnits'!$B$10, "")</f>
        <v>0</v>
      </c>
      <c r="AR34" s="15" t="str">
        <f t="shared" si="26"/>
        <v/>
      </c>
      <c r="AS34" s="15" t="str">
        <f t="shared" si="27"/>
        <v/>
      </c>
      <c r="AT34" s="15">
        <f>IFERROR('[1]th-2-times'!$B$10, "")</f>
        <v>0</v>
      </c>
      <c r="AU34" t="str">
        <f>IFERROR(_xlfn.XLOOKUP(AL34, addresses!$A$1:$A$22, addresses!$B$1:$B$22), "")</f>
        <v/>
      </c>
      <c r="AW34">
        <f>IFERROR('[1]f-2-routes'!$B$10, "")</f>
        <v>0</v>
      </c>
      <c r="AX34">
        <f>IFERROR('[1]f-2-routes'!$C$10, "")</f>
        <v>0</v>
      </c>
      <c r="AY34">
        <f>IFERROR('[1]f-2-distances'!$B$10, "")</f>
        <v>0</v>
      </c>
      <c r="AZ34">
        <f>IFERROR('[1]f-2-sumDists'!$B$10, "")</f>
        <v>0</v>
      </c>
      <c r="BA34">
        <f>IFERROR('[1]f-2-units'!$B$10, "")</f>
        <v>0</v>
      </c>
      <c r="BB34">
        <f>IFERROR('[1]f-2-deliveries'!$B$10, "")</f>
        <v>0</v>
      </c>
      <c r="BC34">
        <f>IFERROR('[1]f-2-sumUnits'!$B$10, "")</f>
        <v>0</v>
      </c>
      <c r="BD34" s="15" t="str">
        <f t="shared" si="28"/>
        <v/>
      </c>
      <c r="BE34" s="15" t="str">
        <f t="shared" si="29"/>
        <v/>
      </c>
      <c r="BF34" s="15">
        <f>IFERROR('[1]f-2-times'!$B$10, "")</f>
        <v>0</v>
      </c>
      <c r="BG34" t="str">
        <f>IFERROR(_xlfn.XLOOKUP(AX34, addresses!$A$1:$A$22, addresses!$B$1:$B$22), "")</f>
        <v/>
      </c>
    </row>
    <row r="35" spans="1:60" x14ac:dyDescent="0.25">
      <c r="A35">
        <f>IFERROR('[1]m-2-routes'!$B11, "")</f>
        <v>0</v>
      </c>
      <c r="B35">
        <f>IFERROR('[1]m-2-routes'!$C11, "")</f>
        <v>0</v>
      </c>
      <c r="C35">
        <f>IFERROR('[1]m-2-distances'!B11, "")</f>
        <v>0</v>
      </c>
      <c r="D35">
        <f>IFERROR('[1]m-2-sumDists'!B11, "")</f>
        <v>0</v>
      </c>
      <c r="E35">
        <f>IFERROR('[1]m-2-units'!B11, "")</f>
        <v>0</v>
      </c>
      <c r="F35">
        <f>IFERROR('[1]m-2-deliveries'!B11, "")</f>
        <v>0</v>
      </c>
      <c r="G35">
        <f>IFERROR('[1]m-2-sumUnits'!B11, "")</f>
        <v>0</v>
      </c>
      <c r="H35" s="15" t="str">
        <f t="shared" si="20"/>
        <v/>
      </c>
      <c r="I35" s="15" t="str">
        <f t="shared" si="21"/>
        <v/>
      </c>
      <c r="J35" s="15">
        <f>IFERROR('[1]m-2-times'!B11, "")</f>
        <v>0</v>
      </c>
      <c r="K35" t="str">
        <f>IFERROR(_xlfn.XLOOKUP(B35, addresses!A$1:A$22, addresses!B$1:B$22), "")</f>
        <v/>
      </c>
      <c r="M35">
        <f>IFERROR('[1]t-2-routes'!$B33, "")</f>
        <v>0</v>
      </c>
      <c r="N35">
        <f>IFERROR('[1]t-2-routes'!$C33, "")</f>
        <v>0</v>
      </c>
      <c r="O35">
        <f>IFERROR('[1]t-2-distances'!$B33, "")</f>
        <v>0</v>
      </c>
      <c r="P35">
        <f>IFERROR('[1]t-2-sumDists'!$B33, "")</f>
        <v>0</v>
      </c>
      <c r="Q35">
        <f>IFERROR('[1]t-2-units'!$B33, "")</f>
        <v>0</v>
      </c>
      <c r="R35">
        <f>IFERROR('[1]t-2-deliveries'!$B33, "")</f>
        <v>0</v>
      </c>
      <c r="S35">
        <f>IFERROR('[1]t-2-sumUnits'!$B33, "")</f>
        <v>0</v>
      </c>
      <c r="T35" s="15" t="str">
        <f t="shared" si="22"/>
        <v/>
      </c>
      <c r="U35" s="15" t="str">
        <f t="shared" si="23"/>
        <v/>
      </c>
      <c r="V35" s="15">
        <f>IFERROR('[1]t-2-times'!$B$11, "")</f>
        <v>0</v>
      </c>
      <c r="W35" t="str">
        <f>IFERROR(_xlfn.XLOOKUP(N35, addresses!$A$1:$A$22, addresses!$B$1:$B$22), "")</f>
        <v/>
      </c>
      <c r="Y35">
        <f>IFERROR('[1]w-2-routes'!$B33, "")</f>
        <v>0</v>
      </c>
      <c r="Z35">
        <f>IFERROR('[1]w-2-routes'!$C33, "")</f>
        <v>0</v>
      </c>
      <c r="AA35">
        <f>IFERROR('[1]w-2-distances'!$B33, "")</f>
        <v>0</v>
      </c>
      <c r="AB35">
        <f>IFERROR('[1]w-2-sumDists'!$B33, "")</f>
        <v>0</v>
      </c>
      <c r="AC35">
        <f>IFERROR('[1]w-2-units'!$B33, "")</f>
        <v>0</v>
      </c>
      <c r="AD35">
        <f>IFERROR('[1]w-2-deliveries'!$B33, "")</f>
        <v>0</v>
      </c>
      <c r="AE35">
        <f>IFERROR('[1]w-2-sumUnits'!$B33, "")</f>
        <v>0</v>
      </c>
      <c r="AF35" s="15" t="str">
        <f t="shared" si="24"/>
        <v/>
      </c>
      <c r="AG35" s="15" t="str">
        <f t="shared" si="25"/>
        <v/>
      </c>
      <c r="AH35" s="15">
        <f>IFERROR('[1]w-2-times'!$B$11, "")</f>
        <v>0</v>
      </c>
      <c r="AI35" t="str">
        <f>IFERROR(_xlfn.XLOOKUP(Z35, addresses!$A$1:$A$22, addresses!$B$1:$B$22), "")</f>
        <v/>
      </c>
      <c r="AK35">
        <f>IFERROR('[1]th-2-routes'!$B33, "")</f>
        <v>0</v>
      </c>
      <c r="AL35">
        <f>IFERROR('[1]th-2-routes'!$C33, "")</f>
        <v>0</v>
      </c>
      <c r="AM35">
        <f>IFERROR('[1]th-2-distances'!$B33, "")</f>
        <v>0</v>
      </c>
      <c r="AN35">
        <f>IFERROR('[1]th-2-sumDists'!$B33, "")</f>
        <v>0</v>
      </c>
      <c r="AO35">
        <f>IFERROR('[1]th-2-units'!$B33, "")</f>
        <v>0</v>
      </c>
      <c r="AP35">
        <f>IFERROR('[1]th-2-deliveries'!$B33, "")</f>
        <v>0</v>
      </c>
      <c r="AQ35">
        <f>IFERROR('[1]th-2-sumUnits'!$B33, "")</f>
        <v>0</v>
      </c>
      <c r="AR35" s="15" t="str">
        <f t="shared" si="26"/>
        <v/>
      </c>
      <c r="AS35" s="15" t="str">
        <f t="shared" si="27"/>
        <v/>
      </c>
      <c r="AT35" s="15">
        <f>IFERROR('[1]th-2-times'!$B$11, "")</f>
        <v>0</v>
      </c>
      <c r="AU35" t="str">
        <f>IFERROR(_xlfn.XLOOKUP(AL35, addresses!$A$1:$A$22, addresses!$B$1:$B$22), "")</f>
        <v/>
      </c>
      <c r="AW35">
        <f>IFERROR('[1]f-2-routes'!$B33, "")</f>
        <v>0</v>
      </c>
      <c r="AX35">
        <f>IFERROR('[1]f-2-routes'!$C33, "")</f>
        <v>0</v>
      </c>
      <c r="AY35">
        <f>IFERROR('[1]f-2-distances'!$B33, "")</f>
        <v>0</v>
      </c>
      <c r="AZ35">
        <f>IFERROR('[1]f-2-sumDists'!$B33, "")</f>
        <v>0</v>
      </c>
      <c r="BA35">
        <f>IFERROR('[1]f-2-units'!$B33, "")</f>
        <v>0</v>
      </c>
      <c r="BB35">
        <f>IFERROR('[1]f-2-deliveries'!$B33, "")</f>
        <v>0</v>
      </c>
      <c r="BC35">
        <f>IFERROR('[1]f-2-sumUnits'!$B33, "")</f>
        <v>0</v>
      </c>
      <c r="BD35" s="15" t="str">
        <f t="shared" si="28"/>
        <v/>
      </c>
      <c r="BE35" s="15" t="str">
        <f t="shared" si="29"/>
        <v/>
      </c>
      <c r="BF35" s="15">
        <f>IFERROR('[1]f-2-times'!$B$11, "")</f>
        <v>0</v>
      </c>
      <c r="BG35" t="str">
        <f>IFERROR(_xlfn.XLOOKUP(AX35, addresses!$A$1:$A$22, addresses!$B$1:$B$22), "")</f>
        <v/>
      </c>
    </row>
    <row r="36" spans="1:60" x14ac:dyDescent="0.25">
      <c r="A36" s="30" t="s">
        <v>16234</v>
      </c>
      <c r="B36" s="30"/>
      <c r="C36" s="30"/>
      <c r="D36" s="30"/>
      <c r="E36" s="30"/>
      <c r="F36" s="30"/>
      <c r="G36" s="30"/>
      <c r="H36" s="30"/>
      <c r="I36" s="30"/>
      <c r="J36" s="30"/>
      <c r="K36" s="23" t="str">
        <f>IFERROR(_xlfn.XLOOKUP(A37, addresses!A$1:A$22, addresses!B$1:B$22), "")</f>
        <v>4509 State Hwy 83 North, Defuniak Springs, FL, 32433</v>
      </c>
      <c r="L36" s="17"/>
      <c r="M36" s="30" t="s">
        <v>16234</v>
      </c>
      <c r="N36" s="30"/>
      <c r="O36" s="30"/>
      <c r="P36" s="30"/>
      <c r="Q36" s="30"/>
      <c r="R36" s="30"/>
      <c r="S36" s="30"/>
      <c r="T36" s="30"/>
      <c r="U36" s="30"/>
      <c r="V36" s="30"/>
      <c r="W36" s="22" t="str">
        <f>IFERROR(_xlfn.XLOOKUP(M37, addresses!$A$1:$A$22, addresses!$B$1:$B$22), "")</f>
        <v>4509 State Hwy 83 North, Defuniak Springs, FL, 32433</v>
      </c>
      <c r="X36" s="21"/>
      <c r="Y36" s="30" t="s">
        <v>16234</v>
      </c>
      <c r="Z36" s="30"/>
      <c r="AA36" s="30"/>
      <c r="AB36" s="30"/>
      <c r="AC36" s="30"/>
      <c r="AD36" s="30"/>
      <c r="AE36" s="30"/>
      <c r="AF36" s="30"/>
      <c r="AG36" s="30"/>
      <c r="AH36" s="30"/>
      <c r="AI36" s="22" t="str">
        <f>IFERROR(_xlfn.XLOOKUP(Y37, addresses!$A$1:$A$22, addresses!$B$1:$B$22), "")</f>
        <v>124 W Washington, Kosciusko, MS, 39090</v>
      </c>
      <c r="AJ36" s="21"/>
      <c r="AK36" s="30" t="s">
        <v>16234</v>
      </c>
      <c r="AL36" s="30"/>
      <c r="AM36" s="30"/>
      <c r="AN36" s="30"/>
      <c r="AO36" s="30"/>
      <c r="AP36" s="30"/>
      <c r="AQ36" s="30"/>
      <c r="AR36" s="30"/>
      <c r="AS36" s="30"/>
      <c r="AT36" s="30"/>
      <c r="AU36" s="22" t="str">
        <f>IFERROR(_xlfn.XLOOKUP(AK37, addresses!$A$1:$A$22, addresses!$B$1:$B$22), "")</f>
        <v>4509 State Hwy 83 North, Defuniak Springs, FL, 32433</v>
      </c>
      <c r="AV36" s="21"/>
      <c r="AW36" s="30" t="s">
        <v>16234</v>
      </c>
      <c r="AX36" s="30"/>
      <c r="AY36" s="30"/>
      <c r="AZ36" s="30"/>
      <c r="BA36" s="30"/>
      <c r="BB36" s="30"/>
      <c r="BC36" s="30"/>
      <c r="BD36" s="30"/>
      <c r="BE36" s="30"/>
      <c r="BF36" s="30"/>
      <c r="BG36" s="22" t="str">
        <f>IFERROR(_xlfn.XLOOKUP(AW37, addresses!$A$1:$A$22, addresses!$B$1:$B$22), "")</f>
        <v>4509 State Hwy 83 North, Defuniak Springs, FL, 32433</v>
      </c>
      <c r="BH36" s="21"/>
    </row>
    <row r="37" spans="1:60" x14ac:dyDescent="0.25">
      <c r="A37">
        <f>IFERROR('[1]m-3-routes'!$B$2, "")</f>
        <v>1</v>
      </c>
      <c r="B37">
        <f>IFERROR('[1]m-3-routes'!$C$2, "")</f>
        <v>16</v>
      </c>
      <c r="C37">
        <f>IFERROR('[1]m-3-distances'!$B$2, "")</f>
        <v>121</v>
      </c>
      <c r="D37">
        <f>IFERROR('[1]m-3-sumDists'!$B$2, "")</f>
        <v>121</v>
      </c>
      <c r="E37">
        <f>IFERROR('[1]m-3-units'!$B$2, "")</f>
        <v>40</v>
      </c>
      <c r="F37">
        <f>IFERROR('[1]m-3-deliveries'!$B$2, "")</f>
        <v>0</v>
      </c>
      <c r="G37">
        <f>IFERROR('[1]m-3-sumUnits'!$B$2, "")</f>
        <v>40</v>
      </c>
      <c r="H37" s="15">
        <f>IFERROR(E37/C37, "")</f>
        <v>0.33057851239669422</v>
      </c>
      <c r="I37" s="15">
        <f>IFERROR(G37/D37, "")</f>
        <v>0.33057851239669422</v>
      </c>
      <c r="J37" s="15">
        <f>IFERROR('[1]m-3-times'!$B$2, "")</f>
        <v>2.9741666666666671</v>
      </c>
      <c r="K37" t="str">
        <f>IFERROR(_xlfn.XLOOKUP(B37, addresses!$A$1:$A$22, addresses!$B$1:$B$22), "")</f>
        <v>1251 South Decatur St, Montgomery, AL, 36101</v>
      </c>
      <c r="M37">
        <f>IFERROR('[1]t-3-routes'!$B$2, "")</f>
        <v>1</v>
      </c>
      <c r="N37">
        <f>IFERROR('[1]t-3-routes'!$C$2, "")</f>
        <v>4</v>
      </c>
      <c r="O37">
        <f>IFERROR('[1]t-3-distances'!$B$2, "")</f>
        <v>284</v>
      </c>
      <c r="P37">
        <f>IFERROR('[1]t-3-sumDists'!$B$2, "")</f>
        <v>284</v>
      </c>
      <c r="Q37">
        <f>IFERROR('[1]t-3-units'!$B$2, "")</f>
        <v>40</v>
      </c>
      <c r="R37">
        <f>IFERROR('[1]t-3-deliveries'!$B$2, "")</f>
        <v>0</v>
      </c>
      <c r="S37">
        <f>IFERROR('[1]t-3-sumUnits'!$B$2, "")</f>
        <v>40</v>
      </c>
      <c r="T37" s="15">
        <f>IFERROR(Q37/O37, "")</f>
        <v>0.14084507042253522</v>
      </c>
      <c r="U37" s="15">
        <f>IFERROR(S37/P37, "")</f>
        <v>0.14084507042253522</v>
      </c>
      <c r="V37" s="15">
        <f>IFERROR('[1]t-3-times'!$B$2, "")</f>
        <v>5.8802777777777777</v>
      </c>
      <c r="W37" t="str">
        <f>IFERROR(_xlfn.XLOOKUP(N37, addresses!$A$1:$A$22, addresses!$B$1:$B$22), "")</f>
        <v>118 South Columbus Avenue, Louisville, MS, 39339</v>
      </c>
      <c r="Y37">
        <f>IFERROR('[1]w-3-routes'!$B$2, "")</f>
        <v>5</v>
      </c>
      <c r="Z37">
        <f>IFERROR('[1]w-3-routes'!$C$2, "")</f>
        <v>1</v>
      </c>
      <c r="AA37">
        <f>IFERROR('[1]w-3-distances'!$B$2, "")</f>
        <v>310</v>
      </c>
      <c r="AB37">
        <f>IFERROR('[1]w-3-sumDists'!$B$2, "")</f>
        <v>310</v>
      </c>
      <c r="AC37">
        <f>IFERROR('[1]w-3-units'!$B$2, "")</f>
        <v>0</v>
      </c>
      <c r="AD37">
        <f>IFERROR('[1]w-3-deliveries'!$B$2, "")</f>
        <v>0</v>
      </c>
      <c r="AE37">
        <f>IFERROR('[1]w-3-sumUnits'!$B$2, "")</f>
        <v>80</v>
      </c>
      <c r="AF37" s="15">
        <f>IFERROR(AC37/AA37, "")</f>
        <v>0</v>
      </c>
      <c r="AG37" s="15">
        <f>IFERROR(AE37/AB37, "")</f>
        <v>0.25806451612903225</v>
      </c>
      <c r="AH37" s="15">
        <f>IFERROR('[1]w-3-times'!$B$2, "")</f>
        <v>7.0780555555555562</v>
      </c>
      <c r="AI37" t="str">
        <f>IFERROR(_xlfn.XLOOKUP(Z37, addresses!$A$1:$A$22, addresses!$B$1:$B$22), "")</f>
        <v>4509 State Hwy 83 North, Defuniak Springs, FL, 32433</v>
      </c>
      <c r="AK37">
        <f>IFERROR('[1]th-3-routes'!$B$2, "")</f>
        <v>1</v>
      </c>
      <c r="AL37">
        <f>IFERROR('[1]th-3-routes'!$C$2, "")</f>
        <v>1</v>
      </c>
      <c r="AM37">
        <f>IFERROR('[1]th-3-distances'!$B$2, "")</f>
        <v>0</v>
      </c>
      <c r="AN37">
        <f>IFERROR('[1]th-3-sumDists'!$B$2, "")</f>
        <v>0</v>
      </c>
      <c r="AO37">
        <f>IFERROR('[1]th-3-units'!$B$2, "")</f>
        <v>0</v>
      </c>
      <c r="AP37">
        <f>IFERROR('[1]th-3-deliveries'!$B$2, "")</f>
        <v>0</v>
      </c>
      <c r="AQ37">
        <f>IFERROR('[1]th-3-sumUnits'!$B$2, "")</f>
        <v>0</v>
      </c>
      <c r="AR37" s="15" t="str">
        <f>IFERROR(AO37/AM37, "")</f>
        <v/>
      </c>
      <c r="AS37" s="15" t="str">
        <f>IFERROR(AQ37/AN37, "")</f>
        <v/>
      </c>
      <c r="AT37" s="15">
        <f>IFERROR('[1]th-3-times'!$B$2, "")</f>
        <v>8.3333333333333329E-2</v>
      </c>
      <c r="AU37" t="str">
        <f>IFERROR(_xlfn.XLOOKUP(AL37, addresses!$A$1:$A$22, addresses!$B$1:$B$22), "")</f>
        <v>4509 State Hwy 83 North, Defuniak Springs, FL, 32433</v>
      </c>
      <c r="AW37">
        <f>IFERROR('[1]f-3-routes'!$B$2, "")</f>
        <v>1</v>
      </c>
      <c r="AX37">
        <f>IFERROR('[1]f-3-routes'!$C$2, "")</f>
        <v>1</v>
      </c>
      <c r="AY37">
        <f>IFERROR('[1]f-3-distances'!$B$2, "")</f>
        <v>0</v>
      </c>
      <c r="AZ37">
        <f>IFERROR('[1]f-3-sumDists'!$B$2, "")</f>
        <v>0</v>
      </c>
      <c r="BA37">
        <f>IFERROR('[1]f-3-units'!$B$2, "")</f>
        <v>0</v>
      </c>
      <c r="BB37">
        <f>IFERROR('[1]f-3-deliveries'!$B$2, "")</f>
        <v>0</v>
      </c>
      <c r="BC37">
        <f>IFERROR('[1]f-3-sumUnits'!$B$2, "")</f>
        <v>0</v>
      </c>
      <c r="BD37" s="15" t="str">
        <f>IFERROR(BA37/AY37, "")</f>
        <v/>
      </c>
      <c r="BE37" s="15" t="str">
        <f>IFERROR(BC37/AZ37, "")</f>
        <v/>
      </c>
      <c r="BF37" s="15">
        <f>IFERROR('[1]f-3-times'!$B$2, "")</f>
        <v>8.3333333333333329E-2</v>
      </c>
      <c r="BG37" t="str">
        <f>IFERROR(_xlfn.XLOOKUP(AX37, addresses!$A$1:$A$22, addresses!$B$1:$B$22), "")</f>
        <v>4509 State Hwy 83 North, Defuniak Springs, FL, 32433</v>
      </c>
    </row>
    <row r="38" spans="1:60" x14ac:dyDescent="0.25">
      <c r="A38">
        <f>IFERROR('[1]m-3-routes'!$B$3, "")</f>
        <v>16</v>
      </c>
      <c r="B38">
        <f>IFERROR('[1]m-3-routes'!$C$3, "")</f>
        <v>22</v>
      </c>
      <c r="C38">
        <f>IFERROR('[1]m-3-distances'!$B$3, "")</f>
        <v>2</v>
      </c>
      <c r="D38">
        <f>IFERROR('[1]m-3-sumDists'!$B3, "")</f>
        <v>123</v>
      </c>
      <c r="E38">
        <f>IFERROR('[1]m-3-units'!$B$3, "")</f>
        <v>40</v>
      </c>
      <c r="F38">
        <f>IFERROR('[1]m-3-deliveries'!$B$3, "")</f>
        <v>0</v>
      </c>
      <c r="G38">
        <f>IFERROR('[1]m-3-sumUnits'!$B$3, "")</f>
        <v>80</v>
      </c>
      <c r="H38" s="15">
        <f t="shared" ref="H38:H46" si="30">IFERROR(E38/C38, "")</f>
        <v>20</v>
      </c>
      <c r="I38" s="15">
        <f t="shared" ref="I38:I46" si="31">IFERROR(G38/D38, "")</f>
        <v>0.65040650406504064</v>
      </c>
      <c r="J38" s="15">
        <f>IFERROR('[1]m-3-times'!$B$3, "")</f>
        <v>3.8366666666666669</v>
      </c>
      <c r="K38" t="str">
        <f>IFERROR(_xlfn.XLOOKUP(B38, addresses!$A$1:$A$22, addresses!$B$1:$B$22), "")</f>
        <v>100 Waits Dr, Andalusia, AL, 36421</v>
      </c>
      <c r="M38">
        <f>IFERROR('[1]t-3-routes'!$B$3, "")</f>
        <v>4</v>
      </c>
      <c r="N38">
        <f>IFERROR('[1]t-3-routes'!$C$3, "")</f>
        <v>5</v>
      </c>
      <c r="O38">
        <f>IFERROR('[1]t-3-distances'!$B$3, "")</f>
        <v>36</v>
      </c>
      <c r="P38">
        <f>IFERROR('[1]t-3-sumDists'!$B3, "")</f>
        <v>320</v>
      </c>
      <c r="Q38">
        <f>IFERROR('[1]t-3-units'!$B$3, "")</f>
        <v>40</v>
      </c>
      <c r="R38">
        <f>IFERROR('[1]t-3-deliveries'!$B$3, "")</f>
        <v>0</v>
      </c>
      <c r="S38">
        <f>IFERROR('[1]t-3-sumUnits'!$B$3, "")</f>
        <v>80</v>
      </c>
      <c r="T38" s="15">
        <f t="shared" ref="T38:T46" si="32">IFERROR(Q38/O38, "")</f>
        <v>1.1111111111111112</v>
      </c>
      <c r="U38" s="15">
        <f t="shared" ref="U38:U46" si="33">IFERROR(S38/P38, "")</f>
        <v>0.25</v>
      </c>
      <c r="V38" s="15">
        <f>IFERROR('[1]t-3-times'!$B$3, "")</f>
        <v>7.3591666666666669</v>
      </c>
      <c r="W38" t="str">
        <f>IFERROR(_xlfn.XLOOKUP(N38, addresses!$A$1:$A$22, addresses!$B$1:$B$22), "")</f>
        <v>124 W Washington, Kosciusko, MS, 39090</v>
      </c>
      <c r="Y38">
        <f>IFERROR('[1]w-3-routes'!$B$3, "")</f>
        <v>0</v>
      </c>
      <c r="Z38">
        <f>IFERROR('[1]w-3-routes'!$C$3, "")</f>
        <v>0</v>
      </c>
      <c r="AA38">
        <f>IFERROR('[1]w-3-distances'!$B$3, "")</f>
        <v>0</v>
      </c>
      <c r="AB38">
        <f>IFERROR('[1]w-3-sumDists'!$B3, "")</f>
        <v>0</v>
      </c>
      <c r="AC38">
        <f>IFERROR('[1]w-3-units'!$B$3, "")</f>
        <v>0</v>
      </c>
      <c r="AD38">
        <f>IFERROR('[1]w-3-deliveries'!$B$3, "")</f>
        <v>0</v>
      </c>
      <c r="AE38">
        <f>IFERROR('[1]w-3-sumUnits'!$B$3, "")</f>
        <v>0</v>
      </c>
      <c r="AF38" s="15" t="str">
        <f t="shared" ref="AF38:AF46" si="34">IFERROR(AC38/AA38, "")</f>
        <v/>
      </c>
      <c r="AG38" s="15" t="str">
        <f t="shared" ref="AG38:AG46" si="35">IFERROR(AE38/AB38, "")</f>
        <v/>
      </c>
      <c r="AH38" s="15">
        <f>IFERROR('[1]w-3-times'!$B$3, "")</f>
        <v>0</v>
      </c>
      <c r="AI38" t="str">
        <f>IFERROR(_xlfn.XLOOKUP(Z38, addresses!$A$1:$A$22, addresses!$B$1:$B$22), "")</f>
        <v/>
      </c>
      <c r="AK38">
        <f>IFERROR('[1]th-3-routes'!$B$3, "")</f>
        <v>0</v>
      </c>
      <c r="AL38">
        <f>IFERROR('[1]th-3-routes'!$C$3, "")</f>
        <v>0</v>
      </c>
      <c r="AM38">
        <f>IFERROR('[1]th-3-distances'!$B$3, "")</f>
        <v>0</v>
      </c>
      <c r="AN38">
        <f>IFERROR('[1]th-3-sumDists'!$B3, "")</f>
        <v>0</v>
      </c>
      <c r="AO38">
        <f>IFERROR('[1]th-3-units'!$B$3, "")</f>
        <v>0</v>
      </c>
      <c r="AP38">
        <f>IFERROR('[1]th-3-deliveries'!$B$3, "")</f>
        <v>0</v>
      </c>
      <c r="AQ38">
        <f>IFERROR('[1]th-3-sumUnits'!$B$3, "")</f>
        <v>0</v>
      </c>
      <c r="AR38" s="15" t="str">
        <f t="shared" ref="AR38:AR46" si="36">IFERROR(AO38/AM38, "")</f>
        <v/>
      </c>
      <c r="AS38" s="15" t="str">
        <f t="shared" ref="AS38:AS46" si="37">IFERROR(AQ38/AN38, "")</f>
        <v/>
      </c>
      <c r="AT38" s="15">
        <f>IFERROR('[1]th-3-times'!$B$3, "")</f>
        <v>0</v>
      </c>
      <c r="AU38" t="str">
        <f>IFERROR(_xlfn.XLOOKUP(AL38, addresses!$A$1:$A$22, addresses!$B$1:$B$22), "")</f>
        <v/>
      </c>
      <c r="AW38">
        <f>IFERROR('[1]f-3-routes'!$B$3, "")</f>
        <v>0</v>
      </c>
      <c r="AX38">
        <f>IFERROR('[1]f-3-routes'!$C$3, "")</f>
        <v>0</v>
      </c>
      <c r="AY38">
        <f>IFERROR('[1]f-3-distances'!$B$3, "")</f>
        <v>0</v>
      </c>
      <c r="AZ38">
        <f>IFERROR('[1]f-3-sumDists'!$B3, "")</f>
        <v>0</v>
      </c>
      <c r="BA38">
        <f>IFERROR('[1]f-3-units'!$B$3, "")</f>
        <v>0</v>
      </c>
      <c r="BB38">
        <f>IFERROR('[1]f-3-deliveries'!$B$3, "")</f>
        <v>0</v>
      </c>
      <c r="BC38">
        <f>IFERROR('[1]f-3-sumUnits'!$B$3, "")</f>
        <v>0</v>
      </c>
      <c r="BD38" s="15" t="str">
        <f t="shared" ref="BD38:BD46" si="38">IFERROR(BA38/AY38, "")</f>
        <v/>
      </c>
      <c r="BE38" s="15" t="str">
        <f t="shared" ref="BE38:BE46" si="39">IFERROR(BC38/AZ38, "")</f>
        <v/>
      </c>
      <c r="BF38" s="15">
        <f>IFERROR('[1]f-3-times'!$B$3, "")</f>
        <v>0</v>
      </c>
      <c r="BG38" t="str">
        <f>IFERROR(_xlfn.XLOOKUP(AX38, addresses!$A$1:$A$22, addresses!$B$1:$B$22), "")</f>
        <v/>
      </c>
    </row>
    <row r="39" spans="1:60" x14ac:dyDescent="0.25">
      <c r="A39">
        <f>IFERROR('[1]m-3-routes'!$B$4, "")</f>
        <v>22</v>
      </c>
      <c r="B39">
        <f>IFERROR('[1]m-3-routes'!$C$4, "")</f>
        <v>1</v>
      </c>
      <c r="C39">
        <f>IFERROR('[1]m-3-distances'!$B$4, "")</f>
        <v>122</v>
      </c>
      <c r="D39">
        <f>IFERROR('[1]m-3-sumDists'!$B$4, "")</f>
        <v>245</v>
      </c>
      <c r="E39">
        <f>IFERROR('[1]m-3-units'!$B$4, "")</f>
        <v>0</v>
      </c>
      <c r="F39">
        <f>IFERROR('[1]m-3-deliveries'!$B$4, "")</f>
        <v>0</v>
      </c>
      <c r="G39">
        <f>IFERROR('[1]m-3-sumUnits'!$B$4, "")</f>
        <v>80</v>
      </c>
      <c r="H39" s="15">
        <f t="shared" si="30"/>
        <v>0</v>
      </c>
      <c r="I39" s="15">
        <f t="shared" si="31"/>
        <v>0.32653061224489793</v>
      </c>
      <c r="J39" s="15">
        <f>IFERROR('[1]m-3-times'!$B$4, "")</f>
        <v>7.5925000000000002</v>
      </c>
      <c r="K39" t="str">
        <f>IFERROR(_xlfn.XLOOKUP(B39, addresses!$A$1:$A$22, addresses!$B$1:$B$22), "")</f>
        <v>4509 State Hwy 83 North, Defuniak Springs, FL, 32433</v>
      </c>
      <c r="M39">
        <f>IFERROR('[1]t-3-routes'!$B$4, "")</f>
        <v>0</v>
      </c>
      <c r="N39">
        <f>IFERROR('[1]t-3-routes'!$C$4, "")</f>
        <v>0</v>
      </c>
      <c r="O39">
        <f>IFERROR('[1]t-3-distances'!$B$4, "")</f>
        <v>0</v>
      </c>
      <c r="P39">
        <f>IFERROR('[1]t-3-sumDists'!$B$4, "")</f>
        <v>0</v>
      </c>
      <c r="Q39">
        <f>IFERROR('[1]t-3-units'!$B$4, "")</f>
        <v>0</v>
      </c>
      <c r="R39">
        <f>IFERROR('[1]t-3-deliveries'!$B$4, "")</f>
        <v>0</v>
      </c>
      <c r="S39">
        <f>IFERROR('[1]t-3-sumUnits'!$B$4, "")</f>
        <v>0</v>
      </c>
      <c r="T39" s="15" t="str">
        <f t="shared" si="32"/>
        <v/>
      </c>
      <c r="U39" s="15" t="str">
        <f t="shared" si="33"/>
        <v/>
      </c>
      <c r="V39" s="15">
        <f>IFERROR('[1]t-3-times'!$B$4, "")</f>
        <v>0</v>
      </c>
      <c r="W39" t="str">
        <f>IFERROR(_xlfn.XLOOKUP(N39, addresses!$A$1:$A$22, addresses!$B$1:$B$22), "")</f>
        <v/>
      </c>
      <c r="Y39">
        <f>IFERROR('[1]w-3-routes'!$B$4, "")</f>
        <v>0</v>
      </c>
      <c r="Z39">
        <f>IFERROR('[1]w-3-routes'!$C$4, "")</f>
        <v>0</v>
      </c>
      <c r="AA39">
        <f>IFERROR('[1]w-3-distances'!$B$4, "")</f>
        <v>0</v>
      </c>
      <c r="AB39">
        <f>IFERROR('[1]w-3-sumDists'!$B$4, "")</f>
        <v>0</v>
      </c>
      <c r="AC39">
        <f>IFERROR('[1]w-3-units'!$B$4, "")</f>
        <v>0</v>
      </c>
      <c r="AD39">
        <f>IFERROR('[1]w-3-deliveries'!$B$4, "")</f>
        <v>0</v>
      </c>
      <c r="AE39">
        <f>IFERROR('[1]w-3-sumUnits'!$B$4, "")</f>
        <v>0</v>
      </c>
      <c r="AF39" s="15" t="str">
        <f t="shared" si="34"/>
        <v/>
      </c>
      <c r="AG39" s="15" t="str">
        <f t="shared" si="35"/>
        <v/>
      </c>
      <c r="AH39" s="15">
        <f>IFERROR('[1]w-3-times'!$B$4, "")</f>
        <v>0</v>
      </c>
      <c r="AI39" t="str">
        <f>IFERROR(_xlfn.XLOOKUP(Z39, addresses!$A$1:$A$22, addresses!$B$1:$B$22), "")</f>
        <v/>
      </c>
      <c r="AK39">
        <f>IFERROR('[1]th-3-routes'!$B$4, "")</f>
        <v>0</v>
      </c>
      <c r="AL39">
        <f>IFERROR('[1]th-3-routes'!$C$4, "")</f>
        <v>0</v>
      </c>
      <c r="AM39">
        <f>IFERROR('[1]th-3-distances'!$B$4, "")</f>
        <v>0</v>
      </c>
      <c r="AN39">
        <f>IFERROR('[1]th-3-sumDists'!$B$4, "")</f>
        <v>0</v>
      </c>
      <c r="AO39">
        <f>IFERROR('[1]th-3-units'!$B$4, "")</f>
        <v>0</v>
      </c>
      <c r="AP39">
        <f>IFERROR('[1]th-3-deliveries'!$B$4, "")</f>
        <v>0</v>
      </c>
      <c r="AQ39">
        <f>IFERROR('[1]th-3-sumUnits'!$B$4, "")</f>
        <v>0</v>
      </c>
      <c r="AR39" s="15" t="str">
        <f t="shared" si="36"/>
        <v/>
      </c>
      <c r="AS39" s="15" t="str">
        <f t="shared" si="37"/>
        <v/>
      </c>
      <c r="AT39" s="15">
        <f>IFERROR('[1]th-3-times'!$B$4, "")</f>
        <v>0</v>
      </c>
      <c r="AU39" t="str">
        <f>IFERROR(_xlfn.XLOOKUP(AL39, addresses!$A$1:$A$22, addresses!$B$1:$B$22), "")</f>
        <v/>
      </c>
      <c r="AW39">
        <f>IFERROR('[1]f-3-routes'!$B$4, "")</f>
        <v>0</v>
      </c>
      <c r="AX39">
        <f>IFERROR('[1]f-3-routes'!$C$4, "")</f>
        <v>0</v>
      </c>
      <c r="AY39">
        <f>IFERROR('[1]f-3-distances'!$B$4, "")</f>
        <v>0</v>
      </c>
      <c r="AZ39">
        <f>IFERROR('[1]f-3-sumDists'!$B$4, "")</f>
        <v>0</v>
      </c>
      <c r="BA39">
        <f>IFERROR('[1]f-3-units'!$B$4, "")</f>
        <v>0</v>
      </c>
      <c r="BB39">
        <f>IFERROR('[1]f-3-deliveries'!$B$4, "")</f>
        <v>0</v>
      </c>
      <c r="BC39">
        <f>IFERROR('[1]f-3-sumUnits'!$B$4, "")</f>
        <v>0</v>
      </c>
      <c r="BD39" s="15" t="str">
        <f t="shared" si="38"/>
        <v/>
      </c>
      <c r="BE39" s="15" t="str">
        <f t="shared" si="39"/>
        <v/>
      </c>
      <c r="BF39" s="15">
        <f>IFERROR('[1]f-3-times'!$B$4, "")</f>
        <v>0</v>
      </c>
      <c r="BG39" t="str">
        <f>IFERROR(_xlfn.XLOOKUP(AX39, addresses!$A$1:$A$22, addresses!$B$1:$B$22), "")</f>
        <v/>
      </c>
    </row>
    <row r="40" spans="1:60" x14ac:dyDescent="0.25">
      <c r="A40">
        <f>IFERROR('[1]m-3-routes'!$B$5, "")</f>
        <v>0</v>
      </c>
      <c r="B40">
        <f>IFERROR('[1]m-3-routes'!$C$5, "")</f>
        <v>0</v>
      </c>
      <c r="C40">
        <f>IFERROR('[1]m-3-distances'!$B$5, "")</f>
        <v>0</v>
      </c>
      <c r="D40">
        <f>IFERROR('[1]m-3-sumDists'!$B$5, "")</f>
        <v>0</v>
      </c>
      <c r="E40">
        <f>IFERROR('[1]m-3-units'!$B$5, "")</f>
        <v>0</v>
      </c>
      <c r="F40">
        <f>IFERROR('[1]m-3-deliveries'!$B$5, "")</f>
        <v>0</v>
      </c>
      <c r="G40">
        <f>IFERROR('[1]m-3-sumUnits'!$B$5, "")</f>
        <v>0</v>
      </c>
      <c r="H40" s="15" t="str">
        <f t="shared" si="30"/>
        <v/>
      </c>
      <c r="I40" s="15" t="str">
        <f t="shared" si="31"/>
        <v/>
      </c>
      <c r="J40" s="15">
        <f>IFERROR('[1]m-3-times'!$B$5, "")</f>
        <v>0</v>
      </c>
      <c r="K40" t="str">
        <f>IFERROR(_xlfn.XLOOKUP(B40, addresses!$A$1:$A$22, addresses!$B$1:$B$22), "")</f>
        <v/>
      </c>
      <c r="M40">
        <f>IFERROR('[1]t-3-routes'!$B$5, "")</f>
        <v>0</v>
      </c>
      <c r="N40">
        <f>IFERROR('[1]t-3-routes'!$C$5, "")</f>
        <v>0</v>
      </c>
      <c r="O40">
        <f>IFERROR('[1]t-3-distances'!$B$5, "")</f>
        <v>0</v>
      </c>
      <c r="P40">
        <f>IFERROR('[1]t-3-sumDists'!$B$5, "")</f>
        <v>0</v>
      </c>
      <c r="Q40">
        <f>IFERROR('[1]t-3-units'!$B$5, "")</f>
        <v>0</v>
      </c>
      <c r="R40">
        <f>IFERROR('[1]t-3-deliveries'!$B$5, "")</f>
        <v>0</v>
      </c>
      <c r="S40">
        <f>IFERROR('[1]t-3-sumUnits'!$B$5, "")</f>
        <v>0</v>
      </c>
      <c r="T40" s="15" t="str">
        <f t="shared" si="32"/>
        <v/>
      </c>
      <c r="U40" s="15" t="str">
        <f t="shared" si="33"/>
        <v/>
      </c>
      <c r="V40" s="15">
        <f>IFERROR('[1]t-3-times'!$B$5, "")</f>
        <v>0</v>
      </c>
      <c r="W40" t="str">
        <f>IFERROR(_xlfn.XLOOKUP(N40, addresses!$A$1:$A$22, addresses!$B$1:$B$22), "")</f>
        <v/>
      </c>
      <c r="Y40">
        <f>IFERROR('[1]w-3-routes'!$B$5, "")</f>
        <v>0</v>
      </c>
      <c r="Z40">
        <f>IFERROR('[1]w-3-routes'!$C$5, "")</f>
        <v>0</v>
      </c>
      <c r="AA40">
        <f>IFERROR('[1]w-3-distances'!$B$5, "")</f>
        <v>0</v>
      </c>
      <c r="AB40">
        <f>IFERROR('[1]w-3-sumDists'!$B$5, "")</f>
        <v>0</v>
      </c>
      <c r="AC40">
        <f>IFERROR('[1]w-3-units'!$B$5, "")</f>
        <v>0</v>
      </c>
      <c r="AD40">
        <f>IFERROR('[1]w-3-deliveries'!$B$5, "")</f>
        <v>0</v>
      </c>
      <c r="AE40">
        <f>IFERROR('[1]w-3-sumUnits'!$B$5, "")</f>
        <v>0</v>
      </c>
      <c r="AF40" s="15" t="str">
        <f t="shared" si="34"/>
        <v/>
      </c>
      <c r="AG40" s="15" t="str">
        <f t="shared" si="35"/>
        <v/>
      </c>
      <c r="AH40" s="15">
        <f>IFERROR('[1]w-3-times'!$B$5, "")</f>
        <v>0</v>
      </c>
      <c r="AI40" t="str">
        <f>IFERROR(_xlfn.XLOOKUP(Z40, addresses!$A$1:$A$22, addresses!$B$1:$B$22), "")</f>
        <v/>
      </c>
      <c r="AK40">
        <f>IFERROR('[1]th-3-routes'!$B$5, "")</f>
        <v>0</v>
      </c>
      <c r="AL40">
        <f>IFERROR('[1]th-3-routes'!$C$5, "")</f>
        <v>0</v>
      </c>
      <c r="AM40">
        <f>IFERROR('[1]th-3-distances'!$B$5, "")</f>
        <v>0</v>
      </c>
      <c r="AN40">
        <f>IFERROR('[1]th-3-sumDists'!$B$5, "")</f>
        <v>0</v>
      </c>
      <c r="AO40">
        <f>IFERROR('[1]th-3-units'!$B$5, "")</f>
        <v>0</v>
      </c>
      <c r="AP40">
        <f>IFERROR('[1]th-3-deliveries'!$B$5, "")</f>
        <v>0</v>
      </c>
      <c r="AQ40">
        <f>IFERROR('[1]th-3-sumUnits'!$B$5, "")</f>
        <v>0</v>
      </c>
      <c r="AR40" s="15" t="str">
        <f t="shared" si="36"/>
        <v/>
      </c>
      <c r="AS40" s="15" t="str">
        <f t="shared" si="37"/>
        <v/>
      </c>
      <c r="AT40" s="15">
        <f>IFERROR('[1]th-3-times'!$B$5, "")</f>
        <v>0</v>
      </c>
      <c r="AU40" t="str">
        <f>IFERROR(_xlfn.XLOOKUP(AL40, addresses!$A$1:$A$22, addresses!$B$1:$B$22), "")</f>
        <v/>
      </c>
      <c r="AW40">
        <f>IFERROR('[1]f-3-routes'!$B$5, "")</f>
        <v>0</v>
      </c>
      <c r="AX40">
        <f>IFERROR('[1]f-3-routes'!$C$5, "")</f>
        <v>0</v>
      </c>
      <c r="AY40">
        <f>IFERROR('[1]f-3-distances'!$B$5, "")</f>
        <v>0</v>
      </c>
      <c r="AZ40">
        <f>IFERROR('[1]f-3-sumDists'!$B$5, "")</f>
        <v>0</v>
      </c>
      <c r="BA40">
        <f>IFERROR('[1]f-3-units'!$B$5, "")</f>
        <v>0</v>
      </c>
      <c r="BB40">
        <f>IFERROR('[1]f-3-deliveries'!$B$5, "")</f>
        <v>0</v>
      </c>
      <c r="BC40">
        <f>IFERROR('[1]f-3-sumUnits'!$B$5, "")</f>
        <v>0</v>
      </c>
      <c r="BD40" s="15" t="str">
        <f t="shared" si="38"/>
        <v/>
      </c>
      <c r="BE40" s="15" t="str">
        <f t="shared" si="39"/>
        <v/>
      </c>
      <c r="BF40" s="15">
        <f>IFERROR('[1]f-3-times'!$B$5, "")</f>
        <v>0</v>
      </c>
      <c r="BG40" t="str">
        <f>IFERROR(_xlfn.XLOOKUP(AX40, addresses!$A$1:$A$22, addresses!$B$1:$B$22), "")</f>
        <v/>
      </c>
    </row>
    <row r="41" spans="1:60" x14ac:dyDescent="0.25">
      <c r="A41">
        <f>IFERROR('[1]m-3-routes'!$B$6, "")</f>
        <v>0</v>
      </c>
      <c r="B41">
        <f>IFERROR('[1]m-3-routes'!$C$6, "")</f>
        <v>0</v>
      </c>
      <c r="C41">
        <f>IFERROR('[1]m-3-distances'!$B$6, "")</f>
        <v>0</v>
      </c>
      <c r="D41">
        <f>IFERROR('[1]m-3-sumDists'!$B$6, "")</f>
        <v>0</v>
      </c>
      <c r="E41">
        <f>IFERROR('[1]m-3-units'!$B$6, "")</f>
        <v>0</v>
      </c>
      <c r="F41">
        <f>IFERROR('[1]m-3-deliveries'!$B$6, "")</f>
        <v>0</v>
      </c>
      <c r="G41">
        <f>IFERROR('[1]m-3-sumUnits'!$B$6, "")</f>
        <v>0</v>
      </c>
      <c r="H41" s="15" t="str">
        <f t="shared" si="30"/>
        <v/>
      </c>
      <c r="I41" s="15" t="str">
        <f t="shared" si="31"/>
        <v/>
      </c>
      <c r="J41" s="15">
        <f>IFERROR('[1]m-3-times'!$B$6, "")</f>
        <v>0</v>
      </c>
      <c r="K41" t="str">
        <f>IFERROR(_xlfn.XLOOKUP(B41, addresses!$A$1:$A$22, addresses!$B$1:$B$22), "")</f>
        <v/>
      </c>
      <c r="M41">
        <f>IFERROR('[1]t-3-routes'!$B$6, "")</f>
        <v>0</v>
      </c>
      <c r="N41">
        <f>IFERROR('[1]t-3-routes'!$C$6, "")</f>
        <v>0</v>
      </c>
      <c r="O41">
        <f>IFERROR('[1]t-3-distances'!$B$6, "")</f>
        <v>0</v>
      </c>
      <c r="P41">
        <f>IFERROR('[1]t-3-sumDists'!$B$6, "")</f>
        <v>0</v>
      </c>
      <c r="Q41">
        <f>IFERROR('[1]t-3-units'!$B$6, "")</f>
        <v>0</v>
      </c>
      <c r="R41">
        <f>IFERROR('[1]t-3-deliveries'!$B$6, "")</f>
        <v>0</v>
      </c>
      <c r="S41">
        <f>IFERROR('[1]t-3-sumUnits'!$B$6, "")</f>
        <v>0</v>
      </c>
      <c r="T41" s="15" t="str">
        <f t="shared" si="32"/>
        <v/>
      </c>
      <c r="U41" s="15" t="str">
        <f t="shared" si="33"/>
        <v/>
      </c>
      <c r="V41" s="15">
        <f>IFERROR('[1]t-3-times'!$B$6, "")</f>
        <v>0</v>
      </c>
      <c r="W41" t="str">
        <f>IFERROR(_xlfn.XLOOKUP(N41, addresses!$A$1:$A$22, addresses!$B$1:$B$22), "")</f>
        <v/>
      </c>
      <c r="Y41">
        <f>IFERROR('[1]w-3-routes'!$B$6, "")</f>
        <v>0</v>
      </c>
      <c r="Z41">
        <f>IFERROR('[1]w-3-routes'!$C$6, "")</f>
        <v>0</v>
      </c>
      <c r="AA41">
        <f>IFERROR('[1]w-3-distances'!$B$6, "")</f>
        <v>0</v>
      </c>
      <c r="AB41">
        <f>IFERROR('[1]w-3-sumDists'!$B$6, "")</f>
        <v>0</v>
      </c>
      <c r="AC41">
        <f>IFERROR('[1]w-3-units'!$B$6, "")</f>
        <v>0</v>
      </c>
      <c r="AD41">
        <f>IFERROR('[1]w-3-deliveries'!$B$6, "")</f>
        <v>0</v>
      </c>
      <c r="AE41">
        <f>IFERROR('[1]w-3-sumUnits'!$B$6, "")</f>
        <v>0</v>
      </c>
      <c r="AF41" s="15" t="str">
        <f t="shared" si="34"/>
        <v/>
      </c>
      <c r="AG41" s="15" t="str">
        <f t="shared" si="35"/>
        <v/>
      </c>
      <c r="AH41" s="15">
        <f>IFERROR('[1]w-3-times'!$B$6, "")</f>
        <v>0</v>
      </c>
      <c r="AI41" t="str">
        <f>IFERROR(_xlfn.XLOOKUP(Z41, addresses!$A$1:$A$22, addresses!$B$1:$B$22), "")</f>
        <v/>
      </c>
      <c r="AK41">
        <f>IFERROR('[1]th-3-routes'!$B$6, "")</f>
        <v>0</v>
      </c>
      <c r="AL41">
        <f>IFERROR('[1]th-3-routes'!$C$6, "")</f>
        <v>0</v>
      </c>
      <c r="AM41">
        <f>IFERROR('[1]th-3-distances'!$B$6, "")</f>
        <v>0</v>
      </c>
      <c r="AN41">
        <f>IFERROR('[1]th-3-sumDists'!$B$6, "")</f>
        <v>0</v>
      </c>
      <c r="AO41">
        <f>IFERROR('[1]th-3-units'!$B$6, "")</f>
        <v>0</v>
      </c>
      <c r="AP41">
        <f>IFERROR('[1]th-3-deliveries'!$B$6, "")</f>
        <v>0</v>
      </c>
      <c r="AQ41">
        <f>IFERROR('[1]th-3-sumUnits'!$B$6, "")</f>
        <v>0</v>
      </c>
      <c r="AR41" s="15" t="str">
        <f t="shared" si="36"/>
        <v/>
      </c>
      <c r="AS41" s="15" t="str">
        <f t="shared" si="37"/>
        <v/>
      </c>
      <c r="AT41" s="15">
        <f>IFERROR('[1]th-3-times'!$B$6, "")</f>
        <v>0</v>
      </c>
      <c r="AU41" t="str">
        <f>IFERROR(_xlfn.XLOOKUP(AL41, addresses!$A$1:$A$22, addresses!$B$1:$B$22), "")</f>
        <v/>
      </c>
      <c r="AW41">
        <f>IFERROR('[1]f-3-routes'!$B$6, "")</f>
        <v>0</v>
      </c>
      <c r="AX41">
        <f>IFERROR('[1]f-3-routes'!$C$6, "")</f>
        <v>0</v>
      </c>
      <c r="AY41">
        <f>IFERROR('[1]f-3-distances'!$B$6, "")</f>
        <v>0</v>
      </c>
      <c r="AZ41">
        <f>IFERROR('[1]f-3-sumDists'!$B$6, "")</f>
        <v>0</v>
      </c>
      <c r="BA41">
        <f>IFERROR('[1]f-3-units'!$B$6, "")</f>
        <v>0</v>
      </c>
      <c r="BB41">
        <f>IFERROR('[1]f-3-deliveries'!$B$6, "")</f>
        <v>0</v>
      </c>
      <c r="BC41">
        <f>IFERROR('[1]f-3-sumUnits'!$B$6, "")</f>
        <v>0</v>
      </c>
      <c r="BD41" s="15" t="str">
        <f t="shared" si="38"/>
        <v/>
      </c>
      <c r="BE41" s="15" t="str">
        <f t="shared" si="39"/>
        <v/>
      </c>
      <c r="BF41" s="15">
        <f>IFERROR('[1]f-3-times'!$B$6, "")</f>
        <v>0</v>
      </c>
      <c r="BG41" t="str">
        <f>IFERROR(_xlfn.XLOOKUP(AX41, addresses!$A$1:$A$22, addresses!$B$1:$B$22), "")</f>
        <v/>
      </c>
    </row>
    <row r="42" spans="1:60" x14ac:dyDescent="0.25">
      <c r="A42">
        <f>IFERROR('[1]m-3-routes'!$B$7, "")</f>
        <v>0</v>
      </c>
      <c r="B42">
        <f>IFERROR('[1]m-3-routes'!$C$7, "")</f>
        <v>0</v>
      </c>
      <c r="C42">
        <f>IFERROR('[1]m-3-distances'!$B$7, "")</f>
        <v>0</v>
      </c>
      <c r="D42">
        <f>IFERROR('[1]m-3-sumDists'!$B$7, "")</f>
        <v>0</v>
      </c>
      <c r="E42">
        <f>IFERROR('[1]m-3-units'!$B$7, "")</f>
        <v>0</v>
      </c>
      <c r="F42">
        <f>IFERROR('[1]m-3-deliveries'!$B$7, "")</f>
        <v>0</v>
      </c>
      <c r="G42">
        <f>IFERROR('[1]m-3-sumUnits'!$B$7, "")</f>
        <v>0</v>
      </c>
      <c r="H42" s="15" t="str">
        <f t="shared" si="30"/>
        <v/>
      </c>
      <c r="I42" s="15" t="str">
        <f t="shared" si="31"/>
        <v/>
      </c>
      <c r="J42" s="15">
        <f>IFERROR('[1]m-3-times'!$B$7, "")</f>
        <v>0</v>
      </c>
      <c r="K42" t="str">
        <f>IFERROR(_xlfn.XLOOKUP(B42, addresses!$A$1:$A$22, addresses!$B$1:$B$22), "")</f>
        <v/>
      </c>
      <c r="M42">
        <f>IFERROR('[1]t-3-routes'!$B$7, "")</f>
        <v>0</v>
      </c>
      <c r="N42">
        <f>IFERROR('[1]t-3-routes'!$C$7, "")</f>
        <v>0</v>
      </c>
      <c r="O42">
        <f>IFERROR('[1]t-3-distances'!$B$7, "")</f>
        <v>0</v>
      </c>
      <c r="P42">
        <f>IFERROR('[1]t-3-sumDists'!$B$7, "")</f>
        <v>0</v>
      </c>
      <c r="Q42">
        <f>IFERROR('[1]t-3-units'!$B$7, "")</f>
        <v>0</v>
      </c>
      <c r="R42">
        <f>IFERROR('[1]t-3-deliveries'!$B$7, "")</f>
        <v>0</v>
      </c>
      <c r="S42">
        <f>IFERROR('[1]t-3-sumUnits'!$B$7, "")</f>
        <v>0</v>
      </c>
      <c r="T42" s="15" t="str">
        <f t="shared" si="32"/>
        <v/>
      </c>
      <c r="U42" s="15" t="str">
        <f t="shared" si="33"/>
        <v/>
      </c>
      <c r="V42" s="15">
        <f>IFERROR('[1]t-3-times'!$B$7, "")</f>
        <v>0</v>
      </c>
      <c r="W42" t="str">
        <f>IFERROR(_xlfn.XLOOKUP(N42, addresses!$A$1:$A$22, addresses!$B$1:$B$22), "")</f>
        <v/>
      </c>
      <c r="Y42">
        <f>IFERROR('[1]w-3-routes'!$B$7, "")</f>
        <v>0</v>
      </c>
      <c r="Z42">
        <f>IFERROR('[1]w-3-routes'!$C$7, "")</f>
        <v>0</v>
      </c>
      <c r="AA42">
        <f>IFERROR('[1]w-3-distances'!$B$7, "")</f>
        <v>0</v>
      </c>
      <c r="AB42">
        <f>IFERROR('[1]w-3-sumDists'!$B$7, "")</f>
        <v>0</v>
      </c>
      <c r="AC42">
        <f>IFERROR('[1]w-3-units'!$B$7, "")</f>
        <v>0</v>
      </c>
      <c r="AD42">
        <f>IFERROR('[1]w-3-deliveries'!$B$7, "")</f>
        <v>0</v>
      </c>
      <c r="AE42">
        <f>IFERROR('[1]w-3-sumUnits'!$B$7, "")</f>
        <v>0</v>
      </c>
      <c r="AF42" s="15" t="str">
        <f t="shared" si="34"/>
        <v/>
      </c>
      <c r="AG42" s="15" t="str">
        <f t="shared" si="35"/>
        <v/>
      </c>
      <c r="AH42" s="15">
        <f>IFERROR('[1]w-3-times'!$B$7, "")</f>
        <v>0</v>
      </c>
      <c r="AI42" t="str">
        <f>IFERROR(_xlfn.XLOOKUP(Z42, addresses!$A$1:$A$22, addresses!$B$1:$B$22), "")</f>
        <v/>
      </c>
      <c r="AK42">
        <f>IFERROR('[1]th-3-routes'!$B$7, "")</f>
        <v>0</v>
      </c>
      <c r="AL42">
        <f>IFERROR('[1]th-3-routes'!$C$7, "")</f>
        <v>0</v>
      </c>
      <c r="AM42">
        <f>IFERROR('[1]th-3-distances'!$B$7, "")</f>
        <v>0</v>
      </c>
      <c r="AN42">
        <f>IFERROR('[1]th-3-sumDists'!$B$7, "")</f>
        <v>0</v>
      </c>
      <c r="AO42">
        <f>IFERROR('[1]th-3-units'!$B$7, "")</f>
        <v>0</v>
      </c>
      <c r="AP42">
        <f>IFERROR('[1]th-3-deliveries'!$B$7, "")</f>
        <v>0</v>
      </c>
      <c r="AQ42">
        <f>IFERROR('[1]th-3-sumUnits'!$B$7, "")</f>
        <v>0</v>
      </c>
      <c r="AR42" s="15" t="str">
        <f t="shared" si="36"/>
        <v/>
      </c>
      <c r="AS42" s="15" t="str">
        <f t="shared" si="37"/>
        <v/>
      </c>
      <c r="AT42" s="15">
        <f>IFERROR('[1]th-3-times'!$B$7, "")</f>
        <v>0</v>
      </c>
      <c r="AU42" t="str">
        <f>IFERROR(_xlfn.XLOOKUP(AL42, addresses!$A$1:$A$22, addresses!$B$1:$B$22), "")</f>
        <v/>
      </c>
      <c r="AW42">
        <f>IFERROR('[1]f-3-routes'!$B$7, "")</f>
        <v>0</v>
      </c>
      <c r="AX42">
        <f>IFERROR('[1]f-3-routes'!$C$7, "")</f>
        <v>0</v>
      </c>
      <c r="AY42">
        <f>IFERROR('[1]f-3-distances'!$B$7, "")</f>
        <v>0</v>
      </c>
      <c r="AZ42">
        <f>IFERROR('[1]f-3-sumDists'!$B$7, "")</f>
        <v>0</v>
      </c>
      <c r="BA42">
        <f>IFERROR('[1]f-3-units'!$B$7, "")</f>
        <v>0</v>
      </c>
      <c r="BB42">
        <f>IFERROR('[1]f-3-deliveries'!$B$7, "")</f>
        <v>0</v>
      </c>
      <c r="BC42">
        <f>IFERROR('[1]f-3-sumUnits'!$B$7, "")</f>
        <v>0</v>
      </c>
      <c r="BD42" s="15" t="str">
        <f t="shared" si="38"/>
        <v/>
      </c>
      <c r="BE42" s="15" t="str">
        <f t="shared" si="39"/>
        <v/>
      </c>
      <c r="BF42" s="15">
        <f>IFERROR('[1]f-3-times'!$B$7, "")</f>
        <v>0</v>
      </c>
      <c r="BG42" t="str">
        <f>IFERROR(_xlfn.XLOOKUP(AX42, addresses!$A$1:$A$22, addresses!$B$1:$B$22), "")</f>
        <v/>
      </c>
    </row>
    <row r="43" spans="1:60" x14ac:dyDescent="0.25">
      <c r="A43">
        <f>IFERROR('[1]m-3-routes'!$B$8, "")</f>
        <v>0</v>
      </c>
      <c r="B43">
        <f>IFERROR('[1]m-3-routes'!$C$8, "")</f>
        <v>0</v>
      </c>
      <c r="C43">
        <f>IFERROR('[1]m-3-distances'!$B$8, "")</f>
        <v>0</v>
      </c>
      <c r="D43">
        <f>IFERROR('[1]m-3-sumDists'!$B$8, "")</f>
        <v>0</v>
      </c>
      <c r="E43">
        <f>IFERROR('[1]m-3-units'!$B$8, "")</f>
        <v>0</v>
      </c>
      <c r="F43">
        <f>IFERROR('[1]m-3-deliveries'!$B$8, "")</f>
        <v>0</v>
      </c>
      <c r="G43">
        <f>IFERROR('[1]m-3-sumUnits'!$B$8, "")</f>
        <v>0</v>
      </c>
      <c r="H43" s="15" t="str">
        <f t="shared" si="30"/>
        <v/>
      </c>
      <c r="I43" s="15" t="str">
        <f t="shared" si="31"/>
        <v/>
      </c>
      <c r="J43" s="15">
        <f>IFERROR('[1]m-3-times'!$B$8, "")</f>
        <v>0</v>
      </c>
      <c r="K43" t="str">
        <f>IFERROR(_xlfn.XLOOKUP(B43, addresses!$A$1:$A$22, addresses!$B$1:$B$22), "")</f>
        <v/>
      </c>
      <c r="M43">
        <f>IFERROR('[1]t-3-routes'!$B$8, "")</f>
        <v>0</v>
      </c>
      <c r="N43">
        <f>IFERROR('[1]t-3-routes'!$C$8, "")</f>
        <v>0</v>
      </c>
      <c r="O43">
        <f>IFERROR('[1]t-3-distances'!$B$8, "")</f>
        <v>0</v>
      </c>
      <c r="P43">
        <f>IFERROR('[1]t-3-sumDists'!$B$8, "")</f>
        <v>0</v>
      </c>
      <c r="Q43">
        <f>IFERROR('[1]t-3-units'!$B$8, "")</f>
        <v>0</v>
      </c>
      <c r="R43">
        <f>IFERROR('[1]t-3-deliveries'!$B$8, "")</f>
        <v>0</v>
      </c>
      <c r="S43">
        <f>IFERROR('[1]t-3-sumUnits'!$B$8, "")</f>
        <v>0</v>
      </c>
      <c r="T43" s="15" t="str">
        <f t="shared" si="32"/>
        <v/>
      </c>
      <c r="U43" s="15" t="str">
        <f t="shared" si="33"/>
        <v/>
      </c>
      <c r="V43" s="15">
        <f>IFERROR('[1]t-3-times'!$B$8, "")</f>
        <v>0</v>
      </c>
      <c r="W43" t="str">
        <f>IFERROR(_xlfn.XLOOKUP(N43, addresses!$A$1:$A$22, addresses!$B$1:$B$22), "")</f>
        <v/>
      </c>
      <c r="Y43">
        <f>IFERROR('[1]w-3-routes'!$B$8, "")</f>
        <v>0</v>
      </c>
      <c r="Z43">
        <f>IFERROR('[1]w-3-routes'!$C$8, "")</f>
        <v>0</v>
      </c>
      <c r="AA43">
        <f>IFERROR('[1]w-3-distances'!$B$8, "")</f>
        <v>0</v>
      </c>
      <c r="AB43">
        <f>IFERROR('[1]w-3-sumDists'!$B$8, "")</f>
        <v>0</v>
      </c>
      <c r="AC43">
        <f>IFERROR('[1]w-3-units'!$B$8, "")</f>
        <v>0</v>
      </c>
      <c r="AD43">
        <f>IFERROR('[1]w-3-deliveries'!$B$8, "")</f>
        <v>0</v>
      </c>
      <c r="AE43">
        <f>IFERROR('[1]w-3-sumUnits'!$B$8, "")</f>
        <v>0</v>
      </c>
      <c r="AF43" s="15" t="str">
        <f t="shared" si="34"/>
        <v/>
      </c>
      <c r="AG43" s="15" t="str">
        <f t="shared" si="35"/>
        <v/>
      </c>
      <c r="AH43" s="15">
        <f>IFERROR('[1]w-3-times'!$B$8, "")</f>
        <v>0</v>
      </c>
      <c r="AI43" t="str">
        <f>IFERROR(_xlfn.XLOOKUP(Z43, addresses!$A$1:$A$22, addresses!$B$1:$B$22), "")</f>
        <v/>
      </c>
      <c r="AK43">
        <f>IFERROR('[1]th-3-routes'!$B$8, "")</f>
        <v>0</v>
      </c>
      <c r="AL43">
        <f>IFERROR('[1]th-3-routes'!$C$8, "")</f>
        <v>0</v>
      </c>
      <c r="AM43">
        <f>IFERROR('[1]th-3-distances'!$B$8, "")</f>
        <v>0</v>
      </c>
      <c r="AN43">
        <f>IFERROR('[1]th-3-sumDists'!$B$8, "")</f>
        <v>0</v>
      </c>
      <c r="AO43">
        <f>IFERROR('[1]th-3-units'!$B$8, "")</f>
        <v>0</v>
      </c>
      <c r="AP43">
        <f>IFERROR('[1]th-3-deliveries'!$B$8, "")</f>
        <v>0</v>
      </c>
      <c r="AQ43">
        <f>IFERROR('[1]th-3-sumUnits'!$B$8, "")</f>
        <v>0</v>
      </c>
      <c r="AR43" s="15" t="str">
        <f t="shared" si="36"/>
        <v/>
      </c>
      <c r="AS43" s="15" t="str">
        <f t="shared" si="37"/>
        <v/>
      </c>
      <c r="AT43" s="15">
        <f>IFERROR('[1]th-3-times'!$B$8, "")</f>
        <v>0</v>
      </c>
      <c r="AU43" t="str">
        <f>IFERROR(_xlfn.XLOOKUP(AL43, addresses!$A$1:$A$22, addresses!$B$1:$B$22), "")</f>
        <v/>
      </c>
      <c r="AW43">
        <f>IFERROR('[1]f-3-routes'!$B$8, "")</f>
        <v>0</v>
      </c>
      <c r="AX43">
        <f>IFERROR('[1]f-3-routes'!$C$8, "")</f>
        <v>0</v>
      </c>
      <c r="AY43">
        <f>IFERROR('[1]f-3-distances'!$B$8, "")</f>
        <v>0</v>
      </c>
      <c r="AZ43">
        <f>IFERROR('[1]f-3-sumDists'!$B$8, "")</f>
        <v>0</v>
      </c>
      <c r="BA43">
        <f>IFERROR('[1]f-3-units'!$B$8, "")</f>
        <v>0</v>
      </c>
      <c r="BB43">
        <f>IFERROR('[1]f-3-deliveries'!$B$8, "")</f>
        <v>0</v>
      </c>
      <c r="BC43">
        <f>IFERROR('[1]f-3-sumUnits'!$B$8, "")</f>
        <v>0</v>
      </c>
      <c r="BD43" s="15" t="str">
        <f t="shared" si="38"/>
        <v/>
      </c>
      <c r="BE43" s="15" t="str">
        <f t="shared" si="39"/>
        <v/>
      </c>
      <c r="BF43" s="15">
        <f>IFERROR('[1]f-3-times'!$B$8, "")</f>
        <v>0</v>
      </c>
      <c r="BG43" t="str">
        <f>IFERROR(_xlfn.XLOOKUP(AX43, addresses!$A$1:$A$22, addresses!$B$1:$B$22), "")</f>
        <v/>
      </c>
    </row>
    <row r="44" spans="1:60" x14ac:dyDescent="0.25">
      <c r="A44">
        <f>IFERROR('[1]m-3-routes'!$B$9, "")</f>
        <v>0</v>
      </c>
      <c r="B44">
        <f>IFERROR('[1]m-3-routes'!$C$9, "")</f>
        <v>0</v>
      </c>
      <c r="C44">
        <f>IFERROR('[1]m-3-distances'!$B$9, "")</f>
        <v>0</v>
      </c>
      <c r="D44">
        <f>IFERROR('[1]m-3-sumDists'!$B$9, "")</f>
        <v>0</v>
      </c>
      <c r="E44">
        <f>IFERROR('[1]m-3-units'!$B$9, "")</f>
        <v>0</v>
      </c>
      <c r="F44">
        <f>IFERROR('[1]m-3-deliveries'!$B$9, "")</f>
        <v>0</v>
      </c>
      <c r="G44">
        <f>IFERROR('[1]m-3-sumUnits'!$B$9, "")</f>
        <v>0</v>
      </c>
      <c r="H44" s="15" t="str">
        <f t="shared" si="30"/>
        <v/>
      </c>
      <c r="I44" s="15" t="str">
        <f t="shared" si="31"/>
        <v/>
      </c>
      <c r="J44" s="15">
        <f>IFERROR('[1]m-3-times'!$B$9, "")</f>
        <v>0</v>
      </c>
      <c r="K44" t="str">
        <f>IFERROR(_xlfn.XLOOKUP(B44, addresses!$A$1:$A$22, addresses!$B$1:$B$22), "")</f>
        <v/>
      </c>
      <c r="M44">
        <f>IFERROR('[1]t-3-routes'!$B$9, "")</f>
        <v>0</v>
      </c>
      <c r="N44">
        <f>IFERROR('[1]t-3-routes'!$C$9, "")</f>
        <v>0</v>
      </c>
      <c r="O44">
        <f>IFERROR('[1]t-3-distances'!$B$9, "")</f>
        <v>0</v>
      </c>
      <c r="P44">
        <f>IFERROR('[1]t-3-sumDists'!$B$9, "")</f>
        <v>0</v>
      </c>
      <c r="Q44">
        <f>IFERROR('[1]t-3-units'!$B$9, "")</f>
        <v>0</v>
      </c>
      <c r="R44">
        <f>IFERROR('[1]t-3-deliveries'!$B$9, "")</f>
        <v>0</v>
      </c>
      <c r="S44">
        <f>IFERROR('[1]t-3-sumUnits'!$B$9, "")</f>
        <v>0</v>
      </c>
      <c r="T44" s="15" t="str">
        <f t="shared" si="32"/>
        <v/>
      </c>
      <c r="U44" s="15" t="str">
        <f t="shared" si="33"/>
        <v/>
      </c>
      <c r="V44" s="15">
        <f>IFERROR('[1]t-3-times'!$B$9, "")</f>
        <v>0</v>
      </c>
      <c r="W44" t="str">
        <f>IFERROR(_xlfn.XLOOKUP(N44, addresses!$A$1:$A$22, addresses!$B$1:$B$22), "")</f>
        <v/>
      </c>
      <c r="Y44">
        <f>IFERROR('[1]w-3-routes'!$B$9, "")</f>
        <v>0</v>
      </c>
      <c r="Z44">
        <f>IFERROR('[1]w-3-routes'!$C$9, "")</f>
        <v>0</v>
      </c>
      <c r="AA44">
        <f>IFERROR('[1]w-3-distances'!$B$9, "")</f>
        <v>0</v>
      </c>
      <c r="AB44">
        <f>IFERROR('[1]w-3-sumDists'!$B$9, "")</f>
        <v>0</v>
      </c>
      <c r="AC44">
        <f>IFERROR('[1]w-3-units'!$B$9, "")</f>
        <v>0</v>
      </c>
      <c r="AD44">
        <f>IFERROR('[1]w-3-deliveries'!$B$9, "")</f>
        <v>0</v>
      </c>
      <c r="AE44">
        <f>IFERROR('[1]w-3-sumUnits'!$B$9, "")</f>
        <v>0</v>
      </c>
      <c r="AF44" s="15" t="str">
        <f t="shared" si="34"/>
        <v/>
      </c>
      <c r="AG44" s="15" t="str">
        <f t="shared" si="35"/>
        <v/>
      </c>
      <c r="AH44" s="15">
        <f>IFERROR('[1]w-3-times'!$B$9, "")</f>
        <v>0</v>
      </c>
      <c r="AI44" t="str">
        <f>IFERROR(_xlfn.XLOOKUP(Z44, addresses!$A$1:$A$22, addresses!$B$1:$B$22), "")</f>
        <v/>
      </c>
      <c r="AK44">
        <f>IFERROR('[1]th-3-routes'!$B$9, "")</f>
        <v>0</v>
      </c>
      <c r="AL44">
        <f>IFERROR('[1]th-3-routes'!$C$9, "")</f>
        <v>0</v>
      </c>
      <c r="AM44">
        <f>IFERROR('[1]th-3-distances'!$B$9, "")</f>
        <v>0</v>
      </c>
      <c r="AN44">
        <f>IFERROR('[1]th-3-sumDists'!$B$9, "")</f>
        <v>0</v>
      </c>
      <c r="AO44">
        <f>IFERROR('[1]th-3-units'!$B$9, "")</f>
        <v>0</v>
      </c>
      <c r="AP44">
        <f>IFERROR('[1]th-3-deliveries'!$B$9, "")</f>
        <v>0</v>
      </c>
      <c r="AQ44">
        <f>IFERROR('[1]th-3-sumUnits'!$B$9, "")</f>
        <v>0</v>
      </c>
      <c r="AR44" s="15" t="str">
        <f t="shared" si="36"/>
        <v/>
      </c>
      <c r="AS44" s="15" t="str">
        <f t="shared" si="37"/>
        <v/>
      </c>
      <c r="AT44" s="15">
        <f>IFERROR('[1]th-3-times'!$B$9, "")</f>
        <v>0</v>
      </c>
      <c r="AU44" t="str">
        <f>IFERROR(_xlfn.XLOOKUP(AL44, addresses!$A$1:$A$22, addresses!$B$1:$B$22), "")</f>
        <v/>
      </c>
      <c r="AW44">
        <f>IFERROR('[1]f-3-routes'!$B$9, "")</f>
        <v>0</v>
      </c>
      <c r="AX44">
        <f>IFERROR('[1]f-3-routes'!$C$9, "")</f>
        <v>0</v>
      </c>
      <c r="AY44">
        <f>IFERROR('[1]f-3-distances'!$B$9, "")</f>
        <v>0</v>
      </c>
      <c r="AZ44">
        <f>IFERROR('[1]f-3-sumDists'!$B$9, "")</f>
        <v>0</v>
      </c>
      <c r="BA44">
        <f>IFERROR('[1]f-3-units'!$B$9, "")</f>
        <v>0</v>
      </c>
      <c r="BB44">
        <f>IFERROR('[1]f-3-deliveries'!$B$9, "")</f>
        <v>0</v>
      </c>
      <c r="BC44">
        <f>IFERROR('[1]f-3-sumUnits'!$B$9, "")</f>
        <v>0</v>
      </c>
      <c r="BD44" s="15" t="str">
        <f t="shared" si="38"/>
        <v/>
      </c>
      <c r="BE44" s="15" t="str">
        <f t="shared" si="39"/>
        <v/>
      </c>
      <c r="BF44" s="15">
        <f>IFERROR('[1]f-3-times'!$B$9, "")</f>
        <v>0</v>
      </c>
      <c r="BG44" t="str">
        <f>IFERROR(_xlfn.XLOOKUP(AX44, addresses!$A$1:$A$22, addresses!$B$1:$B$22), "")</f>
        <v/>
      </c>
    </row>
    <row r="45" spans="1:60" x14ac:dyDescent="0.25">
      <c r="A45">
        <f>IFERROR('[1]m-3-routes'!$B$10, "")</f>
        <v>0</v>
      </c>
      <c r="B45">
        <f>IFERROR('[1]m-3-routes'!$C$10, "")</f>
        <v>0</v>
      </c>
      <c r="C45">
        <f>IFERROR('[1]m-3-distances'!$B$10, "")</f>
        <v>0</v>
      </c>
      <c r="D45">
        <f>IFERROR('[1]m-3-sumDists'!$B$10, "")</f>
        <v>0</v>
      </c>
      <c r="E45">
        <f>IFERROR('[1]m-3-units'!$B$10, "")</f>
        <v>0</v>
      </c>
      <c r="F45">
        <f>IFERROR('[1]m-3-deliveries'!$B$10, "")</f>
        <v>0</v>
      </c>
      <c r="G45">
        <f>IFERROR('[1]m-3-sumUnits'!$B$10, "")</f>
        <v>0</v>
      </c>
      <c r="H45" s="15" t="str">
        <f t="shared" si="30"/>
        <v/>
      </c>
      <c r="I45" s="15" t="str">
        <f t="shared" si="31"/>
        <v/>
      </c>
      <c r="J45" s="15">
        <f>IFERROR('[1]m-3-times'!$B$10, "")</f>
        <v>0</v>
      </c>
      <c r="K45" t="str">
        <f>IFERROR(_xlfn.XLOOKUP(B45, addresses!$A$1:$A$22, addresses!$B$1:$B$22), "")</f>
        <v/>
      </c>
      <c r="M45">
        <f>IFERROR('[1]t-3-routes'!$B$10, "")</f>
        <v>0</v>
      </c>
      <c r="N45">
        <f>IFERROR('[1]t-3-routes'!$C$10, "")</f>
        <v>0</v>
      </c>
      <c r="O45">
        <f>IFERROR('[1]t-3-distances'!$B$10, "")</f>
        <v>0</v>
      </c>
      <c r="P45">
        <f>IFERROR('[1]t-3-sumDists'!$B$10, "")</f>
        <v>0</v>
      </c>
      <c r="Q45">
        <f>IFERROR('[1]t-3-units'!$B$10, "")</f>
        <v>0</v>
      </c>
      <c r="R45">
        <f>IFERROR('[1]t-3-deliveries'!$B$10, "")</f>
        <v>0</v>
      </c>
      <c r="S45">
        <f>IFERROR('[1]t-3-sumUnits'!$B$10, "")</f>
        <v>0</v>
      </c>
      <c r="T45" s="15" t="str">
        <f t="shared" si="32"/>
        <v/>
      </c>
      <c r="U45" s="15" t="str">
        <f t="shared" si="33"/>
        <v/>
      </c>
      <c r="V45" s="15">
        <f>IFERROR('[1]t-3-times'!$B$10, "")</f>
        <v>0</v>
      </c>
      <c r="W45" t="str">
        <f>IFERROR(_xlfn.XLOOKUP(N45, addresses!$A$1:$A$22, addresses!$B$1:$B$22), "")</f>
        <v/>
      </c>
      <c r="Y45">
        <f>IFERROR('[1]w-3-routes'!$B$10, "")</f>
        <v>0</v>
      </c>
      <c r="Z45">
        <f>IFERROR('[1]w-3-routes'!$C$10, "")</f>
        <v>0</v>
      </c>
      <c r="AA45">
        <f>IFERROR('[1]w-3-distances'!$B$10, "")</f>
        <v>0</v>
      </c>
      <c r="AB45">
        <f>IFERROR('[1]w-3-sumDists'!$B$10, "")</f>
        <v>0</v>
      </c>
      <c r="AC45">
        <f>IFERROR('[1]w-3-units'!$B$10, "")</f>
        <v>0</v>
      </c>
      <c r="AD45">
        <f>IFERROR('[1]w-3-deliveries'!$B$10, "")</f>
        <v>0</v>
      </c>
      <c r="AE45">
        <f>IFERROR('[1]w-3-sumUnits'!$B$10, "")</f>
        <v>0</v>
      </c>
      <c r="AF45" s="15" t="str">
        <f t="shared" si="34"/>
        <v/>
      </c>
      <c r="AG45" s="15" t="str">
        <f t="shared" si="35"/>
        <v/>
      </c>
      <c r="AH45" s="15">
        <f>IFERROR('[1]w-3-times'!$B$10, "")</f>
        <v>0</v>
      </c>
      <c r="AI45" t="str">
        <f>IFERROR(_xlfn.XLOOKUP(Z45, addresses!$A$1:$A$22, addresses!$B$1:$B$22), "")</f>
        <v/>
      </c>
      <c r="AK45">
        <f>IFERROR('[1]th-3-routes'!$B$10, "")</f>
        <v>0</v>
      </c>
      <c r="AL45">
        <f>IFERROR('[1]th-3-routes'!$C$10, "")</f>
        <v>0</v>
      </c>
      <c r="AM45">
        <f>IFERROR('[1]th-3-distances'!$B$10, "")</f>
        <v>0</v>
      </c>
      <c r="AN45">
        <f>IFERROR('[1]th-3-sumDists'!$B$10, "")</f>
        <v>0</v>
      </c>
      <c r="AO45">
        <f>IFERROR('[1]th-3-units'!$B$10, "")</f>
        <v>0</v>
      </c>
      <c r="AP45">
        <f>IFERROR('[1]th-3-deliveries'!$B$10, "")</f>
        <v>0</v>
      </c>
      <c r="AQ45">
        <f>IFERROR('[1]th-3-sumUnits'!$B$10, "")</f>
        <v>0</v>
      </c>
      <c r="AR45" s="15" t="str">
        <f t="shared" si="36"/>
        <v/>
      </c>
      <c r="AS45" s="15" t="str">
        <f t="shared" si="37"/>
        <v/>
      </c>
      <c r="AT45" s="15">
        <f>IFERROR('[1]th-3-times'!$B$10, "")</f>
        <v>0</v>
      </c>
      <c r="AU45" t="str">
        <f>IFERROR(_xlfn.XLOOKUP(AL45, addresses!$A$1:$A$22, addresses!$B$1:$B$22), "")</f>
        <v/>
      </c>
      <c r="AW45">
        <f>IFERROR('[1]f-3-routes'!$B$10, "")</f>
        <v>0</v>
      </c>
      <c r="AX45">
        <f>IFERROR('[1]f-3-routes'!$C$10, "")</f>
        <v>0</v>
      </c>
      <c r="AY45">
        <f>IFERROR('[1]f-3-distances'!$B$10, "")</f>
        <v>0</v>
      </c>
      <c r="AZ45">
        <f>IFERROR('[1]f-3-sumDists'!$B$10, "")</f>
        <v>0</v>
      </c>
      <c r="BA45">
        <f>IFERROR('[1]f-3-units'!$B$10, "")</f>
        <v>0</v>
      </c>
      <c r="BB45">
        <f>IFERROR('[1]f-3-deliveries'!$B$10, "")</f>
        <v>0</v>
      </c>
      <c r="BC45">
        <f>IFERROR('[1]f-3-sumUnits'!$B$10, "")</f>
        <v>0</v>
      </c>
      <c r="BD45" s="15" t="str">
        <f t="shared" si="38"/>
        <v/>
      </c>
      <c r="BE45" s="15" t="str">
        <f t="shared" si="39"/>
        <v/>
      </c>
      <c r="BF45" s="15">
        <f>IFERROR('[1]f-3-times'!$B$10, "")</f>
        <v>0</v>
      </c>
      <c r="BG45" t="str">
        <f>IFERROR(_xlfn.XLOOKUP(AX45, addresses!$A$1:$A$22, addresses!$B$1:$B$22), "")</f>
        <v/>
      </c>
    </row>
    <row r="46" spans="1:60" x14ac:dyDescent="0.25">
      <c r="A46">
        <f>IFERROR('[1]m-3-routes'!$B44, "")</f>
        <v>0</v>
      </c>
      <c r="B46">
        <f>IFERROR('[1]m-3-routes'!$C44, "")</f>
        <v>0</v>
      </c>
      <c r="C46">
        <f>IFERROR('[1]m-3-distances'!$B44, "")</f>
        <v>0</v>
      </c>
      <c r="D46">
        <f>IFERROR('[1]m-3-sumDists'!$B44, "")</f>
        <v>0</v>
      </c>
      <c r="E46">
        <f>IFERROR('[1]m-3-units'!$B44, "")</f>
        <v>0</v>
      </c>
      <c r="F46">
        <f>IFERROR('[1]m-3-deliveries'!$B44, "")</f>
        <v>0</v>
      </c>
      <c r="G46">
        <f>IFERROR('[1]m-3-sumUnits'!$B44, "")</f>
        <v>0</v>
      </c>
      <c r="H46" s="15" t="str">
        <f t="shared" si="30"/>
        <v/>
      </c>
      <c r="I46" s="15" t="str">
        <f t="shared" si="31"/>
        <v/>
      </c>
      <c r="J46" s="15">
        <f>IFERROR('[1]m-3-times'!$B$11, "")</f>
        <v>0</v>
      </c>
      <c r="K46" t="str">
        <f>IFERROR(_xlfn.XLOOKUP(B46, addresses!$A$1:$A$22, addresses!$B$1:$B$22), "")</f>
        <v/>
      </c>
      <c r="M46">
        <f>IFERROR('[1]t-3-routes'!$B44, "")</f>
        <v>0</v>
      </c>
      <c r="N46">
        <f>IFERROR('[1]t-3-routes'!$C44, "")</f>
        <v>0</v>
      </c>
      <c r="O46">
        <f>IFERROR('[1]t-3-distances'!$B44, "")</f>
        <v>0</v>
      </c>
      <c r="P46">
        <f>IFERROR('[1]t-3-sumDists'!$B44, "")</f>
        <v>0</v>
      </c>
      <c r="Q46">
        <f>IFERROR('[1]t-3-units'!$B44, "")</f>
        <v>0</v>
      </c>
      <c r="R46">
        <f>IFERROR('[1]t-3-deliveries'!$B44, "")</f>
        <v>0</v>
      </c>
      <c r="S46">
        <f>IFERROR('[1]t-3-sumUnits'!$B44, "")</f>
        <v>0</v>
      </c>
      <c r="T46" s="15" t="str">
        <f t="shared" si="32"/>
        <v/>
      </c>
      <c r="U46" s="15" t="str">
        <f t="shared" si="33"/>
        <v/>
      </c>
      <c r="V46" s="15">
        <f>IFERROR('[1]t-3-times'!$B$11, "")</f>
        <v>0</v>
      </c>
      <c r="W46" t="str">
        <f>IFERROR(_xlfn.XLOOKUP(N46, addresses!$A$1:$A$22, addresses!$B$1:$B$22), "")</f>
        <v/>
      </c>
      <c r="Y46">
        <f>IFERROR('[1]w-3-routes'!$B44, "")</f>
        <v>0</v>
      </c>
      <c r="Z46">
        <f>IFERROR('[1]w-3-routes'!$C44, "")</f>
        <v>0</v>
      </c>
      <c r="AA46">
        <f>IFERROR('[1]w-3-distances'!$B44, "")</f>
        <v>0</v>
      </c>
      <c r="AB46">
        <f>IFERROR('[1]w-3-sumDists'!$B44, "")</f>
        <v>0</v>
      </c>
      <c r="AC46">
        <f>IFERROR('[1]w-3-units'!$B44, "")</f>
        <v>0</v>
      </c>
      <c r="AD46">
        <f>IFERROR('[1]w-3-deliveries'!$B44, "")</f>
        <v>0</v>
      </c>
      <c r="AE46">
        <f>IFERROR('[1]w-3-sumUnits'!$B44, "")</f>
        <v>0</v>
      </c>
      <c r="AF46" s="15" t="str">
        <f t="shared" si="34"/>
        <v/>
      </c>
      <c r="AG46" s="15" t="str">
        <f t="shared" si="35"/>
        <v/>
      </c>
      <c r="AH46" s="15">
        <f>IFERROR('[1]w-3-times'!$B$11, "")</f>
        <v>0</v>
      </c>
      <c r="AI46" t="str">
        <f>IFERROR(_xlfn.XLOOKUP(Z46, addresses!$A$1:$A$22, addresses!$B$1:$B$22), "")</f>
        <v/>
      </c>
      <c r="AK46">
        <f>IFERROR('[1]th-3-routes'!$B44, "")</f>
        <v>0</v>
      </c>
      <c r="AL46">
        <f>IFERROR('[1]th-3-routes'!$C44, "")</f>
        <v>0</v>
      </c>
      <c r="AM46">
        <f>IFERROR('[1]th-3-distances'!$B44, "")</f>
        <v>0</v>
      </c>
      <c r="AN46">
        <f>IFERROR('[1]th-3-sumDists'!$B44, "")</f>
        <v>0</v>
      </c>
      <c r="AO46">
        <f>IFERROR('[1]th-3-units'!$B44, "")</f>
        <v>0</v>
      </c>
      <c r="AP46">
        <f>IFERROR('[1]th-3-deliveries'!$B44, "")</f>
        <v>0</v>
      </c>
      <c r="AQ46">
        <f>IFERROR('[1]th-3-sumUnits'!$B44, "")</f>
        <v>0</v>
      </c>
      <c r="AR46" s="15" t="str">
        <f t="shared" si="36"/>
        <v/>
      </c>
      <c r="AS46" s="15" t="str">
        <f t="shared" si="37"/>
        <v/>
      </c>
      <c r="AT46" s="15">
        <f>IFERROR('[1]th-3-times'!$B$11, "")</f>
        <v>0</v>
      </c>
      <c r="AU46" t="str">
        <f>IFERROR(_xlfn.XLOOKUP(AL46, addresses!$A$1:$A$22, addresses!$B$1:$B$22), "")</f>
        <v/>
      </c>
      <c r="AW46">
        <f>IFERROR('[1]f-3-routes'!$B44, "")</f>
        <v>0</v>
      </c>
      <c r="AX46">
        <f>IFERROR('[1]f-3-routes'!$C44, "")</f>
        <v>0</v>
      </c>
      <c r="AY46">
        <f>IFERROR('[1]f-3-distances'!$B44, "")</f>
        <v>0</v>
      </c>
      <c r="AZ46">
        <f>IFERROR('[1]f-3-sumDists'!$B44, "")</f>
        <v>0</v>
      </c>
      <c r="BA46">
        <f>IFERROR('[1]f-3-units'!$B44, "")</f>
        <v>0</v>
      </c>
      <c r="BB46">
        <f>IFERROR('[1]f-3-deliveries'!$B44, "")</f>
        <v>0</v>
      </c>
      <c r="BC46">
        <f>IFERROR('[1]f-3-sumUnits'!$B44, "")</f>
        <v>0</v>
      </c>
      <c r="BD46" s="15" t="str">
        <f t="shared" si="38"/>
        <v/>
      </c>
      <c r="BE46" s="15" t="str">
        <f t="shared" si="39"/>
        <v/>
      </c>
      <c r="BF46" s="15">
        <f>IFERROR('[1]f-3-times'!$B$11, "")</f>
        <v>0</v>
      </c>
      <c r="BG46" t="str">
        <f>IFERROR(_xlfn.XLOOKUP(AX46, addresses!$A$1:$A$22, addresses!$B$1:$B$22), "")</f>
        <v/>
      </c>
    </row>
    <row r="47" spans="1:60" x14ac:dyDescent="0.25">
      <c r="A47" s="31" t="s">
        <v>16236</v>
      </c>
      <c r="B47" s="31"/>
      <c r="C47" s="31"/>
      <c r="D47" s="31"/>
      <c r="E47" s="31"/>
      <c r="F47" s="31"/>
      <c r="G47" s="31"/>
      <c r="H47" s="31"/>
      <c r="I47" s="31"/>
      <c r="J47" s="31"/>
      <c r="K47" s="23" t="str">
        <f>IFERROR(_xlfn.XLOOKUP(A48, addresses!A$1:A$22, addresses!B$1:B$22), "")</f>
        <v/>
      </c>
      <c r="M47" s="31" t="s">
        <v>16236</v>
      </c>
      <c r="N47" s="31"/>
      <c r="O47" s="31"/>
      <c r="P47" s="31"/>
      <c r="Q47" s="31"/>
      <c r="R47" s="31"/>
      <c r="S47" s="31"/>
      <c r="T47" s="31"/>
      <c r="U47" s="31"/>
      <c r="V47" s="31"/>
      <c r="W47" s="23" t="str">
        <f>IFERROR(_xlfn.XLOOKUP(M48, addresses!M$1:M$22, addresses!N$1:N$22), "")</f>
        <v/>
      </c>
      <c r="Y47" s="31" t="s">
        <v>16236</v>
      </c>
      <c r="Z47" s="31"/>
      <c r="AA47" s="31"/>
      <c r="AB47" s="31"/>
      <c r="AC47" s="31"/>
      <c r="AD47" s="31"/>
      <c r="AE47" s="31"/>
      <c r="AF47" s="31"/>
      <c r="AG47" s="31"/>
      <c r="AH47" s="31"/>
      <c r="AI47" s="23" t="str">
        <f>IFERROR(_xlfn.XLOOKUP(Y48, addresses!Y$1:Y$22, addresses!Z$1:Z$22), "")</f>
        <v/>
      </c>
      <c r="AK47" s="31" t="s">
        <v>16236</v>
      </c>
      <c r="AL47" s="31"/>
      <c r="AM47" s="31"/>
      <c r="AN47" s="31"/>
      <c r="AO47" s="31"/>
      <c r="AP47" s="31"/>
      <c r="AQ47" s="31"/>
      <c r="AR47" s="31"/>
      <c r="AS47" s="31"/>
      <c r="AT47" s="31"/>
      <c r="AU47" s="23" t="str">
        <f>IFERROR(_xlfn.XLOOKUP(AK48, addresses!AK$1:AK$22, addresses!AL$1:AL$22), "")</f>
        <v/>
      </c>
      <c r="AW47" s="31" t="s">
        <v>16236</v>
      </c>
      <c r="AX47" s="31"/>
      <c r="AY47" s="31"/>
      <c r="AZ47" s="31"/>
      <c r="BA47" s="31"/>
      <c r="BB47" s="31"/>
      <c r="BC47" s="31"/>
      <c r="BD47" s="31"/>
      <c r="BE47" s="31"/>
      <c r="BF47" s="31"/>
      <c r="BG47" s="23" t="str">
        <f>IFERROR(_xlfn.XLOOKUP(AW48, addresses!AW$1:AW$22, addresses!AX$1:AX$22), "")</f>
        <v/>
      </c>
    </row>
    <row r="48" spans="1:60" x14ac:dyDescent="0.25">
      <c r="A48">
        <f>IFERROR('[1]m-4-routes'!$B$2, "")</f>
        <v>0</v>
      </c>
      <c r="B48">
        <f>IFERROR('[1]m-4-routes'!$C$2, "")</f>
        <v>0</v>
      </c>
      <c r="C48">
        <f>IFERROR('[1]m-4-distances'!$B$2, "")</f>
        <v>0</v>
      </c>
      <c r="D48">
        <f>IFERROR('[1]m-4-sumDists'!$B$2, "")</f>
        <v>0</v>
      </c>
      <c r="E48">
        <f>IFERROR('[1]m-4-units'!$B$2, "")</f>
        <v>0</v>
      </c>
      <c r="F48">
        <f>IFERROR('[1]m-4-deliveries'!$B$2, "")</f>
        <v>0</v>
      </c>
      <c r="G48">
        <f>IFERROR('[1]m-4-sumUnits'!$B$2, "")</f>
        <v>0</v>
      </c>
      <c r="H48" s="15" t="str">
        <f>IFERROR(E48/C48, "")</f>
        <v/>
      </c>
      <c r="I48" s="15" t="str">
        <f>IFERROR(G48/D48, "")</f>
        <v/>
      </c>
      <c r="J48" s="15">
        <f>IFERROR('[1]m-4-times'!$B$2, "")</f>
        <v>0</v>
      </c>
      <c r="K48" t="str">
        <f>IFERROR(_xlfn.XLOOKUP(B48, addresses!$A$1:$A$22, addresses!$B$1:$B$22), "")</f>
        <v/>
      </c>
      <c r="M48">
        <f>IFERROR('[1]t-4-routes'!$B$2, "")</f>
        <v>0</v>
      </c>
      <c r="N48">
        <f>IFERROR('[1]t-4-routes'!$C$2, "")</f>
        <v>0</v>
      </c>
      <c r="O48">
        <f>IFERROR('[1]t-4-distances'!$B$2, "")</f>
        <v>0</v>
      </c>
      <c r="P48">
        <f>IFERROR('[1]t-4-sumDists'!$B$2, "")</f>
        <v>0</v>
      </c>
      <c r="Q48">
        <f>IFERROR('[1]t-4-units'!$B$2, "")</f>
        <v>0</v>
      </c>
      <c r="R48">
        <f>IFERROR('[1]t-4-deliveries'!$B$2, "")</f>
        <v>0</v>
      </c>
      <c r="S48">
        <f>IFERROR('[1]t-4-sumUnits'!$B$2, "")</f>
        <v>0</v>
      </c>
      <c r="T48" s="15" t="str">
        <f>IFERROR(Q48/O48, "")</f>
        <v/>
      </c>
      <c r="U48" s="15" t="str">
        <f>IFERROR(S48/P48, "")</f>
        <v/>
      </c>
      <c r="V48" s="15">
        <f>IFERROR('[1]t-4-times'!$B$2, "")</f>
        <v>0</v>
      </c>
      <c r="W48" t="str">
        <f>IFERROR(_xlfn.XLOOKUP(N48, addresses!$A$1:$A$22, addresses!$B$1:$B$22), "")</f>
        <v/>
      </c>
      <c r="Y48">
        <f>IFERROR('[1]w-4-routes'!$B$2, "")</f>
        <v>0</v>
      </c>
      <c r="Z48">
        <f>IFERROR('[1]w-4-routes'!$C$2, "")</f>
        <v>0</v>
      </c>
      <c r="AA48">
        <f>IFERROR('[1]w-4-distances'!$B$2, "")</f>
        <v>0</v>
      </c>
      <c r="AB48">
        <f>IFERROR('[1]w-4-sumDists'!$B$2, "")</f>
        <v>0</v>
      </c>
      <c r="AC48">
        <f>IFERROR('[1]w-4-units'!$B$2, "")</f>
        <v>0</v>
      </c>
      <c r="AD48">
        <f>IFERROR('[1]w-4-deliveries'!$B$2, "")</f>
        <v>0</v>
      </c>
      <c r="AE48">
        <f>IFERROR('[1]w-4-sumUnits'!$B$2, "")</f>
        <v>0</v>
      </c>
      <c r="AF48" s="15" t="str">
        <f>IFERROR(AC48/AA48, "")</f>
        <v/>
      </c>
      <c r="AG48" s="15" t="str">
        <f>IFERROR(AE48/AB48, "")</f>
        <v/>
      </c>
      <c r="AH48" s="15">
        <f>IFERROR('[1]w-4-times'!$B$2, "")</f>
        <v>0</v>
      </c>
      <c r="AI48" t="str">
        <f>IFERROR(_xlfn.XLOOKUP(Z48, addresses!$A$1:$A$22, addresses!$B$1:$B$22), "")</f>
        <v/>
      </c>
      <c r="AK48">
        <f>IFERROR('[1]th-4-routes'!$B$2, "")</f>
        <v>0</v>
      </c>
      <c r="AL48">
        <f>IFERROR('[1]th-4-routes'!$C$2, "")</f>
        <v>0</v>
      </c>
      <c r="AM48">
        <f>IFERROR('[1]th-4-distances'!$B$2, "")</f>
        <v>0</v>
      </c>
      <c r="AN48">
        <f>IFERROR('[1]th-4-sumDists'!$B$2, "")</f>
        <v>0</v>
      </c>
      <c r="AO48">
        <f>IFERROR('[1]th-4-units'!$B$2, "")</f>
        <v>0</v>
      </c>
      <c r="AP48">
        <f>IFERROR('[1]th-4-deliveries'!$B$2, "")</f>
        <v>0</v>
      </c>
      <c r="AQ48">
        <f>IFERROR('[1]th-4-sumUnits'!$B$2, "")</f>
        <v>0</v>
      </c>
      <c r="AR48" s="15" t="str">
        <f>IFERROR(AO48/AM48, "")</f>
        <v/>
      </c>
      <c r="AS48" s="15" t="str">
        <f>IFERROR(AQ48/AN48, "")</f>
        <v/>
      </c>
      <c r="AT48" s="15">
        <f>IFERROR('[1]th-4-times'!$B$2, "")</f>
        <v>0</v>
      </c>
      <c r="AU48" t="str">
        <f>IFERROR(_xlfn.XLOOKUP(AL48, addresses!$A$1:$A$22, addresses!$B$1:$B$22), "")</f>
        <v/>
      </c>
      <c r="AW48">
        <f>IFERROR('[1]f-4-routes'!$B$2, "")</f>
        <v>0</v>
      </c>
      <c r="AX48">
        <f>IFERROR('[1]f-4-routes'!$C$2, "")</f>
        <v>0</v>
      </c>
      <c r="AY48">
        <f>IFERROR('[1]f-4-distances'!$B$2, "")</f>
        <v>0</v>
      </c>
      <c r="AZ48">
        <f>IFERROR('[1]f-4-sumDists'!$B$2, "")</f>
        <v>0</v>
      </c>
      <c r="BA48">
        <f>IFERROR('[1]f-4-units'!$B$2, "")</f>
        <v>0</v>
      </c>
      <c r="BB48">
        <f>IFERROR('[1]f-4-deliveries'!$B$2, "")</f>
        <v>0</v>
      </c>
      <c r="BC48">
        <f>IFERROR('[1]f-4-sumUnits'!$B$2, "")</f>
        <v>0</v>
      </c>
      <c r="BD48" s="15" t="str">
        <f>IFERROR(BA48/AY48, "")</f>
        <v/>
      </c>
      <c r="BE48" s="15" t="str">
        <f>IFERROR(BC48/AZ48, "")</f>
        <v/>
      </c>
      <c r="BF48" s="15">
        <f>IFERROR('[1]f-4-times'!$B$2, "")</f>
        <v>0</v>
      </c>
      <c r="BG48" t="str">
        <f>IFERROR(_xlfn.XLOOKUP(AX48, addresses!$A$1:$A$22, addresses!$B$1:$B$22), "")</f>
        <v/>
      </c>
    </row>
    <row r="49" spans="1:59" x14ac:dyDescent="0.25">
      <c r="A49">
        <f>IFERROR('[1]m-4-routes'!$B$3, "")</f>
        <v>0</v>
      </c>
      <c r="B49">
        <f>IFERROR('[1]m-4-routes'!$C$3, "")</f>
        <v>0</v>
      </c>
      <c r="C49">
        <f>IFERROR('[1]m-4-distances'!$B$3, "")</f>
        <v>0</v>
      </c>
      <c r="D49">
        <f>IFERROR('[1]m-4-sumDists'!$B14, "")</f>
        <v>0</v>
      </c>
      <c r="E49">
        <f>IFERROR('[1]m-4-units'!$B$3, "")</f>
        <v>0</v>
      </c>
      <c r="F49">
        <f>IFERROR('[1]m-4-deliveries'!$B$3, "")</f>
        <v>0</v>
      </c>
      <c r="G49">
        <f>IFERROR('[1]m-4-sumUnits'!$B$3, "")</f>
        <v>0</v>
      </c>
      <c r="H49" s="15" t="str">
        <f t="shared" ref="H49:H57" si="40">IFERROR(E49/C49, "")</f>
        <v/>
      </c>
      <c r="I49" s="15" t="str">
        <f t="shared" ref="I49:I57" si="41">IFERROR(G49/D49, "")</f>
        <v/>
      </c>
      <c r="J49" s="15">
        <f>IFERROR('[1]m-4-times'!$B$3, "")</f>
        <v>0</v>
      </c>
      <c r="K49" t="str">
        <f>IFERROR(_xlfn.XLOOKUP(B49, addresses!$A$1:$A$22, addresses!$B$1:$B$22), "")</f>
        <v/>
      </c>
      <c r="M49">
        <f>IFERROR('[1]t-4-routes'!$B$3, "")</f>
        <v>0</v>
      </c>
      <c r="N49">
        <f>IFERROR('[1]t-4-routes'!$C$3, "")</f>
        <v>0</v>
      </c>
      <c r="O49">
        <f>IFERROR('[1]t-4-distances'!$B$3, "")</f>
        <v>0</v>
      </c>
      <c r="P49">
        <f>IFERROR('[1]t-4-sumDists'!$B14, "")</f>
        <v>0</v>
      </c>
      <c r="Q49">
        <f>IFERROR('[1]t-4-units'!$B$3, "")</f>
        <v>0</v>
      </c>
      <c r="R49">
        <f>IFERROR('[1]t-4-deliveries'!$B$3, "")</f>
        <v>0</v>
      </c>
      <c r="S49">
        <f>IFERROR('[1]t-4-sumUnits'!$B$3, "")</f>
        <v>0</v>
      </c>
      <c r="T49" s="15" t="str">
        <f t="shared" ref="T49:T57" si="42">IFERROR(Q49/O49, "")</f>
        <v/>
      </c>
      <c r="U49" s="15" t="str">
        <f t="shared" ref="U49:U57" si="43">IFERROR(S49/P49, "")</f>
        <v/>
      </c>
      <c r="V49" s="15">
        <f>IFERROR('[1]t-4-times'!$B$3, "")</f>
        <v>0</v>
      </c>
      <c r="W49" t="str">
        <f>IFERROR(_xlfn.XLOOKUP(N49, addresses!$A$1:$A$22, addresses!$B$1:$B$22), "")</f>
        <v/>
      </c>
      <c r="Y49">
        <f>IFERROR('[1]w-4-routes'!$B$3, "")</f>
        <v>0</v>
      </c>
      <c r="Z49">
        <f>IFERROR('[1]w-4-routes'!$C$3, "")</f>
        <v>0</v>
      </c>
      <c r="AA49">
        <f>IFERROR('[1]w-4-distances'!$B$3, "")</f>
        <v>0</v>
      </c>
      <c r="AB49">
        <f>IFERROR('[1]w-4-sumDists'!$B14, "")</f>
        <v>0</v>
      </c>
      <c r="AC49">
        <f>IFERROR('[1]w-4-units'!$B$3, "")</f>
        <v>0</v>
      </c>
      <c r="AD49">
        <f>IFERROR('[1]w-4-deliveries'!$B$3, "")</f>
        <v>0</v>
      </c>
      <c r="AE49">
        <f>IFERROR('[1]w-4-sumUnits'!$B$3, "")</f>
        <v>0</v>
      </c>
      <c r="AF49" s="15" t="str">
        <f t="shared" ref="AF49:AF57" si="44">IFERROR(AC49/AA49, "")</f>
        <v/>
      </c>
      <c r="AG49" s="15" t="str">
        <f t="shared" ref="AG49:AG57" si="45">IFERROR(AE49/AB49, "")</f>
        <v/>
      </c>
      <c r="AH49" s="15">
        <f>IFERROR('[1]w-4-times'!$B$3, "")</f>
        <v>0</v>
      </c>
      <c r="AI49" t="str">
        <f>IFERROR(_xlfn.XLOOKUP(Z49, addresses!$A$1:$A$22, addresses!$B$1:$B$22), "")</f>
        <v/>
      </c>
      <c r="AK49">
        <f>IFERROR('[1]th-4-routes'!$B$3, "")</f>
        <v>0</v>
      </c>
      <c r="AL49">
        <f>IFERROR('[1]th-4-routes'!$C$3, "")</f>
        <v>0</v>
      </c>
      <c r="AM49">
        <f>IFERROR('[1]th-4-distances'!$B$3, "")</f>
        <v>0</v>
      </c>
      <c r="AN49">
        <f>IFERROR('[1]th-4-sumDists'!$B14, "")</f>
        <v>0</v>
      </c>
      <c r="AO49">
        <f>IFERROR('[1]th-4-units'!$B$3, "")</f>
        <v>0</v>
      </c>
      <c r="AP49">
        <f>IFERROR('[1]th-4-deliveries'!$B$3, "")</f>
        <v>0</v>
      </c>
      <c r="AQ49">
        <f>IFERROR('[1]th-4-sumUnits'!$B$3, "")</f>
        <v>0</v>
      </c>
      <c r="AR49" s="15" t="str">
        <f t="shared" ref="AR49:AR57" si="46">IFERROR(AO49/AM49, "")</f>
        <v/>
      </c>
      <c r="AS49" s="15" t="str">
        <f t="shared" ref="AS49:AS57" si="47">IFERROR(AQ49/AN49, "")</f>
        <v/>
      </c>
      <c r="AT49" s="15">
        <f>IFERROR('[1]th-4-times'!$B$3, "")</f>
        <v>0</v>
      </c>
      <c r="AU49" t="str">
        <f>IFERROR(_xlfn.XLOOKUP(AL49, addresses!$A$1:$A$22, addresses!$B$1:$B$22), "")</f>
        <v/>
      </c>
      <c r="AW49">
        <f>IFERROR('[1]f-4-routes'!$B$3, "")</f>
        <v>0</v>
      </c>
      <c r="AX49">
        <f>IFERROR('[1]f-4-routes'!$C$3, "")</f>
        <v>0</v>
      </c>
      <c r="AY49">
        <f>IFERROR('[1]f-4-distances'!$B$3, "")</f>
        <v>0</v>
      </c>
      <c r="AZ49">
        <f>IFERROR('[1]f-4-sumDists'!$B14, "")</f>
        <v>0</v>
      </c>
      <c r="BA49">
        <f>IFERROR('[1]f-4-units'!$B$3, "")</f>
        <v>0</v>
      </c>
      <c r="BB49">
        <f>IFERROR('[1]f-4-deliveries'!$B$3, "")</f>
        <v>0</v>
      </c>
      <c r="BC49">
        <f>IFERROR('[1]f-4-sumUnits'!$B$3, "")</f>
        <v>0</v>
      </c>
      <c r="BD49" s="15" t="str">
        <f t="shared" ref="BD49:BD57" si="48">IFERROR(BA49/AY49, "")</f>
        <v/>
      </c>
      <c r="BE49" s="15" t="str">
        <f t="shared" ref="BE49:BE57" si="49">IFERROR(BC49/AZ49, "")</f>
        <v/>
      </c>
      <c r="BF49" s="15">
        <f>IFERROR('[1]f-4-times'!$B$3, "")</f>
        <v>0</v>
      </c>
      <c r="BG49" t="str">
        <f>IFERROR(_xlfn.XLOOKUP(AX49, addresses!$A$1:$A$22, addresses!$B$1:$B$22), "")</f>
        <v/>
      </c>
    </row>
    <row r="50" spans="1:59" x14ac:dyDescent="0.25">
      <c r="A50">
        <f>IFERROR('[1]m-4-routes'!$B$4, "")</f>
        <v>0</v>
      </c>
      <c r="B50">
        <f>IFERROR('[1]m-4-routes'!$C$4, "")</f>
        <v>0</v>
      </c>
      <c r="C50">
        <f>IFERROR('[1]m-4-distances'!$B$4, "")</f>
        <v>0</v>
      </c>
      <c r="D50">
        <f>IFERROR('[1]m-4-sumDists'!$B$4, "")</f>
        <v>0</v>
      </c>
      <c r="E50">
        <f>IFERROR('[1]m-4-units'!$B$4, "")</f>
        <v>0</v>
      </c>
      <c r="F50">
        <f>IFERROR('[1]m-4-deliveries'!$B$4, "")</f>
        <v>0</v>
      </c>
      <c r="G50">
        <f>IFERROR('[1]m-4-sumUnits'!$B$4, "")</f>
        <v>0</v>
      </c>
      <c r="H50" s="15" t="str">
        <f t="shared" si="40"/>
        <v/>
      </c>
      <c r="I50" s="15" t="str">
        <f t="shared" si="41"/>
        <v/>
      </c>
      <c r="J50" s="15">
        <f>IFERROR('[1]m-4-times'!$B$4, "")</f>
        <v>0</v>
      </c>
      <c r="K50" t="str">
        <f>IFERROR(_xlfn.XLOOKUP(B50, addresses!$A$1:$A$22, addresses!$B$1:$B$22), "")</f>
        <v/>
      </c>
      <c r="M50">
        <f>IFERROR('[1]t-4-routes'!$B$4, "")</f>
        <v>0</v>
      </c>
      <c r="N50">
        <f>IFERROR('[1]t-4-routes'!$C$4, "")</f>
        <v>0</v>
      </c>
      <c r="O50">
        <f>IFERROR('[1]t-4-distances'!$B$4, "")</f>
        <v>0</v>
      </c>
      <c r="P50">
        <f>IFERROR('[1]t-4-sumDists'!$B$4, "")</f>
        <v>0</v>
      </c>
      <c r="Q50">
        <f>IFERROR('[1]t-4-units'!$B$4, "")</f>
        <v>0</v>
      </c>
      <c r="R50">
        <f>IFERROR('[1]t-4-deliveries'!$B$4, "")</f>
        <v>0</v>
      </c>
      <c r="S50">
        <f>IFERROR('[1]t-4-sumUnits'!$B$4, "")</f>
        <v>0</v>
      </c>
      <c r="T50" s="15" t="str">
        <f t="shared" si="42"/>
        <v/>
      </c>
      <c r="U50" s="15" t="str">
        <f t="shared" si="43"/>
        <v/>
      </c>
      <c r="V50" s="15">
        <f>IFERROR('[1]t-4-times'!$B$4, "")</f>
        <v>0</v>
      </c>
      <c r="W50" t="str">
        <f>IFERROR(_xlfn.XLOOKUP(N50, addresses!$A$1:$A$22, addresses!$B$1:$B$22), "")</f>
        <v/>
      </c>
      <c r="Y50">
        <f>IFERROR('[1]w-4-routes'!$B$4, "")</f>
        <v>0</v>
      </c>
      <c r="Z50">
        <f>IFERROR('[1]w-4-routes'!$C$4, "")</f>
        <v>0</v>
      </c>
      <c r="AA50">
        <f>IFERROR('[1]w-4-distances'!$B$4, "")</f>
        <v>0</v>
      </c>
      <c r="AB50">
        <f>IFERROR('[1]w-4-sumDists'!$B$4, "")</f>
        <v>0</v>
      </c>
      <c r="AC50">
        <f>IFERROR('[1]w-4-units'!$B$4, "")</f>
        <v>0</v>
      </c>
      <c r="AD50">
        <f>IFERROR('[1]w-4-deliveries'!$B$4, "")</f>
        <v>0</v>
      </c>
      <c r="AE50">
        <f>IFERROR('[1]w-4-sumUnits'!$B$4, "")</f>
        <v>0</v>
      </c>
      <c r="AF50" s="15" t="str">
        <f t="shared" si="44"/>
        <v/>
      </c>
      <c r="AG50" s="15" t="str">
        <f t="shared" si="45"/>
        <v/>
      </c>
      <c r="AH50" s="15">
        <f>IFERROR('[1]w-4-times'!$B$4, "")</f>
        <v>0</v>
      </c>
      <c r="AI50" t="str">
        <f>IFERROR(_xlfn.XLOOKUP(Z50, addresses!$A$1:$A$22, addresses!$B$1:$B$22), "")</f>
        <v/>
      </c>
      <c r="AK50">
        <f>IFERROR('[1]th-4-routes'!$B$4, "")</f>
        <v>0</v>
      </c>
      <c r="AL50">
        <f>IFERROR('[1]th-4-routes'!$C$4, "")</f>
        <v>0</v>
      </c>
      <c r="AM50">
        <f>IFERROR('[1]th-4-distances'!$B$4, "")</f>
        <v>0</v>
      </c>
      <c r="AN50">
        <f>IFERROR('[1]th-4-sumDists'!$B$4, "")</f>
        <v>0</v>
      </c>
      <c r="AO50">
        <f>IFERROR('[1]th-4-units'!$B$4, "")</f>
        <v>0</v>
      </c>
      <c r="AP50">
        <f>IFERROR('[1]th-4-deliveries'!$B$4, "")</f>
        <v>0</v>
      </c>
      <c r="AQ50">
        <f>IFERROR('[1]th-4-sumUnits'!$B$4, "")</f>
        <v>0</v>
      </c>
      <c r="AR50" s="15" t="str">
        <f t="shared" si="46"/>
        <v/>
      </c>
      <c r="AS50" s="15" t="str">
        <f t="shared" si="47"/>
        <v/>
      </c>
      <c r="AT50" s="15">
        <f>IFERROR('[1]th-4-times'!$B$4, "")</f>
        <v>0</v>
      </c>
      <c r="AU50" t="str">
        <f>IFERROR(_xlfn.XLOOKUP(AL50, addresses!$A$1:$A$22, addresses!$B$1:$B$22), "")</f>
        <v/>
      </c>
      <c r="AW50">
        <f>IFERROR('[1]f-4-routes'!$B$4, "")</f>
        <v>0</v>
      </c>
      <c r="AX50">
        <f>IFERROR('[1]f-4-routes'!$C$4, "")</f>
        <v>0</v>
      </c>
      <c r="AY50">
        <f>IFERROR('[1]f-4-distances'!$B$4, "")</f>
        <v>0</v>
      </c>
      <c r="AZ50">
        <f>IFERROR('[1]f-4-sumDists'!$B$4, "")</f>
        <v>0</v>
      </c>
      <c r="BA50">
        <f>IFERROR('[1]f-4-units'!$B$4, "")</f>
        <v>0</v>
      </c>
      <c r="BB50">
        <f>IFERROR('[1]f-4-deliveries'!$B$4, "")</f>
        <v>0</v>
      </c>
      <c r="BC50">
        <f>IFERROR('[1]f-4-sumUnits'!$B$4, "")</f>
        <v>0</v>
      </c>
      <c r="BD50" s="15" t="str">
        <f t="shared" si="48"/>
        <v/>
      </c>
      <c r="BE50" s="15" t="str">
        <f t="shared" si="49"/>
        <v/>
      </c>
      <c r="BF50" s="15">
        <f>IFERROR('[1]f-4-times'!$B$4, "")</f>
        <v>0</v>
      </c>
      <c r="BG50" t="str">
        <f>IFERROR(_xlfn.XLOOKUP(AX50, addresses!$A$1:$A$22, addresses!$B$1:$B$22), "")</f>
        <v/>
      </c>
    </row>
    <row r="51" spans="1:59" x14ac:dyDescent="0.25">
      <c r="A51">
        <f>IFERROR('[1]m-4-routes'!$B$5, "")</f>
        <v>0</v>
      </c>
      <c r="B51">
        <f>IFERROR('[1]m-4-routes'!$C$5, "")</f>
        <v>0</v>
      </c>
      <c r="C51">
        <f>IFERROR('[1]m-4-distances'!$B$5, "")</f>
        <v>0</v>
      </c>
      <c r="D51">
        <f>IFERROR('[1]m-4-sumDists'!$B$5, "")</f>
        <v>0</v>
      </c>
      <c r="E51">
        <f>IFERROR('[1]m-4-units'!$B$5, "")</f>
        <v>0</v>
      </c>
      <c r="F51">
        <f>IFERROR('[1]m-4-deliveries'!$B$5, "")</f>
        <v>0</v>
      </c>
      <c r="G51">
        <f>IFERROR('[1]m-4-sumUnits'!$B$5, "")</f>
        <v>0</v>
      </c>
      <c r="H51" s="15" t="str">
        <f t="shared" si="40"/>
        <v/>
      </c>
      <c r="I51" s="15" t="str">
        <f t="shared" si="41"/>
        <v/>
      </c>
      <c r="J51" s="15">
        <f>IFERROR('[1]m-4-times'!$B$5, "")</f>
        <v>0</v>
      </c>
      <c r="K51" t="str">
        <f>IFERROR(_xlfn.XLOOKUP(B51, addresses!$A$1:$A$22, addresses!$B$1:$B$22), "")</f>
        <v/>
      </c>
      <c r="M51">
        <f>IFERROR('[1]t-4-routes'!$B$5, "")</f>
        <v>0</v>
      </c>
      <c r="N51">
        <f>IFERROR('[1]t-4-routes'!$C$5, "")</f>
        <v>0</v>
      </c>
      <c r="O51">
        <f>IFERROR('[1]t-4-distances'!$B$5, "")</f>
        <v>0</v>
      </c>
      <c r="P51">
        <f>IFERROR('[1]t-4-sumDists'!$B$5, "")</f>
        <v>0</v>
      </c>
      <c r="Q51">
        <f>IFERROR('[1]t-4-units'!$B$5, "")</f>
        <v>0</v>
      </c>
      <c r="R51">
        <f>IFERROR('[1]t-4-deliveries'!$B$5, "")</f>
        <v>0</v>
      </c>
      <c r="S51">
        <f>IFERROR('[1]t-4-sumUnits'!$B$5, "")</f>
        <v>0</v>
      </c>
      <c r="T51" s="15" t="str">
        <f t="shared" si="42"/>
        <v/>
      </c>
      <c r="U51" s="15" t="str">
        <f t="shared" si="43"/>
        <v/>
      </c>
      <c r="V51" s="15">
        <f>IFERROR('[1]t-4-times'!$B$5, "")</f>
        <v>0</v>
      </c>
      <c r="W51" t="str">
        <f>IFERROR(_xlfn.XLOOKUP(N51, addresses!$A$1:$A$22, addresses!$B$1:$B$22), "")</f>
        <v/>
      </c>
      <c r="Y51">
        <f>IFERROR('[1]w-4-routes'!$B$5, "")</f>
        <v>0</v>
      </c>
      <c r="Z51">
        <f>IFERROR('[1]w-4-routes'!$C$5, "")</f>
        <v>0</v>
      </c>
      <c r="AA51">
        <f>IFERROR('[1]w-4-distances'!$B$5, "")</f>
        <v>0</v>
      </c>
      <c r="AB51">
        <f>IFERROR('[1]w-4-sumDists'!$B$5, "")</f>
        <v>0</v>
      </c>
      <c r="AC51">
        <f>IFERROR('[1]w-4-units'!$B$5, "")</f>
        <v>0</v>
      </c>
      <c r="AD51">
        <f>IFERROR('[1]w-4-deliveries'!$B$5, "")</f>
        <v>0</v>
      </c>
      <c r="AE51">
        <f>IFERROR('[1]w-4-sumUnits'!$B$5, "")</f>
        <v>0</v>
      </c>
      <c r="AF51" s="15" t="str">
        <f t="shared" si="44"/>
        <v/>
      </c>
      <c r="AG51" s="15" t="str">
        <f t="shared" si="45"/>
        <v/>
      </c>
      <c r="AH51" s="15">
        <f>IFERROR('[1]w-4-times'!$B$5, "")</f>
        <v>0</v>
      </c>
      <c r="AI51" t="str">
        <f>IFERROR(_xlfn.XLOOKUP(Z51, addresses!$A$1:$A$22, addresses!$B$1:$B$22), "")</f>
        <v/>
      </c>
      <c r="AK51">
        <f>IFERROR('[1]th-4-routes'!$B$5, "")</f>
        <v>0</v>
      </c>
      <c r="AL51">
        <f>IFERROR('[1]th-4-routes'!$C$5, "")</f>
        <v>0</v>
      </c>
      <c r="AM51">
        <f>IFERROR('[1]th-4-distances'!$B$5, "")</f>
        <v>0</v>
      </c>
      <c r="AN51">
        <f>IFERROR('[1]th-4-sumDists'!$B$5, "")</f>
        <v>0</v>
      </c>
      <c r="AO51">
        <f>IFERROR('[1]th-4-units'!$B$5, "")</f>
        <v>0</v>
      </c>
      <c r="AP51">
        <f>IFERROR('[1]th-4-deliveries'!$B$5, "")</f>
        <v>0</v>
      </c>
      <c r="AQ51">
        <f>IFERROR('[1]th-4-sumUnits'!$B$5, "")</f>
        <v>0</v>
      </c>
      <c r="AR51" s="15" t="str">
        <f t="shared" si="46"/>
        <v/>
      </c>
      <c r="AS51" s="15" t="str">
        <f t="shared" si="47"/>
        <v/>
      </c>
      <c r="AT51" s="15">
        <f>IFERROR('[1]th-4-times'!$B$5, "")</f>
        <v>0</v>
      </c>
      <c r="AU51" t="str">
        <f>IFERROR(_xlfn.XLOOKUP(AL51, addresses!$A$1:$A$22, addresses!$B$1:$B$22), "")</f>
        <v/>
      </c>
      <c r="AW51">
        <f>IFERROR('[1]f-4-routes'!$B$5, "")</f>
        <v>0</v>
      </c>
      <c r="AX51">
        <f>IFERROR('[1]f-4-routes'!$C$5, "")</f>
        <v>0</v>
      </c>
      <c r="AY51">
        <f>IFERROR('[1]f-4-distances'!$B$5, "")</f>
        <v>0</v>
      </c>
      <c r="AZ51">
        <f>IFERROR('[1]f-4-sumDists'!$B$5, "")</f>
        <v>0</v>
      </c>
      <c r="BA51">
        <f>IFERROR('[1]f-4-units'!$B$5, "")</f>
        <v>0</v>
      </c>
      <c r="BB51">
        <f>IFERROR('[1]f-4-deliveries'!$B$5, "")</f>
        <v>0</v>
      </c>
      <c r="BC51">
        <f>IFERROR('[1]f-4-sumUnits'!$B$5, "")</f>
        <v>0</v>
      </c>
      <c r="BD51" s="15" t="str">
        <f t="shared" si="48"/>
        <v/>
      </c>
      <c r="BE51" s="15" t="str">
        <f t="shared" si="49"/>
        <v/>
      </c>
      <c r="BF51" s="15">
        <f>IFERROR('[1]f-4-times'!$B$5, "")</f>
        <v>0</v>
      </c>
      <c r="BG51" t="str">
        <f>IFERROR(_xlfn.XLOOKUP(AX51, addresses!$A$1:$A$22, addresses!$B$1:$B$22), "")</f>
        <v/>
      </c>
    </row>
    <row r="52" spans="1:59" x14ac:dyDescent="0.25">
      <c r="A52">
        <f>IFERROR('[1]m-4-routes'!$B$6, "")</f>
        <v>0</v>
      </c>
      <c r="B52">
        <f>IFERROR('[1]m-4-routes'!$C$6, "")</f>
        <v>0</v>
      </c>
      <c r="C52">
        <f>IFERROR('[1]m-4-distances'!$B$6, "")</f>
        <v>0</v>
      </c>
      <c r="D52">
        <f>IFERROR('[1]m-4-sumDists'!$B$6, "")</f>
        <v>0</v>
      </c>
      <c r="E52">
        <f>IFERROR('[1]m-4-units'!$B$6, "")</f>
        <v>0</v>
      </c>
      <c r="F52">
        <f>IFERROR('[1]m-4-deliveries'!$B$6, "")</f>
        <v>0</v>
      </c>
      <c r="G52">
        <f>IFERROR('[1]m-4-sumUnits'!$B$6, "")</f>
        <v>0</v>
      </c>
      <c r="H52" s="15" t="str">
        <f t="shared" si="40"/>
        <v/>
      </c>
      <c r="I52" s="15" t="str">
        <f t="shared" si="41"/>
        <v/>
      </c>
      <c r="J52" s="15">
        <f>IFERROR('[1]m-4-times'!$B$6, "")</f>
        <v>0</v>
      </c>
      <c r="K52" t="str">
        <f>IFERROR(_xlfn.XLOOKUP(B52, addresses!$A$1:$A$22, addresses!$B$1:$B$22), "")</f>
        <v/>
      </c>
      <c r="M52">
        <f>IFERROR('[1]t-4-routes'!$B$6, "")</f>
        <v>0</v>
      </c>
      <c r="N52">
        <f>IFERROR('[1]t-4-routes'!$C$6, "")</f>
        <v>0</v>
      </c>
      <c r="O52">
        <f>IFERROR('[1]t-4-distances'!$B$6, "")</f>
        <v>0</v>
      </c>
      <c r="P52">
        <f>IFERROR('[1]t-4-sumDists'!$B$6, "")</f>
        <v>0</v>
      </c>
      <c r="Q52">
        <f>IFERROR('[1]t-4-units'!$B$6, "")</f>
        <v>0</v>
      </c>
      <c r="R52">
        <f>IFERROR('[1]t-4-deliveries'!$B$6, "")</f>
        <v>0</v>
      </c>
      <c r="S52">
        <f>IFERROR('[1]t-4-sumUnits'!$B$6, "")</f>
        <v>0</v>
      </c>
      <c r="T52" s="15" t="str">
        <f t="shared" si="42"/>
        <v/>
      </c>
      <c r="U52" s="15" t="str">
        <f t="shared" si="43"/>
        <v/>
      </c>
      <c r="V52" s="15">
        <f>IFERROR('[1]t-4-times'!$B$6, "")</f>
        <v>0</v>
      </c>
      <c r="W52" t="str">
        <f>IFERROR(_xlfn.XLOOKUP(N52, addresses!$A$1:$A$22, addresses!$B$1:$B$22), "")</f>
        <v/>
      </c>
      <c r="Y52">
        <f>IFERROR('[1]w-4-routes'!$B$6, "")</f>
        <v>0</v>
      </c>
      <c r="Z52">
        <f>IFERROR('[1]w-4-routes'!$C$6, "")</f>
        <v>0</v>
      </c>
      <c r="AA52">
        <f>IFERROR('[1]w-4-distances'!$B$6, "")</f>
        <v>0</v>
      </c>
      <c r="AB52">
        <f>IFERROR('[1]w-4-sumDists'!$B$6, "")</f>
        <v>0</v>
      </c>
      <c r="AC52">
        <f>IFERROR('[1]w-4-units'!$B$6, "")</f>
        <v>0</v>
      </c>
      <c r="AD52">
        <f>IFERROR('[1]w-4-deliveries'!$B$6, "")</f>
        <v>0</v>
      </c>
      <c r="AE52">
        <f>IFERROR('[1]w-4-sumUnits'!$B$6, "")</f>
        <v>0</v>
      </c>
      <c r="AF52" s="15" t="str">
        <f t="shared" si="44"/>
        <v/>
      </c>
      <c r="AG52" s="15" t="str">
        <f t="shared" si="45"/>
        <v/>
      </c>
      <c r="AH52" s="15">
        <f>IFERROR('[1]w-4-times'!$B$6, "")</f>
        <v>0</v>
      </c>
      <c r="AI52" t="str">
        <f>IFERROR(_xlfn.XLOOKUP(Z52, addresses!$A$1:$A$22, addresses!$B$1:$B$22), "")</f>
        <v/>
      </c>
      <c r="AK52">
        <f>IFERROR('[1]th-4-routes'!$B$6, "")</f>
        <v>0</v>
      </c>
      <c r="AL52">
        <f>IFERROR('[1]th-4-routes'!$C$6, "")</f>
        <v>0</v>
      </c>
      <c r="AM52">
        <f>IFERROR('[1]th-4-distances'!$B$6, "")</f>
        <v>0</v>
      </c>
      <c r="AN52">
        <f>IFERROR('[1]th-4-sumDists'!$B$6, "")</f>
        <v>0</v>
      </c>
      <c r="AO52">
        <f>IFERROR('[1]th-4-units'!$B$6, "")</f>
        <v>0</v>
      </c>
      <c r="AP52">
        <f>IFERROR('[1]th-4-deliveries'!$B$6, "")</f>
        <v>0</v>
      </c>
      <c r="AQ52">
        <f>IFERROR('[1]th-4-sumUnits'!$B$6, "")</f>
        <v>0</v>
      </c>
      <c r="AR52" s="15" t="str">
        <f t="shared" si="46"/>
        <v/>
      </c>
      <c r="AS52" s="15" t="str">
        <f t="shared" si="47"/>
        <v/>
      </c>
      <c r="AT52" s="15">
        <f>IFERROR('[1]th-4-times'!$B$6, "")</f>
        <v>0</v>
      </c>
      <c r="AU52" t="str">
        <f>IFERROR(_xlfn.XLOOKUP(AL52, addresses!$A$1:$A$22, addresses!$B$1:$B$22), "")</f>
        <v/>
      </c>
      <c r="AW52">
        <f>IFERROR('[1]f-4-routes'!$B$6, "")</f>
        <v>0</v>
      </c>
      <c r="AX52">
        <f>IFERROR('[1]f-4-routes'!$C$6, "")</f>
        <v>0</v>
      </c>
      <c r="AY52">
        <f>IFERROR('[1]f-4-distances'!$B$6, "")</f>
        <v>0</v>
      </c>
      <c r="AZ52">
        <f>IFERROR('[1]f-4-sumDists'!$B$6, "")</f>
        <v>0</v>
      </c>
      <c r="BA52">
        <f>IFERROR('[1]f-4-units'!$B$6, "")</f>
        <v>0</v>
      </c>
      <c r="BB52">
        <f>IFERROR('[1]f-4-deliveries'!$B$6, "")</f>
        <v>0</v>
      </c>
      <c r="BC52">
        <f>IFERROR('[1]f-4-sumUnits'!$B$6, "")</f>
        <v>0</v>
      </c>
      <c r="BD52" s="15" t="str">
        <f t="shared" si="48"/>
        <v/>
      </c>
      <c r="BE52" s="15" t="str">
        <f t="shared" si="49"/>
        <v/>
      </c>
      <c r="BF52" s="15">
        <f>IFERROR('[1]f-4-times'!$B$6, "")</f>
        <v>0</v>
      </c>
      <c r="BG52" t="str">
        <f>IFERROR(_xlfn.XLOOKUP(AX52, addresses!$A$1:$A$22, addresses!$B$1:$B$22), "")</f>
        <v/>
      </c>
    </row>
    <row r="53" spans="1:59" x14ac:dyDescent="0.25">
      <c r="A53">
        <f>IFERROR('[1]m-4-routes'!$B$7, "")</f>
        <v>0</v>
      </c>
      <c r="B53">
        <f>IFERROR('[1]m-4-routes'!$C$7, "")</f>
        <v>0</v>
      </c>
      <c r="C53">
        <f>IFERROR('[1]m-4-distances'!$B$7, "")</f>
        <v>0</v>
      </c>
      <c r="D53">
        <f>IFERROR('[1]m-4-sumDists'!$B$7, "")</f>
        <v>0</v>
      </c>
      <c r="E53">
        <f>IFERROR('[1]m-4-units'!$B$7, "")</f>
        <v>0</v>
      </c>
      <c r="F53">
        <f>IFERROR('[1]m-4-deliveries'!$B$7, "")</f>
        <v>0</v>
      </c>
      <c r="G53">
        <f>IFERROR('[1]m-4-sumUnits'!$B$7, "")</f>
        <v>0</v>
      </c>
      <c r="H53" s="15" t="str">
        <f t="shared" si="40"/>
        <v/>
      </c>
      <c r="I53" s="15" t="str">
        <f t="shared" si="41"/>
        <v/>
      </c>
      <c r="J53" s="15">
        <f>IFERROR('[1]m-4-times'!$B$7, "")</f>
        <v>0</v>
      </c>
      <c r="K53" t="str">
        <f>IFERROR(_xlfn.XLOOKUP(B53, addresses!$A$1:$A$22, addresses!$B$1:$B$22), "")</f>
        <v/>
      </c>
      <c r="M53">
        <f>IFERROR('[1]t-4-routes'!$B$7, "")</f>
        <v>0</v>
      </c>
      <c r="N53">
        <f>IFERROR('[1]t-4-routes'!$C$7, "")</f>
        <v>0</v>
      </c>
      <c r="O53">
        <f>IFERROR('[1]t-4-distances'!$B$7, "")</f>
        <v>0</v>
      </c>
      <c r="P53">
        <f>IFERROR('[1]t-4-sumDists'!$B$7, "")</f>
        <v>0</v>
      </c>
      <c r="Q53">
        <f>IFERROR('[1]t-4-units'!$B$7, "")</f>
        <v>0</v>
      </c>
      <c r="R53">
        <f>IFERROR('[1]t-4-deliveries'!$B$7, "")</f>
        <v>0</v>
      </c>
      <c r="S53">
        <f>IFERROR('[1]t-4-sumUnits'!$B$7, "")</f>
        <v>0</v>
      </c>
      <c r="T53" s="15" t="str">
        <f t="shared" si="42"/>
        <v/>
      </c>
      <c r="U53" s="15" t="str">
        <f t="shared" si="43"/>
        <v/>
      </c>
      <c r="V53" s="15">
        <f>IFERROR('[1]t-4-times'!$B$7, "")</f>
        <v>0</v>
      </c>
      <c r="W53" t="str">
        <f>IFERROR(_xlfn.XLOOKUP(N53, addresses!$A$1:$A$22, addresses!$B$1:$B$22), "")</f>
        <v/>
      </c>
      <c r="Y53">
        <f>IFERROR('[1]w-4-routes'!$B$7, "")</f>
        <v>0</v>
      </c>
      <c r="Z53">
        <f>IFERROR('[1]w-4-routes'!$C$7, "")</f>
        <v>0</v>
      </c>
      <c r="AA53">
        <f>IFERROR('[1]w-4-distances'!$B$7, "")</f>
        <v>0</v>
      </c>
      <c r="AB53">
        <f>IFERROR('[1]w-4-sumDists'!$B$7, "")</f>
        <v>0</v>
      </c>
      <c r="AC53">
        <f>IFERROR('[1]w-4-units'!$B$7, "")</f>
        <v>0</v>
      </c>
      <c r="AD53">
        <f>IFERROR('[1]w-4-deliveries'!$B$7, "")</f>
        <v>0</v>
      </c>
      <c r="AE53">
        <f>IFERROR('[1]w-4-sumUnits'!$B$7, "")</f>
        <v>0</v>
      </c>
      <c r="AF53" s="15" t="str">
        <f t="shared" si="44"/>
        <v/>
      </c>
      <c r="AG53" s="15" t="str">
        <f t="shared" si="45"/>
        <v/>
      </c>
      <c r="AH53" s="15">
        <f>IFERROR('[1]w-4-times'!$B$7, "")</f>
        <v>0</v>
      </c>
      <c r="AI53" t="str">
        <f>IFERROR(_xlfn.XLOOKUP(Z53, addresses!$A$1:$A$22, addresses!$B$1:$B$22), "")</f>
        <v/>
      </c>
      <c r="AK53">
        <f>IFERROR('[1]th-4-routes'!$B$7, "")</f>
        <v>0</v>
      </c>
      <c r="AL53">
        <f>IFERROR('[1]th-4-routes'!$C$7, "")</f>
        <v>0</v>
      </c>
      <c r="AM53">
        <f>IFERROR('[1]th-4-distances'!$B$7, "")</f>
        <v>0</v>
      </c>
      <c r="AN53">
        <f>IFERROR('[1]th-4-sumDists'!$B$7, "")</f>
        <v>0</v>
      </c>
      <c r="AO53">
        <f>IFERROR('[1]th-4-units'!$B$7, "")</f>
        <v>0</v>
      </c>
      <c r="AP53">
        <f>IFERROR('[1]th-4-deliveries'!$B$7, "")</f>
        <v>0</v>
      </c>
      <c r="AQ53">
        <f>IFERROR('[1]th-4-sumUnits'!$B$7, "")</f>
        <v>0</v>
      </c>
      <c r="AR53" s="15" t="str">
        <f t="shared" si="46"/>
        <v/>
      </c>
      <c r="AS53" s="15" t="str">
        <f t="shared" si="47"/>
        <v/>
      </c>
      <c r="AT53" s="15">
        <f>IFERROR('[1]th-4-times'!$B$7, "")</f>
        <v>0</v>
      </c>
      <c r="AU53" t="str">
        <f>IFERROR(_xlfn.XLOOKUP(AL53, addresses!$A$1:$A$22, addresses!$B$1:$B$22), "")</f>
        <v/>
      </c>
      <c r="AW53">
        <f>IFERROR('[1]f-4-routes'!$B$7, "")</f>
        <v>0</v>
      </c>
      <c r="AX53">
        <f>IFERROR('[1]f-4-routes'!$C$7, "")</f>
        <v>0</v>
      </c>
      <c r="AY53">
        <f>IFERROR('[1]f-4-distances'!$B$7, "")</f>
        <v>0</v>
      </c>
      <c r="AZ53">
        <f>IFERROR('[1]f-4-sumDists'!$B$7, "")</f>
        <v>0</v>
      </c>
      <c r="BA53">
        <f>IFERROR('[1]f-4-units'!$B$7, "")</f>
        <v>0</v>
      </c>
      <c r="BB53">
        <f>IFERROR('[1]f-4-deliveries'!$B$7, "")</f>
        <v>0</v>
      </c>
      <c r="BC53">
        <f>IFERROR('[1]f-4-sumUnits'!$B$7, "")</f>
        <v>0</v>
      </c>
      <c r="BD53" s="15" t="str">
        <f t="shared" si="48"/>
        <v/>
      </c>
      <c r="BE53" s="15" t="str">
        <f t="shared" si="49"/>
        <v/>
      </c>
      <c r="BF53" s="15">
        <f>IFERROR('[1]f-4-times'!$B$7, "")</f>
        <v>0</v>
      </c>
      <c r="BG53" t="str">
        <f>IFERROR(_xlfn.XLOOKUP(AX53, addresses!$A$1:$A$22, addresses!$B$1:$B$22), "")</f>
        <v/>
      </c>
    </row>
    <row r="54" spans="1:59" x14ac:dyDescent="0.25">
      <c r="A54">
        <f>IFERROR('[1]m-4-routes'!$B$8, "")</f>
        <v>0</v>
      </c>
      <c r="B54">
        <f>IFERROR('[1]m-4-routes'!$C$8, "")</f>
        <v>0</v>
      </c>
      <c r="C54">
        <f>IFERROR('[1]m-4-distances'!$B$8, "")</f>
        <v>0</v>
      </c>
      <c r="D54">
        <f>IFERROR('[1]m-4-sumDists'!$B$8, "")</f>
        <v>0</v>
      </c>
      <c r="E54">
        <f>IFERROR('[1]m-4-units'!$B$8, "")</f>
        <v>0</v>
      </c>
      <c r="F54">
        <f>IFERROR('[1]m-4-deliveries'!$B$8, "")</f>
        <v>0</v>
      </c>
      <c r="G54">
        <f>IFERROR('[1]m-4-sumUnits'!$B$8, "")</f>
        <v>0</v>
      </c>
      <c r="H54" s="15" t="str">
        <f t="shared" si="40"/>
        <v/>
      </c>
      <c r="I54" s="15" t="str">
        <f t="shared" si="41"/>
        <v/>
      </c>
      <c r="J54" s="15">
        <f>IFERROR('[1]m-4-times'!$B$8, "")</f>
        <v>0</v>
      </c>
      <c r="K54" t="str">
        <f>IFERROR(_xlfn.XLOOKUP(B54, addresses!$A$1:$A$22, addresses!$B$1:$B$22), "")</f>
        <v/>
      </c>
      <c r="M54">
        <f>IFERROR('[1]t-4-routes'!$B$8, "")</f>
        <v>0</v>
      </c>
      <c r="N54">
        <f>IFERROR('[1]t-4-routes'!$C$8, "")</f>
        <v>0</v>
      </c>
      <c r="O54">
        <f>IFERROR('[1]t-4-distances'!$B$8, "")</f>
        <v>0</v>
      </c>
      <c r="P54">
        <f>IFERROR('[1]t-4-sumDists'!$B$8, "")</f>
        <v>0</v>
      </c>
      <c r="Q54">
        <f>IFERROR('[1]t-4-units'!$B$8, "")</f>
        <v>0</v>
      </c>
      <c r="R54">
        <f>IFERROR('[1]t-4-deliveries'!$B$8, "")</f>
        <v>0</v>
      </c>
      <c r="S54">
        <f>IFERROR('[1]t-4-sumUnits'!$B$8, "")</f>
        <v>0</v>
      </c>
      <c r="T54" s="15" t="str">
        <f t="shared" si="42"/>
        <v/>
      </c>
      <c r="U54" s="15" t="str">
        <f t="shared" si="43"/>
        <v/>
      </c>
      <c r="V54" s="15">
        <f>IFERROR('[1]t-4-times'!$B$8, "")</f>
        <v>0</v>
      </c>
      <c r="W54" t="str">
        <f>IFERROR(_xlfn.XLOOKUP(N54, addresses!$A$1:$A$22, addresses!$B$1:$B$22), "")</f>
        <v/>
      </c>
      <c r="Y54">
        <f>IFERROR('[1]w-4-routes'!$B$8, "")</f>
        <v>0</v>
      </c>
      <c r="Z54">
        <f>IFERROR('[1]w-4-routes'!$C$8, "")</f>
        <v>0</v>
      </c>
      <c r="AA54">
        <f>IFERROR('[1]w-4-distances'!$B$8, "")</f>
        <v>0</v>
      </c>
      <c r="AB54">
        <f>IFERROR('[1]w-4-sumDists'!$B$8, "")</f>
        <v>0</v>
      </c>
      <c r="AC54">
        <f>IFERROR('[1]w-4-units'!$B$8, "")</f>
        <v>0</v>
      </c>
      <c r="AD54">
        <f>IFERROR('[1]w-4-deliveries'!$B$8, "")</f>
        <v>0</v>
      </c>
      <c r="AE54">
        <f>IFERROR('[1]w-4-sumUnits'!$B$8, "")</f>
        <v>0</v>
      </c>
      <c r="AF54" s="15" t="str">
        <f t="shared" si="44"/>
        <v/>
      </c>
      <c r="AG54" s="15" t="str">
        <f t="shared" si="45"/>
        <v/>
      </c>
      <c r="AH54" s="15">
        <f>IFERROR('[1]w-4-times'!$B$8, "")</f>
        <v>0</v>
      </c>
      <c r="AI54" t="str">
        <f>IFERROR(_xlfn.XLOOKUP(Z54, addresses!$A$1:$A$22, addresses!$B$1:$B$22), "")</f>
        <v/>
      </c>
      <c r="AK54">
        <f>IFERROR('[1]th-4-routes'!$B$8, "")</f>
        <v>0</v>
      </c>
      <c r="AL54">
        <f>IFERROR('[1]th-4-routes'!$C$8, "")</f>
        <v>0</v>
      </c>
      <c r="AM54">
        <f>IFERROR('[1]th-4-distances'!$B$8, "")</f>
        <v>0</v>
      </c>
      <c r="AN54">
        <f>IFERROR('[1]th-4-sumDists'!$B$8, "")</f>
        <v>0</v>
      </c>
      <c r="AO54">
        <f>IFERROR('[1]th-4-units'!$B$8, "")</f>
        <v>0</v>
      </c>
      <c r="AP54">
        <f>IFERROR('[1]th-4-deliveries'!$B$8, "")</f>
        <v>0</v>
      </c>
      <c r="AQ54">
        <f>IFERROR('[1]th-4-sumUnits'!$B$8, "")</f>
        <v>0</v>
      </c>
      <c r="AR54" s="15" t="str">
        <f t="shared" si="46"/>
        <v/>
      </c>
      <c r="AS54" s="15" t="str">
        <f t="shared" si="47"/>
        <v/>
      </c>
      <c r="AT54" s="15">
        <f>IFERROR('[1]th-4-times'!$B$8, "")</f>
        <v>0</v>
      </c>
      <c r="AU54" t="str">
        <f>IFERROR(_xlfn.XLOOKUP(AL54, addresses!$A$1:$A$22, addresses!$B$1:$B$22), "")</f>
        <v/>
      </c>
      <c r="AW54">
        <f>IFERROR('[1]f-4-routes'!$B$8, "")</f>
        <v>0</v>
      </c>
      <c r="AX54">
        <f>IFERROR('[1]f-4-routes'!$C$8, "")</f>
        <v>0</v>
      </c>
      <c r="AY54">
        <f>IFERROR('[1]f-4-distances'!$B$8, "")</f>
        <v>0</v>
      </c>
      <c r="AZ54">
        <f>IFERROR('[1]f-4-sumDists'!$B$8, "")</f>
        <v>0</v>
      </c>
      <c r="BA54">
        <f>IFERROR('[1]f-4-units'!$B$8, "")</f>
        <v>0</v>
      </c>
      <c r="BB54">
        <f>IFERROR('[1]f-4-deliveries'!$B$8, "")</f>
        <v>0</v>
      </c>
      <c r="BC54">
        <f>IFERROR('[1]f-4-sumUnits'!$B$8, "")</f>
        <v>0</v>
      </c>
      <c r="BD54" s="15" t="str">
        <f t="shared" si="48"/>
        <v/>
      </c>
      <c r="BE54" s="15" t="str">
        <f t="shared" si="49"/>
        <v/>
      </c>
      <c r="BF54" s="15">
        <f>IFERROR('[1]f-4-times'!$B$8, "")</f>
        <v>0</v>
      </c>
      <c r="BG54" t="str">
        <f>IFERROR(_xlfn.XLOOKUP(AX54, addresses!$A$1:$A$22, addresses!$B$1:$B$22), "")</f>
        <v/>
      </c>
    </row>
    <row r="55" spans="1:59" x14ac:dyDescent="0.25">
      <c r="A55">
        <f>IFERROR('[1]m-4-routes'!$B$9, "")</f>
        <v>0</v>
      </c>
      <c r="B55">
        <f>IFERROR('[1]m-4-routes'!$C$9, "")</f>
        <v>0</v>
      </c>
      <c r="C55">
        <f>IFERROR('[1]m-4-distances'!$B$9, "")</f>
        <v>0</v>
      </c>
      <c r="D55">
        <f>IFERROR('[1]m-4-sumDists'!$B$9, "")</f>
        <v>0</v>
      </c>
      <c r="E55">
        <f>IFERROR('[1]m-4-units'!$B$9, "")</f>
        <v>0</v>
      </c>
      <c r="F55">
        <f>IFERROR('[1]m-4-deliveries'!$B$9, "")</f>
        <v>0</v>
      </c>
      <c r="G55">
        <f>IFERROR('[1]m-4-sumUnits'!$B$9, "")</f>
        <v>0</v>
      </c>
      <c r="H55" s="15" t="str">
        <f t="shared" si="40"/>
        <v/>
      </c>
      <c r="I55" s="15" t="str">
        <f t="shared" si="41"/>
        <v/>
      </c>
      <c r="J55" s="15">
        <f>IFERROR('[1]m-4-times'!$B$9, "")</f>
        <v>0</v>
      </c>
      <c r="K55" t="str">
        <f>IFERROR(_xlfn.XLOOKUP(B55, addresses!$A$1:$A$22, addresses!$B$1:$B$22), "")</f>
        <v/>
      </c>
      <c r="M55">
        <f>IFERROR('[1]t-4-routes'!$B$9, "")</f>
        <v>0</v>
      </c>
      <c r="N55">
        <f>IFERROR('[1]t-4-routes'!$C$9, "")</f>
        <v>0</v>
      </c>
      <c r="O55">
        <f>IFERROR('[1]t-4-distances'!$B$9, "")</f>
        <v>0</v>
      </c>
      <c r="P55">
        <f>IFERROR('[1]t-4-sumDists'!$B$9, "")</f>
        <v>0</v>
      </c>
      <c r="Q55">
        <f>IFERROR('[1]t-4-units'!$B$9, "")</f>
        <v>0</v>
      </c>
      <c r="R55">
        <f>IFERROR('[1]t-4-deliveries'!$B$9, "")</f>
        <v>0</v>
      </c>
      <c r="S55">
        <f>IFERROR('[1]t-4-sumUnits'!$B$9, "")</f>
        <v>0</v>
      </c>
      <c r="T55" s="15" t="str">
        <f t="shared" si="42"/>
        <v/>
      </c>
      <c r="U55" s="15" t="str">
        <f t="shared" si="43"/>
        <v/>
      </c>
      <c r="V55" s="15">
        <f>IFERROR('[1]t-4-times'!$B$9, "")</f>
        <v>0</v>
      </c>
      <c r="W55" t="str">
        <f>IFERROR(_xlfn.XLOOKUP(N55, addresses!$A$1:$A$22, addresses!$B$1:$B$22), "")</f>
        <v/>
      </c>
      <c r="Y55">
        <f>IFERROR('[1]w-4-routes'!$B$9, "")</f>
        <v>0</v>
      </c>
      <c r="Z55">
        <f>IFERROR('[1]w-4-routes'!$C$9, "")</f>
        <v>0</v>
      </c>
      <c r="AA55">
        <f>IFERROR('[1]w-4-distances'!$B$9, "")</f>
        <v>0</v>
      </c>
      <c r="AB55">
        <f>IFERROR('[1]w-4-sumDists'!$B$9, "")</f>
        <v>0</v>
      </c>
      <c r="AC55">
        <f>IFERROR('[1]w-4-units'!$B$9, "")</f>
        <v>0</v>
      </c>
      <c r="AD55">
        <f>IFERROR('[1]w-4-deliveries'!$B$9, "")</f>
        <v>0</v>
      </c>
      <c r="AE55">
        <f>IFERROR('[1]w-4-sumUnits'!$B$9, "")</f>
        <v>0</v>
      </c>
      <c r="AF55" s="15" t="str">
        <f t="shared" si="44"/>
        <v/>
      </c>
      <c r="AG55" s="15" t="str">
        <f t="shared" si="45"/>
        <v/>
      </c>
      <c r="AH55" s="15">
        <f>IFERROR('[1]w-4-times'!$B$9, "")</f>
        <v>0</v>
      </c>
      <c r="AI55" t="str">
        <f>IFERROR(_xlfn.XLOOKUP(Z55, addresses!$A$1:$A$22, addresses!$B$1:$B$22), "")</f>
        <v/>
      </c>
      <c r="AK55">
        <f>IFERROR('[1]th-4-routes'!$B$9, "")</f>
        <v>0</v>
      </c>
      <c r="AL55">
        <f>IFERROR('[1]th-4-routes'!$C$9, "")</f>
        <v>0</v>
      </c>
      <c r="AM55">
        <f>IFERROR('[1]th-4-distances'!$B$9, "")</f>
        <v>0</v>
      </c>
      <c r="AN55">
        <f>IFERROR('[1]th-4-sumDists'!$B$9, "")</f>
        <v>0</v>
      </c>
      <c r="AO55">
        <f>IFERROR('[1]th-4-units'!$B$9, "")</f>
        <v>0</v>
      </c>
      <c r="AP55">
        <f>IFERROR('[1]th-4-deliveries'!$B$9, "")</f>
        <v>0</v>
      </c>
      <c r="AQ55">
        <f>IFERROR('[1]th-4-sumUnits'!$B$9, "")</f>
        <v>0</v>
      </c>
      <c r="AR55" s="15" t="str">
        <f t="shared" si="46"/>
        <v/>
      </c>
      <c r="AS55" s="15" t="str">
        <f t="shared" si="47"/>
        <v/>
      </c>
      <c r="AT55" s="15">
        <f>IFERROR('[1]th-4-times'!$B$9, "")</f>
        <v>0</v>
      </c>
      <c r="AU55" t="str">
        <f>IFERROR(_xlfn.XLOOKUP(AL55, addresses!$A$1:$A$22, addresses!$B$1:$B$22), "")</f>
        <v/>
      </c>
      <c r="AW55">
        <f>IFERROR('[1]f-4-routes'!$B$9, "")</f>
        <v>0</v>
      </c>
      <c r="AX55">
        <f>IFERROR('[1]f-4-routes'!$C$9, "")</f>
        <v>0</v>
      </c>
      <c r="AY55">
        <f>IFERROR('[1]f-4-distances'!$B$9, "")</f>
        <v>0</v>
      </c>
      <c r="AZ55">
        <f>IFERROR('[1]f-4-sumDists'!$B$9, "")</f>
        <v>0</v>
      </c>
      <c r="BA55">
        <f>IFERROR('[1]f-4-units'!$B$9, "")</f>
        <v>0</v>
      </c>
      <c r="BB55">
        <f>IFERROR('[1]f-4-deliveries'!$B$9, "")</f>
        <v>0</v>
      </c>
      <c r="BC55">
        <f>IFERROR('[1]f-4-sumUnits'!$B$9, "")</f>
        <v>0</v>
      </c>
      <c r="BD55" s="15" t="str">
        <f t="shared" si="48"/>
        <v/>
      </c>
      <c r="BE55" s="15" t="str">
        <f t="shared" si="49"/>
        <v/>
      </c>
      <c r="BF55" s="15">
        <f>IFERROR('[1]f-4-times'!$B$9, "")</f>
        <v>0</v>
      </c>
      <c r="BG55" t="str">
        <f>IFERROR(_xlfn.XLOOKUP(AX55, addresses!$A$1:$A$22, addresses!$B$1:$B$22), "")</f>
        <v/>
      </c>
    </row>
    <row r="56" spans="1:59" x14ac:dyDescent="0.25">
      <c r="A56">
        <f>IFERROR('[1]m-4-routes'!$B$10, "")</f>
        <v>0</v>
      </c>
      <c r="B56">
        <f>IFERROR('[1]m-4-routes'!$C$10, "")</f>
        <v>0</v>
      </c>
      <c r="C56">
        <f>IFERROR('[1]m-4-distances'!$B$10, "")</f>
        <v>0</v>
      </c>
      <c r="D56">
        <f>IFERROR('[1]m-4-sumDists'!$B$10, "")</f>
        <v>0</v>
      </c>
      <c r="E56">
        <f>IFERROR('[1]m-4-units'!$B$10, "")</f>
        <v>0</v>
      </c>
      <c r="F56">
        <f>IFERROR('[1]m-4-deliveries'!$B$10, "")</f>
        <v>0</v>
      </c>
      <c r="G56">
        <f>IFERROR('[1]m-4-sumUnits'!$B$10, "")</f>
        <v>0</v>
      </c>
      <c r="H56" s="15" t="str">
        <f t="shared" si="40"/>
        <v/>
      </c>
      <c r="I56" s="15" t="str">
        <f t="shared" si="41"/>
        <v/>
      </c>
      <c r="J56" s="15">
        <f>IFERROR('[1]m-4-times'!$B$10, "")</f>
        <v>0</v>
      </c>
      <c r="K56" t="str">
        <f>IFERROR(_xlfn.XLOOKUP(B56, addresses!$A$1:$A$22, addresses!$B$1:$B$22), "")</f>
        <v/>
      </c>
      <c r="M56">
        <f>IFERROR('[1]t-4-routes'!$B$10, "")</f>
        <v>0</v>
      </c>
      <c r="N56">
        <f>IFERROR('[1]t-4-routes'!$C$10, "")</f>
        <v>0</v>
      </c>
      <c r="O56">
        <f>IFERROR('[1]t-4-distances'!$B$10, "")</f>
        <v>0</v>
      </c>
      <c r="P56">
        <f>IFERROR('[1]t-4-sumDists'!$B$10, "")</f>
        <v>0</v>
      </c>
      <c r="Q56">
        <f>IFERROR('[1]t-4-units'!$B$10, "")</f>
        <v>0</v>
      </c>
      <c r="R56">
        <f>IFERROR('[1]t-4-deliveries'!$B$10, "")</f>
        <v>0</v>
      </c>
      <c r="S56">
        <f>IFERROR('[1]t-4-sumUnits'!$B$10, "")</f>
        <v>0</v>
      </c>
      <c r="T56" s="15" t="str">
        <f t="shared" si="42"/>
        <v/>
      </c>
      <c r="U56" s="15" t="str">
        <f t="shared" si="43"/>
        <v/>
      </c>
      <c r="V56" s="15">
        <f>IFERROR('[1]t-4-times'!$B$10, "")</f>
        <v>0</v>
      </c>
      <c r="W56" t="str">
        <f>IFERROR(_xlfn.XLOOKUP(N56, addresses!$A$1:$A$22, addresses!$B$1:$B$22), "")</f>
        <v/>
      </c>
      <c r="Y56">
        <f>IFERROR('[1]w-4-routes'!$B$10, "")</f>
        <v>0</v>
      </c>
      <c r="Z56">
        <f>IFERROR('[1]w-4-routes'!$C$10, "")</f>
        <v>0</v>
      </c>
      <c r="AA56">
        <f>IFERROR('[1]w-4-distances'!$B$10, "")</f>
        <v>0</v>
      </c>
      <c r="AB56">
        <f>IFERROR('[1]w-4-sumDists'!$B$10, "")</f>
        <v>0</v>
      </c>
      <c r="AC56">
        <f>IFERROR('[1]w-4-units'!$B$10, "")</f>
        <v>0</v>
      </c>
      <c r="AD56">
        <f>IFERROR('[1]w-4-deliveries'!$B$10, "")</f>
        <v>0</v>
      </c>
      <c r="AE56">
        <f>IFERROR('[1]w-4-sumUnits'!$B$10, "")</f>
        <v>0</v>
      </c>
      <c r="AF56" s="15" t="str">
        <f t="shared" si="44"/>
        <v/>
      </c>
      <c r="AG56" s="15" t="str">
        <f t="shared" si="45"/>
        <v/>
      </c>
      <c r="AH56" s="15">
        <f>IFERROR('[1]w-4-times'!$B$10, "")</f>
        <v>0</v>
      </c>
      <c r="AI56" t="str">
        <f>IFERROR(_xlfn.XLOOKUP(Z56, addresses!$A$1:$A$22, addresses!$B$1:$B$22), "")</f>
        <v/>
      </c>
      <c r="AK56">
        <f>IFERROR('[1]th-4-routes'!$B$10, "")</f>
        <v>0</v>
      </c>
      <c r="AL56">
        <f>IFERROR('[1]th-4-routes'!$C$10, "")</f>
        <v>0</v>
      </c>
      <c r="AM56">
        <f>IFERROR('[1]th-4-distances'!$B$10, "")</f>
        <v>0</v>
      </c>
      <c r="AN56">
        <f>IFERROR('[1]th-4-sumDists'!$B$10, "")</f>
        <v>0</v>
      </c>
      <c r="AO56">
        <f>IFERROR('[1]th-4-units'!$B$10, "")</f>
        <v>0</v>
      </c>
      <c r="AP56">
        <f>IFERROR('[1]th-4-deliveries'!$B$10, "")</f>
        <v>0</v>
      </c>
      <c r="AQ56">
        <f>IFERROR('[1]th-4-sumUnits'!$B$10, "")</f>
        <v>0</v>
      </c>
      <c r="AR56" s="15" t="str">
        <f t="shared" si="46"/>
        <v/>
      </c>
      <c r="AS56" s="15" t="str">
        <f t="shared" si="47"/>
        <v/>
      </c>
      <c r="AT56" s="15">
        <f>IFERROR('[1]th-4-times'!$B$10, "")</f>
        <v>0</v>
      </c>
      <c r="AU56" t="str">
        <f>IFERROR(_xlfn.XLOOKUP(AL56, addresses!$A$1:$A$22, addresses!$B$1:$B$22), "")</f>
        <v/>
      </c>
      <c r="AW56">
        <f>IFERROR('[1]f-4-routes'!$B$10, "")</f>
        <v>0</v>
      </c>
      <c r="AX56">
        <f>IFERROR('[1]f-4-routes'!$C$10, "")</f>
        <v>0</v>
      </c>
      <c r="AY56">
        <f>IFERROR('[1]f-4-distances'!$B$10, "")</f>
        <v>0</v>
      </c>
      <c r="AZ56">
        <f>IFERROR('[1]f-4-sumDists'!$B$10, "")</f>
        <v>0</v>
      </c>
      <c r="BA56">
        <f>IFERROR('[1]f-4-units'!$B$10, "")</f>
        <v>0</v>
      </c>
      <c r="BB56">
        <f>IFERROR('[1]f-4-deliveries'!$B$10, "")</f>
        <v>0</v>
      </c>
      <c r="BC56">
        <f>IFERROR('[1]f-4-sumUnits'!$B$10, "")</f>
        <v>0</v>
      </c>
      <c r="BD56" s="15" t="str">
        <f t="shared" si="48"/>
        <v/>
      </c>
      <c r="BE56" s="15" t="str">
        <f t="shared" si="49"/>
        <v/>
      </c>
      <c r="BF56" s="15">
        <f>IFERROR('[1]f-4-times'!$B$10, "")</f>
        <v>0</v>
      </c>
      <c r="BG56" t="str">
        <f>IFERROR(_xlfn.XLOOKUP(AX56, addresses!$A$1:$A$22, addresses!$B$1:$B$22), "")</f>
        <v/>
      </c>
    </row>
    <row r="57" spans="1:59" x14ac:dyDescent="0.25">
      <c r="A57">
        <f>IFERROR('[1]m-4-routes'!$B55, "")</f>
        <v>0</v>
      </c>
      <c r="B57">
        <f>IFERROR('[1]m-4-routes'!$C55, "")</f>
        <v>0</v>
      </c>
      <c r="C57">
        <f>IFERROR('[1]m-4-distances'!$B55, "")</f>
        <v>0</v>
      </c>
      <c r="D57">
        <f>IFERROR('[1]m-4-sumDists'!$B55, "")</f>
        <v>0</v>
      </c>
      <c r="E57">
        <f>IFERROR('[1]m-4-units'!$B55, "")</f>
        <v>0</v>
      </c>
      <c r="F57">
        <f>IFERROR('[1]m-4-deliveries'!$B55, "")</f>
        <v>0</v>
      </c>
      <c r="G57">
        <f>IFERROR('[1]m-4-sumUnits'!$B55, "")</f>
        <v>0</v>
      </c>
      <c r="H57" s="15" t="str">
        <f t="shared" si="40"/>
        <v/>
      </c>
      <c r="I57" s="15" t="str">
        <f t="shared" si="41"/>
        <v/>
      </c>
      <c r="J57" s="15">
        <f>IFERROR('[1]m-4-times'!$B$11, "")</f>
        <v>0</v>
      </c>
      <c r="K57" t="str">
        <f>IFERROR(_xlfn.XLOOKUP(B57, addresses!$A$1:$A$22, addresses!$B$1:$B$22), "")</f>
        <v/>
      </c>
      <c r="M57">
        <f>IFERROR('[1]t-4-routes'!$B55, "")</f>
        <v>0</v>
      </c>
      <c r="N57">
        <f>IFERROR('[1]t-4-routes'!$C55, "")</f>
        <v>0</v>
      </c>
      <c r="O57">
        <f>IFERROR('[1]t-4-distances'!$B55, "")</f>
        <v>0</v>
      </c>
      <c r="P57">
        <f>IFERROR('[1]t-4-sumDists'!$B55, "")</f>
        <v>0</v>
      </c>
      <c r="Q57">
        <f>IFERROR('[1]t-4-units'!$B55, "")</f>
        <v>0</v>
      </c>
      <c r="R57">
        <f>IFERROR('[1]t-4-deliveries'!$B55, "")</f>
        <v>0</v>
      </c>
      <c r="S57">
        <f>IFERROR('[1]t-4-sumUnits'!$B55, "")</f>
        <v>0</v>
      </c>
      <c r="T57" s="15" t="str">
        <f t="shared" si="42"/>
        <v/>
      </c>
      <c r="U57" s="15" t="str">
        <f t="shared" si="43"/>
        <v/>
      </c>
      <c r="V57" s="15">
        <f>IFERROR('[1]t-4-times'!$B$11, "")</f>
        <v>0</v>
      </c>
      <c r="W57" t="str">
        <f>IFERROR(_xlfn.XLOOKUP(N57, addresses!$A$1:$A$22, addresses!$B$1:$B$22), "")</f>
        <v/>
      </c>
      <c r="Y57">
        <f>IFERROR('[1]w-4-routes'!$B55, "")</f>
        <v>0</v>
      </c>
      <c r="Z57">
        <f>IFERROR('[1]w-4-routes'!$C55, "")</f>
        <v>0</v>
      </c>
      <c r="AA57">
        <f>IFERROR('[1]w-4-distances'!$B55, "")</f>
        <v>0</v>
      </c>
      <c r="AB57">
        <f>IFERROR('[1]w-4-sumDists'!$B55, "")</f>
        <v>0</v>
      </c>
      <c r="AC57">
        <f>IFERROR('[1]w-4-units'!$B55, "")</f>
        <v>0</v>
      </c>
      <c r="AD57">
        <f>IFERROR('[1]w-4-deliveries'!$B55, "")</f>
        <v>0</v>
      </c>
      <c r="AE57">
        <f>IFERROR('[1]w-4-sumUnits'!$B55, "")</f>
        <v>0</v>
      </c>
      <c r="AF57" s="15" t="str">
        <f t="shared" si="44"/>
        <v/>
      </c>
      <c r="AG57" s="15" t="str">
        <f t="shared" si="45"/>
        <v/>
      </c>
      <c r="AH57" s="15">
        <f>IFERROR('[1]w-4-times'!$B$11, "")</f>
        <v>0</v>
      </c>
      <c r="AI57" t="str">
        <f>IFERROR(_xlfn.XLOOKUP(Z57, addresses!$A$1:$A$22, addresses!$B$1:$B$22), "")</f>
        <v/>
      </c>
      <c r="AK57">
        <f>IFERROR('[1]th-4-routes'!$B55, "")</f>
        <v>0</v>
      </c>
      <c r="AL57">
        <f>IFERROR('[1]th-4-routes'!$C55, "")</f>
        <v>0</v>
      </c>
      <c r="AM57">
        <f>IFERROR('[1]th-4-distances'!$B55, "")</f>
        <v>0</v>
      </c>
      <c r="AN57">
        <f>IFERROR('[1]th-4-sumDists'!$B55, "")</f>
        <v>0</v>
      </c>
      <c r="AO57">
        <f>IFERROR('[1]th-4-units'!$B55, "")</f>
        <v>0</v>
      </c>
      <c r="AP57">
        <f>IFERROR('[1]th-4-deliveries'!$B55, "")</f>
        <v>0</v>
      </c>
      <c r="AQ57">
        <f>IFERROR('[1]th-4-sumUnits'!$B55, "")</f>
        <v>0</v>
      </c>
      <c r="AR57" s="15" t="str">
        <f t="shared" si="46"/>
        <v/>
      </c>
      <c r="AS57" s="15" t="str">
        <f t="shared" si="47"/>
        <v/>
      </c>
      <c r="AT57" s="15">
        <f>IFERROR('[1]th-4-times'!$B$11, "")</f>
        <v>0</v>
      </c>
      <c r="AU57" t="str">
        <f>IFERROR(_xlfn.XLOOKUP(AL57, addresses!$A$1:$A$22, addresses!$B$1:$B$22), "")</f>
        <v/>
      </c>
      <c r="AW57">
        <f>IFERROR('[1]f-4-routes'!$B55, "")</f>
        <v>0</v>
      </c>
      <c r="AX57">
        <f>IFERROR('[1]f-4-routes'!$C55, "")</f>
        <v>0</v>
      </c>
      <c r="AY57">
        <f>IFERROR('[1]f-4-distances'!$B55, "")</f>
        <v>0</v>
      </c>
      <c r="AZ57">
        <f>IFERROR('[1]f-4-sumDists'!$B55, "")</f>
        <v>0</v>
      </c>
      <c r="BA57">
        <f>IFERROR('[1]f-4-units'!$B55, "")</f>
        <v>0</v>
      </c>
      <c r="BB57">
        <f>IFERROR('[1]f-4-deliveries'!$B55, "")</f>
        <v>0</v>
      </c>
      <c r="BC57">
        <f>IFERROR('[1]f-4-sumUnits'!$B55, "")</f>
        <v>0</v>
      </c>
      <c r="BD57" s="15" t="str">
        <f t="shared" si="48"/>
        <v/>
      </c>
      <c r="BE57" s="15" t="str">
        <f t="shared" si="49"/>
        <v/>
      </c>
      <c r="BF57" s="15">
        <f>IFERROR('[1]f-4-times'!$B$11, "")</f>
        <v>0</v>
      </c>
      <c r="BG57" t="str">
        <f>IFERROR(_xlfn.XLOOKUP(AX57, addresses!$A$1:$A$22, addresses!$B$1:$B$22), "")</f>
        <v/>
      </c>
    </row>
  </sheetData>
  <mergeCells count="30">
    <mergeCell ref="A14:J14"/>
    <mergeCell ref="A25:J25"/>
    <mergeCell ref="A36:J36"/>
    <mergeCell ref="A47:J47"/>
    <mergeCell ref="M47:V47"/>
    <mergeCell ref="Y1:AI1"/>
    <mergeCell ref="Y3:AH3"/>
    <mergeCell ref="Y14:AH14"/>
    <mergeCell ref="Y25:AH25"/>
    <mergeCell ref="Y36:AH36"/>
    <mergeCell ref="Y47:AH47"/>
    <mergeCell ref="M36:V36"/>
    <mergeCell ref="A1:K1"/>
    <mergeCell ref="M1:W1"/>
    <mergeCell ref="M3:V3"/>
    <mergeCell ref="M14:V14"/>
    <mergeCell ref="M25:V25"/>
    <mergeCell ref="A3:J3"/>
    <mergeCell ref="AK47:AT47"/>
    <mergeCell ref="AW1:BG1"/>
    <mergeCell ref="AW3:BF3"/>
    <mergeCell ref="AW14:BF14"/>
    <mergeCell ref="AW25:BF25"/>
    <mergeCell ref="AW36:BF36"/>
    <mergeCell ref="AW47:BF47"/>
    <mergeCell ref="AK1:AU1"/>
    <mergeCell ref="AK3:AT3"/>
    <mergeCell ref="AK14:AT14"/>
    <mergeCell ref="AK25:AT25"/>
    <mergeCell ref="AK36:AT36"/>
  </mergeCells>
  <conditionalFormatting sqref="A25:A36 A1:A14">
    <cfRule type="cellIs" dxfId="39" priority="52" operator="equal">
      <formula>1</formula>
    </cfRule>
  </conditionalFormatting>
  <conditionalFormatting sqref="A1:L2 A3 A14 A36 L15:L24 A25 A26:L35 A4:L13">
    <cfRule type="expression" dxfId="38" priority="51">
      <formula>$A1=0</formula>
    </cfRule>
  </conditionalFormatting>
  <conditionalFormatting sqref="A15:K24">
    <cfRule type="expression" dxfId="37" priority="45">
      <formula>$A15=0</formula>
    </cfRule>
  </conditionalFormatting>
  <conditionalFormatting sqref="A15:A24">
    <cfRule type="cellIs" dxfId="36" priority="46" operator="equal">
      <formula>1</formula>
    </cfRule>
  </conditionalFormatting>
  <conditionalFormatting sqref="M1:M14 M25:M36">
    <cfRule type="cellIs" dxfId="35" priority="42" operator="equal">
      <formula>1</formula>
    </cfRule>
  </conditionalFormatting>
  <conditionalFormatting sqref="M1:X2 M3 M14 M36 X15:X24 M25 M4:X13 M26:X35">
    <cfRule type="expression" dxfId="34" priority="41">
      <formula>$A1=0</formula>
    </cfRule>
  </conditionalFormatting>
  <conditionalFormatting sqref="M15:M24">
    <cfRule type="cellIs" dxfId="33" priority="34" operator="equal">
      <formula>1</formula>
    </cfRule>
  </conditionalFormatting>
  <conditionalFormatting sqref="M15:W24">
    <cfRule type="expression" dxfId="32" priority="33">
      <formula>$A15=0</formula>
    </cfRule>
  </conditionalFormatting>
  <conditionalFormatting sqref="M37:M46">
    <cfRule type="cellIs" dxfId="31" priority="32" operator="equal">
      <formula>1</formula>
    </cfRule>
  </conditionalFormatting>
  <conditionalFormatting sqref="M37:W46">
    <cfRule type="expression" dxfId="30" priority="31">
      <formula>$A37=0</formula>
    </cfRule>
  </conditionalFormatting>
  <conditionalFormatting sqref="A37:A46">
    <cfRule type="cellIs" dxfId="29" priority="30" operator="equal">
      <formula>1</formula>
    </cfRule>
  </conditionalFormatting>
  <conditionalFormatting sqref="A37:K46">
    <cfRule type="expression" dxfId="28" priority="29">
      <formula>$A37=0</formula>
    </cfRule>
  </conditionalFormatting>
  <conditionalFormatting sqref="Y1:Y14 Y25:Y36">
    <cfRule type="cellIs" dxfId="27" priority="28" operator="equal">
      <formula>1</formula>
    </cfRule>
  </conditionalFormatting>
  <conditionalFormatting sqref="Y1:AJ2 Y3 Y14 Y36 AJ15:AJ24 Y25 Y4:AJ13 Y26:AJ35">
    <cfRule type="expression" dxfId="26" priority="27">
      <formula>$A1=0</formula>
    </cfRule>
  </conditionalFormatting>
  <conditionalFormatting sqref="Y15:Y24">
    <cfRule type="cellIs" dxfId="25" priority="26" operator="equal">
      <formula>1</formula>
    </cfRule>
  </conditionalFormatting>
  <conditionalFormatting sqref="Y15:AI24">
    <cfRule type="expression" dxfId="24" priority="25">
      <formula>$A15=0</formula>
    </cfRule>
  </conditionalFormatting>
  <conditionalFormatting sqref="Y37:Y46">
    <cfRule type="cellIs" dxfId="23" priority="24" operator="equal">
      <formula>1</formula>
    </cfRule>
  </conditionalFormatting>
  <conditionalFormatting sqref="Y37:AI46">
    <cfRule type="expression" dxfId="22" priority="23">
      <formula>$A37=0</formula>
    </cfRule>
  </conditionalFormatting>
  <conditionalFormatting sqref="AK1:AK14 AK25:AK36">
    <cfRule type="cellIs" dxfId="21" priority="22" operator="equal">
      <formula>1</formula>
    </cfRule>
  </conditionalFormatting>
  <conditionalFormatting sqref="AK1:AV2 AK3 AK14 AK36 AV15:AV24 AK25 AK4:AV13 AK26:AV35">
    <cfRule type="expression" dxfId="20" priority="21">
      <formula>$A1=0</formula>
    </cfRule>
  </conditionalFormatting>
  <conditionalFormatting sqref="AK15:AK24">
    <cfRule type="cellIs" dxfId="19" priority="20" operator="equal">
      <formula>1</formula>
    </cfRule>
  </conditionalFormatting>
  <conditionalFormatting sqref="AK15:AU24">
    <cfRule type="expression" dxfId="18" priority="19">
      <formula>$A15=0</formula>
    </cfRule>
  </conditionalFormatting>
  <conditionalFormatting sqref="AK37:AK46">
    <cfRule type="cellIs" dxfId="17" priority="18" operator="equal">
      <formula>1</formula>
    </cfRule>
  </conditionalFormatting>
  <conditionalFormatting sqref="AK37:AU46">
    <cfRule type="expression" dxfId="16" priority="17">
      <formula>$A37=0</formula>
    </cfRule>
  </conditionalFormatting>
  <conditionalFormatting sqref="AW1:AW14 AW25:AW36">
    <cfRule type="cellIs" dxfId="15" priority="16" operator="equal">
      <formula>1</formula>
    </cfRule>
  </conditionalFormatting>
  <conditionalFormatting sqref="AW1:BH2 AW3 AW14 AW36 BH15:BH24 AW25 AW4:BH13 AW26:BH35">
    <cfRule type="expression" dxfId="14" priority="15">
      <formula>$A1=0</formula>
    </cfRule>
  </conditionalFormatting>
  <conditionalFormatting sqref="AW15:AW24">
    <cfRule type="cellIs" dxfId="13" priority="14" operator="equal">
      <formula>1</formula>
    </cfRule>
  </conditionalFormatting>
  <conditionalFormatting sqref="AW15:BG24">
    <cfRule type="expression" dxfId="12" priority="13">
      <formula>$A15=0</formula>
    </cfRule>
  </conditionalFormatting>
  <conditionalFormatting sqref="AW37:AW46">
    <cfRule type="cellIs" dxfId="11" priority="12" operator="equal">
      <formula>1</formula>
    </cfRule>
  </conditionalFormatting>
  <conditionalFormatting sqref="AW37:BG46">
    <cfRule type="expression" dxfId="10" priority="11">
      <formula>$A37=0</formula>
    </cfRule>
  </conditionalFormatting>
  <conditionalFormatting sqref="A48:A57">
    <cfRule type="cellIs" dxfId="9" priority="10" operator="equal">
      <formula>1</formula>
    </cfRule>
  </conditionalFormatting>
  <conditionalFormatting sqref="A48:K57">
    <cfRule type="expression" dxfId="8" priority="9">
      <formula>$A48=0</formula>
    </cfRule>
  </conditionalFormatting>
  <conditionalFormatting sqref="M48:M57">
    <cfRule type="cellIs" dxfId="7" priority="8" operator="equal">
      <formula>1</formula>
    </cfRule>
  </conditionalFormatting>
  <conditionalFormatting sqref="M48:W57">
    <cfRule type="expression" dxfId="6" priority="7">
      <formula>$A48=0</formula>
    </cfRule>
  </conditionalFormatting>
  <conditionalFormatting sqref="Y48:Y57">
    <cfRule type="cellIs" dxfId="5" priority="6" operator="equal">
      <formula>1</formula>
    </cfRule>
  </conditionalFormatting>
  <conditionalFormatting sqref="Y48:AI57">
    <cfRule type="expression" dxfId="4" priority="5">
      <formula>$A48=0</formula>
    </cfRule>
  </conditionalFormatting>
  <conditionalFormatting sqref="AK48:AK57">
    <cfRule type="cellIs" dxfId="3" priority="4" operator="equal">
      <formula>1</formula>
    </cfRule>
  </conditionalFormatting>
  <conditionalFormatting sqref="AK48:AU57">
    <cfRule type="expression" dxfId="2" priority="3">
      <formula>$A48=0</formula>
    </cfRule>
  </conditionalFormatting>
  <conditionalFormatting sqref="AW48:AW57">
    <cfRule type="cellIs" dxfId="1" priority="2" operator="equal">
      <formula>1</formula>
    </cfRule>
  </conditionalFormatting>
  <conditionalFormatting sqref="AW48:BG57">
    <cfRule type="expression" dxfId="0" priority="1">
      <formula>$A48=0</formula>
    </cfRule>
  </conditionalFormatting>
  <pageMargins left="0.7" right="0.7" top="0.75" bottom="0.75" header="0.3" footer="0.3"/>
  <ignoredErrors>
    <ignoredError sqref="K14 K25 K36"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Truck1_M">
                <anchor moveWithCells="1" sizeWithCells="1">
                  <from>
                    <xdr:col>11</xdr:col>
                    <xdr:colOff>19050</xdr:colOff>
                    <xdr:row>2</xdr:row>
                    <xdr:rowOff>57150</xdr:rowOff>
                  </from>
                  <to>
                    <xdr:col>11</xdr:col>
                    <xdr:colOff>1238250</xdr:colOff>
                    <xdr:row>3</xdr:row>
                    <xdr:rowOff>161925</xdr:rowOff>
                  </to>
                </anchor>
              </controlPr>
            </control>
          </mc:Choice>
        </mc:AlternateContent>
        <mc:AlternateContent xmlns:mc="http://schemas.openxmlformats.org/markup-compatibility/2006">
          <mc:Choice Requires="x14">
            <control shapeId="8196" r:id="rId4" name="Button 4">
              <controlPr defaultSize="0" print="0" autoFill="0" autoPict="0" macro="[0]!Truck2_M">
                <anchor moveWithCells="1" sizeWithCells="1">
                  <from>
                    <xdr:col>11</xdr:col>
                    <xdr:colOff>47625</xdr:colOff>
                    <xdr:row>14</xdr:row>
                    <xdr:rowOff>19050</xdr:rowOff>
                  </from>
                  <to>
                    <xdr:col>11</xdr:col>
                    <xdr:colOff>1276350</xdr:colOff>
                    <xdr:row>15</xdr:row>
                    <xdr:rowOff>133350</xdr:rowOff>
                  </to>
                </anchor>
              </controlPr>
            </control>
          </mc:Choice>
        </mc:AlternateContent>
        <mc:AlternateContent xmlns:mc="http://schemas.openxmlformats.org/markup-compatibility/2006">
          <mc:Choice Requires="x14">
            <control shapeId="8197" r:id="rId5" name="Button 5">
              <controlPr defaultSize="0" print="0" autoFill="0" autoPict="0" macro="[0]!Truck3_M">
                <anchor moveWithCells="1" sizeWithCells="1">
                  <from>
                    <xdr:col>11</xdr:col>
                    <xdr:colOff>19050</xdr:colOff>
                    <xdr:row>24</xdr:row>
                    <xdr:rowOff>28575</xdr:rowOff>
                  </from>
                  <to>
                    <xdr:col>11</xdr:col>
                    <xdr:colOff>1247775</xdr:colOff>
                    <xdr:row>25</xdr:row>
                    <xdr:rowOff>133350</xdr:rowOff>
                  </to>
                </anchor>
              </controlPr>
            </control>
          </mc:Choice>
        </mc:AlternateContent>
        <mc:AlternateContent xmlns:mc="http://schemas.openxmlformats.org/markup-compatibility/2006">
          <mc:Choice Requires="x14">
            <control shapeId="8198" r:id="rId6" name="Button 6">
              <controlPr defaultSize="0" print="0" autoFill="0" autoPict="0" macro="[0]!Truck1_T">
                <anchor moveWithCells="1" sizeWithCells="1">
                  <from>
                    <xdr:col>23</xdr:col>
                    <xdr:colOff>19050</xdr:colOff>
                    <xdr:row>2</xdr:row>
                    <xdr:rowOff>57150</xdr:rowOff>
                  </from>
                  <to>
                    <xdr:col>23</xdr:col>
                    <xdr:colOff>1238250</xdr:colOff>
                    <xdr:row>3</xdr:row>
                    <xdr:rowOff>161925</xdr:rowOff>
                  </to>
                </anchor>
              </controlPr>
            </control>
          </mc:Choice>
        </mc:AlternateContent>
        <mc:AlternateContent xmlns:mc="http://schemas.openxmlformats.org/markup-compatibility/2006">
          <mc:Choice Requires="x14">
            <control shapeId="8199" r:id="rId7" name="Button 7">
              <controlPr defaultSize="0" print="0" autoFill="0" autoPict="0" macro="[0]!Truck2_T">
                <anchor moveWithCells="1" sizeWithCells="1">
                  <from>
                    <xdr:col>23</xdr:col>
                    <xdr:colOff>47625</xdr:colOff>
                    <xdr:row>14</xdr:row>
                    <xdr:rowOff>19050</xdr:rowOff>
                  </from>
                  <to>
                    <xdr:col>23</xdr:col>
                    <xdr:colOff>1276350</xdr:colOff>
                    <xdr:row>15</xdr:row>
                    <xdr:rowOff>133350</xdr:rowOff>
                  </to>
                </anchor>
              </controlPr>
            </control>
          </mc:Choice>
        </mc:AlternateContent>
        <mc:AlternateContent xmlns:mc="http://schemas.openxmlformats.org/markup-compatibility/2006">
          <mc:Choice Requires="x14">
            <control shapeId="8200" r:id="rId8" name="Button 8">
              <controlPr defaultSize="0" print="0" autoFill="0" autoPict="0" macro="[0]!Truck3_T">
                <anchor moveWithCells="1" sizeWithCells="1">
                  <from>
                    <xdr:col>23</xdr:col>
                    <xdr:colOff>19050</xdr:colOff>
                    <xdr:row>24</xdr:row>
                    <xdr:rowOff>28575</xdr:rowOff>
                  </from>
                  <to>
                    <xdr:col>23</xdr:col>
                    <xdr:colOff>1247775</xdr:colOff>
                    <xdr:row>25</xdr:row>
                    <xdr:rowOff>133350</xdr:rowOff>
                  </to>
                </anchor>
              </controlPr>
            </control>
          </mc:Choice>
        </mc:AlternateContent>
        <mc:AlternateContent xmlns:mc="http://schemas.openxmlformats.org/markup-compatibility/2006">
          <mc:Choice Requires="x14">
            <control shapeId="8201" r:id="rId9" name="Button 9">
              <controlPr defaultSize="0" print="0" autoFill="0" autoPict="0" macro="[0]!Truck4_T">
                <anchor moveWithCells="1" sizeWithCells="1">
                  <from>
                    <xdr:col>23</xdr:col>
                    <xdr:colOff>19050</xdr:colOff>
                    <xdr:row>35</xdr:row>
                    <xdr:rowOff>19050</xdr:rowOff>
                  </from>
                  <to>
                    <xdr:col>23</xdr:col>
                    <xdr:colOff>1238250</xdr:colOff>
                    <xdr:row>36</xdr:row>
                    <xdr:rowOff>123825</xdr:rowOff>
                  </to>
                </anchor>
              </controlPr>
            </control>
          </mc:Choice>
        </mc:AlternateContent>
        <mc:AlternateContent xmlns:mc="http://schemas.openxmlformats.org/markup-compatibility/2006">
          <mc:Choice Requires="x14">
            <control shapeId="8202" r:id="rId10" name="Button 10">
              <controlPr defaultSize="0" print="0" autoFill="0" autoPict="0" macro="[0]!Truck1_W">
                <anchor moveWithCells="1" sizeWithCells="1">
                  <from>
                    <xdr:col>35</xdr:col>
                    <xdr:colOff>19050</xdr:colOff>
                    <xdr:row>2</xdr:row>
                    <xdr:rowOff>57150</xdr:rowOff>
                  </from>
                  <to>
                    <xdr:col>35</xdr:col>
                    <xdr:colOff>1238250</xdr:colOff>
                    <xdr:row>3</xdr:row>
                    <xdr:rowOff>161925</xdr:rowOff>
                  </to>
                </anchor>
              </controlPr>
            </control>
          </mc:Choice>
        </mc:AlternateContent>
        <mc:AlternateContent xmlns:mc="http://schemas.openxmlformats.org/markup-compatibility/2006">
          <mc:Choice Requires="x14">
            <control shapeId="8203" r:id="rId11" name="Button 11">
              <controlPr defaultSize="0" print="0" autoFill="0" autoPict="0" macro="[0]!Truck2_W">
                <anchor moveWithCells="1" sizeWithCells="1">
                  <from>
                    <xdr:col>35</xdr:col>
                    <xdr:colOff>47625</xdr:colOff>
                    <xdr:row>14</xdr:row>
                    <xdr:rowOff>19050</xdr:rowOff>
                  </from>
                  <to>
                    <xdr:col>35</xdr:col>
                    <xdr:colOff>1276350</xdr:colOff>
                    <xdr:row>15</xdr:row>
                    <xdr:rowOff>133350</xdr:rowOff>
                  </to>
                </anchor>
              </controlPr>
            </control>
          </mc:Choice>
        </mc:AlternateContent>
        <mc:AlternateContent xmlns:mc="http://schemas.openxmlformats.org/markup-compatibility/2006">
          <mc:Choice Requires="x14">
            <control shapeId="8204" r:id="rId12" name="Button 12">
              <controlPr defaultSize="0" print="0" autoFill="0" autoPict="0" macro="[0]!Truck3_W">
                <anchor moveWithCells="1" sizeWithCells="1">
                  <from>
                    <xdr:col>35</xdr:col>
                    <xdr:colOff>19050</xdr:colOff>
                    <xdr:row>24</xdr:row>
                    <xdr:rowOff>28575</xdr:rowOff>
                  </from>
                  <to>
                    <xdr:col>35</xdr:col>
                    <xdr:colOff>1247775</xdr:colOff>
                    <xdr:row>25</xdr:row>
                    <xdr:rowOff>133350</xdr:rowOff>
                  </to>
                </anchor>
              </controlPr>
            </control>
          </mc:Choice>
        </mc:AlternateContent>
        <mc:AlternateContent xmlns:mc="http://schemas.openxmlformats.org/markup-compatibility/2006">
          <mc:Choice Requires="x14">
            <control shapeId="8205" r:id="rId13" name="Button 13">
              <controlPr defaultSize="0" print="0" autoFill="0" autoPict="0" macro="[0]!Truck4_W">
                <anchor moveWithCells="1" sizeWithCells="1">
                  <from>
                    <xdr:col>35</xdr:col>
                    <xdr:colOff>19050</xdr:colOff>
                    <xdr:row>35</xdr:row>
                    <xdr:rowOff>19050</xdr:rowOff>
                  </from>
                  <to>
                    <xdr:col>35</xdr:col>
                    <xdr:colOff>1238250</xdr:colOff>
                    <xdr:row>36</xdr:row>
                    <xdr:rowOff>123825</xdr:rowOff>
                  </to>
                </anchor>
              </controlPr>
            </control>
          </mc:Choice>
        </mc:AlternateContent>
        <mc:AlternateContent xmlns:mc="http://schemas.openxmlformats.org/markup-compatibility/2006">
          <mc:Choice Requires="x14">
            <control shapeId="8206" r:id="rId14" name="Button 14">
              <controlPr defaultSize="0" print="0" autoFill="0" autoPict="0" macro="[0]!Truck1_TH">
                <anchor moveWithCells="1" sizeWithCells="1">
                  <from>
                    <xdr:col>47</xdr:col>
                    <xdr:colOff>19050</xdr:colOff>
                    <xdr:row>2</xdr:row>
                    <xdr:rowOff>57150</xdr:rowOff>
                  </from>
                  <to>
                    <xdr:col>47</xdr:col>
                    <xdr:colOff>1238250</xdr:colOff>
                    <xdr:row>3</xdr:row>
                    <xdr:rowOff>161925</xdr:rowOff>
                  </to>
                </anchor>
              </controlPr>
            </control>
          </mc:Choice>
        </mc:AlternateContent>
        <mc:AlternateContent xmlns:mc="http://schemas.openxmlformats.org/markup-compatibility/2006">
          <mc:Choice Requires="x14">
            <control shapeId="8207" r:id="rId15" name="Button 15">
              <controlPr defaultSize="0" print="0" autoFill="0" autoPict="0" macro="[0]!Truck2_TH">
                <anchor moveWithCells="1" sizeWithCells="1">
                  <from>
                    <xdr:col>47</xdr:col>
                    <xdr:colOff>47625</xdr:colOff>
                    <xdr:row>14</xdr:row>
                    <xdr:rowOff>19050</xdr:rowOff>
                  </from>
                  <to>
                    <xdr:col>47</xdr:col>
                    <xdr:colOff>1276350</xdr:colOff>
                    <xdr:row>15</xdr:row>
                    <xdr:rowOff>133350</xdr:rowOff>
                  </to>
                </anchor>
              </controlPr>
            </control>
          </mc:Choice>
        </mc:AlternateContent>
        <mc:AlternateContent xmlns:mc="http://schemas.openxmlformats.org/markup-compatibility/2006">
          <mc:Choice Requires="x14">
            <control shapeId="8208" r:id="rId16" name="Button 16">
              <controlPr defaultSize="0" print="0" autoFill="0" autoPict="0" macro="[0]!Truck3_TH">
                <anchor moveWithCells="1" sizeWithCells="1">
                  <from>
                    <xdr:col>47</xdr:col>
                    <xdr:colOff>19050</xdr:colOff>
                    <xdr:row>24</xdr:row>
                    <xdr:rowOff>28575</xdr:rowOff>
                  </from>
                  <to>
                    <xdr:col>47</xdr:col>
                    <xdr:colOff>1247775</xdr:colOff>
                    <xdr:row>25</xdr:row>
                    <xdr:rowOff>133350</xdr:rowOff>
                  </to>
                </anchor>
              </controlPr>
            </control>
          </mc:Choice>
        </mc:AlternateContent>
        <mc:AlternateContent xmlns:mc="http://schemas.openxmlformats.org/markup-compatibility/2006">
          <mc:Choice Requires="x14">
            <control shapeId="8209" r:id="rId17" name="Button 17">
              <controlPr defaultSize="0" print="0" autoFill="0" autoPict="0" macro="[0]!Truck4_TH">
                <anchor moveWithCells="1" sizeWithCells="1">
                  <from>
                    <xdr:col>47</xdr:col>
                    <xdr:colOff>19050</xdr:colOff>
                    <xdr:row>35</xdr:row>
                    <xdr:rowOff>19050</xdr:rowOff>
                  </from>
                  <to>
                    <xdr:col>47</xdr:col>
                    <xdr:colOff>1238250</xdr:colOff>
                    <xdr:row>36</xdr:row>
                    <xdr:rowOff>123825</xdr:rowOff>
                  </to>
                </anchor>
              </controlPr>
            </control>
          </mc:Choice>
        </mc:AlternateContent>
        <mc:AlternateContent xmlns:mc="http://schemas.openxmlformats.org/markup-compatibility/2006">
          <mc:Choice Requires="x14">
            <control shapeId="8210" r:id="rId18" name="Button 18">
              <controlPr defaultSize="0" print="0" autoFill="0" autoPict="0" macro="[0]!Truck1_F">
                <anchor moveWithCells="1" sizeWithCells="1">
                  <from>
                    <xdr:col>59</xdr:col>
                    <xdr:colOff>19050</xdr:colOff>
                    <xdr:row>2</xdr:row>
                    <xdr:rowOff>57150</xdr:rowOff>
                  </from>
                  <to>
                    <xdr:col>59</xdr:col>
                    <xdr:colOff>1238250</xdr:colOff>
                    <xdr:row>3</xdr:row>
                    <xdr:rowOff>161925</xdr:rowOff>
                  </to>
                </anchor>
              </controlPr>
            </control>
          </mc:Choice>
        </mc:AlternateContent>
        <mc:AlternateContent xmlns:mc="http://schemas.openxmlformats.org/markup-compatibility/2006">
          <mc:Choice Requires="x14">
            <control shapeId="8211" r:id="rId19" name="Button 19">
              <controlPr defaultSize="0" print="0" autoFill="0" autoPict="0" macro="[0]!Truck2_F">
                <anchor moveWithCells="1" sizeWithCells="1">
                  <from>
                    <xdr:col>59</xdr:col>
                    <xdr:colOff>47625</xdr:colOff>
                    <xdr:row>14</xdr:row>
                    <xdr:rowOff>19050</xdr:rowOff>
                  </from>
                  <to>
                    <xdr:col>59</xdr:col>
                    <xdr:colOff>1276350</xdr:colOff>
                    <xdr:row>15</xdr:row>
                    <xdr:rowOff>133350</xdr:rowOff>
                  </to>
                </anchor>
              </controlPr>
            </control>
          </mc:Choice>
        </mc:AlternateContent>
        <mc:AlternateContent xmlns:mc="http://schemas.openxmlformats.org/markup-compatibility/2006">
          <mc:Choice Requires="x14">
            <control shapeId="8212" r:id="rId20" name="Button 20">
              <controlPr defaultSize="0" print="0" autoFill="0" autoPict="0" macro="[0]!Truck3_F">
                <anchor moveWithCells="1" sizeWithCells="1">
                  <from>
                    <xdr:col>59</xdr:col>
                    <xdr:colOff>19050</xdr:colOff>
                    <xdr:row>24</xdr:row>
                    <xdr:rowOff>28575</xdr:rowOff>
                  </from>
                  <to>
                    <xdr:col>59</xdr:col>
                    <xdr:colOff>1247775</xdr:colOff>
                    <xdr:row>25</xdr:row>
                    <xdr:rowOff>133350</xdr:rowOff>
                  </to>
                </anchor>
              </controlPr>
            </control>
          </mc:Choice>
        </mc:AlternateContent>
        <mc:AlternateContent xmlns:mc="http://schemas.openxmlformats.org/markup-compatibility/2006">
          <mc:Choice Requires="x14">
            <control shapeId="8213" r:id="rId21" name="Button 21">
              <controlPr defaultSize="0" print="0" autoFill="0" autoPict="0" macro="[0]!Truck4_F">
                <anchor moveWithCells="1" sizeWithCells="1">
                  <from>
                    <xdr:col>59</xdr:col>
                    <xdr:colOff>19050</xdr:colOff>
                    <xdr:row>35</xdr:row>
                    <xdr:rowOff>19050</xdr:rowOff>
                  </from>
                  <to>
                    <xdr:col>59</xdr:col>
                    <xdr:colOff>1238250</xdr:colOff>
                    <xdr:row>36</xdr:row>
                    <xdr:rowOff>123825</xdr:rowOff>
                  </to>
                </anchor>
              </controlPr>
            </control>
          </mc:Choice>
        </mc:AlternateContent>
        <mc:AlternateContent xmlns:mc="http://schemas.openxmlformats.org/markup-compatibility/2006">
          <mc:Choice Requires="x14">
            <control shapeId="8214" r:id="rId22" name="Button 22">
              <controlPr defaultSize="0" print="0" autoFill="0" autoPict="0" macro="[0]!Truck4_M">
                <anchor moveWithCells="1" sizeWithCells="1">
                  <from>
                    <xdr:col>11</xdr:col>
                    <xdr:colOff>38100</xdr:colOff>
                    <xdr:row>35</xdr:row>
                    <xdr:rowOff>19050</xdr:rowOff>
                  </from>
                  <to>
                    <xdr:col>11</xdr:col>
                    <xdr:colOff>1266825</xdr:colOff>
                    <xdr:row>36</xdr:row>
                    <xdr:rowOff>123825</xdr:rowOff>
                  </to>
                </anchor>
              </controlPr>
            </control>
          </mc:Choice>
        </mc:AlternateContent>
        <mc:AlternateContent xmlns:mc="http://schemas.openxmlformats.org/markup-compatibility/2006">
          <mc:Choice Requires="x14">
            <control shapeId="8215" r:id="rId23" name="Button 23">
              <controlPr defaultSize="0" print="0" autoFill="0" autoPict="0" macro="[0]!Truck5_M">
                <anchor moveWithCells="1" sizeWithCells="1">
                  <from>
                    <xdr:col>11</xdr:col>
                    <xdr:colOff>28575</xdr:colOff>
                    <xdr:row>46</xdr:row>
                    <xdr:rowOff>28575</xdr:rowOff>
                  </from>
                  <to>
                    <xdr:col>11</xdr:col>
                    <xdr:colOff>1257300</xdr:colOff>
                    <xdr:row>47</xdr:row>
                    <xdr:rowOff>133350</xdr:rowOff>
                  </to>
                </anchor>
              </controlPr>
            </control>
          </mc:Choice>
        </mc:AlternateContent>
        <mc:AlternateContent xmlns:mc="http://schemas.openxmlformats.org/markup-compatibility/2006">
          <mc:Choice Requires="x14">
            <control shapeId="8216" r:id="rId24" name="Button 24">
              <controlPr defaultSize="0" print="0" autoFill="0" autoPict="0" macro="[0]!Truck5_T">
                <anchor moveWithCells="1" sizeWithCells="1">
                  <from>
                    <xdr:col>23</xdr:col>
                    <xdr:colOff>47625</xdr:colOff>
                    <xdr:row>46</xdr:row>
                    <xdr:rowOff>0</xdr:rowOff>
                  </from>
                  <to>
                    <xdr:col>23</xdr:col>
                    <xdr:colOff>1276350</xdr:colOff>
                    <xdr:row>47</xdr:row>
                    <xdr:rowOff>104775</xdr:rowOff>
                  </to>
                </anchor>
              </controlPr>
            </control>
          </mc:Choice>
        </mc:AlternateContent>
        <mc:AlternateContent xmlns:mc="http://schemas.openxmlformats.org/markup-compatibility/2006">
          <mc:Choice Requires="x14">
            <control shapeId="8217" r:id="rId25" name="Button 25">
              <controlPr defaultSize="0" print="0" autoFill="0" autoPict="0" macro="[0]!Truck5_W">
                <anchor moveWithCells="1" sizeWithCells="1">
                  <from>
                    <xdr:col>35</xdr:col>
                    <xdr:colOff>19050</xdr:colOff>
                    <xdr:row>46</xdr:row>
                    <xdr:rowOff>19050</xdr:rowOff>
                  </from>
                  <to>
                    <xdr:col>35</xdr:col>
                    <xdr:colOff>1238250</xdr:colOff>
                    <xdr:row>47</xdr:row>
                    <xdr:rowOff>123825</xdr:rowOff>
                  </to>
                </anchor>
              </controlPr>
            </control>
          </mc:Choice>
        </mc:AlternateContent>
        <mc:AlternateContent xmlns:mc="http://schemas.openxmlformats.org/markup-compatibility/2006">
          <mc:Choice Requires="x14">
            <control shapeId="8218" r:id="rId26" name="Button 26">
              <controlPr defaultSize="0" print="0" autoFill="0" autoPict="0" macro="[0]!Truck5_TH">
                <anchor moveWithCells="1" sizeWithCells="1">
                  <from>
                    <xdr:col>47</xdr:col>
                    <xdr:colOff>38100</xdr:colOff>
                    <xdr:row>46</xdr:row>
                    <xdr:rowOff>19050</xdr:rowOff>
                  </from>
                  <to>
                    <xdr:col>47</xdr:col>
                    <xdr:colOff>1266825</xdr:colOff>
                    <xdr:row>47</xdr:row>
                    <xdr:rowOff>133350</xdr:rowOff>
                  </to>
                </anchor>
              </controlPr>
            </control>
          </mc:Choice>
        </mc:AlternateContent>
        <mc:AlternateContent xmlns:mc="http://schemas.openxmlformats.org/markup-compatibility/2006">
          <mc:Choice Requires="x14">
            <control shapeId="8219" r:id="rId27" name="Button 27">
              <controlPr defaultSize="0" print="0" autoFill="0" autoPict="0" macro="[0]!Truck5_F">
                <anchor moveWithCells="1" sizeWithCells="1">
                  <from>
                    <xdr:col>59</xdr:col>
                    <xdr:colOff>28575</xdr:colOff>
                    <xdr:row>46</xdr:row>
                    <xdr:rowOff>38100</xdr:rowOff>
                  </from>
                  <to>
                    <xdr:col>59</xdr:col>
                    <xdr:colOff>1257300</xdr:colOff>
                    <xdr:row>47</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8"/>
  <sheetViews>
    <sheetView workbookViewId="0">
      <selection activeCell="A7" sqref="A7"/>
    </sheetView>
  </sheetViews>
  <sheetFormatPr defaultRowHeight="15" x14ac:dyDescent="0.25"/>
  <sheetData>
    <row r="1" spans="1:12" x14ac:dyDescent="0.25">
      <c r="A1" s="24" t="s">
        <v>16202</v>
      </c>
      <c r="B1" s="24"/>
      <c r="C1" s="24"/>
      <c r="K1" t="s">
        <v>16202</v>
      </c>
    </row>
    <row r="2" spans="1:12" x14ac:dyDescent="0.25">
      <c r="A2" s="24"/>
      <c r="B2" s="24" t="s">
        <v>16216</v>
      </c>
      <c r="C2" s="24"/>
      <c r="L2" t="s">
        <v>16217</v>
      </c>
    </row>
    <row r="3" spans="1:12" x14ac:dyDescent="0.25">
      <c r="A3" s="24"/>
      <c r="B3" s="24"/>
      <c r="C3" s="24"/>
      <c r="L3" t="s">
        <v>16219</v>
      </c>
    </row>
    <row r="4" spans="1:12" x14ac:dyDescent="0.25">
      <c r="A4" s="24"/>
      <c r="B4" s="24" t="s">
        <v>16212</v>
      </c>
      <c r="C4" s="24"/>
      <c r="L4" t="s">
        <v>16218</v>
      </c>
    </row>
    <row r="5" spans="1:12" x14ac:dyDescent="0.25">
      <c r="A5" s="24"/>
      <c r="B5" s="24" t="s">
        <v>16213</v>
      </c>
      <c r="C5" s="24"/>
      <c r="L5" t="s">
        <v>16213</v>
      </c>
    </row>
    <row r="6" spans="1:12" x14ac:dyDescent="0.25">
      <c r="A6" t="s">
        <v>16203</v>
      </c>
      <c r="L6" t="s">
        <v>16220</v>
      </c>
    </row>
    <row r="8" spans="1:12" x14ac:dyDescent="0.25">
      <c r="A8" t="s">
        <v>16204</v>
      </c>
      <c r="K8" t="s">
        <v>16206</v>
      </c>
    </row>
    <row r="9" spans="1:12" x14ac:dyDescent="0.25">
      <c r="A9" s="24" t="s">
        <v>16205</v>
      </c>
      <c r="L9" t="s">
        <v>16214</v>
      </c>
    </row>
    <row r="10" spans="1:12" x14ac:dyDescent="0.25">
      <c r="A10" s="24" t="s">
        <v>16206</v>
      </c>
      <c r="B10" s="24"/>
      <c r="L10" t="s">
        <v>16221</v>
      </c>
    </row>
    <row r="11" spans="1:12" x14ac:dyDescent="0.25">
      <c r="A11" s="24"/>
      <c r="B11" s="24" t="s">
        <v>16214</v>
      </c>
      <c r="K11" t="s">
        <v>16208</v>
      </c>
    </row>
    <row r="12" spans="1:12" x14ac:dyDescent="0.25">
      <c r="A12" t="s">
        <v>16207</v>
      </c>
      <c r="L12" t="s">
        <v>16215</v>
      </c>
    </row>
    <row r="13" spans="1:12" x14ac:dyDescent="0.25">
      <c r="A13" s="24" t="s">
        <v>16208</v>
      </c>
      <c r="B13" s="24"/>
      <c r="L13" t="s">
        <v>16229</v>
      </c>
    </row>
    <row r="14" spans="1:12" x14ac:dyDescent="0.25">
      <c r="A14" s="24"/>
      <c r="B14" s="24" t="s">
        <v>16215</v>
      </c>
    </row>
    <row r="15" spans="1:12" x14ac:dyDescent="0.25">
      <c r="A15" t="s">
        <v>16209</v>
      </c>
    </row>
    <row r="16" spans="1:12" x14ac:dyDescent="0.25">
      <c r="A16" t="s">
        <v>16210</v>
      </c>
    </row>
    <row r="17" spans="1:1" x14ac:dyDescent="0.25">
      <c r="A17" t="s">
        <v>16211</v>
      </c>
    </row>
    <row r="18" spans="1:1" x14ac:dyDescent="0.25">
      <c r="A18" t="s">
        <v>16241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298E4-A6CE-4917-BD83-D1957542BDD1}">
  <sheetPr codeName="Sheet11"/>
  <dimension ref="A1:E49"/>
  <sheetViews>
    <sheetView topLeftCell="A22" workbookViewId="0">
      <selection activeCell="B52" sqref="B52"/>
    </sheetView>
  </sheetViews>
  <sheetFormatPr defaultRowHeight="15" x14ac:dyDescent="0.25"/>
  <cols>
    <col min="3" max="3" width="10.42578125" bestFit="1" customWidth="1"/>
  </cols>
  <sheetData>
    <row r="1" spans="1:5" x14ac:dyDescent="0.25">
      <c r="A1" t="s">
        <v>16138</v>
      </c>
      <c r="B1" t="s">
        <v>16139</v>
      </c>
      <c r="C1" t="s">
        <v>16140</v>
      </c>
      <c r="D1" t="s">
        <v>16141</v>
      </c>
      <c r="E1" t="s">
        <v>16142</v>
      </c>
    </row>
    <row r="3" spans="1:5" x14ac:dyDescent="0.25">
      <c r="A3" t="str">
        <f>_xlfn.TEXTJOIN("/", TRUE, output!K3:K13)</f>
        <v>4509 State Hwy 83 North, Defuniak Springs, FL, 32433/120 John King Rd, Crestview, FL, 32539/104 Adams Road, Opp, AL, 36467/4509 State Hwy 83 North, Defuniak Springs, FL, 32433</v>
      </c>
      <c r="B3" t="str">
        <f>_xlfn.TEXTJOIN("/", TRUE, output!W3:W13)</f>
        <v>4509 State Hwy 83 North, Defuniak Springs, FL, 32433/19953 US-31 AL, Thorsby, AL, 35171/2656 Queenstown Road, Birmingham, AL, 35210/4509 State Hwy 83 North, Defuniak Springs, FL, 32433</v>
      </c>
      <c r="C3" t="str">
        <f>_xlfn.TEXTJOIN("/", TRUE, output!AI3:AI13)</f>
        <v>4509 State Hwy 83 North, Defuniak Springs, FL, 32433/1460 Shetter Avenue, Jacksonville Beach, FL, 32250/116 Terrace Dr, Haines City, FL, 33844</v>
      </c>
      <c r="D3" t="str">
        <f>_xlfn.TEXTJOIN("/", TRUE, output!AU3:AU13)</f>
        <v>116 Terrace Dr, Haines City, FL, 33844/4509 State Hwy 83 North, Defuniak Springs, FL, 32433</v>
      </c>
      <c r="E3" t="str">
        <f>_xlfn.TEXTJOIN("/", TRUE, output!BG3:BG13)</f>
        <v>4509 State Hwy 83 North, Defuniak Springs, FL, 32433/4509 State Hwy 83 North, Defuniak Springs, FL, 32433</v>
      </c>
    </row>
    <row r="4" spans="1:5" x14ac:dyDescent="0.25">
      <c r="A4" t="str">
        <f>SUBSTITUTE(A3, " ", "+")</f>
        <v>4509+State+Hwy+83+North,+Defuniak+Springs,+FL,+32433/120+John+King+Rd,+Crestview,+FL,+32539/104+Adams+Road,+Opp,+AL,+36467/4509+State+Hwy+83+North,+Defuniak+Springs,+FL,+32433</v>
      </c>
      <c r="B4" t="str">
        <f>SUBSTITUTE(B3, " ", "+")</f>
        <v>4509+State+Hwy+83+North,+Defuniak+Springs,+FL,+32433/19953+US-31+AL,+Thorsby,+AL,+35171/2656+Queenstown+Road,+Birmingham,+AL,+35210/4509+State+Hwy+83+North,+Defuniak+Springs,+FL,+32433</v>
      </c>
      <c r="C4" t="str">
        <f>SUBSTITUTE(C3, " ", "+")</f>
        <v>4509+State+Hwy+83+North,+Defuniak+Springs,+FL,+32433/1460+Shetter+Avenue,+Jacksonville+Beach,+FL,+32250/116+Terrace+Dr,+Haines+City,+FL,+33844</v>
      </c>
      <c r="D4" t="str">
        <f>SUBSTITUTE(D3, " ", "+")</f>
        <v>116+Terrace+Dr,+Haines+City,+FL,+33844/4509+State+Hwy+83+North,+Defuniak+Springs,+FL,+32433</v>
      </c>
      <c r="E4" t="str">
        <f>SUBSTITUTE(E3, " ", "+")</f>
        <v>4509+State+Hwy+83+North,+Defuniak+Springs,+FL,+32433/4509+State+Hwy+83+North,+Defuniak+Springs,+FL,+32433</v>
      </c>
    </row>
    <row r="5" spans="1:5" x14ac:dyDescent="0.25">
      <c r="A5" t="str">
        <f>SUBSTITUTE(A4, ",", "")</f>
        <v>4509+State+Hwy+83+North+Defuniak+Springs+FL+32433/120+John+King+Rd+Crestview+FL+32539/104+Adams+Road+Opp+AL+36467/4509+State+Hwy+83+North+Defuniak+Springs+FL+32433</v>
      </c>
      <c r="B5" t="str">
        <f>SUBSTITUTE(B4, ",", "")</f>
        <v>4509+State+Hwy+83+North+Defuniak+Springs+FL+32433/19953+US-31+AL+Thorsby+AL+35171/2656+Queenstown+Road+Birmingham+AL+35210/4509+State+Hwy+83+North+Defuniak+Springs+FL+32433</v>
      </c>
      <c r="C5" t="str">
        <f>SUBSTITUTE(C4, ",", "")</f>
        <v>4509+State+Hwy+83+North+Defuniak+Springs+FL+32433/1460+Shetter+Avenue+Jacksonville+Beach+FL+32250/116+Terrace+Dr+Haines+City+FL+33844</v>
      </c>
      <c r="D5" t="str">
        <f>SUBSTITUTE(D4, ",", "")</f>
        <v>116+Terrace+Dr+Haines+City+FL+33844/4509+State+Hwy+83+North+Defuniak+Springs+FL+32433</v>
      </c>
      <c r="E5" t="str">
        <f>SUBSTITUTE(E4, ",", "")</f>
        <v>4509+State+Hwy+83+North+Defuniak+Springs+FL+32433/4509+State+Hwy+83+North+Defuniak+Springs+FL+32433</v>
      </c>
    </row>
    <row r="14" spans="1:5" x14ac:dyDescent="0.25">
      <c r="A14" t="str">
        <f>_xlfn.TEXTJOIN("/", TRUE, output!K14:K24)</f>
        <v>4509 State Hwy 83 North, Defuniak Springs, FL, 32433/5282 Peanut Rd., Graceville, FL, 32440/65 6th Street, Luverne, AL, 36049/4509 State Hwy 83 North, Defuniak Springs, FL, 32433</v>
      </c>
      <c r="B14" t="str">
        <f>_xlfn.TEXTJOIN("/", TRUE, output!W14:W24)</f>
        <v>4509 State Hwy 83 North, Defuniak Springs, FL, 32433/3435 Eric Cir E, Tuscaloosa, AL, 35401/605 Mississippi 182, Starkville, MS, 39759/4509 State Hwy 83 North, Defuniak Springs, FL, 32433</v>
      </c>
      <c r="C14" t="str">
        <f>_xlfn.TEXTJOIN("/", TRUE, output!AI14:AI24)</f>
        <v>4509 State Hwy 83 North, Defuniak Springs, FL, 32433/, Cleveland, MS, /240 Hicks Street, Clarksdale, MS, 38614</v>
      </c>
      <c r="D14" t="str">
        <f>_xlfn.TEXTJOIN("/", TRUE, output!AU14:AU24)</f>
        <v>240 Hicks Street, Clarksdale, MS, 38614/4509 State Hwy 83 North, Defuniak Springs, FL, 32433</v>
      </c>
      <c r="E14" t="str">
        <f>_xlfn.TEXTJOIN("/", TRUE, output!BG14:BG24)</f>
        <v>4509 State Hwy 83 North, Defuniak Springs, FL, 32433/4509 State Hwy 83 North, Defuniak Springs, FL, 32433</v>
      </c>
    </row>
    <row r="15" spans="1:5" x14ac:dyDescent="0.25">
      <c r="A15" t="str">
        <f>SUBSTITUTE(A14, " ", "+")</f>
        <v>4509+State+Hwy+83+North,+Defuniak+Springs,+FL,+32433/5282+Peanut+Rd.,+Graceville,+FL,+32440/65+6th+Street,+Luverne,+AL,+36049/4509+State+Hwy+83+North,+Defuniak+Springs,+FL,+32433</v>
      </c>
      <c r="B15" t="str">
        <f>SUBSTITUTE(B14, " ", "+")</f>
        <v>4509+State+Hwy+83+North,+Defuniak+Springs,+FL,+32433/3435+Eric+Cir+E,+Tuscaloosa,+AL,+35401/605+Mississippi+182,+Starkville,+MS,+39759/4509+State+Hwy+83+North,+Defuniak+Springs,+FL,+32433</v>
      </c>
      <c r="C15" t="str">
        <f>SUBSTITUTE(C14, " ", "+")</f>
        <v>4509+State+Hwy+83+North,+Defuniak+Springs,+FL,+32433/,+Cleveland,+MS,+/240+Hicks+Street,+Clarksdale,+MS,+38614</v>
      </c>
      <c r="D15" t="str">
        <f>SUBSTITUTE(D14, " ", "+")</f>
        <v>240+Hicks+Street,+Clarksdale,+MS,+38614/4509+State+Hwy+83+North,+Defuniak+Springs,+FL,+32433</v>
      </c>
      <c r="E15" t="str">
        <f>SUBSTITUTE(E14, " ", "+")</f>
        <v>4509+State+Hwy+83+North,+Defuniak+Springs,+FL,+32433/4509+State+Hwy+83+North,+Defuniak+Springs,+FL,+32433</v>
      </c>
    </row>
    <row r="16" spans="1:5" x14ac:dyDescent="0.25">
      <c r="A16" t="str">
        <f>SUBSTITUTE(A15, ",", "")</f>
        <v>4509+State+Hwy+83+North+Defuniak+Springs+FL+32433/5282+Peanut+Rd.+Graceville+FL+32440/65+6th+Street+Luverne+AL+36049/4509+State+Hwy+83+North+Defuniak+Springs+FL+32433</v>
      </c>
      <c r="B16" t="str">
        <f>SUBSTITUTE(B15, ",", "")</f>
        <v>4509+State+Hwy+83+North+Defuniak+Springs+FL+32433/3435+Eric+Cir+E+Tuscaloosa+AL+35401/605+Mississippi+182+Starkville+MS+39759/4509+State+Hwy+83+North+Defuniak+Springs+FL+32433</v>
      </c>
      <c r="C16" t="str">
        <f>SUBSTITUTE(C15, ",", "")</f>
        <v>4509+State+Hwy+83+North+Defuniak+Springs+FL+32433/+Cleveland+MS+/240+Hicks+Street+Clarksdale+MS+38614</v>
      </c>
      <c r="D16" t="str">
        <f>SUBSTITUTE(D15, ",", "")</f>
        <v>240+Hicks+Street+Clarksdale+MS+38614/4509+State+Hwy+83+North+Defuniak+Springs+FL+32433</v>
      </c>
      <c r="E16" t="str">
        <f>SUBSTITUTE(E15, ",", "")</f>
        <v>4509+State+Hwy+83+North+Defuniak+Springs+FL+32433/4509+State+Hwy+83+North+Defuniak+Springs+FL+32433</v>
      </c>
    </row>
    <row r="25" spans="1:5" x14ac:dyDescent="0.25">
      <c r="A25" t="str">
        <f>_xlfn.TEXTJOIN("/", TRUE, output!K25:K35)</f>
        <v>4509 State Hwy 83 North, Defuniak Springs, FL, 32433/711 N Main St., Havana, FL, 32333/2134 Highway 29 South, Brewton, AL, 36426/4509 State Hwy 83 North, Defuniak Springs, FL, 32433</v>
      </c>
      <c r="B25" t="str">
        <f>_xlfn.TEXTJOIN("/", TRUE, output!W25:W35)</f>
        <v>4509 State Hwy 83 North, Defuniak Springs, FL, 32433/1010 Sparkman Street, Hartselle, AL, 35640/475 Walnut Gate Rd, Russellville, AL, 35654/4509 State Hwy 83 North, Defuniak Springs, FL, 32433</v>
      </c>
      <c r="C25" t="str">
        <f>_xlfn.TEXTJOIN("/", TRUE, output!AI25:AI35)</f>
        <v>4509 State Hwy 83 North, Defuniak Springs, FL, 32433/11780 US Hwy 1 Suite 208N, Palm Beach Gardens, FL, 33408</v>
      </c>
      <c r="D25" t="str">
        <f>_xlfn.TEXTJOIN("/", TRUE, output!AU25:AU35)</f>
        <v>11780 US Hwy 1 Suite 208N, Palm Beach Gardens, FL, 33408/4509 State Hwy 83 North, Defuniak Springs, FL, 32433</v>
      </c>
      <c r="E25" t="str">
        <f>_xlfn.TEXTJOIN("/", TRUE, output!BG25:BG35)</f>
        <v>4509 State Hwy 83 North, Defuniak Springs, FL, 32433/4509 State Hwy 83 North, Defuniak Springs, FL, 32433</v>
      </c>
    </row>
    <row r="26" spans="1:5" x14ac:dyDescent="0.25">
      <c r="A26" t="str">
        <f>SUBSTITUTE(A25, " ", "+")</f>
        <v>4509+State+Hwy+83+North,+Defuniak+Springs,+FL,+32433/711+N+Main+St.,+Havana,+FL,+32333/2134+Highway+29+South,+Brewton,+AL,+36426/4509+State+Hwy+83+North,+Defuniak+Springs,+FL,+32433</v>
      </c>
      <c r="B26" t="str">
        <f>SUBSTITUTE(B25, " ", "+")</f>
        <v>4509+State+Hwy+83+North,+Defuniak+Springs,+FL,+32433/1010+Sparkman+Street,+Hartselle,+AL,+35640/475+Walnut+Gate+Rd,+Russellville,+AL,+35654/4509+State+Hwy+83+North,+Defuniak+Springs,+FL,+32433</v>
      </c>
      <c r="C26" t="str">
        <f>SUBSTITUTE(C25, " ", "+")</f>
        <v>4509+State+Hwy+83+North,+Defuniak+Springs,+FL,+32433/11780+US+Hwy+1+Suite+208N,+Palm+Beach+Gardens,+FL,+33408</v>
      </c>
      <c r="D26" t="str">
        <f>SUBSTITUTE(D25, " ", "+")</f>
        <v>11780+US+Hwy+1+Suite+208N,+Palm+Beach+Gardens,+FL,+33408/4509+State+Hwy+83+North,+Defuniak+Springs,+FL,+32433</v>
      </c>
      <c r="E26" t="str">
        <f>SUBSTITUTE(E25, " ", "+")</f>
        <v>4509+State+Hwy+83+North,+Defuniak+Springs,+FL,+32433/4509+State+Hwy+83+North,+Defuniak+Springs,+FL,+32433</v>
      </c>
    </row>
    <row r="27" spans="1:5" x14ac:dyDescent="0.25">
      <c r="A27" t="str">
        <f>SUBSTITUTE(A26, ",", "")</f>
        <v>4509+State+Hwy+83+North+Defuniak+Springs+FL+32433/711+N+Main+St.+Havana+FL+32333/2134+Highway+29+South+Brewton+AL+36426/4509+State+Hwy+83+North+Defuniak+Springs+FL+32433</v>
      </c>
      <c r="B27" t="str">
        <f>SUBSTITUTE(B26, ",", "")</f>
        <v>4509+State+Hwy+83+North+Defuniak+Springs+FL+32433/1010+Sparkman+Street+Hartselle+AL+35640/475+Walnut+Gate+Rd+Russellville+AL+35654/4509+State+Hwy+83+North+Defuniak+Springs+FL+32433</v>
      </c>
      <c r="C27" t="str">
        <f>SUBSTITUTE(C26, ",", "")</f>
        <v>4509+State+Hwy+83+North+Defuniak+Springs+FL+32433/11780+US+Hwy+1+Suite+208N+Palm+Beach+Gardens+FL+33408</v>
      </c>
      <c r="D27" t="str">
        <f>SUBSTITUTE(D26, ",", "")</f>
        <v>11780+US+Hwy+1+Suite+208N+Palm+Beach+Gardens+FL+33408/4509+State+Hwy+83+North+Defuniak+Springs+FL+32433</v>
      </c>
      <c r="E27" t="str">
        <f>SUBSTITUTE(E26, ",", "")</f>
        <v>4509+State+Hwy+83+North+Defuniak+Springs+FL+32433/4509+State+Hwy+83+North+Defuniak+Springs+FL+32433</v>
      </c>
    </row>
    <row r="36" spans="1:5" x14ac:dyDescent="0.25">
      <c r="A36" t="str">
        <f>_xlfn.TEXTJOIN("/", TRUE, output!K36:K46)</f>
        <v>4509 State Hwy 83 North, Defuniak Springs, FL, 32433/1251 South Decatur St, Montgomery, AL, 36101/100 Waits Dr, Andalusia, AL, 36421/4509 State Hwy 83 North, Defuniak Springs, FL, 32433</v>
      </c>
      <c r="B36" t="str">
        <f>_xlfn.TEXTJOIN("/", TRUE, output!W36:W46)</f>
        <v>4509 State Hwy 83 North, Defuniak Springs, FL, 32433/118 South Columbus Avenue, Louisville, MS, 39339/124 W Washington, Kosciusko, MS, 39090</v>
      </c>
      <c r="C36" t="str">
        <f>_xlfn.TEXTJOIN("/", TRUE, output!AI36:AI46)</f>
        <v>124 W Washington, Kosciusko, MS, 39090/4509 State Hwy 83 North, Defuniak Springs, FL, 32433</v>
      </c>
      <c r="D36" t="str">
        <f>_xlfn.TEXTJOIN("/", TRUE, output!AU36:AU46)</f>
        <v>4509 State Hwy 83 North, Defuniak Springs, FL, 32433/4509 State Hwy 83 North, Defuniak Springs, FL, 32433</v>
      </c>
      <c r="E36" t="str">
        <f>_xlfn.TEXTJOIN("/", TRUE, output!BG36:BG46)</f>
        <v>4509 State Hwy 83 North, Defuniak Springs, FL, 32433/4509 State Hwy 83 North, Defuniak Springs, FL, 32433</v>
      </c>
    </row>
    <row r="37" spans="1:5" x14ac:dyDescent="0.25">
      <c r="A37" t="str">
        <f>SUBSTITUTE(A36, " ", "+")</f>
        <v>4509+State+Hwy+83+North,+Defuniak+Springs,+FL,+32433/1251+South+Decatur+St,+Montgomery,+AL,+36101/100+Waits+Dr,+Andalusia,+AL,+36421/4509+State+Hwy+83+North,+Defuniak+Springs,+FL,+32433</v>
      </c>
      <c r="B37" t="str">
        <f>SUBSTITUTE(B36, " ", "+")</f>
        <v>4509+State+Hwy+83+North,+Defuniak+Springs,+FL,+32433/118+South+Columbus+Avenue,+Louisville,+MS,+39339/124+W+Washington,+Kosciusko,+MS,+39090</v>
      </c>
      <c r="C37" t="str">
        <f>SUBSTITUTE(C36, " ", "+")</f>
        <v>124+W+Washington,+Kosciusko,+MS,+39090/4509+State+Hwy+83+North,+Defuniak+Springs,+FL,+32433</v>
      </c>
      <c r="D37" t="str">
        <f>SUBSTITUTE(D36, " ", "+")</f>
        <v>4509+State+Hwy+83+North,+Defuniak+Springs,+FL,+32433/4509+State+Hwy+83+North,+Defuniak+Springs,+FL,+32433</v>
      </c>
      <c r="E37" t="str">
        <f>SUBSTITUTE(E36, " ", "+")</f>
        <v>4509+State+Hwy+83+North,+Defuniak+Springs,+FL,+32433/4509+State+Hwy+83+North,+Defuniak+Springs,+FL,+32433</v>
      </c>
    </row>
    <row r="38" spans="1:5" x14ac:dyDescent="0.25">
      <c r="A38" t="str">
        <f>SUBSTITUTE(A37, ",", "")</f>
        <v>4509+State+Hwy+83+North+Defuniak+Springs+FL+32433/1251+South+Decatur+St+Montgomery+AL+36101/100+Waits+Dr+Andalusia+AL+36421/4509+State+Hwy+83+North+Defuniak+Springs+FL+32433</v>
      </c>
      <c r="B38" t="str">
        <f>SUBSTITUTE(B37, ",", "")</f>
        <v>4509+State+Hwy+83+North+Defuniak+Springs+FL+32433/118+South+Columbus+Avenue+Louisville+MS+39339/124+W+Washington+Kosciusko+MS+39090</v>
      </c>
      <c r="C38" t="str">
        <f>SUBSTITUTE(C37, ",", "")</f>
        <v>124+W+Washington+Kosciusko+MS+39090/4509+State+Hwy+83+North+Defuniak+Springs+FL+32433</v>
      </c>
      <c r="D38" t="str">
        <f>SUBSTITUTE(D37, ",", "")</f>
        <v>4509+State+Hwy+83+North+Defuniak+Springs+FL+32433/4509+State+Hwy+83+North+Defuniak+Springs+FL+32433</v>
      </c>
      <c r="E38" t="str">
        <f>SUBSTITUTE(E37, ",", "")</f>
        <v>4509+State+Hwy+83+North+Defuniak+Springs+FL+32433/4509+State+Hwy+83+North+Defuniak+Springs+FL+32433</v>
      </c>
    </row>
    <row r="47" spans="1:5" x14ac:dyDescent="0.25">
      <c r="A47" t="str">
        <f>_xlfn.TEXTJOIN("/", TRUE, output!K47:K57)</f>
        <v/>
      </c>
      <c r="B47" t="str">
        <f>_xlfn.TEXTJOIN("/", TRUE, output!W47:W57)</f>
        <v/>
      </c>
      <c r="C47" t="str">
        <f>_xlfn.TEXTJOIN("/", TRUE, output!AI47:AI57)</f>
        <v/>
      </c>
      <c r="D47" t="str">
        <f>_xlfn.TEXTJOIN("/", TRUE, output!AU47:AU57)</f>
        <v/>
      </c>
      <c r="E47" t="str">
        <f>_xlfn.TEXTJOIN("/", TRUE, output!BG47:BG57)</f>
        <v/>
      </c>
    </row>
    <row r="48" spans="1:5" x14ac:dyDescent="0.25">
      <c r="A48" t="str">
        <f>SUBSTITUTE(A47, " ", "+")</f>
        <v/>
      </c>
      <c r="B48" t="str">
        <f>SUBSTITUTE(B47, " ", "+")</f>
        <v/>
      </c>
      <c r="C48" t="str">
        <f>SUBSTITUTE(C47, " ", "+")</f>
        <v/>
      </c>
      <c r="D48" t="str">
        <f>SUBSTITUTE(D47, " ", "+")</f>
        <v/>
      </c>
      <c r="E48" t="str">
        <f>SUBSTITUTE(E47, " ", "+")</f>
        <v/>
      </c>
    </row>
    <row r="49" spans="1:5" x14ac:dyDescent="0.25">
      <c r="A49" t="str">
        <f>SUBSTITUTE(A48, ",", "")</f>
        <v/>
      </c>
      <c r="B49" t="str">
        <f>SUBSTITUTE(B48, ",", "")</f>
        <v/>
      </c>
      <c r="C49" t="str">
        <f>SUBSTITUTE(C48, ",", "")</f>
        <v/>
      </c>
      <c r="D49" t="str">
        <f>SUBSTITUTE(D48, ",", "")</f>
        <v/>
      </c>
      <c r="E49" t="str">
        <f>SUBSTITUTE(E48, ",", "")</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06BA4-484B-4E1D-A308-CCA52A3CE3F2}">
  <sheetPr codeName="Sheet14"/>
  <dimension ref="A1:E11"/>
  <sheetViews>
    <sheetView workbookViewId="0">
      <selection activeCell="L33" sqref="L33"/>
    </sheetView>
  </sheetViews>
  <sheetFormatPr defaultRowHeight="15" x14ac:dyDescent="0.25"/>
  <sheetData>
    <row r="1" spans="1:5" x14ac:dyDescent="0.25">
      <c r="A1" s="35"/>
      <c r="B1" s="33" t="s">
        <v>16242</v>
      </c>
      <c r="C1" s="35">
        <v>1600</v>
      </c>
      <c r="D1" s="35">
        <v>40</v>
      </c>
      <c r="E1" s="34">
        <v>880</v>
      </c>
    </row>
    <row r="2" spans="1:5" x14ac:dyDescent="0.25">
      <c r="A2" s="35">
        <v>1</v>
      </c>
      <c r="B2" s="36" t="s">
        <v>16243</v>
      </c>
      <c r="C2" s="35"/>
      <c r="D2" s="35"/>
      <c r="E2" s="34"/>
    </row>
    <row r="3" spans="1:5" x14ac:dyDescent="0.25">
      <c r="A3" s="35">
        <v>2</v>
      </c>
      <c r="B3" s="36" t="s">
        <v>16244</v>
      </c>
      <c r="C3" s="35"/>
      <c r="D3" s="35"/>
      <c r="E3" s="34"/>
    </row>
    <row r="4" spans="1:5" x14ac:dyDescent="0.25">
      <c r="A4" s="35">
        <v>3</v>
      </c>
      <c r="B4" s="36" t="s">
        <v>16245</v>
      </c>
      <c r="C4" s="35"/>
      <c r="D4" s="35"/>
      <c r="E4" s="34"/>
    </row>
    <row r="5" spans="1:5" x14ac:dyDescent="0.25">
      <c r="A5" s="35">
        <v>4</v>
      </c>
      <c r="B5" s="36" t="s">
        <v>16246</v>
      </c>
      <c r="C5" s="35"/>
      <c r="D5" s="35"/>
      <c r="E5" s="34"/>
    </row>
    <row r="6" spans="1:5" x14ac:dyDescent="0.25">
      <c r="A6" s="35">
        <v>5</v>
      </c>
      <c r="B6" s="36" t="s">
        <v>16247</v>
      </c>
      <c r="C6" s="35"/>
      <c r="D6" s="35"/>
      <c r="E6" s="34"/>
    </row>
    <row r="7" spans="1:5" x14ac:dyDescent="0.25">
      <c r="A7" s="35">
        <v>6</v>
      </c>
      <c r="B7" s="36" t="s">
        <v>16248</v>
      </c>
      <c r="C7" s="35"/>
      <c r="D7" s="35"/>
      <c r="E7" s="34"/>
    </row>
    <row r="8" spans="1:5" x14ac:dyDescent="0.25">
      <c r="A8" s="35"/>
      <c r="B8" s="35"/>
      <c r="C8" s="35"/>
      <c r="D8" s="35"/>
    </row>
    <row r="9" spans="1:5" x14ac:dyDescent="0.25">
      <c r="A9" s="35"/>
      <c r="B9" s="33" t="s">
        <v>16249</v>
      </c>
      <c r="C9" s="35"/>
      <c r="D9" s="35"/>
      <c r="E9" s="34"/>
    </row>
    <row r="10" spans="1:5" x14ac:dyDescent="0.25">
      <c r="A10" s="35">
        <v>7</v>
      </c>
      <c r="B10" s="35" t="s">
        <v>16250</v>
      </c>
      <c r="C10" s="35"/>
      <c r="D10" s="35"/>
      <c r="E10" s="34"/>
    </row>
    <row r="11" spans="1:5" x14ac:dyDescent="0.25">
      <c r="A11" s="35">
        <v>8</v>
      </c>
      <c r="B11" s="35" t="s">
        <v>16251</v>
      </c>
      <c r="C11" s="35"/>
      <c r="D11" s="35"/>
      <c r="E1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4F8B302-296B-495E-8EE8-FCE8ABBAE724}">
  <ds:schemaRefs>
    <ds:schemaRef ds:uri="http://schemas.microsoft.com/sharepoint/v3/contenttype/fo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All Accounts List</vt:lpstr>
      <vt:lpstr>Sheet1</vt:lpstr>
      <vt:lpstr>Sheet3</vt:lpstr>
      <vt:lpstr>times</vt:lpstr>
      <vt:lpstr>Sheet2</vt:lpstr>
      <vt:lpstr>addresses</vt:lpstr>
      <vt:lpstr>distances</vt:lpstr>
      <vt:lpstr>realdists</vt:lpstr>
      <vt:lpstr>unit_entry</vt:lpstr>
      <vt:lpstr>output_testing</vt:lpstr>
      <vt:lpstr>output</vt:lpstr>
      <vt:lpstr>Next Steps</vt:lpstr>
      <vt:lpstr>testing</vt:lpstr>
      <vt:lpstr>Use Cases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2021-07-19T16:35:48Z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